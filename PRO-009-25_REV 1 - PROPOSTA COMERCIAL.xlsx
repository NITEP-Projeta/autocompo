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drawings/drawing10.xml" ContentType="application/vnd.openxmlformats-officedocument.drawing+xml"/>
  <Override PartName="/xl/ctrlProps/ctrlProp4.xml" ContentType="application/vnd.ms-excel.controlproperties+xml"/>
  <Override PartName="/xl/ctrlProps/ctrlProp5.xml" ContentType="application/vnd.ms-excel.controlpropertie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12"/>
  <workbookPr codeName="EstaPastaDeTrabalho" autoCompressPictures="0" defaultThemeVersion="124226"/>
  <mc:AlternateContent xmlns:mc="http://schemas.openxmlformats.org/markup-compatibility/2006">
    <mc:Choice Requires="x15">
      <x15ac:absPath xmlns:x15ac="http://schemas.microsoft.com/office/spreadsheetml/2010/11/ac" url="C:\Users\wellington.pereira\Desktop\PROPOSTAS OBRAS - MARÇO-ABRIL-25\"/>
    </mc:Choice>
  </mc:AlternateContent>
  <xr:revisionPtr revIDLastSave="0" documentId="13_ncr:1_{3FF22401-7CD7-4452-92E4-DD9BE293AC4F}" xr6:coauthVersionLast="47" xr6:coauthVersionMax="47" xr10:uidLastSave="{00000000-0000-0000-0000-000000000000}"/>
  <bookViews>
    <workbookView xWindow="-108" yWindow="-108" windowWidth="23256" windowHeight="12456" tabRatio="717" activeTab="2" xr2:uid="{00000000-000D-0000-FFFF-FFFF00000000}"/>
  </bookViews>
  <sheets>
    <sheet name="APR" sheetId="104" r:id="rId1"/>
    <sheet name="CHECK" sheetId="101" r:id="rId2"/>
    <sheet name="QQP" sheetId="85" r:id="rId3"/>
    <sheet name="CPU  1 " sheetId="105" r:id="rId4"/>
    <sheet name="MO" sheetId="26" r:id="rId5"/>
    <sheet name="EPIs" sheetId="28" r:id="rId6"/>
    <sheet name="TREINAMENTOS" sheetId="92" r:id="rId7"/>
    <sheet name="EXAMES" sheetId="93" r:id="rId8"/>
    <sheet name="BDI-TRIBUTOS" sheetId="57" r:id="rId9"/>
    <sheet name="ENCARGOS SOCIAIS" sheetId="23" r:id="rId10"/>
  </sheets>
  <definedNames>
    <definedName name="\0" localSheetId="0">#REF!</definedName>
    <definedName name="\0" localSheetId="2">#REF!</definedName>
    <definedName name="\0">#REF!</definedName>
    <definedName name="\A" localSheetId="0">#REF!</definedName>
    <definedName name="\A" localSheetId="2">#REF!</definedName>
    <definedName name="\A">#REF!</definedName>
    <definedName name="\b" localSheetId="0">#REF!</definedName>
    <definedName name="\b" localSheetId="2">#REF!</definedName>
    <definedName name="\b">#REF!</definedName>
    <definedName name="\c" localSheetId="0">#REF!</definedName>
    <definedName name="\c" localSheetId="2">#REF!</definedName>
    <definedName name="\c">#REF!</definedName>
    <definedName name="\F" localSheetId="0">#REF!</definedName>
    <definedName name="\F">#REF!</definedName>
    <definedName name="\G" localSheetId="0">#REF!</definedName>
    <definedName name="\G">#REF!</definedName>
    <definedName name="\h" localSheetId="0">#REF!</definedName>
    <definedName name="\h">#REF!</definedName>
    <definedName name="\L" localSheetId="0">#REF!</definedName>
    <definedName name="\L">#REF!</definedName>
    <definedName name="\n" localSheetId="0">#REF!</definedName>
    <definedName name="\n">#REF!</definedName>
    <definedName name="\O" localSheetId="0">#REF!</definedName>
    <definedName name="\O">#REF!</definedName>
    <definedName name="\P" localSheetId="0">#REF!</definedName>
    <definedName name="\P">#REF!</definedName>
    <definedName name="\Q" localSheetId="0">#REF!</definedName>
    <definedName name="\Q">#REF!</definedName>
    <definedName name="\R" localSheetId="0">#REF!</definedName>
    <definedName name="\R">#REF!</definedName>
    <definedName name="\s" localSheetId="0">#REF!</definedName>
    <definedName name="\s">#REF!</definedName>
    <definedName name="\t" localSheetId="0">#REF!</definedName>
    <definedName name="\t">#REF!</definedName>
    <definedName name="\V" localSheetId="0">#REF!</definedName>
    <definedName name="\V">#REF!</definedName>
    <definedName name="\w" localSheetId="0">#REF!</definedName>
    <definedName name="\w">#REF!</definedName>
    <definedName name="\x">#N/A</definedName>
    <definedName name="\y" localSheetId="0">#REF!</definedName>
    <definedName name="\y">#REF!</definedName>
    <definedName name="\z">#N/A</definedName>
    <definedName name="_________________________________mm1" localSheetId="0">#REF!</definedName>
    <definedName name="_________________________________mm1" localSheetId="2">QQP!_________________________________mm1</definedName>
    <definedName name="_________________________________mm1">#REF!</definedName>
    <definedName name="________________________________mm1" localSheetId="0">#REF!</definedName>
    <definedName name="________________________________mm1" localSheetId="2">QQP!________________________________mm1</definedName>
    <definedName name="________________________________mm1">#REF!</definedName>
    <definedName name="_______________________________mm1" localSheetId="0">#REF!</definedName>
    <definedName name="_______________________________mm1" localSheetId="2">QQP!_______________________________mm1</definedName>
    <definedName name="_______________________________mm1">#REF!</definedName>
    <definedName name="______________________________mm1" localSheetId="0">#REF!</definedName>
    <definedName name="______________________________mm1" localSheetId="2">QQP!______________________________mm1</definedName>
    <definedName name="______________________________mm1">#REF!</definedName>
    <definedName name="_____________________________mm1" localSheetId="0">#REF!</definedName>
    <definedName name="_____________________________mm1" localSheetId="2">QQP!_____________________________mm1</definedName>
    <definedName name="_____________________________mm1">#REF!</definedName>
    <definedName name="____________________________mm1" localSheetId="0">#REF!</definedName>
    <definedName name="____________________________mm1" localSheetId="2">QQP!____________________________mm1</definedName>
    <definedName name="____________________________mm1">#REF!</definedName>
    <definedName name="___________________________FOL2" localSheetId="0">#REF!</definedName>
    <definedName name="___________________________FOL2" localSheetId="2">#REF!</definedName>
    <definedName name="___________________________FOL2">#REF!</definedName>
    <definedName name="___________________________FOL3">#N/A</definedName>
    <definedName name="___________________________FOL4">#N/A</definedName>
    <definedName name="___________________________mm1" localSheetId="0">#REF!</definedName>
    <definedName name="___________________________mm1" localSheetId="2">QQP!___________________________mm1</definedName>
    <definedName name="___________________________mm1">#REF!</definedName>
    <definedName name="__________________________fol3" localSheetId="0">#REF!</definedName>
    <definedName name="__________________________fol3" localSheetId="2">#REF!</definedName>
    <definedName name="__________________________fol3">#REF!</definedName>
    <definedName name="__________________________mm1" localSheetId="0">#REF!</definedName>
    <definedName name="__________________________mm1" localSheetId="2">QQP!__________________________mm1</definedName>
    <definedName name="__________________________mm1">#REF!</definedName>
    <definedName name="_________________________fol1" localSheetId="0">#REF!</definedName>
    <definedName name="_________________________fol1" localSheetId="2">#REF!</definedName>
    <definedName name="_________________________fol1">#REF!</definedName>
    <definedName name="_________________________FOL3">#N/A</definedName>
    <definedName name="_________________________FOL4">#N/A</definedName>
    <definedName name="_________________________mm1" localSheetId="0">#REF!</definedName>
    <definedName name="_________________________mm1" localSheetId="2">QQP!_________________________mm1</definedName>
    <definedName name="_________________________mm1">#REF!</definedName>
    <definedName name="________________________FOL1" localSheetId="0">#REF!</definedName>
    <definedName name="________________________FOL1" localSheetId="2">#REF!</definedName>
    <definedName name="________________________FOL1">#REF!</definedName>
    <definedName name="________________________fol2" localSheetId="0">#REF!:#REF!</definedName>
    <definedName name="________________________fol2" localSheetId="2">#REF!:#REF!</definedName>
    <definedName name="________________________fol2">#REF!:#REF!</definedName>
    <definedName name="________________________FOL3">#N/A</definedName>
    <definedName name="________________________FOL4">#N/A</definedName>
    <definedName name="________________________mm1" localSheetId="0">#REF!</definedName>
    <definedName name="________________________mm1" localSheetId="2">QQP!________________________mm1</definedName>
    <definedName name="________________________mm1">#REF!</definedName>
    <definedName name="_______________________FOL1" localSheetId="0">#REF!</definedName>
    <definedName name="_______________________FOL1" localSheetId="2">#REF!</definedName>
    <definedName name="_______________________FOL1">#REF!</definedName>
    <definedName name="_______________________FOL2" localSheetId="0">#REF!</definedName>
    <definedName name="_______________________FOL2" localSheetId="2">#REF!</definedName>
    <definedName name="_______________________FOL2">#REF!</definedName>
    <definedName name="_______________________FOL3">#N/A</definedName>
    <definedName name="_______________________FOL4">#N/A</definedName>
    <definedName name="_______________________mm1" localSheetId="0">#REF!</definedName>
    <definedName name="_______________________mm1" localSheetId="2">QQP!_______________________mm1</definedName>
    <definedName name="_______________________mm1">#REF!</definedName>
    <definedName name="_______________________PO1" localSheetId="0">#REF!</definedName>
    <definedName name="_______________________PO1" localSheetId="2">#REF!</definedName>
    <definedName name="_______________________PO1">#REF!</definedName>
    <definedName name="_______________________PO2" localSheetId="0">#REF!</definedName>
    <definedName name="_______________________PO2" localSheetId="2">#REF!</definedName>
    <definedName name="_______________________PO2">#REF!</definedName>
    <definedName name="______________________DAT3" localSheetId="0">#REF!</definedName>
    <definedName name="______________________DAT3">#REF!</definedName>
    <definedName name="______________________FOL1" localSheetId="0">#REF!</definedName>
    <definedName name="______________________FOL1">#REF!</definedName>
    <definedName name="______________________FOL2" localSheetId="0">#REF!</definedName>
    <definedName name="______________________FOL2">#REF!</definedName>
    <definedName name="______________________FOL3">#N/A</definedName>
    <definedName name="______________________FOL4">#N/A</definedName>
    <definedName name="______________________IMP2" localSheetId="0">#REF!</definedName>
    <definedName name="______________________IMP2">#REF!</definedName>
    <definedName name="______________________mm1" localSheetId="0">#REF!</definedName>
    <definedName name="______________________mm1" localSheetId="2">QQP!______________________mm1</definedName>
    <definedName name="______________________mm1">#REF!</definedName>
    <definedName name="______________________PO1" localSheetId="0">#REF!</definedName>
    <definedName name="______________________PO1" localSheetId="2">#REF!</definedName>
    <definedName name="______________________PO1">#REF!</definedName>
    <definedName name="______________________PO2" localSheetId="0">#REF!</definedName>
    <definedName name="______________________PO2" localSheetId="2">#REF!</definedName>
    <definedName name="______________________PO2">#REF!</definedName>
    <definedName name="_____________________494_17" localSheetId="0">#REF!</definedName>
    <definedName name="_____________________494_17">#REF!</definedName>
    <definedName name="_____________________dat1" localSheetId="0">#REF!</definedName>
    <definedName name="_____________________dat1">#REF!</definedName>
    <definedName name="_____________________dat2" localSheetId="0">#REF!</definedName>
    <definedName name="_____________________dat2">#REF!</definedName>
    <definedName name="_____________________FOL1" localSheetId="0">#REF!</definedName>
    <definedName name="_____________________FOL1">#REF!</definedName>
    <definedName name="_____________________FOL2" localSheetId="0">#REF!</definedName>
    <definedName name="_____________________FOL2">#REF!</definedName>
    <definedName name="_____________________FOL3">#N/A</definedName>
    <definedName name="_____________________FOL4">#N/A</definedName>
    <definedName name="_____________________mm1" localSheetId="0">#REF!</definedName>
    <definedName name="_____________________mm1" localSheetId="2">QQP!_____________________mm1</definedName>
    <definedName name="_____________________mm1">#REF!</definedName>
    <definedName name="_____________________PO1" localSheetId="0">#REF!</definedName>
    <definedName name="_____________________PO1" localSheetId="2">#REF!</definedName>
    <definedName name="_____________________PO1">#REF!</definedName>
    <definedName name="_____________________PO2" localSheetId="0">#REF!</definedName>
    <definedName name="_____________________PO2" localSheetId="2">#REF!</definedName>
    <definedName name="_____________________PO2">#REF!</definedName>
    <definedName name="_____________________R" localSheetId="0">#REF!</definedName>
    <definedName name="_____________________R">#REF!</definedName>
    <definedName name="____________________494_17" localSheetId="0">#REF!</definedName>
    <definedName name="____________________494_17">#REF!</definedName>
    <definedName name="____________________dat1" localSheetId="0">#REF!</definedName>
    <definedName name="____________________dat1">#REF!</definedName>
    <definedName name="____________________dat2" localSheetId="0">#REF!</definedName>
    <definedName name="____________________dat2">#REF!</definedName>
    <definedName name="____________________DAT3" localSheetId="0">#REF!</definedName>
    <definedName name="____________________DAT3">#REF!</definedName>
    <definedName name="____________________FOL1" localSheetId="0">#REF!</definedName>
    <definedName name="____________________FOL1">#REF!</definedName>
    <definedName name="____________________FOL2" localSheetId="0">#REF!</definedName>
    <definedName name="____________________FOL2">#REF!</definedName>
    <definedName name="____________________FOL3">#N/A</definedName>
    <definedName name="____________________FOL4">#N/A</definedName>
    <definedName name="____________________IMP2" localSheetId="0">#REF!</definedName>
    <definedName name="____________________IMP2">#REF!</definedName>
    <definedName name="____________________mm1" localSheetId="0">#REF!</definedName>
    <definedName name="____________________mm1" localSheetId="2">QQP!____________________mm1</definedName>
    <definedName name="____________________mm1">#REF!</definedName>
    <definedName name="____________________PO1" localSheetId="0">#REF!</definedName>
    <definedName name="____________________PO1" localSheetId="2">#REF!</definedName>
    <definedName name="____________________PO1">#REF!</definedName>
    <definedName name="____________________PO2" localSheetId="0">#REF!</definedName>
    <definedName name="____________________PO2" localSheetId="2">#REF!</definedName>
    <definedName name="____________________PO2">#REF!</definedName>
    <definedName name="____________________R" localSheetId="0">#REF!</definedName>
    <definedName name="____________________R">#REF!</definedName>
    <definedName name="___________________494_17" localSheetId="0">#REF!</definedName>
    <definedName name="___________________494_17">#REF!</definedName>
    <definedName name="___________________dat1" localSheetId="0">#REF!</definedName>
    <definedName name="___________________dat1">#REF!</definedName>
    <definedName name="___________________dat2" localSheetId="0">#REF!</definedName>
    <definedName name="___________________dat2">#REF!</definedName>
    <definedName name="___________________DAT3" localSheetId="0">#REF!</definedName>
    <definedName name="___________________DAT3">#REF!</definedName>
    <definedName name="___________________FOL1" localSheetId="0">#REF!</definedName>
    <definedName name="___________________FOL1">#REF!</definedName>
    <definedName name="___________________FOL2" localSheetId="0">#REF!</definedName>
    <definedName name="___________________FOL2">#REF!</definedName>
    <definedName name="___________________FOL3">#N/A</definedName>
    <definedName name="___________________FOL4">#N/A</definedName>
    <definedName name="___________________IMP2" localSheetId="0">#REF!</definedName>
    <definedName name="___________________IMP2">#REF!</definedName>
    <definedName name="___________________mm1" localSheetId="0">#REF!</definedName>
    <definedName name="___________________mm1" localSheetId="2">QQP!___________________mm1</definedName>
    <definedName name="___________________mm1">#REF!</definedName>
    <definedName name="___________________PO1" localSheetId="0">#REF!</definedName>
    <definedName name="___________________PO1" localSheetId="2">#REF!</definedName>
    <definedName name="___________________PO1">#REF!</definedName>
    <definedName name="___________________PO2" localSheetId="0">#REF!</definedName>
    <definedName name="___________________PO2" localSheetId="2">#REF!</definedName>
    <definedName name="___________________PO2">#REF!</definedName>
    <definedName name="___________________R" localSheetId="0">#REF!</definedName>
    <definedName name="___________________R">#REF!</definedName>
    <definedName name="__________________494_17" localSheetId="0">#REF!</definedName>
    <definedName name="__________________494_17">#REF!</definedName>
    <definedName name="__________________dat1" localSheetId="0">#REF!</definedName>
    <definedName name="__________________dat1">#REF!</definedName>
    <definedName name="__________________dat2" localSheetId="0">#REF!</definedName>
    <definedName name="__________________dat2">#REF!</definedName>
    <definedName name="__________________DAT3" localSheetId="0">#REF!</definedName>
    <definedName name="__________________DAT3">#REF!</definedName>
    <definedName name="__________________FOL1" localSheetId="0">#REF!</definedName>
    <definedName name="__________________FOL1">#REF!</definedName>
    <definedName name="__________________FOL2" localSheetId="0">#REF!</definedName>
    <definedName name="__________________FOL2">#REF!</definedName>
    <definedName name="__________________FOL3">#N/A</definedName>
    <definedName name="__________________FOL4">#N/A</definedName>
    <definedName name="__________________IMP2" localSheetId="0">#REF!</definedName>
    <definedName name="__________________IMP2">#REF!</definedName>
    <definedName name="__________________mm1" localSheetId="0">#REF!</definedName>
    <definedName name="__________________mm1" localSheetId="2">QQP!__________________mm1</definedName>
    <definedName name="__________________mm1">#REF!</definedName>
    <definedName name="__________________PO1" localSheetId="0">#REF!</definedName>
    <definedName name="__________________PO1" localSheetId="2">#REF!</definedName>
    <definedName name="__________________PO1">#REF!</definedName>
    <definedName name="__________________PO2" localSheetId="0">#REF!</definedName>
    <definedName name="__________________PO2" localSheetId="2">#REF!</definedName>
    <definedName name="__________________PO2">#REF!</definedName>
    <definedName name="__________________R" localSheetId="0">#REF!</definedName>
    <definedName name="__________________R">#REF!</definedName>
    <definedName name="_________________494_17" localSheetId="0">#REF!</definedName>
    <definedName name="_________________494_17">#REF!</definedName>
    <definedName name="_________________dat1" localSheetId="0">#REF!</definedName>
    <definedName name="_________________dat1">#REF!</definedName>
    <definedName name="_________________dat2" localSheetId="0">#REF!</definedName>
    <definedName name="_________________dat2">#REF!</definedName>
    <definedName name="_________________DAT3" localSheetId="0">#REF!</definedName>
    <definedName name="_________________DAT3">#REF!</definedName>
    <definedName name="_________________FOL1" localSheetId="0">#REF!</definedName>
    <definedName name="_________________FOL1">#REF!</definedName>
    <definedName name="_________________FOL2" localSheetId="0">#REF!</definedName>
    <definedName name="_________________FOL2">#REF!</definedName>
    <definedName name="_________________FOL3">#N/A</definedName>
    <definedName name="_________________FOL4">#N/A</definedName>
    <definedName name="_________________IMP2" localSheetId="0">#REF!</definedName>
    <definedName name="_________________IMP2">#REF!</definedName>
    <definedName name="_________________mm1" localSheetId="0">#REF!</definedName>
    <definedName name="_________________mm1" localSheetId="2">QQP!_________________mm1</definedName>
    <definedName name="_________________mm1">#REF!</definedName>
    <definedName name="_________________PO1" localSheetId="0">#REF!</definedName>
    <definedName name="_________________PO1" localSheetId="2">#REF!</definedName>
    <definedName name="_________________PO1">#REF!</definedName>
    <definedName name="_________________PO2" localSheetId="0">#REF!</definedName>
    <definedName name="_________________PO2" localSheetId="2">#REF!</definedName>
    <definedName name="_________________PO2">#REF!</definedName>
    <definedName name="_________________R" localSheetId="0">#REF!</definedName>
    <definedName name="_________________R">#REF!</definedName>
    <definedName name="________________494_17" localSheetId="0">#REF!</definedName>
    <definedName name="________________494_17">#REF!</definedName>
    <definedName name="________________dat1" localSheetId="0">#REF!</definedName>
    <definedName name="________________dat1">#REF!</definedName>
    <definedName name="________________dat2" localSheetId="0">#REF!</definedName>
    <definedName name="________________dat2">#REF!</definedName>
    <definedName name="________________DAT3" localSheetId="0">#REF!</definedName>
    <definedName name="________________DAT3">#REF!</definedName>
    <definedName name="________________FOL1" localSheetId="0">#REF!</definedName>
    <definedName name="________________FOL1">#REF!</definedName>
    <definedName name="________________FOL2" localSheetId="0">#REF!</definedName>
    <definedName name="________________FOL2">#REF!</definedName>
    <definedName name="________________FOL3">#N/A</definedName>
    <definedName name="________________FOL4">#N/A</definedName>
    <definedName name="________________IMP2" localSheetId="0">#REF!</definedName>
    <definedName name="________________IMP2">#REF!</definedName>
    <definedName name="________________mm1" localSheetId="0">#REF!</definedName>
    <definedName name="________________mm1" localSheetId="2">QQP!________________mm1</definedName>
    <definedName name="________________mm1">#REF!</definedName>
    <definedName name="________________PO1" localSheetId="0">#REF!</definedName>
    <definedName name="________________PO1" localSheetId="2">#REF!</definedName>
    <definedName name="________________PO1">#REF!</definedName>
    <definedName name="________________PO2" localSheetId="0">#REF!</definedName>
    <definedName name="________________PO2" localSheetId="2">#REF!</definedName>
    <definedName name="________________PO2">#REF!</definedName>
    <definedName name="________________R" localSheetId="0">#REF!</definedName>
    <definedName name="________________R">#REF!</definedName>
    <definedName name="_______________494_17" localSheetId="0">#REF!</definedName>
    <definedName name="_______________494_17">#REF!</definedName>
    <definedName name="_______________dat1" localSheetId="0">#REF!</definedName>
    <definedName name="_______________dat1">#REF!</definedName>
    <definedName name="_______________dat2" localSheetId="0">#REF!</definedName>
    <definedName name="_______________dat2">#REF!</definedName>
    <definedName name="_______________DAT3" localSheetId="0">#REF!</definedName>
    <definedName name="_______________DAT3">#REF!</definedName>
    <definedName name="_______________FOL1" localSheetId="0">#REF!</definedName>
    <definedName name="_______________FOL1">#REF!</definedName>
    <definedName name="_______________FOL2" localSheetId="0">#REF!</definedName>
    <definedName name="_______________FOL2">#REF!</definedName>
    <definedName name="_______________FOL3">#N/A</definedName>
    <definedName name="_______________FOL4">#N/A</definedName>
    <definedName name="_______________IMP2" localSheetId="0">#REF!</definedName>
    <definedName name="_______________IMP2">#REF!</definedName>
    <definedName name="_______________mm1" localSheetId="0">#REF!</definedName>
    <definedName name="_______________mm1" localSheetId="2">QQP!_______________mm1</definedName>
    <definedName name="_______________mm1">#REF!</definedName>
    <definedName name="_______________PO1" localSheetId="0">#REF!</definedName>
    <definedName name="_______________PO1" localSheetId="2">#REF!</definedName>
    <definedName name="_______________PO1">#REF!</definedName>
    <definedName name="_______________PO2" localSheetId="0">#REF!</definedName>
    <definedName name="_______________PO2" localSheetId="2">#REF!</definedName>
    <definedName name="_______________PO2">#REF!</definedName>
    <definedName name="_______________R" localSheetId="0">#REF!</definedName>
    <definedName name="_______________R">#REF!</definedName>
    <definedName name="______________494_17" localSheetId="0">#REF!</definedName>
    <definedName name="______________494_17">#REF!</definedName>
    <definedName name="______________dat1" localSheetId="0">#REF!</definedName>
    <definedName name="______________dat1">#REF!</definedName>
    <definedName name="______________dat2" localSheetId="0">#REF!</definedName>
    <definedName name="______________dat2">#REF!</definedName>
    <definedName name="______________DAT3" localSheetId="0">#REF!</definedName>
    <definedName name="______________DAT3">#REF!</definedName>
    <definedName name="______________FOL1" localSheetId="0">#REF!</definedName>
    <definedName name="______________FOL1">#REF!</definedName>
    <definedName name="______________FOL2" localSheetId="0">#REF!</definedName>
    <definedName name="______________FOL2">#REF!</definedName>
    <definedName name="______________FOL3">#N/A</definedName>
    <definedName name="______________FOL4">#N/A</definedName>
    <definedName name="______________IMP2" localSheetId="0">#REF!</definedName>
    <definedName name="______________IMP2">#REF!</definedName>
    <definedName name="______________mm1" localSheetId="0">#REF!</definedName>
    <definedName name="______________mm1" localSheetId="2">QQP!______________mm1</definedName>
    <definedName name="______________mm1">#REF!</definedName>
    <definedName name="______________PO1" localSheetId="0">#REF!</definedName>
    <definedName name="______________PO1" localSheetId="2">#REF!</definedName>
    <definedName name="______________PO1">#REF!</definedName>
    <definedName name="______________PO2" localSheetId="0">#REF!</definedName>
    <definedName name="______________PO2" localSheetId="2">#REF!</definedName>
    <definedName name="______________PO2">#REF!</definedName>
    <definedName name="______________R" localSheetId="0">#REF!</definedName>
    <definedName name="______________R">#REF!</definedName>
    <definedName name="_____________494_17" localSheetId="0">#REF!</definedName>
    <definedName name="_____________494_17">#REF!</definedName>
    <definedName name="_____________dat1" localSheetId="0">#REF!</definedName>
    <definedName name="_____________dat1">#REF!</definedName>
    <definedName name="_____________dat2" localSheetId="0">#REF!</definedName>
    <definedName name="_____________dat2">#REF!</definedName>
    <definedName name="_____________DAT3" localSheetId="0">#REF!</definedName>
    <definedName name="_____________DAT3">#REF!</definedName>
    <definedName name="_____________FOL1" localSheetId="0">#REF!</definedName>
    <definedName name="_____________FOL1">#REF!</definedName>
    <definedName name="_____________FOL2" localSheetId="0">#REF!</definedName>
    <definedName name="_____________FOL2">#REF!</definedName>
    <definedName name="_____________FOL3">#N/A</definedName>
    <definedName name="_____________FOL4">#N/A</definedName>
    <definedName name="_____________IMP2" localSheetId="0">#REF!</definedName>
    <definedName name="_____________IMP2">#REF!</definedName>
    <definedName name="_____________mm1" localSheetId="0">#REF!</definedName>
    <definedName name="_____________mm1" localSheetId="2">QQP!_____________mm1</definedName>
    <definedName name="_____________mm1">#REF!</definedName>
    <definedName name="_____________PO1" localSheetId="0">#REF!</definedName>
    <definedName name="_____________PO1" localSheetId="2">#REF!</definedName>
    <definedName name="_____________PO1">#REF!</definedName>
    <definedName name="_____________PO2" localSheetId="0">#REF!</definedName>
    <definedName name="_____________PO2" localSheetId="2">#REF!</definedName>
    <definedName name="_____________PO2">#REF!</definedName>
    <definedName name="_____________R" localSheetId="0">#REF!</definedName>
    <definedName name="_____________R">#REF!</definedName>
    <definedName name="____________494_17" localSheetId="0">#REF!</definedName>
    <definedName name="____________494_17">#REF!</definedName>
    <definedName name="____________dat1" localSheetId="0">#REF!</definedName>
    <definedName name="____________dat1">#REF!</definedName>
    <definedName name="____________dat2" localSheetId="0">#REF!</definedName>
    <definedName name="____________dat2">#REF!</definedName>
    <definedName name="____________DAT3" localSheetId="0">#REF!</definedName>
    <definedName name="____________DAT3">#REF!</definedName>
    <definedName name="____________FOL1" localSheetId="0">#REF!</definedName>
    <definedName name="____________FOL1">#REF!</definedName>
    <definedName name="____________FOL2" localSheetId="0">#REF!</definedName>
    <definedName name="____________FOL2">#REF!</definedName>
    <definedName name="____________FOL3">#N/A</definedName>
    <definedName name="____________FOL4">#N/A</definedName>
    <definedName name="____________IMP2" localSheetId="0">#REF!</definedName>
    <definedName name="____________IMP2">#REF!</definedName>
    <definedName name="____________mm1" localSheetId="0">#REF!</definedName>
    <definedName name="____________mm1">#REF!</definedName>
    <definedName name="____________PO1" localSheetId="0">#REF!</definedName>
    <definedName name="____________PO1">#REF!</definedName>
    <definedName name="____________PO2" localSheetId="0">#REF!</definedName>
    <definedName name="____________PO2">#REF!</definedName>
    <definedName name="____________R" localSheetId="0">#REF!</definedName>
    <definedName name="____________R">#REF!</definedName>
    <definedName name="___________494_17" localSheetId="0">#REF!</definedName>
    <definedName name="___________494_17">#REF!</definedName>
    <definedName name="___________dat1" localSheetId="0">#REF!</definedName>
    <definedName name="___________dat1">#REF!</definedName>
    <definedName name="___________dat2" localSheetId="0">#REF!</definedName>
    <definedName name="___________dat2">#REF!</definedName>
    <definedName name="___________DAT3" localSheetId="0">#REF!</definedName>
    <definedName name="___________DAT3">#REF!</definedName>
    <definedName name="___________FOL1" localSheetId="0">#REF!</definedName>
    <definedName name="___________FOL1">#REF!</definedName>
    <definedName name="___________FOL2" localSheetId="0">#REF!</definedName>
    <definedName name="___________FOL2">#REF!</definedName>
    <definedName name="___________FOL3">#N/A</definedName>
    <definedName name="___________FOL4">#N/A</definedName>
    <definedName name="___________FR2" localSheetId="0" hidden="1">{#N/A,#N/A,FALSE,"GERAL";#N/A,#N/A,FALSE,"012-96";#N/A,#N/A,FALSE,"018-96";#N/A,#N/A,FALSE,"027-96";#N/A,#N/A,FALSE,"059-96";#N/A,#N/A,FALSE,"076-96";#N/A,#N/A,FALSE,"019-97";#N/A,#N/A,FALSE,"021-97";#N/A,#N/A,FALSE,"022-97";#N/A,#N/A,FALSE,"028-97"}</definedName>
    <definedName name="___________FR2" localSheetId="2" hidden="1">{#N/A,#N/A,FALSE,"GERAL";#N/A,#N/A,FALSE,"012-96";#N/A,#N/A,FALSE,"018-96";#N/A,#N/A,FALSE,"027-96";#N/A,#N/A,FALSE,"059-96";#N/A,#N/A,FALSE,"076-96";#N/A,#N/A,FALSE,"019-97";#N/A,#N/A,FALSE,"021-97";#N/A,#N/A,FALSE,"022-97";#N/A,#N/A,FALSE,"028-97"}</definedName>
    <definedName name="___________FR2" hidden="1">{#N/A,#N/A,FALSE,"GERAL";#N/A,#N/A,FALSE,"012-96";#N/A,#N/A,FALSE,"018-96";#N/A,#N/A,FALSE,"027-96";#N/A,#N/A,FALSE,"059-96";#N/A,#N/A,FALSE,"076-96";#N/A,#N/A,FALSE,"019-97";#N/A,#N/A,FALSE,"021-97";#N/A,#N/A,FALSE,"022-97";#N/A,#N/A,FALSE,"028-97"}</definedName>
    <definedName name="___________IMP2" localSheetId="0">#REF!</definedName>
    <definedName name="___________IMP2">#REF!</definedName>
    <definedName name="___________mm1" localSheetId="0">#REF!</definedName>
    <definedName name="___________mm1" localSheetId="2">QQP!___________mm1</definedName>
    <definedName name="___________mm1">#REF!</definedName>
    <definedName name="___________PO1" localSheetId="0">#REF!</definedName>
    <definedName name="___________PO1" localSheetId="2">#REF!</definedName>
    <definedName name="___________PO1">#REF!</definedName>
    <definedName name="___________PO2" localSheetId="0">#REF!</definedName>
    <definedName name="___________PO2" localSheetId="2">#REF!</definedName>
    <definedName name="___________PO2">#REF!</definedName>
    <definedName name="___________R" localSheetId="0">#REF!</definedName>
    <definedName name="___________R">#REF!</definedName>
    <definedName name="__________494_17" localSheetId="0">#REF!</definedName>
    <definedName name="__________494_17">#REF!</definedName>
    <definedName name="__________dat1" localSheetId="0">#REF!</definedName>
    <definedName name="__________dat1">#REF!</definedName>
    <definedName name="__________dat2" localSheetId="0">#REF!</definedName>
    <definedName name="__________dat2">#REF!</definedName>
    <definedName name="__________DAT3" localSheetId="0">#REF!</definedName>
    <definedName name="__________DAT3">#REF!</definedName>
    <definedName name="__________FOL1" localSheetId="0">#REF!</definedName>
    <definedName name="__________FOL1">#REF!</definedName>
    <definedName name="__________FOL2" localSheetId="0">#REF!</definedName>
    <definedName name="__________FOL2">#REF!</definedName>
    <definedName name="__________FOL3">#N/A</definedName>
    <definedName name="__________FOL4">#N/A</definedName>
    <definedName name="__________FR2" localSheetId="0" hidden="1">{#N/A,#N/A,FALSE,"GERAL";#N/A,#N/A,FALSE,"012-96";#N/A,#N/A,FALSE,"018-96";#N/A,#N/A,FALSE,"027-96";#N/A,#N/A,FALSE,"059-96";#N/A,#N/A,FALSE,"076-96";#N/A,#N/A,FALSE,"019-97";#N/A,#N/A,FALSE,"021-97";#N/A,#N/A,FALSE,"022-97";#N/A,#N/A,FALSE,"028-97"}</definedName>
    <definedName name="__________FR2" localSheetId="2" hidden="1">{#N/A,#N/A,FALSE,"GERAL";#N/A,#N/A,FALSE,"012-96";#N/A,#N/A,FALSE,"018-96";#N/A,#N/A,FALSE,"027-96";#N/A,#N/A,FALSE,"059-96";#N/A,#N/A,FALSE,"076-96";#N/A,#N/A,FALSE,"019-97";#N/A,#N/A,FALSE,"021-97";#N/A,#N/A,FALSE,"022-97";#N/A,#N/A,FALSE,"028-97"}</definedName>
    <definedName name="__________FR2" hidden="1">{#N/A,#N/A,FALSE,"GERAL";#N/A,#N/A,FALSE,"012-96";#N/A,#N/A,FALSE,"018-96";#N/A,#N/A,FALSE,"027-96";#N/A,#N/A,FALSE,"059-96";#N/A,#N/A,FALSE,"076-96";#N/A,#N/A,FALSE,"019-97";#N/A,#N/A,FALSE,"021-97";#N/A,#N/A,FALSE,"022-97";#N/A,#N/A,FALSE,"028-97"}</definedName>
    <definedName name="__________IMP2" localSheetId="0">#REF!</definedName>
    <definedName name="__________IMP2">#REF!</definedName>
    <definedName name="__________mm1" localSheetId="0">#REF!</definedName>
    <definedName name="__________mm1" localSheetId="2">QQP!__________mm1</definedName>
    <definedName name="__________mm1">#REF!</definedName>
    <definedName name="__________PO1" localSheetId="0">#REF!</definedName>
    <definedName name="__________PO1" localSheetId="2">#REF!</definedName>
    <definedName name="__________PO1">#REF!</definedName>
    <definedName name="__________PO2" localSheetId="0">#REF!</definedName>
    <definedName name="__________PO2" localSheetId="2">#REF!</definedName>
    <definedName name="__________PO2">#REF!</definedName>
    <definedName name="__________R" localSheetId="0">#REF!</definedName>
    <definedName name="__________R">#REF!</definedName>
    <definedName name="_________494_17" localSheetId="0">#REF!</definedName>
    <definedName name="_________494_17">#REF!</definedName>
    <definedName name="_________bar1" localSheetId="0" hidden="1">{#N/A,#N/A,FALSE,"GERAL";#N/A,#N/A,FALSE,"012-96";#N/A,#N/A,FALSE,"018-96";#N/A,#N/A,FALSE,"027-96";#N/A,#N/A,FALSE,"059-96";#N/A,#N/A,FALSE,"076-96";#N/A,#N/A,FALSE,"019-97";#N/A,#N/A,FALSE,"021-97";#N/A,#N/A,FALSE,"022-97";#N/A,#N/A,FALSE,"028-97"}</definedName>
    <definedName name="_________bar1" localSheetId="2" hidden="1">{#N/A,#N/A,FALSE,"GERAL";#N/A,#N/A,FALSE,"012-96";#N/A,#N/A,FALSE,"018-96";#N/A,#N/A,FALSE,"027-96";#N/A,#N/A,FALSE,"059-96";#N/A,#N/A,FALSE,"076-96";#N/A,#N/A,FALSE,"019-97";#N/A,#N/A,FALSE,"021-97";#N/A,#N/A,FALSE,"022-97";#N/A,#N/A,FALSE,"028-97"}</definedName>
    <definedName name="_________bar1" hidden="1">{#N/A,#N/A,FALSE,"GERAL";#N/A,#N/A,FALSE,"012-96";#N/A,#N/A,FALSE,"018-96";#N/A,#N/A,FALSE,"027-96";#N/A,#N/A,FALSE,"059-96";#N/A,#N/A,FALSE,"076-96";#N/A,#N/A,FALSE,"019-97";#N/A,#N/A,FALSE,"021-97";#N/A,#N/A,FALSE,"022-97";#N/A,#N/A,FALSE,"028-97"}</definedName>
    <definedName name="_________dat1" localSheetId="0">#REF!</definedName>
    <definedName name="_________dat1">#REF!</definedName>
    <definedName name="_________dat2" localSheetId="0">#REF!</definedName>
    <definedName name="_________dat2">#REF!</definedName>
    <definedName name="_________DAT3" localSheetId="0">#REF!</definedName>
    <definedName name="_________DAT3">#REF!</definedName>
    <definedName name="_________FOL1" localSheetId="0">#REF!</definedName>
    <definedName name="_________FOL1">#REF!</definedName>
    <definedName name="_________FOL2" localSheetId="0">#REF!</definedName>
    <definedName name="_________FOL2">#REF!</definedName>
    <definedName name="_________FOL3">#N/A</definedName>
    <definedName name="_________FOL4">#N/A</definedName>
    <definedName name="_________FR2" localSheetId="0" hidden="1">{#N/A,#N/A,FALSE,"GERAL";#N/A,#N/A,FALSE,"012-96";#N/A,#N/A,FALSE,"018-96";#N/A,#N/A,FALSE,"027-96";#N/A,#N/A,FALSE,"059-96";#N/A,#N/A,FALSE,"076-96";#N/A,#N/A,FALSE,"019-97";#N/A,#N/A,FALSE,"021-97";#N/A,#N/A,FALSE,"022-97";#N/A,#N/A,FALSE,"028-97"}</definedName>
    <definedName name="_________FR2" localSheetId="2" hidden="1">{#N/A,#N/A,FALSE,"GERAL";#N/A,#N/A,FALSE,"012-96";#N/A,#N/A,FALSE,"018-96";#N/A,#N/A,FALSE,"027-96";#N/A,#N/A,FALSE,"059-96";#N/A,#N/A,FALSE,"076-96";#N/A,#N/A,FALSE,"019-97";#N/A,#N/A,FALSE,"021-97";#N/A,#N/A,FALSE,"022-97";#N/A,#N/A,FALSE,"028-97"}</definedName>
    <definedName name="_________FR2" hidden="1">{#N/A,#N/A,FALSE,"GERAL";#N/A,#N/A,FALSE,"012-96";#N/A,#N/A,FALSE,"018-96";#N/A,#N/A,FALSE,"027-96";#N/A,#N/A,FALSE,"059-96";#N/A,#N/A,FALSE,"076-96";#N/A,#N/A,FALSE,"019-97";#N/A,#N/A,FALSE,"021-97";#N/A,#N/A,FALSE,"022-97";#N/A,#N/A,FALSE,"028-97"}</definedName>
    <definedName name="_________IMP2" localSheetId="0">#REF!</definedName>
    <definedName name="_________IMP2">#REF!</definedName>
    <definedName name="_________mm1" localSheetId="0">#REF!</definedName>
    <definedName name="_________mm1" localSheetId="2">QQP!_________mm1</definedName>
    <definedName name="_________mm1">#REF!</definedName>
    <definedName name="_________PO1" localSheetId="0">#REF!</definedName>
    <definedName name="_________PO1" localSheetId="2">#REF!</definedName>
    <definedName name="_________PO1">#REF!</definedName>
    <definedName name="_________PO2" localSheetId="0">#REF!</definedName>
    <definedName name="_________PO2" localSheetId="2">#REF!</definedName>
    <definedName name="_________PO2">#REF!</definedName>
    <definedName name="_________R" localSheetId="0">#REF!</definedName>
    <definedName name="_________R">#REF!</definedName>
    <definedName name="________494_17" localSheetId="0">#REF!</definedName>
    <definedName name="________494_17">#REF!</definedName>
    <definedName name="________dat1" localSheetId="0">#REF!</definedName>
    <definedName name="________dat1">#REF!</definedName>
    <definedName name="________dat2" localSheetId="0">#REF!</definedName>
    <definedName name="________dat2">#REF!</definedName>
    <definedName name="________DAT3" localSheetId="0">#REF!</definedName>
    <definedName name="________DAT3">#REF!</definedName>
    <definedName name="________FOL1" localSheetId="0">#REF!</definedName>
    <definedName name="________FOL1">#REF!</definedName>
    <definedName name="________FOL2" localSheetId="0">#REF!</definedName>
    <definedName name="________FOL2">#REF!</definedName>
    <definedName name="________FOL3">#N/A</definedName>
    <definedName name="________FOL4">#N/A</definedName>
    <definedName name="________FR2" localSheetId="0" hidden="1">{#N/A,#N/A,FALSE,"GERAL";#N/A,#N/A,FALSE,"012-96";#N/A,#N/A,FALSE,"018-96";#N/A,#N/A,FALSE,"027-96";#N/A,#N/A,FALSE,"059-96";#N/A,#N/A,FALSE,"076-96";#N/A,#N/A,FALSE,"019-97";#N/A,#N/A,FALSE,"021-97";#N/A,#N/A,FALSE,"022-97";#N/A,#N/A,FALSE,"028-97"}</definedName>
    <definedName name="________FR2" localSheetId="2" hidden="1">{#N/A,#N/A,FALSE,"GERAL";#N/A,#N/A,FALSE,"012-96";#N/A,#N/A,FALSE,"018-96";#N/A,#N/A,FALSE,"027-96";#N/A,#N/A,FALSE,"059-96";#N/A,#N/A,FALSE,"076-96";#N/A,#N/A,FALSE,"019-97";#N/A,#N/A,FALSE,"021-97";#N/A,#N/A,FALSE,"022-97";#N/A,#N/A,FALSE,"028-97"}</definedName>
    <definedName name="________FR2" hidden="1">{#N/A,#N/A,FALSE,"GERAL";#N/A,#N/A,FALSE,"012-96";#N/A,#N/A,FALSE,"018-96";#N/A,#N/A,FALSE,"027-96";#N/A,#N/A,FALSE,"059-96";#N/A,#N/A,FALSE,"076-96";#N/A,#N/A,FALSE,"019-97";#N/A,#N/A,FALSE,"021-97";#N/A,#N/A,FALSE,"022-97";#N/A,#N/A,FALSE,"028-97"}</definedName>
    <definedName name="________IMP2" localSheetId="0">#REF!</definedName>
    <definedName name="________IMP2">#REF!</definedName>
    <definedName name="________mm1" localSheetId="0">#REF!</definedName>
    <definedName name="________mm1" localSheetId="2">QQP!________mm1</definedName>
    <definedName name="________mm1">#REF!</definedName>
    <definedName name="________PO1" localSheetId="0">#REF!</definedName>
    <definedName name="________PO1" localSheetId="2">#REF!</definedName>
    <definedName name="________PO1">#REF!</definedName>
    <definedName name="________PO2" localSheetId="0">#REF!</definedName>
    <definedName name="________PO2" localSheetId="2">#REF!</definedName>
    <definedName name="________PO2">#REF!</definedName>
    <definedName name="________R" localSheetId="0">#REF!</definedName>
    <definedName name="________R">#REF!</definedName>
    <definedName name="_______494_17" localSheetId="0">#REF!</definedName>
    <definedName name="_______494_17">#REF!</definedName>
    <definedName name="_______bar1" localSheetId="0" hidden="1">{#N/A,#N/A,FALSE,"GERAL";#N/A,#N/A,FALSE,"012-96";#N/A,#N/A,FALSE,"018-96";#N/A,#N/A,FALSE,"027-96";#N/A,#N/A,FALSE,"059-96";#N/A,#N/A,FALSE,"076-96";#N/A,#N/A,FALSE,"019-97";#N/A,#N/A,FALSE,"021-97";#N/A,#N/A,FALSE,"022-97";#N/A,#N/A,FALSE,"028-97"}</definedName>
    <definedName name="_______bar1" localSheetId="2" hidden="1">{#N/A,#N/A,FALSE,"GERAL";#N/A,#N/A,FALSE,"012-96";#N/A,#N/A,FALSE,"018-96";#N/A,#N/A,FALSE,"027-96";#N/A,#N/A,FALSE,"059-96";#N/A,#N/A,FALSE,"076-96";#N/A,#N/A,FALSE,"019-97";#N/A,#N/A,FALSE,"021-97";#N/A,#N/A,FALSE,"022-97";#N/A,#N/A,FALSE,"028-97"}</definedName>
    <definedName name="_______bar1" hidden="1">{#N/A,#N/A,FALSE,"GERAL";#N/A,#N/A,FALSE,"012-96";#N/A,#N/A,FALSE,"018-96";#N/A,#N/A,FALSE,"027-96";#N/A,#N/A,FALSE,"059-96";#N/A,#N/A,FALSE,"076-96";#N/A,#N/A,FALSE,"019-97";#N/A,#N/A,FALSE,"021-97";#N/A,#N/A,FALSE,"022-97";#N/A,#N/A,FALSE,"028-97"}</definedName>
    <definedName name="_______dat1" localSheetId="0">#REF!</definedName>
    <definedName name="_______dat1">#REF!</definedName>
    <definedName name="_______dat2" localSheetId="0">#REF!</definedName>
    <definedName name="_______dat2">#REF!</definedName>
    <definedName name="_______DAT3" localSheetId="0">#REF!</definedName>
    <definedName name="_______DAT3">#REF!</definedName>
    <definedName name="_______FOL1" localSheetId="0">#REF!</definedName>
    <definedName name="_______FOL1">#REF!</definedName>
    <definedName name="_______FOL2" localSheetId="0">#REF!</definedName>
    <definedName name="_______FOL2">#REF!</definedName>
    <definedName name="_______FOL3">#N/A</definedName>
    <definedName name="_______FOL4">#N/A</definedName>
    <definedName name="_______FR2" localSheetId="0" hidden="1">{#N/A,#N/A,FALSE,"GERAL";#N/A,#N/A,FALSE,"012-96";#N/A,#N/A,FALSE,"018-96";#N/A,#N/A,FALSE,"027-96";#N/A,#N/A,FALSE,"059-96";#N/A,#N/A,FALSE,"076-96";#N/A,#N/A,FALSE,"019-97";#N/A,#N/A,FALSE,"021-97";#N/A,#N/A,FALSE,"022-97";#N/A,#N/A,FALSE,"028-97"}</definedName>
    <definedName name="_______FR2" localSheetId="2" hidden="1">{#N/A,#N/A,FALSE,"GERAL";#N/A,#N/A,FALSE,"012-96";#N/A,#N/A,FALSE,"018-96";#N/A,#N/A,FALSE,"027-96";#N/A,#N/A,FALSE,"059-96";#N/A,#N/A,FALSE,"076-96";#N/A,#N/A,FALSE,"019-97";#N/A,#N/A,FALSE,"021-97";#N/A,#N/A,FALSE,"022-97";#N/A,#N/A,FALSE,"028-97"}</definedName>
    <definedName name="_______FR2" hidden="1">{#N/A,#N/A,FALSE,"GERAL";#N/A,#N/A,FALSE,"012-96";#N/A,#N/A,FALSE,"018-96";#N/A,#N/A,FALSE,"027-96";#N/A,#N/A,FALSE,"059-96";#N/A,#N/A,FALSE,"076-96";#N/A,#N/A,FALSE,"019-97";#N/A,#N/A,FALSE,"021-97";#N/A,#N/A,FALSE,"022-97";#N/A,#N/A,FALSE,"028-97"}</definedName>
    <definedName name="_______IMP2" localSheetId="0">#REF!</definedName>
    <definedName name="_______IMP2">#REF!</definedName>
    <definedName name="_______mm1" localSheetId="0">#REF!</definedName>
    <definedName name="_______mm1" localSheetId="2">QQP!_______mm1</definedName>
    <definedName name="_______mm1">#REF!</definedName>
    <definedName name="_______PO1" localSheetId="0">#REF!</definedName>
    <definedName name="_______PO1" localSheetId="2">#REF!</definedName>
    <definedName name="_______PO1">#REF!</definedName>
    <definedName name="_______PO2" localSheetId="0">#REF!</definedName>
    <definedName name="_______PO2" localSheetId="2">#REF!</definedName>
    <definedName name="_______PO2">#REF!</definedName>
    <definedName name="_______R" localSheetId="0">#REF!</definedName>
    <definedName name="_______R">#REF!</definedName>
    <definedName name="______494_17" localSheetId="0">#REF!</definedName>
    <definedName name="______494_17">#REF!</definedName>
    <definedName name="______bar1" localSheetId="0" hidden="1">{#N/A,#N/A,FALSE,"GERAL";#N/A,#N/A,FALSE,"012-96";#N/A,#N/A,FALSE,"018-96";#N/A,#N/A,FALSE,"027-96";#N/A,#N/A,FALSE,"059-96";#N/A,#N/A,FALSE,"076-96";#N/A,#N/A,FALSE,"019-97";#N/A,#N/A,FALSE,"021-97";#N/A,#N/A,FALSE,"022-97";#N/A,#N/A,FALSE,"028-97"}</definedName>
    <definedName name="______bar1" localSheetId="2" hidden="1">{#N/A,#N/A,FALSE,"GERAL";#N/A,#N/A,FALSE,"012-96";#N/A,#N/A,FALSE,"018-96";#N/A,#N/A,FALSE,"027-96";#N/A,#N/A,FALSE,"059-96";#N/A,#N/A,FALSE,"076-96";#N/A,#N/A,FALSE,"019-97";#N/A,#N/A,FALSE,"021-97";#N/A,#N/A,FALSE,"022-97";#N/A,#N/A,FALSE,"028-97"}</definedName>
    <definedName name="______bar1" hidden="1">{#N/A,#N/A,FALSE,"GERAL";#N/A,#N/A,FALSE,"012-96";#N/A,#N/A,FALSE,"018-96";#N/A,#N/A,FALSE,"027-96";#N/A,#N/A,FALSE,"059-96";#N/A,#N/A,FALSE,"076-96";#N/A,#N/A,FALSE,"019-97";#N/A,#N/A,FALSE,"021-97";#N/A,#N/A,FALSE,"022-97";#N/A,#N/A,FALSE,"028-97"}</definedName>
    <definedName name="______dat1" localSheetId="0">#REF!</definedName>
    <definedName name="______dat1">#REF!</definedName>
    <definedName name="______DAT10" localSheetId="0">#REF!</definedName>
    <definedName name="______DAT10">#REF!</definedName>
    <definedName name="______DAT11" localSheetId="0">#REF!</definedName>
    <definedName name="______DAT11">#REF!</definedName>
    <definedName name="______DAT12" localSheetId="0">#REF!</definedName>
    <definedName name="______DAT12">#REF!</definedName>
    <definedName name="______DAT13" localSheetId="0">#REF!</definedName>
    <definedName name="______DAT13">#REF!</definedName>
    <definedName name="______DAT14" localSheetId="0">#REF!</definedName>
    <definedName name="______DAT14">#REF!</definedName>
    <definedName name="______DAT15" localSheetId="0">#REF!</definedName>
    <definedName name="______DAT15">#REF!</definedName>
    <definedName name="______DAT16" localSheetId="0">#REF!</definedName>
    <definedName name="______DAT16">#REF!</definedName>
    <definedName name="______DAT17" localSheetId="0">#REF!</definedName>
    <definedName name="______DAT17">#REF!</definedName>
    <definedName name="______DAT18" localSheetId="0">#REF!</definedName>
    <definedName name="______DAT18">#REF!</definedName>
    <definedName name="______DAT19" localSheetId="0">#REF!</definedName>
    <definedName name="______DAT19">#REF!</definedName>
    <definedName name="______dat2" localSheetId="0">#REF!</definedName>
    <definedName name="______dat2">#REF!</definedName>
    <definedName name="______DAT20" localSheetId="0">#REF!</definedName>
    <definedName name="______DAT20">#REF!</definedName>
    <definedName name="______DAT21" localSheetId="0">#REF!</definedName>
    <definedName name="______DAT21">#REF!</definedName>
    <definedName name="______DAT22" localSheetId="0">#REF!</definedName>
    <definedName name="______DAT22">#REF!</definedName>
    <definedName name="______DAT23" localSheetId="0">#REF!</definedName>
    <definedName name="______DAT23">#REF!</definedName>
    <definedName name="______DAT24" localSheetId="0">#REF!</definedName>
    <definedName name="______DAT24">#REF!</definedName>
    <definedName name="______DAT25" localSheetId="0">#REF!</definedName>
    <definedName name="______DAT25">#REF!</definedName>
    <definedName name="______DAT26" localSheetId="0">#REF!</definedName>
    <definedName name="______DAT26">#REF!</definedName>
    <definedName name="______DAT27" localSheetId="0">#REF!</definedName>
    <definedName name="______DAT27">#REF!</definedName>
    <definedName name="______DAT28" localSheetId="0">#REF!</definedName>
    <definedName name="______DAT28">#REF!</definedName>
    <definedName name="______DAT29" localSheetId="0">#REF!</definedName>
    <definedName name="______DAT29">#REF!</definedName>
    <definedName name="______DAT3" localSheetId="0">#REF!</definedName>
    <definedName name="______DAT3">#REF!</definedName>
    <definedName name="______DAT30" localSheetId="0">#REF!</definedName>
    <definedName name="______DAT30">#REF!</definedName>
    <definedName name="______DAT31" localSheetId="0">#REF!</definedName>
    <definedName name="______DAT31">#REF!</definedName>
    <definedName name="______DAT32" localSheetId="0">#REF!</definedName>
    <definedName name="______DAT32">#REF!</definedName>
    <definedName name="______DAT33" localSheetId="0">#REF!</definedName>
    <definedName name="______DAT33">#REF!</definedName>
    <definedName name="______DAT34" localSheetId="0">#REF!</definedName>
    <definedName name="______DAT34">#REF!</definedName>
    <definedName name="______DAT35" localSheetId="0">#REF!</definedName>
    <definedName name="______DAT35">#REF!</definedName>
    <definedName name="______DAT36" localSheetId="0">#REF!</definedName>
    <definedName name="______DAT36">#REF!</definedName>
    <definedName name="______DAT37" localSheetId="0">#REF!</definedName>
    <definedName name="______DAT37">#REF!</definedName>
    <definedName name="______DAT38" localSheetId="0">#REF!</definedName>
    <definedName name="______DAT38">#REF!</definedName>
    <definedName name="______DAT39" localSheetId="0">#REF!</definedName>
    <definedName name="______DAT39">#REF!</definedName>
    <definedName name="______DAT4" localSheetId="0">#REF!</definedName>
    <definedName name="______DAT4">#REF!</definedName>
    <definedName name="______DAT40" localSheetId="0">#REF!</definedName>
    <definedName name="______DAT40">#REF!</definedName>
    <definedName name="______DAT5" localSheetId="0">#REF!</definedName>
    <definedName name="______DAT5">#REF!</definedName>
    <definedName name="______DAT6" localSheetId="0">#REF!</definedName>
    <definedName name="______DAT6">#REF!</definedName>
    <definedName name="______DAT7" localSheetId="0">#REF!</definedName>
    <definedName name="______DAT7">#REF!</definedName>
    <definedName name="______DAT8" localSheetId="0">#REF!</definedName>
    <definedName name="______DAT8">#REF!</definedName>
    <definedName name="______DAT9" localSheetId="0">#REF!</definedName>
    <definedName name="______DAT9">#REF!</definedName>
    <definedName name="______F99000" localSheetId="0">#REF!</definedName>
    <definedName name="______F99000">#REF!</definedName>
    <definedName name="______FOL1" localSheetId="0">#REF!</definedName>
    <definedName name="______FOL1">#REF!</definedName>
    <definedName name="______FOL2" localSheetId="0">#REF!</definedName>
    <definedName name="______FOL2">#REF!</definedName>
    <definedName name="______FOL3">#N/A</definedName>
    <definedName name="______FOL4">#N/A</definedName>
    <definedName name="______FR2" localSheetId="0" hidden="1">{#N/A,#N/A,FALSE,"GERAL";#N/A,#N/A,FALSE,"012-96";#N/A,#N/A,FALSE,"018-96";#N/A,#N/A,FALSE,"027-96";#N/A,#N/A,FALSE,"059-96";#N/A,#N/A,FALSE,"076-96";#N/A,#N/A,FALSE,"019-97";#N/A,#N/A,FALSE,"021-97";#N/A,#N/A,FALSE,"022-97";#N/A,#N/A,FALSE,"028-97"}</definedName>
    <definedName name="______FR2" localSheetId="2" hidden="1">{#N/A,#N/A,FALSE,"GERAL";#N/A,#N/A,FALSE,"012-96";#N/A,#N/A,FALSE,"018-96";#N/A,#N/A,FALSE,"027-96";#N/A,#N/A,FALSE,"059-96";#N/A,#N/A,FALSE,"076-96";#N/A,#N/A,FALSE,"019-97";#N/A,#N/A,FALSE,"021-97";#N/A,#N/A,FALSE,"022-97";#N/A,#N/A,FALSE,"028-97"}</definedName>
    <definedName name="______FR2" hidden="1">{#N/A,#N/A,FALSE,"GERAL";#N/A,#N/A,FALSE,"012-96";#N/A,#N/A,FALSE,"018-96";#N/A,#N/A,FALSE,"027-96";#N/A,#N/A,FALSE,"059-96";#N/A,#N/A,FALSE,"076-96";#N/A,#N/A,FALSE,"019-97";#N/A,#N/A,FALSE,"021-97";#N/A,#N/A,FALSE,"022-97";#N/A,#N/A,FALSE,"028-97"}</definedName>
    <definedName name="______IMP2" localSheetId="0">#REF!</definedName>
    <definedName name="______IMP2">#REF!</definedName>
    <definedName name="______mm1" localSheetId="0">#REF!</definedName>
    <definedName name="______mm1" localSheetId="2">QQP!______mm1</definedName>
    <definedName name="______mm1">#REF!</definedName>
    <definedName name="______PO1" localSheetId="0">#REF!</definedName>
    <definedName name="______PO1" localSheetId="2">#REF!</definedName>
    <definedName name="______PO1">#REF!</definedName>
    <definedName name="______PO2" localSheetId="0">#REF!</definedName>
    <definedName name="______PO2" localSheetId="2">#REF!</definedName>
    <definedName name="______PO2">#REF!</definedName>
    <definedName name="______R" localSheetId="0">#REF!</definedName>
    <definedName name="______R">#REF!</definedName>
    <definedName name="_____494_17" localSheetId="0">#REF!</definedName>
    <definedName name="_____494_17">#REF!</definedName>
    <definedName name="_____bar1" localSheetId="0" hidden="1">{#N/A,#N/A,FALSE,"GERAL";#N/A,#N/A,FALSE,"012-96";#N/A,#N/A,FALSE,"018-96";#N/A,#N/A,FALSE,"027-96";#N/A,#N/A,FALSE,"059-96";#N/A,#N/A,FALSE,"076-96";#N/A,#N/A,FALSE,"019-97";#N/A,#N/A,FALSE,"021-97";#N/A,#N/A,FALSE,"022-97";#N/A,#N/A,FALSE,"028-97"}</definedName>
    <definedName name="_____bar1" localSheetId="2" hidden="1">{#N/A,#N/A,FALSE,"GERAL";#N/A,#N/A,FALSE,"012-96";#N/A,#N/A,FALSE,"018-96";#N/A,#N/A,FALSE,"027-96";#N/A,#N/A,FALSE,"059-96";#N/A,#N/A,FALSE,"076-96";#N/A,#N/A,FALSE,"019-97";#N/A,#N/A,FALSE,"021-97";#N/A,#N/A,FALSE,"022-97";#N/A,#N/A,FALSE,"028-97"}</definedName>
    <definedName name="_____bar1" hidden="1">{#N/A,#N/A,FALSE,"GERAL";#N/A,#N/A,FALSE,"012-96";#N/A,#N/A,FALSE,"018-96";#N/A,#N/A,FALSE,"027-96";#N/A,#N/A,FALSE,"059-96";#N/A,#N/A,FALSE,"076-96";#N/A,#N/A,FALSE,"019-97";#N/A,#N/A,FALSE,"021-97";#N/A,#N/A,FALSE,"022-97";#N/A,#N/A,FALSE,"028-97"}</definedName>
    <definedName name="_____dat1" localSheetId="0">#REF!</definedName>
    <definedName name="_____dat1">#REF!</definedName>
    <definedName name="_____DAT10" localSheetId="0">#REF!</definedName>
    <definedName name="_____DAT10">#REF!</definedName>
    <definedName name="_____DAT11" localSheetId="0">#REF!</definedName>
    <definedName name="_____DAT11">#REF!</definedName>
    <definedName name="_____DAT12" localSheetId="0">#REF!</definedName>
    <definedName name="_____DAT12">#REF!</definedName>
    <definedName name="_____DAT13" localSheetId="0">#REF!</definedName>
    <definedName name="_____DAT13">#REF!</definedName>
    <definedName name="_____DAT14" localSheetId="0">#REF!</definedName>
    <definedName name="_____DAT14">#REF!</definedName>
    <definedName name="_____DAT15" localSheetId="0">#REF!</definedName>
    <definedName name="_____DAT15">#REF!</definedName>
    <definedName name="_____DAT16" localSheetId="0">#REF!</definedName>
    <definedName name="_____DAT16">#REF!</definedName>
    <definedName name="_____DAT17" localSheetId="0">#REF!</definedName>
    <definedName name="_____DAT17">#REF!</definedName>
    <definedName name="_____DAT18" localSheetId="0">#REF!</definedName>
    <definedName name="_____DAT18">#REF!</definedName>
    <definedName name="_____DAT19" localSheetId="0">#REF!</definedName>
    <definedName name="_____DAT19">#REF!</definedName>
    <definedName name="_____dat2" localSheetId="0">#REF!</definedName>
    <definedName name="_____dat2">#REF!</definedName>
    <definedName name="_____DAT20" localSheetId="0">#REF!</definedName>
    <definedName name="_____DAT20">#REF!</definedName>
    <definedName name="_____DAT21" localSheetId="0">#REF!</definedName>
    <definedName name="_____DAT21">#REF!</definedName>
    <definedName name="_____DAT22" localSheetId="0">#REF!</definedName>
    <definedName name="_____DAT22">#REF!</definedName>
    <definedName name="_____DAT23" localSheetId="0">#REF!</definedName>
    <definedName name="_____DAT23">#REF!</definedName>
    <definedName name="_____DAT24" localSheetId="0">#REF!</definedName>
    <definedName name="_____DAT24">#REF!</definedName>
    <definedName name="_____DAT25" localSheetId="0">#REF!</definedName>
    <definedName name="_____DAT25">#REF!</definedName>
    <definedName name="_____DAT26" localSheetId="0">#REF!</definedName>
    <definedName name="_____DAT26">#REF!</definedName>
    <definedName name="_____DAT27" localSheetId="0">#REF!</definedName>
    <definedName name="_____DAT27">#REF!</definedName>
    <definedName name="_____DAT28" localSheetId="0">#REF!</definedName>
    <definedName name="_____DAT28">#REF!</definedName>
    <definedName name="_____DAT29" localSheetId="0">#REF!</definedName>
    <definedName name="_____DAT29">#REF!</definedName>
    <definedName name="_____DAT3" localSheetId="0">#REF!</definedName>
    <definedName name="_____DAT3">#REF!</definedName>
    <definedName name="_____DAT30" localSheetId="0">#REF!</definedName>
    <definedName name="_____DAT30">#REF!</definedName>
    <definedName name="_____DAT31" localSheetId="0">#REF!</definedName>
    <definedName name="_____DAT31">#REF!</definedName>
    <definedName name="_____DAT32" localSheetId="0">#REF!</definedName>
    <definedName name="_____DAT32">#REF!</definedName>
    <definedName name="_____DAT33" localSheetId="0">#REF!</definedName>
    <definedName name="_____DAT33">#REF!</definedName>
    <definedName name="_____DAT34" localSheetId="0">#REF!</definedName>
    <definedName name="_____DAT34">#REF!</definedName>
    <definedName name="_____DAT35" localSheetId="0">#REF!</definedName>
    <definedName name="_____DAT35">#REF!</definedName>
    <definedName name="_____DAT36" localSheetId="0">#REF!</definedName>
    <definedName name="_____DAT36">#REF!</definedName>
    <definedName name="_____DAT37" localSheetId="0">#REF!</definedName>
    <definedName name="_____DAT37">#REF!</definedName>
    <definedName name="_____DAT38" localSheetId="0">#REF!</definedName>
    <definedName name="_____DAT38">#REF!</definedName>
    <definedName name="_____DAT39" localSheetId="0">#REF!</definedName>
    <definedName name="_____DAT39">#REF!</definedName>
    <definedName name="_____DAT4" localSheetId="0">#REF!</definedName>
    <definedName name="_____DAT4">#REF!</definedName>
    <definedName name="_____DAT40" localSheetId="0">#REF!</definedName>
    <definedName name="_____DAT40">#REF!</definedName>
    <definedName name="_____DAT41" localSheetId="0">#REF!</definedName>
    <definedName name="_____DAT41">#REF!</definedName>
    <definedName name="_____DAT42" localSheetId="0">#REF!</definedName>
    <definedName name="_____DAT42">#REF!</definedName>
    <definedName name="_____DAT43" localSheetId="0">#REF!</definedName>
    <definedName name="_____DAT43">#REF!</definedName>
    <definedName name="_____DAT44" localSheetId="0">#REF!</definedName>
    <definedName name="_____DAT44">#REF!</definedName>
    <definedName name="_____DAT5" localSheetId="0">#REF!</definedName>
    <definedName name="_____DAT5">#REF!</definedName>
    <definedName name="_____DAT6" localSheetId="0">#REF!</definedName>
    <definedName name="_____DAT6">#REF!</definedName>
    <definedName name="_____DAT7" localSheetId="0">#REF!</definedName>
    <definedName name="_____DAT7">#REF!</definedName>
    <definedName name="_____DAT8" localSheetId="0">#REF!</definedName>
    <definedName name="_____DAT8">#REF!</definedName>
    <definedName name="_____DAT9" localSheetId="0">#REF!</definedName>
    <definedName name="_____DAT9">#REF!</definedName>
    <definedName name="_____F99000" localSheetId="0">#REF!</definedName>
    <definedName name="_____F99000">#REF!</definedName>
    <definedName name="_____FOL1" localSheetId="0">#REF!</definedName>
    <definedName name="_____FOL1">#REF!</definedName>
    <definedName name="_____FOL2" localSheetId="0">#REF!</definedName>
    <definedName name="_____FOL2">#REF!</definedName>
    <definedName name="_____FOL3">#N/A</definedName>
    <definedName name="_____FOL4">#N/A</definedName>
    <definedName name="_____FR2" localSheetId="0" hidden="1">{#N/A,#N/A,FALSE,"GERAL";#N/A,#N/A,FALSE,"012-96";#N/A,#N/A,FALSE,"018-96";#N/A,#N/A,FALSE,"027-96";#N/A,#N/A,FALSE,"059-96";#N/A,#N/A,FALSE,"076-96";#N/A,#N/A,FALSE,"019-97";#N/A,#N/A,FALSE,"021-97";#N/A,#N/A,FALSE,"022-97";#N/A,#N/A,FALSE,"028-97"}</definedName>
    <definedName name="_____FR2" localSheetId="2" hidden="1">{#N/A,#N/A,FALSE,"GERAL";#N/A,#N/A,FALSE,"012-96";#N/A,#N/A,FALSE,"018-96";#N/A,#N/A,FALSE,"027-96";#N/A,#N/A,FALSE,"059-96";#N/A,#N/A,FALSE,"076-96";#N/A,#N/A,FALSE,"019-97";#N/A,#N/A,FALSE,"021-97";#N/A,#N/A,FALSE,"022-97";#N/A,#N/A,FALSE,"028-97"}</definedName>
    <definedName name="_____FR2" hidden="1">{#N/A,#N/A,FALSE,"GERAL";#N/A,#N/A,FALSE,"012-96";#N/A,#N/A,FALSE,"018-96";#N/A,#N/A,FALSE,"027-96";#N/A,#N/A,FALSE,"059-96";#N/A,#N/A,FALSE,"076-96";#N/A,#N/A,FALSE,"019-97";#N/A,#N/A,FALSE,"021-97";#N/A,#N/A,FALSE,"022-97";#N/A,#N/A,FALSE,"028-97"}</definedName>
    <definedName name="_____IMP2" localSheetId="0">#REF!</definedName>
    <definedName name="_____IMP2">#REF!</definedName>
    <definedName name="_____mm1" localSheetId="0">#REF!</definedName>
    <definedName name="_____mm1" localSheetId="2">QQP!_____mm1</definedName>
    <definedName name="_____mm1">#REF!</definedName>
    <definedName name="_____PO1" localSheetId="0">#REF!</definedName>
    <definedName name="_____PO1" localSheetId="2">#REF!</definedName>
    <definedName name="_____PO1">#REF!</definedName>
    <definedName name="_____PO2" localSheetId="0">#REF!</definedName>
    <definedName name="_____PO2" localSheetId="2">#REF!</definedName>
    <definedName name="_____PO2">#REF!</definedName>
    <definedName name="_____R" localSheetId="0">#REF!</definedName>
    <definedName name="_____R">#REF!</definedName>
    <definedName name="_____xlfn_IFERROR">#N/A</definedName>
    <definedName name="____494_17" localSheetId="0">#REF!</definedName>
    <definedName name="____494_17">#REF!</definedName>
    <definedName name="____bar1" localSheetId="0" hidden="1">{#N/A,#N/A,FALSE,"GERAL";#N/A,#N/A,FALSE,"012-96";#N/A,#N/A,FALSE,"018-96";#N/A,#N/A,FALSE,"027-96";#N/A,#N/A,FALSE,"059-96";#N/A,#N/A,FALSE,"076-96";#N/A,#N/A,FALSE,"019-97";#N/A,#N/A,FALSE,"021-97";#N/A,#N/A,FALSE,"022-97";#N/A,#N/A,FALSE,"028-97"}</definedName>
    <definedName name="____bar1" localSheetId="2" hidden="1">{#N/A,#N/A,FALSE,"GERAL";#N/A,#N/A,FALSE,"012-96";#N/A,#N/A,FALSE,"018-96";#N/A,#N/A,FALSE,"027-96";#N/A,#N/A,FALSE,"059-96";#N/A,#N/A,FALSE,"076-96";#N/A,#N/A,FALSE,"019-97";#N/A,#N/A,FALSE,"021-97";#N/A,#N/A,FALSE,"022-97";#N/A,#N/A,FALSE,"028-97"}</definedName>
    <definedName name="____bar1" hidden="1">{#N/A,#N/A,FALSE,"GERAL";#N/A,#N/A,FALSE,"012-96";#N/A,#N/A,FALSE,"018-96";#N/A,#N/A,FALSE,"027-96";#N/A,#N/A,FALSE,"059-96";#N/A,#N/A,FALSE,"076-96";#N/A,#N/A,FALSE,"019-97";#N/A,#N/A,FALSE,"021-97";#N/A,#N/A,FALSE,"022-97";#N/A,#N/A,FALSE,"028-97"}</definedName>
    <definedName name="____dat1" localSheetId="0">#REF!</definedName>
    <definedName name="____dat1">#REF!</definedName>
    <definedName name="____DAT10" localSheetId="0">#REF!</definedName>
    <definedName name="____DAT10">#REF!</definedName>
    <definedName name="____DAT11" localSheetId="0">#REF!</definedName>
    <definedName name="____DAT11">#REF!</definedName>
    <definedName name="____DAT12" localSheetId="0">#REF!</definedName>
    <definedName name="____DAT12">#REF!</definedName>
    <definedName name="____DAT13" localSheetId="0">#REF!</definedName>
    <definedName name="____DAT13">#REF!</definedName>
    <definedName name="____DAT14" localSheetId="0">#REF!</definedName>
    <definedName name="____DAT14">#REF!</definedName>
    <definedName name="____DAT15" localSheetId="0">#REF!</definedName>
    <definedName name="____DAT15">#REF!</definedName>
    <definedName name="____DAT16" localSheetId="0">#REF!</definedName>
    <definedName name="____DAT16">#REF!</definedName>
    <definedName name="____DAT17" localSheetId="0">#REF!</definedName>
    <definedName name="____DAT17">#REF!</definedName>
    <definedName name="____DAT18" localSheetId="0">#REF!</definedName>
    <definedName name="____DAT18">#REF!</definedName>
    <definedName name="____DAT19" localSheetId="0">#REF!</definedName>
    <definedName name="____DAT19">#REF!</definedName>
    <definedName name="____dat2" localSheetId="0">#REF!</definedName>
    <definedName name="____dat2">#REF!</definedName>
    <definedName name="____DAT20" localSheetId="0">#REF!</definedName>
    <definedName name="____DAT20">#REF!</definedName>
    <definedName name="____DAT21" localSheetId="0">#REF!</definedName>
    <definedName name="____DAT21">#REF!</definedName>
    <definedName name="____DAT22" localSheetId="0">#REF!</definedName>
    <definedName name="____DAT22">#REF!</definedName>
    <definedName name="____DAT23" localSheetId="0">#REF!</definedName>
    <definedName name="____DAT23">#REF!</definedName>
    <definedName name="____DAT24" localSheetId="0">#REF!</definedName>
    <definedName name="____DAT24">#REF!</definedName>
    <definedName name="____DAT25" localSheetId="0">#REF!</definedName>
    <definedName name="____DAT25">#REF!</definedName>
    <definedName name="____DAT26" localSheetId="0">#REF!</definedName>
    <definedName name="____DAT26">#REF!</definedName>
    <definedName name="____DAT27" localSheetId="0">#REF!</definedName>
    <definedName name="____DAT27">#REF!</definedName>
    <definedName name="____DAT28" localSheetId="0">#REF!</definedName>
    <definedName name="____DAT28">#REF!</definedName>
    <definedName name="____DAT29" localSheetId="0">#REF!</definedName>
    <definedName name="____DAT29">#REF!</definedName>
    <definedName name="____DAT3" localSheetId="0">#REF!</definedName>
    <definedName name="____DAT3">#REF!</definedName>
    <definedName name="____DAT30" localSheetId="0">#REF!</definedName>
    <definedName name="____DAT30">#REF!</definedName>
    <definedName name="____DAT31" localSheetId="0">#REF!</definedName>
    <definedName name="____DAT31">#REF!</definedName>
    <definedName name="____DAT32" localSheetId="0">#REF!</definedName>
    <definedName name="____DAT32">#REF!</definedName>
    <definedName name="____DAT33" localSheetId="0">#REF!</definedName>
    <definedName name="____DAT33">#REF!</definedName>
    <definedName name="____DAT34" localSheetId="0">#REF!</definedName>
    <definedName name="____DAT34">#REF!</definedName>
    <definedName name="____DAT35" localSheetId="0">#REF!</definedName>
    <definedName name="____DAT35">#REF!</definedName>
    <definedName name="____DAT36" localSheetId="0">#REF!</definedName>
    <definedName name="____DAT36">#REF!</definedName>
    <definedName name="____DAT37" localSheetId="0">#REF!</definedName>
    <definedName name="____DAT37">#REF!</definedName>
    <definedName name="____DAT38" localSheetId="0">#REF!</definedName>
    <definedName name="____DAT38">#REF!</definedName>
    <definedName name="____DAT39" localSheetId="0">#REF!</definedName>
    <definedName name="____DAT39">#REF!</definedName>
    <definedName name="____DAT4" localSheetId="0">#REF!</definedName>
    <definedName name="____DAT4">#REF!</definedName>
    <definedName name="____DAT40" localSheetId="0">#REF!</definedName>
    <definedName name="____DAT40">#REF!</definedName>
    <definedName name="____DAT41" localSheetId="0">#REF!</definedName>
    <definedName name="____DAT41">#REF!</definedName>
    <definedName name="____DAT42" localSheetId="0">#REF!</definedName>
    <definedName name="____DAT42">#REF!</definedName>
    <definedName name="____DAT43" localSheetId="0">#REF!</definedName>
    <definedName name="____DAT43">#REF!</definedName>
    <definedName name="____DAT44" localSheetId="0">#REF!</definedName>
    <definedName name="____DAT44">#REF!</definedName>
    <definedName name="____DAT5" localSheetId="0">#REF!</definedName>
    <definedName name="____DAT5">#REF!</definedName>
    <definedName name="____DAT6" localSheetId="0">#REF!</definedName>
    <definedName name="____DAT6">#REF!</definedName>
    <definedName name="____DAT7" localSheetId="0">#REF!</definedName>
    <definedName name="____DAT7">#REF!</definedName>
    <definedName name="____DAT8" localSheetId="0">#REF!</definedName>
    <definedName name="____DAT8">#REF!</definedName>
    <definedName name="____DAT9" localSheetId="0">#REF!</definedName>
    <definedName name="____DAT9">#REF!</definedName>
    <definedName name="____F99000" localSheetId="0">#REF!</definedName>
    <definedName name="____F99000">#REF!</definedName>
    <definedName name="____FOL1" localSheetId="0">#REF!</definedName>
    <definedName name="____FOL1">#REF!</definedName>
    <definedName name="____FOL2" localSheetId="0">#REF!</definedName>
    <definedName name="____FOL2">#REF!</definedName>
    <definedName name="____FOL3">#N/A</definedName>
    <definedName name="____FOL4">#N/A</definedName>
    <definedName name="____FR2" localSheetId="0" hidden="1">{#N/A,#N/A,FALSE,"GERAL";#N/A,#N/A,FALSE,"012-96";#N/A,#N/A,FALSE,"018-96";#N/A,#N/A,FALSE,"027-96";#N/A,#N/A,FALSE,"059-96";#N/A,#N/A,FALSE,"076-96";#N/A,#N/A,FALSE,"019-97";#N/A,#N/A,FALSE,"021-97";#N/A,#N/A,FALSE,"022-97";#N/A,#N/A,FALSE,"028-97"}</definedName>
    <definedName name="____FR2" localSheetId="2" hidden="1">{#N/A,#N/A,FALSE,"GERAL";#N/A,#N/A,FALSE,"012-96";#N/A,#N/A,FALSE,"018-96";#N/A,#N/A,FALSE,"027-96";#N/A,#N/A,FALSE,"059-96";#N/A,#N/A,FALSE,"076-96";#N/A,#N/A,FALSE,"019-97";#N/A,#N/A,FALSE,"021-97";#N/A,#N/A,FALSE,"022-97";#N/A,#N/A,FALSE,"028-97"}</definedName>
    <definedName name="____FR2" hidden="1">{#N/A,#N/A,FALSE,"GERAL";#N/A,#N/A,FALSE,"012-96";#N/A,#N/A,FALSE,"018-96";#N/A,#N/A,FALSE,"027-96";#N/A,#N/A,FALSE,"059-96";#N/A,#N/A,FALSE,"076-96";#N/A,#N/A,FALSE,"019-97";#N/A,#N/A,FALSE,"021-97";#N/A,#N/A,FALSE,"022-97";#N/A,#N/A,FALSE,"028-97"}</definedName>
    <definedName name="____IMP2" localSheetId="0">#REF!</definedName>
    <definedName name="____IMP2">#REF!</definedName>
    <definedName name="____mm1" localSheetId="0">#REF!</definedName>
    <definedName name="____mm1" localSheetId="2">QQP!____mm1</definedName>
    <definedName name="____mm1">#REF!</definedName>
    <definedName name="____PO1" localSheetId="0">#REF!</definedName>
    <definedName name="____PO1" localSheetId="2">#REF!</definedName>
    <definedName name="____PO1">#REF!</definedName>
    <definedName name="____PO2" localSheetId="0">#REF!</definedName>
    <definedName name="____PO2" localSheetId="2">#REF!</definedName>
    <definedName name="____PO2">#REF!</definedName>
    <definedName name="____R" localSheetId="0">#REF!</definedName>
    <definedName name="____R">#REF!</definedName>
    <definedName name="____xlfn_IFERROR">#N/A</definedName>
    <definedName name="___494_17" localSheetId="0">#REF!</definedName>
    <definedName name="___494_17">#REF!</definedName>
    <definedName name="___bar1" localSheetId="0" hidden="1">{#N/A,#N/A,FALSE,"GERAL";#N/A,#N/A,FALSE,"012-96";#N/A,#N/A,FALSE,"018-96";#N/A,#N/A,FALSE,"027-96";#N/A,#N/A,FALSE,"059-96";#N/A,#N/A,FALSE,"076-96";#N/A,#N/A,FALSE,"019-97";#N/A,#N/A,FALSE,"021-97";#N/A,#N/A,FALSE,"022-97";#N/A,#N/A,FALSE,"028-97"}</definedName>
    <definedName name="___bar1" localSheetId="2" hidden="1">{#N/A,#N/A,FALSE,"GERAL";#N/A,#N/A,FALSE,"012-96";#N/A,#N/A,FALSE,"018-96";#N/A,#N/A,FALSE,"027-96";#N/A,#N/A,FALSE,"059-96";#N/A,#N/A,FALSE,"076-96";#N/A,#N/A,FALSE,"019-97";#N/A,#N/A,FALSE,"021-97";#N/A,#N/A,FALSE,"022-97";#N/A,#N/A,FALSE,"028-97"}</definedName>
    <definedName name="___bar1" hidden="1">{#N/A,#N/A,FALSE,"GERAL";#N/A,#N/A,FALSE,"012-96";#N/A,#N/A,FALSE,"018-96";#N/A,#N/A,FALSE,"027-96";#N/A,#N/A,FALSE,"059-96";#N/A,#N/A,FALSE,"076-96";#N/A,#N/A,FALSE,"019-97";#N/A,#N/A,FALSE,"021-97";#N/A,#N/A,FALSE,"022-97";#N/A,#N/A,FALSE,"028-97"}</definedName>
    <definedName name="___dat1" localSheetId="0">#REF!</definedName>
    <definedName name="___dat1">#REF!</definedName>
    <definedName name="___DAT10" localSheetId="0">#REF!</definedName>
    <definedName name="___DAT10">#REF!</definedName>
    <definedName name="___DAT11" localSheetId="0">#REF!</definedName>
    <definedName name="___DAT11">#REF!</definedName>
    <definedName name="___DAT12" localSheetId="0">#REF!</definedName>
    <definedName name="___DAT12">#REF!</definedName>
    <definedName name="___DAT13" localSheetId="0">#REF!</definedName>
    <definedName name="___DAT13">#REF!</definedName>
    <definedName name="___DAT14" localSheetId="0">#REF!</definedName>
    <definedName name="___DAT14">#REF!</definedName>
    <definedName name="___DAT15" localSheetId="0">#REF!</definedName>
    <definedName name="___DAT15">#REF!</definedName>
    <definedName name="___DAT16" localSheetId="0">#REF!</definedName>
    <definedName name="___DAT16">#REF!</definedName>
    <definedName name="___DAT17" localSheetId="0">#REF!</definedName>
    <definedName name="___DAT17">#REF!</definedName>
    <definedName name="___DAT18" localSheetId="0">#REF!</definedName>
    <definedName name="___DAT18">#REF!</definedName>
    <definedName name="___DAT19" localSheetId="0">#REF!</definedName>
    <definedName name="___DAT19">#REF!</definedName>
    <definedName name="___dat2" localSheetId="0">#REF!</definedName>
    <definedName name="___dat2">#REF!</definedName>
    <definedName name="___DAT20" localSheetId="0">#REF!</definedName>
    <definedName name="___DAT20">#REF!</definedName>
    <definedName name="___DAT21" localSheetId="0">#REF!</definedName>
    <definedName name="___DAT21">#REF!</definedName>
    <definedName name="___DAT22" localSheetId="0">#REF!</definedName>
    <definedName name="___DAT22">#REF!</definedName>
    <definedName name="___DAT23" localSheetId="0">#REF!</definedName>
    <definedName name="___DAT23">#REF!</definedName>
    <definedName name="___DAT24" localSheetId="0">#REF!</definedName>
    <definedName name="___DAT24">#REF!</definedName>
    <definedName name="___DAT25" localSheetId="0">#REF!</definedName>
    <definedName name="___DAT25">#REF!</definedName>
    <definedName name="___DAT26" localSheetId="0">#REF!</definedName>
    <definedName name="___DAT26">#REF!</definedName>
    <definedName name="___DAT27" localSheetId="0">#REF!</definedName>
    <definedName name="___DAT27">#REF!</definedName>
    <definedName name="___DAT28" localSheetId="0">#REF!</definedName>
    <definedName name="___DAT28">#REF!</definedName>
    <definedName name="___DAT29" localSheetId="0">#REF!</definedName>
    <definedName name="___DAT29">#REF!</definedName>
    <definedName name="___DAT3" localSheetId="0">#REF!</definedName>
    <definedName name="___DAT3">#REF!</definedName>
    <definedName name="___DAT30" localSheetId="0">#REF!</definedName>
    <definedName name="___DAT30">#REF!</definedName>
    <definedName name="___DAT31" localSheetId="0">#REF!</definedName>
    <definedName name="___DAT31">#REF!</definedName>
    <definedName name="___DAT32" localSheetId="0">#REF!</definedName>
    <definedName name="___DAT32">#REF!</definedName>
    <definedName name="___DAT33" localSheetId="0">#REF!</definedName>
    <definedName name="___DAT33">#REF!</definedName>
    <definedName name="___DAT34" localSheetId="0">#REF!</definedName>
    <definedName name="___DAT34">#REF!</definedName>
    <definedName name="___DAT35" localSheetId="0">#REF!</definedName>
    <definedName name="___DAT35">#REF!</definedName>
    <definedName name="___DAT36" localSheetId="0">#REF!</definedName>
    <definedName name="___DAT36">#REF!</definedName>
    <definedName name="___DAT37" localSheetId="0">#REF!</definedName>
    <definedName name="___DAT37">#REF!</definedName>
    <definedName name="___DAT38" localSheetId="0">#REF!</definedName>
    <definedName name="___DAT38">#REF!</definedName>
    <definedName name="___DAT39" localSheetId="0">#REF!</definedName>
    <definedName name="___DAT39">#REF!</definedName>
    <definedName name="___DAT4" localSheetId="0">#REF!</definedName>
    <definedName name="___DAT4">#REF!</definedName>
    <definedName name="___DAT40" localSheetId="0">#REF!</definedName>
    <definedName name="___DAT40">#REF!</definedName>
    <definedName name="___DAT41" localSheetId="0">#REF!</definedName>
    <definedName name="___DAT41">#REF!</definedName>
    <definedName name="___DAT42" localSheetId="0">#REF!</definedName>
    <definedName name="___DAT42">#REF!</definedName>
    <definedName name="___DAT43" localSheetId="0">#REF!</definedName>
    <definedName name="___DAT43">#REF!</definedName>
    <definedName name="___DAT44" localSheetId="0">#REF!</definedName>
    <definedName name="___DAT44">#REF!</definedName>
    <definedName name="___DAT5" localSheetId="0">#REF!</definedName>
    <definedName name="___DAT5">#REF!</definedName>
    <definedName name="___DAT6" localSheetId="0">#REF!</definedName>
    <definedName name="___DAT6">#REF!</definedName>
    <definedName name="___DAT7" localSheetId="0">#REF!</definedName>
    <definedName name="___DAT7">#REF!</definedName>
    <definedName name="___DAT8" localSheetId="0">#REF!</definedName>
    <definedName name="___DAT8">#REF!</definedName>
    <definedName name="___DAT9" localSheetId="0">#REF!</definedName>
    <definedName name="___DAT9">#REF!</definedName>
    <definedName name="___F99000" localSheetId="0">#REF!</definedName>
    <definedName name="___F99000">#REF!</definedName>
    <definedName name="___FOL1" localSheetId="0">#REF!</definedName>
    <definedName name="___FOL1">#REF!</definedName>
    <definedName name="___FOL2" localSheetId="0">#REF!</definedName>
    <definedName name="___FOL2">#REF!</definedName>
    <definedName name="___FOL3">#N/A</definedName>
    <definedName name="___FOL4">#N/A</definedName>
    <definedName name="___FR2" localSheetId="0" hidden="1">{#N/A,#N/A,FALSE,"GERAL";#N/A,#N/A,FALSE,"012-96";#N/A,#N/A,FALSE,"018-96";#N/A,#N/A,FALSE,"027-96";#N/A,#N/A,FALSE,"059-96";#N/A,#N/A,FALSE,"076-96";#N/A,#N/A,FALSE,"019-97";#N/A,#N/A,FALSE,"021-97";#N/A,#N/A,FALSE,"022-97";#N/A,#N/A,FALSE,"028-97"}</definedName>
    <definedName name="___FR2" localSheetId="2" hidden="1">{#N/A,#N/A,FALSE,"GERAL";#N/A,#N/A,FALSE,"012-96";#N/A,#N/A,FALSE,"018-96";#N/A,#N/A,FALSE,"027-96";#N/A,#N/A,FALSE,"059-96";#N/A,#N/A,FALSE,"076-96";#N/A,#N/A,FALSE,"019-97";#N/A,#N/A,FALSE,"021-97";#N/A,#N/A,FALSE,"022-97";#N/A,#N/A,FALSE,"028-97"}</definedName>
    <definedName name="___FR2" hidden="1">{#N/A,#N/A,FALSE,"GERAL";#N/A,#N/A,FALSE,"012-96";#N/A,#N/A,FALSE,"018-96";#N/A,#N/A,FALSE,"027-96";#N/A,#N/A,FALSE,"059-96";#N/A,#N/A,FALSE,"076-96";#N/A,#N/A,FALSE,"019-97";#N/A,#N/A,FALSE,"021-97";#N/A,#N/A,FALSE,"022-97";#N/A,#N/A,FALSE,"028-97"}</definedName>
    <definedName name="___IMP2" localSheetId="0">#REF!</definedName>
    <definedName name="___IMP2">#REF!</definedName>
    <definedName name="___ltf2" localSheetId="0" hidden="1">#REF!</definedName>
    <definedName name="___ltf2" hidden="1">#REF!</definedName>
    <definedName name="___mm1" localSheetId="0">#REF!</definedName>
    <definedName name="___mm1" localSheetId="2">QQP!___mm1</definedName>
    <definedName name="___mm1">#REF!</definedName>
    <definedName name="___oe1" localSheetId="0">#REF!</definedName>
    <definedName name="___oe1" localSheetId="2">#REF!</definedName>
    <definedName name="___oe1">#REF!</definedName>
    <definedName name="___PO1" localSheetId="0">#REF!</definedName>
    <definedName name="___PO1" localSheetId="2">#REF!</definedName>
    <definedName name="___PO1">#REF!</definedName>
    <definedName name="___PO2" localSheetId="0">#REF!</definedName>
    <definedName name="___PO2">#REF!</definedName>
    <definedName name="___R" localSheetId="0">#REF!</definedName>
    <definedName name="___R">#REF!</definedName>
    <definedName name="___RBR1" localSheetId="0">#REF!</definedName>
    <definedName name="___RBR1">#REF!</definedName>
    <definedName name="___RBR2" localSheetId="0">#REF!</definedName>
    <definedName name="___RBR2">#REF!</definedName>
    <definedName name="___RCA1" localSheetId="0">#REF!</definedName>
    <definedName name="___RCA1">#REF!</definedName>
    <definedName name="___RCA2" localSheetId="0">#REF!</definedName>
    <definedName name="___RCA2">#REF!</definedName>
    <definedName name="___tab1" localSheetId="0">#REF!</definedName>
    <definedName name="___tab1">#REF!</definedName>
    <definedName name="___ti1" localSheetId="0">#REF!</definedName>
    <definedName name="___ti1">#REF!</definedName>
    <definedName name="___TOT1" localSheetId="0">#REF!</definedName>
    <definedName name="___TOT1">#REF!</definedName>
    <definedName name="___TOT2" localSheetId="0">#REF!</definedName>
    <definedName name="___TOT2">#REF!</definedName>
    <definedName name="___TOT3">#REF!</definedName>
    <definedName name="___TOT4">#REF!</definedName>
    <definedName name="___TOT5">#REF!</definedName>
    <definedName name="___TOT6">#REF!</definedName>
    <definedName name="___TOT7">#REF!</definedName>
    <definedName name="___xlfn_IFERROR">#N/A</definedName>
    <definedName name="__1__Excel_BuiltIn_Print_Area_1_1_1" localSheetId="0">#REF!</definedName>
    <definedName name="__1__Excel_BuiltIn_Print_Area_1_1_1">#REF!</definedName>
    <definedName name="__1_494_17" localSheetId="0">#REF!</definedName>
    <definedName name="__1_494_17">#REF!</definedName>
    <definedName name="__123Graph_A" localSheetId="0" hidden="1">#REF!</definedName>
    <definedName name="__123Graph_A" hidden="1">#REF!</definedName>
    <definedName name="__123Graph_X" localSheetId="0" hidden="1">#REF!</definedName>
    <definedName name="__123Graph_X" hidden="1">#REF!</definedName>
    <definedName name="__2Excel_BuiltIn_Print_Area_1_1_1" localSheetId="0">#REF!</definedName>
    <definedName name="__2Excel_BuiltIn_Print_Area_1_1_1">#REF!</definedName>
    <definedName name="__494_17" localSheetId="0">#REF!</definedName>
    <definedName name="__494_17">#REF!</definedName>
    <definedName name="__4Excel_BuiltIn_Print_Area_1_1_1" localSheetId="0">#REF!</definedName>
    <definedName name="__4Excel_BuiltIn_Print_Area_1_1_1">#REF!</definedName>
    <definedName name="__A92700" localSheetId="0">#REF!</definedName>
    <definedName name="__A92700">#REF!</definedName>
    <definedName name="__bar1" localSheetId="0" hidden="1">{#N/A,#N/A,FALSE,"GERAL";#N/A,#N/A,FALSE,"012-96";#N/A,#N/A,FALSE,"018-96";#N/A,#N/A,FALSE,"027-96";#N/A,#N/A,FALSE,"059-96";#N/A,#N/A,FALSE,"076-96";#N/A,#N/A,FALSE,"019-97";#N/A,#N/A,FALSE,"021-97";#N/A,#N/A,FALSE,"022-97";#N/A,#N/A,FALSE,"028-97"}</definedName>
    <definedName name="__bar1" localSheetId="2" hidden="1">{#N/A,#N/A,FALSE,"GERAL";#N/A,#N/A,FALSE,"012-96";#N/A,#N/A,FALSE,"018-96";#N/A,#N/A,FALSE,"027-96";#N/A,#N/A,FALSE,"059-96";#N/A,#N/A,FALSE,"076-96";#N/A,#N/A,FALSE,"019-97";#N/A,#N/A,FALSE,"021-97";#N/A,#N/A,FALSE,"022-97";#N/A,#N/A,FALSE,"028-97"}</definedName>
    <definedName name="__bar1" hidden="1">{#N/A,#N/A,FALSE,"GERAL";#N/A,#N/A,FALSE,"012-96";#N/A,#N/A,FALSE,"018-96";#N/A,#N/A,FALSE,"027-96";#N/A,#N/A,FALSE,"059-96";#N/A,#N/A,FALSE,"076-96";#N/A,#N/A,FALSE,"019-97";#N/A,#N/A,FALSE,"021-97";#N/A,#N/A,FALSE,"022-97";#N/A,#N/A,FALSE,"028-97"}</definedName>
    <definedName name="__DAT1" localSheetId="0">#REF!</definedName>
    <definedName name="__DAT1">#REF!</definedName>
    <definedName name="__DAT10" localSheetId="0">#REF!</definedName>
    <definedName name="__DAT10">#REF!</definedName>
    <definedName name="__DAT11" localSheetId="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19">#REF!</definedName>
    <definedName name="__DAT2">#REF!</definedName>
    <definedName name="__DAT20">#REF!</definedName>
    <definedName name="__DAT21">#REF!</definedName>
    <definedName name="__DAT22">#REF!</definedName>
    <definedName name="__DAT23">#REF!</definedName>
    <definedName name="__DAT24">#REF!</definedName>
    <definedName name="__DAT25">#REF!</definedName>
    <definedName name="__DAT26" localSheetId="0">#REF!</definedName>
    <definedName name="__DAT26">#REF!</definedName>
    <definedName name="__DAT27" localSheetId="0">#REF!</definedName>
    <definedName name="__DAT27">#REF!</definedName>
    <definedName name="__DAT28" localSheetId="0">#REF!</definedName>
    <definedName name="__DAT28">#REF!</definedName>
    <definedName name="__DAT29" localSheetId="0">#REF!</definedName>
    <definedName name="__DAT29">#REF!</definedName>
    <definedName name="__DAT3">#REF!</definedName>
    <definedName name="__DAT30" localSheetId="0">#REF!</definedName>
    <definedName name="__DAT30">#REF!</definedName>
    <definedName name="__DAT31" localSheetId="0">#REF!</definedName>
    <definedName name="__DAT31">#REF!</definedName>
    <definedName name="__DAT32" localSheetId="0">#REF!</definedName>
    <definedName name="__DAT32">#REF!</definedName>
    <definedName name="__DAT33" localSheetId="0">#REF!</definedName>
    <definedName name="__DAT33">#REF!</definedName>
    <definedName name="__DAT34" localSheetId="0">#REF!</definedName>
    <definedName name="__DAT34">#REF!</definedName>
    <definedName name="__DAT35" localSheetId="0">#REF!</definedName>
    <definedName name="__DAT35">#REF!</definedName>
    <definedName name="__DAT36" localSheetId="0">#REF!</definedName>
    <definedName name="__DAT36">#REF!</definedName>
    <definedName name="__DAT37" localSheetId="0">#REF!</definedName>
    <definedName name="__DAT37">#REF!</definedName>
    <definedName name="__DAT38" localSheetId="0">#REF!</definedName>
    <definedName name="__DAT38">#REF!</definedName>
    <definedName name="__DAT39" localSheetId="0">#REF!</definedName>
    <definedName name="__DAT39">#REF!</definedName>
    <definedName name="__DAT4">#REF!</definedName>
    <definedName name="__DAT40" localSheetId="0">#REF!</definedName>
    <definedName name="__DAT40">#REF!</definedName>
    <definedName name="__DAT41" localSheetId="0">#REF!</definedName>
    <definedName name="__DAT41">#REF!</definedName>
    <definedName name="__DAT42" localSheetId="0">#REF!</definedName>
    <definedName name="__DAT42">#REF!</definedName>
    <definedName name="__DAT43" localSheetId="0">#REF!</definedName>
    <definedName name="__DAT43">#REF!</definedName>
    <definedName name="__DAT44" localSheetId="0">#REF!</definedName>
    <definedName name="__DAT44">#REF!</definedName>
    <definedName name="__DAT5">#REF!</definedName>
    <definedName name="__DAT6">#REF!</definedName>
    <definedName name="__DAT7">#REF!</definedName>
    <definedName name="__DAT8">#REF!</definedName>
    <definedName name="__DAT9">#REF!</definedName>
    <definedName name="__F99000" localSheetId="0">#REF!</definedName>
    <definedName name="__F99000">#REF!</definedName>
    <definedName name="__FL1">#REF!</definedName>
    <definedName name="__FOL1" localSheetId="0">#REF!</definedName>
    <definedName name="__FOL1">#REF!</definedName>
    <definedName name="__FOL2" localSheetId="0">#REF!</definedName>
    <definedName name="__FOL2">#REF!</definedName>
    <definedName name="__FOL3">#N/A</definedName>
    <definedName name="__FOL4">#N/A</definedName>
    <definedName name="__FR2" localSheetId="0" hidden="1">{#N/A,#N/A,FALSE,"GERAL";#N/A,#N/A,FALSE,"012-96";#N/A,#N/A,FALSE,"018-96";#N/A,#N/A,FALSE,"027-96";#N/A,#N/A,FALSE,"059-96";#N/A,#N/A,FALSE,"076-96";#N/A,#N/A,FALSE,"019-97";#N/A,#N/A,FALSE,"021-97";#N/A,#N/A,FALSE,"022-97";#N/A,#N/A,FALSE,"028-97"}</definedName>
    <definedName name="__FR2" localSheetId="2" hidden="1">{#N/A,#N/A,FALSE,"GERAL";#N/A,#N/A,FALSE,"012-96";#N/A,#N/A,FALSE,"018-96";#N/A,#N/A,FALSE,"027-96";#N/A,#N/A,FALSE,"059-96";#N/A,#N/A,FALSE,"076-96";#N/A,#N/A,FALSE,"019-97";#N/A,#N/A,FALSE,"021-97";#N/A,#N/A,FALSE,"022-97";#N/A,#N/A,FALSE,"028-97"}</definedName>
    <definedName name="__FR2" hidden="1">{#N/A,#N/A,FALSE,"GERAL";#N/A,#N/A,FALSE,"012-96";#N/A,#N/A,FALSE,"018-96";#N/A,#N/A,FALSE,"027-96";#N/A,#N/A,FALSE,"059-96";#N/A,#N/A,FALSE,"076-96";#N/A,#N/A,FALSE,"019-97";#N/A,#N/A,FALSE,"021-97";#N/A,#N/A,FALSE,"022-97";#N/A,#N/A,FALSE,"028-97"}</definedName>
    <definedName name="__IMP2" localSheetId="0">#REF!</definedName>
    <definedName name="__IMP2">#REF!</definedName>
    <definedName name="__ltf2" localSheetId="0" hidden="1">#REF!</definedName>
    <definedName name="__ltf2" hidden="1">#REF!</definedName>
    <definedName name="__LU1" localSheetId="0">#REF!</definedName>
    <definedName name="__LU1">#REF!</definedName>
    <definedName name="__mm1" localSheetId="0">#REF!</definedName>
    <definedName name="__mm1" localSheetId="2">QQP!__mm1</definedName>
    <definedName name="__mm1">#REF!</definedName>
    <definedName name="__oe1" localSheetId="0">#REF!</definedName>
    <definedName name="__oe1" localSheetId="2">#REF!</definedName>
    <definedName name="__oe1">#REF!</definedName>
    <definedName name="__pA5" localSheetId="0">#REF!</definedName>
    <definedName name="__pA5">#REF!</definedName>
    <definedName name="__pA6" localSheetId="0">#REF!</definedName>
    <definedName name="__pA6">#REF!</definedName>
    <definedName name="__PO1" localSheetId="0">#REF!</definedName>
    <definedName name="__PO1">#REF!</definedName>
    <definedName name="__PO2" localSheetId="0">#REF!</definedName>
    <definedName name="__PO2">#REF!</definedName>
    <definedName name="__R" localSheetId="0">#REF!</definedName>
    <definedName name="__R">#REF!</definedName>
    <definedName name="__RBR1" localSheetId="0">#REF!</definedName>
    <definedName name="__RBR1">#REF!</definedName>
    <definedName name="__RBR2" localSheetId="0">#REF!</definedName>
    <definedName name="__RBR2">#REF!</definedName>
    <definedName name="__RCA1" localSheetId="0">#REF!</definedName>
    <definedName name="__RCA1">#REF!</definedName>
    <definedName name="__RCA2" localSheetId="0">#REF!</definedName>
    <definedName name="__RCA2">#REF!</definedName>
    <definedName name="__sap1403" localSheetId="0">#REF!</definedName>
    <definedName name="__sap1403">#REF!</definedName>
    <definedName name="__tab1" localSheetId="2">#REF!</definedName>
    <definedName name="__tab1">#REF!</definedName>
    <definedName name="__ti1" localSheetId="0">#REF!</definedName>
    <definedName name="__ti1">#REF!</definedName>
    <definedName name="__TOT1">#REF!</definedName>
    <definedName name="__TOT2">#REF!</definedName>
    <definedName name="__TOT3">#REF!</definedName>
    <definedName name="__TOT4">#REF!</definedName>
    <definedName name="__TOT5">#REF!</definedName>
    <definedName name="__TOT6">#REF!</definedName>
    <definedName name="__TOT7">#REF!</definedName>
    <definedName name="__xlfn_IFERROR">#N/A</definedName>
    <definedName name="_1" localSheetId="0">#REF!</definedName>
    <definedName name="_1">#REF!</definedName>
    <definedName name="_1__123Graph_ACHART_1" localSheetId="0" hidden="1">#REF!</definedName>
    <definedName name="_1__123Graph_ACHART_1" hidden="1">#REF!</definedName>
    <definedName name="_1__Excel_BuiltIn_Print_Area_1_1_1" localSheetId="0">#REF!</definedName>
    <definedName name="_1__Excel_BuiltIn_Print_Area_1_1_1">#REF!</definedName>
    <definedName name="_1_494_17" localSheetId="0">#REF!</definedName>
    <definedName name="_1_494_17">#REF!</definedName>
    <definedName name="_10Excel_BuiltIn_Print_Area_1_1_1" localSheetId="0">#REF!</definedName>
    <definedName name="_10Excel_BuiltIn_Print_Area_1_1_1">#REF!</definedName>
    <definedName name="_12Excel_BuiltIn_Print_Area_1_1_1" localSheetId="0">#REF!</definedName>
    <definedName name="_12Excel_BuiltIn_Print_Area_1_1_1">#REF!</definedName>
    <definedName name="_16.3___VEÍCULOS" localSheetId="0">#REF!</definedName>
    <definedName name="_16.3___VEÍCULOS">#REF!</definedName>
    <definedName name="_16.4___COMBÚSTIVEL" localSheetId="0">#REF!</definedName>
    <definedName name="_16.4___COMBÚSTIVEL">#REF!</definedName>
    <definedName name="_16.5___EQUIPAMENTOS_DE_ESCRITÓRIO" localSheetId="0">#REF!</definedName>
    <definedName name="_16.5___EQUIPAMENTOS_DE_ESCRITÓRIO">#REF!</definedName>
    <definedName name="_164">#N/A</definedName>
    <definedName name="_169">#N/A</definedName>
    <definedName name="_16Excel_BuiltIn_Print_Area_1_1_1" localSheetId="0">#REF!</definedName>
    <definedName name="_16Excel_BuiltIn_Print_Area_1_1_1">#REF!</definedName>
    <definedName name="_17.1_MENSALISTA" localSheetId="0">#REF!</definedName>
    <definedName name="_17.1_MENSALISTA">#REF!</definedName>
    <definedName name="_17.2___HORISTA" localSheetId="0">#REF!</definedName>
    <definedName name="_17.2___HORISTA">#REF!</definedName>
    <definedName name="_170">#N/A</definedName>
    <definedName name="_172">#N/A</definedName>
    <definedName name="_176">#N/A</definedName>
    <definedName name="_17602">#N/A</definedName>
    <definedName name="_177">#N/A</definedName>
    <definedName name="_18501">#N/A</definedName>
    <definedName name="_1Excel_BuiltIn_Print_Area_2_1_1_1_1_1_1" localSheetId="0">#REF!</definedName>
    <definedName name="_1Excel_BuiltIn_Print_Area_2_1_1_1_1_1_1">#REF!</definedName>
    <definedName name="_2" localSheetId="0">#REF!</definedName>
    <definedName name="_2">#REF!</definedName>
    <definedName name="_2__123Graph_ACHART_3" localSheetId="0" hidden="1">#REF!</definedName>
    <definedName name="_2__123Graph_ACHART_3" hidden="1">#REF!</definedName>
    <definedName name="_2_494_17" localSheetId="0">#REF!</definedName>
    <definedName name="_2_494_17">#REF!</definedName>
    <definedName name="_207">#N/A</definedName>
    <definedName name="_216">#N/A</definedName>
    <definedName name="_227">#N/A</definedName>
    <definedName name="_234">#N/A</definedName>
    <definedName name="_2Excel_BuiltIn_Print_Area_1_1_1" localSheetId="0">#REF!</definedName>
    <definedName name="_2Excel_BuiltIn_Print_Area_1_1_1">#REF!</definedName>
    <definedName name="_2ÿ_†_Ro" localSheetId="0">#REF!,#REF!,#REF!,#REF!,#REF!,#REF!</definedName>
    <definedName name="_2ÿ_†_Ro" localSheetId="2">#REF!,#REF!,#REF!,#REF!,#REF!,#REF!</definedName>
    <definedName name="_2ÿ_†_Ro">#REF!,#REF!,#REF!,#REF!,#REF!,#REF!</definedName>
    <definedName name="_3__123Graph_BCHART_1" localSheetId="0" hidden="1">#REF!</definedName>
    <definedName name="_3__123Graph_BCHART_1" hidden="1">#REF!</definedName>
    <definedName name="_3_494_17" localSheetId="0">#REF!</definedName>
    <definedName name="_3_494_17">#REF!</definedName>
    <definedName name="_3Excel_BuiltIn_Print_Area_1_1_1" localSheetId="0">#REF!</definedName>
    <definedName name="_3Excel_BuiltIn_Print_Area_1_1_1">#REF!</definedName>
    <definedName name="_4__123Graph_CCHART_1" localSheetId="0" hidden="1">#REF!</definedName>
    <definedName name="_4__123Graph_CCHART_1" hidden="1">#REF!</definedName>
    <definedName name="_4_000____0ÿ_†0Ro" localSheetId="0">#REF!,#REF!,#REF!,#REF!,#REF!,#REF!</definedName>
    <definedName name="_4_000____0ÿ_†0Ro" localSheetId="2">#REF!,#REF!,#REF!,#REF!,#REF!,#REF!</definedName>
    <definedName name="_4_000____0ÿ_†0Ro">#REF!,#REF!,#REF!,#REF!,#REF!,#REF!</definedName>
    <definedName name="_4_494_17" localSheetId="0">#REF!</definedName>
    <definedName name="_4_494_17">#REF!</definedName>
    <definedName name="_494_17" localSheetId="0">#REF!</definedName>
    <definedName name="_494_17">#REF!</definedName>
    <definedName name="_4Excel_BuiltIn_Print_Area_1_1_1" localSheetId="0">#REF!</definedName>
    <definedName name="_4Excel_BuiltIn_Print_Area_1_1_1">#REF!</definedName>
    <definedName name="_5__123Graph_DCHART_1" localSheetId="0" hidden="1">#REF!</definedName>
    <definedName name="_5__123Graph_DCHART_1" hidden="1">#REF!</definedName>
    <definedName name="_5_494_17" localSheetId="0">#REF!</definedName>
    <definedName name="_5_494_17">#REF!</definedName>
    <definedName name="_6__123Graph_ECHART_1" localSheetId="0" hidden="1">#REF!</definedName>
    <definedName name="_6__123Graph_ECHART_1" hidden="1">#REF!</definedName>
    <definedName name="_6_494_17" localSheetId="0">#REF!</definedName>
    <definedName name="_6_494_17">#REF!</definedName>
    <definedName name="_63" localSheetId="0">#REF!</definedName>
    <definedName name="_63" localSheetId="2">#REF!</definedName>
    <definedName name="_63">#REF!</definedName>
    <definedName name="_6Excel_BuiltIn_Print_Area_1_1_1" localSheetId="0">#REF!</definedName>
    <definedName name="_6Excel_BuiltIn_Print_Area_1_1_1">#REF!</definedName>
    <definedName name="_7__123Graph_FCHART_1" localSheetId="0" hidden="1">#REF!</definedName>
    <definedName name="_7__123Graph_FCHART_1" hidden="1">#REF!</definedName>
    <definedName name="_7Excel_BuiltIn_Print_Area_1_1_1" localSheetId="0">#REF!</definedName>
    <definedName name="_7Excel_BuiltIn_Print_Area_1_1_1">#REF!</definedName>
    <definedName name="_8__123Graph_XCHART_3" localSheetId="0" hidden="1">#REF!</definedName>
    <definedName name="_8__123Graph_XCHART_3" hidden="1">#REF!</definedName>
    <definedName name="_8_494_17" localSheetId="0">#REF!</definedName>
    <definedName name="_8_494_17">#REF!</definedName>
    <definedName name="_8Excel_BuiltIn_Print_Area_1_1_1" localSheetId="0">#REF!</definedName>
    <definedName name="_8Excel_BuiltIn_Print_Area_1_1_1">#REF!</definedName>
    <definedName name="_A92700" localSheetId="0">#REF!</definedName>
    <definedName name="_A92700">#REF!</definedName>
    <definedName name="_AmbTempMeanD" localSheetId="0">#REF!</definedName>
    <definedName name="_AmbTempMeanD">#REF!</definedName>
    <definedName name="_AmbTempMeanO" localSheetId="0">#REF!</definedName>
    <definedName name="_AmbTempMeanO">#REF!</definedName>
    <definedName name="_AmbTempMeanS" localSheetId="0">#REF!</definedName>
    <definedName name="_AmbTempMeanS">#REF!</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bar1" localSheetId="0" hidden="1">{#N/A,#N/A,FALSE,"GERAL";#N/A,#N/A,FALSE,"012-96";#N/A,#N/A,FALSE,"018-96";#N/A,#N/A,FALSE,"027-96";#N/A,#N/A,FALSE,"059-96";#N/A,#N/A,FALSE,"076-96";#N/A,#N/A,FALSE,"019-97";#N/A,#N/A,FALSE,"021-97";#N/A,#N/A,FALSE,"022-97";#N/A,#N/A,FALSE,"028-97"}</definedName>
    <definedName name="_bar1" localSheetId="2" hidden="1">{#N/A,#N/A,FALSE,"GERAL";#N/A,#N/A,FALSE,"012-96";#N/A,#N/A,FALSE,"018-96";#N/A,#N/A,FALSE,"027-96";#N/A,#N/A,FALSE,"059-96";#N/A,#N/A,FALSE,"076-96";#N/A,#N/A,FALSE,"019-97";#N/A,#N/A,FALSE,"021-97";#N/A,#N/A,FALSE,"022-97";#N/A,#N/A,FALSE,"028-97"}</definedName>
    <definedName name="_bar1" hidden="1">{#N/A,#N/A,FALSE,"GERAL";#N/A,#N/A,FALSE,"012-96";#N/A,#N/A,FALSE,"018-96";#N/A,#N/A,FALSE,"027-96";#N/A,#N/A,FALSE,"059-96";#N/A,#N/A,FALSE,"076-96";#N/A,#N/A,FALSE,"019-97";#N/A,#N/A,FALSE,"021-97";#N/A,#N/A,FALSE,"022-97";#N/A,#N/A,FALSE,"028-97"}</definedName>
    <definedName name="_BAS1" localSheetId="0">#REF!</definedName>
    <definedName name="_BAS1">#REF!</definedName>
    <definedName name="_C12" localSheetId="0">#REF!</definedName>
    <definedName name="_C12">#REF!</definedName>
    <definedName name="_cab1" localSheetId="0">#REF!</definedName>
    <definedName name="_cab1">#REF!</definedName>
    <definedName name="_cab2">#REF!</definedName>
    <definedName name="_CapToFreeboardD">#REF!</definedName>
    <definedName name="_CapToFreeboardO">#REF!</definedName>
    <definedName name="_CapToFreeboardS">#REF!</definedName>
    <definedName name="_CapToOverflowD">#REF!</definedName>
    <definedName name="_CapToOverflowO">#REF!</definedName>
    <definedName name="_CapToOverflowS">#REF!</definedName>
    <definedName name="_COM1180" localSheetId="0">#REF!</definedName>
    <definedName name="_COM1180">#REF!</definedName>
    <definedName name="_CPU" localSheetId="0">#REF!</definedName>
    <definedName name="_CPU">#REF!</definedName>
    <definedName name="_D50SizeD">#REF!</definedName>
    <definedName name="_D50SizeO">#REF!</definedName>
    <definedName name="_D50SizeS">#REF!</definedName>
    <definedName name="_DAT1">#REF!</definedName>
    <definedName name="_DAT10">#REF!</definedName>
    <definedName name="_DAT100" localSheetId="0">#REF!</definedName>
    <definedName name="_DAT10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 localSheetId="0">#REF!</definedName>
    <definedName name="_DAT26">#REF!</definedName>
    <definedName name="_DAT27" localSheetId="0">#REF!</definedName>
    <definedName name="_DAT27">#REF!</definedName>
    <definedName name="_DAT28" localSheetId="0">#REF!</definedName>
    <definedName name="_DAT28">#REF!</definedName>
    <definedName name="_DAT29" localSheetId="0">#REF!</definedName>
    <definedName name="_DAT29">#REF!</definedName>
    <definedName name="_DAT3">#REF!</definedName>
    <definedName name="_DAT30" localSheetId="0">#REF!</definedName>
    <definedName name="_DAT30">#REF!</definedName>
    <definedName name="_DAT31" localSheetId="0">#REF!</definedName>
    <definedName name="_DAT31">#REF!</definedName>
    <definedName name="_DAT32" localSheetId="0">#REF!</definedName>
    <definedName name="_DAT32">#REF!</definedName>
    <definedName name="_DAT33" localSheetId="0">#REF!</definedName>
    <definedName name="_DAT33">#REF!</definedName>
    <definedName name="_DAT34" localSheetId="0">#REF!</definedName>
    <definedName name="_DAT34">#REF!</definedName>
    <definedName name="_DAT35" localSheetId="0">#REF!</definedName>
    <definedName name="_DAT35">#REF!</definedName>
    <definedName name="_DAT36" localSheetId="0">#REF!</definedName>
    <definedName name="_DAT36">#REF!</definedName>
    <definedName name="_DAT37" localSheetId="0">#REF!</definedName>
    <definedName name="_DAT37">#REF!</definedName>
    <definedName name="_DAT38" localSheetId="0">#REF!</definedName>
    <definedName name="_DAT38">#REF!</definedName>
    <definedName name="_DAT39" localSheetId="0">#REF!</definedName>
    <definedName name="_DAT39">#REF!</definedName>
    <definedName name="_DAT4">#REF!</definedName>
    <definedName name="_DAT40" localSheetId="0">#REF!</definedName>
    <definedName name="_DAT40">#REF!</definedName>
    <definedName name="_DAT41" localSheetId="0">#REF!</definedName>
    <definedName name="_DAT41">#REF!</definedName>
    <definedName name="_DAT42" localSheetId="0">#REF!</definedName>
    <definedName name="_DAT42">#REF!</definedName>
    <definedName name="_DAT43" localSheetId="0">#REF!</definedName>
    <definedName name="_DAT43">#REF!</definedName>
    <definedName name="_DAT44" localSheetId="0">#REF!</definedName>
    <definedName name="_DAT44">#REF!</definedName>
    <definedName name="_DAT45" localSheetId="0">#REF!</definedName>
    <definedName name="_DAT45">#REF!</definedName>
    <definedName name="_DAT46" localSheetId="0">#REF!</definedName>
    <definedName name="_DAT46">#REF!</definedName>
    <definedName name="_DAT47" localSheetId="0">#REF!</definedName>
    <definedName name="_DAT47">#REF!</definedName>
    <definedName name="_DAT48" localSheetId="0">#REF!</definedName>
    <definedName name="_DAT48">#REF!</definedName>
    <definedName name="_DAT49" localSheetId="0">#REF!</definedName>
    <definedName name="_DAT49">#REF!</definedName>
    <definedName name="_DAT5">#REF!</definedName>
    <definedName name="_DAT50" localSheetId="0">#REF!</definedName>
    <definedName name="_DAT50">#REF!</definedName>
    <definedName name="_DAT51" localSheetId="0">#REF!</definedName>
    <definedName name="_DAT51">#REF!</definedName>
    <definedName name="_DAT52" localSheetId="0">#REF!</definedName>
    <definedName name="_DAT52">#REF!</definedName>
    <definedName name="_DAT53" localSheetId="0">#REF!</definedName>
    <definedName name="_DAT53">#REF!</definedName>
    <definedName name="_DAT54" localSheetId="0">#REF!</definedName>
    <definedName name="_DAT54">#REF!</definedName>
    <definedName name="_DAT55" localSheetId="0">#REF!</definedName>
    <definedName name="_DAT55">#REF!</definedName>
    <definedName name="_DAT56" localSheetId="0">#REF!</definedName>
    <definedName name="_DAT56">#REF!</definedName>
    <definedName name="_DAT57" localSheetId="0">#REF!</definedName>
    <definedName name="_DAT57">#REF!</definedName>
    <definedName name="_DAT58" localSheetId="0">#REF!</definedName>
    <definedName name="_DAT58">#REF!</definedName>
    <definedName name="_DAT59" localSheetId="0">#REF!</definedName>
    <definedName name="_DAT59">#REF!</definedName>
    <definedName name="_DAT6">#REF!</definedName>
    <definedName name="_DAT60" localSheetId="0">#REF!</definedName>
    <definedName name="_DAT60">#REF!</definedName>
    <definedName name="_DAT61" localSheetId="0">#REF!</definedName>
    <definedName name="_DAT61">#REF!</definedName>
    <definedName name="_DAT62" localSheetId="0">#REF!</definedName>
    <definedName name="_DAT62">#REF!</definedName>
    <definedName name="_DAT63" localSheetId="0">#REF!</definedName>
    <definedName name="_DAT63">#REF!</definedName>
    <definedName name="_DAT64" localSheetId="0">#REF!</definedName>
    <definedName name="_DAT64">#REF!</definedName>
    <definedName name="_DAT65" localSheetId="0">#REF!</definedName>
    <definedName name="_DAT65">#REF!</definedName>
    <definedName name="_DAT66" localSheetId="0">#REF!</definedName>
    <definedName name="_DAT66">#REF!</definedName>
    <definedName name="_DAT67" localSheetId="0">#REF!</definedName>
    <definedName name="_DAT67">#REF!</definedName>
    <definedName name="_DAT68" localSheetId="0">#REF!</definedName>
    <definedName name="_DAT68">#REF!</definedName>
    <definedName name="_DAT7">#REF!</definedName>
    <definedName name="_DAT8">#REF!</definedName>
    <definedName name="_DAT9">#REF!</definedName>
    <definedName name="_DAT98" localSheetId="0">#REF!</definedName>
    <definedName name="_DAT98">#REF!</definedName>
    <definedName name="_DAT99" localSheetId="0">#REF!</definedName>
    <definedName name="_DAT99">#REF!</definedName>
    <definedName name="_DesFldDenD">#REF!</definedName>
    <definedName name="_DesFldDenO">#REF!</definedName>
    <definedName name="_DesFldDenS">#REF!</definedName>
    <definedName name="_DesignCodeD">#REF!</definedName>
    <definedName name="_DesignCodeO">#REF!</definedName>
    <definedName name="_DesignCodeS">#REF!</definedName>
    <definedName name="_DischFlowNormD">#REF!</definedName>
    <definedName name="_DischFlowNormO">#REF!</definedName>
    <definedName name="_DischFlowNormS">#REF!</definedName>
    <definedName name="_Dist_Values" localSheetId="0" hidden="1">#REF!</definedName>
    <definedName name="_Dist_Values" hidden="1">#REF!</definedName>
    <definedName name="_DOC_NAME">#REF!</definedName>
    <definedName name="_dol2" localSheetId="0">#REF!</definedName>
    <definedName name="_dol2">#REF!</definedName>
    <definedName name="_DRAWING_NO" localSheetId="0">#REF!</definedName>
    <definedName name="_DRAWING_NO">#REF!</definedName>
    <definedName name="_DrawNumS">#REF!</definedName>
    <definedName name="_DVC4" localSheetId="0">#REF!</definedName>
    <definedName name="_DVC4">#REF!</definedName>
    <definedName name="_e_">" e "</definedName>
    <definedName name="_EDESC">#REF!</definedName>
    <definedName name="_ENA44" localSheetId="0">#REF!</definedName>
    <definedName name="_ENA44">#REF!</definedName>
    <definedName name="_ENA63" localSheetId="0">#REF!</definedName>
    <definedName name="_ENA63">#REF!</definedName>
    <definedName name="_expansao" localSheetId="0">#REF!</definedName>
    <definedName name="_expansao">#REF!</definedName>
    <definedName name="_ExtBoltingD" localSheetId="0">#REF!</definedName>
    <definedName name="_ExtBoltingD">#REF!</definedName>
    <definedName name="_ExtBoltingO" localSheetId="0">#REF!</definedName>
    <definedName name="_ExtBoltingO">#REF!</definedName>
    <definedName name="_ExtBoltingS">#REF!</definedName>
    <definedName name="_ExtErosionAllowD">#REF!</definedName>
    <definedName name="_ExtErosionAllowO">#REF!</definedName>
    <definedName name="_ExtErosionAllowS">#REF!</definedName>
    <definedName name="_ExtPaintD">#REF!</definedName>
    <definedName name="_ExtPaintO">#REF!</definedName>
    <definedName name="_ExtPaintS">#REF!</definedName>
    <definedName name="_F99000" localSheetId="0">#REF!</definedName>
    <definedName name="_F99000">#REF!</definedName>
    <definedName name="_fg66145">#REF!</definedName>
    <definedName name="_FHE7" localSheetId="0" hidden="1">{#N/A,#N/A,FALSE,"masez (10)";#N/A,#N/A,FALSE,"masez (7)";#N/A,#N/A,FALSE,"masez (6)";#N/A,#N/A,FALSE,"masez (5)";#N/A,#N/A,FALSE,"masez (4)";#N/A,#N/A,FALSE,"masez (3)";#N/A,#N/A,FALSE,"masez (2)";#N/A,#N/A,FALSE,"GME";#N/A,#N/A,FALSE,"masez"}</definedName>
    <definedName name="_FHE7" localSheetId="2" hidden="1">{#N/A,#N/A,FALSE,"masez (10)";#N/A,#N/A,FALSE,"masez (7)";#N/A,#N/A,FALSE,"masez (6)";#N/A,#N/A,FALSE,"masez (5)";#N/A,#N/A,FALSE,"masez (4)";#N/A,#N/A,FALSE,"masez (3)";#N/A,#N/A,FALSE,"masez (2)";#N/A,#N/A,FALSE,"GME";#N/A,#N/A,FALSE,"masez"}</definedName>
    <definedName name="_FHE7" hidden="1">{#N/A,#N/A,FALSE,"masez (10)";#N/A,#N/A,FALSE,"masez (7)";#N/A,#N/A,FALSE,"masez (6)";#N/A,#N/A,FALSE,"masez (5)";#N/A,#N/A,FALSE,"masez (4)";#N/A,#N/A,FALSE,"masez (3)";#N/A,#N/A,FALSE,"masez (2)";#N/A,#N/A,FALSE,"GME";#N/A,#N/A,FALSE,"masez"}</definedName>
    <definedName name="_fii" localSheetId="0" hidden="1">#REF!</definedName>
    <definedName name="_fii" hidden="1">#REF!</definedName>
    <definedName name="_Fill" localSheetId="0" hidden="1">#REF!</definedName>
    <definedName name="_Fill" hidden="1">#REF!</definedName>
    <definedName name="_fill1" localSheetId="0" hidden="1">#REF!</definedName>
    <definedName name="_fill1" hidden="1">#REF!</definedName>
    <definedName name="_xlnm._FilterDatabase" localSheetId="1" hidden="1">CHECK!$A$7:$F$123</definedName>
    <definedName name="_xlnm._FilterDatabase" localSheetId="3" hidden="1">'CPU  1 '!$A$7:$CI$123</definedName>
    <definedName name="_xlnm._FilterDatabase" localSheetId="2" hidden="1">QQP!$A$6:$H$56</definedName>
    <definedName name="_xlnm._FilterDatabase" localSheetId="6" hidden="1">TREINAMENTOS!$B$3:$E$82</definedName>
    <definedName name="_FL1" localSheetId="0">#REF!</definedName>
    <definedName name="_FL1">#REF!</definedName>
    <definedName name="_FldDenD" localSheetId="0">#REF!</definedName>
    <definedName name="_FldDenD">#REF!</definedName>
    <definedName name="_FldDenO" localSheetId="0">#REF!</definedName>
    <definedName name="_FldDenO">#REF!</definedName>
    <definedName name="_FldDenS">#REF!</definedName>
    <definedName name="_FluidDescD">#REF!</definedName>
    <definedName name="_FluidDescO">#REF!</definedName>
    <definedName name="_FluidDescS">#REF!</definedName>
    <definedName name="_FOL1" localSheetId="0">#REF!</definedName>
    <definedName name="_FOL1">#REF!</definedName>
    <definedName name="_FOL2" localSheetId="0">#REF!</definedName>
    <definedName name="_FOL2">#REF!</definedName>
    <definedName name="_FOL3">#N/A</definedName>
    <definedName name="_FOL4">#N/A</definedName>
    <definedName name="_FR2" localSheetId="0" hidden="1">{#N/A,#N/A,FALSE,"GERAL";#N/A,#N/A,FALSE,"012-96";#N/A,#N/A,FALSE,"018-96";#N/A,#N/A,FALSE,"027-96";#N/A,#N/A,FALSE,"059-96";#N/A,#N/A,FALSE,"076-96";#N/A,#N/A,FALSE,"019-97";#N/A,#N/A,FALSE,"021-97";#N/A,#N/A,FALSE,"022-97";#N/A,#N/A,FALSE,"028-97"}</definedName>
    <definedName name="_FR2" localSheetId="2" hidden="1">{#N/A,#N/A,FALSE,"GERAL";#N/A,#N/A,FALSE,"012-96";#N/A,#N/A,FALSE,"018-96";#N/A,#N/A,FALSE,"027-96";#N/A,#N/A,FALSE,"059-96";#N/A,#N/A,FALSE,"076-96";#N/A,#N/A,FALSE,"019-97";#N/A,#N/A,FALSE,"021-97";#N/A,#N/A,FALSE,"022-97";#N/A,#N/A,FALSE,"028-97"}</definedName>
    <definedName name="_FR2" hidden="1">{#N/A,#N/A,FALSE,"GERAL";#N/A,#N/A,FALSE,"012-96";#N/A,#N/A,FALSE,"018-96";#N/A,#N/A,FALSE,"027-96";#N/A,#N/A,FALSE,"059-96";#N/A,#N/A,FALSE,"076-96";#N/A,#N/A,FALSE,"019-97";#N/A,#N/A,FALSE,"021-97";#N/A,#N/A,FALSE,"022-97";#N/A,#N/A,FALSE,"028-97"}</definedName>
    <definedName name="_FreeboardHighLevelD" localSheetId="0">#REF!</definedName>
    <definedName name="_FreeboardHighLevelD">#REF!</definedName>
    <definedName name="_FreeboardHighLevelO" localSheetId="0">#REF!</definedName>
    <definedName name="_FreeboardHighLevelO">#REF!</definedName>
    <definedName name="_FreeboardHighLevelS" localSheetId="0">#REF!</definedName>
    <definedName name="_FreeboardHighLevelS">#REF!</definedName>
    <definedName name="_GasketsD">#REF!</definedName>
    <definedName name="_GasketsO">#REF!</definedName>
    <definedName name="_GasketsS">#REF!</definedName>
    <definedName name="_gl1" localSheetId="0" hidden="1">{#N/A,#N/A,FALSE,"Total_OC015";#N/A,#N/A,FALSE,"ADMIN";#N/A,#N/A,FALSE,"PROCES";#N/A,#N/A,FALSE,"mecan";#N/A,#N/A,FALSE,"civil";#N/A,#N/A,FALSE,"CAÑER";#N/A,#N/A,FALSE,"ELEC";#N/A,#N/A,FALSE,"INSTR"}</definedName>
    <definedName name="_gl1" localSheetId="2" hidden="1">{#N/A,#N/A,FALSE,"Total_OC015";#N/A,#N/A,FALSE,"ADMIN";#N/A,#N/A,FALSE,"PROCES";#N/A,#N/A,FALSE,"mecan";#N/A,#N/A,FALSE,"civil";#N/A,#N/A,FALSE,"CAÑER";#N/A,#N/A,FALSE,"ELEC";#N/A,#N/A,FALSE,"INSTR"}</definedName>
    <definedName name="_gl1" hidden="1">{#N/A,#N/A,FALSE,"Total_OC015";#N/A,#N/A,FALSE,"ADMIN";#N/A,#N/A,FALSE,"PROCES";#N/A,#N/A,FALSE,"mecan";#N/A,#N/A,FALSE,"civil";#N/A,#N/A,FALSE,"CAÑER";#N/A,#N/A,FALSE,"ELEC";#N/A,#N/A,FALSE,"INSTR"}</definedName>
    <definedName name="_IMP2" localSheetId="0">#REF!</definedName>
    <definedName name="_IMP2">#REF!</definedName>
    <definedName name="_InsThkPersProtectD" localSheetId="0">#REF!</definedName>
    <definedName name="_InsThkPersProtectD">#REF!</definedName>
    <definedName name="_InsThkPersProtectO" localSheetId="0">#REF!</definedName>
    <definedName name="_InsThkPersProtectO">#REF!</definedName>
    <definedName name="_InsThkPersProtectS">#REF!</definedName>
    <definedName name="_IntBoltingD">#REF!</definedName>
    <definedName name="_IntBoltingO">#REF!</definedName>
    <definedName name="_IntBoltingS">#REF!</definedName>
    <definedName name="_IntErosionAllowD">#REF!</definedName>
    <definedName name="_IntErosionAllowO">#REF!</definedName>
    <definedName name="_IntErosionAllowS">#REF!</definedName>
    <definedName name="_IntPaintLiningD">#REF!</definedName>
    <definedName name="_IntPaintLiningO">#REF!</definedName>
    <definedName name="_IntPaintLiningS">#REF!</definedName>
    <definedName name="_jy5" localSheetId="0" hidden="1">{#N/A,#N/A,FALSE,"masez (10)";#N/A,#N/A,FALSE,"masez (7)";#N/A,#N/A,FALSE,"masez (6)";#N/A,#N/A,FALSE,"masez (5)";#N/A,#N/A,FALSE,"masez (4)";#N/A,#N/A,FALSE,"masez (3)";#N/A,#N/A,FALSE,"masez (2)";#N/A,#N/A,FALSE,"GME";#N/A,#N/A,FALSE,"masez"}</definedName>
    <definedName name="_jy5" localSheetId="2" hidden="1">{#N/A,#N/A,FALSE,"masez (10)";#N/A,#N/A,FALSE,"masez (7)";#N/A,#N/A,FALSE,"masez (6)";#N/A,#N/A,FALSE,"masez (5)";#N/A,#N/A,FALSE,"masez (4)";#N/A,#N/A,FALSE,"masez (3)";#N/A,#N/A,FALSE,"masez (2)";#N/A,#N/A,FALSE,"GME";#N/A,#N/A,FALSE,"masez"}</definedName>
    <definedName name="_jy5" hidden="1">{#N/A,#N/A,FALSE,"masez (10)";#N/A,#N/A,FALSE,"masez (7)";#N/A,#N/A,FALSE,"masez (6)";#N/A,#N/A,FALSE,"masez (5)";#N/A,#N/A,FALSE,"masez (4)";#N/A,#N/A,FALSE,"masez (3)";#N/A,#N/A,FALSE,"masez (2)";#N/A,#N/A,FALSE,"GME";#N/A,#N/A,FALSE,"masez"}</definedName>
    <definedName name="_Key1" localSheetId="0" hidden="1">#REF!</definedName>
    <definedName name="_Key1" localSheetId="2" hidden="1">#REF!</definedName>
    <definedName name="_Key1" hidden="1">#REF!</definedName>
    <definedName name="_Key2" localSheetId="0" hidden="1">#REF!</definedName>
    <definedName name="_Key2" hidden="1">#REF!</definedName>
    <definedName name="_kk1" localSheetId="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2"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2" localSheetId="0" hidden="1">{"FlujoGastos",#N/A,FALSE,"Base";"FlujoGastos",#N/A,FALSE,"Buzón Tren";"FlujoGastos",#N/A,FALSE,"Buzón Camión";"FlujoGastos",#N/A,FALSE,"LHD Camión";"FlujoGastos",#N/A,FALSE,"Cámara Camión"}</definedName>
    <definedName name="_kk2" localSheetId="2" hidden="1">{"FlujoGastos",#N/A,FALSE,"Base";"FlujoGastos",#N/A,FALSE,"Buzón Tren";"FlujoGastos",#N/A,FALSE,"Buzón Camión";"FlujoGastos",#N/A,FALSE,"LHD Camión";"FlujoGastos",#N/A,FALSE,"Cámara Camión"}</definedName>
    <definedName name="_kk2" hidden="1">{"FlujoGastos",#N/A,FALSE,"Base";"FlujoGastos",#N/A,FALSE,"Buzón Tren";"FlujoGastos",#N/A,FALSE,"Buzón Camión";"FlujoGastos",#N/A,FALSE,"LHD Camión";"FlujoGastos",#N/A,FALSE,"Cámara Camión"}</definedName>
    <definedName name="_kk3" localSheetId="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2"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4" localSheetId="0" hidden="1">{"desarrollo",#N/A,FALSE,"Cámara Camión";"resumen",#N/A,FALSE,"Cámara Camión";"eqprod",#N/A,FALSE,"Cámara Camión"}</definedName>
    <definedName name="_kk4" localSheetId="2" hidden="1">{"desarrollo",#N/A,FALSE,"Cámara Camión";"resumen",#N/A,FALSE,"Cámara Camión";"eqprod",#N/A,FALSE,"Cámara Camión"}</definedName>
    <definedName name="_kk4" hidden="1">{"desarrollo",#N/A,FALSE,"Cámara Camión";"resumen",#N/A,FALSE,"Cámara Camión";"eqprod",#N/A,FALSE,"Cámara Camión"}</definedName>
    <definedName name="_LocationD" localSheetId="0">#REF!</definedName>
    <definedName name="_LocationD">#REF!</definedName>
    <definedName name="_LocationO" localSheetId="0">#REF!</definedName>
    <definedName name="_LocationO">#REF!</definedName>
    <definedName name="_LocationS" localSheetId="0">#REF!</definedName>
    <definedName name="_LocationS">#REF!</definedName>
    <definedName name="_lot1" localSheetId="0" hidden="1">{#N/A,#N/A,FALSE,"Total_OC015";#N/A,#N/A,FALSE,"ADMIN";#N/A,#N/A,FALSE,"PROCES";#N/A,#N/A,FALSE,"mecan";#N/A,#N/A,FALSE,"civil";#N/A,#N/A,FALSE,"CAÑER";#N/A,#N/A,FALSE,"ELEC";#N/A,#N/A,FALSE,"INSTR"}</definedName>
    <definedName name="_lot1" localSheetId="2" hidden="1">{#N/A,#N/A,FALSE,"Total_OC015";#N/A,#N/A,FALSE,"ADMIN";#N/A,#N/A,FALSE,"PROCES";#N/A,#N/A,FALSE,"mecan";#N/A,#N/A,FALSE,"civil";#N/A,#N/A,FALSE,"CAÑER";#N/A,#N/A,FALSE,"ELEC";#N/A,#N/A,FALSE,"INSTR"}</definedName>
    <definedName name="_lot1" hidden="1">{#N/A,#N/A,FALSE,"Total_OC015";#N/A,#N/A,FALSE,"ADMIN";#N/A,#N/A,FALSE,"PROCES";#N/A,#N/A,FALSE,"mecan";#N/A,#N/A,FALSE,"civil";#N/A,#N/A,FALSE,"CAÑER";#N/A,#N/A,FALSE,"ELEC";#N/A,#N/A,FALSE,"INSTR"}</definedName>
    <definedName name="_LU1" localSheetId="0">#REF!</definedName>
    <definedName name="_LU1">#REF!</definedName>
    <definedName name="_manufact" localSheetId="0">#REF!</definedName>
    <definedName name="_manufact">#REF!</definedName>
    <definedName name="_manufactr" localSheetId="0">#REF!</definedName>
    <definedName name="_manufactr">#REF!</definedName>
    <definedName name="_MatInverse_In" localSheetId="0" hidden="1">#REF!</definedName>
    <definedName name="_MatInverse_In" hidden="1">#REF!</definedName>
    <definedName name="_MatInverse_Out" localSheetId="0" hidden="1">#REF!</definedName>
    <definedName name="_MatInverse_Out" hidden="1">#REF!</definedName>
    <definedName name="_MBB108" localSheetId="0">#REF!</definedName>
    <definedName name="_MBB108">#REF!</definedName>
    <definedName name="_MBB1214" localSheetId="0">#REF!</definedName>
    <definedName name="_MBB1214">#REF!</definedName>
    <definedName name="_MBB1616" localSheetId="0">#REF!</definedName>
    <definedName name="_MBB1616">#REF!</definedName>
    <definedName name="_MfgReportHopperD" localSheetId="0">#REF!</definedName>
    <definedName name="_MfgReportHopperD">#REF!</definedName>
    <definedName name="_MfgReportHopperO" localSheetId="0">#REF!</definedName>
    <definedName name="_MfgReportHopperO">#REF!</definedName>
    <definedName name="_MfgReportHopperS" localSheetId="0">#REF!</definedName>
    <definedName name="_MfgReportHopperS">#REF!</definedName>
    <definedName name="_MfgReportLiningD">#REF!</definedName>
    <definedName name="_MfgReportLiningO">#REF!</definedName>
    <definedName name="_MfgReportLiningS">#REF!</definedName>
    <definedName name="_MHoleBlindFlgD">#REF!</definedName>
    <definedName name="_MHoleBlindFlgO">#REF!</definedName>
    <definedName name="_MHoleBlindFlgS">#REF!</definedName>
    <definedName name="_mm1" localSheetId="0">#REF!</definedName>
    <definedName name="_mm1" localSheetId="2">QQP!_mm1</definedName>
    <definedName name="_mm1">#REF!</definedName>
    <definedName name="_model" localSheetId="0">#REF!</definedName>
    <definedName name="_model" localSheetId="2">#REF!</definedName>
    <definedName name="_model">#REF!</definedName>
    <definedName name="_MTE10" localSheetId="0">#REF!</definedName>
    <definedName name="_MTE10">#REF!</definedName>
    <definedName name="_MTE5" localSheetId="0">#REF!</definedName>
    <definedName name="_MTE5">#REF!</definedName>
    <definedName name="_NozlFlgFaceD">#REF!</definedName>
    <definedName name="_NozlFlgFaceO">#REF!</definedName>
    <definedName name="_NozlFlgFaceS">#REF!</definedName>
    <definedName name="_oe1" localSheetId="0">#REF!</definedName>
    <definedName name="_oe1">#REF!</definedName>
    <definedName name="_of_sheet">#REF!</definedName>
    <definedName name="_Order1" hidden="1">255</definedName>
    <definedName name="_Order2" hidden="1">255</definedName>
    <definedName name="_p.reatia" localSheetId="0">#REF!</definedName>
    <definedName name="_p.reatia">#REF!</definedName>
    <definedName name="_p_order" localSheetId="0">#REF!</definedName>
    <definedName name="_p_order">#REF!</definedName>
    <definedName name="_p250701" localSheetId="0">#REF!</definedName>
    <definedName name="_p250701">#REF!</definedName>
    <definedName name="_p250801" localSheetId="0">#REF!</definedName>
    <definedName name="_p250801">#REF!</definedName>
    <definedName name="_p270401" localSheetId="0">#REF!</definedName>
    <definedName name="_p270401">#REF!</definedName>
    <definedName name="_p271211" localSheetId="0">#REF!</definedName>
    <definedName name="_p271211">#REF!</definedName>
    <definedName name="_p271212" localSheetId="0">#REF!</definedName>
    <definedName name="_p271212">#REF!</definedName>
    <definedName name="_p271213" localSheetId="0">#REF!</definedName>
    <definedName name="_p271213">#REF!</definedName>
    <definedName name="_p271303" localSheetId="0">#REF!</definedName>
    <definedName name="_p271303">#REF!</definedName>
    <definedName name="_p271501" localSheetId="0">#REF!</definedName>
    <definedName name="_p271501">#REF!</definedName>
    <definedName name="_p271602" localSheetId="0">#REF!</definedName>
    <definedName name="_p271602">#REF!</definedName>
    <definedName name="_p271603" localSheetId="0">#REF!</definedName>
    <definedName name="_p271603">#REF!</definedName>
    <definedName name="_p280201" localSheetId="0">#REF!</definedName>
    <definedName name="_p280201">#REF!</definedName>
    <definedName name="_p280202" localSheetId="0">#REF!</definedName>
    <definedName name="_p280202">#REF!</definedName>
    <definedName name="_p280209" localSheetId="0">#REF!</definedName>
    <definedName name="_p280209">#REF!</definedName>
    <definedName name="_p280212" localSheetId="0">#REF!</definedName>
    <definedName name="_p280212">#REF!</definedName>
    <definedName name="_p280415" localSheetId="0">#REF!</definedName>
    <definedName name="_p280415">#REF!</definedName>
    <definedName name="_PA1" localSheetId="0">#REF!</definedName>
    <definedName name="_PA1">#REF!</definedName>
    <definedName name="_PA10" localSheetId="0">#REF!</definedName>
    <definedName name="_PA10">#REF!</definedName>
    <definedName name="_PA11" localSheetId="0">#REF!</definedName>
    <definedName name="_PA11">#REF!</definedName>
    <definedName name="_PA12" localSheetId="0">#REF!</definedName>
    <definedName name="_PA12">#REF!</definedName>
    <definedName name="_PA13" localSheetId="0">#REF!</definedName>
    <definedName name="_PA13">#REF!</definedName>
    <definedName name="_PA14" localSheetId="0">#REF!</definedName>
    <definedName name="_PA14">#REF!</definedName>
    <definedName name="_PA15" localSheetId="0">#REF!</definedName>
    <definedName name="_PA15">#REF!</definedName>
    <definedName name="_PA16" localSheetId="0">#REF!</definedName>
    <definedName name="_PA16">#REF!</definedName>
    <definedName name="_PA17" localSheetId="0">#REF!</definedName>
    <definedName name="_PA17">#REF!</definedName>
    <definedName name="_PA18" localSheetId="0">#REF!</definedName>
    <definedName name="_PA18">#REF!</definedName>
    <definedName name="_PA19" localSheetId="0">#REF!</definedName>
    <definedName name="_PA19">#REF!</definedName>
    <definedName name="_PA2" localSheetId="0">#REF!</definedName>
    <definedName name="_PA2">#REF!</definedName>
    <definedName name="_PA3" localSheetId="0">#REF!</definedName>
    <definedName name="_PA3">#REF!</definedName>
    <definedName name="_PA4" localSheetId="0">#REF!</definedName>
    <definedName name="_PA4">#REF!</definedName>
    <definedName name="_pA5" localSheetId="0">#REF!</definedName>
    <definedName name="_pA5" localSheetId="2">#REF!</definedName>
    <definedName name="_pA5">#REF!</definedName>
    <definedName name="_pA6" localSheetId="0">#REF!</definedName>
    <definedName name="_pA6" localSheetId="2">#REF!</definedName>
    <definedName name="_pA6">#REF!</definedName>
    <definedName name="_PA7" localSheetId="0">#REF!</definedName>
    <definedName name="_PA7">#REF!</definedName>
    <definedName name="_PA8" localSheetId="0">#REF!</definedName>
    <definedName name="_PA8">#REF!</definedName>
    <definedName name="_PA9" localSheetId="0">#REF!</definedName>
    <definedName name="_PA9">#REF!</definedName>
    <definedName name="_pC5" localSheetId="0">#REF!</definedName>
    <definedName name="_pC5" localSheetId="2">#REF!</definedName>
    <definedName name="_pC5">#REF!</definedName>
    <definedName name="_pc95" localSheetId="0">#REF!</definedName>
    <definedName name="_pc95">#REF!</definedName>
    <definedName name="_pc96" localSheetId="0">#REF!</definedName>
    <definedName name="_pc96">#REF!</definedName>
    <definedName name="_PFD_NO" localSheetId="0">#REF!</definedName>
    <definedName name="_PFD_NO">#REF!</definedName>
    <definedName name="_pid_no" localSheetId="0">#REF!</definedName>
    <definedName name="_pid_no">#REF!</definedName>
    <definedName name="_PID_NumberS" localSheetId="0">#REF!</definedName>
    <definedName name="_PID_NumberS">#REF!</definedName>
    <definedName name="_PO1" localSheetId="0">#REF!</definedName>
    <definedName name="_PO1">#REF!</definedName>
    <definedName name="_PO2" localSheetId="0">#REF!</definedName>
    <definedName name="_PO2">#REF!</definedName>
    <definedName name="_pod_mm" localSheetId="0">#REF!</definedName>
    <definedName name="_pod_mm">#REF!</definedName>
    <definedName name="_potencia" localSheetId="0">#REF!</definedName>
    <definedName name="_potencia">#REF!</definedName>
    <definedName name="_pppprr" localSheetId="0">#REF!</definedName>
    <definedName name="_pppprr">#REF!</definedName>
    <definedName name="_Print_Area_MI" localSheetId="0">#REF!</definedName>
    <definedName name="_Print_Area_MI">#REF!</definedName>
    <definedName name="_projectDescript" localSheetId="0">#REF!</definedName>
    <definedName name="_projectDescript">#REF!</definedName>
    <definedName name="_R" localSheetId="0">#REF!</definedName>
    <definedName name="_R">#REF!</definedName>
    <definedName name="_RBR1" localSheetId="0">#REF!</definedName>
    <definedName name="_RBR1">#REF!</definedName>
    <definedName name="_RBR2" localSheetId="0">#REF!</definedName>
    <definedName name="_RBR2">#REF!</definedName>
    <definedName name="_RCA1" localSheetId="0">#REF!</definedName>
    <definedName name="_RCA1">#REF!</definedName>
    <definedName name="_RCA2" localSheetId="0">#REF!</definedName>
    <definedName name="_RCA2">#REF!</definedName>
    <definedName name="_Regression_Int">1</definedName>
    <definedName name="_Regression_Out" localSheetId="0" hidden="1">#REF!</definedName>
    <definedName name="_Regression_Out" hidden="1">#REF!</definedName>
    <definedName name="_Regression_X" localSheetId="0" hidden="1">#REF!</definedName>
    <definedName name="_Regression_X" hidden="1">#REF!</definedName>
    <definedName name="_Regression_Y" localSheetId="0" hidden="1">#REF!</definedName>
    <definedName name="_Regression_Y" hidden="1">#REF!</definedName>
    <definedName name="_Rendimento" localSheetId="0">#REF!</definedName>
    <definedName name="_Rendimento">#REF!</definedName>
    <definedName name="_req_no" localSheetId="0">#REF!</definedName>
    <definedName name="_req_no">#REF!</definedName>
    <definedName name="_RetentionTimeNormD" localSheetId="0">#REF!</definedName>
    <definedName name="_RetentionTimeNormD">#REF!</definedName>
    <definedName name="_RetentionTimeNormO" localSheetId="0">#REF!</definedName>
    <definedName name="_RetentionTimeNormO">#REF!</definedName>
    <definedName name="_RetentionTimeNormS">#REF!</definedName>
    <definedName name="_rev">#REF!</definedName>
    <definedName name="_rev." localSheetId="0">#REF!</definedName>
    <definedName name="_rev.">#REF!</definedName>
    <definedName name="_sap1403" localSheetId="0">#REF!</definedName>
    <definedName name="_sap1403">#REF!</definedName>
    <definedName name="_SERIAL_NO" localSheetId="0">#REF!</definedName>
    <definedName name="_SERIAL_NO">#REF!</definedName>
    <definedName name="_service" localSheetId="0">#REF!</definedName>
    <definedName name="_service">#REF!</definedName>
    <definedName name="_ServiceDescD" localSheetId="0">#REF!</definedName>
    <definedName name="_ServiceDescD">#REF!</definedName>
    <definedName name="_ServiceDescO" localSheetId="0">#REF!</definedName>
    <definedName name="_ServiceDescO">#REF!</definedName>
    <definedName name="_ServiceDescS">#REF!</definedName>
    <definedName name="_sheet_no">#REF!</definedName>
    <definedName name="_ShellFloorD">#REF!</definedName>
    <definedName name="_ShellFloorO">#REF!</definedName>
    <definedName name="_ShellFloorS">#REF!</definedName>
    <definedName name="_SolidsConcD">#REF!</definedName>
    <definedName name="_SolidsConcO">#REF!</definedName>
    <definedName name="_SolidsConcS">#REF!</definedName>
    <definedName name="_Sort" localSheetId="2" hidden="1">#REF!</definedName>
    <definedName name="_Sort" hidden="1">#REF!</definedName>
    <definedName name="_sp_">" "</definedName>
    <definedName name="_SpecificationD" localSheetId="0">#REF!</definedName>
    <definedName name="_SpecificationD">#REF!</definedName>
    <definedName name="_SpecificationO" localSheetId="0">#REF!</definedName>
    <definedName name="_SpecificationO">#REF!</definedName>
    <definedName name="_SpecificationS" localSheetId="0">#REF!</definedName>
    <definedName name="_SpecificationS">#REF!</definedName>
    <definedName name="_StructDesCriteriaD">#REF!</definedName>
    <definedName name="_StructDesCriteriaO">#REF!</definedName>
    <definedName name="_StructDesCriteriaS">#REF!</definedName>
    <definedName name="_Subestação" localSheetId="0">#REF!</definedName>
    <definedName name="_Subestação">#REF!</definedName>
    <definedName name="_tab1" localSheetId="2">#REF!</definedName>
    <definedName name="_tab1">#REF!</definedName>
    <definedName name="_tabelaDenominação" localSheetId="0">#REF!</definedName>
    <definedName name="_tabelaDenominação">#REF!</definedName>
    <definedName name="_Tag_Carga" localSheetId="0">#REF!</definedName>
    <definedName name="_Tag_Carga">#REF!</definedName>
    <definedName name="_Tag_CCM" localSheetId="0">#REF!</definedName>
    <definedName name="_Tag_CCM">#REF!</definedName>
    <definedName name="_tag_no">#REF!</definedName>
    <definedName name="_TankNozlD">#REF!</definedName>
    <definedName name="_TankNozlO">#REF!</definedName>
    <definedName name="_TankNozlS">#REF!</definedName>
    <definedName name="_ti1" localSheetId="0">#REF!</definedName>
    <definedName name="_ti1">#REF!</definedName>
    <definedName name="_Titulos_Impressão_IM" localSheetId="0">#REF!</definedName>
    <definedName name="_Titulos_Impressão_IM">#REF!</definedName>
    <definedName name="_TOT1">#REF!</definedName>
    <definedName name="_TOT2">#REF!</definedName>
    <definedName name="_TOT3">#REF!</definedName>
    <definedName name="_TOT4">#REF!</definedName>
    <definedName name="_TOT5">#REF!</definedName>
    <definedName name="_TOT6">#REF!</definedName>
    <definedName name="_TOT7">#REF!</definedName>
    <definedName name="_tyl2" localSheetId="0" hidden="1">{#N/A,#N/A,FALSE,"masez (10)";#N/A,#N/A,FALSE,"masez (7)";#N/A,#N/A,FALSE,"masez (6)";#N/A,#N/A,FALSE,"masez (5)";#N/A,#N/A,FALSE,"masez (4)";#N/A,#N/A,FALSE,"masez (3)";#N/A,#N/A,FALSE,"masez (2)";#N/A,#N/A,FALSE,"GME";#N/A,#N/A,FALSE,"masez"}</definedName>
    <definedName name="_tyl2" localSheetId="2" hidden="1">{#N/A,#N/A,FALSE,"masez (10)";#N/A,#N/A,FALSE,"masez (7)";#N/A,#N/A,FALSE,"masez (6)";#N/A,#N/A,FALSE,"masez (5)";#N/A,#N/A,FALSE,"masez (4)";#N/A,#N/A,FALSE,"masez (3)";#N/A,#N/A,FALSE,"masez (2)";#N/A,#N/A,FALSE,"GME";#N/A,#N/A,FALSE,"masez"}</definedName>
    <definedName name="_tyl2" hidden="1">{#N/A,#N/A,FALSE,"masez (10)";#N/A,#N/A,FALSE,"masez (7)";#N/A,#N/A,FALSE,"masez (6)";#N/A,#N/A,FALSE,"masez (5)";#N/A,#N/A,FALSE,"masez (4)";#N/A,#N/A,FALSE,"masez (3)";#N/A,#N/A,FALSE,"masez (2)";#N/A,#N/A,FALSE,"GME";#N/A,#N/A,FALSE,"masez"}</definedName>
    <definedName name="_TYPE" localSheetId="0">#REF!</definedName>
    <definedName name="_TYPE">#REF!</definedName>
    <definedName name="_VE3" localSheetId="0">#REF!</definedName>
    <definedName name="_VE3">#REF!</definedName>
    <definedName name="_VE4" localSheetId="0">#REF!</definedName>
    <definedName name="_VE4">#REF!</definedName>
    <definedName name="_VE5">#REF!</definedName>
    <definedName name="_VE6">#REF!</definedName>
    <definedName name="_VO1">#REF!</definedName>
    <definedName name="_VV9">#REF!</definedName>
    <definedName name="_WBS1000" localSheetId="0">#REF!</definedName>
    <definedName name="_WBS1000">#REF!</definedName>
    <definedName name="_WBS2000" localSheetId="0">#REF!</definedName>
    <definedName name="_WBS2000">#REF!</definedName>
    <definedName name="_WBS3000" localSheetId="0">#REF!</definedName>
    <definedName name="_WBS3000">#REF!</definedName>
    <definedName name="_WBS4000" localSheetId="0">#REF!</definedName>
    <definedName name="_WBS4000">#REF!</definedName>
    <definedName name="_WBS5000" localSheetId="0">#REF!</definedName>
    <definedName name="_WBS5000">#REF!</definedName>
    <definedName name="_wrn.pendencias" localSheetId="0" hidden="1">{#N/A,#N/A,FALSE,"GERAL";#N/A,#N/A,FALSE,"012-96";#N/A,#N/A,FALSE,"018-96";#N/A,#N/A,FALSE,"027-96";#N/A,#N/A,FALSE,"059-96";#N/A,#N/A,FALSE,"076-96";#N/A,#N/A,FALSE,"019-97";#N/A,#N/A,FALSE,"021-97";#N/A,#N/A,FALSE,"022-97";#N/A,#N/A,FALSE,"028-97"}</definedName>
    <definedName name="_wrn.pendencias" localSheetId="2" hidden="1">{#N/A,#N/A,FALSE,"GERAL";#N/A,#N/A,FALSE,"012-96";#N/A,#N/A,FALSE,"018-96";#N/A,#N/A,FALSE,"027-96";#N/A,#N/A,FALSE,"059-96";#N/A,#N/A,FALSE,"076-96";#N/A,#N/A,FALSE,"019-97";#N/A,#N/A,FALSE,"021-97";#N/A,#N/A,FALSE,"022-97";#N/A,#N/A,FALSE,"028-97"}</definedName>
    <definedName name="_wrn.pendencias" hidden="1">{#N/A,#N/A,FALSE,"GERAL";#N/A,#N/A,FALSE,"012-96";#N/A,#N/A,FALSE,"018-96";#N/A,#N/A,FALSE,"027-96";#N/A,#N/A,FALSE,"059-96";#N/A,#N/A,FALSE,"076-96";#N/A,#N/A,FALSE,"019-97";#N/A,#N/A,FALSE,"021-97";#N/A,#N/A,FALSE,"022-97";#N/A,#N/A,FALSE,"028-97"}</definedName>
    <definedName name="_wrn1" localSheetId="0" hidden="1">{#N/A,#N/A,TRUE,"Est. de Fact.";#N/A,#N/A,TRUE,"Capitulo 19";#N/A,#N/A,TRUE,"Proyecto P855"}</definedName>
    <definedName name="_wrn1" localSheetId="2" hidden="1">{#N/A,#N/A,TRUE,"Est. de Fact.";#N/A,#N/A,TRUE,"Capitulo 19";#N/A,#N/A,TRUE,"Proyecto P855"}</definedName>
    <definedName name="_wrn1" hidden="1">{#N/A,#N/A,TRUE,"Est. de Fact.";#N/A,#N/A,TRUE,"Capitulo 19";#N/A,#N/A,TRUE,"Proyecto P855"}</definedName>
    <definedName name="_wrn2" localSheetId="0" hidden="1">{#N/A,#N/A,TRUE,"Est. de Fact.";#N/A,#N/A,TRUE,"Capitulo 19";#N/A,#N/A,TRUE,"Proyecto P855"}</definedName>
    <definedName name="_wrn2" localSheetId="2" hidden="1">{#N/A,#N/A,TRUE,"Est. de Fact.";#N/A,#N/A,TRUE,"Capitulo 19";#N/A,#N/A,TRUE,"Proyecto P855"}</definedName>
    <definedName name="_wrn2" hidden="1">{#N/A,#N/A,TRUE,"Est. de Fact.";#N/A,#N/A,TRUE,"Capitulo 19";#N/A,#N/A,TRUE,"Proyecto P855"}</definedName>
    <definedName name="_wrn3" localSheetId="0" hidden="1">{#N/A,#N/A,FALSE,"Total_OC015";#N/A,#N/A,FALSE,"ADMIN";#N/A,#N/A,FALSE,"PROCES";#N/A,#N/A,FALSE,"mecan";#N/A,#N/A,FALSE,"civil";#N/A,#N/A,FALSE,"CAÑER";#N/A,#N/A,FALSE,"ELEC";#N/A,#N/A,FALSE,"INSTR"}</definedName>
    <definedName name="_wrn3" localSheetId="2" hidden="1">{#N/A,#N/A,FALSE,"Total_OC015";#N/A,#N/A,FALSE,"ADMIN";#N/A,#N/A,FALSE,"PROCES";#N/A,#N/A,FALSE,"mecan";#N/A,#N/A,FALSE,"civil";#N/A,#N/A,FALSE,"CAÑER";#N/A,#N/A,FALSE,"ELEC";#N/A,#N/A,FALSE,"INSTR"}</definedName>
    <definedName name="_wrn3" hidden="1">{#N/A,#N/A,FALSE,"Total_OC015";#N/A,#N/A,FALSE,"ADMIN";#N/A,#N/A,FALSE,"PROCES";#N/A,#N/A,FALSE,"mecan";#N/A,#N/A,FALSE,"civil";#N/A,#N/A,FALSE,"CAÑER";#N/A,#N/A,FALSE,"ELEC";#N/A,#N/A,FALSE,"INSTR"}</definedName>
    <definedName name="_wrn5" localSheetId="0" hidden="1">{#N/A,#N/A,FALSE,"minas";#N/A,#N/A,FALSE,"Total_OC015";#N/A,#N/A,FALSE,"ADMIN";#N/A,#N/A,FALSE,"PROCES";#N/A,#N/A,FALSE,"civil";#N/A,#N/A,FALSE,"CAÑER";#N/A,#N/A,FALSE,"ELEC";#N/A,#N/A,FALSE,"INSTR";#N/A,#N/A,FALSE,"PDS";#N/A,#N/A,FALSE,"mecan"}</definedName>
    <definedName name="_wrn5" localSheetId="2" hidden="1">{#N/A,#N/A,FALSE,"minas";#N/A,#N/A,FALSE,"Total_OC015";#N/A,#N/A,FALSE,"ADMIN";#N/A,#N/A,FALSE,"PROCES";#N/A,#N/A,FALSE,"civil";#N/A,#N/A,FALSE,"CAÑER";#N/A,#N/A,FALSE,"ELEC";#N/A,#N/A,FALSE,"INSTR";#N/A,#N/A,FALSE,"PDS";#N/A,#N/A,FALSE,"mecan"}</definedName>
    <definedName name="_wrn5" hidden="1">{#N/A,#N/A,FALSE,"minas";#N/A,#N/A,FALSE,"Total_OC015";#N/A,#N/A,FALSE,"ADMIN";#N/A,#N/A,FALSE,"PROCES";#N/A,#N/A,FALSE,"civil";#N/A,#N/A,FALSE,"CAÑER";#N/A,#N/A,FALSE,"ELEC";#N/A,#N/A,FALSE,"INSTR";#N/A,#N/A,FALSE,"PDS";#N/A,#N/A,FALSE,"mecan"}</definedName>
    <definedName name="_X" localSheetId="0">#REF!</definedName>
    <definedName name="_X">#REF!</definedName>
    <definedName name="_XXX">#N/A</definedName>
    <definedName name="_zx2" localSheetId="0" hidden="1">{#N/A,#N/A,FALSE,"masez (10)";#N/A,#N/A,FALSE,"masez (7)";#N/A,#N/A,FALSE,"masez (6)";#N/A,#N/A,FALSE,"masez (5)";#N/A,#N/A,FALSE,"masez (4)";#N/A,#N/A,FALSE,"masez (3)";#N/A,#N/A,FALSE,"masez (2)";#N/A,#N/A,FALSE,"GME";#N/A,#N/A,FALSE,"masez"}</definedName>
    <definedName name="_zx2" localSheetId="2" hidden="1">{#N/A,#N/A,FALSE,"masez (10)";#N/A,#N/A,FALSE,"masez (7)";#N/A,#N/A,FALSE,"masez (6)";#N/A,#N/A,FALSE,"masez (5)";#N/A,#N/A,FALSE,"masez (4)";#N/A,#N/A,FALSE,"masez (3)";#N/A,#N/A,FALSE,"masez (2)";#N/A,#N/A,FALSE,"GME";#N/A,#N/A,FALSE,"masez"}</definedName>
    <definedName name="_zx2" hidden="1">{#N/A,#N/A,FALSE,"masez (10)";#N/A,#N/A,FALSE,"masez (7)";#N/A,#N/A,FALSE,"masez (6)";#N/A,#N/A,FALSE,"masez (5)";#N/A,#N/A,FALSE,"masez (4)";#N/A,#N/A,FALSE,"masez (3)";#N/A,#N/A,FALSE,"masez (2)";#N/A,#N/A,FALSE,"GME";#N/A,#N/A,FALSE,"masez"}</definedName>
    <definedName name="A" localSheetId="0">#REF!</definedName>
    <definedName name="A">#REF!</definedName>
    <definedName name="A__4" localSheetId="0">#REF!</definedName>
    <definedName name="A__4">#REF!</definedName>
    <definedName name="A__5" localSheetId="0">#REF!</definedName>
    <definedName name="A__5">#REF!</definedName>
    <definedName name="A__INICIO" localSheetId="0">#REF!</definedName>
    <definedName name="A__INICIO">#REF!</definedName>
    <definedName name="A_1">#REF!</definedName>
    <definedName name="a_dois" localSheetId="0">#REF!</definedName>
    <definedName name="a_dois">#REF!</definedName>
    <definedName name="A_impresión_IM" localSheetId="0">#REF!</definedName>
    <definedName name="A_impresión_IM">#REF!</definedName>
    <definedName name="A_km" localSheetId="0">#REF!</definedName>
    <definedName name="A_km">#REF!</definedName>
    <definedName name="a_quatro" localSheetId="0">#REF!</definedName>
    <definedName name="a_quatro">#REF!</definedName>
    <definedName name="a_tres" localSheetId="0">#REF!</definedName>
    <definedName name="a_tres">#REF!</definedName>
    <definedName name="a_um" localSheetId="0">#REF!</definedName>
    <definedName name="a_um">#REF!</definedName>
    <definedName name="a_um_equiv" localSheetId="0">#REF!</definedName>
    <definedName name="a_um_equiv">#REF!</definedName>
    <definedName name="a_zero" localSheetId="0">#REF!</definedName>
    <definedName name="a_zero">#REF!</definedName>
    <definedName name="A1Eq" localSheetId="0">#REF!</definedName>
    <definedName name="A1Eq">#REF!</definedName>
    <definedName name="A1OO" localSheetId="0">#REF!</definedName>
    <definedName name="A1OO">#REF!</definedName>
    <definedName name="A92700_1" localSheetId="0">#REF!</definedName>
    <definedName name="A92700_1">#REF!</definedName>
    <definedName name="AA" localSheetId="0" hidden="1">{#N/A,#N/A,FALSE,"GERAL";#N/A,#N/A,FALSE,"012-96";#N/A,#N/A,FALSE,"018-96";#N/A,#N/A,FALSE,"027-96";#N/A,#N/A,FALSE,"059-96";#N/A,#N/A,FALSE,"076-96";#N/A,#N/A,FALSE,"019-97";#N/A,#N/A,FALSE,"021-97";#N/A,#N/A,FALSE,"022-97";#N/A,#N/A,FALSE,"028-97"}</definedName>
    <definedName name="AA" localSheetId="2" hidden="1">{#N/A,#N/A,FALSE,"GERAL";#N/A,#N/A,FALSE,"012-96";#N/A,#N/A,FALSE,"018-96";#N/A,#N/A,FALSE,"027-96";#N/A,#N/A,FALSE,"059-96";#N/A,#N/A,FALSE,"076-96";#N/A,#N/A,FALSE,"019-97";#N/A,#N/A,FALSE,"021-97";#N/A,#N/A,FALSE,"022-97";#N/A,#N/A,FALSE,"028-97"}</definedName>
    <definedName name="AA" hidden="1">{#N/A,#N/A,FALSE,"GERAL";#N/A,#N/A,FALSE,"012-96";#N/A,#N/A,FALSE,"018-96";#N/A,#N/A,FALSE,"027-96";#N/A,#N/A,FALSE,"059-96";#N/A,#N/A,FALSE,"076-96";#N/A,#N/A,FALSE,"019-97";#N/A,#N/A,FALSE,"021-97";#N/A,#N/A,FALSE,"022-97";#N/A,#N/A,FALSE,"028-97"}</definedName>
    <definedName name="AA1OO" localSheetId="0">#REF!</definedName>
    <definedName name="AA1OO">#REF!</definedName>
    <definedName name="aaa" localSheetId="0" hidden="1">{#N/A,#N/A,FALSE,"ET-CAPA";#N/A,#N/A,FALSE,"ET-PAG1";#N/A,#N/A,FALSE,"ET-PAG2";#N/A,#N/A,FALSE,"ET-PAG3";#N/A,#N/A,FALSE,"ET-PAG4";#N/A,#N/A,FALSE,"ET-PAG5"}</definedName>
    <definedName name="aaa" localSheetId="2" hidden="1">{#N/A,#N/A,FALSE,"ET-CAPA";#N/A,#N/A,FALSE,"ET-PAG1";#N/A,#N/A,FALSE,"ET-PAG2";#N/A,#N/A,FALSE,"ET-PAG3";#N/A,#N/A,FALSE,"ET-PAG4";#N/A,#N/A,FALSE,"ET-PAG5"}</definedName>
    <definedName name="aaa" hidden="1">{#N/A,#N/A,FALSE,"ET-CAPA";#N/A,#N/A,FALSE,"ET-PAG1";#N/A,#N/A,FALSE,"ET-PAG2";#N/A,#N/A,FALSE,"ET-PAG3";#N/A,#N/A,FALSE,"ET-PAG4";#N/A,#N/A,FALSE,"ET-PAG5"}</definedName>
    <definedName name="aaaa" localSheetId="0">#REF!</definedName>
    <definedName name="aaaa">#REF!</definedName>
    <definedName name="aaaaa" localSheetId="0"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aaaa" localSheetId="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aaaa"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aaaaa">"Grupo 1276"</definedName>
    <definedName name="aaaaaaaa" localSheetId="0" hidden="1">{#N/A,#N/A,FALSE,"minas";#N/A,#N/A,FALSE,"Total_OC015";#N/A,#N/A,FALSE,"ADMIN";#N/A,#N/A,FALSE,"PROCES";#N/A,#N/A,FALSE,"civil";#N/A,#N/A,FALSE,"CAÑER";#N/A,#N/A,FALSE,"ELEC";#N/A,#N/A,FALSE,"INSTR";#N/A,#N/A,FALSE,"PDS";#N/A,#N/A,FALSE,"mecan"}</definedName>
    <definedName name="aaaaaaaa" localSheetId="2" hidden="1">{#N/A,#N/A,FALSE,"minas";#N/A,#N/A,FALSE,"Total_OC015";#N/A,#N/A,FALSE,"ADMIN";#N/A,#N/A,FALSE,"PROCES";#N/A,#N/A,FALSE,"civil";#N/A,#N/A,FALSE,"CAÑER";#N/A,#N/A,FALSE,"ELEC";#N/A,#N/A,FALSE,"INSTR";#N/A,#N/A,FALSE,"PDS";#N/A,#N/A,FALSE,"mecan"}</definedName>
    <definedName name="aaaaaaaa" hidden="1">{#N/A,#N/A,FALSE,"minas";#N/A,#N/A,FALSE,"Total_OC015";#N/A,#N/A,FALSE,"ADMIN";#N/A,#N/A,FALSE,"PROCES";#N/A,#N/A,FALSE,"civil";#N/A,#N/A,FALSE,"CAÑER";#N/A,#N/A,FALSE,"ELEC";#N/A,#N/A,FALSE,"INSTR";#N/A,#N/A,FALSE,"PDS";#N/A,#N/A,FALSE,"mecan"}</definedName>
    <definedName name="aaaaaaaaa" localSheetId="0"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aaaaaaaa" localSheetId="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aaaaaaaa"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aaaaaaaaaa" localSheetId="0" hidden="1">#REF!</definedName>
    <definedName name="aaaaaaaaaaa" hidden="1">#REF!</definedName>
    <definedName name="ab" localSheetId="0" hidden="1">{#N/A,#N/A,FALSE,"masez (10)";#N/A,#N/A,FALSE,"masez (7)";#N/A,#N/A,FALSE,"masez (6)";#N/A,#N/A,FALSE,"masez (5)";#N/A,#N/A,FALSE,"masez (4)";#N/A,#N/A,FALSE,"masez (3)";#N/A,#N/A,FALSE,"masez (2)";#N/A,#N/A,FALSE,"GME";#N/A,#N/A,FALSE,"masez"}</definedName>
    <definedName name="ab" localSheetId="2" hidden="1">{#N/A,#N/A,FALSE,"masez (10)";#N/A,#N/A,FALSE,"masez (7)";#N/A,#N/A,FALSE,"masez (6)";#N/A,#N/A,FALSE,"masez (5)";#N/A,#N/A,FALSE,"masez (4)";#N/A,#N/A,FALSE,"masez (3)";#N/A,#N/A,FALSE,"masez (2)";#N/A,#N/A,FALSE,"GME";#N/A,#N/A,FALSE,"masez"}</definedName>
    <definedName name="ab" hidden="1">{#N/A,#N/A,FALSE,"masez (10)";#N/A,#N/A,FALSE,"masez (7)";#N/A,#N/A,FALSE,"masez (6)";#N/A,#N/A,FALSE,"masez (5)";#N/A,#N/A,FALSE,"masez (4)";#N/A,#N/A,FALSE,"masez (3)";#N/A,#N/A,FALSE,"masez (2)";#N/A,#N/A,FALSE,"GME";#N/A,#N/A,FALSE,"masez"}</definedName>
    <definedName name="ABARTH" localSheetId="0" hidden="1">{#N/A,#N/A,FALSE,"TEC-01";#N/A,#N/A,FALSE,"TEC - 02";#N/A,#N/A,FALSE,"TEC - 03";#N/A,#N/A,FALSE,"TEC - 04";#N/A,#N/A,FALSE,"TEC-07";#N/A,#N/A,FALSE,"TEC-08";#N/A,#N/A,FALSE,"TEC - 09A";#N/A,#N/A,FALSE,"TEC - 09B";#N/A,#N/A,FALSE,"TEC - 09C";#N/A,#N/A,FALSE,"TEC - 10";#N/A,#N/A,FALSE,"TEC-11"}</definedName>
    <definedName name="ABARTH" localSheetId="2" hidden="1">{#N/A,#N/A,FALSE,"TEC-01";#N/A,#N/A,FALSE,"TEC - 02";#N/A,#N/A,FALSE,"TEC - 03";#N/A,#N/A,FALSE,"TEC - 04";#N/A,#N/A,FALSE,"TEC-07";#N/A,#N/A,FALSE,"TEC-08";#N/A,#N/A,FALSE,"TEC - 09A";#N/A,#N/A,FALSE,"TEC - 09B";#N/A,#N/A,FALSE,"TEC - 09C";#N/A,#N/A,FALSE,"TEC - 10";#N/A,#N/A,FALSE,"TEC-11"}</definedName>
    <definedName name="ABARTH" hidden="1">{#N/A,#N/A,FALSE,"TEC-01";#N/A,#N/A,FALSE,"TEC - 02";#N/A,#N/A,FALSE,"TEC - 03";#N/A,#N/A,FALSE,"TEC - 04";#N/A,#N/A,FALSE,"TEC-07";#N/A,#N/A,FALSE,"TEC-08";#N/A,#N/A,FALSE,"TEC - 09A";#N/A,#N/A,FALSE,"TEC - 09B";#N/A,#N/A,FALSE,"TEC - 09C";#N/A,#N/A,FALSE,"TEC - 10";#N/A,#N/A,FALSE,"TEC-11"}</definedName>
    <definedName name="ABC" localSheetId="0" hidden="1">{#N/A,#N/A,FALSE,"ET-CAPA";#N/A,#N/A,FALSE,"ET-PAG1";#N/A,#N/A,FALSE,"ET-PAG2";#N/A,#N/A,FALSE,"ET-PAG3";#N/A,#N/A,FALSE,"ET-PAG4";#N/A,#N/A,FALSE,"ET-PAG5"}</definedName>
    <definedName name="ABC" localSheetId="2" hidden="1">{#N/A,#N/A,FALSE,"ET-CAPA";#N/A,#N/A,FALSE,"ET-PAG1";#N/A,#N/A,FALSE,"ET-PAG2";#N/A,#N/A,FALSE,"ET-PAG3";#N/A,#N/A,FALSE,"ET-PAG4";#N/A,#N/A,FALSE,"ET-PAG5"}</definedName>
    <definedName name="ABC" hidden="1">{#N/A,#N/A,FALSE,"ET-CAPA";#N/A,#N/A,FALSE,"ET-PAG1";#N/A,#N/A,FALSE,"ET-PAG2";#N/A,#N/A,FALSE,"ET-PAG3";#N/A,#N/A,FALSE,"ET-PAG4";#N/A,#N/A,FALSE,"ET-PAG5"}</definedName>
    <definedName name="ABCD" localSheetId="0">#REF!</definedName>
    <definedName name="ABCD">#REF!</definedName>
    <definedName name="abono_ano" localSheetId="0">#REF!</definedName>
    <definedName name="abono_ano">#REF!</definedName>
    <definedName name="AC010_" localSheetId="0">#REF!</definedName>
    <definedName name="AC010_">#REF!</definedName>
    <definedName name="AC020_" localSheetId="0">#REF!</definedName>
    <definedName name="AC020_">#REF!</definedName>
    <definedName name="AC030_" localSheetId="0">#REF!</definedName>
    <definedName name="AC030_">#REF!</definedName>
    <definedName name="AC040_" localSheetId="0">#REF!</definedName>
    <definedName name="AC040_">#REF!</definedName>
    <definedName name="AC050_" localSheetId="0">#REF!</definedName>
    <definedName name="AC050_">#REF!</definedName>
    <definedName name="AC060_" localSheetId="0">#REF!</definedName>
    <definedName name="AC060_">#REF!</definedName>
    <definedName name="AC070_" localSheetId="0">#REF!</definedName>
    <definedName name="AC070_">#REF!</definedName>
    <definedName name="AC080_" localSheetId="0">#REF!</definedName>
    <definedName name="AC080_">#REF!</definedName>
    <definedName name="AC090_" localSheetId="0">#REF!</definedName>
    <definedName name="AC090_">#REF!</definedName>
    <definedName name="AC100_" localSheetId="0">#REF!</definedName>
    <definedName name="AC100_">#REF!</definedName>
    <definedName name="AC110_" localSheetId="0">#REF!</definedName>
    <definedName name="AC110_">#REF!</definedName>
    <definedName name="AC120_" localSheetId="0">#REF!</definedName>
    <definedName name="AC120_">#REF!</definedName>
    <definedName name="AC130_" localSheetId="0">#REF!</definedName>
    <definedName name="AC130_">#REF!</definedName>
    <definedName name="AC140_" localSheetId="0">#REF!</definedName>
    <definedName name="AC140_">#REF!</definedName>
    <definedName name="AC150_" localSheetId="0">#REF!</definedName>
    <definedName name="AC150_">#REF!</definedName>
    <definedName name="AC160_" localSheetId="0">#REF!</definedName>
    <definedName name="AC160_">#REF!</definedName>
    <definedName name="AC170_" localSheetId="0">#REF!</definedName>
    <definedName name="AC170_">#REF!</definedName>
    <definedName name="AC180_" localSheetId="0">#REF!</definedName>
    <definedName name="AC180_">#REF!</definedName>
    <definedName name="AC190_" localSheetId="0">#REF!</definedName>
    <definedName name="AC190_">#REF!</definedName>
    <definedName name="AC200_" localSheetId="0">#REF!</definedName>
    <definedName name="AC200_">#REF!</definedName>
    <definedName name="AC210_" localSheetId="0">#REF!</definedName>
    <definedName name="AC210_">#REF!</definedName>
    <definedName name="AC220_" localSheetId="0">#REF!</definedName>
    <definedName name="AC220_">#REF!</definedName>
    <definedName name="AC230_" localSheetId="0">#REF!</definedName>
    <definedName name="AC230_">#REF!</definedName>
    <definedName name="AC920_" localSheetId="0">#REF!</definedName>
    <definedName name="AC920_">#REF!</definedName>
    <definedName name="AC940_" localSheetId="0">#REF!</definedName>
    <definedName name="AC940_">#REF!</definedName>
    <definedName name="AC950_" localSheetId="0">#REF!</definedName>
    <definedName name="AC950_">#REF!</definedName>
    <definedName name="AC960_" localSheetId="0">#REF!</definedName>
    <definedName name="AC960_">#REF!</definedName>
    <definedName name="AC970_" localSheetId="0">#REF!</definedName>
    <definedName name="AC970_">#REF!</definedName>
    <definedName name="Ação" localSheetId="0">#REF!</definedName>
    <definedName name="Ação">#REF!</definedName>
    <definedName name="Accom_BR" localSheetId="0">#REF!</definedName>
    <definedName name="Accom_BR">#REF!</definedName>
    <definedName name="Accom_SAF">#REF!</definedName>
    <definedName name="AÇO_TRILHO">#REF!</definedName>
    <definedName name="ACON" localSheetId="0">#REF!</definedName>
    <definedName name="ACON">#REF!</definedName>
    <definedName name="acres" localSheetId="0">#REF!</definedName>
    <definedName name="acres">#REF!</definedName>
    <definedName name="ACT" localSheetId="0">#REF!</definedName>
    <definedName name="ACT">#REF!</definedName>
    <definedName name="ActivityType" localSheetId="0">#REF!</definedName>
    <definedName name="ActivityType">#REF!</definedName>
    <definedName name="ActivityTypes" localSheetId="0">#REF!</definedName>
    <definedName name="ActivityTypes">#REF!</definedName>
    <definedName name="Actual" localSheetId="0">#REF!</definedName>
    <definedName name="Actual">#REF!</definedName>
    <definedName name="Actual_Cum_Cost_Summary" localSheetId="0">#REF!</definedName>
    <definedName name="Actual_Cum_Cost_Summary">#REF!</definedName>
    <definedName name="Actual_Cum_Mhrs_Summary" localSheetId="0">#REF!</definedName>
    <definedName name="Actual_Cum_Mhrs_Summary">#REF!</definedName>
    <definedName name="actual_rate" localSheetId="0">#REF!</definedName>
    <definedName name="actual_rate">#REF!</definedName>
    <definedName name="adad" localSheetId="0">#REF!</definedName>
    <definedName name="adad">#REF!</definedName>
    <definedName name="ADD" localSheetId="0">#REF!</definedName>
    <definedName name="ADD">#REF!</definedName>
    <definedName name="AddProjectFees" localSheetId="0">#REF!</definedName>
    <definedName name="AddProjectFees">#REF!</definedName>
    <definedName name="ADEQUAÇÃO" localSheetId="0">#REF!</definedName>
    <definedName name="ADEQUAÇÃO">#REF!</definedName>
    <definedName name="adf" localSheetId="0">#REF!</definedName>
    <definedName name="adf">#REF!</definedName>
    <definedName name="adfdfa" localSheetId="0" hidden="1">{#N/A,#N/A,FALSE,"GERAL";#N/A,#N/A,FALSE,"012-96";#N/A,#N/A,FALSE,"018-96";#N/A,#N/A,FALSE,"027-96";#N/A,#N/A,FALSE,"059-96";#N/A,#N/A,FALSE,"076-96";#N/A,#N/A,FALSE,"019-97";#N/A,#N/A,FALSE,"021-97";#N/A,#N/A,FALSE,"022-97";#N/A,#N/A,FALSE,"028-97"}</definedName>
    <definedName name="adfdfa" localSheetId="2" hidden="1">{#N/A,#N/A,FALSE,"GERAL";#N/A,#N/A,FALSE,"012-96";#N/A,#N/A,FALSE,"018-96";#N/A,#N/A,FALSE,"027-96";#N/A,#N/A,FALSE,"059-96";#N/A,#N/A,FALSE,"076-96";#N/A,#N/A,FALSE,"019-97";#N/A,#N/A,FALSE,"021-97";#N/A,#N/A,FALSE,"022-97";#N/A,#N/A,FALSE,"028-97"}</definedName>
    <definedName name="adfdfa" hidden="1">{#N/A,#N/A,FALSE,"GERAL";#N/A,#N/A,FALSE,"012-96";#N/A,#N/A,FALSE,"018-96";#N/A,#N/A,FALSE,"027-96";#N/A,#N/A,FALSE,"059-96";#N/A,#N/A,FALSE,"076-96";#N/A,#N/A,FALSE,"019-97";#N/A,#N/A,FALSE,"021-97";#N/A,#N/A,FALSE,"022-97";#N/A,#N/A,FALSE,"028-97"}</definedName>
    <definedName name="adicional_eixo" localSheetId="0">#REF!</definedName>
    <definedName name="adicional_eixo">#REF!</definedName>
    <definedName name="ADM" localSheetId="0">#REF!</definedName>
    <definedName name="ADM">#REF!</definedName>
    <definedName name="Adm.Central" localSheetId="0">#REF!</definedName>
    <definedName name="Adm.Central">#REF!</definedName>
    <definedName name="Adm.Local" localSheetId="0">#REF!</definedName>
    <definedName name="Adm.Local">#REF!</definedName>
    <definedName name="Adm_Fee">#REF!</definedName>
    <definedName name="ADMINISTRAÇÃO_DO_SITE" localSheetId="0">#REF!</definedName>
    <definedName name="ADMINISTRAÇÃO_DO_SITE">#REF!</definedName>
    <definedName name="Administracion_de_la_Construccion" localSheetId="0">#REF!</definedName>
    <definedName name="Administracion_de_la_Construccion">#REF!</definedName>
    <definedName name="adsf" localSheetId="0">#REF!</definedName>
    <definedName name="adsf">#REF!</definedName>
    <definedName name="adsfad" localSheetId="0" hidden="1">{#N/A,#N/A,FALSE,"GERAL";#N/A,#N/A,FALSE,"012-96";#N/A,#N/A,FALSE,"018-96";#N/A,#N/A,FALSE,"027-96";#N/A,#N/A,FALSE,"059-96";#N/A,#N/A,FALSE,"076-96";#N/A,#N/A,FALSE,"019-97";#N/A,#N/A,FALSE,"021-97";#N/A,#N/A,FALSE,"022-97";#N/A,#N/A,FALSE,"028-97"}</definedName>
    <definedName name="adsfad" localSheetId="2" hidden="1">{#N/A,#N/A,FALSE,"GERAL";#N/A,#N/A,FALSE,"012-96";#N/A,#N/A,FALSE,"018-96";#N/A,#N/A,FALSE,"027-96";#N/A,#N/A,FALSE,"059-96";#N/A,#N/A,FALSE,"076-96";#N/A,#N/A,FALSE,"019-97";#N/A,#N/A,FALSE,"021-97";#N/A,#N/A,FALSE,"022-97";#N/A,#N/A,FALSE,"028-97"}</definedName>
    <definedName name="adsfad" hidden="1">{#N/A,#N/A,FALSE,"GERAL";#N/A,#N/A,FALSE,"012-96";#N/A,#N/A,FALSE,"018-96";#N/A,#N/A,FALSE,"027-96";#N/A,#N/A,FALSE,"059-96";#N/A,#N/A,FALSE,"076-96";#N/A,#N/A,FALSE,"019-97";#N/A,#N/A,FALSE,"021-97";#N/A,#N/A,FALSE,"022-97";#N/A,#N/A,FALSE,"028-97"}</definedName>
    <definedName name="AF" localSheetId="0">#REF!</definedName>
    <definedName name="AF">#REF!</definedName>
    <definedName name="afdfd" localSheetId="0" hidden="1">{#N/A,#N/A,FALSE,"GERAL";#N/A,#N/A,FALSE,"012-96";#N/A,#N/A,FALSE,"018-96";#N/A,#N/A,FALSE,"027-96";#N/A,#N/A,FALSE,"059-96";#N/A,#N/A,FALSE,"076-96";#N/A,#N/A,FALSE,"019-97";#N/A,#N/A,FALSE,"021-97";#N/A,#N/A,FALSE,"022-97";#N/A,#N/A,FALSE,"028-97"}</definedName>
    <definedName name="afdfd" localSheetId="2" hidden="1">{#N/A,#N/A,FALSE,"GERAL";#N/A,#N/A,FALSE,"012-96";#N/A,#N/A,FALSE,"018-96";#N/A,#N/A,FALSE,"027-96";#N/A,#N/A,FALSE,"059-96";#N/A,#N/A,FALSE,"076-96";#N/A,#N/A,FALSE,"019-97";#N/A,#N/A,FALSE,"021-97";#N/A,#N/A,FALSE,"022-97";#N/A,#N/A,FALSE,"028-97"}</definedName>
    <definedName name="afdfd" hidden="1">{#N/A,#N/A,FALSE,"GERAL";#N/A,#N/A,FALSE,"012-96";#N/A,#N/A,FALSE,"018-96";#N/A,#N/A,FALSE,"027-96";#N/A,#N/A,FALSE,"059-96";#N/A,#N/A,FALSE,"076-96";#N/A,#N/A,FALSE,"019-97";#N/A,#N/A,FALSE,"021-97";#N/A,#N/A,FALSE,"022-97";#N/A,#N/A,FALSE,"028-97"}</definedName>
    <definedName name="afs" localSheetId="0"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fs" localSheetId="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fs"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ga" localSheetId="0" hidden="1">{#N/A,#N/A,FALSE,"GERAL";#N/A,#N/A,FALSE,"012-96";#N/A,#N/A,FALSE,"018-96";#N/A,#N/A,FALSE,"027-96";#N/A,#N/A,FALSE,"059-96";#N/A,#N/A,FALSE,"076-96";#N/A,#N/A,FALSE,"019-97";#N/A,#N/A,FALSE,"021-97";#N/A,#N/A,FALSE,"022-97";#N/A,#N/A,FALSE,"028-97"}</definedName>
    <definedName name="aga" localSheetId="2" hidden="1">{#N/A,#N/A,FALSE,"GERAL";#N/A,#N/A,FALSE,"012-96";#N/A,#N/A,FALSE,"018-96";#N/A,#N/A,FALSE,"027-96";#N/A,#N/A,FALSE,"059-96";#N/A,#N/A,FALSE,"076-96";#N/A,#N/A,FALSE,"019-97";#N/A,#N/A,FALSE,"021-97";#N/A,#N/A,FALSE,"022-97";#N/A,#N/A,FALSE,"028-97"}</definedName>
    <definedName name="aga" hidden="1">{#N/A,#N/A,FALSE,"GERAL";#N/A,#N/A,FALSE,"012-96";#N/A,#N/A,FALSE,"018-96";#N/A,#N/A,FALSE,"027-96";#N/A,#N/A,FALSE,"059-96";#N/A,#N/A,FALSE,"076-96";#N/A,#N/A,FALSE,"019-97";#N/A,#N/A,FALSE,"021-97";#N/A,#N/A,FALSE,"022-97";#N/A,#N/A,FALSE,"028-97"}</definedName>
    <definedName name="agdadf" localSheetId="0" hidden="1">{#N/A,#N/A,FALSE,"GERAL";#N/A,#N/A,FALSE,"012-96";#N/A,#N/A,FALSE,"018-96";#N/A,#N/A,FALSE,"027-96";#N/A,#N/A,FALSE,"059-96";#N/A,#N/A,FALSE,"076-96";#N/A,#N/A,FALSE,"019-97";#N/A,#N/A,FALSE,"021-97";#N/A,#N/A,FALSE,"022-97";#N/A,#N/A,FALSE,"028-97"}</definedName>
    <definedName name="agdadf" localSheetId="2" hidden="1">{#N/A,#N/A,FALSE,"GERAL";#N/A,#N/A,FALSE,"012-96";#N/A,#N/A,FALSE,"018-96";#N/A,#N/A,FALSE,"027-96";#N/A,#N/A,FALSE,"059-96";#N/A,#N/A,FALSE,"076-96";#N/A,#N/A,FALSE,"019-97";#N/A,#N/A,FALSE,"021-97";#N/A,#N/A,FALSE,"022-97";#N/A,#N/A,FALSE,"028-97"}</definedName>
    <definedName name="agdadf" hidden="1">{#N/A,#N/A,FALSE,"GERAL";#N/A,#N/A,FALSE,"012-96";#N/A,#N/A,FALSE,"018-96";#N/A,#N/A,FALSE,"027-96";#N/A,#N/A,FALSE,"059-96";#N/A,#N/A,FALSE,"076-96";#N/A,#N/A,FALSE,"019-97";#N/A,#N/A,FALSE,"021-97";#N/A,#N/A,FALSE,"022-97";#N/A,#N/A,FALSE,"028-97"}</definedName>
    <definedName name="Agen" localSheetId="0">#REF!</definedName>
    <definedName name="Agen">#REF!</definedName>
    <definedName name="Agency" localSheetId="0">#REF!</definedName>
    <definedName name="Agency">#REF!</definedName>
    <definedName name="agga" localSheetId="0" hidden="1">{#N/A,#N/A,FALSE,"GERAL";#N/A,#N/A,FALSE,"012-96";#N/A,#N/A,FALSE,"018-96";#N/A,#N/A,FALSE,"027-96";#N/A,#N/A,FALSE,"059-96";#N/A,#N/A,FALSE,"076-96";#N/A,#N/A,FALSE,"019-97";#N/A,#N/A,FALSE,"021-97";#N/A,#N/A,FALSE,"022-97";#N/A,#N/A,FALSE,"028-97"}</definedName>
    <definedName name="agga" localSheetId="2" hidden="1">{#N/A,#N/A,FALSE,"GERAL";#N/A,#N/A,FALSE,"012-96";#N/A,#N/A,FALSE,"018-96";#N/A,#N/A,FALSE,"027-96";#N/A,#N/A,FALSE,"059-96";#N/A,#N/A,FALSE,"076-96";#N/A,#N/A,FALSE,"019-97";#N/A,#N/A,FALSE,"021-97";#N/A,#N/A,FALSE,"022-97";#N/A,#N/A,FALSE,"028-97"}</definedName>
    <definedName name="agga" hidden="1">{#N/A,#N/A,FALSE,"GERAL";#N/A,#N/A,FALSE,"012-96";#N/A,#N/A,FALSE,"018-96";#N/A,#N/A,FALSE,"027-96";#N/A,#N/A,FALSE,"059-96";#N/A,#N/A,FALSE,"076-96";#N/A,#N/A,FALSE,"019-97";#N/A,#N/A,FALSE,"021-97";#N/A,#N/A,FALSE,"022-97";#N/A,#N/A,FALSE,"028-97"}</definedName>
    <definedName name="agua" localSheetId="0" hidden="1">{#N/A,#N/A,FALSE,"GERAL";#N/A,#N/A,FALSE,"012-96";#N/A,#N/A,FALSE,"018-96";#N/A,#N/A,FALSE,"027-96";#N/A,#N/A,FALSE,"059-96";#N/A,#N/A,FALSE,"076-96";#N/A,#N/A,FALSE,"019-97";#N/A,#N/A,FALSE,"021-97";#N/A,#N/A,FALSE,"022-97";#N/A,#N/A,FALSE,"028-97"}</definedName>
    <definedName name="agua" localSheetId="2" hidden="1">{#N/A,#N/A,FALSE,"GERAL";#N/A,#N/A,FALSE,"012-96";#N/A,#N/A,FALSE,"018-96";#N/A,#N/A,FALSE,"027-96";#N/A,#N/A,FALSE,"059-96";#N/A,#N/A,FALSE,"076-96";#N/A,#N/A,FALSE,"019-97";#N/A,#N/A,FALSE,"021-97";#N/A,#N/A,FALSE,"022-97";#N/A,#N/A,FALSE,"028-97"}</definedName>
    <definedName name="agua" hidden="1">{#N/A,#N/A,FALSE,"GERAL";#N/A,#N/A,FALSE,"012-96";#N/A,#N/A,FALSE,"018-96";#N/A,#N/A,FALSE,"027-96";#N/A,#N/A,FALSE,"059-96";#N/A,#N/A,FALSE,"076-96";#N/A,#N/A,FALSE,"019-97";#N/A,#N/A,FALSE,"021-97";#N/A,#N/A,FALSE,"022-97";#N/A,#N/A,FALSE,"028-97"}</definedName>
    <definedName name="AIMP" localSheetId="0">#REF!</definedName>
    <definedName name="AIMP">#REF!</definedName>
    <definedName name="AJUDA" localSheetId="0">#REF!</definedName>
    <definedName name="AJUDA">#REF!</definedName>
    <definedName name="alalala" localSheetId="0">#REF!</definedName>
    <definedName name="alalala">#REF!</definedName>
    <definedName name="ALBS" localSheetId="0">#REF!</definedName>
    <definedName name="ALBS">#REF!</definedName>
    <definedName name="alcada">#REF!</definedName>
    <definedName name="ALESSNADRA" localSheetId="0" hidden="1">#REF!</definedName>
    <definedName name="ALESSNADRA" hidden="1">#REF!</definedName>
    <definedName name="alim" localSheetId="0">#REF!</definedName>
    <definedName name="alim">#REF!</definedName>
    <definedName name="aliment" localSheetId="0">#REF!</definedName>
    <definedName name="aliment">#REF!</definedName>
    <definedName name="Aliment.Adm.Local" localSheetId="0">#REF!</definedName>
    <definedName name="Aliment.Adm.Local">#REF!</definedName>
    <definedName name="Aliment.MOD" localSheetId="0">#REF!</definedName>
    <definedName name="Aliment.MOD">#REF!</definedName>
    <definedName name="ALIMENTACAO" localSheetId="0">#REF!</definedName>
    <definedName name="ALIMENTACAO">#REF!</definedName>
    <definedName name="ALLMKUP" localSheetId="0">#REF!</definedName>
    <definedName name="ALLMKUP">#REF!</definedName>
    <definedName name="allow" localSheetId="0">#REF!</definedName>
    <definedName name="allow">#REF!</definedName>
    <definedName name="Alonso_Peraita" localSheetId="0">#REF!</definedName>
    <definedName name="Alonso_Peraita">#REF!</definedName>
    <definedName name="Alternativa" localSheetId="0">#REF!</definedName>
    <definedName name="Alternativa">#REF!</definedName>
    <definedName name="amante" localSheetId="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2"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NAC" localSheetId="0">#REF!</definedName>
    <definedName name="ANAC">#REF!</definedName>
    <definedName name="Analista" localSheetId="0">#REF!</definedName>
    <definedName name="Analista">#REF!</definedName>
    <definedName name="ANALYSE" localSheetId="0">#REF!</definedName>
    <definedName name="ANALYSE">#REF!</definedName>
    <definedName name="andrea1">#N/A</definedName>
    <definedName name="Anexo" localSheetId="0">#REF!</definedName>
    <definedName name="Anexo">#REF!</definedName>
    <definedName name="ANEXO_10_MATRIZ_DE_RESPONSABILIDADE" localSheetId="0">#REF!</definedName>
    <definedName name="ANEXO_10_MATRIZ_DE_RESPONSABILIDADE">#REF!</definedName>
    <definedName name="Año" localSheetId="0">#REF!</definedName>
    <definedName name="Año">#REF!</definedName>
    <definedName name="anscount" hidden="1">1</definedName>
    <definedName name="ANSIB_SCH" localSheetId="0">#REF!</definedName>
    <definedName name="ANSIB_SCH">#REF!</definedName>
    <definedName name="ANTEC" localSheetId="0"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 localSheetId="2"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P_Ind" localSheetId="0">#REF!</definedName>
    <definedName name="AP_Ind">#REF!</definedName>
    <definedName name="AP_trab" localSheetId="0">#REF!</definedName>
    <definedName name="AP_trab">#REF!</definedName>
    <definedName name="API" localSheetId="0">#REF!</definedName>
    <definedName name="API">#REF!</definedName>
    <definedName name="API_ESP" localSheetId="0">#REF!</definedName>
    <definedName name="API_ESP">#REF!</definedName>
    <definedName name="APMKUP" localSheetId="0">#REF!</definedName>
    <definedName name="APMKUP">#REF!</definedName>
    <definedName name="APOIO" localSheetId="0">#REF!</definedName>
    <definedName name="APOIO">#REF!</definedName>
    <definedName name="ApoioTécnico" localSheetId="0">#REF!</definedName>
    <definedName name="ApoioTécnico">#REF!</definedName>
    <definedName name="aq" localSheetId="0"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q" localSheetId="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q"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qaqa" localSheetId="0" hidden="1">{#N/A,#N/A,FALSE,"minas";#N/A,#N/A,FALSE,"Total_OC015";#N/A,#N/A,FALSE,"ADMIN";#N/A,#N/A,FALSE,"PROCES";#N/A,#N/A,FALSE,"civil";#N/A,#N/A,FALSE,"CAÑER";#N/A,#N/A,FALSE,"ELEC";#N/A,#N/A,FALSE,"INSTR";#N/A,#N/A,FALSE,"PDS";#N/A,#N/A,FALSE,"mecan"}</definedName>
    <definedName name="aqaqa" localSheetId="2" hidden="1">{#N/A,#N/A,FALSE,"minas";#N/A,#N/A,FALSE,"Total_OC015";#N/A,#N/A,FALSE,"ADMIN";#N/A,#N/A,FALSE,"PROCES";#N/A,#N/A,FALSE,"civil";#N/A,#N/A,FALSE,"CAÑER";#N/A,#N/A,FALSE,"ELEC";#N/A,#N/A,FALSE,"INSTR";#N/A,#N/A,FALSE,"PDS";#N/A,#N/A,FALSE,"mecan"}</definedName>
    <definedName name="aqaqa" hidden="1">{#N/A,#N/A,FALSE,"minas";#N/A,#N/A,FALSE,"Total_OC015";#N/A,#N/A,FALSE,"ADMIN";#N/A,#N/A,FALSE,"PROCES";#N/A,#N/A,FALSE,"civil";#N/A,#N/A,FALSE,"CAÑER";#N/A,#N/A,FALSE,"ELEC";#N/A,#N/A,FALSE,"INSTR";#N/A,#N/A,FALSE,"PDS";#N/A,#N/A,FALSE,"mecan"}</definedName>
    <definedName name="AQUISICAO" localSheetId="0">#REF!</definedName>
    <definedName name="AQUISICAO">#REF!</definedName>
    <definedName name="ARCHITECTURAL" localSheetId="0">#REF!</definedName>
    <definedName name="ARCHITECTURAL">#REF!</definedName>
    <definedName name="Area" localSheetId="0">#REF!</definedName>
    <definedName name="Area">#REF!</definedName>
    <definedName name="ÀREA" localSheetId="0">#REF!</definedName>
    <definedName name="ÀREA">#REF!</definedName>
    <definedName name="área_210" localSheetId="0">#REF!</definedName>
    <definedName name="área_210">#REF!</definedName>
    <definedName name="ÀREA_ACUM" localSheetId="0">#REF!</definedName>
    <definedName name="ÀREA_ACUM">#REF!</definedName>
    <definedName name="_xlnm.Print_Area" localSheetId="0">APR!$B$1:$U$65</definedName>
    <definedName name="_xlnm.Print_Area" localSheetId="8">'BDI-TRIBUTOS'!$B$1:$D$27</definedName>
    <definedName name="_xlnm.Print_Area" localSheetId="1">CHECK!$B$1:$E$151</definedName>
    <definedName name="_xlnm.Print_Area" localSheetId="3">'CPU  1 '!$B$1:$K$151</definedName>
    <definedName name="_xlnm.Print_Area" localSheetId="9">'ENCARGOS SOCIAIS'!$B$1:$E$33</definedName>
    <definedName name="_xlnm.Print_Area" localSheetId="4">MO!$B$1:$I$21</definedName>
    <definedName name="_xlnm.Print_Area" localSheetId="2">QQP!$B$1:$G$55</definedName>
    <definedName name="_xlnm.Print_Area">#REF!</definedName>
    <definedName name="Área_impressão_IM">#N/A</definedName>
    <definedName name="Área1" localSheetId="0">#REF!</definedName>
    <definedName name="Área1">#REF!</definedName>
    <definedName name="Área2" localSheetId="0">#REF!</definedName>
    <definedName name="Área2">#REF!</definedName>
    <definedName name="Área3" localSheetId="0">#REF!</definedName>
    <definedName name="Área3">#REF!</definedName>
    <definedName name="AREA3D" localSheetId="0">#REF!</definedName>
    <definedName name="AREA3D">#REF!</definedName>
    <definedName name="AREA4" localSheetId="0">#REF!</definedName>
    <definedName name="AREA4">#REF!</definedName>
    <definedName name="AREA5" localSheetId="0">#REF!</definedName>
    <definedName name="AREA5">#REF!</definedName>
    <definedName name="AREA6" localSheetId="0">#REF!</definedName>
    <definedName name="AREA6">#REF!</definedName>
    <definedName name="AreaCodes" localSheetId="0">#REF!</definedName>
    <definedName name="AreaCodes">#REF!</definedName>
    <definedName name="AreaEightThreeZero" localSheetId="0">#REF!</definedName>
    <definedName name="AreaEightThreeZero">#REF!</definedName>
    <definedName name="AreaFiveOneZero" localSheetId="0">#REF!</definedName>
    <definedName name="AreaFiveOneZero">#REF!</definedName>
    <definedName name="AreaFiveSevenZero" localSheetId="0">#REF!</definedName>
    <definedName name="AreaFiveSevenZero">#REF!</definedName>
    <definedName name="AreaFiveTwoZero" localSheetId="0">#REF!</definedName>
    <definedName name="AreaFiveTwoZero">#REF!</definedName>
    <definedName name="AreaFourFourZero" localSheetId="0">#REF!</definedName>
    <definedName name="AreaFourFourZero">#REF!</definedName>
    <definedName name="AreaFourOneZero" localSheetId="0">#REF!</definedName>
    <definedName name="AreaFourOneZero">#REF!</definedName>
    <definedName name="AreaFourTwoZero" localSheetId="0">#REF!</definedName>
    <definedName name="AreaFourTwoZero">#REF!</definedName>
    <definedName name="AreaNineEightFour" localSheetId="0">#REF!</definedName>
    <definedName name="AreaNineEightFour">#REF!</definedName>
    <definedName name="AreaNineEightTwo" localSheetId="0">#REF!</definedName>
    <definedName name="AreaNineEightTwo">#REF!</definedName>
    <definedName name="AreaNineEightZero" localSheetId="0">#REF!</definedName>
    <definedName name="AreaNineEightZero">#REF!</definedName>
    <definedName name="AreaNineFourZero" localSheetId="0">#REF!</definedName>
    <definedName name="AreaNineFourZero">#REF!</definedName>
    <definedName name="AreaNineNineZero" localSheetId="0">#REF!</definedName>
    <definedName name="AreaNineNineZero">#REF!</definedName>
    <definedName name="AreaNineSixZero" localSheetId="0">#REF!</definedName>
    <definedName name="AreaNineSixZero">#REF!</definedName>
    <definedName name="AreaNineThreeZero" localSheetId="0">#REF!</definedName>
    <definedName name="AreaNineThreeZero">#REF!</definedName>
    <definedName name="AreaNineTwoZero" localSheetId="0">#REF!</definedName>
    <definedName name="AreaNineTwoZero">#REF!</definedName>
    <definedName name="AreaOneOneZero" localSheetId="0">#REF!</definedName>
    <definedName name="AreaOneOneZero">#REF!</definedName>
    <definedName name="AreaOneThreeZero" localSheetId="0">#REF!</definedName>
    <definedName name="AreaOneThreeZero">#REF!</definedName>
    <definedName name="AreaOneTwoZero" localSheetId="0">#REF!</definedName>
    <definedName name="AreaOneTwoZero">#REF!</definedName>
    <definedName name="Areas" localSheetId="0">#REF!</definedName>
    <definedName name="Areas">#REF!</definedName>
    <definedName name="AreaSevenFiveZero" localSheetId="0">#REF!</definedName>
    <definedName name="AreaSevenFiveZero">#REF!</definedName>
    <definedName name="AreaSevenFourZero" localSheetId="0">#REF!</definedName>
    <definedName name="AreaSevenFourZero">#REF!</definedName>
    <definedName name="AreaThreeFiveFive" localSheetId="0">#REF!</definedName>
    <definedName name="AreaThreeFiveFive">#REF!</definedName>
    <definedName name="AreaThreeFiveFour" localSheetId="0">#REF!</definedName>
    <definedName name="AreaThreeFiveFour">#REF!</definedName>
    <definedName name="AreaThreeFiveOne" localSheetId="0">#REF!</definedName>
    <definedName name="AreaThreeFiveOne">#REF!</definedName>
    <definedName name="AreaThreeFiveSeven" localSheetId="0">#REF!</definedName>
    <definedName name="AreaThreeFiveSeven">#REF!</definedName>
    <definedName name="AreaThreeFiveSix" localSheetId="0">#REF!</definedName>
    <definedName name="AreaThreeFiveSix">#REF!</definedName>
    <definedName name="AreaThreeFiveThree" localSheetId="0">#REF!</definedName>
    <definedName name="AreaThreeFiveThree">#REF!</definedName>
    <definedName name="AreaThreeFiveTwo" localSheetId="0">#REF!</definedName>
    <definedName name="AreaThreeFiveTwo">#REF!</definedName>
    <definedName name="AreaThreeNineZero" localSheetId="0">#REF!</definedName>
    <definedName name="AreaThreeNineZero">#REF!</definedName>
    <definedName name="AreaThreeSevenFive" localSheetId="0">#REF!</definedName>
    <definedName name="AreaThreeSevenFive">#REF!</definedName>
    <definedName name="AreaThreeSevenFour" localSheetId="0">#REF!</definedName>
    <definedName name="AreaThreeSevenFour">#REF!</definedName>
    <definedName name="AreaThreeSevenOne" localSheetId="0">#REF!</definedName>
    <definedName name="AreaThreeSevenOne">#REF!</definedName>
    <definedName name="AreaThreeSevenThree" localSheetId="0">#REF!</definedName>
    <definedName name="AreaThreeSevenThree">#REF!</definedName>
    <definedName name="AreaThreeThreeFive" localSheetId="0">#REF!</definedName>
    <definedName name="AreaThreeThreeFive">#REF!</definedName>
    <definedName name="AreaThreeThreeFour" localSheetId="0">#REF!</definedName>
    <definedName name="AreaThreeThreeFour">#REF!</definedName>
    <definedName name="AreaThreeThreeOne" localSheetId="0">#REF!</definedName>
    <definedName name="AreaThreeThreeOne">#REF!</definedName>
    <definedName name="AreaThreeThreeSix" localSheetId="0">#REF!</definedName>
    <definedName name="AreaThreeThreeSix">#REF!</definedName>
    <definedName name="AreaThreeThreeThree" localSheetId="0">#REF!</definedName>
    <definedName name="AreaThreeThreeThree">#REF!</definedName>
    <definedName name="AreaThreeThreeTwo" localSheetId="0">#REF!</definedName>
    <definedName name="AreaThreeThreeTwo">#REF!</definedName>
    <definedName name="AreaThreeTwoOne" localSheetId="0">#REF!</definedName>
    <definedName name="AreaThreeTwoOne">#REF!</definedName>
    <definedName name="AreaThreeTwoTwo" localSheetId="0">#REF!</definedName>
    <definedName name="AreaThreeTwoTwo">#REF!</definedName>
    <definedName name="AreaTwoEightZero" localSheetId="0">#REF!</definedName>
    <definedName name="AreaTwoEightZero">#REF!</definedName>
    <definedName name="AreaTwoFiveZero" localSheetId="0">#REF!</definedName>
    <definedName name="AreaTwoFiveZero">#REF!</definedName>
    <definedName name="AreaTwoFourZero" localSheetId="0">#REF!</definedName>
    <definedName name="AreaTwoFourZero">#REF!</definedName>
    <definedName name="AreaTwoOneZero" localSheetId="0">#REF!</definedName>
    <definedName name="AreaTwoOneZero">#REF!</definedName>
    <definedName name="AreaTwoThreeZero" localSheetId="0">#REF!</definedName>
    <definedName name="AreaTwoThreeZero">#REF!</definedName>
    <definedName name="AreaTwoTwoZero" localSheetId="0">#REF!</definedName>
    <definedName name="AreaTwoTwoZero">#REF!</definedName>
    <definedName name="AREE" localSheetId="0">#REF!</definedName>
    <definedName name="AREE">#REF!</definedName>
    <definedName name="Arq_Nome" localSheetId="0">#REF!</definedName>
    <definedName name="Arq_Nome">#REF!</definedName>
    <definedName name="Arranc_de_guias_de_granito" localSheetId="0">#REF!</definedName>
    <definedName name="Arranc_de_guias_de_granito">#REF!</definedName>
    <definedName name="Arranc_de_lajotas_de_concreto" localSheetId="0">#REF!</definedName>
    <definedName name="Arranc_de_lajotas_de_concreto">#REF!</definedName>
    <definedName name="Arranc_de_lousas_de_granito" localSheetId="0">#REF!</definedName>
    <definedName name="Arranc_de_lousas_de_granito">#REF!</definedName>
    <definedName name="Arranc_de_sarjeta_com_2_paralelos_rejuntados" localSheetId="0">#REF!</definedName>
    <definedName name="Arranc_de_sarjeta_com_2_paralelos_rejuntados">#REF!</definedName>
    <definedName name="Arranc_e_reassent_de_guias_de_granito" localSheetId="0">#REF!</definedName>
    <definedName name="Arranc_e_reassent_de_guias_de_granito">#REF!</definedName>
    <definedName name="Arranc_e_reassent_petit_pavet" localSheetId="0">#REF!</definedName>
    <definedName name="Arranc_e_reassent_petit_pavet">#REF!</definedName>
    <definedName name="Arranc_e_reassent_sarjeta_com_2_paralelos_rejunt" localSheetId="0">#REF!</definedName>
    <definedName name="Arranc_e_reassent_sarjeta_com_2_paralelos_rejunt">#REF!</definedName>
    <definedName name="arrrrr" localSheetId="0" hidden="1">{#N/A,#N/A,FALSE,"GERAL";#N/A,#N/A,FALSE,"012-96";#N/A,#N/A,FALSE,"018-96";#N/A,#N/A,FALSE,"027-96";#N/A,#N/A,FALSE,"059-96";#N/A,#N/A,FALSE,"076-96";#N/A,#N/A,FALSE,"019-97";#N/A,#N/A,FALSE,"021-97";#N/A,#N/A,FALSE,"022-97";#N/A,#N/A,FALSE,"028-97"}</definedName>
    <definedName name="arrrrr" localSheetId="2" hidden="1">{#N/A,#N/A,FALSE,"GERAL";#N/A,#N/A,FALSE,"012-96";#N/A,#N/A,FALSE,"018-96";#N/A,#N/A,FALSE,"027-96";#N/A,#N/A,FALSE,"059-96";#N/A,#N/A,FALSE,"076-96";#N/A,#N/A,FALSE,"019-97";#N/A,#N/A,FALSE,"021-97";#N/A,#N/A,FALSE,"022-97";#N/A,#N/A,FALSE,"028-97"}</definedName>
    <definedName name="arrrrr" hidden="1">{#N/A,#N/A,FALSE,"GERAL";#N/A,#N/A,FALSE,"012-96";#N/A,#N/A,FALSE,"018-96";#N/A,#N/A,FALSE,"027-96";#N/A,#N/A,FALSE,"059-96";#N/A,#N/A,FALSE,"076-96";#N/A,#N/A,FALSE,"019-97";#N/A,#N/A,FALSE,"021-97";#N/A,#N/A,FALSE,"022-97";#N/A,#N/A,FALSE,"028-97"}</definedName>
    <definedName name="as" localSheetId="0">#REF!</definedName>
    <definedName name="as">#REF!</definedName>
    <definedName name="asd" localSheetId="0" hidden="1">#REF!</definedName>
    <definedName name="asd" hidden="1">#REF!</definedName>
    <definedName name="ASDSD5" localSheetId="0">#REF!</definedName>
    <definedName name="ASDSD5">#REF!</definedName>
    <definedName name="ASFALTO" localSheetId="0">#REF!</definedName>
    <definedName name="ASFALTO">#REF!</definedName>
    <definedName name="Ass.Méd.Adm.Local" localSheetId="0">#REF!</definedName>
    <definedName name="Ass.Méd.Adm.Local">#REF!</definedName>
    <definedName name="Assig_Inc" localSheetId="0">#REF!</definedName>
    <definedName name="Assig_Inc">#REF!</definedName>
    <definedName name="Assigment" localSheetId="0">#REF!</definedName>
    <definedName name="Assigment">#REF!</definedName>
    <definedName name="Assign_Liv" localSheetId="0">#REF!</definedName>
    <definedName name="Assign_Liv">#REF!</definedName>
    <definedName name="ASSINATURA" localSheetId="0">#REF!</definedName>
    <definedName name="ASSINATURA">#REF!</definedName>
    <definedName name="Assist.Médica" localSheetId="0">#REF!</definedName>
    <definedName name="Assist.Médica">#REF!</definedName>
    <definedName name="at" localSheetId="0">#REF!</definedName>
    <definedName name="at">#REF!</definedName>
    <definedName name="ATF" localSheetId="0">#REF!</definedName>
    <definedName name="ATF">#REF!</definedName>
    <definedName name="ATRA" localSheetId="2">#REF!</definedName>
    <definedName name="ATRA">#REF!</definedName>
    <definedName name="AUD">#REF!</definedName>
    <definedName name="australasia" localSheetId="0">#REF!</definedName>
    <definedName name="australasia">#REF!</definedName>
    <definedName name="AUX" localSheetId="0">#REF!</definedName>
    <definedName name="AUX">#REF!</definedName>
    <definedName name="aux_diam" localSheetId="0">#REF!</definedName>
    <definedName name="aux_diam">#REF!</definedName>
    <definedName name="auxiliar">#REF!</definedName>
    <definedName name="avc" localSheetId="0" hidden="1">{#N/A,#N/A,FALSE,"Total_OC015";#N/A,#N/A,FALSE,"ADMIN";#N/A,#N/A,FALSE,"PROCES";#N/A,#N/A,FALSE,"mecan";#N/A,#N/A,FALSE,"civil";#N/A,#N/A,FALSE,"CAÑER";#N/A,#N/A,FALSE,"ELEC";#N/A,#N/A,FALSE,"INSTR"}</definedName>
    <definedName name="avc" localSheetId="2" hidden="1">{#N/A,#N/A,FALSE,"Total_OC015";#N/A,#N/A,FALSE,"ADMIN";#N/A,#N/A,FALSE,"PROCES";#N/A,#N/A,FALSE,"mecan";#N/A,#N/A,FALSE,"civil";#N/A,#N/A,FALSE,"CAÑER";#N/A,#N/A,FALSE,"ELEC";#N/A,#N/A,FALSE,"INSTR"}</definedName>
    <definedName name="avc" hidden="1">{#N/A,#N/A,FALSE,"Total_OC015";#N/A,#N/A,FALSE,"ADMIN";#N/A,#N/A,FALSE,"PROCES";#N/A,#N/A,FALSE,"mecan";#N/A,#N/A,FALSE,"civil";#N/A,#N/A,FALSE,"CAÑER";#N/A,#N/A,FALSE,"ELEC";#N/A,#N/A,FALSE,"INSTR"}</definedName>
    <definedName name="Avg_Nova_Enco" localSheetId="0">#REF!</definedName>
    <definedName name="Avg_Nova_Enco">#REF!</definedName>
    <definedName name="Avg_Plaorc" localSheetId="0">#REF!</definedName>
    <definedName name="Avg_Plaorc">#REF!</definedName>
    <definedName name="b" localSheetId="0"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b" localSheetId="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b"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b_um" localSheetId="0">#REF!</definedName>
    <definedName name="b_um">#REF!</definedName>
    <definedName name="B6335Data" localSheetId="0">#REF!</definedName>
    <definedName name="B6335Data">#REF!</definedName>
    <definedName name="BALANCE" localSheetId="0">#REF!</definedName>
    <definedName name="BALANCE">#REF!</definedName>
    <definedName name="ban" localSheetId="0">#REF!</definedName>
    <definedName name="ban">#REF!</definedName>
    <definedName name="BANCO" localSheetId="0">#REF!</definedName>
    <definedName name="BANCO">#REF!</definedName>
    <definedName name="BANCO_COMP" localSheetId="0">#REF!</definedName>
    <definedName name="BANCO_COMP">#REF!</definedName>
    <definedName name="_xlnm.Database" localSheetId="0">#REF!</definedName>
    <definedName name="_xlnm.Database">#REF!</definedName>
    <definedName name="BANCO_EQUIP" localSheetId="0">#REF!</definedName>
    <definedName name="BANCO_EQUIP">#REF!</definedName>
    <definedName name="banco1" localSheetId="0">#REF!</definedName>
    <definedName name="banco1">#REF!</definedName>
    <definedName name="bandrate" localSheetId="0">#REF!</definedName>
    <definedName name="bandrate">#REF!</definedName>
    <definedName name="bar" localSheetId="0" hidden="1">{#N/A,#N/A,FALSE,"GERAL";#N/A,#N/A,FALSE,"012-96";#N/A,#N/A,FALSE,"018-96";#N/A,#N/A,FALSE,"027-96";#N/A,#N/A,FALSE,"059-96";#N/A,#N/A,FALSE,"076-96";#N/A,#N/A,FALSE,"019-97";#N/A,#N/A,FALSE,"021-97";#N/A,#N/A,FALSE,"022-97";#N/A,#N/A,FALSE,"028-97"}</definedName>
    <definedName name="bar" localSheetId="2" hidden="1">{#N/A,#N/A,FALSE,"GERAL";#N/A,#N/A,FALSE,"012-96";#N/A,#N/A,FALSE,"018-96";#N/A,#N/A,FALSE,"027-96";#N/A,#N/A,FALSE,"059-96";#N/A,#N/A,FALSE,"076-96";#N/A,#N/A,FALSE,"019-97";#N/A,#N/A,FALSE,"021-97";#N/A,#N/A,FALSE,"022-97";#N/A,#N/A,FALSE,"028-97"}</definedName>
    <definedName name="bar" hidden="1">{#N/A,#N/A,FALSE,"GERAL";#N/A,#N/A,FALSE,"012-96";#N/A,#N/A,FALSE,"018-96";#N/A,#N/A,FALSE,"027-96";#N/A,#N/A,FALSE,"059-96";#N/A,#N/A,FALSE,"076-96";#N/A,#N/A,FALSE,"019-97";#N/A,#N/A,FALSE,"021-97";#N/A,#N/A,FALSE,"022-97";#N/A,#N/A,FALSE,"028-97"}</definedName>
    <definedName name="BAS" localSheetId="0">#REF!</definedName>
    <definedName name="BAS">#REF!</definedName>
    <definedName name="Base" localSheetId="0">#REF!</definedName>
    <definedName name="Base">#REF!</definedName>
    <definedName name="Base_date" localSheetId="0">#REF!</definedName>
    <definedName name="Base_date">#REF!</definedName>
    <definedName name="Base_de_ventas" localSheetId="0">#REF!</definedName>
    <definedName name="Base_de_ventas">#REF!</definedName>
    <definedName name="Base_Site">#REF!</definedName>
    <definedName name="Base_Site_local" localSheetId="0">#REF!</definedName>
    <definedName name="Base_Site_local">#REF!</definedName>
    <definedName name="baseeeeeee" localSheetId="0">#REF!</definedName>
    <definedName name="baseeeeeee">#REF!</definedName>
    <definedName name="BASEES" localSheetId="0">#REF!</definedName>
    <definedName name="BASEES">#REF!</definedName>
    <definedName name="baseevc" localSheetId="0">#REF!</definedName>
    <definedName name="baseevc">#REF!</definedName>
    <definedName name="BaseHours">#REF!</definedName>
    <definedName name="bb" localSheetId="0" hidden="1">{#N/A,#N/A,FALSE,"minas";#N/A,#N/A,FALSE,"Total_OC015";#N/A,#N/A,FALSE,"ADMIN";#N/A,#N/A,FALSE,"PROCES";#N/A,#N/A,FALSE,"civil";#N/A,#N/A,FALSE,"CAÑER";#N/A,#N/A,FALSE,"ELEC";#N/A,#N/A,FALSE,"INSTR";#N/A,#N/A,FALSE,"PDS";#N/A,#N/A,FALSE,"mecan"}</definedName>
    <definedName name="bb" localSheetId="2" hidden="1">{#N/A,#N/A,FALSE,"minas";#N/A,#N/A,FALSE,"Total_OC015";#N/A,#N/A,FALSE,"ADMIN";#N/A,#N/A,FALSE,"PROCES";#N/A,#N/A,FALSE,"civil";#N/A,#N/A,FALSE,"CAÑER";#N/A,#N/A,FALSE,"ELEC";#N/A,#N/A,FALSE,"INSTR";#N/A,#N/A,FALSE,"PDS";#N/A,#N/A,FALSE,"mecan"}</definedName>
    <definedName name="bb" hidden="1">{#N/A,#N/A,FALSE,"minas";#N/A,#N/A,FALSE,"Total_OC015";#N/A,#N/A,FALSE,"ADMIN";#N/A,#N/A,FALSE,"PROCES";#N/A,#N/A,FALSE,"civil";#N/A,#N/A,FALSE,"CAÑER";#N/A,#N/A,FALSE,"ELEC";#N/A,#N/A,FALSE,"INSTR";#N/A,#N/A,FALSE,"PDS";#N/A,#N/A,FALSE,"mecan"}</definedName>
    <definedName name="bbb" localSheetId="0">#REF!</definedName>
    <definedName name="bbb">#REF!</definedName>
    <definedName name="bbbb" localSheetId="0">#REF!</definedName>
    <definedName name="bbbb">#REF!</definedName>
    <definedName name="bbbbb" localSheetId="0">#REF!</definedName>
    <definedName name="bbbbb">#REF!</definedName>
    <definedName name="bca" localSheetId="0" hidden="1">{#N/A,#N/A,FALSE,"ET-CAPA";#N/A,#N/A,FALSE,"ET-PAG1";#N/A,#N/A,FALSE,"ET-PAG2";#N/A,#N/A,FALSE,"ET-PAG3";#N/A,#N/A,FALSE,"ET-PAG4";#N/A,#N/A,FALSE,"ET-PAG5"}</definedName>
    <definedName name="bca" localSheetId="2" hidden="1">{#N/A,#N/A,FALSE,"ET-CAPA";#N/A,#N/A,FALSE,"ET-PAG1";#N/A,#N/A,FALSE,"ET-PAG2";#N/A,#N/A,FALSE,"ET-PAG3";#N/A,#N/A,FALSE,"ET-PAG4";#N/A,#N/A,FALSE,"ET-PAG5"}</definedName>
    <definedName name="bca" hidden="1">{#N/A,#N/A,FALSE,"ET-CAPA";#N/A,#N/A,FALSE,"ET-PAG1";#N/A,#N/A,FALSE,"ET-PAG2";#N/A,#N/A,FALSE,"ET-PAG3";#N/A,#N/A,FALSE,"ET-PAG4";#N/A,#N/A,FALSE,"ET-PAG5"}</definedName>
    <definedName name="BD" localSheetId="0">#REF!</definedName>
    <definedName name="BD">#REF!</definedName>
    <definedName name="BD_CHES" localSheetId="0">#REF!</definedName>
    <definedName name="BD_CHES">#REF!</definedName>
    <definedName name="BD_CO" localSheetId="0">#REF!</definedName>
    <definedName name="BD_CO">#REF!</definedName>
    <definedName name="BD_HH" localSheetId="0">#REF!</definedName>
    <definedName name="BD_HH">#REF!</definedName>
    <definedName name="BD_TOT" localSheetId="0">#REF!</definedName>
    <definedName name="BD_TOT">#REF!</definedName>
    <definedName name="bdados" localSheetId="0">#REF!</definedName>
    <definedName name="bdados">#REF!</definedName>
    <definedName name="bdd" localSheetId="0">#REF!</definedName>
    <definedName name="bdd">#REF!</definedName>
    <definedName name="bddmatt" localSheetId="0">#REF!</definedName>
    <definedName name="bddmatt">#REF!</definedName>
    <definedName name="BDI" localSheetId="0">#REF!</definedName>
    <definedName name="BDI" localSheetId="9">#REF!</definedName>
    <definedName name="BDI" localSheetId="2">#REF!</definedName>
    <definedName name="BDI">#REF!</definedName>
    <definedName name="BDI_Sem_Impostos" localSheetId="0">#REF!</definedName>
    <definedName name="BDI_Sem_Impostos" localSheetId="2">#REF!</definedName>
    <definedName name="BDI_Sem_Impostos">#REF!</definedName>
    <definedName name="BDI_TM" localSheetId="0">#REF!</definedName>
    <definedName name="BDI_TM">#REF!</definedName>
    <definedName name="BenCust" localSheetId="0">#REF!</definedName>
    <definedName name="BenCust">#REF!</definedName>
    <definedName name="Benefits" localSheetId="0">#REF!</definedName>
    <definedName name="Benefits">#REF!</definedName>
    <definedName name="BEx0041RNVGGN8SKGQTWHTVAGKBV" localSheetId="0" hidden="1">#REF!</definedName>
    <definedName name="BEx0041RNVGGN8SKGQTWHTVAGKBV" hidden="1">#REF!</definedName>
    <definedName name="BEx00J6L4N3WDFUWI1GNCD89U2A5" localSheetId="0" hidden="1">#REF!</definedName>
    <definedName name="BEx00J6L4N3WDFUWI1GNCD89U2A5" hidden="1">#REF!</definedName>
    <definedName name="BEx00U9SHQ0NHO9GPJITAMG5T4E9" localSheetId="0" hidden="1">#REF!</definedName>
    <definedName name="BEx00U9SHQ0NHO9GPJITAMG5T4E9" hidden="1">#REF!</definedName>
    <definedName name="BEx01049R9ZE3WM0TJWIDL7I2AO5" localSheetId="0" hidden="1">#REF!</definedName>
    <definedName name="BEx01049R9ZE3WM0TJWIDL7I2AO5" hidden="1">#REF!</definedName>
    <definedName name="BEx01HND10BIF76NP8Z3T2HXCM7F" localSheetId="0" hidden="1">#REF!</definedName>
    <definedName name="BEx01HND10BIF76NP8Z3T2HXCM7F" hidden="1">#REF!</definedName>
    <definedName name="BEx01JWCZ0X2OHSH4G0G4PKSWBW6" localSheetId="0" hidden="1">#REF!</definedName>
    <definedName name="BEx01JWCZ0X2OHSH4G0G4PKSWBW6" hidden="1">#REF!</definedName>
    <definedName name="BEx01T1EVAEW9BLAP4L6II4G6OC4" localSheetId="0" hidden="1">#REF!</definedName>
    <definedName name="BEx01T1EVAEW9BLAP4L6II4G6OC4" hidden="1">#REF!</definedName>
    <definedName name="BEx01X35DZBL50I19K4ZSW4F1ESH" localSheetId="0" hidden="1">#REF!</definedName>
    <definedName name="BEx01X35DZBL50I19K4ZSW4F1ESH" hidden="1">#REF!</definedName>
    <definedName name="BEx040GNGACOQI5MY5X2NE42ZWDU" localSheetId="0" hidden="1">#REF!</definedName>
    <definedName name="BEx040GNGACOQI5MY5X2NE42ZWDU" hidden="1">#REF!</definedName>
    <definedName name="BEx1GACQL91IG43LSU6M1F2TWPZN" localSheetId="0" hidden="1">#REF!</definedName>
    <definedName name="BEx1GACQL91IG43LSU6M1F2TWPZN" hidden="1">#REF!</definedName>
    <definedName name="BEx1GB92OWY6P3B3Z6EYFUUWMITG" localSheetId="0" hidden="1">#REF!</definedName>
    <definedName name="BEx1GB92OWY6P3B3Z6EYFUUWMITG" hidden="1">#REF!</definedName>
    <definedName name="BEx1GEUJLAZEB0C3D21E9HL8V6T3" localSheetId="0" hidden="1">#REF!</definedName>
    <definedName name="BEx1GEUJLAZEB0C3D21E9HL8V6T3" hidden="1">#REF!</definedName>
    <definedName name="BEx1HF438DQMWXU3F0U1D91OYCKZ" localSheetId="0" hidden="1">Weekly by #REF!</definedName>
    <definedName name="BEx1HF438DQMWXU3F0U1D91OYCKZ" localSheetId="1" hidden="1">Weekly by #REF!</definedName>
    <definedName name="BEx1HF438DQMWXU3F0U1D91OYCKZ" localSheetId="3" hidden="1">Weekly by #REF!</definedName>
    <definedName name="BEx1HF438DQMWXU3F0U1D91OYCKZ" localSheetId="7" hidden="1">Weekly by #REF!</definedName>
    <definedName name="BEx1HF438DQMWXU3F0U1D91OYCKZ" localSheetId="2" hidden="1">Weekly by #REF!</definedName>
    <definedName name="BEx1HF438DQMWXU3F0U1D91OYCKZ" localSheetId="6" hidden="1">Weekly by #REF!</definedName>
    <definedName name="BEx1HF438DQMWXU3F0U1D91OYCKZ" hidden="1">Weekly by #REF!</definedName>
    <definedName name="BEx1HGM2TBFL6UBVA6E4PKNSPI96" localSheetId="0" hidden="1">#REF!</definedName>
    <definedName name="BEx1HGM2TBFL6UBVA6E4PKNSPI96" localSheetId="2" hidden="1">#REF!</definedName>
    <definedName name="BEx1HGM2TBFL6UBVA6E4PKNSPI96" hidden="1">#REF!</definedName>
    <definedName name="BEx1HHNRB903HK5QU9357MN58F9P" localSheetId="0" hidden="1">#REF!</definedName>
    <definedName name="BEx1HHNRB903HK5QU9357MN58F9P" localSheetId="2" hidden="1">#REF!</definedName>
    <definedName name="BEx1HHNRB903HK5QU9357MN58F9P" hidden="1">#REF!</definedName>
    <definedName name="BEx1I38LBZSH2UZJIZXAE5XOUU55" localSheetId="0" hidden="1">#REF!</definedName>
    <definedName name="BEx1I38LBZSH2UZJIZXAE5XOUU55" hidden="1">#REF!</definedName>
    <definedName name="BEx1I3U663Q3IXYN0ENILZ5WA60G" localSheetId="0" hidden="1">#REF!</definedName>
    <definedName name="BEx1I3U663Q3IXYN0ENILZ5WA60G" hidden="1">#REF!</definedName>
    <definedName name="BEx1I8XL80AAP66IOEVKKVDWDI2W" localSheetId="0" hidden="1">#REF!</definedName>
    <definedName name="BEx1I8XL80AAP66IOEVKKVDWDI2W" hidden="1">#REF!</definedName>
    <definedName name="BEx1KCWQ445PDI0YUBIXZBK5EWCP" localSheetId="0" hidden="1">#REF!</definedName>
    <definedName name="BEx1KCWQ445PDI0YUBIXZBK5EWCP" hidden="1">#REF!</definedName>
    <definedName name="BEx1L588BC65BGLSSABJ9TTYW9ZN" localSheetId="0" hidden="1">#REF!</definedName>
    <definedName name="BEx1L588BC65BGLSSABJ9TTYW9ZN" hidden="1">#REF!</definedName>
    <definedName name="BEx1LYW9J6RC4DLCBEHA4DGNPY6Y" localSheetId="0" hidden="1">#REF!</definedName>
    <definedName name="BEx1LYW9J6RC4DLCBEHA4DGNPY6Y" hidden="1">#REF!</definedName>
    <definedName name="BEx1M3JJGKF1YALMTNWMK99YH9FT" localSheetId="0" hidden="1">#REF!</definedName>
    <definedName name="BEx1M3JJGKF1YALMTNWMK99YH9FT" hidden="1">#REF!</definedName>
    <definedName name="BEx1MEBZTWO6XAWNC9Z6T7VUC26Q" localSheetId="0" hidden="1">#REF!</definedName>
    <definedName name="BEx1MEBZTWO6XAWNC9Z6T7VUC26Q" hidden="1">#REF!</definedName>
    <definedName name="BEx1MMQ3H3E9MBH330J6MD3EP8AD" localSheetId="0" hidden="1">#REF!</definedName>
    <definedName name="BEx1MMQ3H3E9MBH330J6MD3EP8AD" hidden="1">#REF!</definedName>
    <definedName name="BEx1MQX6AFEMRK87A7WQO7Y3DWIJ" localSheetId="0" hidden="1">Weekly by #REF!</definedName>
    <definedName name="BEx1MQX6AFEMRK87A7WQO7Y3DWIJ" localSheetId="1" hidden="1">Weekly by #REF!</definedName>
    <definedName name="BEx1MQX6AFEMRK87A7WQO7Y3DWIJ" localSheetId="3" hidden="1">Weekly by #REF!</definedName>
    <definedName name="BEx1MQX6AFEMRK87A7WQO7Y3DWIJ" localSheetId="7" hidden="1">Weekly by #REF!</definedName>
    <definedName name="BEx1MQX6AFEMRK87A7WQO7Y3DWIJ" localSheetId="2" hidden="1">Weekly by #REF!</definedName>
    <definedName name="BEx1MQX6AFEMRK87A7WQO7Y3DWIJ" localSheetId="6" hidden="1">Weekly by #REF!</definedName>
    <definedName name="BEx1MQX6AFEMRK87A7WQO7Y3DWIJ" hidden="1">Weekly by #REF!</definedName>
    <definedName name="BEx1MTGT5ZCQF1XCAJRTNC87UV83" localSheetId="0" hidden="1">#REF!</definedName>
    <definedName name="BEx1MTGT5ZCQF1XCAJRTNC87UV83" localSheetId="2" hidden="1">#REF!</definedName>
    <definedName name="BEx1MTGT5ZCQF1XCAJRTNC87UV83" hidden="1">#REF!</definedName>
    <definedName name="BEx1N0IFWPSL686RSLZTZA4KIY2A" localSheetId="0" hidden="1">#REF!</definedName>
    <definedName name="BEx1N0IFWPSL686RSLZTZA4KIY2A" localSheetId="2" hidden="1">#REF!</definedName>
    <definedName name="BEx1N0IFWPSL686RSLZTZA4KIY2A" hidden="1">#REF!</definedName>
    <definedName name="BEx1NFCG8AI9NXWO5ROKI6DYZP77" localSheetId="0" hidden="1">#REF!</definedName>
    <definedName name="BEx1NFCG8AI9NXWO5ROKI6DYZP77" hidden="1">#REF!</definedName>
    <definedName name="BEx1NT4RIIP1DMELF4Z1FL5857FC" localSheetId="0" hidden="1">#REF!</definedName>
    <definedName name="BEx1NT4RIIP1DMELF4Z1FL5857FC" hidden="1">#REF!</definedName>
    <definedName name="BEx1O0XA02OXBEY6AAS94L6P1KSR" localSheetId="0" hidden="1">#REF!</definedName>
    <definedName name="BEx1O0XA02OXBEY6AAS94L6P1KSR" hidden="1">#REF!</definedName>
    <definedName name="BEx1O89JQOYLT7JSTJ2ZEF5WWN3J" localSheetId="0" hidden="1">#REF!</definedName>
    <definedName name="BEx1O89JQOYLT7JSTJ2ZEF5WWN3J" hidden="1">#REF!</definedName>
    <definedName name="BEx1P4S5Y4X1AG5YL9DS164978PB" localSheetId="0" hidden="1">#REF!</definedName>
    <definedName name="BEx1P4S5Y4X1AG5YL9DS164978PB" hidden="1">#REF!</definedName>
    <definedName name="BEx1PR415U01RF514LC24LSXZ46E" localSheetId="0" hidden="1">#REF!</definedName>
    <definedName name="BEx1PR415U01RF514LC24LSXZ46E" hidden="1">#REF!</definedName>
    <definedName name="BEx1PW20Y5MADI9OTI07469ZTAF0" localSheetId="0" hidden="1">Weekly by #REF!</definedName>
    <definedName name="BEx1PW20Y5MADI9OTI07469ZTAF0" localSheetId="1" hidden="1">Weekly by #REF!</definedName>
    <definedName name="BEx1PW20Y5MADI9OTI07469ZTAF0" localSheetId="3" hidden="1">Weekly by #REF!</definedName>
    <definedName name="BEx1PW20Y5MADI9OTI07469ZTAF0" localSheetId="7" hidden="1">Weekly by #REF!</definedName>
    <definedName name="BEx1PW20Y5MADI9OTI07469ZTAF0" localSheetId="2" hidden="1">Weekly by #REF!</definedName>
    <definedName name="BEx1PW20Y5MADI9OTI07469ZTAF0" localSheetId="6" hidden="1">Weekly by #REF!</definedName>
    <definedName name="BEx1PW20Y5MADI9OTI07469ZTAF0" hidden="1">Weekly by #REF!</definedName>
    <definedName name="BEx1PXUPD5XRUU2SPVGZCRNTWS98" localSheetId="0" hidden="1">#REF!</definedName>
    <definedName name="BEx1PXUPD5XRUU2SPVGZCRNTWS98" localSheetId="2" hidden="1">#REF!</definedName>
    <definedName name="BEx1PXUPD5XRUU2SPVGZCRNTWS98" hidden="1">#REF!</definedName>
    <definedName name="BEx1QIU02UKQDRQO4JFJQTQPA9M2" localSheetId="0" hidden="1">#REF!</definedName>
    <definedName name="BEx1QIU02UKQDRQO4JFJQTQPA9M2" localSheetId="2" hidden="1">#REF!</definedName>
    <definedName name="BEx1QIU02UKQDRQO4JFJQTQPA9M2" hidden="1">#REF!</definedName>
    <definedName name="BEx1QOTTD8A7ZISZKTC3BOOVKWEN" localSheetId="0" hidden="1">#REF!</definedName>
    <definedName name="BEx1QOTTD8A7ZISZKTC3BOOVKWEN" hidden="1">#REF!</definedName>
    <definedName name="BEx1R02C8KNH9YXA8P430NC2J4P0" localSheetId="0" hidden="1">#REF!</definedName>
    <definedName name="BEx1R02C8KNH9YXA8P430NC2J4P0" hidden="1">#REF!</definedName>
    <definedName name="BEx1RH5DAJLQHZ5QR5I6FL08DWYL" localSheetId="0" hidden="1">Weekly by #REF!</definedName>
    <definedName name="BEx1RH5DAJLQHZ5QR5I6FL08DWYL" localSheetId="1" hidden="1">Weekly by #REF!</definedName>
    <definedName name="BEx1RH5DAJLQHZ5QR5I6FL08DWYL" localSheetId="3" hidden="1">Weekly by #REF!</definedName>
    <definedName name="BEx1RH5DAJLQHZ5QR5I6FL08DWYL" localSheetId="7" hidden="1">Weekly by #REF!</definedName>
    <definedName name="BEx1RH5DAJLQHZ5QR5I6FL08DWYL" localSheetId="2" hidden="1">Weekly by #REF!</definedName>
    <definedName name="BEx1RH5DAJLQHZ5QR5I6FL08DWYL" localSheetId="6" hidden="1">Weekly by #REF!</definedName>
    <definedName name="BEx1RH5DAJLQHZ5QR5I6FL08DWYL" hidden="1">Weekly by #REF!</definedName>
    <definedName name="BEx1RT4YN50M08FENYGUFK5YN25U" localSheetId="0" hidden="1">#REF!</definedName>
    <definedName name="BEx1RT4YN50M08FENYGUFK5YN25U" localSheetId="2" hidden="1">#REF!</definedName>
    <definedName name="BEx1RT4YN50M08FENYGUFK5YN25U" hidden="1">#REF!</definedName>
    <definedName name="BEx1S0MOOGSSYT24R5GZFG5GMGFR" localSheetId="0" hidden="1">#REF!</definedName>
    <definedName name="BEx1S0MOOGSSYT24R5GZFG5GMGFR" localSheetId="2" hidden="1">#REF!</definedName>
    <definedName name="BEx1S0MOOGSSYT24R5GZFG5GMGFR" hidden="1">#REF!</definedName>
    <definedName name="BEx1T7SCX7KK0ROG334AKM67Y8WU" localSheetId="0" hidden="1">#REF!</definedName>
    <definedName name="BEx1T7SCX7KK0ROG334AKM67Y8WU" hidden="1">#REF!</definedName>
    <definedName name="BEx1TNTKITTEKOJ5Q0RUF0799ZGD" localSheetId="0" hidden="1">#REF!</definedName>
    <definedName name="BEx1TNTKITTEKOJ5Q0RUF0799ZGD" hidden="1">#REF!</definedName>
    <definedName name="BEx1VQQSB5BKTBE7EAFXSN31CNVX" localSheetId="0" hidden="1">#REF!</definedName>
    <definedName name="BEx1VQQSB5BKTBE7EAFXSN31CNVX" hidden="1">#REF!</definedName>
    <definedName name="BEx1W5QAG9OP03HI32ZBUAW0FZA8" localSheetId="0" hidden="1">#REF!</definedName>
    <definedName name="BEx1W5QAG9OP03HI32ZBUAW0FZA8" hidden="1">#REF!</definedName>
    <definedName name="BEx1W8FDLOFGE28JXY6J54MICRMP" localSheetId="0" hidden="1">#REF!</definedName>
    <definedName name="BEx1W8FDLOFGE28JXY6J54MICRMP" hidden="1">#REF!</definedName>
    <definedName name="BEx1WDO53ZG95BCDDJH20QVTZIEM" localSheetId="0" hidden="1">#REF!</definedName>
    <definedName name="BEx1WDO53ZG95BCDDJH20QVTZIEM" hidden="1">#REF!</definedName>
    <definedName name="BEx1WU09CIHOI0L84XXCKC501H1F" localSheetId="0" hidden="1">#REF!</definedName>
    <definedName name="BEx1WU09CIHOI0L84XXCKC501H1F" hidden="1">#REF!</definedName>
    <definedName name="BEx1X3QU07GK7I7KLROCFBELK7NH" localSheetId="0" hidden="1">#REF!</definedName>
    <definedName name="BEx1X3QU07GK7I7KLROCFBELK7NH" hidden="1">#REF!</definedName>
    <definedName name="BEx1XEJ9QAHH8VOBQYCVDKC9SB8B" localSheetId="0" hidden="1">#REF!</definedName>
    <definedName name="BEx1XEJ9QAHH8VOBQYCVDKC9SB8B" hidden="1">#REF!</definedName>
    <definedName name="BEx1XN86QZPXEC2550TP8XT6SWZX" localSheetId="0" hidden="1">#REF!</definedName>
    <definedName name="BEx1XN86QZPXEC2550TP8XT6SWZX" hidden="1">#REF!</definedName>
    <definedName name="BEx1YCP9AWRNC5ITMCJ02RB06P1D" localSheetId="0" hidden="1">#REF!</definedName>
    <definedName name="BEx1YCP9AWRNC5ITMCJ02RB06P1D" hidden="1">#REF!</definedName>
    <definedName name="BEx1YKHSW5HDSZLEI6ETN0XC509V" localSheetId="0" hidden="1">#REF!</definedName>
    <definedName name="BEx1YKHSW5HDSZLEI6ETN0XC509V" hidden="1">#REF!</definedName>
    <definedName name="BEx3BI288940ZA6EC0BTQEOWMNI0" localSheetId="0" hidden="1">#REF!</definedName>
    <definedName name="BEx3BI288940ZA6EC0BTQEOWMNI0" hidden="1">#REF!</definedName>
    <definedName name="BEx3BKGK4BKUN286RPTNRG61DQKB" localSheetId="0" hidden="1">#REF!</definedName>
    <definedName name="BEx3BKGK4BKUN286RPTNRG61DQKB" hidden="1">#REF!</definedName>
    <definedName name="BEx3C5ACPKV4XIAY0LO077TCRNLJ" localSheetId="0" hidden="1">#REF!</definedName>
    <definedName name="BEx3C5ACPKV4XIAY0LO077TCRNLJ" hidden="1">#REF!</definedName>
    <definedName name="BEx3CBKXPIN2XM7QJNI7O0MB70AR" localSheetId="0" hidden="1">#REF!</definedName>
    <definedName name="BEx3CBKXPIN2XM7QJNI7O0MB70AR" hidden="1">#REF!</definedName>
    <definedName name="BEx3CN9RAULQ5G0SAZ7LTJL0JTHJ" localSheetId="0" hidden="1">Weekly by #REF!</definedName>
    <definedName name="BEx3CN9RAULQ5G0SAZ7LTJL0JTHJ" localSheetId="1" hidden="1">Weekly by #REF!</definedName>
    <definedName name="BEx3CN9RAULQ5G0SAZ7LTJL0JTHJ" localSheetId="3" hidden="1">Weekly by #REF!</definedName>
    <definedName name="BEx3CN9RAULQ5G0SAZ7LTJL0JTHJ" localSheetId="7" hidden="1">Weekly by #REF!</definedName>
    <definedName name="BEx3CN9RAULQ5G0SAZ7LTJL0JTHJ" localSheetId="2" hidden="1">Weekly by #REF!</definedName>
    <definedName name="BEx3CN9RAULQ5G0SAZ7LTJL0JTHJ" localSheetId="6" hidden="1">Weekly by #REF!</definedName>
    <definedName name="BEx3CN9RAULQ5G0SAZ7LTJL0JTHJ" hidden="1">Weekly by #REF!</definedName>
    <definedName name="BEx3CR0P2FKDEUKK2ZC25R3OFIMB" localSheetId="0" hidden="1">Weekly by #REF!</definedName>
    <definedName name="BEx3CR0P2FKDEUKK2ZC25R3OFIMB" localSheetId="1" hidden="1">Weekly by #REF!</definedName>
    <definedName name="BEx3CR0P2FKDEUKK2ZC25R3OFIMB" localSheetId="3" hidden="1">Weekly by #REF!</definedName>
    <definedName name="BEx3CR0P2FKDEUKK2ZC25R3OFIMB" localSheetId="7" hidden="1">Weekly by #REF!</definedName>
    <definedName name="BEx3CR0P2FKDEUKK2ZC25R3OFIMB" localSheetId="2" hidden="1">Weekly by #REF!</definedName>
    <definedName name="BEx3CR0P2FKDEUKK2ZC25R3OFIMB" localSheetId="6" hidden="1">Weekly by #REF!</definedName>
    <definedName name="BEx3CR0P2FKDEUKK2ZC25R3OFIMB" hidden="1">Weekly by #REF!</definedName>
    <definedName name="BEx3D35KVB55GTY44YX4O9YGEVQI" localSheetId="0" hidden="1">#REF!</definedName>
    <definedName name="BEx3D35KVB55GTY44YX4O9YGEVQI" localSheetId="2" hidden="1">#REF!</definedName>
    <definedName name="BEx3D35KVB55GTY44YX4O9YGEVQI" hidden="1">#REF!</definedName>
    <definedName name="BEx3E22INXU2VKWET4AVSBR8WAD6" localSheetId="0" hidden="1">#REF!</definedName>
    <definedName name="BEx3E22INXU2VKWET4AVSBR8WAD6" localSheetId="2" hidden="1">#REF!</definedName>
    <definedName name="BEx3E22INXU2VKWET4AVSBR8WAD6" hidden="1">#REF!</definedName>
    <definedName name="BEx3EL912059CRDHNETODVVWP1MH" localSheetId="0" hidden="1">Weekly by #REF!</definedName>
    <definedName name="BEx3EL912059CRDHNETODVVWP1MH" localSheetId="1" hidden="1">Weekly by #REF!</definedName>
    <definedName name="BEx3EL912059CRDHNETODVVWP1MH" localSheetId="3" hidden="1">Weekly by #REF!</definedName>
    <definedName name="BEx3EL912059CRDHNETODVVWP1MH" localSheetId="7" hidden="1">Weekly by #REF!</definedName>
    <definedName name="BEx3EL912059CRDHNETODVVWP1MH" localSheetId="2" hidden="1">Weekly by #REF!</definedName>
    <definedName name="BEx3EL912059CRDHNETODVVWP1MH" localSheetId="6" hidden="1">Weekly by #REF!</definedName>
    <definedName name="BEx3EL912059CRDHNETODVVWP1MH" hidden="1">Weekly by #REF!</definedName>
    <definedName name="BEx3EQY1DLE7G1BN4GY27QI7C7L8" localSheetId="0" hidden="1">#REF!</definedName>
    <definedName name="BEx3EQY1DLE7G1BN4GY27QI7C7L8" localSheetId="2" hidden="1">#REF!</definedName>
    <definedName name="BEx3EQY1DLE7G1BN4GY27QI7C7L8" hidden="1">#REF!</definedName>
    <definedName name="BEx3FG4DPAPTA9PM2Q6BMWI6BIHV" localSheetId="0" hidden="1">#REF!</definedName>
    <definedName name="BEx3FG4DPAPTA9PM2Q6BMWI6BIHV" localSheetId="2" hidden="1">#REF!</definedName>
    <definedName name="BEx3FG4DPAPTA9PM2Q6BMWI6BIHV" hidden="1">#REF!</definedName>
    <definedName name="BEx3G8FY85SUKO01ZJQZYO51EA75" localSheetId="0" hidden="1">#REF!</definedName>
    <definedName name="BEx3G8FY85SUKO01ZJQZYO51EA75" hidden="1">#REF!</definedName>
    <definedName name="BEx3GDZH5KHUU0C7RY1PDVGKTH8E" localSheetId="0" hidden="1">#REF!</definedName>
    <definedName name="BEx3GDZH5KHUU0C7RY1PDVGKTH8E" hidden="1">#REF!</definedName>
    <definedName name="BEx3GQ9V1DONRHIKU8HGIPUP1EGT" localSheetId="0" hidden="1">#REF!</definedName>
    <definedName name="BEx3GQ9V1DONRHIKU8HGIPUP1EGT" hidden="1">#REF!</definedName>
    <definedName name="BEx3HZ2SP5I7SY27SM9266GALW9V" localSheetId="0" hidden="1">#REF!</definedName>
    <definedName name="BEx3HZ2SP5I7SY27SM9266GALW9V" hidden="1">#REF!</definedName>
    <definedName name="BEx3IMLPLFDY04Z6ON69TCWA33TL" localSheetId="0" hidden="1">#REF!</definedName>
    <definedName name="BEx3IMLPLFDY04Z6ON69TCWA33TL" hidden="1">#REF!</definedName>
    <definedName name="BEx3IWN8YPN2XHSCISQB9608ZLOD" localSheetId="0" hidden="1">#REF!</definedName>
    <definedName name="BEx3IWN8YPN2XHSCISQB9608ZLOD" hidden="1">#REF!</definedName>
    <definedName name="BEx3J2XUDDF0SSPYVBJC3N2BVRNR" localSheetId="0" hidden="1">#REF!</definedName>
    <definedName name="BEx3J2XUDDF0SSPYVBJC3N2BVRNR" hidden="1">#REF!</definedName>
    <definedName name="BEx3JEMN9QMP943OQMGN5RQST7OV" localSheetId="0" hidden="1">#REF!</definedName>
    <definedName name="BEx3JEMN9QMP943OQMGN5RQST7OV" hidden="1">#REF!</definedName>
    <definedName name="BEx3JWB8EIB42E4QPNP0F6ZKJHSM" localSheetId="0" hidden="1">#REF!</definedName>
    <definedName name="BEx3JWB8EIB42E4QPNP0F6ZKJHSM" hidden="1">#REF!</definedName>
    <definedName name="BEx3JZAXL8KNT6BS2DKSBQW8WFTT" localSheetId="0" hidden="1">#REF!</definedName>
    <definedName name="BEx3JZAXL8KNT6BS2DKSBQW8WFTT" hidden="1">#REF!</definedName>
    <definedName name="BEx3K6HW24ML19XC26O0C3C34JTG" localSheetId="0" hidden="1">#REF!</definedName>
    <definedName name="BEx3K6HW24ML19XC26O0C3C34JTG" hidden="1">#REF!</definedName>
    <definedName name="BEx3K78YOI2P071V56MVNWOHLBZG" localSheetId="0" hidden="1">#REF!</definedName>
    <definedName name="BEx3K78YOI2P071V56MVNWOHLBZG" hidden="1">#REF!</definedName>
    <definedName name="BEx3L9WT886UPC0M8AH5Y82YAB1H" localSheetId="0" hidden="1">#REF!</definedName>
    <definedName name="BEx3L9WT886UPC0M8AH5Y82YAB1H" hidden="1">#REF!</definedName>
    <definedName name="BEx3LEK0CUQ1VX80AQ7LE5ZW9BWQ" localSheetId="0" hidden="1">#REF!</definedName>
    <definedName name="BEx3LEK0CUQ1VX80AQ7LE5ZW9BWQ" hidden="1">#REF!</definedName>
    <definedName name="BEx3LRQPBEYUQ8NMLL8AOZ2SXLOI" localSheetId="0" hidden="1">#REF!</definedName>
    <definedName name="BEx3LRQPBEYUQ8NMLL8AOZ2SXLOI" hidden="1">#REF!</definedName>
    <definedName name="BEx3LRW0HQ9DLTD1991VG5EVED1U" localSheetId="0" hidden="1">#REF!</definedName>
    <definedName name="BEx3LRW0HQ9DLTD1991VG5EVED1U" hidden="1">#REF!</definedName>
    <definedName name="BEx3LV1F1VMG1FSTFA69AZT7EIKD" localSheetId="0" hidden="1">#REF!</definedName>
    <definedName name="BEx3LV1F1VMG1FSTFA69AZT7EIKD" hidden="1">#REF!</definedName>
    <definedName name="BEx3M884LS06F3S4RVFK7XGG9NNK" localSheetId="0" hidden="1">Weekly by #REF!</definedName>
    <definedName name="BEx3M884LS06F3S4RVFK7XGG9NNK" localSheetId="1" hidden="1">Weekly by #REF!</definedName>
    <definedName name="BEx3M884LS06F3S4RVFK7XGG9NNK" localSheetId="3" hidden="1">Weekly by #REF!</definedName>
    <definedName name="BEx3M884LS06F3S4RVFK7XGG9NNK" localSheetId="7" hidden="1">Weekly by #REF!</definedName>
    <definedName name="BEx3M884LS06F3S4RVFK7XGG9NNK" localSheetId="2" hidden="1">Weekly by #REF!</definedName>
    <definedName name="BEx3M884LS06F3S4RVFK7XGG9NNK" localSheetId="6" hidden="1">Weekly by #REF!</definedName>
    <definedName name="BEx3M884LS06F3S4RVFK7XGG9NNK" hidden="1">Weekly by #REF!</definedName>
    <definedName name="BEx3MAMG3JSRCM4ZQ41JF7LACQUT" localSheetId="0" hidden="1">#REF!</definedName>
    <definedName name="BEx3MAMG3JSRCM4ZQ41JF7LACQUT" localSheetId="2" hidden="1">#REF!</definedName>
    <definedName name="BEx3MAMG3JSRCM4ZQ41JF7LACQUT" hidden="1">#REF!</definedName>
    <definedName name="BEx3MW1VHR8JIAS5J58XQ0CC4L8U" localSheetId="0" hidden="1">#REF!</definedName>
    <definedName name="BEx3MW1VHR8JIAS5J58XQ0CC4L8U" localSheetId="2" hidden="1">#REF!</definedName>
    <definedName name="BEx3MW1VHR8JIAS5J58XQ0CC4L8U" hidden="1">#REF!</definedName>
    <definedName name="BEx3N51IHA88UXRPEENI44P0KP7U" localSheetId="0" hidden="1">#REF!</definedName>
    <definedName name="BEx3N51IHA88UXRPEENI44P0KP7U" hidden="1">#REF!</definedName>
    <definedName name="BEx3N7FW0O3BI5FG5H3TN8ESSC61" localSheetId="0" hidden="1">#REF!</definedName>
    <definedName name="BEx3N7FW0O3BI5FG5H3TN8ESSC61" hidden="1">#REF!</definedName>
    <definedName name="BEx3N7VYL8CCBFTRFOA6W3BWAQJ0" localSheetId="0" hidden="1">#REF!</definedName>
    <definedName name="BEx3N7VYL8CCBFTRFOA6W3BWAQJ0" hidden="1">#REF!</definedName>
    <definedName name="BEx3NY9FTUCR9B9YMRVKMHB00JV6" localSheetId="0" hidden="1">Weekly by #REF!</definedName>
    <definedName name="BEx3NY9FTUCR9B9YMRVKMHB00JV6" localSheetId="1" hidden="1">Weekly by #REF!</definedName>
    <definedName name="BEx3NY9FTUCR9B9YMRVKMHB00JV6" localSheetId="3" hidden="1">Weekly by #REF!</definedName>
    <definedName name="BEx3NY9FTUCR9B9YMRVKMHB00JV6" localSheetId="7" hidden="1">Weekly by #REF!</definedName>
    <definedName name="BEx3NY9FTUCR9B9YMRVKMHB00JV6" localSheetId="2" hidden="1">Weekly by #REF!</definedName>
    <definedName name="BEx3NY9FTUCR9B9YMRVKMHB00JV6" localSheetId="6" hidden="1">Weekly by #REF!</definedName>
    <definedName name="BEx3NY9FTUCR9B9YMRVKMHB00JV6" hidden="1">Weekly by #REF!</definedName>
    <definedName name="BEx3O85IKWARA6NCJOLRBRJFMEWW" localSheetId="0" hidden="1">#REF!</definedName>
    <definedName name="BEx3O85IKWARA6NCJOLRBRJFMEWW" localSheetId="2" hidden="1">#REF!</definedName>
    <definedName name="BEx3O85IKWARA6NCJOLRBRJFMEWW" hidden="1">#REF!</definedName>
    <definedName name="BEx3OK5349EJ2XRYXV7W13YG9FSL" localSheetId="0" hidden="1">#REF!</definedName>
    <definedName name="BEx3OK5349EJ2XRYXV7W13YG9FSL" localSheetId="2" hidden="1">#REF!</definedName>
    <definedName name="BEx3OK5349EJ2XRYXV7W13YG9FSL" hidden="1">#REF!</definedName>
    <definedName name="BEx3OSDPC76YELEXOE4HPHR08Z63" localSheetId="0" hidden="1">#REF!</definedName>
    <definedName name="BEx3OSDPC76YELEXOE4HPHR08Z63" localSheetId="2" hidden="1">#REF!</definedName>
    <definedName name="BEx3OSDPC76YELEXOE4HPHR08Z63" hidden="1">#REF!</definedName>
    <definedName name="BEx3P54EFPJ9XERKXPZGLNSLQXCN" localSheetId="0" hidden="1">#REF!</definedName>
    <definedName name="BEx3P54EFPJ9XERKXPZGLNSLQXCN" hidden="1">#REF!</definedName>
    <definedName name="BEx3PH99MLZU1LB38QDL3NELDJBG" localSheetId="0" hidden="1">#REF!</definedName>
    <definedName name="BEx3PH99MLZU1LB38QDL3NELDJBG" hidden="1">#REF!</definedName>
    <definedName name="BEx3PN92ASU9YNF053MK1A6Q9QIC" localSheetId="0" hidden="1">#REF!</definedName>
    <definedName name="BEx3PN92ASU9YNF053MK1A6Q9QIC" hidden="1">#REF!</definedName>
    <definedName name="BEx3PPNDD7L6SUISGSI2D375NSCH" localSheetId="0" hidden="1">#REF!</definedName>
    <definedName name="BEx3PPNDD7L6SUISGSI2D375NSCH" hidden="1">#REF!</definedName>
    <definedName name="BEx3PQZZ6L9TOCDKNGIDPO8Y2G54" localSheetId="0" hidden="1">#REF!</definedName>
    <definedName name="BEx3PQZZ6L9TOCDKNGIDPO8Y2G54" hidden="1">#REF!</definedName>
    <definedName name="BEx3PT3JUDVQUG0D6GRYUC2L7E5Z" localSheetId="0" hidden="1">#REF!</definedName>
    <definedName name="BEx3PT3JUDVQUG0D6GRYUC2L7E5Z" hidden="1">#REF!</definedName>
    <definedName name="BEx3Q3QHHJB3PUJIXDIL8G6EHCRE" localSheetId="0" hidden="1">#REF!</definedName>
    <definedName name="BEx3Q3QHHJB3PUJIXDIL8G6EHCRE" hidden="1">#REF!</definedName>
    <definedName name="BEx3Q9QA35ZVN9VVHN81BBIVN881" localSheetId="0" hidden="1">#REF!</definedName>
    <definedName name="BEx3Q9QA35ZVN9VVHN81BBIVN881" hidden="1">#REF!</definedName>
    <definedName name="BEx3QD0XYUEL1G6J200V2STCORG5" localSheetId="0" hidden="1">#REF!</definedName>
    <definedName name="BEx3QD0XYUEL1G6J200V2STCORG5" hidden="1">#REF!</definedName>
    <definedName name="BEx3QH2K40ZZFYJES4QCRY78Q560" localSheetId="0" hidden="1">#REF!</definedName>
    <definedName name="BEx3QH2K40ZZFYJES4QCRY78Q560" hidden="1">#REF!</definedName>
    <definedName name="BEx3QRV0I0B15BBAP2T5UJ9T8V28" localSheetId="0" hidden="1">#REF!</definedName>
    <definedName name="BEx3QRV0I0B15BBAP2T5UJ9T8V28" hidden="1">#REF!</definedName>
    <definedName name="BEx3RSFBB83TAKX7N3F394TT3RW4" localSheetId="0" hidden="1">#REF!</definedName>
    <definedName name="BEx3RSFBB83TAKX7N3F394TT3RW4" hidden="1">#REF!</definedName>
    <definedName name="BEx3S2WXUEQA8PLX4U6G9LJB63ZN" localSheetId="0" hidden="1">#REF!</definedName>
    <definedName name="BEx3S2WXUEQA8PLX4U6G9LJB63ZN" hidden="1">#REF!</definedName>
    <definedName name="BEx3S37Q119QDD8A2BATR4K6R9TT" localSheetId="0" hidden="1">Weekly by #REF!</definedName>
    <definedName name="BEx3S37Q119QDD8A2BATR4K6R9TT" localSheetId="1" hidden="1">Weekly by #REF!</definedName>
    <definedName name="BEx3S37Q119QDD8A2BATR4K6R9TT" localSheetId="3" hidden="1">Weekly by #REF!</definedName>
    <definedName name="BEx3S37Q119QDD8A2BATR4K6R9TT" localSheetId="7" hidden="1">Weekly by #REF!</definedName>
    <definedName name="BEx3S37Q119QDD8A2BATR4K6R9TT" localSheetId="2" hidden="1">Weekly by #REF!</definedName>
    <definedName name="BEx3S37Q119QDD8A2BATR4K6R9TT" localSheetId="6" hidden="1">Weekly by #REF!</definedName>
    <definedName name="BEx3S37Q119QDD8A2BATR4K6R9TT" hidden="1">Weekly by #REF!</definedName>
    <definedName name="BEx3SL1NUYCLQWKW8EFSFZGONHKE" localSheetId="0" hidden="1">#REF!</definedName>
    <definedName name="BEx3SL1NUYCLQWKW8EFSFZGONHKE" localSheetId="2" hidden="1">#REF!</definedName>
    <definedName name="BEx3SL1NUYCLQWKW8EFSFZGONHKE" hidden="1">#REF!</definedName>
    <definedName name="BEx3SP37F3VAC1LV0SKWVZO78TZZ" localSheetId="0" hidden="1">Weekly by #REF!</definedName>
    <definedName name="BEx3SP37F3VAC1LV0SKWVZO78TZZ" localSheetId="1" hidden="1">Weekly by #REF!</definedName>
    <definedName name="BEx3SP37F3VAC1LV0SKWVZO78TZZ" localSheetId="3" hidden="1">Weekly by #REF!</definedName>
    <definedName name="BEx3SP37F3VAC1LV0SKWVZO78TZZ" localSheetId="7" hidden="1">Weekly by #REF!</definedName>
    <definedName name="BEx3SP37F3VAC1LV0SKWVZO78TZZ" localSheetId="2" hidden="1">Weekly by #REF!</definedName>
    <definedName name="BEx3SP37F3VAC1LV0SKWVZO78TZZ" localSheetId="6" hidden="1">Weekly by #REF!</definedName>
    <definedName name="BEx3SP37F3VAC1LV0SKWVZO78TZZ" hidden="1">Weekly by #REF!</definedName>
    <definedName name="BEx3ST4Y5OZXSIK7V846SMFT5B23" localSheetId="0" hidden="1">#REF!</definedName>
    <definedName name="BEx3ST4Y5OZXSIK7V846SMFT5B23" localSheetId="2" hidden="1">#REF!</definedName>
    <definedName name="BEx3ST4Y5OZXSIK7V846SMFT5B23" hidden="1">#REF!</definedName>
    <definedName name="BEx3SWQG9ED1M1Q5D63K0HZ15GQG" localSheetId="0" hidden="1">#REF!</definedName>
    <definedName name="BEx3SWQG9ED1M1Q5D63K0HZ15GQG" localSheetId="2" hidden="1">#REF!</definedName>
    <definedName name="BEx3SWQG9ED1M1Q5D63K0HZ15GQG" hidden="1">#REF!</definedName>
    <definedName name="BEx3SZKUY4XRG32Q9HLUI7LVXVG9" localSheetId="0" hidden="1">#REF!</definedName>
    <definedName name="BEx3SZKUY4XRG32Q9HLUI7LVXVG9" hidden="1">#REF!</definedName>
    <definedName name="BEx3TEPSM88IET8PDLKKCHMFEMFM" localSheetId="0" hidden="1">#REF!</definedName>
    <definedName name="BEx3TEPSM88IET8PDLKKCHMFEMFM" hidden="1">#REF!</definedName>
    <definedName name="BEx3TO09F9SV99SJXCUC1B49RVCJ" localSheetId="0" hidden="1">#REF!</definedName>
    <definedName name="BEx3TO09F9SV99SJXCUC1B49RVCJ" hidden="1">#REF!</definedName>
    <definedName name="BEx3UJBQWUJW9KX0PXKZ4TRHMR71" localSheetId="0" hidden="1">#REF!</definedName>
    <definedName name="BEx3UJBQWUJW9KX0PXKZ4TRHMR71" hidden="1">#REF!</definedName>
    <definedName name="BEx3V6EJO8BG91O9M5DVBLNPDBKG" localSheetId="0" hidden="1">#REF!</definedName>
    <definedName name="BEx3V6EJO8BG91O9M5DVBLNPDBKG" hidden="1">#REF!</definedName>
    <definedName name="BEx3VGLDULMESFRCG1QSTGM5VMK6" localSheetId="0" hidden="1">#REF!</definedName>
    <definedName name="BEx3VGLDULMESFRCG1QSTGM5VMK6" hidden="1">#REF!</definedName>
    <definedName name="BEx5802QAJKNHFBFPTR0PSRHQPJE" localSheetId="0" hidden="1">#REF!</definedName>
    <definedName name="BEx5802QAJKNHFBFPTR0PSRHQPJE" hidden="1">#REF!</definedName>
    <definedName name="BEx591ZJ14LAJI4Q8DU3CQQBHZDV" localSheetId="0" hidden="1">#REF!</definedName>
    <definedName name="BEx591ZJ14LAJI4Q8DU3CQQBHZDV" hidden="1">#REF!</definedName>
    <definedName name="BEx59WPJZYWUOEGJHPOVM5ETCM6G" localSheetId="0" hidden="1">#REF!</definedName>
    <definedName name="BEx59WPJZYWUOEGJHPOVM5ETCM6G" hidden="1">#REF!</definedName>
    <definedName name="BEx5A53I4OI80LV9DRIR9EFD2XUD" localSheetId="0" hidden="1">#REF!</definedName>
    <definedName name="BEx5A53I4OI80LV9DRIR9EFD2XUD" hidden="1">#REF!</definedName>
    <definedName name="BEx5ACAHJPLAS35SPSXQ88PJYGPI" localSheetId="0" hidden="1">#REF!</definedName>
    <definedName name="BEx5ACAHJPLAS35SPSXQ88PJYGPI" hidden="1">#REF!</definedName>
    <definedName name="BEx5ANDOOW91YBCYUL4H4JOJKCSS" localSheetId="0" hidden="1">#REF!</definedName>
    <definedName name="BEx5ANDOOW91YBCYUL4H4JOJKCSS" hidden="1">#REF!</definedName>
    <definedName name="BEx5ARQ6V82KDMN77WT0B1AK7B5S" localSheetId="0" hidden="1">#REF!</definedName>
    <definedName name="BEx5ARQ6V82KDMN77WT0B1AK7B5S" hidden="1">#REF!</definedName>
    <definedName name="BEx5BG00KXVW8ULFOPJKT3H6RY8Z" localSheetId="0" hidden="1">#REF!</definedName>
    <definedName name="BEx5BG00KXVW8ULFOPJKT3H6RY8Z" hidden="1">#REF!</definedName>
    <definedName name="BEx5BQN48A0P0HALA6YWGQLFIY7R" localSheetId="0" hidden="1">#REF!</definedName>
    <definedName name="BEx5BQN48A0P0HALA6YWGQLFIY7R" hidden="1">#REF!</definedName>
    <definedName name="BEx5CNR9ZYFH7VDST1YKR6JOAOVD" localSheetId="0" hidden="1">#REF!</definedName>
    <definedName name="BEx5CNR9ZYFH7VDST1YKR6JOAOVD" hidden="1">#REF!</definedName>
    <definedName name="BEx5CQR6PPHZ1S1UI8J4XM1TRDYC" localSheetId="0" hidden="1">#REF!</definedName>
    <definedName name="BEx5CQR6PPHZ1S1UI8J4XM1TRDYC" hidden="1">#REF!</definedName>
    <definedName name="BEx5E17EVROG851N0427PEKBQW6X" localSheetId="0" hidden="1">#REF!</definedName>
    <definedName name="BEx5E17EVROG851N0427PEKBQW6X" hidden="1">#REF!</definedName>
    <definedName name="BEx5E7NGXXV6OTJFBR4KJQLZPIH5" localSheetId="0" hidden="1">Weekly by #REF!</definedName>
    <definedName name="BEx5E7NGXXV6OTJFBR4KJQLZPIH5" localSheetId="1" hidden="1">Weekly by #REF!</definedName>
    <definedName name="BEx5E7NGXXV6OTJFBR4KJQLZPIH5" localSheetId="3" hidden="1">Weekly by #REF!</definedName>
    <definedName name="BEx5E7NGXXV6OTJFBR4KJQLZPIH5" localSheetId="7" hidden="1">Weekly by #REF!</definedName>
    <definedName name="BEx5E7NGXXV6OTJFBR4KJQLZPIH5" localSheetId="2" hidden="1">Weekly by #REF!</definedName>
    <definedName name="BEx5E7NGXXV6OTJFBR4KJQLZPIH5" localSheetId="6" hidden="1">Weekly by #REF!</definedName>
    <definedName name="BEx5E7NGXXV6OTJFBR4KJQLZPIH5" hidden="1">Weekly by #REF!</definedName>
    <definedName name="BEx5EMHHKM10I7CZE791M6ZFFTZ3" localSheetId="0" hidden="1">#REF!</definedName>
    <definedName name="BEx5EMHHKM10I7CZE791M6ZFFTZ3" localSheetId="2" hidden="1">#REF!</definedName>
    <definedName name="BEx5EMHHKM10I7CZE791M6ZFFTZ3" hidden="1">#REF!</definedName>
    <definedName name="BEx5EZ2ORDJQSTT4KQMZALOFR80B" localSheetId="0" hidden="1">#REF!</definedName>
    <definedName name="BEx5EZ2ORDJQSTT4KQMZALOFR80B" localSheetId="2" hidden="1">#REF!</definedName>
    <definedName name="BEx5EZ2ORDJQSTT4KQMZALOFR80B" hidden="1">#REF!</definedName>
    <definedName name="BEx5FGR7YST9UWW32VFER0W4LEF2" localSheetId="0" hidden="1">#REF!</definedName>
    <definedName name="BEx5FGR7YST9UWW32VFER0W4LEF2" hidden="1">#REF!</definedName>
    <definedName name="BEx5FNNEGYJUJLGLLQPIEOV4J50C" localSheetId="0" hidden="1">Weekly by #REF!</definedName>
    <definedName name="BEx5FNNEGYJUJLGLLQPIEOV4J50C" localSheetId="1" hidden="1">Weekly by #REF!</definedName>
    <definedName name="BEx5FNNEGYJUJLGLLQPIEOV4J50C" localSheetId="3" hidden="1">Weekly by #REF!</definedName>
    <definedName name="BEx5FNNEGYJUJLGLLQPIEOV4J50C" localSheetId="7" hidden="1">Weekly by #REF!</definedName>
    <definedName name="BEx5FNNEGYJUJLGLLQPIEOV4J50C" localSheetId="2" hidden="1">Weekly by #REF!</definedName>
    <definedName name="BEx5FNNEGYJUJLGLLQPIEOV4J50C" localSheetId="6" hidden="1">Weekly by #REF!</definedName>
    <definedName name="BEx5FNNEGYJUJLGLLQPIEOV4J50C" hidden="1">Weekly by #REF!</definedName>
    <definedName name="BEx5FSW55LVAZI956T9XU4KIBELE" localSheetId="0" hidden="1">#REF!</definedName>
    <definedName name="BEx5FSW55LVAZI956T9XU4KIBELE" localSheetId="2" hidden="1">#REF!</definedName>
    <definedName name="BEx5FSW55LVAZI956T9XU4KIBELE" hidden="1">#REF!</definedName>
    <definedName name="BEx5FTCEIIRM9OOPXK6PB2KJSLTA" localSheetId="0" hidden="1">#REF!</definedName>
    <definedName name="BEx5FTCEIIRM9OOPXK6PB2KJSLTA" localSheetId="2" hidden="1">#REF!</definedName>
    <definedName name="BEx5FTCEIIRM9OOPXK6PB2KJSLTA" hidden="1">#REF!</definedName>
    <definedName name="BEx5G8H70AOIQNK90C2VU5BAF8TV" localSheetId="0" hidden="1">#REF!</definedName>
    <definedName name="BEx5G8H70AOIQNK90C2VU5BAF8TV" hidden="1">#REF!</definedName>
    <definedName name="BEx5GE66YNPSS5MSPTBXLYLNUHSJ" localSheetId="0" hidden="1">#REF!</definedName>
    <definedName name="BEx5GE66YNPSS5MSPTBXLYLNUHSJ" hidden="1">#REF!</definedName>
    <definedName name="BEx5GL2CVWMY3S947ALVPBQG1W21" localSheetId="0" hidden="1">#REF!</definedName>
    <definedName name="BEx5GL2CVWMY3S947ALVPBQG1W21" hidden="1">#REF!</definedName>
    <definedName name="BEx5GT5PB17R2GKX3F4H7WWN4M94" localSheetId="0" hidden="1">#REF!</definedName>
    <definedName name="BEx5GT5PB17R2GKX3F4H7WWN4M94" hidden="1">#REF!</definedName>
    <definedName name="BEx5GZR2KDETMC7ZPNE1YU6YELWI" localSheetId="0" hidden="1">#REF!</definedName>
    <definedName name="BEx5GZR2KDETMC7ZPNE1YU6YELWI" hidden="1">#REF!</definedName>
    <definedName name="BEx5H2WFSII73OJ41QGRAZ28JO53" localSheetId="0" hidden="1">#REF!</definedName>
    <definedName name="BEx5H2WFSII73OJ41QGRAZ28JO53" hidden="1">#REF!</definedName>
    <definedName name="BEx5I3B4OHOD6SAPLK3PZDRO1GYC" localSheetId="0" hidden="1">#REF!</definedName>
    <definedName name="BEx5I3B4OHOD6SAPLK3PZDRO1GYC" hidden="1">#REF!</definedName>
    <definedName name="BEx5I4CZWURJPJZH95QO8E7MXFWV" localSheetId="0" hidden="1">#REF!</definedName>
    <definedName name="BEx5I4CZWURJPJZH95QO8E7MXFWV" hidden="1">#REF!</definedName>
    <definedName name="BEx5IDY8PP3HBIGQPDQ46PYRBHK7" localSheetId="0" hidden="1">#REF!</definedName>
    <definedName name="BEx5IDY8PP3HBIGQPDQ46PYRBHK7" hidden="1">#REF!</definedName>
    <definedName name="BEx5JC4437H48ZR2UM14GAZ6328R" localSheetId="0" hidden="1">#REF!</definedName>
    <definedName name="BEx5JC4437H48ZR2UM14GAZ6328R" hidden="1">#REF!</definedName>
    <definedName name="BEx5JENVO7X0TBQGRMGKRTMFB470" localSheetId="0" hidden="1">#REF!</definedName>
    <definedName name="BEx5JENVO7X0TBQGRMGKRTMFB470" hidden="1">#REF!</definedName>
    <definedName name="BEx5JOP9JGD6RGKP1PYP6SZWPKHY" localSheetId="0" hidden="1">Weekly by #REF!</definedName>
    <definedName name="BEx5JOP9JGD6RGKP1PYP6SZWPKHY" localSheetId="1" hidden="1">Weekly by #REF!</definedName>
    <definedName name="BEx5JOP9JGD6RGKP1PYP6SZWPKHY" localSheetId="3" hidden="1">Weekly by #REF!</definedName>
    <definedName name="BEx5JOP9JGD6RGKP1PYP6SZWPKHY" localSheetId="7" hidden="1">Weekly by #REF!</definedName>
    <definedName name="BEx5JOP9JGD6RGKP1PYP6SZWPKHY" localSheetId="2" hidden="1">Weekly by #REF!</definedName>
    <definedName name="BEx5JOP9JGD6RGKP1PYP6SZWPKHY" localSheetId="6" hidden="1">Weekly by #REF!</definedName>
    <definedName name="BEx5JOP9JGD6RGKP1PYP6SZWPKHY" hidden="1">Weekly by #REF!</definedName>
    <definedName name="BEx5JP02DZ97IB62ITCKG1MMWBKN" localSheetId="0" hidden="1">#REF!</definedName>
    <definedName name="BEx5JP02DZ97IB62ITCKG1MMWBKN" localSheetId="2" hidden="1">#REF!</definedName>
    <definedName name="BEx5JP02DZ97IB62ITCKG1MMWBKN" hidden="1">#REF!</definedName>
    <definedName name="BEx5JR91NO6ECBKQUI7KBAUHVWQY" localSheetId="0" hidden="1">#REF!</definedName>
    <definedName name="BEx5JR91NO6ECBKQUI7KBAUHVWQY" localSheetId="2" hidden="1">#REF!</definedName>
    <definedName name="BEx5JR91NO6ECBKQUI7KBAUHVWQY" hidden="1">#REF!</definedName>
    <definedName name="BEx5JTHW7OW4QTNV5XZ3NC20LDLF" localSheetId="0" hidden="1">#REF!</definedName>
    <definedName name="BEx5JTHW7OW4QTNV5XZ3NC20LDLF" hidden="1">#REF!</definedName>
    <definedName name="BEx5K1AKPNBF18M8BS3MHI13PF7R" localSheetId="0" hidden="1">#REF!</definedName>
    <definedName name="BEx5K1AKPNBF18M8BS3MHI13PF7R" hidden="1">#REF!</definedName>
    <definedName name="BEx5K21HQCDNYPG2QWFOVS99PE4A" localSheetId="0" hidden="1">#REF!</definedName>
    <definedName name="BEx5K21HQCDNYPG2QWFOVS99PE4A" hidden="1">#REF!</definedName>
    <definedName name="BEx5K51DNXHJKOVGIE6WGYNQOZOQ" localSheetId="0" hidden="1">#REF!</definedName>
    <definedName name="BEx5K51DNXHJKOVGIE6WGYNQOZOQ" hidden="1">#REF!</definedName>
    <definedName name="BEx5KCJ4JCAHU2E4LCLVKFWL64CX" localSheetId="0" hidden="1">#REF!</definedName>
    <definedName name="BEx5KCJ4JCAHU2E4LCLVKFWL64CX" hidden="1">#REF!</definedName>
    <definedName name="BEx5KFDK6UY33QZ2PCCM2NJHTS6Y" localSheetId="0" hidden="1">Weekly by #REF!</definedName>
    <definedName name="BEx5KFDK6UY33QZ2PCCM2NJHTS6Y" localSheetId="1" hidden="1">Weekly by #REF!</definedName>
    <definedName name="BEx5KFDK6UY33QZ2PCCM2NJHTS6Y" localSheetId="3" hidden="1">Weekly by #REF!</definedName>
    <definedName name="BEx5KFDK6UY33QZ2PCCM2NJHTS6Y" localSheetId="7" hidden="1">Weekly by #REF!</definedName>
    <definedName name="BEx5KFDK6UY33QZ2PCCM2NJHTS6Y" localSheetId="2" hidden="1">Weekly by #REF!</definedName>
    <definedName name="BEx5KFDK6UY33QZ2PCCM2NJHTS6Y" localSheetId="6" hidden="1">Weekly by #REF!</definedName>
    <definedName name="BEx5KFDK6UY33QZ2PCCM2NJHTS6Y" hidden="1">Weekly by #REF!</definedName>
    <definedName name="BEx5KM9PJMIQFJSBANJO5FVW3Z28" localSheetId="0" hidden="1">#REF!</definedName>
    <definedName name="BEx5KM9PJMIQFJSBANJO5FVW3Z28" localSheetId="2" hidden="1">#REF!</definedName>
    <definedName name="BEx5KM9PJMIQFJSBANJO5FVW3Z28" hidden="1">#REF!</definedName>
    <definedName name="BEx5KOO1FHA4BJJBZGOZKTK8PRRN" localSheetId="0" hidden="1">#REF!</definedName>
    <definedName name="BEx5KOO1FHA4BJJBZGOZKTK8PRRN" localSheetId="2" hidden="1">#REF!</definedName>
    <definedName name="BEx5KOO1FHA4BJJBZGOZKTK8PRRN" hidden="1">#REF!</definedName>
    <definedName name="BEx5KRIL3PFC9PIM7NQWA09TEQWG" localSheetId="0" hidden="1">#REF!</definedName>
    <definedName name="BEx5KRIL3PFC9PIM7NQWA09TEQWG" hidden="1">#REF!</definedName>
    <definedName name="BEx5LWQ2YRWKLHNPUOX7A77685LZ" localSheetId="0" hidden="1">#REF!</definedName>
    <definedName name="BEx5LWQ2YRWKLHNPUOX7A77685LZ" hidden="1">#REF!</definedName>
    <definedName name="BEx5LYO5AGM9ICPKZBV7EN03XYO9" localSheetId="0" hidden="1">#REF!</definedName>
    <definedName name="BEx5LYO5AGM9ICPKZBV7EN03XYO9" hidden="1">#REF!</definedName>
    <definedName name="BEx5M7T5JER9G2MLDH3G50GCW8PO" localSheetId="0" hidden="1">#REF!</definedName>
    <definedName name="BEx5M7T5JER9G2MLDH3G50GCW8PO" hidden="1">#REF!</definedName>
    <definedName name="BEx5MAIGJD3C3AO0RGLKRTEZBVUE" localSheetId="0" hidden="1">#REF!</definedName>
    <definedName name="BEx5MAIGJD3C3AO0RGLKRTEZBVUE" hidden="1">#REF!</definedName>
    <definedName name="BEx5MJSWQ04VS8WFHCZXYA7ZWU81" localSheetId="0" hidden="1">#REF!</definedName>
    <definedName name="BEx5MJSWQ04VS8WFHCZXYA7ZWU81" hidden="1">#REF!</definedName>
    <definedName name="BEx5MLQZM68YQSKARVWTTPINFQ2C" localSheetId="0" hidden="1">#REF!</definedName>
    <definedName name="BEx5MLQZM68YQSKARVWTTPINFQ2C" localSheetId="2" hidden="1">#REF!</definedName>
    <definedName name="BEx5MLQZM68YQSKARVWTTPINFQ2C" hidden="1">#REF!</definedName>
    <definedName name="BEx5NUEM24ZED9VYADF1LHA31YNV" localSheetId="0" hidden="1">#REF!</definedName>
    <definedName name="BEx5NUEM24ZED9VYADF1LHA31YNV" hidden="1">#REF!</definedName>
    <definedName name="BEx5OC8I6E67QC5RU7U3O2YXIQNM" localSheetId="0" hidden="1">Weekly by #REF!</definedName>
    <definedName name="BEx5OC8I6E67QC5RU7U3O2YXIQNM" localSheetId="1" hidden="1">Weekly by #REF!</definedName>
    <definedName name="BEx5OC8I6E67QC5RU7U3O2YXIQNM" localSheetId="3" hidden="1">Weekly by #REF!</definedName>
    <definedName name="BEx5OC8I6E67QC5RU7U3O2YXIQNM" localSheetId="7" hidden="1">Weekly by #REF!</definedName>
    <definedName name="BEx5OC8I6E67QC5RU7U3O2YXIQNM" localSheetId="2" hidden="1">Weekly by #REF!</definedName>
    <definedName name="BEx5OC8I6E67QC5RU7U3O2YXIQNM" localSheetId="6" hidden="1">Weekly by #REF!</definedName>
    <definedName name="BEx5OC8I6E67QC5RU7U3O2YXIQNM" hidden="1">Weekly by #REF!</definedName>
    <definedName name="BEx5OHXI4R617RH4NY6VKOI4ZRA2" localSheetId="0" hidden="1">#REF!</definedName>
    <definedName name="BEx5OHXI4R617RH4NY6VKOI4ZRA2" localSheetId="2" hidden="1">#REF!</definedName>
    <definedName name="BEx5OHXI4R617RH4NY6VKOI4ZRA2" hidden="1">#REF!</definedName>
    <definedName name="BEx5OL2PIOLNL6YTTGP4DOPOTP2I" localSheetId="0" hidden="1">#REF!</definedName>
    <definedName name="BEx5OL2PIOLNL6YTTGP4DOPOTP2I" localSheetId="2" hidden="1">#REF!</definedName>
    <definedName name="BEx5OL2PIOLNL6YTTGP4DOPOTP2I" hidden="1">#REF!</definedName>
    <definedName name="BEx5OL87PVSZSDHUK8KZBXSXHK2L" localSheetId="0" hidden="1">#REF!</definedName>
    <definedName name="BEx5OL87PVSZSDHUK8KZBXSXHK2L" hidden="1">#REF!</definedName>
    <definedName name="BEx5OXIKDIYQDT89AL1I005KPLFQ" localSheetId="0" hidden="1">#REF!</definedName>
    <definedName name="BEx5OXIKDIYQDT89AL1I005KPLFQ" hidden="1">#REF!</definedName>
    <definedName name="BEx5PHG040UB6SAJGMT6H4JLV2O8" localSheetId="0" hidden="1">#REF!</definedName>
    <definedName name="BEx5PHG040UB6SAJGMT6H4JLV2O8" hidden="1">#REF!</definedName>
    <definedName name="BEx5PYJ1M7KNW4566RAPKTK159HP" localSheetId="0" hidden="1">#REF!</definedName>
    <definedName name="BEx5PYJ1M7KNW4566RAPKTK159HP" hidden="1">#REF!</definedName>
    <definedName name="BEx5QGT6ZJDVW73MNRC6IUML0GKF" localSheetId="0" hidden="1">#REF!</definedName>
    <definedName name="BEx5QGT6ZJDVW73MNRC6IUML0GKF" hidden="1">#REF!</definedName>
    <definedName name="BEx746ZZ73QHTXKD87X7R3HKC2KM" localSheetId="0" hidden="1">#REF!</definedName>
    <definedName name="BEx746ZZ73QHTXKD87X7R3HKC2KM" hidden="1">#REF!</definedName>
    <definedName name="BEx74IZJLRUQ03RCK06W91H2260J" localSheetId="0" hidden="1">#REF!</definedName>
    <definedName name="BEx74IZJLRUQ03RCK06W91H2260J" hidden="1">#REF!</definedName>
    <definedName name="BEx74SA24P18HD1G823PR09GSOUJ" localSheetId="0" hidden="1">#REF!</definedName>
    <definedName name="BEx74SA24P18HD1G823PR09GSOUJ" hidden="1">#REF!</definedName>
    <definedName name="BEx757V4HY4OAGXYAJGM7RJQE3NM" localSheetId="0" hidden="1">#REF!</definedName>
    <definedName name="BEx757V4HY4OAGXYAJGM7RJQE3NM" hidden="1">#REF!</definedName>
    <definedName name="BEx75BGL4B587TM29E78APZYJUTT" localSheetId="0" hidden="1">#REF!</definedName>
    <definedName name="BEx75BGL4B587TM29E78APZYJUTT" hidden="1">#REF!</definedName>
    <definedName name="BEx75FYF5HN6YW6ISLEQI3RZ47YC" localSheetId="0" hidden="1">#REF!</definedName>
    <definedName name="BEx75FYF5HN6YW6ISLEQI3RZ47YC" hidden="1">#REF!</definedName>
    <definedName name="BEx75MJT47XEWZSLZAG6IUOQKXIX" localSheetId="0" hidden="1">#REF!</definedName>
    <definedName name="BEx75MJT47XEWZSLZAG6IUOQKXIX" hidden="1">#REF!</definedName>
    <definedName name="BEx765A28KL05DU9PG2REPK40UX3" localSheetId="0" hidden="1">#REF!</definedName>
    <definedName name="BEx765A28KL05DU9PG2REPK40UX3" hidden="1">#REF!</definedName>
    <definedName name="BEx76JYS0G8OK98QXIQN8GF7JNG2" localSheetId="0" hidden="1">#REF!</definedName>
    <definedName name="BEx76JYS0G8OK98QXIQN8GF7JNG2" hidden="1">#REF!</definedName>
    <definedName name="BEx76RR9OCJS32K8CKOG5IHM5H5U" localSheetId="0" hidden="1">#REF!</definedName>
    <definedName name="BEx76RR9OCJS32K8CKOG5IHM5H5U" hidden="1">#REF!</definedName>
    <definedName name="BEx76V1XKGBEDZIV9DV1A2YV1JOI" localSheetId="0" hidden="1">#REF!</definedName>
    <definedName name="BEx76V1XKGBEDZIV9DV1A2YV1JOI" hidden="1">#REF!</definedName>
    <definedName name="BEx77001L5Y34BZBZ0VBXOYG4SBZ" localSheetId="0" hidden="1">#REF!</definedName>
    <definedName name="BEx77001L5Y34BZBZ0VBXOYG4SBZ" hidden="1">#REF!</definedName>
    <definedName name="BEx77KOF095QQI44XF9N5UVPFV39" localSheetId="0" hidden="1">Weekly by #REF!</definedName>
    <definedName name="BEx77KOF095QQI44XF9N5UVPFV39" localSheetId="1" hidden="1">Weekly by #REF!</definedName>
    <definedName name="BEx77KOF095QQI44XF9N5UVPFV39" localSheetId="3" hidden="1">Weekly by #REF!</definedName>
    <definedName name="BEx77KOF095QQI44XF9N5UVPFV39" localSheetId="7" hidden="1">Weekly by #REF!</definedName>
    <definedName name="BEx77KOF095QQI44XF9N5UVPFV39" localSheetId="2" hidden="1">Weekly by #REF!</definedName>
    <definedName name="BEx77KOF095QQI44XF9N5UVPFV39" localSheetId="6" hidden="1">Weekly by #REF!</definedName>
    <definedName name="BEx77KOF095QQI44XF9N5UVPFV39" hidden="1">Weekly by #REF!</definedName>
    <definedName name="BEx77OQ625E4LSEXLQEMAZHPDMMC" localSheetId="0" hidden="1">#REF!</definedName>
    <definedName name="BEx77OQ625E4LSEXLQEMAZHPDMMC" localSheetId="2" hidden="1">#REF!</definedName>
    <definedName name="BEx77OQ625E4LSEXLQEMAZHPDMMC" hidden="1">#REF!</definedName>
    <definedName name="BEx789URJN01WV9L2F600AIORQTD" localSheetId="0" hidden="1">#REF!</definedName>
    <definedName name="BEx789URJN01WV9L2F600AIORQTD" localSheetId="2" hidden="1">#REF!</definedName>
    <definedName name="BEx789URJN01WV9L2F600AIORQTD" hidden="1">#REF!</definedName>
    <definedName name="BEx78A5IYYCMR88AXOWEFKVY8371" localSheetId="0" hidden="1">#REF!</definedName>
    <definedName name="BEx78A5IYYCMR88AXOWEFKVY8371" hidden="1">#REF!</definedName>
    <definedName name="BEx78A5JAWI6EMCWJ7AJWGAH8AMJ" localSheetId="0" hidden="1">#REF!</definedName>
    <definedName name="BEx78A5JAWI6EMCWJ7AJWGAH8AMJ" hidden="1">#REF!</definedName>
    <definedName name="BEx78NSKC3OQCQ4WQAIZ6JURE7GW" localSheetId="0" hidden="1">#REF!</definedName>
    <definedName name="BEx78NSKC3OQCQ4WQAIZ6JURE7GW" hidden="1">#REF!</definedName>
    <definedName name="BEx78OOPYID4QYC9KQ8TPDG220E4" localSheetId="0" hidden="1">#REF!</definedName>
    <definedName name="BEx78OOPYID4QYC9KQ8TPDG220E4" hidden="1">#REF!</definedName>
    <definedName name="BEx79HRD8NL9EMUOALME68ALFZYA" localSheetId="0" hidden="1">#REF!</definedName>
    <definedName name="BEx79HRD8NL9EMUOALME68ALFZYA" hidden="1">#REF!</definedName>
    <definedName name="BEx79YOUHTDD16ZGGUBH3JDBW1VZ" localSheetId="0" hidden="1">#REF!</definedName>
    <definedName name="BEx79YOUHTDD16ZGGUBH3JDBW1VZ" hidden="1">#REF!</definedName>
    <definedName name="BEx7AQV3PGI9EVX19Y61TNZWQD3Z" localSheetId="0" hidden="1">#REF!</definedName>
    <definedName name="BEx7AQV3PGI9EVX19Y61TNZWQD3Z" hidden="1">#REF!</definedName>
    <definedName name="BEx7ASYMO87QTI4OGS8RP4M3OLYE" localSheetId="0" hidden="1">#REF!</definedName>
    <definedName name="BEx7ASYMO87QTI4OGS8RP4M3OLYE" hidden="1">#REF!</definedName>
    <definedName name="BEx7AZJZFN7PHQG6NLZPX0KAAQYJ" localSheetId="0" hidden="1">#REF!</definedName>
    <definedName name="BEx7AZJZFN7PHQG6NLZPX0KAAQYJ" hidden="1">#REF!</definedName>
    <definedName name="BEx7B11YDBMRZG7EYCKJUO3H1Y6F" localSheetId="0" hidden="1">#REF!</definedName>
    <definedName name="BEx7B11YDBMRZG7EYCKJUO3H1Y6F" hidden="1">#REF!</definedName>
    <definedName name="BEx7B3LKPGMDIE1WTF5ZO95GA2PN" localSheetId="0" hidden="1">#REF!</definedName>
    <definedName name="BEx7B3LKPGMDIE1WTF5ZO95GA2PN" hidden="1">#REF!</definedName>
    <definedName name="BEx7BIQJ5XHOJHZUAVG3KLP0T1HX" localSheetId="0" hidden="1">#REF!</definedName>
    <definedName name="BEx7BIQJ5XHOJHZUAVG3KLP0T1HX" hidden="1">#REF!</definedName>
    <definedName name="BEx7BMMTGH3619I3Z5R85U77NV5F" localSheetId="0" hidden="1">#REF!</definedName>
    <definedName name="BEx7BMMTGH3619I3Z5R85U77NV5F" hidden="1">#REF!</definedName>
    <definedName name="BEx7CA08VD78Z0US5RS5XPHF2MC0" localSheetId="0" hidden="1">#REF!</definedName>
    <definedName name="BEx7CA08VD78Z0US5RS5XPHF2MC0" hidden="1">#REF!</definedName>
    <definedName name="BEx7DD4D7DAI5BN4L7AHWYB979CQ" localSheetId="0" hidden="1">#REF!</definedName>
    <definedName name="BEx7DD4D7DAI5BN4L7AHWYB979CQ" hidden="1">#REF!</definedName>
    <definedName name="BEx7DE626SOE3J45LKVU5Q9PJ5QI" localSheetId="0" hidden="1">#REF!</definedName>
    <definedName name="BEx7DE626SOE3J45LKVU5Q9PJ5QI" hidden="1">#REF!</definedName>
    <definedName name="BEx7DXHVQ3XRVZ2H7QO8TYMIA4P9" localSheetId="0" hidden="1">#REF!</definedName>
    <definedName name="BEx7DXHVQ3XRVZ2H7QO8TYMIA4P9" hidden="1">#REF!</definedName>
    <definedName name="BEx7E7DYOF0F0THH5CX23K6WQQGB" localSheetId="0" hidden="1">#REF!</definedName>
    <definedName name="BEx7E7DYOF0F0THH5CX23K6WQQGB" hidden="1">#REF!</definedName>
    <definedName name="BEx7F3GG2FI10JUMINUOIYICFVD9" localSheetId="0" hidden="1">#REF!</definedName>
    <definedName name="BEx7F3GG2FI10JUMINUOIYICFVD9" hidden="1">#REF!</definedName>
    <definedName name="BEx7F4NMGGTZWR8S7710RWGFG8W2" localSheetId="0" hidden="1">#REF!</definedName>
    <definedName name="BEx7F4NMGGTZWR8S7710RWGFG8W2" hidden="1">#REF!</definedName>
    <definedName name="BEx7F59614NZTP281T0UKH9XLNR1" localSheetId="0" hidden="1">#REF!</definedName>
    <definedName name="BEx7F59614NZTP281T0UKH9XLNR1" hidden="1">#REF!</definedName>
    <definedName name="BEx7FBJRLJUZKK1FVSCNP0F4GBYT" localSheetId="0" hidden="1">#REF!</definedName>
    <definedName name="BEx7FBJRLJUZKK1FVSCNP0F4GBYT" hidden="1">#REF!</definedName>
    <definedName name="BEx7FEJOQNYA7A6O7YB4SBB1KK73" localSheetId="0" hidden="1">#REF!</definedName>
    <definedName name="BEx7FEJOQNYA7A6O7YB4SBB1KK73" hidden="1">#REF!</definedName>
    <definedName name="BEx7FIL87TXQSUJ03S7NBB9S4HA5" localSheetId="0" hidden="1">#REF!</definedName>
    <definedName name="BEx7FIL87TXQSUJ03S7NBB9S4HA5" hidden="1">#REF!</definedName>
    <definedName name="BEx7FTOFOYQLDCCOJY1H3JHICFOI" localSheetId="0" hidden="1">#REF!</definedName>
    <definedName name="BEx7FTOFOYQLDCCOJY1H3JHICFOI" hidden="1">#REF!</definedName>
    <definedName name="BEx7FVMORQ1N6SIECWJVJWT23E6Y" localSheetId="0" hidden="1">#REF!</definedName>
    <definedName name="BEx7FVMORQ1N6SIECWJVJWT23E6Y" hidden="1">#REF!</definedName>
    <definedName name="BEx7FZ2NBD60FXGNYS120WYBTXA3" localSheetId="0" hidden="1">#REF!</definedName>
    <definedName name="BEx7FZ2NBD60FXGNYS120WYBTXA3" hidden="1">#REF!</definedName>
    <definedName name="BEx7G4BL7IHRMGADNS62PWEV1T1R" localSheetId="0" hidden="1">#REF!</definedName>
    <definedName name="BEx7G4BL7IHRMGADNS62PWEV1T1R" hidden="1">#REF!</definedName>
    <definedName name="BEx7GMG8RQ2YB3WVSLKZZZKKRMV0" localSheetId="0" hidden="1">#REF!</definedName>
    <definedName name="BEx7GMG8RQ2YB3WVSLKZZZKKRMV0" hidden="1">#REF!</definedName>
    <definedName name="BEx7GQCIM1W1OR8EP7JKRMYGFHW2" localSheetId="0" hidden="1">#REF!</definedName>
    <definedName name="BEx7GQCIM1W1OR8EP7JKRMYGFHW2" hidden="1">#REF!</definedName>
    <definedName name="BEx7GSLEAEDT83F2LWWOC5ZLL5JW" localSheetId="0" hidden="1">#REF!</definedName>
    <definedName name="BEx7GSLEAEDT83F2LWWOC5ZLL5JW" hidden="1">#REF!</definedName>
    <definedName name="BEx7H1QJEZSCI7839PXE3WQBNFBL" localSheetId="0" hidden="1">Weekly by #REF!</definedName>
    <definedName name="BEx7H1QJEZSCI7839PXE3WQBNFBL" localSheetId="1" hidden="1">Weekly by #REF!</definedName>
    <definedName name="BEx7H1QJEZSCI7839PXE3WQBNFBL" localSheetId="3" hidden="1">Weekly by #REF!</definedName>
    <definedName name="BEx7H1QJEZSCI7839PXE3WQBNFBL" localSheetId="7" hidden="1">Weekly by #REF!</definedName>
    <definedName name="BEx7H1QJEZSCI7839PXE3WQBNFBL" localSheetId="2" hidden="1">Weekly by #REF!</definedName>
    <definedName name="BEx7H1QJEZSCI7839PXE3WQBNFBL" localSheetId="6" hidden="1">Weekly by #REF!</definedName>
    <definedName name="BEx7H1QJEZSCI7839PXE3WQBNFBL" hidden="1">Weekly by #REF!</definedName>
    <definedName name="BEx7H6ZA84EDCYX9HQKE2VH03R77" localSheetId="0" hidden="1">#REF!</definedName>
    <definedName name="BEx7H6ZA84EDCYX9HQKE2VH03R77" localSheetId="2" hidden="1">#REF!</definedName>
    <definedName name="BEx7H6ZA84EDCYX9HQKE2VH03R77" hidden="1">#REF!</definedName>
    <definedName name="BEx7H7A3IND3XX895B1NI519TC8J" localSheetId="0" hidden="1">#REF!</definedName>
    <definedName name="BEx7H7A3IND3XX895B1NI519TC8J" localSheetId="2" hidden="1">#REF!</definedName>
    <definedName name="BEx7H7A3IND3XX895B1NI519TC8J" hidden="1">#REF!</definedName>
    <definedName name="BEx7HHRP6OIBN749NAR4JO512P36" localSheetId="0" hidden="1">#REF!</definedName>
    <definedName name="BEx7HHRP6OIBN749NAR4JO512P36" hidden="1">#REF!</definedName>
    <definedName name="BEx7HUT4CFI9RRFD34YI7QP2Y7JA" localSheetId="0" hidden="1">#REF!</definedName>
    <definedName name="BEx7HUT4CFI9RRFD34YI7QP2Y7JA" hidden="1">#REF!</definedName>
    <definedName name="BEx7IJTYZHWYWQ1TQVKRC67VVT77" localSheetId="0" hidden="1">#REF!</definedName>
    <definedName name="BEx7IJTYZHWYWQ1TQVKRC67VVT77" hidden="1">#REF!</definedName>
    <definedName name="BEx7IWV99LM4FB1AXIXRNLT7DZJM" localSheetId="0" hidden="1">#REF!</definedName>
    <definedName name="BEx7IWV99LM4FB1AXIXRNLT7DZJM" hidden="1">#REF!</definedName>
    <definedName name="BEx7J9B4EOP8JPRQCUQJTYF4X0D6" localSheetId="0" hidden="1">#REF!</definedName>
    <definedName name="BEx7J9B4EOP8JPRQCUQJTYF4X0D6" hidden="1">#REF!</definedName>
    <definedName name="BEx7JEJVQ5WGQ1FPJHAJ21UMR85Y" localSheetId="0" hidden="1">Weekly by #REF!</definedName>
    <definedName name="BEx7JEJVQ5WGQ1FPJHAJ21UMR85Y" localSheetId="1" hidden="1">Weekly by #REF!</definedName>
    <definedName name="BEx7JEJVQ5WGQ1FPJHAJ21UMR85Y" localSheetId="3" hidden="1">Weekly by #REF!</definedName>
    <definedName name="BEx7JEJVQ5WGQ1FPJHAJ21UMR85Y" localSheetId="7" hidden="1">Weekly by #REF!</definedName>
    <definedName name="BEx7JEJVQ5WGQ1FPJHAJ21UMR85Y" localSheetId="2" hidden="1">Weekly by #REF!</definedName>
    <definedName name="BEx7JEJVQ5WGQ1FPJHAJ21UMR85Y" localSheetId="6" hidden="1">Weekly by #REF!</definedName>
    <definedName name="BEx7JEJVQ5WGQ1FPJHAJ21UMR85Y" hidden="1">Weekly by #REF!</definedName>
    <definedName name="BEx7K0VL25LF11UTEBHWBIQ4JLM9" localSheetId="0" hidden="1">#REF!</definedName>
    <definedName name="BEx7K0VL25LF11UTEBHWBIQ4JLM9" localSheetId="2" hidden="1">#REF!</definedName>
    <definedName name="BEx7K0VL25LF11UTEBHWBIQ4JLM9" hidden="1">#REF!</definedName>
    <definedName name="BEx7KNI4CCTBCC3JJLR5IFX3N88I" localSheetId="0" hidden="1">#REF!</definedName>
    <definedName name="BEx7KNI4CCTBCC3JJLR5IFX3N88I" localSheetId="2" hidden="1">#REF!</definedName>
    <definedName name="BEx7KNI4CCTBCC3JJLR5IFX3N88I" hidden="1">#REF!</definedName>
    <definedName name="BEx7KTI2H3QPYTYB2F6I5EJ8M0ON" localSheetId="0" hidden="1">Weekly by #REF!</definedName>
    <definedName name="BEx7KTI2H3QPYTYB2F6I5EJ8M0ON" localSheetId="1" hidden="1">Weekly by #REF!</definedName>
    <definedName name="BEx7KTI2H3QPYTYB2F6I5EJ8M0ON" localSheetId="3" hidden="1">Weekly by #REF!</definedName>
    <definedName name="BEx7KTI2H3QPYTYB2F6I5EJ8M0ON" localSheetId="7" hidden="1">Weekly by #REF!</definedName>
    <definedName name="BEx7KTI2H3QPYTYB2F6I5EJ8M0ON" localSheetId="2" hidden="1">Weekly by #REF!</definedName>
    <definedName name="BEx7KTI2H3QPYTYB2F6I5EJ8M0ON" localSheetId="6" hidden="1">Weekly by #REF!</definedName>
    <definedName name="BEx7KTI2H3QPYTYB2F6I5EJ8M0ON" hidden="1">Weekly by #REF!</definedName>
    <definedName name="BEx7L3DZH58ZUVXJY3QMJYM4KE2N" localSheetId="0" hidden="1">#REF!</definedName>
    <definedName name="BEx7L3DZH58ZUVXJY3QMJYM4KE2N" localSheetId="2" hidden="1">#REF!</definedName>
    <definedName name="BEx7L3DZH58ZUVXJY3QMJYM4KE2N" hidden="1">#REF!</definedName>
    <definedName name="BEx8Z0MEE5XM6AT53GDPGBGBE929" localSheetId="0" hidden="1">Weekly by #REF!</definedName>
    <definedName name="BEx8Z0MEE5XM6AT53GDPGBGBE929" localSheetId="1" hidden="1">Weekly by #REF!</definedName>
    <definedName name="BEx8Z0MEE5XM6AT53GDPGBGBE929" localSheetId="3" hidden="1">Weekly by #REF!</definedName>
    <definedName name="BEx8Z0MEE5XM6AT53GDPGBGBE929" localSheetId="7" hidden="1">Weekly by #REF!</definedName>
    <definedName name="BEx8Z0MEE5XM6AT53GDPGBGBE929" localSheetId="2" hidden="1">Weekly by #REF!</definedName>
    <definedName name="BEx8Z0MEE5XM6AT53GDPGBGBE929" localSheetId="6" hidden="1">Weekly by #REF!</definedName>
    <definedName name="BEx8Z0MEE5XM6AT53GDPGBGBE929" hidden="1">Weekly by #REF!</definedName>
    <definedName name="BEx8ZY6UFM571XUE82FQZRNOKP90" localSheetId="0" hidden="1">#REF!</definedName>
    <definedName name="BEx8ZY6UFM571XUE82FQZRNOKP90" localSheetId="2" hidden="1">#REF!</definedName>
    <definedName name="BEx8ZY6UFM571XUE82FQZRNOKP90" hidden="1">#REF!</definedName>
    <definedName name="BEx90CVJHW2G83ZSI8F4ZSPTFSPI" localSheetId="0" hidden="1">#REF!</definedName>
    <definedName name="BEx90CVJHW2G83ZSI8F4ZSPTFSPI" localSheetId="2" hidden="1">#REF!</definedName>
    <definedName name="BEx90CVJHW2G83ZSI8F4ZSPTFSPI" hidden="1">#REF!</definedName>
    <definedName name="BEx91F33K5UNI9V3JUIH4878XP1B" localSheetId="0" hidden="1">Weekly by #REF!</definedName>
    <definedName name="BEx91F33K5UNI9V3JUIH4878XP1B" localSheetId="1" hidden="1">Weekly by #REF!</definedName>
    <definedName name="BEx91F33K5UNI9V3JUIH4878XP1B" localSheetId="3" hidden="1">Weekly by #REF!</definedName>
    <definedName name="BEx91F33K5UNI9V3JUIH4878XP1B" localSheetId="7" hidden="1">Weekly by #REF!</definedName>
    <definedName name="BEx91F33K5UNI9V3JUIH4878XP1B" localSheetId="2" hidden="1">Weekly by #REF!</definedName>
    <definedName name="BEx91F33K5UNI9V3JUIH4878XP1B" localSheetId="6" hidden="1">Weekly by #REF!</definedName>
    <definedName name="BEx91F33K5UNI9V3JUIH4878XP1B" hidden="1">Weekly by #REF!</definedName>
    <definedName name="BEx91YKG5M0ZZDVWNGF80SPL8GUP" localSheetId="0" hidden="1">#REF!</definedName>
    <definedName name="BEx91YKG5M0ZZDVWNGF80SPL8GUP" localSheetId="2" hidden="1">#REF!</definedName>
    <definedName name="BEx91YKG5M0ZZDVWNGF80SPL8GUP" hidden="1">#REF!</definedName>
    <definedName name="BEx923TCMRKG3IDZJXWBT3D2P982" localSheetId="0" hidden="1">#REF!</definedName>
    <definedName name="BEx923TCMRKG3IDZJXWBT3D2P982" localSheetId="2" hidden="1">#REF!</definedName>
    <definedName name="BEx923TCMRKG3IDZJXWBT3D2P982" hidden="1">#REF!</definedName>
    <definedName name="BEx92DJXEXVC627QL1HYSV2VSHSS" localSheetId="0" hidden="1">#REF!</definedName>
    <definedName name="BEx92DJXEXVC627QL1HYSV2VSHSS" hidden="1">#REF!</definedName>
    <definedName name="BEx935VHGQGAJAXJKSPCC6GC2KIE" localSheetId="0" hidden="1">#REF!</definedName>
    <definedName name="BEx935VHGQGAJAXJKSPCC6GC2KIE" hidden="1">#REF!</definedName>
    <definedName name="BEx93EF2OPUY92WSYH0W2RMHNX2M" localSheetId="0" hidden="1">#REF!</definedName>
    <definedName name="BEx93EF2OPUY92WSYH0W2RMHNX2M" hidden="1">#REF!</definedName>
    <definedName name="BEx93K9DUO8OA233O9JB0W91OQD5" localSheetId="0" hidden="1">Weekly by #REF!</definedName>
    <definedName name="BEx93K9DUO8OA233O9JB0W91OQD5" localSheetId="1" hidden="1">Weekly by #REF!</definedName>
    <definedName name="BEx93K9DUO8OA233O9JB0W91OQD5" localSheetId="3" hidden="1">Weekly by #REF!</definedName>
    <definedName name="BEx93K9DUO8OA233O9JB0W91OQD5" localSheetId="7" hidden="1">Weekly by #REF!</definedName>
    <definedName name="BEx93K9DUO8OA233O9JB0W91OQD5" localSheetId="2" hidden="1">Weekly by #REF!</definedName>
    <definedName name="BEx93K9DUO8OA233O9JB0W91OQD5" localSheetId="6" hidden="1">Weekly by #REF!</definedName>
    <definedName name="BEx93K9DUO8OA233O9JB0W91OQD5" hidden="1">Weekly by #REF!</definedName>
    <definedName name="BEx94DS3LYSO8T67SWLGF71ITAH9" localSheetId="0" hidden="1">#REF!</definedName>
    <definedName name="BEx94DS3LYSO8T67SWLGF71ITAH9" localSheetId="2" hidden="1">#REF!</definedName>
    <definedName name="BEx94DS3LYSO8T67SWLGF71ITAH9" hidden="1">#REF!</definedName>
    <definedName name="BEx94E8CBMGM9YP8Z0W8OWHAAZH1" localSheetId="0" hidden="1">#REF!</definedName>
    <definedName name="BEx94E8CBMGM9YP8Z0W8OWHAAZH1" localSheetId="2" hidden="1">#REF!</definedName>
    <definedName name="BEx94E8CBMGM9YP8Z0W8OWHAAZH1" hidden="1">#REF!</definedName>
    <definedName name="BEx94LVDNYIY0PWMTTJI0SXPIT0L" localSheetId="0" hidden="1">#REF!</definedName>
    <definedName name="BEx94LVDNYIY0PWMTTJI0SXPIT0L" hidden="1">#REF!</definedName>
    <definedName name="BEx94RKEGEKNYW092SDUG38HMH0P" localSheetId="0" hidden="1">#REF!</definedName>
    <definedName name="BEx94RKEGEKNYW092SDUG38HMH0P" hidden="1">#REF!</definedName>
    <definedName name="BEx95CUHJYXTDQ9GFJZJJXQSCJ7W" localSheetId="0" hidden="1">#REF!</definedName>
    <definedName name="BEx95CUHJYXTDQ9GFJZJJXQSCJ7W" hidden="1">#REF!</definedName>
    <definedName name="BEx95ZBPVBQBIU0LCXSH93UZK4VU" localSheetId="0" hidden="1">#REF!</definedName>
    <definedName name="BEx95ZBPVBQBIU0LCXSH93UZK4VU" hidden="1">#REF!</definedName>
    <definedName name="BEx9706NFOGJWDFFOFDUAFC8NNTP" localSheetId="0" hidden="1">#REF!</definedName>
    <definedName name="BEx9706NFOGJWDFFOFDUAFC8NNTP" hidden="1">#REF!</definedName>
    <definedName name="BEx97B9W86J6JCXVPNF5A0C6UYI7" localSheetId="0" hidden="1">#REF!</definedName>
    <definedName name="BEx97B9W86J6JCXVPNF5A0C6UYI7" hidden="1">#REF!</definedName>
    <definedName name="BEx9981ZE1LUGX5AEAM1M89WE7CT" localSheetId="0" hidden="1">#REF!</definedName>
    <definedName name="BEx9981ZE1LUGX5AEAM1M89WE7CT" hidden="1">#REF!</definedName>
    <definedName name="BEx99995OO0X4HC0IQDAISYRWAJG" localSheetId="0" hidden="1">#REF!</definedName>
    <definedName name="BEx99995OO0X4HC0IQDAISYRWAJG" hidden="1">#REF!</definedName>
    <definedName name="BEx99DWI0OAUKG2DHBGIR7L0HD33" localSheetId="0" hidden="1">#REF!</definedName>
    <definedName name="BEx99DWI0OAUKG2DHBGIR7L0HD33" hidden="1">#REF!</definedName>
    <definedName name="BEx99UZBY4S7Q18LQEJOHWSFLLP8" localSheetId="0" hidden="1">#REF!</definedName>
    <definedName name="BEx99UZBY4S7Q18LQEJOHWSFLLP8" hidden="1">#REF!</definedName>
    <definedName name="BEx99YFJ8JDPEEEQRABGIA0M020Y" localSheetId="0" hidden="1">#REF!</definedName>
    <definedName name="BEx99YFJ8JDPEEEQRABGIA0M020Y" hidden="1">#REF!</definedName>
    <definedName name="BEx9A02SJ33YVU6EUB51317WNADW" localSheetId="0" hidden="1">#REF!</definedName>
    <definedName name="BEx9A02SJ33YVU6EUB51317WNADW" hidden="1">#REF!</definedName>
    <definedName name="BEx9ADPRQZSMQBC5ZVK9Y67PRZBV" localSheetId="0" hidden="1">#REF!</definedName>
    <definedName name="BEx9ADPRQZSMQBC5ZVK9Y67PRZBV" hidden="1">#REF!</definedName>
    <definedName name="BEx9AFYM7TBIUCH19NCZWQUOE4ZI" localSheetId="0" hidden="1">#REF!</definedName>
    <definedName name="BEx9AFYM7TBIUCH19NCZWQUOE4ZI" hidden="1">#REF!</definedName>
    <definedName name="BEx9AKWPNM58M88D1ZL7PKKW6ES3" localSheetId="0" hidden="1">#REF!</definedName>
    <definedName name="BEx9AKWPNM58M88D1ZL7PKKW6ES3" hidden="1">#REF!</definedName>
    <definedName name="BEx9ARY7F2Q2JQT63RW0CEZQ1WDB" localSheetId="0" hidden="1">#REF!</definedName>
    <definedName name="BEx9ARY7F2Q2JQT63RW0CEZQ1WDB" hidden="1">#REF!</definedName>
    <definedName name="BEx9B6MVQ1E5NBYWDO5JVNS23OI1" localSheetId="0" hidden="1">#REF!</definedName>
    <definedName name="BEx9B6MVQ1E5NBYWDO5JVNS23OI1" hidden="1">#REF!</definedName>
    <definedName name="BEx9BAOGUISRQKRB42IUZNSUS3RS" localSheetId="0" hidden="1">#REF!</definedName>
    <definedName name="BEx9BAOGUISRQKRB42IUZNSUS3RS" hidden="1">#REF!</definedName>
    <definedName name="BEx9BCBV86NAOTMCAYGOG2K426CC" localSheetId="0" hidden="1">#REF!</definedName>
    <definedName name="BEx9BCBV86NAOTMCAYGOG2K426CC" hidden="1">#REF!</definedName>
    <definedName name="BEx9BKVCL08ZCKEW3BV7RN6JGVUV" localSheetId="0" hidden="1">#REF!</definedName>
    <definedName name="BEx9BKVCL08ZCKEW3BV7RN6JGVUV" hidden="1">#REF!</definedName>
    <definedName name="BEx9BMYVC3HQT7NGGXXHFIIGKEUM" localSheetId="0" hidden="1">Weekly by #REF!</definedName>
    <definedName name="BEx9BMYVC3HQT7NGGXXHFIIGKEUM" localSheetId="1" hidden="1">Weekly by #REF!</definedName>
    <definedName name="BEx9BMYVC3HQT7NGGXXHFIIGKEUM" localSheetId="3" hidden="1">Weekly by #REF!</definedName>
    <definedName name="BEx9BMYVC3HQT7NGGXXHFIIGKEUM" localSheetId="7" hidden="1">Weekly by #REF!</definedName>
    <definedName name="BEx9BMYVC3HQT7NGGXXHFIIGKEUM" localSheetId="2" hidden="1">Weekly by #REF!</definedName>
    <definedName name="BEx9BMYVC3HQT7NGGXXHFIIGKEUM" localSheetId="6" hidden="1">Weekly by #REF!</definedName>
    <definedName name="BEx9BMYVC3HQT7NGGXXHFIIGKEUM" hidden="1">Weekly by #REF!</definedName>
    <definedName name="BEx9C17AHM4NMY8G3WK6YQ0T0WDU" localSheetId="0" hidden="1">#REF!</definedName>
    <definedName name="BEx9C17AHM4NMY8G3WK6YQ0T0WDU" localSheetId="2" hidden="1">#REF!</definedName>
    <definedName name="BEx9C17AHM4NMY8G3WK6YQ0T0WDU" hidden="1">#REF!</definedName>
    <definedName name="BEx9CJHG02ADUIJ0WCG5FYLWETIN" localSheetId="0" hidden="1">#REF!</definedName>
    <definedName name="BEx9CJHG02ADUIJ0WCG5FYLWETIN" localSheetId="2" hidden="1">#REF!</definedName>
    <definedName name="BEx9CJHG02ADUIJ0WCG5FYLWETIN" hidden="1">#REF!</definedName>
    <definedName name="BEx9CLL0C4F6OL88RVPYF2ULGFMH" localSheetId="0" hidden="1">Weekly by #REF!</definedName>
    <definedName name="BEx9CLL0C4F6OL88RVPYF2ULGFMH" localSheetId="1" hidden="1">Weekly by #REF!</definedName>
    <definedName name="BEx9CLL0C4F6OL88RVPYF2ULGFMH" localSheetId="3" hidden="1">Weekly by #REF!</definedName>
    <definedName name="BEx9CLL0C4F6OL88RVPYF2ULGFMH" localSheetId="7" hidden="1">Weekly by #REF!</definedName>
    <definedName name="BEx9CLL0C4F6OL88RVPYF2ULGFMH" localSheetId="2" hidden="1">Weekly by #REF!</definedName>
    <definedName name="BEx9CLL0C4F6OL88RVPYF2ULGFMH" localSheetId="6" hidden="1">Weekly by #REF!</definedName>
    <definedName name="BEx9CLL0C4F6OL88RVPYF2ULGFMH" hidden="1">Weekly by #REF!</definedName>
    <definedName name="BEx9CMMSQA4LXHX5RGGTAJ9WVHTY" localSheetId="0" hidden="1">#REF!</definedName>
    <definedName name="BEx9CMMSQA4LXHX5RGGTAJ9WVHTY" localSheetId="2" hidden="1">#REF!</definedName>
    <definedName name="BEx9CMMSQA4LXHX5RGGTAJ9WVHTY" hidden="1">#REF!</definedName>
    <definedName name="BEx9CRKQK6XJ9UYIYVYP2AJHWBTS" localSheetId="0" hidden="1">#REF!</definedName>
    <definedName name="BEx9CRKQK6XJ9UYIYVYP2AJHWBTS" localSheetId="2" hidden="1">#REF!</definedName>
    <definedName name="BEx9CRKQK6XJ9UYIYVYP2AJHWBTS" hidden="1">#REF!</definedName>
    <definedName name="BEx9CTDJ6OYUCCHJVREB4QE71EVB" localSheetId="0" hidden="1">#REF!</definedName>
    <definedName name="BEx9CTDJ6OYUCCHJVREB4QE71EVB" hidden="1">#REF!</definedName>
    <definedName name="BEx9DGLRBAA81DUUOT35XR05XLKG" localSheetId="0" hidden="1">#REF!</definedName>
    <definedName name="BEx9DGLRBAA81DUUOT35XR05XLKG" hidden="1">#REF!</definedName>
    <definedName name="BEx9DIZXF9X0GE90ROFYKV6K3PM9" localSheetId="0" hidden="1">#REF!</definedName>
    <definedName name="BEx9DIZXF9X0GE90ROFYKV6K3PM9" hidden="1">#REF!</definedName>
    <definedName name="BEx9DL8Y6IUBYSX8957UBXEIRYBL" localSheetId="0" hidden="1">#REF!</definedName>
    <definedName name="BEx9DL8Y6IUBYSX8957UBXEIRYBL" hidden="1">#REF!</definedName>
    <definedName name="BEx9E08EK253W8SNA7NOGR32IG6U" localSheetId="0" hidden="1">#REF!</definedName>
    <definedName name="BEx9E08EK253W8SNA7NOGR32IG6U" hidden="1">#REF!</definedName>
    <definedName name="BEx9E2H8PS8ABUEC6ZEB44QR2Z0S" localSheetId="0" hidden="1">#REF!</definedName>
    <definedName name="BEx9E2H8PS8ABUEC6ZEB44QR2Z0S" hidden="1">#REF!</definedName>
    <definedName name="BEx9E2S1LDHWNY3YCSQ6AY2CX2VH" localSheetId="0" hidden="1">#REF!</definedName>
    <definedName name="BEx9E2S1LDHWNY3YCSQ6AY2CX2VH" hidden="1">#REF!</definedName>
    <definedName name="BEx9EEGVFGD9P2J88ICA4KVPXY9N" localSheetId="0" hidden="1">#REF!</definedName>
    <definedName name="BEx9EEGVFGD9P2J88ICA4KVPXY9N" hidden="1">#REF!</definedName>
    <definedName name="BEx9EGV77GWH7Y466PD7U0LX8UCC" localSheetId="0" hidden="1">Employee Detail #REF!</definedName>
    <definedName name="BEx9EGV77GWH7Y466PD7U0LX8UCC" localSheetId="1" hidden="1">Employee Detail #REF!</definedName>
    <definedName name="BEx9EGV77GWH7Y466PD7U0LX8UCC" localSheetId="3" hidden="1">Employee Detail #REF!</definedName>
    <definedName name="BEx9EGV77GWH7Y466PD7U0LX8UCC" localSheetId="7" hidden="1">Employee Detail #REF!</definedName>
    <definedName name="BEx9EGV77GWH7Y466PD7U0LX8UCC" localSheetId="2" hidden="1">Employee Detail #REF!</definedName>
    <definedName name="BEx9EGV77GWH7Y466PD7U0LX8UCC" localSheetId="6" hidden="1">Employee Detail #REF!</definedName>
    <definedName name="BEx9EGV77GWH7Y466PD7U0LX8UCC" hidden="1">Employee Detail #REF!</definedName>
    <definedName name="BEx9EHGQHOBSWB60JAPUOVE46FK0" localSheetId="0" hidden="1">#REF!</definedName>
    <definedName name="BEx9EHGQHOBSWB60JAPUOVE46FK0" localSheetId="2" hidden="1">#REF!</definedName>
    <definedName name="BEx9EHGQHOBSWB60JAPUOVE46FK0" hidden="1">#REF!</definedName>
    <definedName name="BEx9FLRVEKHKYUC14ZMVEXYYH8R8" localSheetId="0" hidden="1">#REF!</definedName>
    <definedName name="BEx9FLRVEKHKYUC14ZMVEXYYH8R8" localSheetId="2" hidden="1">#REF!</definedName>
    <definedName name="BEx9FLRVEKHKYUC14ZMVEXYYH8R8" hidden="1">#REF!</definedName>
    <definedName name="BEx9FOGZQNHHWSWD9WIWVEZG5GRU" localSheetId="0" hidden="1">#REF!</definedName>
    <definedName name="BEx9FOGZQNHHWSWD9WIWVEZG5GRU" hidden="1">#REF!</definedName>
    <definedName name="BEx9FUX1BYUC9GDN6DFJR5XND3XM" localSheetId="0" hidden="1">#REF!</definedName>
    <definedName name="BEx9FUX1BYUC9GDN6DFJR5XND3XM" hidden="1">#REF!</definedName>
    <definedName name="BEx9G17GB2V3PQ50QQFW2NROEZT9" localSheetId="0" hidden="1">#REF!</definedName>
    <definedName name="BEx9G17GB2V3PQ50QQFW2NROEZT9" hidden="1">#REF!</definedName>
    <definedName name="BEx9G892CF6SM99J007LDYZPPYNL" localSheetId="0" hidden="1">#REF!</definedName>
    <definedName name="BEx9G892CF6SM99J007LDYZPPYNL" hidden="1">#REF!</definedName>
    <definedName name="BEx9GJCC7BWX156MTPY59VC5JN0O" localSheetId="0" hidden="1">#REF!</definedName>
    <definedName name="BEx9GJCC7BWX156MTPY59VC5JN0O" hidden="1">#REF!</definedName>
    <definedName name="BEx9GJN5CQIXI97CFW4XT4UXSU3I" localSheetId="0" hidden="1">#REF!</definedName>
    <definedName name="BEx9GJN5CQIXI97CFW4XT4UXSU3I" hidden="1">#REF!</definedName>
    <definedName name="BEx9GNU701BD7YSS9TFG6GMA2Z8A" localSheetId="0" hidden="1">#REF!</definedName>
    <definedName name="BEx9GNU701BD7YSS9TFG6GMA2Z8A" hidden="1">#REF!</definedName>
    <definedName name="BEx9GUQBMRQUXF3D4SE2AXYMUNFA" localSheetId="0" hidden="1">#REF!</definedName>
    <definedName name="BEx9GUQBMRQUXF3D4SE2AXYMUNFA" hidden="1">#REF!</definedName>
    <definedName name="BEx9H9V5D52IFWEZD3I221Z2VYVD" localSheetId="0" hidden="1">#REF!</definedName>
    <definedName name="BEx9H9V5D52IFWEZD3I221Z2VYVD" hidden="1">#REF!</definedName>
    <definedName name="BEx9HJ5KT3Z7DM4158ECAUZF1324" localSheetId="0" hidden="1">#REF!</definedName>
    <definedName name="BEx9HJ5KT3Z7DM4158ECAUZF1324" hidden="1">#REF!</definedName>
    <definedName name="BEx9HQHV4N00R3PBTH3QTYPDU3WQ" localSheetId="0" hidden="1">#REF!</definedName>
    <definedName name="BEx9HQHV4N00R3PBTH3QTYPDU3WQ" hidden="1">#REF!</definedName>
    <definedName name="BEx9IX1ZRFUE85ATW4NGTSACFIOO" localSheetId="0" hidden="1">#REF!</definedName>
    <definedName name="BEx9IX1ZRFUE85ATW4NGTSACFIOO" hidden="1">#REF!</definedName>
    <definedName name="BEx9J1EJIB9UVZKMZ7QHB9U6VVOO" localSheetId="0" hidden="1">#REF!</definedName>
    <definedName name="BEx9J1EJIB9UVZKMZ7QHB9U6VVOO" hidden="1">#REF!</definedName>
    <definedName name="BEx9J5WDAQTSL371QN3JUDEAK9PY" localSheetId="0" hidden="1">Weekly by #REF!</definedName>
    <definedName name="BEx9J5WDAQTSL371QN3JUDEAK9PY" localSheetId="1" hidden="1">Weekly by #REF!</definedName>
    <definedName name="BEx9J5WDAQTSL371QN3JUDEAK9PY" localSheetId="3" hidden="1">Weekly by #REF!</definedName>
    <definedName name="BEx9J5WDAQTSL371QN3JUDEAK9PY" localSheetId="7" hidden="1">Weekly by #REF!</definedName>
    <definedName name="BEx9J5WDAQTSL371QN3JUDEAK9PY" localSheetId="2" hidden="1">Weekly by #REF!</definedName>
    <definedName name="BEx9J5WDAQTSL371QN3JUDEAK9PY" localSheetId="6" hidden="1">Weekly by #REF!</definedName>
    <definedName name="BEx9J5WDAQTSL371QN3JUDEAK9PY" hidden="1">Weekly by #REF!</definedName>
    <definedName name="BExAVIMU7DJ1WMG4KZESFNSSTVI1" localSheetId="0" hidden="1">#REF!</definedName>
    <definedName name="BExAVIMU7DJ1WMG4KZESFNSSTVI1" localSheetId="2" hidden="1">#REF!</definedName>
    <definedName name="BExAVIMU7DJ1WMG4KZESFNSSTVI1" hidden="1">#REF!</definedName>
    <definedName name="BExAX2TU15VIP65OGKSZD41PMO4N" localSheetId="0" hidden="1">#REF!</definedName>
    <definedName name="BExAX2TU15VIP65OGKSZD41PMO4N" localSheetId="2" hidden="1">#REF!</definedName>
    <definedName name="BExAX2TU15VIP65OGKSZD41PMO4N" hidden="1">#REF!</definedName>
    <definedName name="BExAX7MGY5CN1WAP1QHKM9CYI2S9" localSheetId="0" hidden="1">Weekly by #REF!</definedName>
    <definedName name="BExAX7MGY5CN1WAP1QHKM9CYI2S9" localSheetId="1" hidden="1">Weekly by #REF!</definedName>
    <definedName name="BExAX7MGY5CN1WAP1QHKM9CYI2S9" localSheetId="3" hidden="1">Weekly by #REF!</definedName>
    <definedName name="BExAX7MGY5CN1WAP1QHKM9CYI2S9" localSheetId="7" hidden="1">Weekly by #REF!</definedName>
    <definedName name="BExAX7MGY5CN1WAP1QHKM9CYI2S9" localSheetId="2" hidden="1">Weekly by #REF!</definedName>
    <definedName name="BExAX7MGY5CN1WAP1QHKM9CYI2S9" localSheetId="6" hidden="1">Weekly by #REF!</definedName>
    <definedName name="BExAX7MGY5CN1WAP1QHKM9CYI2S9" hidden="1">Weekly by #REF!</definedName>
    <definedName name="BExAX8TMJLD2D11SAMMR5OI98IIS" localSheetId="0" hidden="1">#REF!</definedName>
    <definedName name="BExAX8TMJLD2D11SAMMR5OI98IIS" localSheetId="2" hidden="1">#REF!</definedName>
    <definedName name="BExAX8TMJLD2D11SAMMR5OI98IIS" hidden="1">#REF!</definedName>
    <definedName name="BExAXEDC2IXZ6Z8R5OUFS8OGJR89" localSheetId="0" hidden="1">#REF!</definedName>
    <definedName name="BExAXEDC2IXZ6Z8R5OUFS8OGJR89" localSheetId="2" hidden="1">#REF!</definedName>
    <definedName name="BExAXEDC2IXZ6Z8R5OUFS8OGJR89" hidden="1">#REF!</definedName>
    <definedName name="BExAXFV9PH5JV8HPQ4ADTD1KHVCE" localSheetId="0" hidden="1">#REF!</definedName>
    <definedName name="BExAXFV9PH5JV8HPQ4ADTD1KHVCE" hidden="1">#REF!</definedName>
    <definedName name="BExAXI9K2PJQH4QLETR7MGS2BNZZ" localSheetId="0" hidden="1">#REF!</definedName>
    <definedName name="BExAXI9K2PJQH4QLETR7MGS2BNZZ" hidden="1">#REF!</definedName>
    <definedName name="BExAXL3ZT02BUZOGSRNS6WGCOV7K" localSheetId="0" hidden="1">#REF!</definedName>
    <definedName name="BExAXL3ZT02BUZOGSRNS6WGCOV7K" hidden="1">#REF!</definedName>
    <definedName name="BExAXL40LDNIK611AYB1QPTYW9XW" localSheetId="0" hidden="1">#REF!</definedName>
    <definedName name="BExAXL40LDNIK611AYB1QPTYW9XW" hidden="1">#REF!</definedName>
    <definedName name="BExAY9DZDS6RN4F7LPICOBGZ4AF5" localSheetId="0" hidden="1">#REF!</definedName>
    <definedName name="BExAY9DZDS6RN4F7LPICOBGZ4AF5" hidden="1">#REF!</definedName>
    <definedName name="BExAY9ZJT64UBNSHPOGOXOER0FA5" localSheetId="0" hidden="1">#REF!</definedName>
    <definedName name="BExAY9ZJT64UBNSHPOGOXOER0FA5" hidden="1">#REF!</definedName>
    <definedName name="BExAYOO9DKXP4BYOJNDXGK1R2ZSV" localSheetId="0" hidden="1">#REF!</definedName>
    <definedName name="BExAYOO9DKXP4BYOJNDXGK1R2ZSV" hidden="1">#REF!</definedName>
    <definedName name="BExAYVKDXJJ761HTFFUOH6P2CSF7" localSheetId="0" hidden="1">#REF!</definedName>
    <definedName name="BExAYVKDXJJ761HTFFUOH6P2CSF7" hidden="1">#REF!</definedName>
    <definedName name="BExAZNFTTSXASHLBAG5O0MNFU583" localSheetId="0" hidden="1">#REF!</definedName>
    <definedName name="BExAZNFTTSXASHLBAG5O0MNFU583" hidden="1">#REF!</definedName>
    <definedName name="BExAZUMS1QDZ8OXM1S4OYG31L04P" localSheetId="0" hidden="1">#REF!</definedName>
    <definedName name="BExAZUMS1QDZ8OXM1S4OYG31L04P" hidden="1">#REF!</definedName>
    <definedName name="BExB0B9J6QEM4BI56ZRWF61DUZKI" localSheetId="0" hidden="1">Weekly by #REF!</definedName>
    <definedName name="BExB0B9J6QEM4BI56ZRWF61DUZKI" localSheetId="1" hidden="1">Weekly by #REF!</definedName>
    <definedName name="BExB0B9J6QEM4BI56ZRWF61DUZKI" localSheetId="3" hidden="1">Weekly by #REF!</definedName>
    <definedName name="BExB0B9J6QEM4BI56ZRWF61DUZKI" localSheetId="7" hidden="1">Weekly by #REF!</definedName>
    <definedName name="BExB0B9J6QEM4BI56ZRWF61DUZKI" localSheetId="2" hidden="1">Weekly by #REF!</definedName>
    <definedName name="BExB0B9J6QEM4BI56ZRWF61DUZKI" localSheetId="6" hidden="1">Weekly by #REF!</definedName>
    <definedName name="BExB0B9J6QEM4BI56ZRWF61DUZKI" hidden="1">Weekly by #REF!</definedName>
    <definedName name="BExB0OASZZC08FMDYX9HRSM9OXEF" localSheetId="0" hidden="1">#REF!</definedName>
    <definedName name="BExB0OASZZC08FMDYX9HRSM9OXEF" localSheetId="2" hidden="1">#REF!</definedName>
    <definedName name="BExB0OASZZC08FMDYX9HRSM9OXEF" hidden="1">#REF!</definedName>
    <definedName name="BExB12OPX4FIWY3UUQ7N9MXBTXY2" localSheetId="0" hidden="1">#REF!</definedName>
    <definedName name="BExB12OPX4FIWY3UUQ7N9MXBTXY2" localSheetId="2" hidden="1">#REF!</definedName>
    <definedName name="BExB12OPX4FIWY3UUQ7N9MXBTXY2" hidden="1">#REF!</definedName>
    <definedName name="BExB12ZHTPYICL0A8RA5MRDZPYAX" localSheetId="0" hidden="1">#REF!</definedName>
    <definedName name="BExB12ZHTPYICL0A8RA5MRDZPYAX" hidden="1">#REF!</definedName>
    <definedName name="BExB1D6DDDMV7AOB9S4XD45OPKJ3" localSheetId="0" hidden="1">#REF!</definedName>
    <definedName name="BExB1D6DDDMV7AOB9S4XD45OPKJ3" hidden="1">#REF!</definedName>
    <definedName name="BExB1FKN9YUYJ7B8ZJSMRSJ6ONT6" localSheetId="0" hidden="1">#REF!</definedName>
    <definedName name="BExB1FKN9YUYJ7B8ZJSMRSJ6ONT6" hidden="1">#REF!</definedName>
    <definedName name="BExB1HIQKUZGEBQ2MPH0TPTAZKIT" localSheetId="0" hidden="1">#REF!</definedName>
    <definedName name="BExB1HIQKUZGEBQ2MPH0TPTAZKIT" hidden="1">#REF!</definedName>
    <definedName name="BExB1I4BK3AB6GEEFY7ZAOON31BO" localSheetId="0" hidden="1">#REF!</definedName>
    <definedName name="BExB1I4BK3AB6GEEFY7ZAOON31BO" hidden="1">#REF!</definedName>
    <definedName name="BExB1UENFKIO27UN311RA6Q7UZX5" localSheetId="0" hidden="1">#REF!</definedName>
    <definedName name="BExB1UENFKIO27UN311RA6Q7UZX5" hidden="1">#REF!</definedName>
    <definedName name="BExB2HS8OVYPDFJPQT2HXZS3KPGA" localSheetId="0" hidden="1">#REF!</definedName>
    <definedName name="BExB2HS8OVYPDFJPQT2HXZS3KPGA" hidden="1">#REF!</definedName>
    <definedName name="BExB2V4G4W3DIHZU05TOOTUR2SQF" localSheetId="0" hidden="1">#REF!</definedName>
    <definedName name="BExB2V4G4W3DIHZU05TOOTUR2SQF" hidden="1">#REF!</definedName>
    <definedName name="BExB35M4M9VQF0DHGYBEA3KV711P" localSheetId="0" hidden="1">#REF!</definedName>
    <definedName name="BExB35M4M9VQF0DHGYBEA3KV711P" hidden="1">#REF!</definedName>
    <definedName name="BExB3M3EKZJ7IBKJWNJ2T1W79J4X" localSheetId="0" hidden="1">#REF!</definedName>
    <definedName name="BExB3M3EKZJ7IBKJWNJ2T1W79J4X" hidden="1">#REF!</definedName>
    <definedName name="BExB3X1562QGGE740OCMWG5AN6V6" localSheetId="0" hidden="1">#REF!</definedName>
    <definedName name="BExB3X1562QGGE740OCMWG5AN6V6" hidden="1">#REF!</definedName>
    <definedName name="BExB406HXCZGNSDPPO8VOG1110ZG" localSheetId="0" hidden="1">#REF!</definedName>
    <definedName name="BExB406HXCZGNSDPPO8VOG1110ZG" hidden="1">#REF!</definedName>
    <definedName name="BExB4B9PTN6T4CSKH6U5OZ3JFDD8" localSheetId="0" hidden="1">#REF!</definedName>
    <definedName name="BExB4B9PTN6T4CSKH6U5OZ3JFDD8" hidden="1">#REF!</definedName>
    <definedName name="BExB4R5JZFW6A1CMY56N51JV2U9K" localSheetId="0" hidden="1">#REF!</definedName>
    <definedName name="BExB4R5JZFW6A1CMY56N51JV2U9K" hidden="1">#REF!</definedName>
    <definedName name="BExB541CBB1D8CTY30SOY75V64NO" localSheetId="0" hidden="1">#REF!</definedName>
    <definedName name="BExB541CBB1D8CTY30SOY75V64NO" hidden="1">#REF!</definedName>
    <definedName name="BExB5JMJYPQII7HTS95KC6O9OPKJ" localSheetId="0" hidden="1">#REF!</definedName>
    <definedName name="BExB5JMJYPQII7HTS95KC6O9OPKJ" hidden="1">#REF!</definedName>
    <definedName name="BExB5QO30WI9WES28Y2RINNXRHWC" localSheetId="0" hidden="1">#REF!</definedName>
    <definedName name="BExB5QO30WI9WES28Y2RINNXRHWC" hidden="1">#REF!</definedName>
    <definedName name="BExB5S0JR62HORGVN1PDZ8E7Y8Y1" localSheetId="0" hidden="1">Weekly by #REF!</definedName>
    <definedName name="BExB5S0JR62HORGVN1PDZ8E7Y8Y1" localSheetId="1" hidden="1">Weekly by #REF!</definedName>
    <definedName name="BExB5S0JR62HORGVN1PDZ8E7Y8Y1" localSheetId="3" hidden="1">Weekly by #REF!</definedName>
    <definedName name="BExB5S0JR62HORGVN1PDZ8E7Y8Y1" localSheetId="7" hidden="1">Weekly by #REF!</definedName>
    <definedName name="BExB5S0JR62HORGVN1PDZ8E7Y8Y1" localSheetId="2" hidden="1">Weekly by #REF!</definedName>
    <definedName name="BExB5S0JR62HORGVN1PDZ8E7Y8Y1" localSheetId="6" hidden="1">Weekly by #REF!</definedName>
    <definedName name="BExB5S0JR62HORGVN1PDZ8E7Y8Y1" hidden="1">Weekly by #REF!</definedName>
    <definedName name="BExB61LTJN6FXZHNDVS4EALDMTND" localSheetId="0" hidden="1">#REF!</definedName>
    <definedName name="BExB61LTJN6FXZHNDVS4EALDMTND" localSheetId="2" hidden="1">#REF!</definedName>
    <definedName name="BExB61LTJN6FXZHNDVS4EALDMTND" hidden="1">#REF!</definedName>
    <definedName name="BExB6692ZQP36NHHWV7TLSTYCP8G" localSheetId="0" hidden="1">#REF!</definedName>
    <definedName name="BExB6692ZQP36NHHWV7TLSTYCP8G" localSheetId="2" hidden="1">#REF!</definedName>
    <definedName name="BExB6692ZQP36NHHWV7TLSTYCP8G" hidden="1">#REF!</definedName>
    <definedName name="BExB6CZTE0PWILZ6X0SQ2FCCSK0D" localSheetId="0" hidden="1">#REF!</definedName>
    <definedName name="BExB6CZTE0PWILZ6X0SQ2FCCSK0D" hidden="1">#REF!</definedName>
    <definedName name="BExB6ML2FEB7YTL3RYRA90W0MTUZ" localSheetId="0" hidden="1">#REF!</definedName>
    <definedName name="BExB6ML2FEB7YTL3RYRA90W0MTUZ" hidden="1">#REF!</definedName>
    <definedName name="BExB6Q6JKBMO3M4WX8XUD0JET6HB" localSheetId="0" hidden="1">#REF!</definedName>
    <definedName name="BExB6Q6JKBMO3M4WX8XUD0JET6HB" hidden="1">#REF!</definedName>
    <definedName name="BExB74F088Z5LM9SEUAESIZUQ3X8" localSheetId="0" hidden="1">#REF!</definedName>
    <definedName name="BExB74F088Z5LM9SEUAESIZUQ3X8" hidden="1">#REF!</definedName>
    <definedName name="BExB7ZL3QL5ZSMJ9XLX8KPNYLIQF" localSheetId="0" hidden="1">#REF!</definedName>
    <definedName name="BExB7ZL3QL5ZSMJ9XLX8KPNYLIQF" hidden="1">#REF!</definedName>
    <definedName name="BExB8CMJD6ZML9661CLGO4NDW34Q" localSheetId="0" hidden="1">#REF!</definedName>
    <definedName name="BExB8CMJD6ZML9661CLGO4NDW34Q" hidden="1">#REF!</definedName>
    <definedName name="BExB8LRJJSLXG3GWG62HEAQHG6X1" localSheetId="0" hidden="1">Weekly by #REF!</definedName>
    <definedName name="BExB8LRJJSLXG3GWG62HEAQHG6X1" localSheetId="1" hidden="1">Weekly by #REF!</definedName>
    <definedName name="BExB8LRJJSLXG3GWG62HEAQHG6X1" localSheetId="3" hidden="1">Weekly by #REF!</definedName>
    <definedName name="BExB8LRJJSLXG3GWG62HEAQHG6X1" localSheetId="7" hidden="1">Weekly by #REF!</definedName>
    <definedName name="BExB8LRJJSLXG3GWG62HEAQHG6X1" localSheetId="2" hidden="1">Weekly by #REF!</definedName>
    <definedName name="BExB8LRJJSLXG3GWG62HEAQHG6X1" localSheetId="6" hidden="1">Weekly by #REF!</definedName>
    <definedName name="BExB8LRJJSLXG3GWG62HEAQHG6X1" hidden="1">Weekly by #REF!</definedName>
    <definedName name="BExB8YNH8DIQNYJTUV5OV4B1HB8P" localSheetId="0" hidden="1">#REF!</definedName>
    <definedName name="BExB8YNH8DIQNYJTUV5OV4B1HB8P" localSheetId="2" hidden="1">#REF!</definedName>
    <definedName name="BExB8YNH8DIQNYJTUV5OV4B1HB8P" hidden="1">#REF!</definedName>
    <definedName name="BExB96QU0AXZZEG57C0W7GASBKEB" localSheetId="0" hidden="1">#REF!</definedName>
    <definedName name="BExB96QU0AXZZEG57C0W7GASBKEB" localSheetId="2" hidden="1">#REF!</definedName>
    <definedName name="BExB96QU0AXZZEG57C0W7GASBKEB" hidden="1">#REF!</definedName>
    <definedName name="BExB9FFORPLYG8QEPAVWQ02XVK45" localSheetId="0" hidden="1">Weekly by #REF!</definedName>
    <definedName name="BExB9FFORPLYG8QEPAVWQ02XVK45" localSheetId="1" hidden="1">Weekly by #REF!</definedName>
    <definedName name="BExB9FFORPLYG8QEPAVWQ02XVK45" localSheetId="3" hidden="1">Weekly by #REF!</definedName>
    <definedName name="BExB9FFORPLYG8QEPAVWQ02XVK45" localSheetId="7" hidden="1">Weekly by #REF!</definedName>
    <definedName name="BExB9FFORPLYG8QEPAVWQ02XVK45" localSheetId="2" hidden="1">Weekly by #REF!</definedName>
    <definedName name="BExB9FFORPLYG8QEPAVWQ02XVK45" localSheetId="6" hidden="1">Weekly by #REF!</definedName>
    <definedName name="BExB9FFORPLYG8QEPAVWQ02XVK45" hidden="1">Weekly by #REF!</definedName>
    <definedName name="BExB9S66MFUL9J891R547MSVIVV1" localSheetId="0" hidden="1">#REF!</definedName>
    <definedName name="BExB9S66MFUL9J891R547MSVIVV1" localSheetId="2" hidden="1">#REF!</definedName>
    <definedName name="BExB9S66MFUL9J891R547MSVIVV1" hidden="1">#REF!</definedName>
    <definedName name="BExBAGQYIBV77JKN346FU4VT1MB4" localSheetId="0" hidden="1">#REF!</definedName>
    <definedName name="BExBAGQYIBV77JKN346FU4VT1MB4" localSheetId="2" hidden="1">#REF!</definedName>
    <definedName name="BExBAGQYIBV77JKN346FU4VT1MB4" hidden="1">#REF!</definedName>
    <definedName name="BExBAIZT07RTGVJKHVBTGG72O8PB" localSheetId="0" hidden="1">#REF!</definedName>
    <definedName name="BExBAIZT07RTGVJKHVBTGG72O8PB" hidden="1">#REF!</definedName>
    <definedName name="BExBATS6QTKFZ3S66DBSAAJJ1257" localSheetId="0" hidden="1">#REF!</definedName>
    <definedName name="BExBATS6QTKFZ3S66DBSAAJJ1257" hidden="1">#REF!</definedName>
    <definedName name="BExBB9D9GNURCRZN3NR6UY375OX5" localSheetId="0" hidden="1">#REF!</definedName>
    <definedName name="BExBB9D9GNURCRZN3NR6UY375OX5" hidden="1">#REF!</definedName>
    <definedName name="BExBBJ9BWME32GCDTD4GDSQBG1SE" localSheetId="0" hidden="1">#REF!</definedName>
    <definedName name="BExBBJ9BWME32GCDTD4GDSQBG1SE" hidden="1">#REF!</definedName>
    <definedName name="BExBBJUVPE34F3MS65X93MGTPTS7" localSheetId="0" hidden="1">#REF!</definedName>
    <definedName name="BExBBJUVPE34F3MS65X93MGTPTS7" hidden="1">#REF!</definedName>
    <definedName name="BExBBXN85V6BRKSEPLFA92KIRDRO" localSheetId="0" hidden="1">Weekly by #REF!</definedName>
    <definedName name="BExBBXN85V6BRKSEPLFA92KIRDRO" localSheetId="1" hidden="1">Weekly by #REF!</definedName>
    <definedName name="BExBBXN85V6BRKSEPLFA92KIRDRO" localSheetId="3" hidden="1">Weekly by #REF!</definedName>
    <definedName name="BExBBXN85V6BRKSEPLFA92KIRDRO" localSheetId="7" hidden="1">Weekly by #REF!</definedName>
    <definedName name="BExBBXN85V6BRKSEPLFA92KIRDRO" localSheetId="2" hidden="1">Weekly by #REF!</definedName>
    <definedName name="BExBBXN85V6BRKSEPLFA92KIRDRO" localSheetId="6" hidden="1">Weekly by #REF!</definedName>
    <definedName name="BExBBXN85V6BRKSEPLFA92KIRDRO" hidden="1">Weekly by #REF!</definedName>
    <definedName name="BExBC4JDQIYGNOS9XSFS5TO0J1UG" localSheetId="0" hidden="1">#REF!</definedName>
    <definedName name="BExBC4JDQIYGNOS9XSFS5TO0J1UG" localSheetId="2" hidden="1">#REF!</definedName>
    <definedName name="BExBC4JDQIYGNOS9XSFS5TO0J1UG" hidden="1">#REF!</definedName>
    <definedName name="BExBC6S9JZS9ZX6V7SBKDJ5R3CGN" localSheetId="0" hidden="1">#REF!</definedName>
    <definedName name="BExBC6S9JZS9ZX6V7SBKDJ5R3CGN" localSheetId="2" hidden="1">#REF!</definedName>
    <definedName name="BExBC6S9JZS9ZX6V7SBKDJ5R3CGN" hidden="1">#REF!</definedName>
    <definedName name="BExBCDTV7GTBOTIE9EFJ36EX4FKM" localSheetId="0" hidden="1">#REF!</definedName>
    <definedName name="BExBCDTV7GTBOTIE9EFJ36EX4FKM" hidden="1">#REF!</definedName>
    <definedName name="BExBCK4H2CF3XDL7AH3W254CWF4R" localSheetId="0" hidden="1">#REF!</definedName>
    <definedName name="BExBCK4H2CF3XDL7AH3W254CWF4R" hidden="1">#REF!</definedName>
    <definedName name="BExBCMTEH63P6H1CKWQH2DGVNSVX" localSheetId="0" hidden="1">#REF!</definedName>
    <definedName name="BExBCMTEH63P6H1CKWQH2DGVNSVX" hidden="1">#REF!</definedName>
    <definedName name="BExBCZUU1UR90PQUCOSYNFQQTXI1" localSheetId="0" hidden="1">#REF!</definedName>
    <definedName name="BExBCZUU1UR90PQUCOSYNFQQTXI1" hidden="1">#REF!</definedName>
    <definedName name="BExBD1CR31JE4TBZEMZ6ZNRFIDNP" localSheetId="0" hidden="1">#REF!</definedName>
    <definedName name="BExBD1CR31JE4TBZEMZ6ZNRFIDNP" hidden="1">#REF!</definedName>
    <definedName name="BExBDTDIHS3IA85P49E3FM64KE4B" localSheetId="0" hidden="1">#REF!</definedName>
    <definedName name="BExBDTDIHS3IA85P49E3FM64KE4B" hidden="1">#REF!</definedName>
    <definedName name="BExBDWDG2GXBTEGBOQMQLB38QUEV" localSheetId="0" hidden="1">#REF!</definedName>
    <definedName name="BExBDWDG2GXBTEGBOQMQLB38QUEV" hidden="1">#REF!</definedName>
    <definedName name="BExBDZITI2UCDSH0V24NITQG9SFA" localSheetId="0" hidden="1">#REF!</definedName>
    <definedName name="BExBDZITI2UCDSH0V24NITQG9SFA" hidden="1">#REF!</definedName>
    <definedName name="BExBE4M6YL512JJD7QCT5NHC893P" localSheetId="0" hidden="1">#REF!</definedName>
    <definedName name="BExBE4M6YL512JJD7QCT5NHC893P" hidden="1">#REF!</definedName>
    <definedName name="BExBEKI2OI0HDKJYXUJ4T4MB4WEH" localSheetId="0" hidden="1">#REF!</definedName>
    <definedName name="BExBEKI2OI0HDKJYXUJ4T4MB4WEH" hidden="1">#REF!</definedName>
    <definedName name="BExBF0U1PNBWLGLVVPNYEZHKB0ON" localSheetId="0" hidden="1">#REF!</definedName>
    <definedName name="BExBF0U1PNBWLGLVVPNYEZHKB0ON" hidden="1">#REF!</definedName>
    <definedName name="BExBF3TXJTJ52WTH5JS1IEEUKRWA" localSheetId="0" hidden="1">#REF!</definedName>
    <definedName name="BExBF3TXJTJ52WTH5JS1IEEUKRWA" hidden="1">#REF!</definedName>
    <definedName name="BExCRHBGQVJF4KLDUGN2C3FE8ZQD" localSheetId="0" hidden="1">#REF!</definedName>
    <definedName name="BExCRHBGQVJF4KLDUGN2C3FE8ZQD" hidden="1">#REF!</definedName>
    <definedName name="BExCROIFDQP6GEN1GZNTC0JUNTOZ" localSheetId="0" hidden="1">#REF!</definedName>
    <definedName name="BExCROIFDQP6GEN1GZNTC0JUNTOZ" hidden="1">#REF!</definedName>
    <definedName name="BExCRRIBGG57IJ1DUG0GCSPL72DO" localSheetId="0" hidden="1">#REF!</definedName>
    <definedName name="BExCRRIBGG57IJ1DUG0GCSPL72DO" hidden="1">#REF!</definedName>
    <definedName name="BExCS078RE3CUATM8A8NCC0WWHGC" localSheetId="0" hidden="1">#REF!</definedName>
    <definedName name="BExCS078RE3CUATM8A8NCC0WWHGC" hidden="1">#REF!</definedName>
    <definedName name="BExCSGZG9G2SOKYYBCQF48XUIYCJ" localSheetId="0" hidden="1">#REF!</definedName>
    <definedName name="BExCSGZG9G2SOKYYBCQF48XUIYCJ" hidden="1">#REF!</definedName>
    <definedName name="BExCTK3EKU33BX4OCHAVIBDIO41M" localSheetId="0" hidden="1">Weekly by #REF!</definedName>
    <definedName name="BExCTK3EKU33BX4OCHAVIBDIO41M" localSheetId="1" hidden="1">Weekly by #REF!</definedName>
    <definedName name="BExCTK3EKU33BX4OCHAVIBDIO41M" localSheetId="3" hidden="1">Weekly by #REF!</definedName>
    <definedName name="BExCTK3EKU33BX4OCHAVIBDIO41M" localSheetId="7" hidden="1">Weekly by #REF!</definedName>
    <definedName name="BExCTK3EKU33BX4OCHAVIBDIO41M" localSheetId="2" hidden="1">Weekly by #REF!</definedName>
    <definedName name="BExCTK3EKU33BX4OCHAVIBDIO41M" localSheetId="6" hidden="1">Weekly by #REF!</definedName>
    <definedName name="BExCTK3EKU33BX4OCHAVIBDIO41M" hidden="1">Weekly by #REF!</definedName>
    <definedName name="BExCU0A1FTLDSB531Y0PHH4EIPRF" localSheetId="0" hidden="1">Weekly by #REF!</definedName>
    <definedName name="BExCU0A1FTLDSB531Y0PHH4EIPRF" localSheetId="1" hidden="1">Weekly by #REF!</definedName>
    <definedName name="BExCU0A1FTLDSB531Y0PHH4EIPRF" localSheetId="3" hidden="1">Weekly by #REF!</definedName>
    <definedName name="BExCU0A1FTLDSB531Y0PHH4EIPRF" localSheetId="7" hidden="1">Weekly by #REF!</definedName>
    <definedName name="BExCU0A1FTLDSB531Y0PHH4EIPRF" localSheetId="2" hidden="1">Weekly by #REF!</definedName>
    <definedName name="BExCU0A1FTLDSB531Y0PHH4EIPRF" localSheetId="6" hidden="1">Weekly by #REF!</definedName>
    <definedName name="BExCU0A1FTLDSB531Y0PHH4EIPRF" hidden="1">Weekly by #REF!</definedName>
    <definedName name="BExCU16FAFHSYEENQXBNLERR7V3K" localSheetId="0" hidden="1">#REF!</definedName>
    <definedName name="BExCU16FAFHSYEENQXBNLERR7V3K" localSheetId="2" hidden="1">#REF!</definedName>
    <definedName name="BExCU16FAFHSYEENQXBNLERR7V3K" hidden="1">#REF!</definedName>
    <definedName name="BExCUD60H1UMM2E28QIX022PMAO3" localSheetId="0" hidden="1">#REF!</definedName>
    <definedName name="BExCUD60H1UMM2E28QIX022PMAO3" localSheetId="2" hidden="1">#REF!</definedName>
    <definedName name="BExCUD60H1UMM2E28QIX022PMAO3" hidden="1">#REF!</definedName>
    <definedName name="BExCUPAWHM0P4BSKFZ5SJKV1ERM7" localSheetId="0" hidden="1">#REF!</definedName>
    <definedName name="BExCUPAWHM0P4BSKFZ5SJKV1ERM7" hidden="1">#REF!</definedName>
    <definedName name="BExCUW1Q2AR1JX2Z1B9CGJ6H60GY" localSheetId="0" hidden="1">#REF!</definedName>
    <definedName name="BExCUW1Q2AR1JX2Z1B9CGJ6H60GY" hidden="1">#REF!</definedName>
    <definedName name="BExCUW1RF5RHW7OK9J4GFUGR30IK" localSheetId="0" hidden="1">#REF!</definedName>
    <definedName name="BExCUW1RF5RHW7OK9J4GFUGR30IK" hidden="1">#REF!</definedName>
    <definedName name="BExCVBXG4TTE2ERW52ZA09FBTDH2" localSheetId="0" hidden="1">#REF!</definedName>
    <definedName name="BExCVBXG4TTE2ERW52ZA09FBTDH2" hidden="1">#REF!</definedName>
    <definedName name="BExCVDA27LGXYV9FEXATUHP2IHS0" localSheetId="0" hidden="1">#REF!</definedName>
    <definedName name="BExCVDA27LGXYV9FEXATUHP2IHS0" hidden="1">#REF!</definedName>
    <definedName name="BExCVKH0KFLY4D0IVRFGVTJYRXFX" localSheetId="0" hidden="1">#REF!</definedName>
    <definedName name="BExCVKH0KFLY4D0IVRFGVTJYRXFX" hidden="1">#REF!</definedName>
    <definedName name="BExCVWLXVAKW0MGL9EAXK4DRRB6T" localSheetId="0" hidden="1">#REF!</definedName>
    <definedName name="BExCVWLXVAKW0MGL9EAXK4DRRB6T" hidden="1">#REF!</definedName>
    <definedName name="BExCWLMRS46CTRI5Q30MQMLOJ2NH" localSheetId="0" hidden="1">#REF!</definedName>
    <definedName name="BExCWLMRS46CTRI5Q30MQMLOJ2NH" hidden="1">#REF!</definedName>
    <definedName name="BExCWX69ER7R6C6VGOZAPRGXJR2R" localSheetId="0" hidden="1">#REF!</definedName>
    <definedName name="BExCWX69ER7R6C6VGOZAPRGXJR2R" hidden="1">#REF!</definedName>
    <definedName name="BExCWXH17ASG0NSX26ZZXY1D2JKY" localSheetId="0" hidden="1">#REF!</definedName>
    <definedName name="BExCWXH17ASG0NSX26ZZXY1D2JKY" hidden="1">#REF!</definedName>
    <definedName name="BExCX47R2DICGOKDAXYPIWMXT0F0" localSheetId="0" hidden="1">#REF!</definedName>
    <definedName name="BExCX47R2DICGOKDAXYPIWMXT0F0" hidden="1">#REF!</definedName>
    <definedName name="BExCXAYLA3TMOHIRCEXCXXUSNOKZ" localSheetId="0" hidden="1">#REF!</definedName>
    <definedName name="BExCXAYLA3TMOHIRCEXCXXUSNOKZ" hidden="1">#REF!</definedName>
    <definedName name="BExCXC0EIRZGKHGFWVH6BZGZKSL5" localSheetId="0" hidden="1">#REF!</definedName>
    <definedName name="BExCXC0EIRZGKHGFWVH6BZGZKSL5" hidden="1">#REF!</definedName>
    <definedName name="BExCXZJ5G598C4VXA3GXGYHN6COW" localSheetId="0" hidden="1">#REF!</definedName>
    <definedName name="BExCXZJ5G598C4VXA3GXGYHN6COW" hidden="1">#REF!</definedName>
    <definedName name="BExCY4H9JMPB090TG2SILY28IPCR" localSheetId="0" hidden="1">#REF!</definedName>
    <definedName name="BExCY4H9JMPB090TG2SILY28IPCR" hidden="1">#REF!</definedName>
    <definedName name="BExCYK7MZ56O5XIV8T5XIE9VBQXN" localSheetId="0" hidden="1">#REF!</definedName>
    <definedName name="BExCYK7MZ56O5XIV8T5XIE9VBQXN" hidden="1">#REF!</definedName>
    <definedName name="BExCZBHJ4ZDFD4N4ZS7VAL7FA7P7" localSheetId="0" hidden="1">#REF!</definedName>
    <definedName name="BExCZBHJ4ZDFD4N4ZS7VAL7FA7P7" hidden="1">#REF!</definedName>
    <definedName name="BExD06SXR2OPV4282WTX6ARRQ4JS" localSheetId="0" hidden="1">#REF!</definedName>
    <definedName name="BExD06SXR2OPV4282WTX6ARRQ4JS" hidden="1">#REF!</definedName>
    <definedName name="BExD0WQ71JYMUDXQTQEITA6DXV3F" localSheetId="0" hidden="1">#REF!</definedName>
    <definedName name="BExD0WQ71JYMUDXQTQEITA6DXV3F" hidden="1">#REF!</definedName>
    <definedName name="BExD189NLCZ0MV1E8GXPW23W160D" localSheetId="0" hidden="1">#REF!</definedName>
    <definedName name="BExD189NLCZ0MV1E8GXPW23W160D" hidden="1">#REF!</definedName>
    <definedName name="BExD1I5QGOIO4W9UL7YB328EA3V7" localSheetId="0" hidden="1">#REF!</definedName>
    <definedName name="BExD1I5QGOIO4W9UL7YB328EA3V7" hidden="1">#REF!</definedName>
    <definedName name="BExD2MRMSOCW29ZLJ226FVCE2K34" localSheetId="0" hidden="1">#REF!</definedName>
    <definedName name="BExD2MRMSOCW29ZLJ226FVCE2K34" hidden="1">#REF!</definedName>
    <definedName name="BExD2RK9LE7I985N677G3WNH5DIV" localSheetId="0" hidden="1">#REF!</definedName>
    <definedName name="BExD2RK9LE7I985N677G3WNH5DIV" hidden="1">#REF!</definedName>
    <definedName name="BExD315IVQFPVHM4YUV8T1NVSQLK" localSheetId="0" hidden="1">#REF!</definedName>
    <definedName name="BExD315IVQFPVHM4YUV8T1NVSQLK" hidden="1">#REF!</definedName>
    <definedName name="BExD37W7YUULHO5DGYRP7KYM65NC" localSheetId="0" hidden="1">#REF!</definedName>
    <definedName name="BExD37W7YUULHO5DGYRP7KYM65NC" hidden="1">#REF!</definedName>
    <definedName name="BExD3F35IW13G9ZW2RGW637IX0SB" localSheetId="0" hidden="1">Weekly by #REF!</definedName>
    <definedName name="BExD3F35IW13G9ZW2RGW637IX0SB" localSheetId="1" hidden="1">Weekly by #REF!</definedName>
    <definedName name="BExD3F35IW13G9ZW2RGW637IX0SB" localSheetId="3" hidden="1">Weekly by #REF!</definedName>
    <definedName name="BExD3F35IW13G9ZW2RGW637IX0SB" localSheetId="7" hidden="1">Weekly by #REF!</definedName>
    <definedName name="BExD3F35IW13G9ZW2RGW637IX0SB" localSheetId="2" hidden="1">Weekly by #REF!</definedName>
    <definedName name="BExD3F35IW13G9ZW2RGW637IX0SB" localSheetId="6" hidden="1">Weekly by #REF!</definedName>
    <definedName name="BExD3F35IW13G9ZW2RGW637IX0SB" hidden="1">Weekly by #REF!</definedName>
    <definedName name="BExD3ODNGWEV6DBJR97P2II2EVF3" localSheetId="0" hidden="1">Weekly by #REF!</definedName>
    <definedName name="BExD3ODNGWEV6DBJR97P2II2EVF3" localSheetId="1" hidden="1">Weekly by #REF!</definedName>
    <definedName name="BExD3ODNGWEV6DBJR97P2II2EVF3" localSheetId="3" hidden="1">Weekly by #REF!</definedName>
    <definedName name="BExD3ODNGWEV6DBJR97P2II2EVF3" localSheetId="7" hidden="1">Weekly by #REF!</definedName>
    <definedName name="BExD3ODNGWEV6DBJR97P2II2EVF3" localSheetId="2" hidden="1">Weekly by #REF!</definedName>
    <definedName name="BExD3ODNGWEV6DBJR97P2II2EVF3" localSheetId="6" hidden="1">Weekly by #REF!</definedName>
    <definedName name="BExD3ODNGWEV6DBJR97P2II2EVF3" hidden="1">Weekly by #REF!</definedName>
    <definedName name="BExD3PKTT0MHJPK56ADYPFIYXKO7" localSheetId="0" hidden="1">#REF!</definedName>
    <definedName name="BExD3PKTT0MHJPK56ADYPFIYXKO7" localSheetId="2" hidden="1">#REF!</definedName>
    <definedName name="BExD3PKTT0MHJPK56ADYPFIYXKO7" hidden="1">#REF!</definedName>
    <definedName name="BExD47UZN79E7UZ1PF13H1AL03VT" localSheetId="0" hidden="1">#REF!</definedName>
    <definedName name="BExD47UZN79E7UZ1PF13H1AL03VT" localSheetId="2" hidden="1">#REF!</definedName>
    <definedName name="BExD47UZN79E7UZ1PF13H1AL03VT" hidden="1">#REF!</definedName>
    <definedName name="BExD4B5OJKUPJMFR7AZJGR6UVR3E" localSheetId="0" hidden="1">#REF!</definedName>
    <definedName name="BExD4B5OJKUPJMFR7AZJGR6UVR3E" hidden="1">#REF!</definedName>
    <definedName name="BExD4RHMHOHG2WM6HI950PSP13F8" localSheetId="0" hidden="1">#REF!</definedName>
    <definedName name="BExD4RHMHOHG2WM6HI950PSP13F8" hidden="1">#REF!</definedName>
    <definedName name="BExD5P7D7B3TCMJQY4TM56KCPB73" localSheetId="0" hidden="1">#REF!</definedName>
    <definedName name="BExD5P7D7B3TCMJQY4TM56KCPB73" hidden="1">#REF!</definedName>
    <definedName name="BExD60W79PK074CAKD5DGUG6FLIL" localSheetId="0" hidden="1">#REF!</definedName>
    <definedName name="BExD60W79PK074CAKD5DGUG6FLIL" hidden="1">#REF!</definedName>
    <definedName name="BExD6BZF6UGC8YXEZJ8URJDY0HUJ" localSheetId="0" hidden="1">#REF!</definedName>
    <definedName name="BExD6BZF6UGC8YXEZJ8URJDY0HUJ" hidden="1">#REF!</definedName>
    <definedName name="BExD6O9R3LS96DOIWX0OUCG8WYTX" localSheetId="0" hidden="1">#REF!</definedName>
    <definedName name="BExD6O9R3LS96DOIWX0OUCG8WYTX" hidden="1">#REF!</definedName>
    <definedName name="BExD6XV0BDU8LPQPWSKHU0XX0UPR" localSheetId="0" hidden="1">#REF!</definedName>
    <definedName name="BExD6XV0BDU8LPQPWSKHU0XX0UPR" hidden="1">#REF!</definedName>
    <definedName name="BExD78HZXST2VA16CD7MZ9XZG7HK" localSheetId="0" hidden="1">#REF!</definedName>
    <definedName name="BExD78HZXST2VA16CD7MZ9XZG7HK" hidden="1">#REF!</definedName>
    <definedName name="BExD7CE8ZR0EL3ZQP0AYQ5XQUH9L" localSheetId="0" hidden="1">#REF!</definedName>
    <definedName name="BExD7CE8ZR0EL3ZQP0AYQ5XQUH9L" hidden="1">#REF!</definedName>
    <definedName name="BExD7D5BENMIPN2M611H2L9AV3AK" localSheetId="0" hidden="1">#REF!</definedName>
    <definedName name="BExD7D5BENMIPN2M611H2L9AV3AK" hidden="1">#REF!</definedName>
    <definedName name="BExD7GAIHX094KROB46WFTL2XBWL" localSheetId="0" hidden="1">#REF!</definedName>
    <definedName name="BExD7GAIHX094KROB46WFTL2XBWL" hidden="1">#REF!</definedName>
    <definedName name="BExD7IZMKM0QIFE7EV1NYL6EZVJZ" localSheetId="0" hidden="1">#REF!</definedName>
    <definedName name="BExD7IZMKM0QIFE7EV1NYL6EZVJZ" hidden="1">#REF!</definedName>
    <definedName name="BExD7SVOH5J3ZVHK9KI2N1XE0CC3" localSheetId="0" hidden="1">#REF!</definedName>
    <definedName name="BExD7SVOH5J3ZVHK9KI2N1XE0CC3" hidden="1">#REF!</definedName>
    <definedName name="BExD7V4PCVR1ACVPOJXKJ4CSROIX" localSheetId="0" hidden="1">#REF!</definedName>
    <definedName name="BExD7V4PCVR1ACVPOJXKJ4CSROIX" hidden="1">#REF!</definedName>
    <definedName name="BExD819S39VUTMASCBMYI883THJ3" localSheetId="0" hidden="1">#REF!</definedName>
    <definedName name="BExD819S39VUTMASCBMYI883THJ3" hidden="1">#REF!</definedName>
    <definedName name="BExD87V5NA5FTBL0ESM00FYKKNJO" localSheetId="0" hidden="1">#REF!</definedName>
    <definedName name="BExD87V5NA5FTBL0ESM00FYKKNJO" hidden="1">#REF!</definedName>
    <definedName name="BExD8CYKX2WGEDSW6KFP6MND1PM0" localSheetId="0" hidden="1">#REF!</definedName>
    <definedName name="BExD8CYKX2WGEDSW6KFP6MND1PM0" hidden="1">#REF!</definedName>
    <definedName name="BExD8H5MGJFMK4HK6DOAGTFYV6JT" localSheetId="0" hidden="1">#REF!</definedName>
    <definedName name="BExD8H5MGJFMK4HK6DOAGTFYV6JT" hidden="1">#REF!</definedName>
    <definedName name="BExD8KWFYVMYYY2YJ34JT4QNLLTE" localSheetId="0" hidden="1">#REF!</definedName>
    <definedName name="BExD8KWFYVMYYY2YJ34JT4QNLLTE" hidden="1">#REF!</definedName>
    <definedName name="BExD8N5GSH2449ON28PQ4COA2876" localSheetId="0" hidden="1">#REF!</definedName>
    <definedName name="BExD8N5GSH2449ON28PQ4COA2876" hidden="1">#REF!</definedName>
    <definedName name="BExD90HHZ46XOVPFR9TZ1TZ92LX6" localSheetId="0" hidden="1">Weekly by #REF!</definedName>
    <definedName name="BExD90HHZ46XOVPFR9TZ1TZ92LX6" localSheetId="1" hidden="1">Weekly by #REF!</definedName>
    <definedName name="BExD90HHZ46XOVPFR9TZ1TZ92LX6" localSheetId="3" hidden="1">Weekly by #REF!</definedName>
    <definedName name="BExD90HHZ46XOVPFR9TZ1TZ92LX6" localSheetId="7" hidden="1">Weekly by #REF!</definedName>
    <definedName name="BExD90HHZ46XOVPFR9TZ1TZ92LX6" localSheetId="2" hidden="1">Weekly by #REF!</definedName>
    <definedName name="BExD90HHZ46XOVPFR9TZ1TZ92LX6" localSheetId="6" hidden="1">Weekly by #REF!</definedName>
    <definedName name="BExD90HHZ46XOVPFR9TZ1TZ92LX6" hidden="1">Weekly by #REF!</definedName>
    <definedName name="BExD9IMBI0P6S6QRAXHE26HMK86D" localSheetId="0" hidden="1">#REF!</definedName>
    <definedName name="BExD9IMBI0P6S6QRAXHE26HMK86D" localSheetId="2" hidden="1">#REF!</definedName>
    <definedName name="BExD9IMBI0P6S6QRAXHE26HMK86D" hidden="1">#REF!</definedName>
    <definedName name="BExDB39GNDHCPPB7U2PZQO5TJ1OI" localSheetId="0" hidden="1">#REF!</definedName>
    <definedName name="BExDB39GNDHCPPB7U2PZQO5TJ1OI" localSheetId="2" hidden="1">#REF!</definedName>
    <definedName name="BExDB39GNDHCPPB7U2PZQO5TJ1OI" hidden="1">#REF!</definedName>
    <definedName name="BExDBECNFJKO0HIOIKTWDCSWP755" localSheetId="0" hidden="1">#REF!</definedName>
    <definedName name="BExDBECNFJKO0HIOIKTWDCSWP755" hidden="1">#REF!</definedName>
    <definedName name="BExDBI8WRY61SHXKAT4UFXLB15E8" localSheetId="0" hidden="1">#REF!</definedName>
    <definedName name="BExDBI8WRY61SHXKAT4UFXLB15E8" hidden="1">#REF!</definedName>
    <definedName name="BExDBZBW3EHQF6J0XXIT3ZMXPL8C" localSheetId="0" hidden="1">#REF!</definedName>
    <definedName name="BExDBZBW3EHQF6J0XXIT3ZMXPL8C" hidden="1">#REF!</definedName>
    <definedName name="BExDCMPIHH27EAXTDLP095HYA29X" localSheetId="0" hidden="1">#REF!</definedName>
    <definedName name="BExDCMPIHH27EAXTDLP095HYA29X" hidden="1">#REF!</definedName>
    <definedName name="BExENRJDC2MGQRJ6EHLAWX5I4SRS" localSheetId="0" hidden="1">#REF!</definedName>
    <definedName name="BExENRJDC2MGQRJ6EHLAWX5I4SRS" hidden="1">#REF!</definedName>
    <definedName name="BExEP7388TKNL6FEJW00XN7FHEUG" localSheetId="0" hidden="1">#REF!</definedName>
    <definedName name="BExEP7388TKNL6FEJW00XN7FHEUG" hidden="1">#REF!</definedName>
    <definedName name="BExEP9HILU9SUSO38EK2584F5Z9V" localSheetId="0" hidden="1">#REF!</definedName>
    <definedName name="BExEP9HILU9SUSO38EK2584F5Z9V" hidden="1">#REF!</definedName>
    <definedName name="BExEQD73QE34MW57L1HFXSTB7QEG" localSheetId="0" hidden="1">#REF!</definedName>
    <definedName name="BExEQD73QE34MW57L1HFXSTB7QEG" hidden="1">#REF!</definedName>
    <definedName name="BExEQTTU72F3AZAQLU8TM5QXVZZS" localSheetId="0" hidden="1">#REF!</definedName>
    <definedName name="BExEQTTU72F3AZAQLU8TM5QXVZZS" hidden="1">#REF!</definedName>
    <definedName name="BExER22NHDV2CL9P4VQ4OI396138" localSheetId="0" hidden="1">#REF!</definedName>
    <definedName name="BExER22NHDV2CL9P4VQ4OI396138" hidden="1">#REF!</definedName>
    <definedName name="BExERA5Y3NAE7423Z05OXMVP2IOG" localSheetId="0" hidden="1">Weekly by #REF!</definedName>
    <definedName name="BExERA5Y3NAE7423Z05OXMVP2IOG" localSheetId="1" hidden="1">Weekly by #REF!</definedName>
    <definedName name="BExERA5Y3NAE7423Z05OXMVP2IOG" localSheetId="3" hidden="1">Weekly by #REF!</definedName>
    <definedName name="BExERA5Y3NAE7423Z05OXMVP2IOG" localSheetId="7" hidden="1">Weekly by #REF!</definedName>
    <definedName name="BExERA5Y3NAE7423Z05OXMVP2IOG" localSheetId="2" hidden="1">Weekly by #REF!</definedName>
    <definedName name="BExERA5Y3NAE7423Z05OXMVP2IOG" localSheetId="6" hidden="1">Weekly by #REF!</definedName>
    <definedName name="BExERA5Y3NAE7423Z05OXMVP2IOG" hidden="1">Weekly by #REF!</definedName>
    <definedName name="BExERCETL5ZVXSS6EENB85QCSRYG" localSheetId="0" hidden="1">#REF!</definedName>
    <definedName name="BExERCETL5ZVXSS6EENB85QCSRYG" localSheetId="2" hidden="1">#REF!</definedName>
    <definedName name="BExERCETL5ZVXSS6EENB85QCSRYG" hidden="1">#REF!</definedName>
    <definedName name="BExERIUTB21WQ9WVQXUCDCGSH23E" localSheetId="0" hidden="1">#REF!</definedName>
    <definedName name="BExERIUTB21WQ9WVQXUCDCGSH23E" localSheetId="2" hidden="1">#REF!</definedName>
    <definedName name="BExERIUTB21WQ9WVQXUCDCGSH23E" hidden="1">#REF!</definedName>
    <definedName name="BExERSLFEDXNMOLAZ2VOI6VVJCBW" localSheetId="0" hidden="1">#REF!</definedName>
    <definedName name="BExERSLFEDXNMOLAZ2VOI6VVJCBW" hidden="1">#REF!</definedName>
    <definedName name="BExERWCEBKQRYWRQLYJ4UCMMKTHG" localSheetId="0" hidden="1">#REF!</definedName>
    <definedName name="BExERWCEBKQRYWRQLYJ4UCMMKTHG" localSheetId="2" hidden="1">#REF!</definedName>
    <definedName name="BExERWCEBKQRYWRQLYJ4UCMMKTHG" hidden="1">#REF!</definedName>
    <definedName name="BExERWSHS5678NWP0NM8J09K2OGY" localSheetId="0" hidden="1">#REF!</definedName>
    <definedName name="BExERWSHS5678NWP0NM8J09K2OGY" hidden="1">#REF!</definedName>
    <definedName name="BExESVUV75ORB8EHJ9ZBRAXK5HKX" localSheetId="0" hidden="1">Weekly by #REF!</definedName>
    <definedName name="BExESVUV75ORB8EHJ9ZBRAXK5HKX" localSheetId="1" hidden="1">Weekly by #REF!</definedName>
    <definedName name="BExESVUV75ORB8EHJ9ZBRAXK5HKX" localSheetId="3" hidden="1">Weekly by #REF!</definedName>
    <definedName name="BExESVUV75ORB8EHJ9ZBRAXK5HKX" localSheetId="7" hidden="1">Weekly by #REF!</definedName>
    <definedName name="BExESVUV75ORB8EHJ9ZBRAXK5HKX" localSheetId="2" hidden="1">Weekly by #REF!</definedName>
    <definedName name="BExESVUV75ORB8EHJ9ZBRAXK5HKX" localSheetId="6" hidden="1">Weekly by #REF!</definedName>
    <definedName name="BExESVUV75ORB8EHJ9ZBRAXK5HKX" hidden="1">Weekly by #REF!</definedName>
    <definedName name="BExESZWG5NZ8IHCROQMPMIAY0TSO" localSheetId="0" hidden="1">#REF!</definedName>
    <definedName name="BExESZWG5NZ8IHCROQMPMIAY0TSO" localSheetId="2" hidden="1">#REF!</definedName>
    <definedName name="BExESZWG5NZ8IHCROQMPMIAY0TSO" hidden="1">#REF!</definedName>
    <definedName name="BExETLS2RZ2B6U29Y78UAD8896C8" localSheetId="0" hidden="1">#REF!</definedName>
    <definedName name="BExETLS2RZ2B6U29Y78UAD8896C8" localSheetId="2" hidden="1">#REF!</definedName>
    <definedName name="BExETLS2RZ2B6U29Y78UAD8896C8" hidden="1">#REF!</definedName>
    <definedName name="BExETQFFLH766OHX0PD3NEIK0DIF" localSheetId="0" hidden="1">#REF!</definedName>
    <definedName name="BExETQFFLH766OHX0PD3NEIK0DIF" hidden="1">#REF!</definedName>
    <definedName name="BExETVDCXGPYA4OP2UI1URTJ60TK" localSheetId="0" hidden="1">#REF!</definedName>
    <definedName name="BExETVDCXGPYA4OP2UI1URTJ60TK" hidden="1">#REF!</definedName>
    <definedName name="BExEUM6Y5MUDV2WYYY9ICV8796JQ" localSheetId="0" hidden="1">#REF!</definedName>
    <definedName name="BExEUM6Y5MUDV2WYYY9ICV8796JQ" hidden="1">#REF!</definedName>
    <definedName name="BExEUTOOSAR1CJ6S2O9NTTQMWXNZ" localSheetId="0" hidden="1">#REF!</definedName>
    <definedName name="BExEUTOOSAR1CJ6S2O9NTTQMWXNZ" hidden="1">#REF!</definedName>
    <definedName name="BExEUWDSE4XZU43EN44GVWEZ7EHZ" localSheetId="0" hidden="1">#REF!</definedName>
    <definedName name="BExEUWDSE4XZU43EN44GVWEZ7EHZ" hidden="1">#REF!</definedName>
    <definedName name="BExEVAM8BLTWVS6IMVJWDOZBQK9R" localSheetId="0" hidden="1">#REF!</definedName>
    <definedName name="BExEVAM8BLTWVS6IMVJWDOZBQK9R" hidden="1">#REF!</definedName>
    <definedName name="BExEVL3UZ22W55ZRF3F0J21PKQLX" localSheetId="0" hidden="1">#REF!</definedName>
    <definedName name="BExEVL3UZ22W55ZRF3F0J21PKQLX" hidden="1">#REF!</definedName>
    <definedName name="BExEW6357VV6LVZCWOOM0R3T78QK" localSheetId="0" hidden="1">#REF!</definedName>
    <definedName name="BExEW6357VV6LVZCWOOM0R3T78QK" hidden="1">#REF!</definedName>
    <definedName name="BExEWHXF5F2E8FN7TRI5U2ZY0T0P" localSheetId="0" hidden="1">#REF!</definedName>
    <definedName name="BExEWHXF5F2E8FN7TRI5U2ZY0T0P" hidden="1">#REF!</definedName>
    <definedName name="BExEXF1KNHTWOGTPOGP3XHLMD7EF" localSheetId="0" hidden="1">#REF!</definedName>
    <definedName name="BExEXF1KNHTWOGTPOGP3XHLMD7EF" hidden="1">#REF!</definedName>
    <definedName name="BExEY067KMBNYP9WMRGOH8ITDBLD" localSheetId="0" hidden="1">#REF!</definedName>
    <definedName name="BExEY067KMBNYP9WMRGOH8ITDBLD" hidden="1">#REF!</definedName>
    <definedName name="BExEY6M2RVOP8F1NSW2IZNX6W61D" localSheetId="0" hidden="1">#REF!</definedName>
    <definedName name="BExEY6M2RVOP8F1NSW2IZNX6W61D" hidden="1">#REF!</definedName>
    <definedName name="BExEYGCSYH6XC1X89ZT8VJVQ6THP" localSheetId="0" hidden="1">#REF!</definedName>
    <definedName name="BExEYGCSYH6XC1X89ZT8VJVQ6THP" hidden="1">#REF!</definedName>
    <definedName name="BExEYVHM7COM2XBAZH71USCAT6K9" localSheetId="0" hidden="1">#REF!</definedName>
    <definedName name="BExEYVHM7COM2XBAZH71USCAT6K9" hidden="1">#REF!</definedName>
    <definedName name="BExEYW8O56SE67A8CIT413PPQFWN" localSheetId="0" hidden="1">#REF!</definedName>
    <definedName name="BExEYW8O56SE67A8CIT413PPQFWN" hidden="1">#REF!</definedName>
    <definedName name="BExEYXQGOT90CC2QXVUDAMIS2SD6" localSheetId="0" hidden="1">#REF!</definedName>
    <definedName name="BExEYXQGOT90CC2QXVUDAMIS2SD6" hidden="1">#REF!</definedName>
    <definedName name="BExEYY17N22FDMK6IA4HQRCTNPYL" localSheetId="0" hidden="1">#REF!</definedName>
    <definedName name="BExEYY17N22FDMK6IA4HQRCTNPYL" hidden="1">#REF!</definedName>
    <definedName name="BExEZ46IAZBD4CP877698X6U1Q13" localSheetId="0" hidden="1">Weekly by #REF!</definedName>
    <definedName name="BExEZ46IAZBD4CP877698X6U1Q13" localSheetId="1" hidden="1">Weekly by #REF!</definedName>
    <definedName name="BExEZ46IAZBD4CP877698X6U1Q13" localSheetId="3" hidden="1">Weekly by #REF!</definedName>
    <definedName name="BExEZ46IAZBD4CP877698X6U1Q13" localSheetId="7" hidden="1">Weekly by #REF!</definedName>
    <definedName name="BExEZ46IAZBD4CP877698X6U1Q13" localSheetId="2" hidden="1">Weekly by #REF!</definedName>
    <definedName name="BExEZ46IAZBD4CP877698X6U1Q13" localSheetId="6" hidden="1">Weekly by #REF!</definedName>
    <definedName name="BExEZ46IAZBD4CP877698X6U1Q13" hidden="1">Weekly by #REF!</definedName>
    <definedName name="BExEZFPZKLS4GGKV39NX0GL8AK7B" localSheetId="0" hidden="1">#REF!</definedName>
    <definedName name="BExEZFPZKLS4GGKV39NX0GL8AK7B" localSheetId="2" hidden="1">#REF!</definedName>
    <definedName name="BExEZFPZKLS4GGKV39NX0GL8AK7B" hidden="1">#REF!</definedName>
    <definedName name="BExEZQYJW81F362CWKW5HLAAM45I" localSheetId="0" hidden="1">#REF!</definedName>
    <definedName name="BExEZQYJW81F362CWKW5HLAAM45I" localSheetId="2" hidden="1">#REF!</definedName>
    <definedName name="BExEZQYJW81F362CWKW5HLAAM45I" hidden="1">#REF!</definedName>
    <definedName name="BExEZSWLMZZ2RK34GSJ9Q3NPCFT2" localSheetId="0" hidden="1">#REF!</definedName>
    <definedName name="BExEZSWLMZZ2RK34GSJ9Q3NPCFT2" hidden="1">#REF!</definedName>
    <definedName name="BExF03ZSVT8IV0I7W0B0RK3R4CNF" localSheetId="0" hidden="1">Weekly by #REF!</definedName>
    <definedName name="BExF03ZSVT8IV0I7W0B0RK3R4CNF" localSheetId="1" hidden="1">Weekly by #REF!</definedName>
    <definedName name="BExF03ZSVT8IV0I7W0B0RK3R4CNF" localSheetId="3" hidden="1">Weekly by #REF!</definedName>
    <definedName name="BExF03ZSVT8IV0I7W0B0RK3R4CNF" localSheetId="7" hidden="1">Weekly by #REF!</definedName>
    <definedName name="BExF03ZSVT8IV0I7W0B0RK3R4CNF" localSheetId="2" hidden="1">Weekly by #REF!</definedName>
    <definedName name="BExF03ZSVT8IV0I7W0B0RK3R4CNF" localSheetId="6" hidden="1">Weekly by #REF!</definedName>
    <definedName name="BExF03ZSVT8IV0I7W0B0RK3R4CNF" hidden="1">Weekly by #REF!</definedName>
    <definedName name="BExF09E0LEV54VX8AQTG2FXYGWW5" localSheetId="0" hidden="1">#REF!</definedName>
    <definedName name="BExF09E0LEV54VX8AQTG2FXYGWW5" localSheetId="2" hidden="1">#REF!</definedName>
    <definedName name="BExF09E0LEV54VX8AQTG2FXYGWW5" hidden="1">#REF!</definedName>
    <definedName name="BExF0HHBY4R915SX9W981L70W8T2" localSheetId="0" hidden="1">#REF!</definedName>
    <definedName name="BExF0HHBY4R915SX9W981L70W8T2" localSheetId="2" hidden="1">#REF!</definedName>
    <definedName name="BExF0HHBY4R915SX9W981L70W8T2" hidden="1">#REF!</definedName>
    <definedName name="BExF0JQCTFN8YI67LO6JHV2H16HD" localSheetId="0" hidden="1">#REF!</definedName>
    <definedName name="BExF0JQCTFN8YI67LO6JHV2H16HD" hidden="1">#REF!</definedName>
    <definedName name="BExF0L2TP18E48BYIVEYR9BGX4HR" localSheetId="0" hidden="1">#REF!</definedName>
    <definedName name="BExF0L2TP18E48BYIVEYR9BGX4HR" hidden="1">#REF!</definedName>
    <definedName name="BExF0QH116YF95UAL83HSM0C2X7Y" localSheetId="0" hidden="1">#REF!</definedName>
    <definedName name="BExF0QH116YF95UAL83HSM0C2X7Y" hidden="1">#REF!</definedName>
    <definedName name="BExF1NL6YF38G8HBORHUB0N00Q80" localSheetId="0" hidden="1">Weekly by #REF!</definedName>
    <definedName name="BExF1NL6YF38G8HBORHUB0N00Q80" localSheetId="1" hidden="1">Weekly by #REF!</definedName>
    <definedName name="BExF1NL6YF38G8HBORHUB0N00Q80" localSheetId="3" hidden="1">Weekly by #REF!</definedName>
    <definedName name="BExF1NL6YF38G8HBORHUB0N00Q80" localSheetId="7" hidden="1">Weekly by #REF!</definedName>
    <definedName name="BExF1NL6YF38G8HBORHUB0N00Q80" localSheetId="2" hidden="1">Weekly by #REF!</definedName>
    <definedName name="BExF1NL6YF38G8HBORHUB0N00Q80" localSheetId="6" hidden="1">Weekly by #REF!</definedName>
    <definedName name="BExF1NL6YF38G8HBORHUB0N00Q80" hidden="1">Weekly by #REF!</definedName>
    <definedName name="BExF200VK438ANZMJEAPZ2RQDB8U" localSheetId="0" hidden="1">#REF!</definedName>
    <definedName name="BExF200VK438ANZMJEAPZ2RQDB8U" localSheetId="2" hidden="1">#REF!</definedName>
    <definedName name="BExF200VK438ANZMJEAPZ2RQDB8U" hidden="1">#REF!</definedName>
    <definedName name="BExF21OBXGVA9D1CPMHVJHL599BC" localSheetId="0" hidden="1">#REF!</definedName>
    <definedName name="BExF21OBXGVA9D1CPMHVJHL599BC" localSheetId="2" hidden="1">#REF!</definedName>
    <definedName name="BExF21OBXGVA9D1CPMHVJHL599BC" hidden="1">#REF!</definedName>
    <definedName name="BExF28PXA9VBW4OZ74OITX6LHR12" localSheetId="0" hidden="1">#REF!</definedName>
    <definedName name="BExF28PXA9VBW4OZ74OITX6LHR12" hidden="1">#REF!</definedName>
    <definedName name="BExF2LR83KWDOSK9ACAROCGMTQ8X" localSheetId="0" hidden="1">#REF!</definedName>
    <definedName name="BExF2LR83KWDOSK9ACAROCGMTQ8X" hidden="1">#REF!</definedName>
    <definedName name="BExF3AS2T7GFVNU9JPBXWUQH845Y" localSheetId="0" hidden="1">#REF!</definedName>
    <definedName name="BExF3AS2T7GFVNU9JPBXWUQH845Y" hidden="1">#REF!</definedName>
    <definedName name="BExF3GBMLCA5ZT2251N0N3CRN11O" localSheetId="0" hidden="1">#REF!</definedName>
    <definedName name="BExF3GBMLCA5ZT2251N0N3CRN11O" hidden="1">#REF!</definedName>
    <definedName name="BExF3RET913530OJZJYWUA4LCSLF" localSheetId="0" hidden="1">#REF!</definedName>
    <definedName name="BExF3RET913530OJZJYWUA4LCSLF" hidden="1">#REF!</definedName>
    <definedName name="BExF42YB94137BLE2UERV9TH4SUP" localSheetId="0" hidden="1">#REF!</definedName>
    <definedName name="BExF42YB94137BLE2UERV9TH4SUP" hidden="1">#REF!</definedName>
    <definedName name="BExF59NQHJ39J7AF8B91RVX0H3P6" localSheetId="0" hidden="1">#REF!</definedName>
    <definedName name="BExF59NQHJ39J7AF8B91RVX0H3P6" hidden="1">#REF!</definedName>
    <definedName name="BExF64DLHGTWAUWH88FKF1AMMEHH" localSheetId="0" hidden="1">#REF!</definedName>
    <definedName name="BExF64DLHGTWAUWH88FKF1AMMEHH" hidden="1">#REF!</definedName>
    <definedName name="BExF65FFOHNFLM63A7M0XSPHOAGY" localSheetId="0" hidden="1">#REF!</definedName>
    <definedName name="BExF65FFOHNFLM63A7M0XSPHOAGY" hidden="1">#REF!</definedName>
    <definedName name="BExF68FCTLQFG30V57VHMW70CNXK" localSheetId="0" hidden="1">#REF!</definedName>
    <definedName name="BExF68FCTLQFG30V57VHMW70CNXK" hidden="1">#REF!</definedName>
    <definedName name="BExF6JNWE4H8L694Y8Z1VCZ9EMVP" localSheetId="0" hidden="1">#REF!</definedName>
    <definedName name="BExF6JNWE4H8L694Y8Z1VCZ9EMVP" hidden="1">#REF!</definedName>
    <definedName name="BExF71SL7S5BDGRZ694893ZZ2ZTI" localSheetId="0" hidden="1">#REF!</definedName>
    <definedName name="BExF71SL7S5BDGRZ694893ZZ2ZTI" hidden="1">#REF!</definedName>
    <definedName name="BExF75OTGPQ9MVI5VVGD63G0WED4" localSheetId="0" hidden="1">#REF!</definedName>
    <definedName name="BExF75OTGPQ9MVI5VVGD63G0WED4" hidden="1">#REF!</definedName>
    <definedName name="BExF7FVNFEHQQH5MIO6AIUWSERR7" localSheetId="0" hidden="1">#REF!</definedName>
    <definedName name="BExF7FVNFEHQQH5MIO6AIUWSERR7" hidden="1">#REF!</definedName>
    <definedName name="BExF7G6H3SQI77B8NYP7N4KBR2H8" localSheetId="0" hidden="1">#REF!</definedName>
    <definedName name="BExF7G6H3SQI77B8NYP7N4KBR2H8" hidden="1">#REF!</definedName>
    <definedName name="BExF7RV9JQHNUU59Z7TLWW2ARAN8" localSheetId="0" hidden="1">#REF!</definedName>
    <definedName name="BExF7RV9JQHNUU59Z7TLWW2ARAN8" hidden="1">#REF!</definedName>
    <definedName name="BExF7YBC4WBGUQDLD8GXHDBBB78X" localSheetId="0" hidden="1">#REF!</definedName>
    <definedName name="BExF7YBC4WBGUQDLD8GXHDBBB78X" hidden="1">#REF!</definedName>
    <definedName name="BExF84R8ZH2K4C0CYI1IVFH8WUYD" localSheetId="0" hidden="1">#REF!</definedName>
    <definedName name="BExF84R8ZH2K4C0CYI1IVFH8WUYD" hidden="1">#REF!</definedName>
    <definedName name="BExF9CTA0UGH0U2JUPUJKMEEI1Z2" localSheetId="0" hidden="1">#REF!</definedName>
    <definedName name="BExF9CTA0UGH0U2JUPUJKMEEI1Z2" hidden="1">#REF!</definedName>
    <definedName name="BExGKJFW3SYWN9W743H2LIFHY67N" localSheetId="0" hidden="1">#REF!</definedName>
    <definedName name="BExGKJFW3SYWN9W743H2LIFHY67N" hidden="1">#REF!</definedName>
    <definedName name="BExGKNC6UCNO0YTOPVJZMQ34IVMH" localSheetId="0" hidden="1">#REF!</definedName>
    <definedName name="BExGKNC6UCNO0YTOPVJZMQ34IVMH" hidden="1">#REF!</definedName>
    <definedName name="BExGKT17Q7NLLXEVPD5JH5USNBZN" localSheetId="0" hidden="1">#REF!</definedName>
    <definedName name="BExGKT17Q7NLLXEVPD5JH5USNBZN" hidden="1">#REF!</definedName>
    <definedName name="BExGLTWCCY1TI4Y56XQEXXWAW600" localSheetId="0" hidden="1">#REF!</definedName>
    <definedName name="BExGLTWCCY1TI4Y56XQEXXWAW600" hidden="1">#REF!</definedName>
    <definedName name="BExGMEFBL47KYW564WF1RQ6VY453" localSheetId="0" hidden="1">#REF!</definedName>
    <definedName name="BExGMEFBL47KYW564WF1RQ6VY453" hidden="1">#REF!</definedName>
    <definedName name="BExGMR5YKGB6A4YH7J3UST1D3BYQ" localSheetId="0" hidden="1">#REF!</definedName>
    <definedName name="BExGMR5YKGB6A4YH7J3UST1D3BYQ" hidden="1">#REF!</definedName>
    <definedName name="BExGN0LRKAPMAKXJTDAKS7Q1MV6S" localSheetId="0" hidden="1">#REF!</definedName>
    <definedName name="BExGN0LRKAPMAKXJTDAKS7Q1MV6S" hidden="1">#REF!</definedName>
    <definedName name="BExGN1CTYZMUJOZYWPL70LRWEF7H" localSheetId="0" hidden="1">#REF!</definedName>
    <definedName name="BExGN1CTYZMUJOZYWPL70LRWEF7H" hidden="1">#REF!</definedName>
    <definedName name="BExGNCFW1HJRE2CBZ65J7JB4DCF3" localSheetId="0" hidden="1">#REF!</definedName>
    <definedName name="BExGNCFW1HJRE2CBZ65J7JB4DCF3" hidden="1">#REF!</definedName>
    <definedName name="BExGNPBUQ4MFVXFVD9LJPL5PZU68" localSheetId="0" hidden="1">#REF!</definedName>
    <definedName name="BExGNPBUQ4MFVXFVD9LJPL5PZU68" hidden="1">#REF!</definedName>
    <definedName name="BExGOE7C2HSW9M6L6R25H0Z4JEKM" localSheetId="0" hidden="1">#REF!</definedName>
    <definedName name="BExGOE7C2HSW9M6L6R25H0Z4JEKM" hidden="1">#REF!</definedName>
    <definedName name="BExGOI3M84PCOV0FSX0APR834A9T" localSheetId="0" hidden="1">#REF!</definedName>
    <definedName name="BExGOI3M84PCOV0FSX0APR834A9T" hidden="1">#REF!</definedName>
    <definedName name="BExGOL903YF63SRYHHD7UNE2B0E7" localSheetId="0" hidden="1">#REF!</definedName>
    <definedName name="BExGOL903YF63SRYHHD7UNE2B0E7" hidden="1">#REF!</definedName>
    <definedName name="BExGOROWSCEN1I6IXZVXWNFSY76K" localSheetId="0" hidden="1">#REF!</definedName>
    <definedName name="BExGOROWSCEN1I6IXZVXWNFSY76K" hidden="1">#REF!</definedName>
    <definedName name="BExGPB0QWZQYZ4O1B28QZMIZK4R5" localSheetId="0" hidden="1">#REF!</definedName>
    <definedName name="BExGPB0QWZQYZ4O1B28QZMIZK4R5" hidden="1">#REF!</definedName>
    <definedName name="BExGQ07389PUAAALMYLWN97W9XZ3" localSheetId="0" hidden="1">Weekly by #REF!</definedName>
    <definedName name="BExGQ07389PUAAALMYLWN97W9XZ3" localSheetId="1" hidden="1">Weekly by #REF!</definedName>
    <definedName name="BExGQ07389PUAAALMYLWN97W9XZ3" localSheetId="3" hidden="1">Weekly by #REF!</definedName>
    <definedName name="BExGQ07389PUAAALMYLWN97W9XZ3" localSheetId="7" hidden="1">Weekly by #REF!</definedName>
    <definedName name="BExGQ07389PUAAALMYLWN97W9XZ3" localSheetId="2" hidden="1">Weekly by #REF!</definedName>
    <definedName name="BExGQ07389PUAAALMYLWN97W9XZ3" localSheetId="6" hidden="1">Weekly by #REF!</definedName>
    <definedName name="BExGQ07389PUAAALMYLWN97W9XZ3" hidden="1">Weekly by #REF!</definedName>
    <definedName name="BExGQOX5SC3QE5GND2P8HAHC7ZN6" localSheetId="0" hidden="1">#REF!</definedName>
    <definedName name="BExGQOX5SC3QE5GND2P8HAHC7ZN6" localSheetId="2" hidden="1">#REF!</definedName>
    <definedName name="BExGQOX5SC3QE5GND2P8HAHC7ZN6" hidden="1">#REF!</definedName>
    <definedName name="BExGQP2M90PWKZU8RDMLC9SJN90J" localSheetId="0" hidden="1">#REF!</definedName>
    <definedName name="BExGQP2M90PWKZU8RDMLC9SJN90J" localSheetId="2" hidden="1">#REF!</definedName>
    <definedName name="BExGQP2M90PWKZU8RDMLC9SJN90J" hidden="1">#REF!</definedName>
    <definedName name="BExGQRM9NCME1AQA8RNH8GRKBEY8" localSheetId="0" hidden="1">#REF!</definedName>
    <definedName name="BExGQRM9NCME1AQA8RNH8GRKBEY8" hidden="1">#REF!</definedName>
    <definedName name="BExGR1YLGFPIMJ51UHGF9RRB2LGB" localSheetId="0" hidden="1">#REF!</definedName>
    <definedName name="BExGR1YLGFPIMJ51UHGF9RRB2LGB" hidden="1">#REF!</definedName>
    <definedName name="BExGR23WEFG8G3CHQC5Q2M1VP9Q0" localSheetId="0" hidden="1">#REF!</definedName>
    <definedName name="BExGR23WEFG8G3CHQC5Q2M1VP9Q0" hidden="1">#REF!</definedName>
    <definedName name="BExGRHZROC86IFGNDBDWZNBH5Q2V" localSheetId="0" hidden="1">#REF!</definedName>
    <definedName name="BExGRHZROC86IFGNDBDWZNBH5Q2V" hidden="1">#REF!</definedName>
    <definedName name="BExGRQOMGLMWO84HD8OJNT6MVYYQ" localSheetId="0" hidden="1">#REF!</definedName>
    <definedName name="BExGRQOMGLMWO84HD8OJNT6MVYYQ" hidden="1">#REF!</definedName>
    <definedName name="BExGRWOG8H774BWL55XHDM510RIO" localSheetId="0" hidden="1">#REF!</definedName>
    <definedName name="BExGRWOG8H774BWL55XHDM510RIO" hidden="1">#REF!</definedName>
    <definedName name="BExGS57VI717VC0GZVTL5UI16MGX" localSheetId="0" hidden="1">#REF!</definedName>
    <definedName name="BExGS57VI717VC0GZVTL5UI16MGX" hidden="1">#REF!</definedName>
    <definedName name="BExGT8S447K94294E5ZM75V29KWV" localSheetId="0" hidden="1">#REF!</definedName>
    <definedName name="BExGT8S447K94294E5ZM75V29KWV" hidden="1">#REF!</definedName>
    <definedName name="BExGUQVJE1MV019H8EUN9O73RXA9" localSheetId="0" hidden="1">#REF!</definedName>
    <definedName name="BExGUQVJE1MV019H8EUN9O73RXA9" hidden="1">#REF!</definedName>
    <definedName name="BExGVCLPV6WOK1QDD4VXCUQUX5HQ" localSheetId="0" hidden="1">#REF!</definedName>
    <definedName name="BExGVCLPV6WOK1QDD4VXCUQUX5HQ" hidden="1">#REF!</definedName>
    <definedName name="BExGVFWDKW8LO48OL2ZZUGFJFDDA" localSheetId="0" hidden="1">#REF!</definedName>
    <definedName name="BExGVFWDKW8LO48OL2ZZUGFJFDDA" hidden="1">#REF!</definedName>
    <definedName name="BExGVHECORFTHA1L0G9CS61TQBZL" localSheetId="0" hidden="1">#REF!</definedName>
    <definedName name="BExGVHECORFTHA1L0G9CS61TQBZL" hidden="1">#REF!</definedName>
    <definedName name="BExGVNE60UM34MF9CJP01250WWKU" localSheetId="0" hidden="1">#REF!</definedName>
    <definedName name="BExGVNE60UM34MF9CJP01250WWKU" hidden="1">#REF!</definedName>
    <definedName name="BExGVPSFXNJJNCO0EEAIAWB0ZR9M" localSheetId="0" hidden="1">#REF!</definedName>
    <definedName name="BExGVPSFXNJJNCO0EEAIAWB0ZR9M" hidden="1">#REF!</definedName>
    <definedName name="BExGW0KVOL93Z29HD7AAKNQ59I24" localSheetId="0" hidden="1">#REF!</definedName>
    <definedName name="BExGW0KVOL93Z29HD7AAKNQ59I24" hidden="1">#REF!</definedName>
    <definedName name="BExGWGGQIA9XHTB1BWWD8ZNUQZJQ" localSheetId="0" hidden="1">Weekly by #REF!</definedName>
    <definedName name="BExGWGGQIA9XHTB1BWWD8ZNUQZJQ" localSheetId="1" hidden="1">Weekly by #REF!</definedName>
    <definedName name="BExGWGGQIA9XHTB1BWWD8ZNUQZJQ" localSheetId="3" hidden="1">Weekly by #REF!</definedName>
    <definedName name="BExGWGGQIA9XHTB1BWWD8ZNUQZJQ" localSheetId="7" hidden="1">Weekly by #REF!</definedName>
    <definedName name="BExGWGGQIA9XHTB1BWWD8ZNUQZJQ" localSheetId="2" hidden="1">Weekly by #REF!</definedName>
    <definedName name="BExGWGGQIA9XHTB1BWWD8ZNUQZJQ" localSheetId="6" hidden="1">Weekly by #REF!</definedName>
    <definedName name="BExGWGGQIA9XHTB1BWWD8ZNUQZJQ" hidden="1">Weekly by #REF!</definedName>
    <definedName name="BExGX453OMLZPGJF63K8PNB8EDJJ" localSheetId="0" hidden="1">#REF!</definedName>
    <definedName name="BExGX453OMLZPGJF63K8PNB8EDJJ" localSheetId="2" hidden="1">#REF!</definedName>
    <definedName name="BExGX453OMLZPGJF63K8PNB8EDJJ" hidden="1">#REF!</definedName>
    <definedName name="BExGXQGVELUHEDSBNLEGTLOGNVS5" localSheetId="0" hidden="1">#REF!</definedName>
    <definedName name="BExGXQGVELUHEDSBNLEGTLOGNVS5" localSheetId="2" hidden="1">#REF!</definedName>
    <definedName name="BExGXQGVELUHEDSBNLEGTLOGNVS5" hidden="1">#REF!</definedName>
    <definedName name="BExGY0T0UPBWF73OV2QYIOSP1VVJ" localSheetId="0" hidden="1">#REF!</definedName>
    <definedName name="BExGY0T0UPBWF73OV2QYIOSP1VVJ" hidden="1">#REF!</definedName>
    <definedName name="BExGYHAGH0IZT9WAS43U752U84WI" localSheetId="0" hidden="1">#REF!</definedName>
    <definedName name="BExGYHAGH0IZT9WAS43U752U84WI" hidden="1">#REF!</definedName>
    <definedName name="BExGYQ4TIE90F32MIXA9WROISYN3" localSheetId="0" hidden="1">#REF!</definedName>
    <definedName name="BExGYQ4TIE90F32MIXA9WROISYN3" hidden="1">#REF!</definedName>
    <definedName name="BExGYVJ15803W6ASWUSQ8HA3AQL0" localSheetId="0" hidden="1">#REF!</definedName>
    <definedName name="BExGYVJ15803W6ASWUSQ8HA3AQL0" hidden="1">#REF!</definedName>
    <definedName name="BExGYXXCM53K2H84S4WZTHTHZPHE" localSheetId="0" hidden="1">#REF!</definedName>
    <definedName name="BExGYXXCM53K2H84S4WZTHTHZPHE" hidden="1">#REF!</definedName>
    <definedName name="BExGYY2PBI68I55GPNKXV5RYR1WF" localSheetId="0" hidden="1">#REF!</definedName>
    <definedName name="BExGYY2PBI68I55GPNKXV5RYR1WF" hidden="1">#REF!</definedName>
    <definedName name="BExGZ0MC1XT4VWABFT1UK2UMI0CP" localSheetId="0" hidden="1">#REF!</definedName>
    <definedName name="BExGZ0MC1XT4VWABFT1UK2UMI0CP" hidden="1">#REF!</definedName>
    <definedName name="BExGZSN96MC2HMMYQ3BMZ50490SJ" localSheetId="0" hidden="1">#REF!</definedName>
    <definedName name="BExGZSN96MC2HMMYQ3BMZ50490SJ" hidden="1">#REF!</definedName>
    <definedName name="BExGZYXS0GTA29TRAW6KAUBGG6D4" localSheetId="0" hidden="1">#REF!</definedName>
    <definedName name="BExGZYXS0GTA29TRAW6KAUBGG6D4" hidden="1">#REF!</definedName>
    <definedName name="BExH04S4C11GK7G92T3TYDIIW2RU" localSheetId="0" hidden="1">#REF!</definedName>
    <definedName name="BExH04S4C11GK7G92T3TYDIIW2RU" hidden="1">#REF!</definedName>
    <definedName name="BExH07XC83E8WXF2O7EJTNS1DOZD" localSheetId="0" hidden="1">#REF!</definedName>
    <definedName name="BExH07XC83E8WXF2O7EJTNS1DOZD" hidden="1">#REF!</definedName>
    <definedName name="BExH0KTA6PC3C1H961G6G3WB4ROD" localSheetId="0" hidden="1">#REF!</definedName>
    <definedName name="BExH0KTA6PC3C1H961G6G3WB4ROD" hidden="1">#REF!</definedName>
    <definedName name="BExH0Y5JGUO7Z6TD8HXAB8MDIXSA" localSheetId="0" hidden="1">#REF!</definedName>
    <definedName name="BExH0Y5JGUO7Z6TD8HXAB8MDIXSA" hidden="1">#REF!</definedName>
    <definedName name="BExH1AFVY3DFB10LXJXXA05EU6X8" localSheetId="0" hidden="1">#REF!</definedName>
    <definedName name="BExH1AFVY3DFB10LXJXXA05EU6X8" hidden="1">#REF!</definedName>
    <definedName name="BExH1NRXNXU0WLQASP81I62087ON" localSheetId="0" hidden="1">#REF!</definedName>
    <definedName name="BExH1NRXNXU0WLQASP81I62087ON" hidden="1">#REF!</definedName>
    <definedName name="BExH1QMD1UU8X5NZERDZ7OIP3IBI" localSheetId="0" hidden="1">#REF!</definedName>
    <definedName name="BExH1QMD1UU8X5NZERDZ7OIP3IBI" hidden="1">#REF!</definedName>
    <definedName name="BExH1WX4QQDE5ZAXPMUO3QVNTXA4" localSheetId="0" hidden="1">Weekly by #REF!</definedName>
    <definedName name="BExH1WX4QQDE5ZAXPMUO3QVNTXA4" localSheetId="1" hidden="1">Weekly by #REF!</definedName>
    <definedName name="BExH1WX4QQDE5ZAXPMUO3QVNTXA4" localSheetId="3" hidden="1">Weekly by #REF!</definedName>
    <definedName name="BExH1WX4QQDE5ZAXPMUO3QVNTXA4" localSheetId="7" hidden="1">Weekly by #REF!</definedName>
    <definedName name="BExH1WX4QQDE5ZAXPMUO3QVNTXA4" localSheetId="2" hidden="1">Weekly by #REF!</definedName>
    <definedName name="BExH1WX4QQDE5ZAXPMUO3QVNTXA4" localSheetId="6" hidden="1">Weekly by #REF!</definedName>
    <definedName name="BExH1WX4QQDE5ZAXPMUO3QVNTXA4" hidden="1">Weekly by #REF!</definedName>
    <definedName name="BExH2VOJHV37HS52S8HIMGNXFGY8" localSheetId="0" hidden="1">Weekly by #REF!</definedName>
    <definedName name="BExH2VOJHV37HS52S8HIMGNXFGY8" localSheetId="1" hidden="1">Weekly by #REF!</definedName>
    <definedName name="BExH2VOJHV37HS52S8HIMGNXFGY8" localSheetId="3" hidden="1">Weekly by #REF!</definedName>
    <definedName name="BExH2VOJHV37HS52S8HIMGNXFGY8" localSheetId="7" hidden="1">Weekly by #REF!</definedName>
    <definedName name="BExH2VOJHV37HS52S8HIMGNXFGY8" localSheetId="2" hidden="1">Weekly by #REF!</definedName>
    <definedName name="BExH2VOJHV37HS52S8HIMGNXFGY8" localSheetId="6" hidden="1">Weekly by #REF!</definedName>
    <definedName name="BExH2VOJHV37HS52S8HIMGNXFGY8" hidden="1">Weekly by #REF!</definedName>
    <definedName name="BExH2VU17ZSQ6UMFZ9FOP753TT9E" localSheetId="0" hidden="1">#REF!</definedName>
    <definedName name="BExH2VU17ZSQ6UMFZ9FOP753TT9E" localSheetId="2" hidden="1">#REF!</definedName>
    <definedName name="BExH2VU17ZSQ6UMFZ9FOP753TT9E" hidden="1">#REF!</definedName>
    <definedName name="BExH2WVQ47YQ6F7KC8S6KFLM3WDK" localSheetId="0" hidden="1">#REF!</definedName>
    <definedName name="BExH2WVQ47YQ6F7KC8S6KFLM3WDK" localSheetId="2" hidden="1">#REF!</definedName>
    <definedName name="BExH2WVQ47YQ6F7KC8S6KFLM3WDK" hidden="1">#REF!</definedName>
    <definedName name="BExH3B9LNV0OSRKB3TCDTMP84OFR" localSheetId="0" hidden="1">#REF!</definedName>
    <definedName name="BExH3B9LNV0OSRKB3TCDTMP84OFR" hidden="1">#REF!</definedName>
    <definedName name="BExH3BPW245WVGA1K1DGTL1XWDCH" localSheetId="0" hidden="1">#REF!</definedName>
    <definedName name="BExH3BPW245WVGA1K1DGTL1XWDCH" hidden="1">#REF!</definedName>
    <definedName name="BExH4HTPYPQ91XIJ8IWIMHWOB0RA" localSheetId="0" hidden="1">#REF!</definedName>
    <definedName name="BExH4HTPYPQ91XIJ8IWIMHWOB0RA" hidden="1">#REF!</definedName>
    <definedName name="BExIG9FMY6OOSODNTWQJ2F28Y2FK" localSheetId="0" hidden="1">#REF!</definedName>
    <definedName name="BExIG9FMY6OOSODNTWQJ2F28Y2FK" hidden="1">#REF!</definedName>
    <definedName name="BExIH51URLQJA6KNX5CJKIUIR5UQ" localSheetId="0" hidden="1">#REF!</definedName>
    <definedName name="BExIH51URLQJA6KNX5CJKIUIR5UQ" hidden="1">#REF!</definedName>
    <definedName name="BExIHNMT9P59WY619GEWB1XONTAE" localSheetId="0" hidden="1">#REF!</definedName>
    <definedName name="BExIHNMT9P59WY619GEWB1XONTAE" hidden="1">#REF!</definedName>
    <definedName name="BExIHNMTY8HBM7KQDSTMXEM6MHL4" localSheetId="0" hidden="1">#REF!</definedName>
    <definedName name="BExIHNMTY8HBM7KQDSTMXEM6MHL4" hidden="1">#REF!</definedName>
    <definedName name="BExIHU2VSXTKRMO3RHJI6RZ206Q5" localSheetId="0" hidden="1">#REF!</definedName>
    <definedName name="BExIHU2VSXTKRMO3RHJI6RZ206Q5" hidden="1">#REF!</definedName>
    <definedName name="BExIHZ6ALVREAYK4T741OOLGXOZA" localSheetId="0" hidden="1">#REF!</definedName>
    <definedName name="BExIHZ6ALVREAYK4T741OOLGXOZA" hidden="1">#REF!</definedName>
    <definedName name="BExII20QQ1K3GHOPL1ZQX5SL618M" localSheetId="0" hidden="1">#REF!</definedName>
    <definedName name="BExII20QQ1K3GHOPL1ZQX5SL618M" hidden="1">#REF!</definedName>
    <definedName name="BExIJ8Q4WWPTKVONF0FPLTD4L7CH" localSheetId="0" hidden="1">#REF!</definedName>
    <definedName name="BExIJ8Q4WWPTKVONF0FPLTD4L7CH" hidden="1">#REF!</definedName>
    <definedName name="BExIJ9MI8QNCVF6L1SK4ZWC4CPJ7" localSheetId="0" hidden="1">#REF!</definedName>
    <definedName name="BExIJ9MI8QNCVF6L1SK4ZWC4CPJ7" hidden="1">#REF!</definedName>
    <definedName name="BExIJXLPZ9RBB8VL69FR8XO95HDW" localSheetId="0" hidden="1">Weekly by #REF!</definedName>
    <definedName name="BExIJXLPZ9RBB8VL69FR8XO95HDW" localSheetId="1" hidden="1">Weekly by #REF!</definedName>
    <definedName name="BExIJXLPZ9RBB8VL69FR8XO95HDW" localSheetId="3" hidden="1">Weekly by #REF!</definedName>
    <definedName name="BExIJXLPZ9RBB8VL69FR8XO95HDW" localSheetId="7" hidden="1">Weekly by #REF!</definedName>
    <definedName name="BExIJXLPZ9RBB8VL69FR8XO95HDW" localSheetId="2" hidden="1">Weekly by #REF!</definedName>
    <definedName name="BExIJXLPZ9RBB8VL69FR8XO95HDW" localSheetId="6" hidden="1">Weekly by #REF!</definedName>
    <definedName name="BExIJXLPZ9RBB8VL69FR8XO95HDW" hidden="1">Weekly by #REF!</definedName>
    <definedName name="BExIJZP8AKK000EFDGK7KZ1YKRXT" localSheetId="0" hidden="1">#REF!</definedName>
    <definedName name="BExIJZP8AKK000EFDGK7KZ1YKRXT" localSheetId="2" hidden="1">#REF!</definedName>
    <definedName name="BExIJZP8AKK000EFDGK7KZ1YKRXT" hidden="1">#REF!</definedName>
    <definedName name="BExIKQITSCAZTMCG149IYT7620DV" localSheetId="0" hidden="1">#REF!</definedName>
    <definedName name="BExIKQITSCAZTMCG149IYT7620DV" localSheetId="2" hidden="1">#REF!</definedName>
    <definedName name="BExIKQITSCAZTMCG149IYT7620DV" hidden="1">#REF!</definedName>
    <definedName name="BExIL45UAJTQCLO0PRR3OAT4FUN0" localSheetId="0" hidden="1">#REF!</definedName>
    <definedName name="BExIL45UAJTQCLO0PRR3OAT4FUN0" hidden="1">#REF!</definedName>
    <definedName name="BExILI8Z41WP1I83L06KGRLKLGUL" localSheetId="0" hidden="1">#REF!</definedName>
    <definedName name="BExILI8Z41WP1I83L06KGRLKLGUL" hidden="1">#REF!</definedName>
    <definedName name="BExILJ558DU4VWYTKQGUZWNZN6KS" localSheetId="0" hidden="1">#REF!</definedName>
    <definedName name="BExILJ558DU4VWYTKQGUZWNZN6KS" hidden="1">#REF!</definedName>
    <definedName name="BExIM02UP3RCUWZ2RO86WO6595EZ" localSheetId="0" hidden="1">#REF!</definedName>
    <definedName name="BExIM02UP3RCUWZ2RO86WO6595EZ" hidden="1">#REF!</definedName>
    <definedName name="BExIM0DNN98IS3L5116OUVO67LV4" localSheetId="0" hidden="1">Employee Detail #REF!</definedName>
    <definedName name="BExIM0DNN98IS3L5116OUVO67LV4" localSheetId="1" hidden="1">Employee Detail #REF!</definedName>
    <definedName name="BExIM0DNN98IS3L5116OUVO67LV4" localSheetId="3" hidden="1">Employee Detail #REF!</definedName>
    <definedName name="BExIM0DNN98IS3L5116OUVO67LV4" localSheetId="7" hidden="1">Employee Detail #REF!</definedName>
    <definedName name="BExIM0DNN98IS3L5116OUVO67LV4" localSheetId="2" hidden="1">Employee Detail #REF!</definedName>
    <definedName name="BExIM0DNN98IS3L5116OUVO67LV4" localSheetId="6" hidden="1">Employee Detail #REF!</definedName>
    <definedName name="BExIM0DNN98IS3L5116OUVO67LV4" hidden="1">Employee Detail #REF!</definedName>
    <definedName name="BExIMIT427CJSYOCFG8JGTIJC8EC" localSheetId="0" hidden="1">#REF!</definedName>
    <definedName name="BExIMIT427CJSYOCFG8JGTIJC8EC" localSheetId="2" hidden="1">#REF!</definedName>
    <definedName name="BExIMIT427CJSYOCFG8JGTIJC8EC" hidden="1">#REF!</definedName>
    <definedName name="BExIMTAR1TFV3DP2D7HWECJEOYUG" localSheetId="0" hidden="1">#REF!</definedName>
    <definedName name="BExIMTAR1TFV3DP2D7HWECJEOYUG" localSheetId="2" hidden="1">#REF!</definedName>
    <definedName name="BExIMTAR1TFV3DP2D7HWECJEOYUG" hidden="1">#REF!</definedName>
    <definedName name="BExIN3SELWXIGE9EWSK9QJ3RHFPD" localSheetId="0" hidden="1">#REF!</definedName>
    <definedName name="BExIN3SELWXIGE9EWSK9QJ3RHFPD" hidden="1">#REF!</definedName>
    <definedName name="BExIN8FK0VJT3CRRWGRO3XE26YZS" localSheetId="0" hidden="1">#REF!</definedName>
    <definedName name="BExIN8FK0VJT3CRRWGRO3XE26YZS" hidden="1">#REF!</definedName>
    <definedName name="BExINO0MM0VFZGX84AO4LV2VTJSL" localSheetId="0" hidden="1">#REF!</definedName>
    <definedName name="BExINO0MM0VFZGX84AO4LV2VTJSL" hidden="1">#REF!</definedName>
    <definedName name="BExINOBE3H1TKVT6KIUB5XSVIMAF" localSheetId="0" hidden="1">#REF!</definedName>
    <definedName name="BExINOBE3H1TKVT6KIUB5XSVIMAF" hidden="1">#REF!</definedName>
    <definedName name="BExINVT50DNQFXWZEBLEC0HIJDBS" localSheetId="0" hidden="1">#REF!</definedName>
    <definedName name="BExINVT50DNQFXWZEBLEC0HIJDBS" hidden="1">#REF!</definedName>
    <definedName name="BExINYT1S9HTKX12F6T1MBDFL53T" localSheetId="0" hidden="1">#REF!</definedName>
    <definedName name="BExINYT1S9HTKX12F6T1MBDFL53T" hidden="1">#REF!</definedName>
    <definedName name="BExIOEUDLMQULYKSXV94CO63QD9I" localSheetId="0" hidden="1">#REF!</definedName>
    <definedName name="BExIOEUDLMQULYKSXV94CO63QD9I" hidden="1">#REF!</definedName>
    <definedName name="BExIP1BF9YWHVQNAGQ6WL2FJ2WK3" localSheetId="0" hidden="1">Weekly by #REF!</definedName>
    <definedName name="BExIP1BF9YWHVQNAGQ6WL2FJ2WK3" localSheetId="1" hidden="1">Weekly by #REF!</definedName>
    <definedName name="BExIP1BF9YWHVQNAGQ6WL2FJ2WK3" localSheetId="3" hidden="1">Weekly by #REF!</definedName>
    <definedName name="BExIP1BF9YWHVQNAGQ6WL2FJ2WK3" localSheetId="7" hidden="1">Weekly by #REF!</definedName>
    <definedName name="BExIP1BF9YWHVQNAGQ6WL2FJ2WK3" localSheetId="2" hidden="1">Weekly by #REF!</definedName>
    <definedName name="BExIP1BF9YWHVQNAGQ6WL2FJ2WK3" localSheetId="6" hidden="1">Weekly by #REF!</definedName>
    <definedName name="BExIP1BF9YWHVQNAGQ6WL2FJ2WK3" hidden="1">Weekly by #REF!</definedName>
    <definedName name="BExIP3EYMLXYSYD644AIULVB4SM4" localSheetId="0" hidden="1">#REF!</definedName>
    <definedName name="BExIP3EYMLXYSYD644AIULVB4SM4" localSheetId="2" hidden="1">#REF!</definedName>
    <definedName name="BExIP3EYMLXYSYD644AIULVB4SM4" hidden="1">#REF!</definedName>
    <definedName name="BExIPKCNG2M6L73ES2UQI5310WB7" localSheetId="0" hidden="1">#REF!</definedName>
    <definedName name="BExIPKCNG2M6L73ES2UQI5310WB7" localSheetId="2" hidden="1">#REF!</definedName>
    <definedName name="BExIPKCNG2M6L73ES2UQI5310WB7" hidden="1">#REF!</definedName>
    <definedName name="BExIPLJTRJRKOL7VVP0PEP05W0QL" localSheetId="0" hidden="1">#REF!</definedName>
    <definedName name="BExIPLJTRJRKOL7VVP0PEP05W0QL" hidden="1">#REF!</definedName>
    <definedName name="BExIPYFR9Q89IRAL0HPOES7623H9" localSheetId="0" hidden="1">#REF!</definedName>
    <definedName name="BExIPYFR9Q89IRAL0HPOES7623H9" hidden="1">#REF!</definedName>
    <definedName name="BExIQ030ZFC43357A2D8GTB3O8KK" localSheetId="0" hidden="1">Weekly by #REF!</definedName>
    <definedName name="BExIQ030ZFC43357A2D8GTB3O8KK" localSheetId="1" hidden="1">Weekly by #REF!</definedName>
    <definedName name="BExIQ030ZFC43357A2D8GTB3O8KK" localSheetId="3" hidden="1">Weekly by #REF!</definedName>
    <definedName name="BExIQ030ZFC43357A2D8GTB3O8KK" localSheetId="7" hidden="1">Weekly by #REF!</definedName>
    <definedName name="BExIQ030ZFC43357A2D8GTB3O8KK" localSheetId="2" hidden="1">Weekly by #REF!</definedName>
    <definedName name="BExIQ030ZFC43357A2D8GTB3O8KK" localSheetId="6" hidden="1">Weekly by #REF!</definedName>
    <definedName name="BExIQ030ZFC43357A2D8GTB3O8KK" hidden="1">Weekly by #REF!</definedName>
    <definedName name="BExIQ684VFARGI9L2530JQNZTBZJ" localSheetId="0" hidden="1">#REF!</definedName>
    <definedName name="BExIQ684VFARGI9L2530JQNZTBZJ" localSheetId="2" hidden="1">#REF!</definedName>
    <definedName name="BExIQ684VFARGI9L2530JQNZTBZJ" hidden="1">#REF!</definedName>
    <definedName name="BExIQCDFFALELXAMMR1ZQBGNV1HO" localSheetId="0" hidden="1">#REF!</definedName>
    <definedName name="BExIQCDFFALELXAMMR1ZQBGNV1HO" localSheetId="2" hidden="1">#REF!</definedName>
    <definedName name="BExIQCDFFALELXAMMR1ZQBGNV1HO" hidden="1">#REF!</definedName>
    <definedName name="BExIQCTILU1D6OD8XR0K44Z9OTI8" localSheetId="0" hidden="1">#REF!</definedName>
    <definedName name="BExIQCTILU1D6OD8XR0K44Z9OTI8" hidden="1">#REF!</definedName>
    <definedName name="BExIQIII4MABGPDVFEBH294F5JBS" localSheetId="0" hidden="1">#REF!</definedName>
    <definedName name="BExIQIII4MABGPDVFEBH294F5JBS" hidden="1">#REF!</definedName>
    <definedName name="BExIRJTWJEYB0GVQOJ3M8L3VZHZG" localSheetId="0" hidden="1">#REF!</definedName>
    <definedName name="BExIRJTWJEYB0GVQOJ3M8L3VZHZG" hidden="1">#REF!</definedName>
    <definedName name="BExIRY7MG3J8DCDYCDO6LIKX4AQ1" localSheetId="0" hidden="1">#REF!</definedName>
    <definedName name="BExIRY7MG3J8DCDYCDO6LIKX4AQ1" hidden="1">#REF!</definedName>
    <definedName name="BExISJ6WFYQKE0RGTDWHAWUAE1AP" localSheetId="0" hidden="1">#REF!</definedName>
    <definedName name="BExISJ6WFYQKE0RGTDWHAWUAE1AP" hidden="1">#REF!</definedName>
    <definedName name="BExISS6LIT8AZPEZCARQZWXD6XMF" localSheetId="0" hidden="1">Weekly by #REF!</definedName>
    <definedName name="BExISS6LIT8AZPEZCARQZWXD6XMF" localSheetId="1" hidden="1">Weekly by #REF!</definedName>
    <definedName name="BExISS6LIT8AZPEZCARQZWXD6XMF" localSheetId="3" hidden="1">Weekly by #REF!</definedName>
    <definedName name="BExISS6LIT8AZPEZCARQZWXD6XMF" localSheetId="7" hidden="1">Weekly by #REF!</definedName>
    <definedName name="BExISS6LIT8AZPEZCARQZWXD6XMF" localSheetId="2" hidden="1">Weekly by #REF!</definedName>
    <definedName name="BExISS6LIT8AZPEZCARQZWXD6XMF" localSheetId="6" hidden="1">Weekly by #REF!</definedName>
    <definedName name="BExISS6LIT8AZPEZCARQZWXD6XMF" hidden="1">Weekly by #REF!</definedName>
    <definedName name="BExIT2IT2V9GEHP8BOT7V4TQL64A" localSheetId="0" hidden="1">#REF!</definedName>
    <definedName name="BExIT2IT2V9GEHP8BOT7V4TQL64A" localSheetId="2" hidden="1">#REF!</definedName>
    <definedName name="BExIT2IT2V9GEHP8BOT7V4TQL64A" hidden="1">#REF!</definedName>
    <definedName name="BExIUB6GMB0SK1G4X7OS9A0AYW30" localSheetId="0" hidden="1">#REF!</definedName>
    <definedName name="BExIUB6GMB0SK1G4X7OS9A0AYW30" localSheetId="2" hidden="1">#REF!</definedName>
    <definedName name="BExIUB6GMB0SK1G4X7OS9A0AYW30" hidden="1">#REF!</definedName>
    <definedName name="BExIULYTKJ6F74ZZ6GFR3H0502B9" localSheetId="0" hidden="1">#REF!</definedName>
    <definedName name="BExIULYTKJ6F74ZZ6GFR3H0502B9" hidden="1">#REF!</definedName>
    <definedName name="BExIUXI7T2XUZCSZE9GKUIN8NC2X" localSheetId="0" hidden="1">#REF!</definedName>
    <definedName name="BExIUXI7T2XUZCSZE9GKUIN8NC2X" hidden="1">#REF!</definedName>
    <definedName name="BExIVHVWLE97GSYXI5MCGEPG5OPB" localSheetId="0" hidden="1">#REF!</definedName>
    <definedName name="BExIVHVWLE97GSYXI5MCGEPG5OPB" hidden="1">#REF!</definedName>
    <definedName name="BExIVQ4P29OYVO0VVKRDSQ11L7WA" localSheetId="0" hidden="1">#REF!</definedName>
    <definedName name="BExIVQ4P29OYVO0VVKRDSQ11L7WA" hidden="1">#REF!</definedName>
    <definedName name="BExIW7NT214RNCTNHTN1ABHVRAG1" localSheetId="0" hidden="1">#REF!</definedName>
    <definedName name="BExIW7NT214RNCTNHTN1ABHVRAG1" hidden="1">#REF!</definedName>
    <definedName name="BExIWPXSMFEJMJPS0LOX7WODYP03" localSheetId="0" hidden="1">Weekly by #REF!</definedName>
    <definedName name="BExIWPXSMFEJMJPS0LOX7WODYP03" localSheetId="1" hidden="1">Weekly by #REF!</definedName>
    <definedName name="BExIWPXSMFEJMJPS0LOX7WODYP03" localSheetId="3" hidden="1">Weekly by #REF!</definedName>
    <definedName name="BExIWPXSMFEJMJPS0LOX7WODYP03" localSheetId="7" hidden="1">Weekly by #REF!</definedName>
    <definedName name="BExIWPXSMFEJMJPS0LOX7WODYP03" localSheetId="2" hidden="1">Weekly by #REF!</definedName>
    <definedName name="BExIWPXSMFEJMJPS0LOX7WODYP03" localSheetId="6" hidden="1">Weekly by #REF!</definedName>
    <definedName name="BExIWPXSMFEJMJPS0LOX7WODYP03" hidden="1">Weekly by #REF!</definedName>
    <definedName name="BExIWZZC34JKY05BC7VWZIK3RACH" localSheetId="0" hidden="1">Weekly by #REF!</definedName>
    <definedName name="BExIWZZC34JKY05BC7VWZIK3RACH" localSheetId="1" hidden="1">Weekly by #REF!</definedName>
    <definedName name="BExIWZZC34JKY05BC7VWZIK3RACH" localSheetId="3" hidden="1">Weekly by #REF!</definedName>
    <definedName name="BExIWZZC34JKY05BC7VWZIK3RACH" localSheetId="7" hidden="1">Weekly by #REF!</definedName>
    <definedName name="BExIWZZC34JKY05BC7VWZIK3RACH" localSheetId="2" hidden="1">Weekly by #REF!</definedName>
    <definedName name="BExIWZZC34JKY05BC7VWZIK3RACH" localSheetId="6" hidden="1">Weekly by #REF!</definedName>
    <definedName name="BExIWZZC34JKY05BC7VWZIK3RACH" hidden="1">Weekly by #REF!</definedName>
    <definedName name="BExIX2DMJCFY68X9XPKX7A9YBWQV" localSheetId="0" hidden="1">#REF!</definedName>
    <definedName name="BExIX2DMJCFY68X9XPKX7A9YBWQV" localSheetId="2" hidden="1">#REF!</definedName>
    <definedName name="BExIX2DMJCFY68X9XPKX7A9YBWQV" hidden="1">#REF!</definedName>
    <definedName name="BExIX4S01VKH0V2KWQZGAY2FUFFS" localSheetId="0" hidden="1">#REF!</definedName>
    <definedName name="BExIX4S01VKH0V2KWQZGAY2FUFFS" localSheetId="2" hidden="1">#REF!</definedName>
    <definedName name="BExIX4S01VKH0V2KWQZGAY2FUFFS" hidden="1">#REF!</definedName>
    <definedName name="BExIXVWC6L2003JTP97MDKMZR8UC" localSheetId="0" hidden="1">Weekly by #REF!</definedName>
    <definedName name="BExIXVWC6L2003JTP97MDKMZR8UC" localSheetId="1" hidden="1">Weekly by #REF!</definedName>
    <definedName name="BExIXVWC6L2003JTP97MDKMZR8UC" localSheetId="3" hidden="1">Weekly by #REF!</definedName>
    <definedName name="BExIXVWC6L2003JTP97MDKMZR8UC" localSheetId="7" hidden="1">Weekly by #REF!</definedName>
    <definedName name="BExIXVWC6L2003JTP97MDKMZR8UC" localSheetId="2" hidden="1">Weekly by #REF!</definedName>
    <definedName name="BExIXVWC6L2003JTP97MDKMZR8UC" localSheetId="6" hidden="1">Weekly by #REF!</definedName>
    <definedName name="BExIXVWC6L2003JTP97MDKMZR8UC" hidden="1">Weekly by #REF!</definedName>
    <definedName name="BExIYBC3AYOLUSYDHNX1NPUTFS0Z" localSheetId="0" hidden="1">Weekly by #REF!</definedName>
    <definedName name="BExIYBC3AYOLUSYDHNX1NPUTFS0Z" localSheetId="1" hidden="1">Weekly by #REF!</definedName>
    <definedName name="BExIYBC3AYOLUSYDHNX1NPUTFS0Z" localSheetId="3" hidden="1">Weekly by #REF!</definedName>
    <definedName name="BExIYBC3AYOLUSYDHNX1NPUTFS0Z" localSheetId="7" hidden="1">Weekly by #REF!</definedName>
    <definedName name="BExIYBC3AYOLUSYDHNX1NPUTFS0Z" localSheetId="2" hidden="1">Weekly by #REF!</definedName>
    <definedName name="BExIYBC3AYOLUSYDHNX1NPUTFS0Z" localSheetId="6" hidden="1">Weekly by #REF!</definedName>
    <definedName name="BExIYBC3AYOLUSYDHNX1NPUTFS0Z" hidden="1">Weekly by #REF!</definedName>
    <definedName name="BExIYKBM2QQUEIH60KFQZI924D16" localSheetId="0" hidden="1">#REF!</definedName>
    <definedName name="BExIYKBM2QQUEIH60KFQZI924D16" localSheetId="2" hidden="1">#REF!</definedName>
    <definedName name="BExIYKBM2QQUEIH60KFQZI924D16" hidden="1">#REF!</definedName>
    <definedName name="BExIYLZ197J41V6KKS895D8O81AS" localSheetId="0" hidden="1">#REF!</definedName>
    <definedName name="BExIYLZ197J41V6KKS895D8O81AS" localSheetId="2" hidden="1">#REF!</definedName>
    <definedName name="BExIYLZ197J41V6KKS895D8O81AS" hidden="1">#REF!</definedName>
    <definedName name="BExIYOO4P2NLI0GTES3GN8FDL0US" localSheetId="0" hidden="1">#REF!</definedName>
    <definedName name="BExIYOO4P2NLI0GTES3GN8FDL0US" hidden="1">#REF!</definedName>
    <definedName name="BExIYRTCOZA1OQ7D46XDWMCW6RFR" localSheetId="0" hidden="1">#REF!</definedName>
    <definedName name="BExIYRTCOZA1OQ7D46XDWMCW6RFR" hidden="1">#REF!</definedName>
    <definedName name="BExIYUNXBK36HLZQ3V4V3Z4C5K2P" localSheetId="0" hidden="1">#REF!</definedName>
    <definedName name="BExIYUNXBK36HLZQ3V4V3Z4C5K2P" hidden="1">#REF!</definedName>
    <definedName name="BExJ08KB42GOUC2P92D8UI7KEHKL" localSheetId="0" hidden="1">#REF!</definedName>
    <definedName name="BExJ08KB42GOUC2P92D8UI7KEHKL" hidden="1">#REF!</definedName>
    <definedName name="BExJ0HUTCJ9RW7DYPTJUSEW7LDTU" localSheetId="0" hidden="1">#REF!</definedName>
    <definedName name="BExJ0HUTCJ9RW7DYPTJUSEW7LDTU" hidden="1">#REF!</definedName>
    <definedName name="BExJ0JCRE7HP1J5ICCTGR58SY007" localSheetId="0" hidden="1">#REF!</definedName>
    <definedName name="BExJ0JCRE7HP1J5ICCTGR58SY007" hidden="1">#REF!</definedName>
    <definedName name="BExJ11MY9B0F7RFESFSORX1Z25QM" localSheetId="0" hidden="1">#REF!</definedName>
    <definedName name="BExJ11MY9B0F7RFESFSORX1Z25QM" hidden="1">#REF!</definedName>
    <definedName name="BExKCCREBIWYDT3KYY47J6PKFUJC" localSheetId="0" hidden="1">#REF!</definedName>
    <definedName name="BExKCCREBIWYDT3KYY47J6PKFUJC" hidden="1">#REF!</definedName>
    <definedName name="BExKDJBKAJPY1RL4WY6D99TGYHCW" localSheetId="0" hidden="1">#REF!</definedName>
    <definedName name="BExKDJBKAJPY1RL4WY6D99TGYHCW" hidden="1">#REF!</definedName>
    <definedName name="BExKDO45GL6PAZQR3PAOWFVA6WLZ" localSheetId="0" hidden="1">#REF!</definedName>
    <definedName name="BExKDO45GL6PAZQR3PAOWFVA6WLZ" hidden="1">#REF!</definedName>
    <definedName name="BExKE400P7WOFSUK628BT91CWB4H" localSheetId="0" hidden="1">#REF!</definedName>
    <definedName name="BExKE400P7WOFSUK628BT91CWB4H" hidden="1">#REF!</definedName>
    <definedName name="BExKEB1H78BU5ZN9NEOZVD95HLJ6" localSheetId="0" hidden="1">Weekly by #REF!</definedName>
    <definedName name="BExKEB1H78BU5ZN9NEOZVD95HLJ6" localSheetId="1" hidden="1">Weekly by #REF!</definedName>
    <definedName name="BExKEB1H78BU5ZN9NEOZVD95HLJ6" localSheetId="3" hidden="1">Weekly by #REF!</definedName>
    <definedName name="BExKEB1H78BU5ZN9NEOZVD95HLJ6" localSheetId="7" hidden="1">Weekly by #REF!</definedName>
    <definedName name="BExKEB1H78BU5ZN9NEOZVD95HLJ6" localSheetId="2" hidden="1">Weekly by #REF!</definedName>
    <definedName name="BExKEB1H78BU5ZN9NEOZVD95HLJ6" localSheetId="6" hidden="1">Weekly by #REF!</definedName>
    <definedName name="BExKEB1H78BU5ZN9NEOZVD95HLJ6" hidden="1">Weekly by #REF!</definedName>
    <definedName name="BExKEKMRQLC0TPETMUVPBOHVEK6D" localSheetId="0" hidden="1">#REF!</definedName>
    <definedName name="BExKEKMRQLC0TPETMUVPBOHVEK6D" localSheetId="2" hidden="1">#REF!</definedName>
    <definedName name="BExKEKMRQLC0TPETMUVPBOHVEK6D" hidden="1">#REF!</definedName>
    <definedName name="BExKES9ZA5L22XTSO9Y8GAI2RIIH" localSheetId="0" hidden="1">#REF!</definedName>
    <definedName name="BExKES9ZA5L22XTSO9Y8GAI2RIIH" localSheetId="2" hidden="1">#REF!</definedName>
    <definedName name="BExKES9ZA5L22XTSO9Y8GAI2RIIH" hidden="1">#REF!</definedName>
    <definedName name="BExKF02HYBPMKRSPJGAK1MWM2V4R" localSheetId="0" hidden="1">#REF!</definedName>
    <definedName name="BExKF02HYBPMKRSPJGAK1MWM2V4R" hidden="1">#REF!</definedName>
    <definedName name="BExKF1KH9VFKXTCU684HMK33HHBL" localSheetId="0" hidden="1">#REF!</definedName>
    <definedName name="BExKF1KH9VFKXTCU684HMK33HHBL" hidden="1">#REF!</definedName>
    <definedName name="BExKF5RJ8HBK89KH5199LN28I9DW" localSheetId="0" hidden="1">#REF!</definedName>
    <definedName name="BExKF5RJ8HBK89KH5199LN28I9DW" hidden="1">#REF!</definedName>
    <definedName name="BExKG7Z3NRN1GLB16OLE0LD37OTA" localSheetId="0" hidden="1">Weekly by #REF!</definedName>
    <definedName name="BExKG7Z3NRN1GLB16OLE0LD37OTA" localSheetId="1" hidden="1">Weekly by #REF!</definedName>
    <definedName name="BExKG7Z3NRN1GLB16OLE0LD37OTA" localSheetId="3" hidden="1">Weekly by #REF!</definedName>
    <definedName name="BExKG7Z3NRN1GLB16OLE0LD37OTA" localSheetId="7" hidden="1">Weekly by #REF!</definedName>
    <definedName name="BExKG7Z3NRN1GLB16OLE0LD37OTA" localSheetId="2" hidden="1">Weekly by #REF!</definedName>
    <definedName name="BExKG7Z3NRN1GLB16OLE0LD37OTA" localSheetId="6" hidden="1">Weekly by #REF!</definedName>
    <definedName name="BExKG7Z3NRN1GLB16OLE0LD37OTA" hidden="1">Weekly by #REF!</definedName>
    <definedName name="BExKG8KO0T2K2PJKN0MY59LZRPC0" localSheetId="0" hidden="1">#REF!</definedName>
    <definedName name="BExKG8KO0T2K2PJKN0MY59LZRPC0" localSheetId="2" hidden="1">#REF!</definedName>
    <definedName name="BExKG8KO0T2K2PJKN0MY59LZRPC0" hidden="1">#REF!</definedName>
    <definedName name="BExKG9BM3HFBFTXZYETVQY5A2NDP" localSheetId="0" hidden="1">#REF!</definedName>
    <definedName name="BExKG9BM3HFBFTXZYETVQY5A2NDP" localSheetId="2" hidden="1">#REF!</definedName>
    <definedName name="BExKG9BM3HFBFTXZYETVQY5A2NDP" hidden="1">#REF!</definedName>
    <definedName name="BExKGJNRYQAFN6OSO5GWBFBI5JNX" localSheetId="0" hidden="1">#REF!</definedName>
    <definedName name="BExKGJNRYQAFN6OSO5GWBFBI5JNX" hidden="1">#REF!</definedName>
    <definedName name="BExKGQK1P07IGN7ZWFJVN9KAEVEG" localSheetId="0" hidden="1">#REF!</definedName>
    <definedName name="BExKGQK1P07IGN7ZWFJVN9KAEVEG" hidden="1">#REF!</definedName>
    <definedName name="BExKGWUGUAZ9RHGMMEHY6AG0GBZC" localSheetId="0" hidden="1">#REF!</definedName>
    <definedName name="BExKGWUGUAZ9RHGMMEHY6AG0GBZC" hidden="1">#REF!</definedName>
    <definedName name="BExKH0ANKNJUT5MEASVBDV24PB47" localSheetId="0" hidden="1">#REF!</definedName>
    <definedName name="BExKH0ANKNJUT5MEASVBDV24PB47" hidden="1">#REF!</definedName>
    <definedName name="BExKH6L8BUEGZ1O7ZYFE7R04MJJV" localSheetId="0" hidden="1">#REF!</definedName>
    <definedName name="BExKH6L8BUEGZ1O7ZYFE7R04MJJV" hidden="1">#REF!</definedName>
    <definedName name="BExKHEDRAWAMX4XMIXBZK8Q2DGUY" localSheetId="0" hidden="1">#REF!</definedName>
    <definedName name="BExKHEDRAWAMX4XMIXBZK8Q2DGUY" hidden="1">#REF!</definedName>
    <definedName name="BExKI0EPTJRGZA7ZDYO59SSD2NEO" localSheetId="0" hidden="1">#REF!</definedName>
    <definedName name="BExKI0EPTJRGZA7ZDYO59SSD2NEO" hidden="1">#REF!</definedName>
    <definedName name="BExKI703H6LLQ9SUAO1Q66RXBCFT" localSheetId="0" hidden="1">#REF!</definedName>
    <definedName name="BExKI703H6LLQ9SUAO1Q66RXBCFT" hidden="1">#REF!</definedName>
    <definedName name="BExKL002TQQTZZ9BETERCDLUDV0K" localSheetId="0" hidden="1">#REF!</definedName>
    <definedName name="BExKL002TQQTZZ9BETERCDLUDV0K" hidden="1">#REF!</definedName>
    <definedName name="BExKLGBZ8D7W1HW672WZB4ZK47TN" localSheetId="0" hidden="1">#REF!</definedName>
    <definedName name="BExKLGBZ8D7W1HW672WZB4ZK47TN" hidden="1">#REF!</definedName>
    <definedName name="BExKLO4OJ4LE6YA3WZB02FDH4ZBC" localSheetId="0" hidden="1">#REF!</definedName>
    <definedName name="BExKLO4OJ4LE6YA3WZB02FDH4ZBC" hidden="1">#REF!</definedName>
    <definedName name="BExKLWYWL8HEKZRA5IGCCM60HYID" localSheetId="0" hidden="1">#REF!</definedName>
    <definedName name="BExKLWYWL8HEKZRA5IGCCM60HYID" hidden="1">#REF!</definedName>
    <definedName name="BExKLX9OMIZRVELEESUGRFHXM0CU" localSheetId="0" hidden="1">#REF!</definedName>
    <definedName name="BExKLX9OMIZRVELEESUGRFHXM0CU" hidden="1">#REF!</definedName>
    <definedName name="BExKM10HI90720O4OXCU5CS7ARIC" localSheetId="0" hidden="1">#REF!</definedName>
    <definedName name="BExKM10HI90720O4OXCU5CS7ARIC" hidden="1">#REF!</definedName>
    <definedName name="BExKNM3TO8JLDR94J4BKF7TE6872" localSheetId="0" hidden="1">#REF!</definedName>
    <definedName name="BExKNM3TO8JLDR94J4BKF7TE6872" hidden="1">#REF!</definedName>
    <definedName name="BExKNYUAYWR68YCUOIW6WYVNJ198" localSheetId="0" hidden="1">#REF!</definedName>
    <definedName name="BExKNYUAYWR68YCUOIW6WYVNJ198" hidden="1">#REF!</definedName>
    <definedName name="BExKOBVR6FBO1U02GWCHZEQEFC13" localSheetId="0" hidden="1">#REF!</definedName>
    <definedName name="BExKOBVR6FBO1U02GWCHZEQEFC13" hidden="1">#REF!</definedName>
    <definedName name="BExKOEA1HY8RIY04636RSKF38SDX" localSheetId="0" hidden="1">#REF!</definedName>
    <definedName name="BExKOEA1HY8RIY04636RSKF38SDX" hidden="1">#REF!</definedName>
    <definedName name="BExKP9WB40QI6W70NJS06SZ6ZWA5" localSheetId="0" hidden="1">#REF!</definedName>
    <definedName name="BExKP9WB40QI6W70NJS06SZ6ZWA5" hidden="1">#REF!</definedName>
    <definedName name="BExKPMHGZUCV3KWR44XNE63RJZDY" localSheetId="0" hidden="1">Weekly by #REF!</definedName>
    <definedName name="BExKPMHGZUCV3KWR44XNE63RJZDY" localSheetId="1" hidden="1">Weekly by #REF!</definedName>
    <definedName name="BExKPMHGZUCV3KWR44XNE63RJZDY" localSheetId="3" hidden="1">Weekly by #REF!</definedName>
    <definedName name="BExKPMHGZUCV3KWR44XNE63RJZDY" localSheetId="7" hidden="1">Weekly by #REF!</definedName>
    <definedName name="BExKPMHGZUCV3KWR44XNE63RJZDY" localSheetId="2" hidden="1">Weekly by #REF!</definedName>
    <definedName name="BExKPMHGZUCV3KWR44XNE63RJZDY" localSheetId="6" hidden="1">Weekly by #REF!</definedName>
    <definedName name="BExKPMHGZUCV3KWR44XNE63RJZDY" hidden="1">Weekly by #REF!</definedName>
    <definedName name="BExKQJ01GRP9KX7BHWUGSV76KSSN" localSheetId="0" hidden="1">#REF!</definedName>
    <definedName name="BExKQJ01GRP9KX7BHWUGSV76KSSN" localSheetId="2" hidden="1">#REF!</definedName>
    <definedName name="BExKQJ01GRP9KX7BHWUGSV76KSSN" hidden="1">#REF!</definedName>
    <definedName name="BExKQO3G0R230211GSQXEUMGOJJH" localSheetId="0" hidden="1">#REF!</definedName>
    <definedName name="BExKQO3G0R230211GSQXEUMGOJJH" localSheetId="2" hidden="1">#REF!</definedName>
    <definedName name="BExKQO3G0R230211GSQXEUMGOJJH" hidden="1">#REF!</definedName>
    <definedName name="BExKQROXFHOAXZAJ9P338TCB51AS" localSheetId="0" hidden="1">#REF!</definedName>
    <definedName name="BExKQROXFHOAXZAJ9P338TCB51AS" hidden="1">#REF!</definedName>
    <definedName name="BExKRS3TU9ZISEFNAGIP4D2THSPK" localSheetId="0" hidden="1">#REF!</definedName>
    <definedName name="BExKRS3TU9ZISEFNAGIP4D2THSPK" hidden="1">#REF!</definedName>
    <definedName name="BExKSAJ9PLFSAM5DGYLJ0LGWBOCJ" localSheetId="0" hidden="1">#REF!</definedName>
    <definedName name="BExKSAJ9PLFSAM5DGYLJ0LGWBOCJ" hidden="1">#REF!</definedName>
    <definedName name="BExKSFHEJYQU3MJ64AXH349TS3AS" localSheetId="0" hidden="1">#REF!</definedName>
    <definedName name="BExKSFHEJYQU3MJ64AXH349TS3AS" hidden="1">#REF!</definedName>
    <definedName name="BExKSMDKVAO0A43CLVBQQD41BXOS" localSheetId="0" hidden="1">#REF!</definedName>
    <definedName name="BExKSMDKVAO0A43CLVBQQD41BXOS" hidden="1">#REF!</definedName>
    <definedName name="BExKSR66M8VX6DOVY5XKESJ3UH2N" localSheetId="0" hidden="1">#REF!</definedName>
    <definedName name="BExKSR66M8VX6DOVY5XKESJ3UH2N" hidden="1">#REF!</definedName>
    <definedName name="BExKTGHU41U7OXQNLCH9L528CTKN" localSheetId="0" hidden="1">#REF!</definedName>
    <definedName name="BExKTGHU41U7OXQNLCH9L528CTKN" hidden="1">#REF!</definedName>
    <definedName name="BExKTMSEU6AQ1DAD9P20980W1KYT" localSheetId="0" hidden="1">#REF!</definedName>
    <definedName name="BExKTMSEU6AQ1DAD9P20980W1KYT" hidden="1">#REF!</definedName>
    <definedName name="BExKUEIEGD9JH03Q4QGCL2ZVM2AQ" localSheetId="0" hidden="1">#REF!</definedName>
    <definedName name="BExKUEIEGD9JH03Q4QGCL2ZVM2AQ" hidden="1">#REF!</definedName>
    <definedName name="BExKUPASS3H5268MTUCTQGAWNU4C" localSheetId="0" hidden="1">#REF!</definedName>
    <definedName name="BExKUPASS3H5268MTUCTQGAWNU4C" hidden="1">#REF!</definedName>
    <definedName name="BExKV8S497WD25N3LA72PSCGO8G3" localSheetId="0" hidden="1">#REF!</definedName>
    <definedName name="BExKV8S497WD25N3LA72PSCGO8G3" hidden="1">#REF!</definedName>
    <definedName name="BExM9UQN0TIL2QB8BQX5YK9L7EW9" localSheetId="0" hidden="1">#REF!</definedName>
    <definedName name="BExM9UQN0TIL2QB8BQX5YK9L7EW9" hidden="1">#REF!</definedName>
    <definedName name="BExMAIV4KSX137TYNQQG3FD3PF7J" localSheetId="0" hidden="1">#REF!</definedName>
    <definedName name="BExMAIV4KSX137TYNQQG3FD3PF7J" hidden="1">#REF!</definedName>
    <definedName name="BExMAV06YKBNZ0AMG793D1T6TZ17" localSheetId="0" hidden="1">Weekly by #REF!</definedName>
    <definedName name="BExMAV06YKBNZ0AMG793D1T6TZ17" localSheetId="1" hidden="1">Weekly by #REF!</definedName>
    <definedName name="BExMAV06YKBNZ0AMG793D1T6TZ17" localSheetId="3" hidden="1">Weekly by #REF!</definedName>
    <definedName name="BExMAV06YKBNZ0AMG793D1T6TZ17" localSheetId="7" hidden="1">Weekly by #REF!</definedName>
    <definedName name="BExMAV06YKBNZ0AMG793D1T6TZ17" localSheetId="2" hidden="1">Weekly by #REF!</definedName>
    <definedName name="BExMAV06YKBNZ0AMG793D1T6TZ17" localSheetId="6" hidden="1">Weekly by #REF!</definedName>
    <definedName name="BExMAV06YKBNZ0AMG793D1T6TZ17" hidden="1">Weekly by #REF!</definedName>
    <definedName name="BExMB2Y08ZQ6ES53Z1Z85LK1XPJG" localSheetId="0" hidden="1">#REF!</definedName>
    <definedName name="BExMB2Y08ZQ6ES53Z1Z85LK1XPJG" localSheetId="2" hidden="1">#REF!</definedName>
    <definedName name="BExMB2Y08ZQ6ES53Z1Z85LK1XPJG" hidden="1">#REF!</definedName>
    <definedName name="BExMBOZ4C967HM4Z5BM85PTFZD8X" localSheetId="0" hidden="1">#REF!</definedName>
    <definedName name="BExMBOZ4C967HM4Z5BM85PTFZD8X" localSheetId="2" hidden="1">#REF!</definedName>
    <definedName name="BExMBOZ4C967HM4Z5BM85PTFZD8X" hidden="1">#REF!</definedName>
    <definedName name="BExMBYPQDG9AYDQ5E8IECVFREPO6" localSheetId="0" hidden="1">#REF!</definedName>
    <definedName name="BExMBYPQDG9AYDQ5E8IECVFREPO6" localSheetId="2" hidden="1">#REF!</definedName>
    <definedName name="BExMBYPQDG9AYDQ5E8IECVFREPO6" hidden="1">#REF!</definedName>
    <definedName name="BExMC5R82S07KSLMO7YA8CCU0ZAI" localSheetId="0" hidden="1">#REF!</definedName>
    <definedName name="BExMC5R82S07KSLMO7YA8CCU0ZAI" hidden="1">#REF!</definedName>
    <definedName name="BExMCA3QVQ2F6ISDKS4YOT1T7GN2" localSheetId="0" hidden="1">Weekly by #REF!</definedName>
    <definedName name="BExMCA3QVQ2F6ISDKS4YOT1T7GN2" localSheetId="1" hidden="1">Weekly by #REF!</definedName>
    <definedName name="BExMCA3QVQ2F6ISDKS4YOT1T7GN2" localSheetId="3" hidden="1">Weekly by #REF!</definedName>
    <definedName name="BExMCA3QVQ2F6ISDKS4YOT1T7GN2" localSheetId="7" hidden="1">Weekly by #REF!</definedName>
    <definedName name="BExMCA3QVQ2F6ISDKS4YOT1T7GN2" localSheetId="2" hidden="1">Weekly by #REF!</definedName>
    <definedName name="BExMCA3QVQ2F6ISDKS4YOT1T7GN2" localSheetId="6" hidden="1">Weekly by #REF!</definedName>
    <definedName name="BExMCA3QVQ2F6ISDKS4YOT1T7GN2" hidden="1">Weekly by #REF!</definedName>
    <definedName name="BExMCAPB2KR2CNKS8MYVWTH5MOT2" localSheetId="0" hidden="1">#REF!</definedName>
    <definedName name="BExMCAPB2KR2CNKS8MYVWTH5MOT2" localSheetId="2" hidden="1">#REF!</definedName>
    <definedName name="BExMCAPB2KR2CNKS8MYVWTH5MOT2" hidden="1">#REF!</definedName>
    <definedName name="BExMCQL4Z75KFIHDWEW5GPWXH473" localSheetId="0" hidden="1">#REF!</definedName>
    <definedName name="BExMCQL4Z75KFIHDWEW5GPWXH473" localSheetId="2" hidden="1">#REF!</definedName>
    <definedName name="BExMCQL4Z75KFIHDWEW5GPWXH473" hidden="1">#REF!</definedName>
    <definedName name="BExMCRSC61GNE2C255DR0NN6NYI0" localSheetId="0" hidden="1">#REF!</definedName>
    <definedName name="BExMCRSC61GNE2C255DR0NN6NYI0" hidden="1">#REF!</definedName>
    <definedName name="BExMCXMMDFHHNJDRURMCXF1DGUOM" localSheetId="0" hidden="1">#REF!</definedName>
    <definedName name="BExMCXMMDFHHNJDRURMCXF1DGUOM" hidden="1">#REF!</definedName>
    <definedName name="BExMD963673NTBXBO0VDNBAG9YWM" localSheetId="0" hidden="1">#REF!</definedName>
    <definedName name="BExMD963673NTBXBO0VDNBAG9YWM" hidden="1">#REF!</definedName>
    <definedName name="BExMDQ3NI3GV1A8JDHIRIL4YLESR" localSheetId="0" hidden="1">#REF!</definedName>
    <definedName name="BExMDQ3NI3GV1A8JDHIRIL4YLESR" hidden="1">#REF!</definedName>
    <definedName name="BExMDUWAATB6AI7BI1UYVBD6BVVO" localSheetId="0" hidden="1">#REF!</definedName>
    <definedName name="BExMDUWAATB6AI7BI1UYVBD6BVVO" hidden="1">#REF!</definedName>
    <definedName name="BExMDVSO20ADTTVCKT513NZBKC0Q" localSheetId="0" hidden="1">#REF!</definedName>
    <definedName name="BExMDVSO20ADTTVCKT513NZBKC0Q" hidden="1">#REF!</definedName>
    <definedName name="BExMEKTHIM47ERJ7ML7M759FF32G" localSheetId="0" hidden="1">#REF!</definedName>
    <definedName name="BExMEKTHIM47ERJ7ML7M759FF32G" hidden="1">#REF!</definedName>
    <definedName name="BExMEY095ELVR1FY94CBBWCTD3ND" localSheetId="0" hidden="1">#REF!</definedName>
    <definedName name="BExMEY095ELVR1FY94CBBWCTD3ND" hidden="1">#REF!</definedName>
    <definedName name="BExMF4G50RY5B1FS3NOYY7LQ3683" localSheetId="0" hidden="1">Weekly by #REF!</definedName>
    <definedName name="BExMF4G50RY5B1FS3NOYY7LQ3683" localSheetId="1" hidden="1">Weekly by #REF!</definedName>
    <definedName name="BExMF4G50RY5B1FS3NOYY7LQ3683" localSheetId="3" hidden="1">Weekly by #REF!</definedName>
    <definedName name="BExMF4G50RY5B1FS3NOYY7LQ3683" localSheetId="7" hidden="1">Weekly by #REF!</definedName>
    <definedName name="BExMF4G50RY5B1FS3NOYY7LQ3683" localSheetId="2" hidden="1">Weekly by #REF!</definedName>
    <definedName name="BExMF4G50RY5B1FS3NOYY7LQ3683" localSheetId="6" hidden="1">Weekly by #REF!</definedName>
    <definedName name="BExMF4G50RY5B1FS3NOYY7LQ3683" hidden="1">Weekly by #REF!</definedName>
    <definedName name="BExMF7WASCH1R5HXPRZ3QUOVQCDS" localSheetId="0" hidden="1">Weekly by #REF!</definedName>
    <definedName name="BExMF7WASCH1R5HXPRZ3QUOVQCDS" localSheetId="1" hidden="1">Weekly by #REF!</definedName>
    <definedName name="BExMF7WASCH1R5HXPRZ3QUOVQCDS" localSheetId="3" hidden="1">Weekly by #REF!</definedName>
    <definedName name="BExMF7WASCH1R5HXPRZ3QUOVQCDS" localSheetId="7" hidden="1">Weekly by #REF!</definedName>
    <definedName name="BExMF7WASCH1R5HXPRZ3QUOVQCDS" localSheetId="2" hidden="1">Weekly by #REF!</definedName>
    <definedName name="BExMF7WASCH1R5HXPRZ3QUOVQCDS" localSheetId="6" hidden="1">Weekly by #REF!</definedName>
    <definedName name="BExMF7WASCH1R5HXPRZ3QUOVQCDS" hidden="1">Weekly by #REF!</definedName>
    <definedName name="BExMFAW85CSACS2YPNRMAOVGL6M1" localSheetId="0" hidden="1">Weekly by #REF!</definedName>
    <definedName name="BExMFAW85CSACS2YPNRMAOVGL6M1" localSheetId="1" hidden="1">Weekly by #REF!</definedName>
    <definedName name="BExMFAW85CSACS2YPNRMAOVGL6M1" localSheetId="3" hidden="1">Weekly by #REF!</definedName>
    <definedName name="BExMFAW85CSACS2YPNRMAOVGL6M1" localSheetId="7" hidden="1">Weekly by #REF!</definedName>
    <definedName name="BExMFAW85CSACS2YPNRMAOVGL6M1" localSheetId="2" hidden="1">Weekly by #REF!</definedName>
    <definedName name="BExMFAW85CSACS2YPNRMAOVGL6M1" localSheetId="6" hidden="1">Weekly by #REF!</definedName>
    <definedName name="BExMFAW85CSACS2YPNRMAOVGL6M1" hidden="1">Weekly by #REF!</definedName>
    <definedName name="BExMFFJCU2N6QOC5V50II5WTLPAF" localSheetId="0" hidden="1">#REF!</definedName>
    <definedName name="BExMFFJCU2N6QOC5V50II5WTLPAF" localSheetId="2" hidden="1">#REF!</definedName>
    <definedName name="BExMFFJCU2N6QOC5V50II5WTLPAF" hidden="1">#REF!</definedName>
    <definedName name="BExMFH6SWBYCN98LEO4HJ8MYBMEV" localSheetId="0" hidden="1">#REF!</definedName>
    <definedName name="BExMFH6SWBYCN98LEO4HJ8MYBMEV" localSheetId="2" hidden="1">#REF!</definedName>
    <definedName name="BExMFH6SWBYCN98LEO4HJ8MYBMEV" hidden="1">#REF!</definedName>
    <definedName name="BExMFQ102FN53YEFF1Q73O5PKTN2" localSheetId="0" hidden="1">#REF!</definedName>
    <definedName name="BExMFQ102FN53YEFF1Q73O5PKTN2" hidden="1">#REF!</definedName>
    <definedName name="BExMFY4B5JW31L4PL9F4S16LTC8G" localSheetId="0" hidden="1">#REF!</definedName>
    <definedName name="BExMFY4B5JW31L4PL9F4S16LTC8G" hidden="1">#REF!</definedName>
    <definedName name="BExMG07TXA5LBAFUNK9ZL36S1K3P" localSheetId="0" hidden="1">#REF!</definedName>
    <definedName name="BExMG07TXA5LBAFUNK9ZL36S1K3P" hidden="1">#REF!</definedName>
    <definedName name="BExMGBGD459HSR8BDU39PXJW1YD1" localSheetId="0" hidden="1">#REF!</definedName>
    <definedName name="BExMGBGD459HSR8BDU39PXJW1YD1" hidden="1">#REF!</definedName>
    <definedName name="BExMGFSWSVUC8O4EM6ZP6T82VC1A" localSheetId="0" hidden="1">#REF!</definedName>
    <definedName name="BExMGFSWSVUC8O4EM6ZP6T82VC1A" hidden="1">#REF!</definedName>
    <definedName name="BExMGU1BBKL75M103UDRTYSZGEFN" localSheetId="0" hidden="1">#REF!</definedName>
    <definedName name="BExMGU1BBKL75M103UDRTYSZGEFN" hidden="1">#REF!</definedName>
    <definedName name="BExMHGO26XGSHH5SC2Q9JNGCE2IO" localSheetId="0" hidden="1">#REF!</definedName>
    <definedName name="BExMHGO26XGSHH5SC2Q9JNGCE2IO" hidden="1">#REF!</definedName>
    <definedName name="BExMHNPHOVS9X8O0KIZL9LTG858E" localSheetId="0" hidden="1">#REF!</definedName>
    <definedName name="BExMHNPHOVS9X8O0KIZL9LTG858E" hidden="1">#REF!</definedName>
    <definedName name="BExMI3QOZTYEQUF0SE6AK4HHWJO7" localSheetId="0" hidden="1">#REF!</definedName>
    <definedName name="BExMI3QOZTYEQUF0SE6AK4HHWJO7" hidden="1">#REF!</definedName>
    <definedName name="BExMI71D8IX6Y6H7DLSAPYHEGRFP" localSheetId="0" hidden="1">#REF!</definedName>
    <definedName name="BExMI71D8IX6Y6H7DLSAPYHEGRFP" hidden="1">#REF!</definedName>
    <definedName name="BExMIKZ5EDDZDK5D6GTXJPH9XWND" localSheetId="0" hidden="1">#REF!</definedName>
    <definedName name="BExMIKZ5EDDZDK5D6GTXJPH9XWND" hidden="1">#REF!</definedName>
    <definedName name="BExMJ51XJZN31B84NVPI18J3CWTB" localSheetId="0" hidden="1">#REF!</definedName>
    <definedName name="BExMJ51XJZN31B84NVPI18J3CWTB" hidden="1">#REF!</definedName>
    <definedName name="BExMJA01LCAWUR1OX7H4E7JGNN3W" localSheetId="0" hidden="1">#REF!</definedName>
    <definedName name="BExMJA01LCAWUR1OX7H4E7JGNN3W" hidden="1">#REF!</definedName>
    <definedName name="BExMK0OA4CYPHQFXIOZFG5E4Y027" localSheetId="0" hidden="1">#REF!</definedName>
    <definedName name="BExMK0OA4CYPHQFXIOZFG5E4Y027" hidden="1">#REF!</definedName>
    <definedName name="BExMKOI0IEYQSWL82F4MI37J9NZ3" localSheetId="0" hidden="1">#REF!</definedName>
    <definedName name="BExMKOI0IEYQSWL82F4MI37J9NZ3" hidden="1">#REF!</definedName>
    <definedName name="BExMLST4GQSNKCS4QDS19G31V6NY" localSheetId="0" hidden="1">#REF!</definedName>
    <definedName name="BExMLST4GQSNKCS4QDS19G31V6NY" hidden="1">#REF!</definedName>
    <definedName name="BExMM0LNT0WIRYYQ90C5T5CDOOSX" localSheetId="0" hidden="1">#REF!</definedName>
    <definedName name="BExMM0LNT0WIRYYQ90C5T5CDOOSX" hidden="1">#REF!</definedName>
    <definedName name="BExMMZTDDCFDHK0GU54VF8EVH99F" localSheetId="0" hidden="1">#REF!</definedName>
    <definedName name="BExMMZTDDCFDHK0GU54VF8EVH99F" hidden="1">#REF!</definedName>
    <definedName name="BExMNQ1J7QX20FWV4DQ41E6S4T2W" localSheetId="0" hidden="1">#REF!</definedName>
    <definedName name="BExMNQ1J7QX20FWV4DQ41E6S4T2W" hidden="1">#REF!</definedName>
    <definedName name="BExMNQMY2IUP61KESI720VOMTAJ1" localSheetId="0" hidden="1">#REF!</definedName>
    <definedName name="BExMNQMY2IUP61KESI720VOMTAJ1" hidden="1">#REF!</definedName>
    <definedName name="BExMNUZHMKFZ814RTA641MNKZ7HQ" localSheetId="0" hidden="1">#REF!</definedName>
    <definedName name="BExMNUZHMKFZ814RTA641MNKZ7HQ" hidden="1">#REF!</definedName>
    <definedName name="BExMNW6NIOK4PW2K16RX2DT8BCKP" localSheetId="0" hidden="1">#REF!</definedName>
    <definedName name="BExMNW6NIOK4PW2K16RX2DT8BCKP" hidden="1">#REF!</definedName>
    <definedName name="BExMOHWSBNP0XTE3NV21XJHNIJVH" localSheetId="0" hidden="1">#REF!</definedName>
    <definedName name="BExMOHWSBNP0XTE3NV21XJHNIJVH" hidden="1">#REF!</definedName>
    <definedName name="BExMOJ9GY6AQGI153FV703AE296H" localSheetId="0" hidden="1">#REF!</definedName>
    <definedName name="BExMOJ9GY6AQGI153FV703AE296H" hidden="1">#REF!</definedName>
    <definedName name="BExMOUY83LJ8CH667WK0OM5FP9MP" localSheetId="0" hidden="1">#REF!</definedName>
    <definedName name="BExMOUY83LJ8CH667WK0OM5FP9MP" hidden="1">#REF!</definedName>
    <definedName name="BExMOV3KSBKMOLETEBCVI6CD7E9Q" localSheetId="0" hidden="1">#REF!</definedName>
    <definedName name="BExMOV3KSBKMOLETEBCVI6CD7E9Q" hidden="1">#REF!</definedName>
    <definedName name="BExMP06Y7JRUYXTNBLZEZIIFMP8Z" localSheetId="0" hidden="1">#REF!</definedName>
    <definedName name="BExMP06Y7JRUYXTNBLZEZIIFMP8Z" hidden="1">#REF!</definedName>
    <definedName name="BExMPGTVPYQ1ACGV1RRRS5LYB125" localSheetId="0" hidden="1">#REF!</definedName>
    <definedName name="BExMPGTVPYQ1ACGV1RRRS5LYB125" hidden="1">#REF!</definedName>
    <definedName name="BExMPLBKFPJM4GF27I2D45X0U9QF" localSheetId="0" hidden="1">#REF!</definedName>
    <definedName name="BExMPLBKFPJM4GF27I2D45X0U9QF" hidden="1">#REF!</definedName>
    <definedName name="BExMQ41ZQNCI291UVV7EBWD8RXWS" localSheetId="0" hidden="1">#REF!</definedName>
    <definedName name="BExMQ41ZQNCI291UVV7EBWD8RXWS" hidden="1">#REF!</definedName>
    <definedName name="BExMR4GUTFCN4RD7H81IOKECLEG3" localSheetId="0" hidden="1">#REF!</definedName>
    <definedName name="BExMR4GUTFCN4RD7H81IOKECLEG3" hidden="1">#REF!</definedName>
    <definedName name="BExMRDB2U95WN330W6952DM5WXZ1" localSheetId="0" hidden="1">Weekly by #REF!</definedName>
    <definedName name="BExMRDB2U95WN330W6952DM5WXZ1" localSheetId="1" hidden="1">Weekly by #REF!</definedName>
    <definedName name="BExMRDB2U95WN330W6952DM5WXZ1" localSheetId="3" hidden="1">Weekly by #REF!</definedName>
    <definedName name="BExMRDB2U95WN330W6952DM5WXZ1" localSheetId="7" hidden="1">Weekly by #REF!</definedName>
    <definedName name="BExMRDB2U95WN330W6952DM5WXZ1" localSheetId="2" hidden="1">Weekly by #REF!</definedName>
    <definedName name="BExMRDB2U95WN330W6952DM5WXZ1" localSheetId="6" hidden="1">Weekly by #REF!</definedName>
    <definedName name="BExMRDB2U95WN330W6952DM5WXZ1" hidden="1">Weekly by #REF!</definedName>
    <definedName name="BExMRP5C9V3XNIT2DRA9I6G73H2V" localSheetId="0" hidden="1">#REF!</definedName>
    <definedName name="BExMRP5C9V3XNIT2DRA9I6G73H2V" localSheetId="2" hidden="1">#REF!</definedName>
    <definedName name="BExMRP5C9V3XNIT2DRA9I6G73H2V" hidden="1">#REF!</definedName>
    <definedName name="BExMRPG54LNH7HRC92MBSUT6UL6L" localSheetId="0" hidden="1">#REF!</definedName>
    <definedName name="BExMRPG54LNH7HRC92MBSUT6UL6L" localSheetId="2" hidden="1">#REF!</definedName>
    <definedName name="BExMRPG54LNH7HRC92MBSUT6UL6L" hidden="1">#REF!</definedName>
    <definedName name="BExMSM9I7XZ0BC793Y8GWVJNG1V9" localSheetId="0" hidden="1">#REF!</definedName>
    <definedName name="BExMSM9I7XZ0BC793Y8GWVJNG1V9" hidden="1">#REF!</definedName>
    <definedName name="BExO4P9G3CC5P66YXQJ1MQZE3Q3L" localSheetId="0" hidden="1">#REF!</definedName>
    <definedName name="BExO4P9G3CC5P66YXQJ1MQZE3Q3L" hidden="1">#REF!</definedName>
    <definedName name="BExO4Q5T1IO39TUFXG41PZPWD8H5" localSheetId="0" hidden="1">#REF!</definedName>
    <definedName name="BExO4Q5T1IO39TUFXG41PZPWD8H5" hidden="1">#REF!</definedName>
    <definedName name="BExO6EPBP3U3VANWLB9Y7EXJOA47" localSheetId="0" hidden="1">#REF!</definedName>
    <definedName name="BExO6EPBP3U3VANWLB9Y7EXJOA47" hidden="1">#REF!</definedName>
    <definedName name="BExO7A0RAM8VLJ9WVOS0CNSGVOZA" localSheetId="0" hidden="1">#REF!</definedName>
    <definedName name="BExO7A0RAM8VLJ9WVOS0CNSGVOZA" hidden="1">#REF!</definedName>
    <definedName name="BExO7DRP7J97F5QVZ3N9S8LOP80B" localSheetId="0" hidden="1">#REF!</definedName>
    <definedName name="BExO7DRP7J97F5QVZ3N9S8LOP80B" hidden="1">#REF!</definedName>
    <definedName name="BExO7W1PSMP8KLLJ6LI9QUDVQEVV" localSheetId="0" hidden="1">#REF!</definedName>
    <definedName name="BExO7W1PSMP8KLLJ6LI9QUDVQEVV" hidden="1">#REF!</definedName>
    <definedName name="BExO7ZCDYRHD383KOIMJRVRYVSKV" localSheetId="0" hidden="1">#REF!</definedName>
    <definedName name="BExO7ZCDYRHD383KOIMJRVRYVSKV" hidden="1">#REF!</definedName>
    <definedName name="BExO8TM4L261JTCSQ24FHE73242J" localSheetId="0" hidden="1">#REF!</definedName>
    <definedName name="BExO8TM4L261JTCSQ24FHE73242J" hidden="1">#REF!</definedName>
    <definedName name="BExO8TM5V5CFSV5A13AYOWY4NGRS" localSheetId="0" hidden="1">#REF!</definedName>
    <definedName name="BExO8TM5V5CFSV5A13AYOWY4NGRS" hidden="1">#REF!</definedName>
    <definedName name="BExO8Z5TLFFDPWQYO9YKSACPTG6I" localSheetId="0" hidden="1">#REF!</definedName>
    <definedName name="BExO8Z5TLFFDPWQYO9YKSACPTG6I" hidden="1">#REF!</definedName>
    <definedName name="BExO97P8YZIMCQ10KUN4KVPR1I2Q" localSheetId="0" hidden="1">Weekly by #REF!</definedName>
    <definedName name="BExO97P8YZIMCQ10KUN4KVPR1I2Q" localSheetId="1" hidden="1">Weekly by #REF!</definedName>
    <definedName name="BExO97P8YZIMCQ10KUN4KVPR1I2Q" localSheetId="3" hidden="1">Weekly by #REF!</definedName>
    <definedName name="BExO97P8YZIMCQ10KUN4KVPR1I2Q" localSheetId="7" hidden="1">Weekly by #REF!</definedName>
    <definedName name="BExO97P8YZIMCQ10KUN4KVPR1I2Q" localSheetId="2" hidden="1">Weekly by #REF!</definedName>
    <definedName name="BExO97P8YZIMCQ10KUN4KVPR1I2Q" localSheetId="6" hidden="1">Weekly by #REF!</definedName>
    <definedName name="BExO97P8YZIMCQ10KUN4KVPR1I2Q" hidden="1">Weekly by #REF!</definedName>
    <definedName name="BExO9E55CA3WAMSY206DD10PGT3Y" localSheetId="0" hidden="1">#REF!</definedName>
    <definedName name="BExO9E55CA3WAMSY206DD10PGT3Y" localSheetId="2" hidden="1">#REF!</definedName>
    <definedName name="BExO9E55CA3WAMSY206DD10PGT3Y" hidden="1">#REF!</definedName>
    <definedName name="BExOA17XYBTPADQY60I9BRDNM5LT" localSheetId="0" hidden="1">#REF!</definedName>
    <definedName name="BExOA17XYBTPADQY60I9BRDNM5LT" localSheetId="2" hidden="1">#REF!</definedName>
    <definedName name="BExOA17XYBTPADQY60I9BRDNM5LT" hidden="1">#REF!</definedName>
    <definedName name="BExOA8PPAT6BFKDHD9OQK39O9RSG" localSheetId="0" hidden="1">#REF!</definedName>
    <definedName name="BExOA8PPAT6BFKDHD9OQK39O9RSG" hidden="1">#REF!</definedName>
    <definedName name="BExOAAIENBH5IN1CP70XQPSVREGG" localSheetId="0" hidden="1">#REF!</definedName>
    <definedName name="BExOAAIENBH5IN1CP70XQPSVREGG" hidden="1">#REF!</definedName>
    <definedName name="BExOAFR6JHRK4AP8O7TB9UDEAVJL" localSheetId="0" hidden="1">#REF!</definedName>
    <definedName name="BExOAFR6JHRK4AP8O7TB9UDEAVJL" hidden="1">#REF!</definedName>
    <definedName name="BExOAGCX9ISY83KMXO02KFMKR8OW" localSheetId="0" hidden="1">#REF!</definedName>
    <definedName name="BExOAGCX9ISY83KMXO02KFMKR8OW" hidden="1">#REF!</definedName>
    <definedName name="BExOAGYIK9WKLV4D54T0ZWC0J1ZM" localSheetId="0" hidden="1">#REF!</definedName>
    <definedName name="BExOAGYIK9WKLV4D54T0ZWC0J1ZM" hidden="1">#REF!</definedName>
    <definedName name="BExOARW91Y6NW924Q6S22LKSRRNW" localSheetId="0" hidden="1">Weekly by #REF!</definedName>
    <definedName name="BExOARW91Y6NW924Q6S22LKSRRNW" localSheetId="1" hidden="1">Weekly by #REF!</definedName>
    <definedName name="BExOARW91Y6NW924Q6S22LKSRRNW" localSheetId="3" hidden="1">Weekly by #REF!</definedName>
    <definedName name="BExOARW91Y6NW924Q6S22LKSRRNW" localSheetId="7" hidden="1">Weekly by #REF!</definedName>
    <definedName name="BExOARW91Y6NW924Q6S22LKSRRNW" localSheetId="2" hidden="1">Weekly by #REF!</definedName>
    <definedName name="BExOARW91Y6NW924Q6S22LKSRRNW" localSheetId="6" hidden="1">Weekly by #REF!</definedName>
    <definedName name="BExOARW91Y6NW924Q6S22LKSRRNW" hidden="1">Weekly by #REF!</definedName>
    <definedName name="BExOB886RIKYRO6D0LXJDAB2M84Z" localSheetId="0" hidden="1">#REF!</definedName>
    <definedName name="BExOB886RIKYRO6D0LXJDAB2M84Z" localSheetId="2" hidden="1">#REF!</definedName>
    <definedName name="BExOB886RIKYRO6D0LXJDAB2M84Z" hidden="1">#REF!</definedName>
    <definedName name="BExOBB83DFC5ZB1NZLNUIV7QYQES" localSheetId="0" hidden="1">#REF!</definedName>
    <definedName name="BExOBB83DFC5ZB1NZLNUIV7QYQES" localSheetId="2" hidden="1">#REF!</definedName>
    <definedName name="BExOBB83DFC5ZB1NZLNUIV7QYQES" hidden="1">#REF!</definedName>
    <definedName name="BExOBMWVSAP724QF2UOBCHRCTMRG" localSheetId="0" hidden="1">Weekly by #REF!</definedName>
    <definedName name="BExOBMWVSAP724QF2UOBCHRCTMRG" localSheetId="1" hidden="1">Weekly by #REF!</definedName>
    <definedName name="BExOBMWVSAP724QF2UOBCHRCTMRG" localSheetId="3" hidden="1">Weekly by #REF!</definedName>
    <definedName name="BExOBMWVSAP724QF2UOBCHRCTMRG" localSheetId="7" hidden="1">Weekly by #REF!</definedName>
    <definedName name="BExOBMWVSAP724QF2UOBCHRCTMRG" localSheetId="2" hidden="1">Weekly by #REF!</definedName>
    <definedName name="BExOBMWVSAP724QF2UOBCHRCTMRG" localSheetId="6" hidden="1">Weekly by #REF!</definedName>
    <definedName name="BExOBMWVSAP724QF2UOBCHRCTMRG" hidden="1">Weekly by #REF!</definedName>
    <definedName name="BExOBNNWXJI9Y0IQ9VT4NMZCB3SW" localSheetId="0" hidden="1">#REF!</definedName>
    <definedName name="BExOBNNWXJI9Y0IQ9VT4NMZCB3SW" localSheetId="2" hidden="1">#REF!</definedName>
    <definedName name="BExOBNNWXJI9Y0IQ9VT4NMZCB3SW" hidden="1">#REF!</definedName>
    <definedName name="BExOBYLMYCYZ1NJLHJCPLA3PVKYK" localSheetId="0" hidden="1">#REF!</definedName>
    <definedName name="BExOBYLMYCYZ1NJLHJCPLA3PVKYK" localSheetId="2" hidden="1">#REF!</definedName>
    <definedName name="BExOBYLMYCYZ1NJLHJCPLA3PVKYK" hidden="1">#REF!</definedName>
    <definedName name="BExOBYLO8NTLBKV3569Y2UNNIV1K" localSheetId="0" hidden="1">#REF!</definedName>
    <definedName name="BExOBYLO8NTLBKV3569Y2UNNIV1K" hidden="1">#REF!</definedName>
    <definedName name="BExOBZI1C66MSR4C3REWH9DQREGZ" localSheetId="0" hidden="1">#REF!</definedName>
    <definedName name="BExOBZI1C66MSR4C3REWH9DQREGZ" hidden="1">#REF!</definedName>
    <definedName name="BExOC08Y6OIMB5N7XH5Q1IR1M20Q" localSheetId="0" hidden="1">#REF!</definedName>
    <definedName name="BExOC08Y6OIMB5N7XH5Q1IR1M20Q" hidden="1">#REF!</definedName>
    <definedName name="BExOC7LCVAJC36Q60I8PKPCD0T1S" localSheetId="0" hidden="1">#REF!</definedName>
    <definedName name="BExOC7LCVAJC36Q60I8PKPCD0T1S" hidden="1">#REF!</definedName>
    <definedName name="BExOCQX7MZG1R6UPBHNGI606SL8K" localSheetId="0" hidden="1">#REF!</definedName>
    <definedName name="BExOCQX7MZG1R6UPBHNGI606SL8K" hidden="1">#REF!</definedName>
    <definedName name="BExOD3YN3M7LMY4E0E507QA8CWQ2" localSheetId="0" hidden="1">Weekly by #REF!</definedName>
    <definedName name="BExOD3YN3M7LMY4E0E507QA8CWQ2" localSheetId="1" hidden="1">Weekly by #REF!</definedName>
    <definedName name="BExOD3YN3M7LMY4E0E507QA8CWQ2" localSheetId="3" hidden="1">Weekly by #REF!</definedName>
    <definedName name="BExOD3YN3M7LMY4E0E507QA8CWQ2" localSheetId="7" hidden="1">Weekly by #REF!</definedName>
    <definedName name="BExOD3YN3M7LMY4E0E507QA8CWQ2" localSheetId="2" hidden="1">Weekly by #REF!</definedName>
    <definedName name="BExOD3YN3M7LMY4E0E507QA8CWQ2" localSheetId="6" hidden="1">Weekly by #REF!</definedName>
    <definedName name="BExOD3YN3M7LMY4E0E507QA8CWQ2" hidden="1">Weekly by #REF!</definedName>
    <definedName name="BExODPZLGXNVUEO34XPQH5O6BN86" localSheetId="0" hidden="1">#REF!</definedName>
    <definedName name="BExODPZLGXNVUEO34XPQH5O6BN86" localSheetId="2" hidden="1">#REF!</definedName>
    <definedName name="BExODPZLGXNVUEO34XPQH5O6BN86" hidden="1">#REF!</definedName>
    <definedName name="BExOE2KSKXBKYKZPW4A6XU9CC11S" localSheetId="0" hidden="1">#REF!</definedName>
    <definedName name="BExOE2KSKXBKYKZPW4A6XU9CC11S" localSheetId="2" hidden="1">#REF!</definedName>
    <definedName name="BExOE2KSKXBKYKZPW4A6XU9CC11S" hidden="1">#REF!</definedName>
    <definedName name="BExOE6X4GM2FI8J0OCWJN8HLAR4Z" localSheetId="0" hidden="1">#REF!</definedName>
    <definedName name="BExOE6X4GM2FI8J0OCWJN8HLAR4Z" hidden="1">#REF!</definedName>
    <definedName name="BExOE89QWLYZ033JJYOXL9EN126C" localSheetId="0" hidden="1">#REF!</definedName>
    <definedName name="BExOE89QWLYZ033JJYOXL9EN126C" hidden="1">#REF!</definedName>
    <definedName name="BExOF5ZJR1UJ9IQRGDTEZM7GPQX4" localSheetId="0" hidden="1">#REF!</definedName>
    <definedName name="BExOF5ZJR1UJ9IQRGDTEZM7GPQX4" hidden="1">#REF!</definedName>
    <definedName name="BExOFFVKV03BN8T3HNXZ55S352S3" localSheetId="0" hidden="1">#REF!</definedName>
    <definedName name="BExOFFVKV03BN8T3HNXZ55S352S3" hidden="1">#REF!</definedName>
    <definedName name="BExOFJH1W33H5R9GH680DNXTZ0ZN" localSheetId="0" hidden="1">#REF!</definedName>
    <definedName name="BExOFJH1W33H5R9GH680DNXTZ0ZN" hidden="1">#REF!</definedName>
    <definedName name="BExOFN2CCI1J0EUWG6CV07EKJOT7" localSheetId="0" hidden="1">#REF!</definedName>
    <definedName name="BExOFN2CCI1J0EUWG6CV07EKJOT7" hidden="1">#REF!</definedName>
    <definedName name="BExOFP625BUADGKPXERB5IANJBMR" localSheetId="0" hidden="1">Weekly by #REF!</definedName>
    <definedName name="BExOFP625BUADGKPXERB5IANJBMR" localSheetId="1" hidden="1">Weekly by #REF!</definedName>
    <definedName name="BExOFP625BUADGKPXERB5IANJBMR" localSheetId="3" hidden="1">Weekly by #REF!</definedName>
    <definedName name="BExOFP625BUADGKPXERB5IANJBMR" localSheetId="7" hidden="1">Weekly by #REF!</definedName>
    <definedName name="BExOFP625BUADGKPXERB5IANJBMR" localSheetId="2" hidden="1">Weekly by #REF!</definedName>
    <definedName name="BExOFP625BUADGKPXERB5IANJBMR" localSheetId="6" hidden="1">Weekly by #REF!</definedName>
    <definedName name="BExOFP625BUADGKPXERB5IANJBMR" hidden="1">Weekly by #REF!</definedName>
    <definedName name="BExOG1AZCK9QN09SNEN2DTTFFCLJ" localSheetId="0" hidden="1">#REF!</definedName>
    <definedName name="BExOG1AZCK9QN09SNEN2DTTFFCLJ" localSheetId="2" hidden="1">#REF!</definedName>
    <definedName name="BExOG1AZCK9QN09SNEN2DTTFFCLJ" hidden="1">#REF!</definedName>
    <definedName name="BExOGVQ0OYGKXCECX4UBBL6UFRSM" localSheetId="0" hidden="1">#REF!</definedName>
    <definedName name="BExOGVQ0OYGKXCECX4UBBL6UFRSM" localSheetId="2" hidden="1">#REF!</definedName>
    <definedName name="BExOGVQ0OYGKXCECX4UBBL6UFRSM" hidden="1">#REF!</definedName>
    <definedName name="BExOGWX6H8AVR4QE2RTJ77SEJRN6" localSheetId="0" hidden="1">#REF!</definedName>
    <definedName name="BExOGWX6H8AVR4QE2RTJ77SEJRN6" hidden="1">#REF!</definedName>
    <definedName name="BExOGYVEAJFUXQVT8YQO2U7YT5OY" localSheetId="0" hidden="1">#REF!</definedName>
    <definedName name="BExOGYVEAJFUXQVT8YQO2U7YT5OY" hidden="1">#REF!</definedName>
    <definedName name="BExOH2GVFOFXDG3YQK89NSKG7WJG" localSheetId="0" hidden="1">#REF!</definedName>
    <definedName name="BExOH2GVFOFXDG3YQK89NSKG7WJG" hidden="1">#REF!</definedName>
    <definedName name="BExOH7KB5HAPBB5K1Z3DIW5LCRSI" localSheetId="0" hidden="1">#REF!</definedName>
    <definedName name="BExOH7KB5HAPBB5K1Z3DIW5LCRSI" hidden="1">#REF!</definedName>
    <definedName name="BExOHBB43JS54D6MARIQR5PJNUDG" localSheetId="0" hidden="1">#REF!</definedName>
    <definedName name="BExOHBB43JS54D6MARIQR5PJNUDG" hidden="1">#REF!</definedName>
    <definedName name="BExOIN9ETPA87K6NINBIFRSWHK4C" localSheetId="0" hidden="1">#REF!</definedName>
    <definedName name="BExOIN9ETPA87K6NINBIFRSWHK4C" hidden="1">#REF!</definedName>
    <definedName name="BExOJAXNMJ8Y9U9A32N69AJ420UU" localSheetId="0" hidden="1">Weekly by #REF!</definedName>
    <definedName name="BExOJAXNMJ8Y9U9A32N69AJ420UU" localSheetId="1" hidden="1">Weekly by #REF!</definedName>
    <definedName name="BExOJAXNMJ8Y9U9A32N69AJ420UU" localSheetId="3" hidden="1">Weekly by #REF!</definedName>
    <definedName name="BExOJAXNMJ8Y9U9A32N69AJ420UU" localSheetId="7" hidden="1">Weekly by #REF!</definedName>
    <definedName name="BExOJAXNMJ8Y9U9A32N69AJ420UU" localSheetId="2" hidden="1">Weekly by #REF!</definedName>
    <definedName name="BExOJAXNMJ8Y9U9A32N69AJ420UU" localSheetId="6" hidden="1">Weekly by #REF!</definedName>
    <definedName name="BExOJAXNMJ8Y9U9A32N69AJ420UU" hidden="1">Weekly by #REF!</definedName>
    <definedName name="BExOJPBK5T2TFSQCI5PYD3DTPA26" localSheetId="0" hidden="1">#REF!</definedName>
    <definedName name="BExOJPBK5T2TFSQCI5PYD3DTPA26" localSheetId="2" hidden="1">#REF!</definedName>
    <definedName name="BExOJPBK5T2TFSQCI5PYD3DTPA26" hidden="1">#REF!</definedName>
    <definedName name="BExOK699MBCVTFKUMVPKBGM2W63L" localSheetId="0" hidden="1">#REF!</definedName>
    <definedName name="BExOK699MBCVTFKUMVPKBGM2W63L" localSheetId="2" hidden="1">#REF!</definedName>
    <definedName name="BExOK699MBCVTFKUMVPKBGM2W63L" hidden="1">#REF!</definedName>
    <definedName name="BExOKCECQSFWA99RY6KEDPH30KT6" localSheetId="0" hidden="1">#REF!</definedName>
    <definedName name="BExOKCECQSFWA99RY6KEDPH30KT6" hidden="1">#REF!</definedName>
    <definedName name="BExOKDAQ31PVS0Q7NXOF66C24GYL" localSheetId="0" hidden="1">#REF!</definedName>
    <definedName name="BExOKDAQ31PVS0Q7NXOF66C24GYL" hidden="1">#REF!</definedName>
    <definedName name="BExOLB5SC7VD8OG53K8II93SAENQ" localSheetId="0" hidden="1">#REF!</definedName>
    <definedName name="BExOLB5SC7VD8OG53K8II93SAENQ" hidden="1">#REF!</definedName>
    <definedName name="BExOLD411QWFX4FN11349510DRJ8" localSheetId="0" hidden="1">#REF!</definedName>
    <definedName name="BExOLD411QWFX4FN11349510DRJ8" hidden="1">#REF!</definedName>
    <definedName name="BExOLYZNCQU9YFRCJTSR1R7098U7" localSheetId="0" hidden="1">#REF!</definedName>
    <definedName name="BExOLYZNCQU9YFRCJTSR1R7098U7" hidden="1">#REF!</definedName>
    <definedName name="BExOM1JHBQW1WQ5TNAB1F6PMWCCS" localSheetId="0" hidden="1">#REF!</definedName>
    <definedName name="BExOM1JHBQW1WQ5TNAB1F6PMWCCS" hidden="1">#REF!</definedName>
    <definedName name="BExOMBFCBGGM6KO5RX1LMJ0M22S4" localSheetId="0" hidden="1">#REF!</definedName>
    <definedName name="BExOMBFCBGGM6KO5RX1LMJ0M22S4" hidden="1">#REF!</definedName>
    <definedName name="BExOMI672TH8VPB5MGW4I7CD339Q" localSheetId="0" hidden="1">#REF!</definedName>
    <definedName name="BExOMI672TH8VPB5MGW4I7CD339Q" hidden="1">#REF!</definedName>
    <definedName name="BExOMMD8OU5GP7UJQ5YR5BWUC7WC" localSheetId="0" hidden="1">#REF!</definedName>
    <definedName name="BExOMMD8OU5GP7UJQ5YR5BWUC7WC" hidden="1">#REF!</definedName>
    <definedName name="BExON8UB96J8UZO1ZX4IVWLM8DGA" localSheetId="0" hidden="1">#REF!</definedName>
    <definedName name="BExON8UB96J8UZO1ZX4IVWLM8DGA" hidden="1">#REF!</definedName>
    <definedName name="BExONFL4TFXSXWK3WNKGBKED9MO0" localSheetId="0" hidden="1">#REF!</definedName>
    <definedName name="BExONFL4TFXSXWK3WNKGBKED9MO0" hidden="1">#REF!</definedName>
    <definedName name="BExONIL1EPN8W1SVF4S473NVT9G0" localSheetId="0" hidden="1">#REF!</definedName>
    <definedName name="BExONIL1EPN8W1SVF4S473NVT9G0" hidden="1">#REF!</definedName>
    <definedName name="BExONVBIXX436X1BG1TMAO4S9LD0" localSheetId="0" hidden="1">#REF!</definedName>
    <definedName name="BExONVBIXX436X1BG1TMAO4S9LD0" hidden="1">#REF!</definedName>
    <definedName name="BExOOJG6U1DNB2O502EO99CY4DQL" localSheetId="0" hidden="1">Weekly by #REF!</definedName>
    <definedName name="BExOOJG6U1DNB2O502EO99CY4DQL" localSheetId="1" hidden="1">Weekly by #REF!</definedName>
    <definedName name="BExOOJG6U1DNB2O502EO99CY4DQL" localSheetId="3" hidden="1">Weekly by #REF!</definedName>
    <definedName name="BExOOJG6U1DNB2O502EO99CY4DQL" localSheetId="7" hidden="1">Weekly by #REF!</definedName>
    <definedName name="BExOOJG6U1DNB2O502EO99CY4DQL" localSheetId="2" hidden="1">Weekly by #REF!</definedName>
    <definedName name="BExOOJG6U1DNB2O502EO99CY4DQL" localSheetId="6" hidden="1">Weekly by #REF!</definedName>
    <definedName name="BExOOJG6U1DNB2O502EO99CY4DQL" hidden="1">Weekly by #REF!</definedName>
    <definedName name="BExOOKSN435DXXUEHWYKGP1DHQD6" localSheetId="0" hidden="1">Weekly by #REF!</definedName>
    <definedName name="BExOOKSN435DXXUEHWYKGP1DHQD6" localSheetId="1" hidden="1">Weekly by #REF!</definedName>
    <definedName name="BExOOKSN435DXXUEHWYKGP1DHQD6" localSheetId="3" hidden="1">Weekly by #REF!</definedName>
    <definedName name="BExOOKSN435DXXUEHWYKGP1DHQD6" localSheetId="7" hidden="1">Weekly by #REF!</definedName>
    <definedName name="BExOOKSN435DXXUEHWYKGP1DHQD6" localSheetId="2" hidden="1">Weekly by #REF!</definedName>
    <definedName name="BExOOKSN435DXXUEHWYKGP1DHQD6" localSheetId="6" hidden="1">Weekly by #REF!</definedName>
    <definedName name="BExOOKSN435DXXUEHWYKGP1DHQD6" hidden="1">Weekly by #REF!</definedName>
    <definedName name="BExOORE1DP6UVW28XJX2VS05649B" localSheetId="0" hidden="1">#REF!</definedName>
    <definedName name="BExOORE1DP6UVW28XJX2VS05649B" localSheetId="2" hidden="1">#REF!</definedName>
    <definedName name="BExOORE1DP6UVW28XJX2VS05649B" hidden="1">#REF!</definedName>
    <definedName name="BExOPJV0G43Z50LNI0UWME9NPU9S" localSheetId="0" hidden="1">#REF!</definedName>
    <definedName name="BExOPJV0G43Z50LNI0UWME9NPU9S" localSheetId="2" hidden="1">#REF!</definedName>
    <definedName name="BExOPJV0G43Z50LNI0UWME9NPU9S" hidden="1">#REF!</definedName>
    <definedName name="BExOQHQA0EVF78FW5LITZ5OAD13N" localSheetId="0" hidden="1">Weekly by #REF!</definedName>
    <definedName name="BExOQHQA0EVF78FW5LITZ5OAD13N" localSheetId="1" hidden="1">Weekly by #REF!</definedName>
    <definedName name="BExOQHQA0EVF78FW5LITZ5OAD13N" localSheetId="3" hidden="1">Weekly by #REF!</definedName>
    <definedName name="BExOQHQA0EVF78FW5LITZ5OAD13N" localSheetId="7" hidden="1">Weekly by #REF!</definedName>
    <definedName name="BExOQHQA0EVF78FW5LITZ5OAD13N" localSheetId="2" hidden="1">Weekly by #REF!</definedName>
    <definedName name="BExOQHQA0EVF78FW5LITZ5OAD13N" localSheetId="6" hidden="1">Weekly by #REF!</definedName>
    <definedName name="BExOQHQA0EVF78FW5LITZ5OAD13N" hidden="1">Weekly by #REF!</definedName>
    <definedName name="BExQ1X1RE71HCCMKWV64X8HPHR0R" localSheetId="0" hidden="1">#REF!</definedName>
    <definedName name="BExQ1X1RE71HCCMKWV64X8HPHR0R" localSheetId="2" hidden="1">#REF!</definedName>
    <definedName name="BExQ1X1RE71HCCMKWV64X8HPHR0R" hidden="1">#REF!</definedName>
    <definedName name="BExQ41BOL730OSEM60CEMAMP4ARQ" localSheetId="0" hidden="1">#REF!</definedName>
    <definedName name="BExQ41BOL730OSEM60CEMAMP4ARQ" localSheetId="2" hidden="1">#REF!</definedName>
    <definedName name="BExQ41BOL730OSEM60CEMAMP4ARQ" hidden="1">#REF!</definedName>
    <definedName name="BExQ4B7Q3NN5PZMR9C0YCQ9KMIUO" localSheetId="0" hidden="1">#REF!</definedName>
    <definedName name="BExQ4B7Q3NN5PZMR9C0YCQ9KMIUO" hidden="1">#REF!</definedName>
    <definedName name="BExQ4FV1OZRJ6YM4UEDXEU1304ZJ" localSheetId="0" hidden="1">#REF!</definedName>
    <definedName name="BExQ4FV1OZRJ6YM4UEDXEU1304ZJ" hidden="1">#REF!</definedName>
    <definedName name="BExQ53U1WPQDQWX1BVV1GSXRBF6E" localSheetId="0" hidden="1">#REF!</definedName>
    <definedName name="BExQ53U1WPQDQWX1BVV1GSXRBF6E" hidden="1">#REF!</definedName>
    <definedName name="BExQ69N48G94UPDFBCW48CUT9JJQ" localSheetId="0" hidden="1">#REF!</definedName>
    <definedName name="BExQ69N48G94UPDFBCW48CUT9JJQ" hidden="1">#REF!</definedName>
    <definedName name="BExQ6JJ6GQ820H268M24Q000VLS5" localSheetId="0" hidden="1">#REF!</definedName>
    <definedName name="BExQ6JJ6GQ820H268M24Q000VLS5" hidden="1">#REF!</definedName>
    <definedName name="BExQ6NKT7GLCK5DO3FT99FA0VH7Y" localSheetId="0" hidden="1">#REF!</definedName>
    <definedName name="BExQ6NKT7GLCK5DO3FT99FA0VH7Y" hidden="1">#REF!</definedName>
    <definedName name="BExQ6PIZEB3532T46HXOTSDMM8XR" localSheetId="0" hidden="1">#REF!</definedName>
    <definedName name="BExQ6PIZEB3532T46HXOTSDMM8XR" hidden="1">#REF!</definedName>
    <definedName name="BExQ7XVPF99MSHS033A2L2EUW0IA" localSheetId="0" hidden="1">#REF!</definedName>
    <definedName name="BExQ7XVPF99MSHS033A2L2EUW0IA" hidden="1">#REF!</definedName>
    <definedName name="BExQ87MGWSOJO77VQQJDW8UP97UJ" localSheetId="0" hidden="1">Weekly by #REF!</definedName>
    <definedName name="BExQ87MGWSOJO77VQQJDW8UP97UJ" localSheetId="1" hidden="1">Weekly by #REF!</definedName>
    <definedName name="BExQ87MGWSOJO77VQQJDW8UP97UJ" localSheetId="3" hidden="1">Weekly by #REF!</definedName>
    <definedName name="BExQ87MGWSOJO77VQQJDW8UP97UJ" localSheetId="7" hidden="1">Weekly by #REF!</definedName>
    <definedName name="BExQ87MGWSOJO77VQQJDW8UP97UJ" localSheetId="2" hidden="1">Weekly by #REF!</definedName>
    <definedName name="BExQ87MGWSOJO77VQQJDW8UP97UJ" localSheetId="6" hidden="1">Weekly by #REF!</definedName>
    <definedName name="BExQ87MGWSOJO77VQQJDW8UP97UJ" hidden="1">Weekly by #REF!</definedName>
    <definedName name="BExQ8U95JXE2ZGDDWOEHH46ENO5L" localSheetId="0" hidden="1">#REF!</definedName>
    <definedName name="BExQ8U95JXE2ZGDDWOEHH46ENO5L" localSheetId="2" hidden="1">#REF!</definedName>
    <definedName name="BExQ8U95JXE2ZGDDWOEHH46ENO5L" hidden="1">#REF!</definedName>
    <definedName name="BExQ8UUP7KQWLXPL81ZMF3AC1K7V" localSheetId="0" hidden="1">#REF!</definedName>
    <definedName name="BExQ8UUP7KQWLXPL81ZMF3AC1K7V" localSheetId="2" hidden="1">#REF!</definedName>
    <definedName name="BExQ8UUP7KQWLXPL81ZMF3AC1K7V" hidden="1">#REF!</definedName>
    <definedName name="BExQ9BMR87ZZ9MI9WB80IMXG5IDA" localSheetId="0" hidden="1">#REF!</definedName>
    <definedName name="BExQ9BMR87ZZ9MI9WB80IMXG5IDA" hidden="1">#REF!</definedName>
    <definedName name="BExQ9DQATTM64NGUOQWM96CIR7J1" localSheetId="0" hidden="1">#REF!</definedName>
    <definedName name="BExQ9DQATTM64NGUOQWM96CIR7J1" hidden="1">#REF!</definedName>
    <definedName name="BExQ9DVR0WJQK432BJFWT5WHPMRB" localSheetId="0" hidden="1">#REF!</definedName>
    <definedName name="BExQ9DVR0WJQK432BJFWT5WHPMRB" hidden="1">#REF!</definedName>
    <definedName name="BExQ9H10BBOUIHL3RAD3JZ1SYUSZ" localSheetId="0" hidden="1">#REF!</definedName>
    <definedName name="BExQ9H10BBOUIHL3RAD3JZ1SYUSZ" hidden="1">#REF!</definedName>
    <definedName name="BExQ9H6GR5JZW9VZ67ZKG0THDO51" localSheetId="0" hidden="1">Weekly by #REF!</definedName>
    <definedName name="BExQ9H6GR5JZW9VZ67ZKG0THDO51" localSheetId="1" hidden="1">Weekly by #REF!</definedName>
    <definedName name="BExQ9H6GR5JZW9VZ67ZKG0THDO51" localSheetId="3" hidden="1">Weekly by #REF!</definedName>
    <definedName name="BExQ9H6GR5JZW9VZ67ZKG0THDO51" localSheetId="7" hidden="1">Weekly by #REF!</definedName>
    <definedName name="BExQ9H6GR5JZW9VZ67ZKG0THDO51" localSheetId="2" hidden="1">Weekly by #REF!</definedName>
    <definedName name="BExQ9H6GR5JZW9VZ67ZKG0THDO51" localSheetId="6" hidden="1">Weekly by #REF!</definedName>
    <definedName name="BExQ9H6GR5JZW9VZ67ZKG0THDO51" hidden="1">Weekly by #REF!</definedName>
    <definedName name="BExQ9ZLYHWABXAA9NJDW8ZS0UQ9P" localSheetId="0" hidden="1">#REF!</definedName>
    <definedName name="BExQ9ZLYHWABXAA9NJDW8ZS0UQ9P" localSheetId="2" hidden="1">#REF!</definedName>
    <definedName name="BExQ9ZLYHWABXAA9NJDW8ZS0UQ9P" hidden="1">#REF!</definedName>
    <definedName name="BExQA1EPIKODTQH4YSKF2LZRULP0" localSheetId="0" hidden="1">#REF!</definedName>
    <definedName name="BExQA1EPIKODTQH4YSKF2LZRULP0" localSheetId="2" hidden="1">#REF!</definedName>
    <definedName name="BExQA1EPIKODTQH4YSKF2LZRULP0" hidden="1">#REF!</definedName>
    <definedName name="BExQB12NJ5X291RPNTPKDTV0Z8BZ" localSheetId="0" hidden="1">#REF!</definedName>
    <definedName name="BExQB12NJ5X291RPNTPKDTV0Z8BZ" localSheetId="2" hidden="1">#REF!</definedName>
    <definedName name="BExQB12NJ5X291RPNTPKDTV0Z8BZ" hidden="1">#REF!</definedName>
    <definedName name="BExQBNJPY68MK3WA3NXR4XZSI4NP" localSheetId="0" hidden="1">Weekly by #REF!</definedName>
    <definedName name="BExQBNJPY68MK3WA3NXR4XZSI4NP" localSheetId="1" hidden="1">Weekly by #REF!</definedName>
    <definedName name="BExQBNJPY68MK3WA3NXR4XZSI4NP" localSheetId="3" hidden="1">Weekly by #REF!</definedName>
    <definedName name="BExQBNJPY68MK3WA3NXR4XZSI4NP" localSheetId="7" hidden="1">Weekly by #REF!</definedName>
    <definedName name="BExQBNJPY68MK3WA3NXR4XZSI4NP" localSheetId="2" hidden="1">Weekly by #REF!</definedName>
    <definedName name="BExQBNJPY68MK3WA3NXR4XZSI4NP" localSheetId="6" hidden="1">Weekly by #REF!</definedName>
    <definedName name="BExQBNJPY68MK3WA3NXR4XZSI4NP" hidden="1">Weekly by #REF!</definedName>
    <definedName name="BExQCI9M5F9BX0WO90T8KQKXJECZ" localSheetId="0" hidden="1">#REF!</definedName>
    <definedName name="BExQCI9M5F9BX0WO90T8KQKXJECZ" localSheetId="2" hidden="1">#REF!</definedName>
    <definedName name="BExQCI9M5F9BX0WO90T8KQKXJECZ" hidden="1">#REF!</definedName>
    <definedName name="BExQCVB0MULHQF1E7DH3AKOJ5IOF" localSheetId="0" hidden="1">#REF!</definedName>
    <definedName name="BExQCVB0MULHQF1E7DH3AKOJ5IOF" localSheetId="2" hidden="1">#REF!</definedName>
    <definedName name="BExQCVB0MULHQF1E7DH3AKOJ5IOF" hidden="1">#REF!</definedName>
    <definedName name="BExQE6IAA3QFZ6TX9BXPJISLE0Q1" localSheetId="0" hidden="1">#REF!</definedName>
    <definedName name="BExQE6IAA3QFZ6TX9BXPJISLE0Q1" hidden="1">#REF!</definedName>
    <definedName name="BExQEJUD5RQJ325ULPV2E4W8QAL6" localSheetId="0" hidden="1">#REF!</definedName>
    <definedName name="BExQEJUD5RQJ325ULPV2E4W8QAL6" hidden="1">#REF!</definedName>
    <definedName name="BExQF00ZDAC842R706797DN4H4HE" localSheetId="0" hidden="1">#REF!</definedName>
    <definedName name="BExQF00ZDAC842R706797DN4H4HE" hidden="1">#REF!</definedName>
    <definedName name="BExQFMNOOBC2XE1R03V1MF8QJSDG" localSheetId="0" hidden="1">#REF!</definedName>
    <definedName name="BExQFMNOOBC2XE1R03V1MF8QJSDG" hidden="1">#REF!</definedName>
    <definedName name="BExQFNPE0JNBFPGM91B5GNSDG31N" localSheetId="0" hidden="1">#REF!</definedName>
    <definedName name="BExQFNPE0JNBFPGM91B5GNSDG31N" hidden="1">#REF!</definedName>
    <definedName name="BExQFTZYRQHP8U8ODL2W6ATWA2R5" localSheetId="0" hidden="1">#REF!</definedName>
    <definedName name="BExQFTZYRQHP8U8ODL2W6ATWA2R5" hidden="1">#REF!</definedName>
    <definedName name="BExQG8TZ75I20YUP0KNZMM2IYG56" localSheetId="0" hidden="1">#REF!</definedName>
    <definedName name="BExQG8TZ75I20YUP0KNZMM2IYG56" hidden="1">#REF!</definedName>
    <definedName name="BExQGFKTOP6WGJAF2OI8PXQPMWT4" localSheetId="0" hidden="1">#REF!</definedName>
    <definedName name="BExQGFKTOP6WGJAF2OI8PXQPMWT4" hidden="1">#REF!</definedName>
    <definedName name="BExQGMM9RZL83B2Z0ZZPHKUY6VTK" localSheetId="0" hidden="1">#REF!</definedName>
    <definedName name="BExQGMM9RZL83B2Z0ZZPHKUY6VTK" hidden="1">#REF!</definedName>
    <definedName name="BExQHZGZ5JZ4AE00IROC5LG5734F" localSheetId="0" hidden="1">#REF!</definedName>
    <definedName name="BExQHZGZ5JZ4AE00IROC5LG5734F" hidden="1">#REF!</definedName>
    <definedName name="BExQIAK7WK9XY1HWIS0RB6LCI38U" localSheetId="0" hidden="1">#REF!</definedName>
    <definedName name="BExQIAK7WK9XY1HWIS0RB6LCI38U" hidden="1">#REF!</definedName>
    <definedName name="BExQICT281Q1E6HHLEIC7LOYTR4F" localSheetId="0" hidden="1">#REF!</definedName>
    <definedName name="BExQICT281Q1E6HHLEIC7LOYTR4F" hidden="1">#REF!</definedName>
    <definedName name="BExQIDUXFRRQTUP42M6V5KODFDPZ" localSheetId="0" hidden="1">#REF!</definedName>
    <definedName name="BExQIDUXFRRQTUP42M6V5KODFDPZ" hidden="1">#REF!</definedName>
    <definedName name="BExQIEWM4YHWE15RFGAT8AWBZ25Y" localSheetId="0" hidden="1">#REF!</definedName>
    <definedName name="BExQIEWM4YHWE15RFGAT8AWBZ25Y" hidden="1">#REF!</definedName>
    <definedName name="BExQIII2YKNNBPUFZNOC88FK394S" localSheetId="0" hidden="1">#REF!</definedName>
    <definedName name="BExQIII2YKNNBPUFZNOC88FK394S" hidden="1">#REF!</definedName>
    <definedName name="BExQINW95C7N048P3U0KM5A2Q0VU" localSheetId="0" hidden="1">#REF!</definedName>
    <definedName name="BExQINW95C7N048P3U0KM5A2Q0VU" hidden="1">#REF!</definedName>
    <definedName name="BExQJ7IXTYN8ELZIUSOUURFAP5Z5" localSheetId="0" hidden="1">#REF!</definedName>
    <definedName name="BExQJ7IXTYN8ELZIUSOUURFAP5Z5" hidden="1">#REF!</definedName>
    <definedName name="BExQJIBCENFZ4FNIPQ8IC1PBMHA9" localSheetId="0" hidden="1">#REF!</definedName>
    <definedName name="BExQJIBCENFZ4FNIPQ8IC1PBMHA9" hidden="1">#REF!</definedName>
    <definedName name="BExQJX019VWBQMW1HCV154DP9287" localSheetId="0" hidden="1">#REF!</definedName>
    <definedName name="BExQJX019VWBQMW1HCV154DP9287" hidden="1">#REF!</definedName>
    <definedName name="BExQK1SODHG66277P2K5V2W6173O" localSheetId="0" hidden="1">#REF!</definedName>
    <definedName name="BExQK1SODHG66277P2K5V2W6173O" hidden="1">#REF!</definedName>
    <definedName name="BExRZEFECITBL9AGIG2OKJWCNJZD" localSheetId="0" hidden="1">#REF!</definedName>
    <definedName name="BExRZEFECITBL9AGIG2OKJWCNJZD" hidden="1">#REF!</definedName>
    <definedName name="BExRZEQ81ZHNVX8G0RUKKD4L1ZQI" localSheetId="0" hidden="1">#REF!</definedName>
    <definedName name="BExRZEQ81ZHNVX8G0RUKKD4L1ZQI" hidden="1">#REF!</definedName>
    <definedName name="BExS02PDU3RIYDBR02EV6VUXEVN6" localSheetId="0" hidden="1">#REF!</definedName>
    <definedName name="BExS02PDU3RIYDBR02EV6VUXEVN6" hidden="1">#REF!</definedName>
    <definedName name="BExS0AHXKGTN2MZ48TYURZI3RLFD" localSheetId="0" hidden="1">#REF!</definedName>
    <definedName name="BExS0AHXKGTN2MZ48TYURZI3RLFD" hidden="1">#REF!</definedName>
    <definedName name="BExS0UFCKI6Z4BDWL0C1TI1UZA8D" localSheetId="0" hidden="1">#REF!</definedName>
    <definedName name="BExS0UFCKI6Z4BDWL0C1TI1UZA8D" hidden="1">#REF!</definedName>
    <definedName name="BExS16PROWSNHW3MZQBGQNQU7S8R" localSheetId="0" hidden="1">#REF!</definedName>
    <definedName name="BExS16PROWSNHW3MZQBGQNQU7S8R" hidden="1">#REF!</definedName>
    <definedName name="BExS1VQKWZC7SM0UY7BWIPST3VU3" localSheetId="0" hidden="1">#REF!</definedName>
    <definedName name="BExS1VQKWZC7SM0UY7BWIPST3VU3" hidden="1">#REF!</definedName>
    <definedName name="BExS2DPX9DV2GVSP4XC7PZE39F8F" localSheetId="0" hidden="1">#REF!</definedName>
    <definedName name="BExS2DPX9DV2GVSP4XC7PZE39F8F" hidden="1">#REF!</definedName>
    <definedName name="BExS2FIPLUW9ARHG2X2TG07DHC6G" localSheetId="0" hidden="1">#REF!</definedName>
    <definedName name="BExS2FIPLUW9ARHG2X2TG07DHC6G" hidden="1">#REF!</definedName>
    <definedName name="BExS2OT61VXS58SSI0I90Z76DFCQ" localSheetId="0" hidden="1">#REF!</definedName>
    <definedName name="BExS2OT61VXS58SSI0I90Z76DFCQ" hidden="1">#REF!</definedName>
    <definedName name="BExS2QGLIDSWBA2VTD3MQ0LD6UCX" localSheetId="0" hidden="1">#REF!</definedName>
    <definedName name="BExS2QGLIDSWBA2VTD3MQ0LD6UCX" hidden="1">#REF!</definedName>
    <definedName name="BExS2RIBMZPBDB3W6PKRNHUM06WI" localSheetId="0" hidden="1">#REF!</definedName>
    <definedName name="BExS2RIBMZPBDB3W6PKRNHUM06WI" hidden="1">#REF!</definedName>
    <definedName name="BExS38AHQWKT950DKJR1SJAY5NKD" localSheetId="0" hidden="1">#REF!</definedName>
    <definedName name="BExS38AHQWKT950DKJR1SJAY5NKD" hidden="1">#REF!</definedName>
    <definedName name="BExS3BL7KZUM0PK7UW1Y6M98ZKXC" localSheetId="0" hidden="1">#REF!</definedName>
    <definedName name="BExS3BL7KZUM0PK7UW1Y6M98ZKXC" hidden="1">#REF!</definedName>
    <definedName name="BExS3G8CSHMSEP0O1XGHAHK2FYUD" localSheetId="0" hidden="1">#REF!</definedName>
    <definedName name="BExS3G8CSHMSEP0O1XGHAHK2FYUD" hidden="1">#REF!</definedName>
    <definedName name="BExS3OH5XH1H0NEUDJGB0D1EF3C6" localSheetId="0" hidden="1">#REF!</definedName>
    <definedName name="BExS3OH5XH1H0NEUDJGB0D1EF3C6" hidden="1">#REF!</definedName>
    <definedName name="BExS3WV2VQ19L2A1DJ73AUFN7SRX" localSheetId="0" hidden="1">#REF!</definedName>
    <definedName name="BExS3WV2VQ19L2A1DJ73AUFN7SRX" hidden="1">#REF!</definedName>
    <definedName name="BExS417MEWWKNMO71CAG1M726IAH" localSheetId="0" hidden="1">#REF!</definedName>
    <definedName name="BExS417MEWWKNMO71CAG1M726IAH" hidden="1">#REF!</definedName>
    <definedName name="BExS4CLN8HTQJ94E1OS70HRFEC8I" localSheetId="0" hidden="1">Weekly by #REF!</definedName>
    <definedName name="BExS4CLN8HTQJ94E1OS70HRFEC8I" localSheetId="1" hidden="1">Weekly by #REF!</definedName>
    <definedName name="BExS4CLN8HTQJ94E1OS70HRFEC8I" localSheetId="3" hidden="1">Weekly by #REF!</definedName>
    <definedName name="BExS4CLN8HTQJ94E1OS70HRFEC8I" localSheetId="7" hidden="1">Weekly by #REF!</definedName>
    <definedName name="BExS4CLN8HTQJ94E1OS70HRFEC8I" localSheetId="2" hidden="1">Weekly by #REF!</definedName>
    <definedName name="BExS4CLN8HTQJ94E1OS70HRFEC8I" localSheetId="6" hidden="1">Weekly by #REF!</definedName>
    <definedName name="BExS4CLN8HTQJ94E1OS70HRFEC8I" hidden="1">Weekly by #REF!</definedName>
    <definedName name="BExS4IAMWTT1CKFNHGN8SPWSD3QR" localSheetId="0" hidden="1">#REF!</definedName>
    <definedName name="BExS4IAMWTT1CKFNHGN8SPWSD3QR" localSheetId="2" hidden="1">#REF!</definedName>
    <definedName name="BExS4IAMWTT1CKFNHGN8SPWSD3QR" hidden="1">#REF!</definedName>
    <definedName name="BExS4UFKWNI7QAX0PTOVVBUB0LP8" localSheetId="0" hidden="1">#REF!</definedName>
    <definedName name="BExS4UFKWNI7QAX0PTOVVBUB0LP8" localSheetId="2" hidden="1">#REF!</definedName>
    <definedName name="BExS4UFKWNI7QAX0PTOVVBUB0LP8" hidden="1">#REF!</definedName>
    <definedName name="BExS510VZ1N9MMBQRIAOLSNI450T" localSheetId="0" hidden="1">#REF!</definedName>
    <definedName name="BExS510VZ1N9MMBQRIAOLSNI450T" hidden="1">#REF!</definedName>
    <definedName name="BExS5BYO19H5ZKO75ERO60KF7DQH" localSheetId="0" hidden="1">#REF!</definedName>
    <definedName name="BExS5BYO19H5ZKO75ERO60KF7DQH" hidden="1">#REF!</definedName>
    <definedName name="BExS5SG3GBHVDR15MOYHV230A4BG" localSheetId="0" hidden="1">#REF!</definedName>
    <definedName name="BExS5SG3GBHVDR15MOYHV230A4BG" hidden="1">#REF!</definedName>
    <definedName name="BExS5TY0F5R1ZXIVJHAAVVG81G5H" localSheetId="0" hidden="1">#REF!</definedName>
    <definedName name="BExS5TY0F5R1ZXIVJHAAVVG81G5H" hidden="1">#REF!</definedName>
    <definedName name="BExS60U715R4AEHM2G9VUHLTYRCY" localSheetId="0" hidden="1">Weekly by #REF!</definedName>
    <definedName name="BExS60U715R4AEHM2G9VUHLTYRCY" localSheetId="1" hidden="1">Weekly by #REF!</definedName>
    <definedName name="BExS60U715R4AEHM2G9VUHLTYRCY" localSheetId="3" hidden="1">Weekly by #REF!</definedName>
    <definedName name="BExS60U715R4AEHM2G9VUHLTYRCY" localSheetId="7" hidden="1">Weekly by #REF!</definedName>
    <definedName name="BExS60U715R4AEHM2G9VUHLTYRCY" localSheetId="2" hidden="1">Weekly by #REF!</definedName>
    <definedName name="BExS60U715R4AEHM2G9VUHLTYRCY" localSheetId="6" hidden="1">Weekly by #REF!</definedName>
    <definedName name="BExS60U715R4AEHM2G9VUHLTYRCY" hidden="1">Weekly by #REF!</definedName>
    <definedName name="BExS656PCTMR2NPL2RX0Y3HAE8H2" localSheetId="0" hidden="1">#REF!</definedName>
    <definedName name="BExS656PCTMR2NPL2RX0Y3HAE8H2" localSheetId="2" hidden="1">#REF!</definedName>
    <definedName name="BExS656PCTMR2NPL2RX0Y3HAE8H2" hidden="1">#REF!</definedName>
    <definedName name="BExS6GKL6HNPDDG1R3OJ79HFEK6J" localSheetId="0" hidden="1">#REF!</definedName>
    <definedName name="BExS6GKL6HNPDDG1R3OJ79HFEK6J" localSheetId="2" hidden="1">#REF!</definedName>
    <definedName name="BExS6GKL6HNPDDG1R3OJ79HFEK6J" hidden="1">#REF!</definedName>
    <definedName name="BExS6IYVVGGZJXGGYPX7UNAQOB2X" localSheetId="0" hidden="1">#REF!</definedName>
    <definedName name="BExS6IYVVGGZJXGGYPX7UNAQOB2X" hidden="1">#REF!</definedName>
    <definedName name="BExS6KGU63BUOXCPJ9TSCDS9ZY2T" localSheetId="0" hidden="1">#REF!</definedName>
    <definedName name="BExS6KGU63BUOXCPJ9TSCDS9ZY2T" hidden="1">#REF!</definedName>
    <definedName name="BExS79HUY1GAJJP4VMMZHU8UJI6O" localSheetId="0" hidden="1">#REF!</definedName>
    <definedName name="BExS79HUY1GAJJP4VMMZHU8UJI6O" hidden="1">#REF!</definedName>
    <definedName name="BExS7DU7IOWG5MHL28Z4KOM2V434" localSheetId="0" hidden="1">#REF!</definedName>
    <definedName name="BExS7DU7IOWG5MHL28Z4KOM2V434" hidden="1">#REF!</definedName>
    <definedName name="BExS7G38ASJVTDO2IAPA36EB2SPF" localSheetId="0" hidden="1">#REF!</definedName>
    <definedName name="BExS7G38ASJVTDO2IAPA36EB2SPF" hidden="1">#REF!</definedName>
    <definedName name="BExS7HQI0PBQNP39JUZ69RMC7M7N" localSheetId="0" hidden="1">#REF!</definedName>
    <definedName name="BExS7HQI0PBQNP39JUZ69RMC7M7N" hidden="1">#REF!</definedName>
    <definedName name="BExS7TVIHJQ54K2Q7S5TI60WWB6A" localSheetId="0" hidden="1">#REF!</definedName>
    <definedName name="BExS7TVIHJQ54K2Q7S5TI60WWB6A" hidden="1">#REF!</definedName>
    <definedName name="BExS7YIO3RHZ2SRR5FQ3TE00UQCE" localSheetId="0" hidden="1">Weekly by #REF!</definedName>
    <definedName name="BExS7YIO3RHZ2SRR5FQ3TE00UQCE" localSheetId="1" hidden="1">Weekly by #REF!</definedName>
    <definedName name="BExS7YIO3RHZ2SRR5FQ3TE00UQCE" localSheetId="3" hidden="1">Weekly by #REF!</definedName>
    <definedName name="BExS7YIO3RHZ2SRR5FQ3TE00UQCE" localSheetId="7" hidden="1">Weekly by #REF!</definedName>
    <definedName name="BExS7YIO3RHZ2SRR5FQ3TE00UQCE" localSheetId="2" hidden="1">Weekly by #REF!</definedName>
    <definedName name="BExS7YIO3RHZ2SRR5FQ3TE00UQCE" localSheetId="6" hidden="1">Weekly by #REF!</definedName>
    <definedName name="BExS7YIO3RHZ2SRR5FQ3TE00UQCE" hidden="1">Weekly by #REF!</definedName>
    <definedName name="BExS80RP8GCPNFHHGN85D3RLJQWW" localSheetId="0" hidden="1">#REF!</definedName>
    <definedName name="BExS80RP8GCPNFHHGN85D3RLJQWW" localSheetId="2" hidden="1">#REF!</definedName>
    <definedName name="BExS80RP8GCPNFHHGN85D3RLJQWW" hidden="1">#REF!</definedName>
    <definedName name="BExS8K8UA11RDV8LG8CMBWSDIGB3" localSheetId="0" hidden="1">#REF!</definedName>
    <definedName name="BExS8K8UA11RDV8LG8CMBWSDIGB3" localSheetId="2" hidden="1">#REF!</definedName>
    <definedName name="BExS8K8UA11RDV8LG8CMBWSDIGB3" hidden="1">#REF!</definedName>
    <definedName name="BExS8LQTNX922FCMI8FORKMV1ZCD" localSheetId="0" hidden="1">#REF!</definedName>
    <definedName name="BExS8LQTNX922FCMI8FORKMV1ZCD" hidden="1">#REF!</definedName>
    <definedName name="BExS8W8G0X4RIQXAZCCLUM05FF9P" localSheetId="0" hidden="1">#REF!</definedName>
    <definedName name="BExS8W8G0X4RIQXAZCCLUM05FF9P" hidden="1">#REF!</definedName>
    <definedName name="BExS90FHSHJ6PMC8EXOFOSK07MZF" localSheetId="0" hidden="1">#REF!</definedName>
    <definedName name="BExS90FHSHJ6PMC8EXOFOSK07MZF" hidden="1">#REF!</definedName>
    <definedName name="BExS970VMB40OE1CEB7FR2ZHFGZ0" localSheetId="0" hidden="1">#REF!</definedName>
    <definedName name="BExS970VMB40OE1CEB7FR2ZHFGZ0" hidden="1">#REF!</definedName>
    <definedName name="BExSAA4TQVBEW9YTSAC7IB9WGR0N" localSheetId="0" hidden="1">#REF!</definedName>
    <definedName name="BExSAA4TQVBEW9YTSAC7IB9WGR0N" hidden="1">#REF!</definedName>
    <definedName name="BExSAT5WZEM6Z4GG7X374JPK349Y" localSheetId="0" hidden="1">#REF!</definedName>
    <definedName name="BExSAT5WZEM6Z4GG7X374JPK349Y" hidden="1">#REF!</definedName>
    <definedName name="BExSBLHMDPAU7TLJHXOGAD2L0A74" localSheetId="0" hidden="1">#REF!</definedName>
    <definedName name="BExSBLHMDPAU7TLJHXOGAD2L0A74" hidden="1">#REF!</definedName>
    <definedName name="BExSBMU3BNCXPYJKNARN9Y1AGFKV" localSheetId="0" hidden="1">Weekly by #REF!</definedName>
    <definedName name="BExSBMU3BNCXPYJKNARN9Y1AGFKV" localSheetId="1" hidden="1">Weekly by #REF!</definedName>
    <definedName name="BExSBMU3BNCXPYJKNARN9Y1AGFKV" localSheetId="3" hidden="1">Weekly by #REF!</definedName>
    <definedName name="BExSBMU3BNCXPYJKNARN9Y1AGFKV" localSheetId="7" hidden="1">Weekly by #REF!</definedName>
    <definedName name="BExSBMU3BNCXPYJKNARN9Y1AGFKV" localSheetId="2" hidden="1">Weekly by #REF!</definedName>
    <definedName name="BExSBMU3BNCXPYJKNARN9Y1AGFKV" localSheetId="6" hidden="1">Weekly by #REF!</definedName>
    <definedName name="BExSBMU3BNCXPYJKNARN9Y1AGFKV" hidden="1">Weekly by #REF!</definedName>
    <definedName name="BExSBSJ3AFPYAIP68SEY2BFFNK3C" localSheetId="0" hidden="1">Weekly by #REF!</definedName>
    <definedName name="BExSBSJ3AFPYAIP68SEY2BFFNK3C" localSheetId="1" hidden="1">Weekly by #REF!</definedName>
    <definedName name="BExSBSJ3AFPYAIP68SEY2BFFNK3C" localSheetId="3" hidden="1">Weekly by #REF!</definedName>
    <definedName name="BExSBSJ3AFPYAIP68SEY2BFFNK3C" localSheetId="7" hidden="1">Weekly by #REF!</definedName>
    <definedName name="BExSBSJ3AFPYAIP68SEY2BFFNK3C" localSheetId="2" hidden="1">Weekly by #REF!</definedName>
    <definedName name="BExSBSJ3AFPYAIP68SEY2BFFNK3C" localSheetId="6" hidden="1">Weekly by #REF!</definedName>
    <definedName name="BExSBSJ3AFPYAIP68SEY2BFFNK3C" hidden="1">Weekly by #REF!</definedName>
    <definedName name="BExSC9M353D3EKCXI5GRYJZYPZYZ" localSheetId="0" hidden="1">#REF!</definedName>
    <definedName name="BExSC9M353D3EKCXI5GRYJZYPZYZ" localSheetId="2" hidden="1">#REF!</definedName>
    <definedName name="BExSC9M353D3EKCXI5GRYJZYPZYZ" hidden="1">#REF!</definedName>
    <definedName name="BExSD16RWPJ4BKJERNVKGA3W1V8N" localSheetId="0" hidden="1">#REF!</definedName>
    <definedName name="BExSD16RWPJ4BKJERNVKGA3W1V8N" localSheetId="2" hidden="1">#REF!</definedName>
    <definedName name="BExSD16RWPJ4BKJERNVKGA3W1V8N" hidden="1">#REF!</definedName>
    <definedName name="BExSDJ5ZE3T46HSF6W0OXL80TXQG" localSheetId="0" hidden="1">#REF!</definedName>
    <definedName name="BExSDJ5ZE3T46HSF6W0OXL80TXQG" hidden="1">#REF!</definedName>
    <definedName name="BExSEB1ELM7LMEQL1PMX4X1Q8CTS" localSheetId="0" hidden="1">Weekly by #REF!</definedName>
    <definedName name="BExSEB1ELM7LMEQL1PMX4X1Q8CTS" localSheetId="1" hidden="1">Weekly by #REF!</definedName>
    <definedName name="BExSEB1ELM7LMEQL1PMX4X1Q8CTS" localSheetId="3" hidden="1">Weekly by #REF!</definedName>
    <definedName name="BExSEB1ELM7LMEQL1PMX4X1Q8CTS" localSheetId="7" hidden="1">Weekly by #REF!</definedName>
    <definedName name="BExSEB1ELM7LMEQL1PMX4X1Q8CTS" localSheetId="2" hidden="1">Weekly by #REF!</definedName>
    <definedName name="BExSEB1ELM7LMEQL1PMX4X1Q8CTS" localSheetId="6" hidden="1">Weekly by #REF!</definedName>
    <definedName name="BExSEB1ELM7LMEQL1PMX4X1Q8CTS" hidden="1">Weekly by #REF!</definedName>
    <definedName name="BExSFXHEOQACS563S2Q51STT4H08" localSheetId="0" hidden="1">#REF!</definedName>
    <definedName name="BExSFXHEOQACS563S2Q51STT4H08" localSheetId="2" hidden="1">#REF!</definedName>
    <definedName name="BExSFXHEOQACS563S2Q51STT4H08" hidden="1">#REF!</definedName>
    <definedName name="BExSFXMPN5DYWL2UHWTC96N21Y3X" localSheetId="0" hidden="1">#REF!</definedName>
    <definedName name="BExSFXMPN5DYWL2UHWTC96N21Y3X" localSheetId="2" hidden="1">#REF!</definedName>
    <definedName name="BExSFXMPN5DYWL2UHWTC96N21Y3X" hidden="1">#REF!</definedName>
    <definedName name="BExSGEEWSM6V6B3J3F29MN7WAH14" localSheetId="0" hidden="1">#REF!</definedName>
    <definedName name="BExSGEEWSM6V6B3J3F29MN7WAH14" hidden="1">#REF!</definedName>
    <definedName name="BExSGJT4LF1CNH5RN5GZ373ISW9D" localSheetId="0" hidden="1">#REF!</definedName>
    <definedName name="BExSGJT4LF1CNH5RN5GZ373ISW9D" hidden="1">#REF!</definedName>
    <definedName name="BExSH4HLTQVL4MI545VJL4WFN9U2" localSheetId="0" hidden="1">#REF!</definedName>
    <definedName name="BExSH4HLTQVL4MI545VJL4WFN9U2" hidden="1">#REF!</definedName>
    <definedName name="BExSH4HMJS0TXSYHRWJRFTJ7NOSN" localSheetId="0" hidden="1">#REF!</definedName>
    <definedName name="BExSH4HMJS0TXSYHRWJRFTJ7NOSN" hidden="1">#REF!</definedName>
    <definedName name="BExSHDS3RJMD6MEJ67RL63M0SEIC" localSheetId="0" hidden="1">#REF!</definedName>
    <definedName name="BExSHDS3RJMD6MEJ67RL63M0SEIC" hidden="1">#REF!</definedName>
    <definedName name="BExSHUKBQVT2G9G0K9ORVIJO6TU8" localSheetId="0" hidden="1">#REF!</definedName>
    <definedName name="BExSHUKBQVT2G9G0K9ORVIJO6TU8" hidden="1">#REF!</definedName>
    <definedName name="BExTUOOMC43GH95KQ1PJ86MN9XDF" localSheetId="0" hidden="1">#REF!</definedName>
    <definedName name="BExTUOOMC43GH95KQ1PJ86MN9XDF" hidden="1">#REF!</definedName>
    <definedName name="BExTUQC12D67B0T5LXHNB2IX16LE" localSheetId="0" hidden="1">#REF!</definedName>
    <definedName name="BExTUQC12D67B0T5LXHNB2IX16LE" hidden="1">#REF!</definedName>
    <definedName name="BExTUY9WNSJ91GV8CP0SKJTEIV82" localSheetId="0" hidden="1">#REF!</definedName>
    <definedName name="BExTUY9WNSJ91GV8CP0SKJTEIV82" localSheetId="2" hidden="1">#REF!</definedName>
    <definedName name="BExTUY9WNSJ91GV8CP0SKJTEIV82" hidden="1">#REF!</definedName>
    <definedName name="BExTVNQZKATJ0A40FX2VIAZEEYJI" localSheetId="0" hidden="1">#REF!</definedName>
    <definedName name="BExTVNQZKATJ0A40FX2VIAZEEYJI" hidden="1">#REF!</definedName>
    <definedName name="BExTVTLH2E1SH7Z2XBYHUOQBWWLI" localSheetId="0" hidden="1">#REF!</definedName>
    <definedName name="BExTVTLH2E1SH7Z2XBYHUOQBWWLI" hidden="1">#REF!</definedName>
    <definedName name="BExTWFX8OYD9IX59PTP73YAC8O9G" localSheetId="0" hidden="1">#REF!</definedName>
    <definedName name="BExTWFX8OYD9IX59PTP73YAC8O9G" hidden="1">#REF!</definedName>
    <definedName name="BExTWI0R31187AOWYLZ1W1WNI84K" localSheetId="0" hidden="1">#REF!</definedName>
    <definedName name="BExTWI0R31187AOWYLZ1W1WNI84K" hidden="1">#REF!</definedName>
    <definedName name="BExTWJTGTEM42YMMOXES1DOPT9UG" localSheetId="0" hidden="1">#REF!</definedName>
    <definedName name="BExTWJTGTEM42YMMOXES1DOPT9UG" hidden="1">#REF!</definedName>
    <definedName name="BExTWTERU1SE8R3LRC2C4HQMOIB1" localSheetId="0" hidden="1">#REF!</definedName>
    <definedName name="BExTWTERU1SE8R3LRC2C4HQMOIB1" hidden="1">#REF!</definedName>
    <definedName name="BExTXSGYX5392LBXQJDKN9GM6GP9" localSheetId="0" hidden="1">Weekly by #REF!</definedName>
    <definedName name="BExTXSGYX5392LBXQJDKN9GM6GP9" localSheetId="1" hidden="1">Weekly by #REF!</definedName>
    <definedName name="BExTXSGYX5392LBXQJDKN9GM6GP9" localSheetId="3" hidden="1">Weekly by #REF!</definedName>
    <definedName name="BExTXSGYX5392LBXQJDKN9GM6GP9" localSheetId="7" hidden="1">Weekly by #REF!</definedName>
    <definedName name="BExTXSGYX5392LBXQJDKN9GM6GP9" localSheetId="2" hidden="1">Weekly by #REF!</definedName>
    <definedName name="BExTXSGYX5392LBXQJDKN9GM6GP9" localSheetId="6" hidden="1">Weekly by #REF!</definedName>
    <definedName name="BExTXSGYX5392LBXQJDKN9GM6GP9" hidden="1">Weekly by #REF!</definedName>
    <definedName name="BExTXZD6DNHUK63ORIVZQR52BQDB" localSheetId="0" hidden="1">#REF!</definedName>
    <definedName name="BExTXZD6DNHUK63ORIVZQR52BQDB" localSheetId="2" hidden="1">#REF!</definedName>
    <definedName name="BExTXZD6DNHUK63ORIVZQR52BQDB" hidden="1">#REF!</definedName>
    <definedName name="BExTY1WXTBXUD0M1NWE12NMAUGCO" localSheetId="0" hidden="1">#REF!</definedName>
    <definedName name="BExTY1WXTBXUD0M1NWE12NMAUGCO" localSheetId="2" hidden="1">#REF!</definedName>
    <definedName name="BExTY1WXTBXUD0M1NWE12NMAUGCO" hidden="1">#REF!</definedName>
    <definedName name="BExTY8T41OBZ32MRCWT76H4XO1YE" localSheetId="0" hidden="1">#REF!</definedName>
    <definedName name="BExTY8T41OBZ32MRCWT76H4XO1YE" hidden="1">#REF!</definedName>
    <definedName name="BExTYIZRZ3YNYQKLALPU5HPR2DOH" localSheetId="0" hidden="1">#REF!</definedName>
    <definedName name="BExTYIZRZ3YNYQKLALPU5HPR2DOH" hidden="1">#REF!</definedName>
    <definedName name="BExU091A10QVE7583Q5CAHW138RD" localSheetId="0" hidden="1">#REF!</definedName>
    <definedName name="BExU091A10QVE7583Q5CAHW138RD" hidden="1">#REF!</definedName>
    <definedName name="BExU0FMLYKBHXH0JHAD0FA64EF92" localSheetId="0" hidden="1">#REF!</definedName>
    <definedName name="BExU0FMLYKBHXH0JHAD0FA64EF92" hidden="1">#REF!</definedName>
    <definedName name="BExU0U0J8Q06GJAGHHN9X5FXNZL3" localSheetId="0" hidden="1">#REF!</definedName>
    <definedName name="BExU0U0J8Q06GJAGHHN9X5FXNZL3" hidden="1">#REF!</definedName>
    <definedName name="BExU1DN4RELJSQTQUF8YK7BNGXKO" localSheetId="0" hidden="1">#REF!</definedName>
    <definedName name="BExU1DN4RELJSQTQUF8YK7BNGXKO" hidden="1">#REF!</definedName>
    <definedName name="BExU2941Z7GTMQ5O1VVPEU7YRR7P" localSheetId="0" hidden="1">#REF!</definedName>
    <definedName name="BExU2941Z7GTMQ5O1VVPEU7YRR7P" hidden="1">#REF!</definedName>
    <definedName name="BExU3D9R4DRJADX0E7E2OZ3T6J9D" localSheetId="0" hidden="1">#REF!</definedName>
    <definedName name="BExU3D9R4DRJADX0E7E2OZ3T6J9D" hidden="1">#REF!</definedName>
    <definedName name="BExU3HBGOXNJN5MS2UX8A2S3C0GL" localSheetId="0" hidden="1">#REF!</definedName>
    <definedName name="BExU3HBGOXNJN5MS2UX8A2S3C0GL" hidden="1">#REF!</definedName>
    <definedName name="BExU3HX1IEJGNDJI6N6CLR8ZJK9D" localSheetId="0" hidden="1">#REF!</definedName>
    <definedName name="BExU3HX1IEJGNDJI6N6CLR8ZJK9D" hidden="1">#REF!</definedName>
    <definedName name="BExU3QWQVA35KFNEQYRLU0ZG2TZ0" localSheetId="0" hidden="1">#REF!</definedName>
    <definedName name="BExU3QWQVA35KFNEQYRLU0ZG2TZ0" hidden="1">#REF!</definedName>
    <definedName name="BExU4JTVA435DV4G5Y6DGJQWPBZU" localSheetId="0" hidden="1">Weekly by #REF!</definedName>
    <definedName name="BExU4JTVA435DV4G5Y6DGJQWPBZU" localSheetId="1" hidden="1">Weekly by #REF!</definedName>
    <definedName name="BExU4JTVA435DV4G5Y6DGJQWPBZU" localSheetId="3" hidden="1">Weekly by #REF!</definedName>
    <definedName name="BExU4JTVA435DV4G5Y6DGJQWPBZU" localSheetId="7" hidden="1">Weekly by #REF!</definedName>
    <definedName name="BExU4JTVA435DV4G5Y6DGJQWPBZU" localSheetId="2" hidden="1">Weekly by #REF!</definedName>
    <definedName name="BExU4JTVA435DV4G5Y6DGJQWPBZU" localSheetId="6" hidden="1">Weekly by #REF!</definedName>
    <definedName name="BExU4JTVA435DV4G5Y6DGJQWPBZU" hidden="1">Weekly by #REF!</definedName>
    <definedName name="BExU4MIZMMFZZWTK4WHGFZSMWPS8" localSheetId="0" hidden="1">#REF!</definedName>
    <definedName name="BExU4MIZMMFZZWTK4WHGFZSMWPS8" localSheetId="2" hidden="1">#REF!</definedName>
    <definedName name="BExU4MIZMMFZZWTK4WHGFZSMWPS8" hidden="1">#REF!</definedName>
    <definedName name="BExU4URMLNRG3O4Q191YL3JICQO9" localSheetId="0" hidden="1">Weekly by #REF!</definedName>
    <definedName name="BExU4URMLNRG3O4Q191YL3JICQO9" localSheetId="1" hidden="1">Weekly by #REF!</definedName>
    <definedName name="BExU4URMLNRG3O4Q191YL3JICQO9" localSheetId="3" hidden="1">Weekly by #REF!</definedName>
    <definedName name="BExU4URMLNRG3O4Q191YL3JICQO9" localSheetId="7" hidden="1">Weekly by #REF!</definedName>
    <definedName name="BExU4URMLNRG3O4Q191YL3JICQO9" localSheetId="2" hidden="1">Weekly by #REF!</definedName>
    <definedName name="BExU4URMLNRG3O4Q191YL3JICQO9" localSheetId="6" hidden="1">Weekly by #REF!</definedName>
    <definedName name="BExU4URMLNRG3O4Q191YL3JICQO9" hidden="1">Weekly by #REF!</definedName>
    <definedName name="BExU4XWZRGDFLCPK6HI2B3EXIQNU" localSheetId="0" hidden="1">#REF!</definedName>
    <definedName name="BExU4XWZRGDFLCPK6HI2B3EXIQNU" localSheetId="2" hidden="1">#REF!</definedName>
    <definedName name="BExU4XWZRGDFLCPK6HI2B3EXIQNU" hidden="1">#REF!</definedName>
    <definedName name="BExU529CJ5AWHU0WNPZUYLVVT9GO" localSheetId="0" hidden="1">#REF!</definedName>
    <definedName name="BExU529CJ5AWHU0WNPZUYLVVT9GO" localSheetId="2" hidden="1">#REF!</definedName>
    <definedName name="BExU529CJ5AWHU0WNPZUYLVVT9GO" hidden="1">#REF!</definedName>
    <definedName name="BExU5N8L0E2WDEBA4ITD4A8FT8ON" localSheetId="0" hidden="1">#REF!</definedName>
    <definedName name="BExU5N8L0E2WDEBA4ITD4A8FT8ON" hidden="1">#REF!</definedName>
    <definedName name="BExU5TDW60U6DGV3RHR9DU3PV85W" localSheetId="0" hidden="1">#REF!</definedName>
    <definedName name="BExU5TDW60U6DGV3RHR9DU3PV85W" hidden="1">#REF!</definedName>
    <definedName name="BExU67BIP4IDGLTCZMUKNEA7DFWZ" localSheetId="0" hidden="1">#REF!</definedName>
    <definedName name="BExU67BIP4IDGLTCZMUKNEA7DFWZ" hidden="1">#REF!</definedName>
    <definedName name="BExU68TGC2RHQAVP2W2P1FWJ8XWM" localSheetId="0" hidden="1">#REF!</definedName>
    <definedName name="BExU68TGC2RHQAVP2W2P1FWJ8XWM" hidden="1">#REF!</definedName>
    <definedName name="BExU6MWL30NHY8I1G97R2SU1TD1Y" localSheetId="0" hidden="1">#REF!</definedName>
    <definedName name="BExU6MWL30NHY8I1G97R2SU1TD1Y" hidden="1">#REF!</definedName>
    <definedName name="BExU6QNDHGHWD7C8WTP84EL0AS0U" localSheetId="0" hidden="1">Weekly by #REF!</definedName>
    <definedName name="BExU6QNDHGHWD7C8WTP84EL0AS0U" localSheetId="1" hidden="1">Weekly by #REF!</definedName>
    <definedName name="BExU6QNDHGHWD7C8WTP84EL0AS0U" localSheetId="3" hidden="1">Weekly by #REF!</definedName>
    <definedName name="BExU6QNDHGHWD7C8WTP84EL0AS0U" localSheetId="7" hidden="1">Weekly by #REF!</definedName>
    <definedName name="BExU6QNDHGHWD7C8WTP84EL0AS0U" localSheetId="2" hidden="1">Weekly by #REF!</definedName>
    <definedName name="BExU6QNDHGHWD7C8WTP84EL0AS0U" localSheetId="6" hidden="1">Weekly by #REF!</definedName>
    <definedName name="BExU6QNDHGHWD7C8WTP84EL0AS0U" hidden="1">Weekly by #REF!</definedName>
    <definedName name="BExU77L1ZM2BRJB4M5RWTLREPRBO" localSheetId="0" hidden="1">#REF!</definedName>
    <definedName name="BExU77L1ZM2BRJB4M5RWTLREPRBO" localSheetId="2" hidden="1">#REF!</definedName>
    <definedName name="BExU77L1ZM2BRJB4M5RWTLREPRBO" hidden="1">#REF!</definedName>
    <definedName name="BExU7DQ51YCEX9WP8U4SWEI8EU95" localSheetId="0" hidden="1">#REF!</definedName>
    <definedName name="BExU7DQ51YCEX9WP8U4SWEI8EU95" localSheetId="2" hidden="1">#REF!</definedName>
    <definedName name="BExU7DQ51YCEX9WP8U4SWEI8EU95" hidden="1">#REF!</definedName>
    <definedName name="BExU7DVMNLPZ8DIZKTOS0GLZESXN" localSheetId="0" hidden="1">#REF!</definedName>
    <definedName name="BExU7DVMNLPZ8DIZKTOS0GLZESXN" hidden="1">#REF!</definedName>
    <definedName name="BExU7VUWIK7942LR3XULMKX3BJWZ" localSheetId="0" hidden="1">#REF!</definedName>
    <definedName name="BExU7VUWIK7942LR3XULMKX3BJWZ" hidden="1">#REF!</definedName>
    <definedName name="BExU85AUW6RSKQIVXFO60KKE5T20" localSheetId="0" hidden="1">#REF!</definedName>
    <definedName name="BExU85AUW6RSKQIVXFO60KKE5T20" hidden="1">#REF!</definedName>
    <definedName name="BExU873K2ANL61JM42BBLBUZRV1R" localSheetId="0" hidden="1">#REF!</definedName>
    <definedName name="BExU873K2ANL61JM42BBLBUZRV1R" hidden="1">#REF!</definedName>
    <definedName name="BExU89XZ24NAEGSD8GN6NKO3596G" localSheetId="0" hidden="1">#REF!</definedName>
    <definedName name="BExU89XZ24NAEGSD8GN6NKO3596G" hidden="1">#REF!</definedName>
    <definedName name="BExU8FSGATXULCM675VF1KYAHGP1" localSheetId="0" hidden="1">#REF!</definedName>
    <definedName name="BExU8FSGATXULCM675VF1KYAHGP1" hidden="1">#REF!</definedName>
    <definedName name="BExU8Q9XLS3KH24CLQ4M5IJYXT8X" localSheetId="0" hidden="1">Employee Detail #REF!</definedName>
    <definedName name="BExU8Q9XLS3KH24CLQ4M5IJYXT8X" localSheetId="1" hidden="1">Employee Detail #REF!</definedName>
    <definedName name="BExU8Q9XLS3KH24CLQ4M5IJYXT8X" localSheetId="3" hidden="1">Employee Detail #REF!</definedName>
    <definedName name="BExU8Q9XLS3KH24CLQ4M5IJYXT8X" localSheetId="7" hidden="1">Employee Detail #REF!</definedName>
    <definedName name="BExU8Q9XLS3KH24CLQ4M5IJYXT8X" localSheetId="2" hidden="1">Employee Detail #REF!</definedName>
    <definedName name="BExU8Q9XLS3KH24CLQ4M5IJYXT8X" localSheetId="6" hidden="1">Employee Detail #REF!</definedName>
    <definedName name="BExU8Q9XLS3KH24CLQ4M5IJYXT8X" hidden="1">Employee Detail #REF!</definedName>
    <definedName name="BExU8S2O68RLH6LUDGJKFXMKKE5J" localSheetId="0" hidden="1">#REF!</definedName>
    <definedName name="BExU8S2O68RLH6LUDGJKFXMKKE5J" localSheetId="2" hidden="1">#REF!</definedName>
    <definedName name="BExU8S2O68RLH6LUDGJKFXMKKE5J" hidden="1">#REF!</definedName>
    <definedName name="BExU8V2QEONF9R0X2D3R15MZ0GVY" localSheetId="0" hidden="1">#REF!</definedName>
    <definedName name="BExU8V2QEONF9R0X2D3R15MZ0GVY" localSheetId="2" hidden="1">#REF!</definedName>
    <definedName name="BExU8V2QEONF9R0X2D3R15MZ0GVY" hidden="1">#REF!</definedName>
    <definedName name="BExU9B98E0WUJ89KDTIKL2K0JEM7" localSheetId="0" hidden="1">#REF!</definedName>
    <definedName name="BExU9B98E0WUJ89KDTIKL2K0JEM7" hidden="1">#REF!</definedName>
    <definedName name="BExU9JCOJEJO7TDSQQ0BBRV7BNUF" localSheetId="0" hidden="1">Weekly by #REF!</definedName>
    <definedName name="BExU9JCOJEJO7TDSQQ0BBRV7BNUF" localSheetId="1" hidden="1">Weekly by #REF!</definedName>
    <definedName name="BExU9JCOJEJO7TDSQQ0BBRV7BNUF" localSheetId="3" hidden="1">Weekly by #REF!</definedName>
    <definedName name="BExU9JCOJEJO7TDSQQ0BBRV7BNUF" localSheetId="7" hidden="1">Weekly by #REF!</definedName>
    <definedName name="BExU9JCOJEJO7TDSQQ0BBRV7BNUF" localSheetId="2" hidden="1">Weekly by #REF!</definedName>
    <definedName name="BExU9JCOJEJO7TDSQQ0BBRV7BNUF" localSheetId="6" hidden="1">Weekly by #REF!</definedName>
    <definedName name="BExU9JCOJEJO7TDSQQ0BBRV7BNUF" hidden="1">Weekly by #REF!</definedName>
    <definedName name="BExUAXUNIM398WJHCEYHU572IVWU" localSheetId="0" hidden="1">Weekly by #REF!</definedName>
    <definedName name="BExUAXUNIM398WJHCEYHU572IVWU" localSheetId="1" hidden="1">Weekly by #REF!</definedName>
    <definedName name="BExUAXUNIM398WJHCEYHU572IVWU" localSheetId="3" hidden="1">Weekly by #REF!</definedName>
    <definedName name="BExUAXUNIM398WJHCEYHU572IVWU" localSheetId="7" hidden="1">Weekly by #REF!</definedName>
    <definedName name="BExUAXUNIM398WJHCEYHU572IVWU" localSheetId="2" hidden="1">Weekly by #REF!</definedName>
    <definedName name="BExUAXUNIM398WJHCEYHU572IVWU" localSheetId="6" hidden="1">Weekly by #REF!</definedName>
    <definedName name="BExUAXUNIM398WJHCEYHU572IVWU" hidden="1">Weekly by #REF!</definedName>
    <definedName name="BExUB33FJHDI3XKPQSVL75HO9RQ3" localSheetId="0" hidden="1">#REF!</definedName>
    <definedName name="BExUB33FJHDI3XKPQSVL75HO9RQ3" localSheetId="2" hidden="1">#REF!</definedName>
    <definedName name="BExUB33FJHDI3XKPQSVL75HO9RQ3" hidden="1">#REF!</definedName>
    <definedName name="BExUB3JHDL430WKBOVB9KNTSWU3Q" localSheetId="0" hidden="1">#REF!</definedName>
    <definedName name="BExUB3JHDL430WKBOVB9KNTSWU3Q" localSheetId="2" hidden="1">#REF!</definedName>
    <definedName name="BExUB3JHDL430WKBOVB9KNTSWU3Q" hidden="1">#REF!</definedName>
    <definedName name="BExUBN64LPXX4Z738WO97YQ5MXMX" localSheetId="0" hidden="1">#REF!</definedName>
    <definedName name="BExUBN64LPXX4Z738WO97YQ5MXMX" hidden="1">#REF!</definedName>
    <definedName name="BExUBNRVHXRIJBHKA2TWL10IFYUF" localSheetId="0" hidden="1">#REF!</definedName>
    <definedName name="BExUBNRVHXRIJBHKA2TWL10IFYUF" hidden="1">#REF!</definedName>
    <definedName name="BExUBPV8GB3LLCKQZCK9OFOFPN4G" localSheetId="0" hidden="1">#REF!</definedName>
    <definedName name="BExUBPV8GB3LLCKQZCK9OFOFPN4G" hidden="1">#REF!</definedName>
    <definedName name="BExUCAEGQZ6PB4AG64761OAR17RY" localSheetId="0" hidden="1">#REF!</definedName>
    <definedName name="BExUCAEGQZ6PB4AG64761OAR17RY" hidden="1">#REF!</definedName>
    <definedName name="BExUCS8BRBYHSEG6P5HKZAM7CTOM" localSheetId="0" hidden="1">#REF!</definedName>
    <definedName name="BExUCS8BRBYHSEG6P5HKZAM7CTOM" hidden="1">#REF!</definedName>
    <definedName name="BExUDQ3JPLF15XXZMZ6T43VLXCV3" localSheetId="0" hidden="1">#REF!</definedName>
    <definedName name="BExUDQ3JPLF15XXZMZ6T43VLXCV3" hidden="1">#REF!</definedName>
    <definedName name="BExUE7S6MSU958CKTBKGTMECGNU3" localSheetId="0" hidden="1">Weekly by #REF!</definedName>
    <definedName name="BExUE7S6MSU958CKTBKGTMECGNU3" localSheetId="1" hidden="1">Weekly by #REF!</definedName>
    <definedName name="BExUE7S6MSU958CKTBKGTMECGNU3" localSheetId="3" hidden="1">Weekly by #REF!</definedName>
    <definedName name="BExUE7S6MSU958CKTBKGTMECGNU3" localSheetId="7" hidden="1">Weekly by #REF!</definedName>
    <definedName name="BExUE7S6MSU958CKTBKGTMECGNU3" localSheetId="2" hidden="1">Weekly by #REF!</definedName>
    <definedName name="BExUE7S6MSU958CKTBKGTMECGNU3" localSheetId="6" hidden="1">Weekly by #REF!</definedName>
    <definedName name="BExUE7S6MSU958CKTBKGTMECGNU3" hidden="1">Weekly by #REF!</definedName>
    <definedName name="BExVR15ITEN8TF2H5MGLG77YNGFE" localSheetId="0" hidden="1">#REF!</definedName>
    <definedName name="BExVR15ITEN8TF2H5MGLG77YNGFE" localSheetId="2" hidden="1">#REF!</definedName>
    <definedName name="BExVR15ITEN8TF2H5MGLG77YNGFE" hidden="1">#REF!</definedName>
    <definedName name="BExVR8NAH73TVNEQ6TXX8GAYA4RX" localSheetId="0" hidden="1">#REF!</definedName>
    <definedName name="BExVR8NAH73TVNEQ6TXX8GAYA4RX" localSheetId="2" hidden="1">#REF!</definedName>
    <definedName name="BExVR8NAH73TVNEQ6TXX8GAYA4RX" hidden="1">#REF!</definedName>
    <definedName name="BExVRGQLT9ZF65TKD0ARWGOQBMEJ" localSheetId="0" hidden="1">#REF!</definedName>
    <definedName name="BExVRGQLT9ZF65TKD0ARWGOQBMEJ" hidden="1">#REF!</definedName>
    <definedName name="BExVRYVBI357GFPODFN7ZC1BDYTU" localSheetId="0" hidden="1">Weekly by #REF!</definedName>
    <definedName name="BExVRYVBI357GFPODFN7ZC1BDYTU" localSheetId="1" hidden="1">Weekly by #REF!</definedName>
    <definedName name="BExVRYVBI357GFPODFN7ZC1BDYTU" localSheetId="3" hidden="1">Weekly by #REF!</definedName>
    <definedName name="BExVRYVBI357GFPODFN7ZC1BDYTU" localSheetId="7" hidden="1">Weekly by #REF!</definedName>
    <definedName name="BExVRYVBI357GFPODFN7ZC1BDYTU" localSheetId="2" hidden="1">Weekly by #REF!</definedName>
    <definedName name="BExVRYVBI357GFPODFN7ZC1BDYTU" localSheetId="6" hidden="1">Weekly by #REF!</definedName>
    <definedName name="BExVRYVBI357GFPODFN7ZC1BDYTU" hidden="1">Weekly by #REF!</definedName>
    <definedName name="BExVS6TAND82CBJNY4L4SO9LKEMV" localSheetId="0" hidden="1">#REF!</definedName>
    <definedName name="BExVS6TAND82CBJNY4L4SO9LKEMV" localSheetId="2" hidden="1">#REF!</definedName>
    <definedName name="BExVS6TAND82CBJNY4L4SO9LKEMV" hidden="1">#REF!</definedName>
    <definedName name="BExVT3XGC22T8Q9HDM3LIYNFIJV7" localSheetId="0" hidden="1">Weekly by #REF!</definedName>
    <definedName name="BExVT3XGC22T8Q9HDM3LIYNFIJV7" localSheetId="1" hidden="1">Weekly by #REF!</definedName>
    <definedName name="BExVT3XGC22T8Q9HDM3LIYNFIJV7" localSheetId="3" hidden="1">Weekly by #REF!</definedName>
    <definedName name="BExVT3XGC22T8Q9HDM3LIYNFIJV7" localSheetId="7" hidden="1">Weekly by #REF!</definedName>
    <definedName name="BExVT3XGC22T8Q9HDM3LIYNFIJV7" localSheetId="2" hidden="1">Weekly by #REF!</definedName>
    <definedName name="BExVT3XGC22T8Q9HDM3LIYNFIJV7" localSheetId="6" hidden="1">Weekly by #REF!</definedName>
    <definedName name="BExVT3XGC22T8Q9HDM3LIYNFIJV7" hidden="1">Weekly by #REF!</definedName>
    <definedName name="BExVTUAYUR922VXBNO4MN569BULR" localSheetId="0" hidden="1">#REF!</definedName>
    <definedName name="BExVTUAYUR922VXBNO4MN569BULR" localSheetId="2" hidden="1">#REF!</definedName>
    <definedName name="BExVTUAYUR922VXBNO4MN569BULR" hidden="1">#REF!</definedName>
    <definedName name="BExVTW3OZ04QHKTFPPDM5JDNT6C1" localSheetId="0" hidden="1">#REF!</definedName>
    <definedName name="BExVTW3OZ04QHKTFPPDM5JDNT6C1" localSheetId="2" hidden="1">#REF!</definedName>
    <definedName name="BExVTW3OZ04QHKTFPPDM5JDNT6C1" hidden="1">#REF!</definedName>
    <definedName name="BExVU6QMM5J49S1312H8AMNK3Y8U" localSheetId="0" hidden="1">#REF!</definedName>
    <definedName name="BExVU6QMM5J49S1312H8AMNK3Y8U" hidden="1">#REF!</definedName>
    <definedName name="BExVVA033OB71P301YYKYS90S2LK" localSheetId="0" hidden="1">#REF!</definedName>
    <definedName name="BExVVA033OB71P301YYKYS90S2LK" hidden="1">#REF!</definedName>
    <definedName name="BExVVG5757ZUCIOH6NI1OTZC4IUM" localSheetId="0" hidden="1">Weekly by #REF!</definedName>
    <definedName name="BExVVG5757ZUCIOH6NI1OTZC4IUM" localSheetId="1" hidden="1">Weekly by #REF!</definedName>
    <definedName name="BExVVG5757ZUCIOH6NI1OTZC4IUM" localSheetId="3" hidden="1">Weekly by #REF!</definedName>
    <definedName name="BExVVG5757ZUCIOH6NI1OTZC4IUM" localSheetId="7" hidden="1">Weekly by #REF!</definedName>
    <definedName name="BExVVG5757ZUCIOH6NI1OTZC4IUM" localSheetId="2" hidden="1">Weekly by #REF!</definedName>
    <definedName name="BExVVG5757ZUCIOH6NI1OTZC4IUM" localSheetId="6" hidden="1">Weekly by #REF!</definedName>
    <definedName name="BExVVG5757ZUCIOH6NI1OTZC4IUM" hidden="1">Weekly by #REF!</definedName>
    <definedName name="BExVVIE6N8HTS5LBMWMN3XB7YR16" localSheetId="0" hidden="1">#REF!</definedName>
    <definedName name="BExVVIE6N8HTS5LBMWMN3XB7YR16" localSheetId="2" hidden="1">#REF!</definedName>
    <definedName name="BExVVIE6N8HTS5LBMWMN3XB7YR16" hidden="1">#REF!</definedName>
    <definedName name="BExVVUOKZ9FMJP6SP8B7RW9ZVKIZ" localSheetId="0" hidden="1">Weekly by #REF!</definedName>
    <definedName name="BExVVUOKZ9FMJP6SP8B7RW9ZVKIZ" localSheetId="1" hidden="1">Weekly by #REF!</definedName>
    <definedName name="BExVVUOKZ9FMJP6SP8B7RW9ZVKIZ" localSheetId="3" hidden="1">Weekly by #REF!</definedName>
    <definedName name="BExVVUOKZ9FMJP6SP8B7RW9ZVKIZ" localSheetId="7" hidden="1">Weekly by #REF!</definedName>
    <definedName name="BExVVUOKZ9FMJP6SP8B7RW9ZVKIZ" localSheetId="2" hidden="1">Weekly by #REF!</definedName>
    <definedName name="BExVVUOKZ9FMJP6SP8B7RW9ZVKIZ" localSheetId="6" hidden="1">Weekly by #REF!</definedName>
    <definedName name="BExVVUOKZ9FMJP6SP8B7RW9ZVKIZ" hidden="1">Weekly by #REF!</definedName>
    <definedName name="BExVWUSMK9CIS9O051DQPT0KY7WQ" localSheetId="0" hidden="1">#REF!</definedName>
    <definedName name="BExVWUSMK9CIS9O051DQPT0KY7WQ" localSheetId="2" hidden="1">#REF!</definedName>
    <definedName name="BExVWUSMK9CIS9O051DQPT0KY7WQ" hidden="1">#REF!</definedName>
    <definedName name="BExVX3HJPV9ZPAY12RMBV261NE68" localSheetId="0" hidden="1">#REF!</definedName>
    <definedName name="BExVX3HJPV9ZPAY12RMBV261NE68" localSheetId="2" hidden="1">#REF!</definedName>
    <definedName name="BExVX3HJPV9ZPAY12RMBV261NE68" hidden="1">#REF!</definedName>
    <definedName name="BExVXH4FRKWI8T09UBZOTZ7ELGD2" localSheetId="0" hidden="1">#REF!</definedName>
    <definedName name="BExVXH4FRKWI8T09UBZOTZ7ELGD2" hidden="1">#REF!</definedName>
    <definedName name="BExVY7N7APOSX562C86T41J73BNN" localSheetId="0" hidden="1">#REF!</definedName>
    <definedName name="BExVY7N7APOSX562C86T41J73BNN" hidden="1">#REF!</definedName>
    <definedName name="BExVY7XZS7ZEEEI66TWUYUKRGMHJ" localSheetId="0" hidden="1">#REF!</definedName>
    <definedName name="BExVY7XZS7ZEEEI66TWUYUKRGMHJ" hidden="1">#REF!</definedName>
    <definedName name="BExVZESW4KWQ72XZ6AAT3JSAGMMO" localSheetId="0" hidden="1">#REF!</definedName>
    <definedName name="BExVZESW4KWQ72XZ6AAT3JSAGMMO" hidden="1">#REF!</definedName>
    <definedName name="BExW08X7MUCAUZUT84HH2K0HG8JM" localSheetId="0" hidden="1">#REF!</definedName>
    <definedName name="BExW08X7MUCAUZUT84HH2K0HG8JM" hidden="1">#REF!</definedName>
    <definedName name="BExW0HBAR94L0RTT4FLGEJ88FO94" localSheetId="0" hidden="1">#REF!</definedName>
    <definedName name="BExW0HBAR94L0RTT4FLGEJ88FO94" hidden="1">#REF!</definedName>
    <definedName name="BExW0HBC1RMZ2GDGOGDTNAOOFO74" localSheetId="0" hidden="1">#REF!</definedName>
    <definedName name="BExW0HBC1RMZ2GDGOGDTNAOOFO74" hidden="1">#REF!</definedName>
    <definedName name="BExW0PJY0QT1YYHEOQPDHHNJJOC5" localSheetId="0" hidden="1">#REF!</definedName>
    <definedName name="BExW0PJY0QT1YYHEOQPDHHNJJOC5" hidden="1">#REF!</definedName>
    <definedName name="BExW0TAW9LYIK2EQVODX96VJOOGW" localSheetId="0" hidden="1">#REF!</definedName>
    <definedName name="BExW0TAW9LYIK2EQVODX96VJOOGW" hidden="1">#REF!</definedName>
    <definedName name="BExW0ZFZK22WVH1ET2MVEUVKIIWF" localSheetId="0" hidden="1">#REF!</definedName>
    <definedName name="BExW0ZFZK22WVH1ET2MVEUVKIIWF" hidden="1">#REF!</definedName>
    <definedName name="BExW1L0UBOQM7K490QSU9DAPF6L2" localSheetId="0" hidden="1">Weekly by #REF!</definedName>
    <definedName name="BExW1L0UBOQM7K490QSU9DAPF6L2" localSheetId="1" hidden="1">Weekly by #REF!</definedName>
    <definedName name="BExW1L0UBOQM7K490QSU9DAPF6L2" localSheetId="3" hidden="1">Weekly by #REF!</definedName>
    <definedName name="BExW1L0UBOQM7K490QSU9DAPF6L2" localSheetId="7" hidden="1">Weekly by #REF!</definedName>
    <definedName name="BExW1L0UBOQM7K490QSU9DAPF6L2" localSheetId="2" hidden="1">Weekly by #REF!</definedName>
    <definedName name="BExW1L0UBOQM7K490QSU9DAPF6L2" localSheetId="6" hidden="1">Weekly by #REF!</definedName>
    <definedName name="BExW1L0UBOQM7K490QSU9DAPF6L2" hidden="1">Weekly by #REF!</definedName>
    <definedName name="BExW22PGTQTO5C5TK1RQUWPR4X8X" localSheetId="0" hidden="1">#REF!</definedName>
    <definedName name="BExW22PGTQTO5C5TK1RQUWPR4X8X" localSheetId="2" hidden="1">#REF!</definedName>
    <definedName name="BExW22PGTQTO5C5TK1RQUWPR4X8X" hidden="1">#REF!</definedName>
    <definedName name="BExW27CKTHXIQCUL3RSLAFEQV8VT" localSheetId="0" hidden="1">#REF!</definedName>
    <definedName name="BExW27CKTHXIQCUL3RSLAFEQV8VT" localSheetId="2" hidden="1">#REF!</definedName>
    <definedName name="BExW27CKTHXIQCUL3RSLAFEQV8VT" hidden="1">#REF!</definedName>
    <definedName name="BExW29WF535OHEG91SW5OF7MQBU2" localSheetId="0" hidden="1">#REF!</definedName>
    <definedName name="BExW29WF535OHEG91SW5OF7MQBU2" hidden="1">#REF!</definedName>
    <definedName name="BExW2AY2GZIBH58TP9MXWRXTZ10W" localSheetId="0" hidden="1">#REF!</definedName>
    <definedName name="BExW2AY2GZIBH58TP9MXWRXTZ10W" hidden="1">#REF!</definedName>
    <definedName name="BExW35YV9V70DFOPLUGI2W7IYOU2" localSheetId="0" hidden="1">#REF!</definedName>
    <definedName name="BExW35YV9V70DFOPLUGI2W7IYOU2" hidden="1">#REF!</definedName>
    <definedName name="BExW48XD6HRDPL4Q11EMUF26REMD" localSheetId="0" hidden="1">#REF!</definedName>
    <definedName name="BExW48XD6HRDPL4Q11EMUF26REMD" hidden="1">#REF!</definedName>
    <definedName name="BExW4L7R1NVUKEQSVWZPXWCI6NVN" localSheetId="0" hidden="1">#REF!</definedName>
    <definedName name="BExW4L7R1NVUKEQSVWZPXWCI6NVN" hidden="1">#REF!</definedName>
    <definedName name="BExW4QR9SO5K2EKCGI7MH8HIIBF5" localSheetId="0" hidden="1">#REF!</definedName>
    <definedName name="BExW4QR9SO5K2EKCGI7MH8HIIBF5" hidden="1">#REF!</definedName>
    <definedName name="BExW4S980QVHHT7SZ0CMVH1Z25PN" localSheetId="0" hidden="1">#REF!</definedName>
    <definedName name="BExW4S980QVHHT7SZ0CMVH1Z25PN" hidden="1">#REF!</definedName>
    <definedName name="BExW4W5HHUEZ3O9DYN9KJZWC1FEL" localSheetId="0" hidden="1">#REF!</definedName>
    <definedName name="BExW4W5HHUEZ3O9DYN9KJZWC1FEL" hidden="1">#REF!</definedName>
    <definedName name="BExW5EFO6R6U4UQLT4G2G4W9SX94" localSheetId="0" hidden="1">#REF!</definedName>
    <definedName name="BExW5EFO6R6U4UQLT4G2G4W9SX94" hidden="1">#REF!</definedName>
    <definedName name="BExW5HVOJOSFHLS7YE7GZUIF1ZHF" localSheetId="0" hidden="1">Weekly by #REF!</definedName>
    <definedName name="BExW5HVOJOSFHLS7YE7GZUIF1ZHF" localSheetId="1" hidden="1">Weekly by #REF!</definedName>
    <definedName name="BExW5HVOJOSFHLS7YE7GZUIF1ZHF" localSheetId="3" hidden="1">Weekly by #REF!</definedName>
    <definedName name="BExW5HVOJOSFHLS7YE7GZUIF1ZHF" localSheetId="7" hidden="1">Weekly by #REF!</definedName>
    <definedName name="BExW5HVOJOSFHLS7YE7GZUIF1ZHF" localSheetId="2" hidden="1">Weekly by #REF!</definedName>
    <definedName name="BExW5HVOJOSFHLS7YE7GZUIF1ZHF" localSheetId="6" hidden="1">Weekly by #REF!</definedName>
    <definedName name="BExW5HVOJOSFHLS7YE7GZUIF1ZHF" hidden="1">Weekly by #REF!</definedName>
    <definedName name="BExW5RMEM0O7EJWHTA7Y0GOTN0OB" localSheetId="0" hidden="1">#REF!</definedName>
    <definedName name="BExW5RMEM0O7EJWHTA7Y0GOTN0OB" localSheetId="2" hidden="1">#REF!</definedName>
    <definedName name="BExW5RMEM0O7EJWHTA7Y0GOTN0OB" hidden="1">#REF!</definedName>
    <definedName name="BExW5X64UZDAB8GEIIQBWQV66NV9" localSheetId="0" hidden="1">#REF!</definedName>
    <definedName name="BExW5X64UZDAB8GEIIQBWQV66NV9" localSheetId="2" hidden="1">#REF!</definedName>
    <definedName name="BExW5X64UZDAB8GEIIQBWQV66NV9" hidden="1">#REF!</definedName>
    <definedName name="BExW61NYOHBXEBCZ80ZJTB38E7BS" localSheetId="0" hidden="1">#REF!</definedName>
    <definedName name="BExW61NYOHBXEBCZ80ZJTB38E7BS" hidden="1">#REF!</definedName>
    <definedName name="BExW64T5GUYKW4V1314DJGUR4ABG" localSheetId="0" hidden="1">#REF!</definedName>
    <definedName name="BExW64T5GUYKW4V1314DJGUR4ABG" hidden="1">#REF!</definedName>
    <definedName name="BExW6C5GCVDGGRYG29UDRQ5F1DZJ" localSheetId="0" hidden="1">Weekly by #REF!</definedName>
    <definedName name="BExW6C5GCVDGGRYG29UDRQ5F1DZJ" localSheetId="1" hidden="1">Weekly by #REF!</definedName>
    <definedName name="BExW6C5GCVDGGRYG29UDRQ5F1DZJ" localSheetId="3" hidden="1">Weekly by #REF!</definedName>
    <definedName name="BExW6C5GCVDGGRYG29UDRQ5F1DZJ" localSheetId="7" hidden="1">Weekly by #REF!</definedName>
    <definedName name="BExW6C5GCVDGGRYG29UDRQ5F1DZJ" localSheetId="2" hidden="1">Weekly by #REF!</definedName>
    <definedName name="BExW6C5GCVDGGRYG29UDRQ5F1DZJ" localSheetId="6" hidden="1">Weekly by #REF!</definedName>
    <definedName name="BExW6C5GCVDGGRYG29UDRQ5F1DZJ" hidden="1">Weekly by #REF!</definedName>
    <definedName name="BExW6QE0VJ5RRAQZB4SWWF8JTHCL" localSheetId="0" hidden="1">#REF!</definedName>
    <definedName name="BExW6QE0VJ5RRAQZB4SWWF8JTHCL" localSheetId="2" hidden="1">#REF!</definedName>
    <definedName name="BExW6QE0VJ5RRAQZB4SWWF8JTHCL" hidden="1">#REF!</definedName>
    <definedName name="BExW6WJ2VW51JNF32JZF98WJDRR3" localSheetId="0" hidden="1">#REF!</definedName>
    <definedName name="BExW6WJ2VW51JNF32JZF98WJDRR3" localSheetId="2" hidden="1">#REF!</definedName>
    <definedName name="BExW6WJ2VW51JNF32JZF98WJDRR3" hidden="1">#REF!</definedName>
    <definedName name="BExW74MG1WIOS7FRGX4CXWYNPZV1" localSheetId="0" hidden="1">#REF!</definedName>
    <definedName name="BExW74MG1WIOS7FRGX4CXWYNPZV1" hidden="1">#REF!</definedName>
    <definedName name="BExW782LBJUIVCV6ACRLJBIKVJFQ" localSheetId="0" hidden="1">#REF!</definedName>
    <definedName name="BExW782LBJUIVCV6ACRLJBIKVJFQ" hidden="1">#REF!</definedName>
    <definedName name="BExW7BNX0CG5K7YJ7EOEFFI7BRTR" localSheetId="0" hidden="1">#REF!</definedName>
    <definedName name="BExW7BNX0CG5K7YJ7EOEFFI7BRTR" hidden="1">#REF!</definedName>
    <definedName name="BExW7NSY9CQA1O23DAZ9TYTC0PAO" localSheetId="0" hidden="1">#REF!</definedName>
    <definedName name="BExW7NSY9CQA1O23DAZ9TYTC0PAO" hidden="1">#REF!</definedName>
    <definedName name="BExW7Q79RJWXCSWJIY4GLGGQXX5G" localSheetId="0" hidden="1">#REF!</definedName>
    <definedName name="BExW7Q79RJWXCSWJIY4GLGGQXX5G" hidden="1">#REF!</definedName>
    <definedName name="BExW7R3O60607WTZTAIL73FQ1JVA" localSheetId="0" hidden="1">#REF!</definedName>
    <definedName name="BExW7R3O60607WTZTAIL73FQ1JVA" hidden="1">#REF!</definedName>
    <definedName name="BExW7RP8W25HJJLSTFTPEK1L7LD9" localSheetId="0" hidden="1">#REF!</definedName>
    <definedName name="BExW7RP8W25HJJLSTFTPEK1L7LD9" hidden="1">#REF!</definedName>
    <definedName name="BExW89DT2OUQ24LOFUS7BMP44P4B" localSheetId="0" hidden="1">#REF!</definedName>
    <definedName name="BExW89DT2OUQ24LOFUS7BMP44P4B" hidden="1">#REF!</definedName>
    <definedName name="BExW8ODBNT9W8GT58SUG5LC0UK09" localSheetId="0" hidden="1">Weekly by #REF!</definedName>
    <definedName name="BExW8ODBNT9W8GT58SUG5LC0UK09" localSheetId="1" hidden="1">Weekly by #REF!</definedName>
    <definedName name="BExW8ODBNT9W8GT58SUG5LC0UK09" localSheetId="3" hidden="1">Weekly by #REF!</definedName>
    <definedName name="BExW8ODBNT9W8GT58SUG5LC0UK09" localSheetId="7" hidden="1">Weekly by #REF!</definedName>
    <definedName name="BExW8ODBNT9W8GT58SUG5LC0UK09" localSheetId="2" hidden="1">Weekly by #REF!</definedName>
    <definedName name="BExW8ODBNT9W8GT58SUG5LC0UK09" localSheetId="6" hidden="1">Weekly by #REF!</definedName>
    <definedName name="BExW8ODBNT9W8GT58SUG5LC0UK09" hidden="1">Weekly by #REF!</definedName>
    <definedName name="BExW9G39X58B5FGJEE8EY65TJ80A" localSheetId="0" hidden="1">#REF!</definedName>
    <definedName name="BExW9G39X58B5FGJEE8EY65TJ80A" localSheetId="2" hidden="1">#REF!</definedName>
    <definedName name="BExW9G39X58B5FGJEE8EY65TJ80A" hidden="1">#REF!</definedName>
    <definedName name="BExW9JZK2CSFMKED1TX7YD9FRDO3" localSheetId="0" hidden="1">#REF!</definedName>
    <definedName name="BExW9JZK2CSFMKED1TX7YD9FRDO3" localSheetId="2" hidden="1">#REF!</definedName>
    <definedName name="BExW9JZK2CSFMKED1TX7YD9FRDO3" hidden="1">#REF!</definedName>
    <definedName name="BExXLDOYNIS8GLKISUIBXIOW06CA" localSheetId="0" hidden="1">#REF!</definedName>
    <definedName name="BExXLDOYNIS8GLKISUIBXIOW06CA" hidden="1">#REF!</definedName>
    <definedName name="BExXLEAJYWWSC14OXN5XGJDVZ3QR" localSheetId="0" hidden="1">Weekly by #REF!</definedName>
    <definedName name="BExXLEAJYWWSC14OXN5XGJDVZ3QR" localSheetId="1" hidden="1">Weekly by #REF!</definedName>
    <definedName name="BExXLEAJYWWSC14OXN5XGJDVZ3QR" localSheetId="3" hidden="1">Weekly by #REF!</definedName>
    <definedName name="BExXLEAJYWWSC14OXN5XGJDVZ3QR" localSheetId="7" hidden="1">Weekly by #REF!</definedName>
    <definedName name="BExXLEAJYWWSC14OXN5XGJDVZ3QR" localSheetId="2" hidden="1">Weekly by #REF!</definedName>
    <definedName name="BExXLEAJYWWSC14OXN5XGJDVZ3QR" localSheetId="6" hidden="1">Weekly by #REF!</definedName>
    <definedName name="BExXLEAJYWWSC14OXN5XGJDVZ3QR" hidden="1">Weekly by #REF!</definedName>
    <definedName name="BExXMJ1XDZUY32KGPG7IUH4YEQO5" localSheetId="0" hidden="1">#REF!</definedName>
    <definedName name="BExXMJ1XDZUY32KGPG7IUH4YEQO5" localSheetId="2" hidden="1">#REF!</definedName>
    <definedName name="BExXMJ1XDZUY32KGPG7IUH4YEQO5" hidden="1">#REF!</definedName>
    <definedName name="BExXN0VU8PI7CEWXJP28DF1ZPIF4" localSheetId="0" hidden="1">#REF!</definedName>
    <definedName name="BExXN0VU8PI7CEWXJP28DF1ZPIF4" localSheetId="2" hidden="1">#REF!</definedName>
    <definedName name="BExXN0VU8PI7CEWXJP28DF1ZPIF4" hidden="1">#REF!</definedName>
    <definedName name="BExXN9FFJ931QFL8ITLA71QM56WY" localSheetId="0" hidden="1">Weekly by #REF!</definedName>
    <definedName name="BExXN9FFJ931QFL8ITLA71QM56WY" localSheetId="1" hidden="1">Weekly by #REF!</definedName>
    <definedName name="BExXN9FFJ931QFL8ITLA71QM56WY" localSheetId="3" hidden="1">Weekly by #REF!</definedName>
    <definedName name="BExXN9FFJ931QFL8ITLA71QM56WY" localSheetId="7" hidden="1">Weekly by #REF!</definedName>
    <definedName name="BExXN9FFJ931QFL8ITLA71QM56WY" localSheetId="2" hidden="1">Weekly by #REF!</definedName>
    <definedName name="BExXN9FFJ931QFL8ITLA71QM56WY" localSheetId="6" hidden="1">Weekly by #REF!</definedName>
    <definedName name="BExXN9FFJ931QFL8ITLA71QM56WY" hidden="1">Weekly by #REF!</definedName>
    <definedName name="BExXNF9QPMU3PJ8K8S1SNVI3TCLH" localSheetId="0" hidden="1">#REF!</definedName>
    <definedName name="BExXNF9QPMU3PJ8K8S1SNVI3TCLH" localSheetId="2" hidden="1">#REF!</definedName>
    <definedName name="BExXNF9QPMU3PJ8K8S1SNVI3TCLH" hidden="1">#REF!</definedName>
    <definedName name="BExXNO44OXV8YU44CIBFV9YSTX0I" localSheetId="0" hidden="1">#REF!</definedName>
    <definedName name="BExXNO44OXV8YU44CIBFV9YSTX0I" localSheetId="2" hidden="1">#REF!</definedName>
    <definedName name="BExXNO44OXV8YU44CIBFV9YSTX0I" hidden="1">#REF!</definedName>
    <definedName name="BExXNRUWHTVKJZUNKVBFHLNVSDV2" localSheetId="0" hidden="1">#REF!</definedName>
    <definedName name="BExXNRUWHTVKJZUNKVBFHLNVSDV2" hidden="1">#REF!</definedName>
    <definedName name="BExXNSLYWITH4246M4YVOUIV04ZJ" localSheetId="0" hidden="1">#REF!</definedName>
    <definedName name="BExXNSLYWITH4246M4YVOUIV04ZJ" hidden="1">#REF!</definedName>
    <definedName name="BExXO1G5TG80TSHNS86X0DXO6YHY" localSheetId="0" hidden="1">#REF!</definedName>
    <definedName name="BExXO1G5TG80TSHNS86X0DXO6YHY" hidden="1">#REF!</definedName>
    <definedName name="BExXO6E9ABFOYA2LVN6RLW4BO9G6" localSheetId="0" hidden="1">#REF!</definedName>
    <definedName name="BExXO6E9ABFOYA2LVN6RLW4BO9G6" hidden="1">#REF!</definedName>
    <definedName name="BExXO6ZP85325PSLSXWM38N73O6V" localSheetId="0" hidden="1">#REF!</definedName>
    <definedName name="BExXO6ZP85325PSLSXWM38N73O6V" hidden="1">#REF!</definedName>
    <definedName name="BExXOJQBVBDGLVEYZAE7AL8F0VWX" localSheetId="0" hidden="1">#REF!</definedName>
    <definedName name="BExXOJQBVBDGLVEYZAE7AL8F0VWX" hidden="1">#REF!</definedName>
    <definedName name="BExXOMFGWSG2UE9D4AO8PR5G5C15" localSheetId="0" hidden="1">#REF!</definedName>
    <definedName name="BExXOMFGWSG2UE9D4AO8PR5G5C15" hidden="1">#REF!</definedName>
    <definedName name="BExXOMQ9421Y32TZ81U6YGIP35QU" localSheetId="0" hidden="1">#REF!</definedName>
    <definedName name="BExXOMQ9421Y32TZ81U6YGIP35QU" hidden="1">#REF!</definedName>
    <definedName name="BExXP6IDUFCYSR6FO0GJQZK3UD2I" localSheetId="0" hidden="1">Weekly by #REF!</definedName>
    <definedName name="BExXP6IDUFCYSR6FO0GJQZK3UD2I" localSheetId="1" hidden="1">Weekly by #REF!</definedName>
    <definedName name="BExXP6IDUFCYSR6FO0GJQZK3UD2I" localSheetId="3" hidden="1">Weekly by #REF!</definedName>
    <definedName name="BExXP6IDUFCYSR6FO0GJQZK3UD2I" localSheetId="7" hidden="1">Weekly by #REF!</definedName>
    <definedName name="BExXP6IDUFCYSR6FO0GJQZK3UD2I" localSheetId="2" hidden="1">Weekly by #REF!</definedName>
    <definedName name="BExXP6IDUFCYSR6FO0GJQZK3UD2I" localSheetId="6" hidden="1">Weekly by #REF!</definedName>
    <definedName name="BExXP6IDUFCYSR6FO0GJQZK3UD2I" hidden="1">Weekly by #REF!</definedName>
    <definedName name="BExXPDUMN4B85QFXGPSJPII52QR3" localSheetId="0" hidden="1">#REF!</definedName>
    <definedName name="BExXPDUMN4B85QFXGPSJPII52QR3" localSheetId="2" hidden="1">#REF!</definedName>
    <definedName name="BExXPDUMN4B85QFXGPSJPII52QR3" hidden="1">#REF!</definedName>
    <definedName name="BExXPOSIKA7VECAGQNCDXBCDMRAB" localSheetId="0" hidden="1">#REF!</definedName>
    <definedName name="BExXPOSIKA7VECAGQNCDXBCDMRAB" localSheetId="2" hidden="1">#REF!</definedName>
    <definedName name="BExXPOSIKA7VECAGQNCDXBCDMRAB" hidden="1">#REF!</definedName>
    <definedName name="BExXPUMU4BLFWI2L0MHMM5F3OUPL" localSheetId="0" hidden="1">#REF!</definedName>
    <definedName name="BExXPUMU4BLFWI2L0MHMM5F3OUPL" hidden="1">#REF!</definedName>
    <definedName name="BExXQ06J7OF0O2FO4WR0QK93RJ17" localSheetId="0" hidden="1">#REF!</definedName>
    <definedName name="BExXQ06J7OF0O2FO4WR0QK93RJ17" hidden="1">#REF!</definedName>
    <definedName name="BExXQHPNAFE4M6C2HYRCQNIU9D31" localSheetId="0" hidden="1">#REF!</definedName>
    <definedName name="BExXQHPNAFE4M6C2HYRCQNIU9D31" hidden="1">#REF!</definedName>
    <definedName name="BExXQMYEOGRO69K9BLZF14USRMVP" localSheetId="0" hidden="1">#REF!</definedName>
    <definedName name="BExXQMYEOGRO69K9BLZF14USRMVP" hidden="1">#REF!</definedName>
    <definedName name="BExXQS1SGPIQX0ESRMCECOYMUQQJ" localSheetId="0" hidden="1">#REF!</definedName>
    <definedName name="BExXQS1SGPIQX0ESRMCECOYMUQQJ" hidden="1">#REF!</definedName>
    <definedName name="BExXQVY29BVJPXK5LNOJ5UW88WYC" localSheetId="0" hidden="1">#REF!</definedName>
    <definedName name="BExXQVY29BVJPXK5LNOJ5UW88WYC" hidden="1">#REF!</definedName>
    <definedName name="BExXRE88Y8MPUAIE12VNGRHQMKP7" localSheetId="0" hidden="1">#REF!</definedName>
    <definedName name="BExXRE88Y8MPUAIE12VNGRHQMKP7" hidden="1">#REF!</definedName>
    <definedName name="BExXRHIY77F53DUYX7CMZPXGRDAG" localSheetId="0" hidden="1">#REF!</definedName>
    <definedName name="BExXRHIY77F53DUYX7CMZPXGRDAG" hidden="1">#REF!</definedName>
    <definedName name="BExXRJRQO4DKCHLE5HZPATAD8KWQ" localSheetId="0" hidden="1">Weekly by #REF!</definedName>
    <definedName name="BExXRJRQO4DKCHLE5HZPATAD8KWQ" localSheetId="1" hidden="1">Weekly by #REF!</definedName>
    <definedName name="BExXRJRQO4DKCHLE5HZPATAD8KWQ" localSheetId="3" hidden="1">Weekly by #REF!</definedName>
    <definedName name="BExXRJRQO4DKCHLE5HZPATAD8KWQ" localSheetId="7" hidden="1">Weekly by #REF!</definedName>
    <definedName name="BExXRJRQO4DKCHLE5HZPATAD8KWQ" localSheetId="2" hidden="1">Weekly by #REF!</definedName>
    <definedName name="BExXRJRQO4DKCHLE5HZPATAD8KWQ" localSheetId="6" hidden="1">Weekly by #REF!</definedName>
    <definedName name="BExXRJRQO4DKCHLE5HZPATAD8KWQ" hidden="1">Weekly by #REF!</definedName>
    <definedName name="BExXRWCYL4O8N2IOXERLTIR7CJI6" localSheetId="0" hidden="1">#REF!</definedName>
    <definedName name="BExXRWCYL4O8N2IOXERLTIR7CJI6" localSheetId="2" hidden="1">#REF!</definedName>
    <definedName name="BExXRWCYL4O8N2IOXERLTIR7CJI6" hidden="1">#REF!</definedName>
    <definedName name="BExXSBY0S70HRJ1R0POASBK3RJTG" localSheetId="0" hidden="1">#REF!</definedName>
    <definedName name="BExXSBY0S70HRJ1R0POASBK3RJTG" localSheetId="2" hidden="1">#REF!</definedName>
    <definedName name="BExXSBY0S70HRJ1R0POASBK3RJTG" hidden="1">#REF!</definedName>
    <definedName name="BExXT74551NL4RD4KBUWXLJEU5BE" localSheetId="0" hidden="1">#REF!</definedName>
    <definedName name="BExXT74551NL4RD4KBUWXLJEU5BE" hidden="1">#REF!</definedName>
    <definedName name="BExXTINEGPKZ75DCUCEF3QOV6OES" localSheetId="0" hidden="1">#REF!</definedName>
    <definedName name="BExXTINEGPKZ75DCUCEF3QOV6OES" hidden="1">#REF!</definedName>
    <definedName name="BExXTKAV4Y4JQ7D62LKGD89F9WMF" localSheetId="0" hidden="1">#REF!</definedName>
    <definedName name="BExXTKAV4Y4JQ7D62LKGD89F9WMF" hidden="1">#REF!</definedName>
    <definedName name="BExXUJO1PD7MSZU4K5FHCUY6OOLB" localSheetId="0" hidden="1">Weekly by #REF!</definedName>
    <definedName name="BExXUJO1PD7MSZU4K5FHCUY6OOLB" localSheetId="1" hidden="1">Weekly by #REF!</definedName>
    <definedName name="BExXUJO1PD7MSZU4K5FHCUY6OOLB" localSheetId="3" hidden="1">Weekly by #REF!</definedName>
    <definedName name="BExXUJO1PD7MSZU4K5FHCUY6OOLB" localSheetId="7" hidden="1">Weekly by #REF!</definedName>
    <definedName name="BExXUJO1PD7MSZU4K5FHCUY6OOLB" localSheetId="2" hidden="1">Weekly by #REF!</definedName>
    <definedName name="BExXUJO1PD7MSZU4K5FHCUY6OOLB" localSheetId="6" hidden="1">Weekly by #REF!</definedName>
    <definedName name="BExXUJO1PD7MSZU4K5FHCUY6OOLB" hidden="1">Weekly by #REF!</definedName>
    <definedName name="BExXV1HWKTB46UXT08JLMPP8P4SP" localSheetId="0" hidden="1">#REF!</definedName>
    <definedName name="BExXV1HWKTB46UXT08JLMPP8P4SP" localSheetId="2" hidden="1">#REF!</definedName>
    <definedName name="BExXV1HWKTB46UXT08JLMPP8P4SP" hidden="1">#REF!</definedName>
    <definedName name="BExXWCEFPM2UFC3LC37H8GSMA5GA" localSheetId="0" hidden="1">#REF!</definedName>
    <definedName name="BExXWCEFPM2UFC3LC37H8GSMA5GA" localSheetId="2" hidden="1">#REF!</definedName>
    <definedName name="BExXWCEFPM2UFC3LC37H8GSMA5GA" hidden="1">#REF!</definedName>
    <definedName name="BExXWI3A0SX6F497A0RTXNSIICBZ" localSheetId="0" hidden="1">#REF!</definedName>
    <definedName name="BExXWI3A0SX6F497A0RTXNSIICBZ" hidden="1">#REF!</definedName>
    <definedName name="BExXXM3RWQS8800APFAIJ8EOGF4Z" localSheetId="0" hidden="1">#REF!</definedName>
    <definedName name="BExXXM3RWQS8800APFAIJ8EOGF4Z" hidden="1">#REF!</definedName>
    <definedName name="BExXY0SAZOPJMDG9GOR625UDCCS8" localSheetId="0" hidden="1">#REF!</definedName>
    <definedName name="BExXY0SAZOPJMDG9GOR625UDCCS8" hidden="1">#REF!</definedName>
    <definedName name="BExXY2FR7PFLXNGA6J0Z6IQF8TYJ" localSheetId="0" hidden="1">#REF!</definedName>
    <definedName name="BExXY2FR7PFLXNGA6J0Z6IQF8TYJ" hidden="1">#REF!</definedName>
    <definedName name="BExXYOGP3QOUX1NE0HRYGMSLLQXJ" localSheetId="0" hidden="1">#REF!</definedName>
    <definedName name="BExXYOGP3QOUX1NE0HRYGMSLLQXJ" hidden="1">#REF!</definedName>
    <definedName name="BExXYSIG3I46GS87PKY9GK6NYC1O" localSheetId="0" hidden="1">#REF!</definedName>
    <definedName name="BExXYSIG3I46GS87PKY9GK6NYC1O" hidden="1">#REF!</definedName>
    <definedName name="BExXYUGHKOESL43PSVX44W2OVS8G" localSheetId="0" hidden="1">#REF!</definedName>
    <definedName name="BExXYUGHKOESL43PSVX44W2OVS8G" hidden="1">#REF!</definedName>
    <definedName name="BExXZ3WEYVVV9XKKD5E86QEX5U57" localSheetId="0" hidden="1">#REF!</definedName>
    <definedName name="BExXZ3WEYVVV9XKKD5E86QEX5U57" hidden="1">#REF!</definedName>
    <definedName name="BExXZ4CKWN3R9HA311KINBA3R2K4" localSheetId="0" hidden="1">#REF!</definedName>
    <definedName name="BExXZ4CKWN3R9HA311KINBA3R2K4" hidden="1">#REF!</definedName>
    <definedName name="BExXZ6QU5C0UMWY7U4BHVZNIPANK" localSheetId="0" hidden="1">#REF!</definedName>
    <definedName name="BExXZ6QU5C0UMWY7U4BHVZNIPANK" hidden="1">#REF!</definedName>
    <definedName name="BExXZM14XID3OAA88OURJ7QSZW1E" localSheetId="0" hidden="1">#REF!</definedName>
    <definedName name="BExXZM14XID3OAA88OURJ7QSZW1E" hidden="1">#REF!</definedName>
    <definedName name="BExY05T95YHBLI9ZYWFFT2O2B871" localSheetId="0" hidden="1">#REF!</definedName>
    <definedName name="BExY05T95YHBLI9ZYWFFT2O2B871" hidden="1">#REF!</definedName>
    <definedName name="BExY1FIMLW9L499KIE7ZJ706UYLM" localSheetId="0" hidden="1">#REF!</definedName>
    <definedName name="BExY1FIMLW9L499KIE7ZJ706UYLM" hidden="1">#REF!</definedName>
    <definedName name="BExY1ONMI973LYH6W67SZIDXWDA0" localSheetId="0" hidden="1">#REF!</definedName>
    <definedName name="BExY1ONMI973LYH6W67SZIDXWDA0" hidden="1">#REF!</definedName>
    <definedName name="BExY2B4TGQZ5K8PTFV1BJVNCPBUH" localSheetId="0" hidden="1">Weekly by #REF!</definedName>
    <definedName name="BExY2B4TGQZ5K8PTFV1BJVNCPBUH" localSheetId="1" hidden="1">Weekly by #REF!</definedName>
    <definedName name="BExY2B4TGQZ5K8PTFV1BJVNCPBUH" localSheetId="3" hidden="1">Weekly by #REF!</definedName>
    <definedName name="BExY2B4TGQZ5K8PTFV1BJVNCPBUH" localSheetId="7" hidden="1">Weekly by #REF!</definedName>
    <definedName name="BExY2B4TGQZ5K8PTFV1BJVNCPBUH" localSheetId="2" hidden="1">Weekly by #REF!</definedName>
    <definedName name="BExY2B4TGQZ5K8PTFV1BJVNCPBUH" localSheetId="6" hidden="1">Weekly by #REF!</definedName>
    <definedName name="BExY2B4TGQZ5K8PTFV1BJVNCPBUH" hidden="1">Weekly by #REF!</definedName>
    <definedName name="BExY35PCYUKY98SE47PHJ28XZGOW" localSheetId="0" hidden="1">#REF!</definedName>
    <definedName name="BExY35PCYUKY98SE47PHJ28XZGOW" localSheetId="2" hidden="1">#REF!</definedName>
    <definedName name="BExY35PCYUKY98SE47PHJ28XZGOW" hidden="1">#REF!</definedName>
    <definedName name="BExY3BUHF49HBMC20Z30YPLFCPS7" localSheetId="0" hidden="1">#REF!</definedName>
    <definedName name="BExY3BUHF49HBMC20Z30YPLFCPS7" localSheetId="2" hidden="1">#REF!</definedName>
    <definedName name="BExY3BUHF49HBMC20Z30YPLFCPS7" hidden="1">#REF!</definedName>
    <definedName name="BExY3C59PDF2BON135CH8LLYNO9W" localSheetId="0" hidden="1">#REF!</definedName>
    <definedName name="BExY3C59PDF2BON135CH8LLYNO9W" hidden="1">#REF!</definedName>
    <definedName name="BExY3FAME3HIN2RXBJJ7BFZOQELW" localSheetId="0" hidden="1">#REF!</definedName>
    <definedName name="BExY3FAME3HIN2RXBJJ7BFZOQELW" hidden="1">#REF!</definedName>
    <definedName name="BExY3JXT10HDV8IRQXYNHEEU49VD" localSheetId="0" hidden="1">#REF!</definedName>
    <definedName name="BExY3JXT10HDV8IRQXYNHEEU49VD" hidden="1">#REF!</definedName>
    <definedName name="BExY3PS9FF16S8QWSYU89GM4E8VB" localSheetId="0" hidden="1">#REF!</definedName>
    <definedName name="BExY3PS9FF16S8QWSYU89GM4E8VB" hidden="1">#REF!</definedName>
    <definedName name="BExY3YMHKXSM8ZA6J2QVK2F5QV01" localSheetId="0" hidden="1">#REF!</definedName>
    <definedName name="BExY3YMHKXSM8ZA6J2QVK2F5QV01" hidden="1">#REF!</definedName>
    <definedName name="BExY4DRA1NB56I6KHB22C0U0NKPH" localSheetId="0" hidden="1">#REF!</definedName>
    <definedName name="BExY4DRA1NB56I6KHB22C0U0NKPH" hidden="1">#REF!</definedName>
    <definedName name="BExY4HT06GYF7CEPWW5Z9OZ4LIDL" localSheetId="0" hidden="1">#REF!</definedName>
    <definedName name="BExY4HT06GYF7CEPWW5Z9OZ4LIDL" hidden="1">#REF!</definedName>
    <definedName name="BExY4PQUTBYZGBCOH80JJH5VLRD6" localSheetId="0" hidden="1">#REF!</definedName>
    <definedName name="BExY4PQUTBYZGBCOH80JJH5VLRD6" hidden="1">#REF!</definedName>
    <definedName name="BExY4SW8AV0ZS8G2TZLIRJTOBSGD" localSheetId="0" hidden="1">#REF!</definedName>
    <definedName name="BExY4SW8AV0ZS8G2TZLIRJTOBSGD" hidden="1">#REF!</definedName>
    <definedName name="BExY5BXBLQUW4SOF44M3WMGHRNE2" localSheetId="0" hidden="1">#REF!</definedName>
    <definedName name="BExY5BXBLQUW4SOF44M3WMGHRNE2" hidden="1">#REF!</definedName>
    <definedName name="BExY66SMGDYQEZLKI8VEUWNK09HL" localSheetId="0" hidden="1">#REF!</definedName>
    <definedName name="BExY66SMGDYQEZLKI8VEUWNK09HL" hidden="1">#REF!</definedName>
    <definedName name="BExZI8ALP7BRCA1KD31DT0OXSYTT" localSheetId="0" hidden="1">Weekly by #REF!</definedName>
    <definedName name="BExZI8ALP7BRCA1KD31DT0OXSYTT" localSheetId="1" hidden="1">Weekly by #REF!</definedName>
    <definedName name="BExZI8ALP7BRCA1KD31DT0OXSYTT" localSheetId="3" hidden="1">Weekly by #REF!</definedName>
    <definedName name="BExZI8ALP7BRCA1KD31DT0OXSYTT" localSheetId="7" hidden="1">Weekly by #REF!</definedName>
    <definedName name="BExZI8ALP7BRCA1KD31DT0OXSYTT" localSheetId="2" hidden="1">Weekly by #REF!</definedName>
    <definedName name="BExZI8ALP7BRCA1KD31DT0OXSYTT" localSheetId="6" hidden="1">Weekly by #REF!</definedName>
    <definedName name="BExZI8ALP7BRCA1KD31DT0OXSYTT" hidden="1">Weekly by #REF!</definedName>
    <definedName name="BExZJ95Q4W86H7ZC5DN8NAC8B3X3" localSheetId="0" hidden="1">Weekly by #REF!</definedName>
    <definedName name="BExZJ95Q4W86H7ZC5DN8NAC8B3X3" localSheetId="1" hidden="1">Weekly by #REF!</definedName>
    <definedName name="BExZJ95Q4W86H7ZC5DN8NAC8B3X3" localSheetId="3" hidden="1">Weekly by #REF!</definedName>
    <definedName name="BExZJ95Q4W86H7ZC5DN8NAC8B3X3" localSheetId="7" hidden="1">Weekly by #REF!</definedName>
    <definedName name="BExZJ95Q4W86H7ZC5DN8NAC8B3X3" localSheetId="2" hidden="1">Weekly by #REF!</definedName>
    <definedName name="BExZJ95Q4W86H7ZC5DN8NAC8B3X3" localSheetId="6" hidden="1">Weekly by #REF!</definedName>
    <definedName name="BExZJ95Q4W86H7ZC5DN8NAC8B3X3" hidden="1">Weekly by #REF!</definedName>
    <definedName name="BExZJA22HQFUO0AXG89KJGS2WE03" localSheetId="0" hidden="1">#REF!</definedName>
    <definedName name="BExZJA22HQFUO0AXG89KJGS2WE03" localSheetId="2" hidden="1">#REF!</definedName>
    <definedName name="BExZJA22HQFUO0AXG89KJGS2WE03" hidden="1">#REF!</definedName>
    <definedName name="BExZJL5AHN8BE3OZGYLEWXD0LXDP" localSheetId="0" hidden="1">Weekly by #REF!</definedName>
    <definedName name="BExZJL5AHN8BE3OZGYLEWXD0LXDP" localSheetId="1" hidden="1">Weekly by #REF!</definedName>
    <definedName name="BExZJL5AHN8BE3OZGYLEWXD0LXDP" localSheetId="3" hidden="1">Weekly by #REF!</definedName>
    <definedName name="BExZJL5AHN8BE3OZGYLEWXD0LXDP" localSheetId="7" hidden="1">Weekly by #REF!</definedName>
    <definedName name="BExZJL5AHN8BE3OZGYLEWXD0LXDP" localSheetId="2" hidden="1">Weekly by #REF!</definedName>
    <definedName name="BExZJL5AHN8BE3OZGYLEWXD0LXDP" localSheetId="6" hidden="1">Weekly by #REF!</definedName>
    <definedName name="BExZJL5AHN8BE3OZGYLEWXD0LXDP" hidden="1">Weekly by #REF!</definedName>
    <definedName name="BExZJMN92B493KLKPJ5RJLINP7BX" localSheetId="0" hidden="1">#REF!</definedName>
    <definedName name="BExZJMN92B493KLKPJ5RJLINP7BX" localSheetId="2" hidden="1">#REF!</definedName>
    <definedName name="BExZJMN92B493KLKPJ5RJLINP7BX" hidden="1">#REF!</definedName>
    <definedName name="BExZJU4ZJUO53Z0ZDKXRX3KI682X" localSheetId="0" hidden="1">#REF!</definedName>
    <definedName name="BExZJU4ZJUO53Z0ZDKXRX3KI682X" localSheetId="2" hidden="1">#REF!</definedName>
    <definedName name="BExZJU4ZJUO53Z0ZDKXRX3KI682X" hidden="1">#REF!</definedName>
    <definedName name="BExZK04S0KP6LOSNB2X6UHVLPSZP" localSheetId="0" hidden="1">#REF!</definedName>
    <definedName name="BExZK04S0KP6LOSNB2X6UHVLPSZP" hidden="1">#REF!</definedName>
    <definedName name="BExZKGRIH1C8XY2R7Z1LHBXCBRJC" localSheetId="0" hidden="1">#REF!</definedName>
    <definedName name="BExZKGRIH1C8XY2R7Z1LHBXCBRJC" hidden="1">#REF!</definedName>
    <definedName name="BExZKS08F6QAV3Z6SYC6GPFQHIYP" localSheetId="0" hidden="1">#REF!</definedName>
    <definedName name="BExZKS08F6QAV3Z6SYC6GPFQHIYP" hidden="1">#REF!</definedName>
    <definedName name="BExZLCDWOXSAL3E45Y87GOH1NUUX" localSheetId="0" hidden="1">#REF!</definedName>
    <definedName name="BExZLCDWOXSAL3E45Y87GOH1NUUX" hidden="1">#REF!</definedName>
    <definedName name="BExZLGVLOPLIHVX6G1W60US4C6P9" localSheetId="0" hidden="1">#REF!</definedName>
    <definedName name="BExZLGVLOPLIHVX6G1W60US4C6P9" hidden="1">#REF!</definedName>
    <definedName name="BExZLHRZMB1LAT56CZDZRRPS2Q5E" localSheetId="0" hidden="1">#REF!</definedName>
    <definedName name="BExZLHRZMB1LAT56CZDZRRPS2Q5E" hidden="1">#REF!</definedName>
    <definedName name="BExZLT5ZPFGYISDYWOPOK90JLRBR" localSheetId="0" hidden="1">#REF!</definedName>
    <definedName name="BExZLT5ZPFGYISDYWOPOK90JLRBR" hidden="1">#REF!</definedName>
    <definedName name="BExZMW4NRD33QFVW1HU2QNVF3W8N" localSheetId="0" hidden="1">Weekly by #REF!</definedName>
    <definedName name="BExZMW4NRD33QFVW1HU2QNVF3W8N" localSheetId="1" hidden="1">Weekly by #REF!</definedName>
    <definedName name="BExZMW4NRD33QFVW1HU2QNVF3W8N" localSheetId="3" hidden="1">Weekly by #REF!</definedName>
    <definedName name="BExZMW4NRD33QFVW1HU2QNVF3W8N" localSheetId="7" hidden="1">Weekly by #REF!</definedName>
    <definedName name="BExZMW4NRD33QFVW1HU2QNVF3W8N" localSheetId="2" hidden="1">Weekly by #REF!</definedName>
    <definedName name="BExZMW4NRD33QFVW1HU2QNVF3W8N" localSheetId="6" hidden="1">Weekly by #REF!</definedName>
    <definedName name="BExZMW4NRD33QFVW1HU2QNVF3W8N" hidden="1">Weekly by #REF!</definedName>
    <definedName name="BExZN4IQHWK2U1PBUME8FLKKYHDB" localSheetId="0" hidden="1">#REF!</definedName>
    <definedName name="BExZN4IQHWK2U1PBUME8FLKKYHDB" localSheetId="2" hidden="1">#REF!</definedName>
    <definedName name="BExZN4IQHWK2U1PBUME8FLKKYHDB" hidden="1">#REF!</definedName>
    <definedName name="BExZNIB2Z0PW4MJVTRVEDQX8NTGC" localSheetId="0" hidden="1">#REF!</definedName>
    <definedName name="BExZNIB2Z0PW4MJVTRVEDQX8NTGC" localSheetId="2" hidden="1">#REF!</definedName>
    <definedName name="BExZNIB2Z0PW4MJVTRVEDQX8NTGC" hidden="1">#REF!</definedName>
    <definedName name="BExZNJ1Y8RSOGU7HCLNI4JJ9WA8U" localSheetId="0" hidden="1">#REF!</definedName>
    <definedName name="BExZNJ1Y8RSOGU7HCLNI4JJ9WA8U" hidden="1">#REF!</definedName>
    <definedName name="BExZNT3IENBP4PJ3O1VRGS96XB1T" localSheetId="0" hidden="1">#REF!</definedName>
    <definedName name="BExZNT3IENBP4PJ3O1VRGS96XB1T" hidden="1">#REF!</definedName>
    <definedName name="BExZOEIVPQXLMQIOFZKVB6QU4PL2" localSheetId="0" hidden="1">#REF!</definedName>
    <definedName name="BExZOEIVPQXLMQIOFZKVB6QU4PL2" hidden="1">#REF!</definedName>
    <definedName name="BExZOGBLV9VKIJSZA9FTH6F6I902" localSheetId="0" hidden="1">#REF!</definedName>
    <definedName name="BExZOGBLV9VKIJSZA9FTH6F6I902" hidden="1">#REF!</definedName>
    <definedName name="BExZPFU3AP7RASS5X21Q6MTP5DI1" localSheetId="0" hidden="1">#REF!</definedName>
    <definedName name="BExZPFU3AP7RASS5X21Q6MTP5DI1" hidden="1">#REF!</definedName>
    <definedName name="BExZPUISK0KUWD1PJ79EAELEZMVZ" localSheetId="0" hidden="1">#REF!</definedName>
    <definedName name="BExZPUISK0KUWD1PJ79EAELEZMVZ" hidden="1">#REF!</definedName>
    <definedName name="BExZPUO3WXZZLJS5CMNV98Z7IUYV" localSheetId="0" hidden="1">#REF!</definedName>
    <definedName name="BExZPUO3WXZZLJS5CMNV98Z7IUYV" hidden="1">#REF!</definedName>
    <definedName name="BExZPWBJ4H8RND8XVKNCJ474L2J6" localSheetId="0" hidden="1">#REF!</definedName>
    <definedName name="BExZPWBJ4H8RND8XVKNCJ474L2J6" hidden="1">#REF!</definedName>
    <definedName name="BExZPZGQ0P3AF3O4QGLPI3O31H73" localSheetId="0" hidden="1">#REF!</definedName>
    <definedName name="BExZPZGQ0P3AF3O4QGLPI3O31H73" hidden="1">#REF!</definedName>
    <definedName name="BExZQ97GRS1JT451BUNZG7OVGF7Q" localSheetId="0" hidden="1">#REF!</definedName>
    <definedName name="BExZQ97GRS1JT451BUNZG7OVGF7Q" hidden="1">#REF!</definedName>
    <definedName name="BExZRGNSUPG6TBX2L292MP1PLVMU" localSheetId="0" hidden="1">#REF!</definedName>
    <definedName name="BExZRGNSUPG6TBX2L292MP1PLVMU" hidden="1">#REF!</definedName>
    <definedName name="BExZRYN6TKLS1N70DLRI2IKWN37Q" localSheetId="0" hidden="1">#REF!</definedName>
    <definedName name="BExZRYN6TKLS1N70DLRI2IKWN37Q" hidden="1">#REF!</definedName>
    <definedName name="BExZS1CBTC8QC8S2HIB93A2TPFQA" localSheetId="0" hidden="1">#REF!</definedName>
    <definedName name="BExZS1CBTC8QC8S2HIB93A2TPFQA" hidden="1">#REF!</definedName>
    <definedName name="BExZSYRAL38T8SFTHLEC94VZAPTB" localSheetId="0" hidden="1">#REF!</definedName>
    <definedName name="BExZSYRAL38T8SFTHLEC94VZAPTB" hidden="1">#REF!</definedName>
    <definedName name="BExZSZ21VX9ESDG8PFXHDLT82KLO" localSheetId="0" hidden="1">#REF!</definedName>
    <definedName name="BExZSZ21VX9ESDG8PFXHDLT82KLO" hidden="1">#REF!</definedName>
    <definedName name="BExZT099CSLD6DJMIKJKIXDO8GD5" localSheetId="0" hidden="1">#REF!</definedName>
    <definedName name="BExZT099CSLD6DJMIKJKIXDO8GD5" hidden="1">#REF!</definedName>
    <definedName name="BExZT4G9XWEXQ18D0PEKSEHI6WID" localSheetId="0" hidden="1">#REF!</definedName>
    <definedName name="BExZT4G9XWEXQ18D0PEKSEHI6WID" hidden="1">#REF!</definedName>
    <definedName name="BExZTC8S1L60TW34BLBQLDKD9RH4" localSheetId="0" hidden="1">#REF!</definedName>
    <definedName name="BExZTC8S1L60TW34BLBQLDKD9RH4" hidden="1">#REF!</definedName>
    <definedName name="BExZTCP3AS1RQUH3NNZGOJY7ORHW" localSheetId="0" hidden="1">#REF!</definedName>
    <definedName name="BExZTCP3AS1RQUH3NNZGOJY7ORHW" hidden="1">#REF!</definedName>
    <definedName name="BExZTYQ1JEJ7OY2XU5OVPIV2ST7B" localSheetId="0" hidden="1">#REF!</definedName>
    <definedName name="BExZTYQ1JEJ7OY2XU5OVPIV2ST7B" hidden="1">#REF!</definedName>
    <definedName name="BExZUSZSJZU49WES7TCI0N0HW4M5" localSheetId="0" hidden="1">#REF!</definedName>
    <definedName name="BExZUSZSJZU49WES7TCI0N0HW4M5" hidden="1">#REF!</definedName>
    <definedName name="BExZV4OFC4E044NV2AK8G2UA1XAF" localSheetId="0" hidden="1">#REF!</definedName>
    <definedName name="BExZV4OFC4E044NV2AK8G2UA1XAF" hidden="1">#REF!</definedName>
    <definedName name="BExZVCRRWDAEMKOMWLKW8Y589BTB" localSheetId="0" hidden="1">#REF!</definedName>
    <definedName name="BExZVCRRWDAEMKOMWLKW8Y589BTB" hidden="1">#REF!</definedName>
    <definedName name="BExZVW92BIGOE7S7BGNAK369OBAA" localSheetId="0" hidden="1">#REF!</definedName>
    <definedName name="BExZVW92BIGOE7S7BGNAK369OBAA" hidden="1">#REF!</definedName>
    <definedName name="BExZWO4ITR24TI60TY7ZB4VTJJ3K" localSheetId="0" hidden="1">#REF!</definedName>
    <definedName name="BExZWO4ITR24TI60TY7ZB4VTJJ3K" hidden="1">#REF!</definedName>
    <definedName name="BExZWTO13WI5HYOD923V9HWRJYKJ" localSheetId="0" hidden="1">#REF!</definedName>
    <definedName name="BExZWTO13WI5HYOD923V9HWRJYKJ" hidden="1">#REF!</definedName>
    <definedName name="BExZX1WSR48BBWSFW7QP7EUMPQM7" localSheetId="0" hidden="1">#REF!</definedName>
    <definedName name="BExZX1WSR48BBWSFW7QP7EUMPQM7" hidden="1">#REF!</definedName>
    <definedName name="BExZX7WLQ6UA49H4TEFYYVZW71QH" localSheetId="0" hidden="1">Weekly by #REF!</definedName>
    <definedName name="BExZX7WLQ6UA49H4TEFYYVZW71QH" localSheetId="1" hidden="1">Weekly by #REF!</definedName>
    <definedName name="BExZX7WLQ6UA49H4TEFYYVZW71QH" localSheetId="3" hidden="1">Weekly by #REF!</definedName>
    <definedName name="BExZX7WLQ6UA49H4TEFYYVZW71QH" localSheetId="7" hidden="1">Weekly by #REF!</definedName>
    <definedName name="BExZX7WLQ6UA49H4TEFYYVZW71QH" localSheetId="2" hidden="1">Weekly by #REF!</definedName>
    <definedName name="BExZX7WLQ6UA49H4TEFYYVZW71QH" localSheetId="6" hidden="1">Weekly by #REF!</definedName>
    <definedName name="BExZX7WLQ6UA49H4TEFYYVZW71QH" hidden="1">Weekly by #REF!</definedName>
    <definedName name="BExZX8I6XYE9MJFC5JUG3ZJE9YCS" localSheetId="0" hidden="1">#REF!</definedName>
    <definedName name="BExZX8I6XYE9MJFC5JUG3ZJE9YCS" localSheetId="2" hidden="1">#REF!</definedName>
    <definedName name="BExZX8I6XYE9MJFC5JUG3ZJE9YCS" hidden="1">#REF!</definedName>
    <definedName name="BExZXYA4YA3LROELPDUCJ8SP9YM0" localSheetId="0" hidden="1">#REF!</definedName>
    <definedName name="BExZXYA4YA3LROELPDUCJ8SP9YM0" localSheetId="2" hidden="1">#REF!</definedName>
    <definedName name="BExZXYA4YA3LROELPDUCJ8SP9YM0" hidden="1">#REF!</definedName>
    <definedName name="BExZYQAUREPPDTLGD2PSZ9F5TENP" localSheetId="0" hidden="1">#REF!</definedName>
    <definedName name="BExZYQAUREPPDTLGD2PSZ9F5TENP" hidden="1">#REF!</definedName>
    <definedName name="BExZZ24YQOBUJTDPVU4JE2DI81OU" localSheetId="0" hidden="1">#REF!</definedName>
    <definedName name="BExZZ24YQOBUJTDPVU4JE2DI81OU" hidden="1">#REF!</definedName>
    <definedName name="BExZZC6HAIITD2LG9VYL7VF2213L" localSheetId="0" hidden="1">#REF!</definedName>
    <definedName name="BExZZC6HAIITD2LG9VYL7VF2213L" hidden="1">#REF!</definedName>
    <definedName name="BExZZEKN19YC5T4N5QEKPIRD5U4E" localSheetId="0" hidden="1">#REF!</definedName>
    <definedName name="BExZZEKN19YC5T4N5QEKPIRD5U4E" hidden="1">#REF!</definedName>
    <definedName name="BExZZX5LNMXWHX5WKP9XRZI1YZA1" localSheetId="0" hidden="1">#REF!</definedName>
    <definedName name="BExZZX5LNMXWHX5WKP9XRZI1YZA1" hidden="1">#REF!</definedName>
    <definedName name="BIJ" localSheetId="0">#REF!</definedName>
    <definedName name="BIJ">#REF!</definedName>
    <definedName name="Blank_Row" localSheetId="0">#REF!</definedName>
    <definedName name="Blank_Row">#REF!</definedName>
    <definedName name="bllll" localSheetId="0" hidden="1">#REF!</definedName>
    <definedName name="bllll" hidden="1">#REF!</definedName>
    <definedName name="BLOCRET" localSheetId="0">#REF!</definedName>
    <definedName name="BLOCRET">#REF!</definedName>
    <definedName name="BLPH10" localSheetId="0" hidden="1">#REF!</definedName>
    <definedName name="BLPH10" hidden="1">#REF!</definedName>
    <definedName name="BLPH23" localSheetId="0" hidden="1">#REF!</definedName>
    <definedName name="BLPH23" hidden="1">#REF!</definedName>
    <definedName name="BLPH24" localSheetId="0" hidden="1">#REF!</definedName>
    <definedName name="BLPH24" hidden="1">#REF!</definedName>
    <definedName name="BLPH25" localSheetId="0" hidden="1">#REF!</definedName>
    <definedName name="BLPH25" hidden="1">#REF!</definedName>
    <definedName name="BLPH6" localSheetId="0" hidden="1">#REF!</definedName>
    <definedName name="BLPH6" hidden="1">#REF!</definedName>
    <definedName name="BLPH7" localSheetId="0" hidden="1">#REF!</definedName>
    <definedName name="BLPH7" hidden="1">#REF!</definedName>
    <definedName name="bocais" localSheetId="0">#REF!</definedName>
    <definedName name="bocais">#REF!</definedName>
    <definedName name="BOLA1" localSheetId="0">#REF!</definedName>
    <definedName name="BOLA1">#REF!</definedName>
    <definedName name="BOLA1.5" localSheetId="0">#REF!</definedName>
    <definedName name="BOLA1.5">#REF!</definedName>
    <definedName name="BOLA1.5800" localSheetId="0">#REF!</definedName>
    <definedName name="BOLA1.5800">#REF!</definedName>
    <definedName name="BOLA2" localSheetId="0">#REF!</definedName>
    <definedName name="BOLA2">#REF!</definedName>
    <definedName name="BOLA3" localSheetId="0">#REF!</definedName>
    <definedName name="BOLA3">#REF!</definedName>
    <definedName name="BRITAGEM" localSheetId="0" hidden="1">{#N/A,#N/A,FALSE,"GERAL";#N/A,#N/A,FALSE,"012-96";#N/A,#N/A,FALSE,"018-96";#N/A,#N/A,FALSE,"027-96";#N/A,#N/A,FALSE,"059-96";#N/A,#N/A,FALSE,"076-96";#N/A,#N/A,FALSE,"019-97";#N/A,#N/A,FALSE,"021-97";#N/A,#N/A,FALSE,"022-97";#N/A,#N/A,FALSE,"028-97"}</definedName>
    <definedName name="BRITAGEM" localSheetId="2" hidden="1">{#N/A,#N/A,FALSE,"GERAL";#N/A,#N/A,FALSE,"012-96";#N/A,#N/A,FALSE,"018-96";#N/A,#N/A,FALSE,"027-96";#N/A,#N/A,FALSE,"059-96";#N/A,#N/A,FALSE,"076-96";#N/A,#N/A,FALSE,"019-97";#N/A,#N/A,FALSE,"021-97";#N/A,#N/A,FALSE,"022-97";#N/A,#N/A,FALSE,"028-97"}</definedName>
    <definedName name="BRITAGEM" hidden="1">{#N/A,#N/A,FALSE,"GERAL";#N/A,#N/A,FALSE,"012-96";#N/A,#N/A,FALSE,"018-96";#N/A,#N/A,FALSE,"027-96";#N/A,#N/A,FALSE,"059-96";#N/A,#N/A,FALSE,"076-96";#N/A,#N/A,FALSE,"019-97";#N/A,#N/A,FALSE,"021-97";#N/A,#N/A,FALSE,"022-97";#N/A,#N/A,FALSE,"028-97"}</definedName>
    <definedName name="BRITAGEMFL1" localSheetId="0" hidden="1">{#N/A,#N/A,FALSE,"GERAL";#N/A,#N/A,FALSE,"012-96";#N/A,#N/A,FALSE,"018-96";#N/A,#N/A,FALSE,"027-96";#N/A,#N/A,FALSE,"059-96";#N/A,#N/A,FALSE,"076-96";#N/A,#N/A,FALSE,"019-97";#N/A,#N/A,FALSE,"021-97";#N/A,#N/A,FALSE,"022-97";#N/A,#N/A,FALSE,"028-97"}</definedName>
    <definedName name="BRITAGEMFL1" localSheetId="2" hidden="1">{#N/A,#N/A,FALSE,"GERAL";#N/A,#N/A,FALSE,"012-96";#N/A,#N/A,FALSE,"018-96";#N/A,#N/A,FALSE,"027-96";#N/A,#N/A,FALSE,"059-96";#N/A,#N/A,FALSE,"076-96";#N/A,#N/A,FALSE,"019-97";#N/A,#N/A,FALSE,"021-97";#N/A,#N/A,FALSE,"022-97";#N/A,#N/A,FALSE,"028-97"}</definedName>
    <definedName name="BRITAGEMFL1" hidden="1">{#N/A,#N/A,FALSE,"GERAL";#N/A,#N/A,FALSE,"012-96";#N/A,#N/A,FALSE,"018-96";#N/A,#N/A,FALSE,"027-96";#N/A,#N/A,FALSE,"059-96";#N/A,#N/A,FALSE,"076-96";#N/A,#N/A,FALSE,"019-97";#N/A,#N/A,FALSE,"021-97";#N/A,#N/A,FALSE,"022-97";#N/A,#N/A,FALSE,"028-97"}</definedName>
    <definedName name="BRL" localSheetId="0">#REF!</definedName>
    <definedName name="BRL">#REF!</definedName>
    <definedName name="BU" localSheetId="0">#REF!</definedName>
    <definedName name="BU">#REF!</definedName>
    <definedName name="Budget_Cum_Cost_Summary" localSheetId="0">#REF!</definedName>
    <definedName name="Budget_Cum_Cost_Summary">#REF!</definedName>
    <definedName name="Budget_Cum_Mhrs_Summary" localSheetId="0">#REF!</definedName>
    <definedName name="Budget_Cum_Mhrs_Summary">#REF!</definedName>
    <definedName name="BusinessUnit" localSheetId="0">#REF!</definedName>
    <definedName name="BusinessUnit">#REF!</definedName>
    <definedName name="BVZ" localSheetId="0" hidden="1">{#N/A,#N/A,FALSE,"GERAL";#N/A,#N/A,FALSE,"012-96";#N/A,#N/A,FALSE,"018-96";#N/A,#N/A,FALSE,"027-96";#N/A,#N/A,FALSE,"059-96";#N/A,#N/A,FALSE,"076-96";#N/A,#N/A,FALSE,"019-97";#N/A,#N/A,FALSE,"021-97";#N/A,#N/A,FALSE,"022-97";#N/A,#N/A,FALSE,"028-97"}</definedName>
    <definedName name="BVZ" localSheetId="2" hidden="1">{#N/A,#N/A,FALSE,"GERAL";#N/A,#N/A,FALSE,"012-96";#N/A,#N/A,FALSE,"018-96";#N/A,#N/A,FALSE,"027-96";#N/A,#N/A,FALSE,"059-96";#N/A,#N/A,FALSE,"076-96";#N/A,#N/A,FALSE,"019-97";#N/A,#N/A,FALSE,"021-97";#N/A,#N/A,FALSE,"022-97";#N/A,#N/A,FALSE,"028-97"}</definedName>
    <definedName name="BVZ" hidden="1">{#N/A,#N/A,FALSE,"GERAL";#N/A,#N/A,FALSE,"012-96";#N/A,#N/A,FALSE,"018-96";#N/A,#N/A,FALSE,"027-96";#N/A,#N/A,FALSE,"059-96";#N/A,#N/A,FALSE,"076-96";#N/A,#N/A,FALSE,"019-97";#N/A,#N/A,FALSE,"021-97";#N/A,#N/A,FALSE,"022-97";#N/A,#N/A,FALSE,"028-97"}</definedName>
    <definedName name="BVZB" localSheetId="0" hidden="1">{#N/A,#N/A,FALSE,"GERAL";#N/A,#N/A,FALSE,"012-96";#N/A,#N/A,FALSE,"018-96";#N/A,#N/A,FALSE,"027-96";#N/A,#N/A,FALSE,"059-96";#N/A,#N/A,FALSE,"076-96";#N/A,#N/A,FALSE,"019-97";#N/A,#N/A,FALSE,"021-97";#N/A,#N/A,FALSE,"022-97";#N/A,#N/A,FALSE,"028-97"}</definedName>
    <definedName name="BVZB" localSheetId="2" hidden="1">{#N/A,#N/A,FALSE,"GERAL";#N/A,#N/A,FALSE,"012-96";#N/A,#N/A,FALSE,"018-96";#N/A,#N/A,FALSE,"027-96";#N/A,#N/A,FALSE,"059-96";#N/A,#N/A,FALSE,"076-96";#N/A,#N/A,FALSE,"019-97";#N/A,#N/A,FALSE,"021-97";#N/A,#N/A,FALSE,"022-97";#N/A,#N/A,FALSE,"028-97"}</definedName>
    <definedName name="BVZB" hidden="1">{#N/A,#N/A,FALSE,"GERAL";#N/A,#N/A,FALSE,"012-96";#N/A,#N/A,FALSE,"018-96";#N/A,#N/A,FALSE,"027-96";#N/A,#N/A,FALSE,"059-96";#N/A,#N/A,FALSE,"076-96";#N/A,#N/A,FALSE,"019-97";#N/A,#N/A,FALSE,"021-97";#N/A,#N/A,FALSE,"022-97";#N/A,#N/A,FALSE,"028-97"}</definedName>
    <definedName name="byline" localSheetId="0">#REF!</definedName>
    <definedName name="byline">#REF!</definedName>
    <definedName name="BZCZC" localSheetId="0" hidden="1">{#N/A,#N/A,FALSE,"GERAL";#N/A,#N/A,FALSE,"012-96";#N/A,#N/A,FALSE,"018-96";#N/A,#N/A,FALSE,"027-96";#N/A,#N/A,FALSE,"059-96";#N/A,#N/A,FALSE,"076-96";#N/A,#N/A,FALSE,"019-97";#N/A,#N/A,FALSE,"021-97";#N/A,#N/A,FALSE,"022-97";#N/A,#N/A,FALSE,"028-97"}</definedName>
    <definedName name="BZCZC" localSheetId="2" hidden="1">{#N/A,#N/A,FALSE,"GERAL";#N/A,#N/A,FALSE,"012-96";#N/A,#N/A,FALSE,"018-96";#N/A,#N/A,FALSE,"027-96";#N/A,#N/A,FALSE,"059-96";#N/A,#N/A,FALSE,"076-96";#N/A,#N/A,FALSE,"019-97";#N/A,#N/A,FALSE,"021-97";#N/A,#N/A,FALSE,"022-97";#N/A,#N/A,FALSE,"028-97"}</definedName>
    <definedName name="BZCZC" hidden="1">{#N/A,#N/A,FALSE,"GERAL";#N/A,#N/A,FALSE,"012-96";#N/A,#N/A,FALSE,"018-96";#N/A,#N/A,FALSE,"027-96";#N/A,#N/A,FALSE,"059-96";#N/A,#N/A,FALSE,"076-96";#N/A,#N/A,FALSE,"019-97";#N/A,#N/A,FALSE,"021-97";#N/A,#N/A,FALSE,"022-97";#N/A,#N/A,FALSE,"028-97"}</definedName>
    <definedName name="C_fin" localSheetId="0">#REF!</definedName>
    <definedName name="C_fin">#REF!</definedName>
    <definedName name="CAB" localSheetId="0">#REF!</definedName>
    <definedName name="CAB">#REF!</definedName>
    <definedName name="Cabecalho">"Grupo 1"</definedName>
    <definedName name="cabecBol" localSheetId="0">#REF!</definedName>
    <definedName name="cabecBol">#REF!</definedName>
    <definedName name="Cable_XRef" localSheetId="0">#REF!</definedName>
    <definedName name="Cable_XRef">#REF!</definedName>
    <definedName name="cable13c10600" localSheetId="0">#REF!</definedName>
    <definedName name="cable13c10600">#REF!</definedName>
    <definedName name="cable13c12600" localSheetId="0">#REF!</definedName>
    <definedName name="cable13c12600">#REF!</definedName>
    <definedName name="cable13c20600" localSheetId="0">#REF!</definedName>
    <definedName name="cable13c20600">#REF!</definedName>
    <definedName name="cable13c350600" localSheetId="0">#REF!</definedName>
    <definedName name="cable13c350600">#REF!</definedName>
    <definedName name="cable13c40600" localSheetId="0">#REF!</definedName>
    <definedName name="cable13c40600">#REF!</definedName>
    <definedName name="cable13c500600" localSheetId="0">#REF!</definedName>
    <definedName name="cable13c500600">#REF!</definedName>
    <definedName name="cable14c10600" localSheetId="0">#REF!</definedName>
    <definedName name="cable14c10600">#REF!</definedName>
    <definedName name="cable14c12600" localSheetId="0">#REF!</definedName>
    <definedName name="cable14c12600">#REF!</definedName>
    <definedName name="cable14c4600" localSheetId="0">#REF!</definedName>
    <definedName name="cable14c4600">#REF!</definedName>
    <definedName name="cable14c6600" localSheetId="0">#REF!</definedName>
    <definedName name="cable14c6600">#REF!</definedName>
    <definedName name="cable14c8600" localSheetId="0">#REF!</definedName>
    <definedName name="cable14c8600">#REF!</definedName>
    <definedName name="cablecode20" localSheetId="0">#REF!</definedName>
    <definedName name="cablecode20">#REF!</definedName>
    <definedName name="cablecode40" localSheetId="0">#REF!</definedName>
    <definedName name="cablecode40">#REF!</definedName>
    <definedName name="caca" localSheetId="0">#REF!</definedName>
    <definedName name="caca">#REF!</definedName>
    <definedName name="CAD" localSheetId="0">#REF!</definedName>
    <definedName name="CAD">#REF!</definedName>
    <definedName name="caixa" localSheetId="0" hidden="1">{#N/A,#N/A,FALSE,"GERAL";#N/A,#N/A,FALSE,"012-96";#N/A,#N/A,FALSE,"018-96";#N/A,#N/A,FALSE,"027-96";#N/A,#N/A,FALSE,"059-96";#N/A,#N/A,FALSE,"076-96";#N/A,#N/A,FALSE,"019-97";#N/A,#N/A,FALSE,"021-97";#N/A,#N/A,FALSE,"022-97";#N/A,#N/A,FALSE,"028-97"}</definedName>
    <definedName name="caixa" localSheetId="2" hidden="1">{#N/A,#N/A,FALSE,"GERAL";#N/A,#N/A,FALSE,"012-96";#N/A,#N/A,FALSE,"018-96";#N/A,#N/A,FALSE,"027-96";#N/A,#N/A,FALSE,"059-96";#N/A,#N/A,FALSE,"076-96";#N/A,#N/A,FALSE,"019-97";#N/A,#N/A,FALSE,"021-97";#N/A,#N/A,FALSE,"022-97";#N/A,#N/A,FALSE,"028-97"}</definedName>
    <definedName name="caixa" hidden="1">{#N/A,#N/A,FALSE,"GERAL";#N/A,#N/A,FALSE,"012-96";#N/A,#N/A,FALSE,"018-96";#N/A,#N/A,FALSE,"027-96";#N/A,#N/A,FALSE,"059-96";#N/A,#N/A,FALSE,"076-96";#N/A,#N/A,FALSE,"019-97";#N/A,#N/A,FALSE,"021-97";#N/A,#N/A,FALSE,"022-97";#N/A,#N/A,FALSE,"028-97"}</definedName>
    <definedName name="caixas" localSheetId="0" hidden="1">{#N/A,#N/A,FALSE,"GERAL";#N/A,#N/A,FALSE,"012-96";#N/A,#N/A,FALSE,"018-96";#N/A,#N/A,FALSE,"027-96";#N/A,#N/A,FALSE,"059-96";#N/A,#N/A,FALSE,"076-96";#N/A,#N/A,FALSE,"019-97";#N/A,#N/A,FALSE,"021-97";#N/A,#N/A,FALSE,"022-97";#N/A,#N/A,FALSE,"028-97"}</definedName>
    <definedName name="caixas" localSheetId="2" hidden="1">{#N/A,#N/A,FALSE,"GERAL";#N/A,#N/A,FALSE,"012-96";#N/A,#N/A,FALSE,"018-96";#N/A,#N/A,FALSE,"027-96";#N/A,#N/A,FALSE,"059-96";#N/A,#N/A,FALSE,"076-96";#N/A,#N/A,FALSE,"019-97";#N/A,#N/A,FALSE,"021-97";#N/A,#N/A,FALSE,"022-97";#N/A,#N/A,FALSE,"028-97"}</definedName>
    <definedName name="caixas" hidden="1">{#N/A,#N/A,FALSE,"GERAL";#N/A,#N/A,FALSE,"012-96";#N/A,#N/A,FALSE,"018-96";#N/A,#N/A,FALSE,"027-96";#N/A,#N/A,FALSE,"059-96";#N/A,#N/A,FALSE,"076-96";#N/A,#N/A,FALSE,"019-97";#N/A,#N/A,FALSE,"021-97";#N/A,#N/A,FALSE,"022-97";#N/A,#N/A,FALSE,"028-97"}</definedName>
    <definedName name="CALBUMMEDIDAACUM2" localSheetId="0">#REF!</definedName>
    <definedName name="CALBUMMEDIDAACUM2">#REF!</definedName>
    <definedName name="calculo" localSheetId="0">#REF!</definedName>
    <definedName name="calculo">#REF!</definedName>
    <definedName name="Calde" localSheetId="0">#REF!</definedName>
    <definedName name="Calde">#REF!</definedName>
    <definedName name="Camióm" localSheetId="0" hidden="1">{"FlujoGastos",#N/A,FALSE,"Base";"FlujoGastos",#N/A,FALSE,"Buzón Tren";"FlujoGastos",#N/A,FALSE,"Buzón Camión";"FlujoGastos",#N/A,FALSE,"LHD Camión";"FlujoGastos",#N/A,FALSE,"Cámara Camión"}</definedName>
    <definedName name="Camióm" localSheetId="2" hidden="1">{"FlujoGastos",#N/A,FALSE,"Base";"FlujoGastos",#N/A,FALSE,"Buzón Tren";"FlujoGastos",#N/A,FALSE,"Buzón Camión";"FlujoGastos",#N/A,FALSE,"LHD Camión";"FlujoGastos",#N/A,FALSE,"Cámara Camión"}</definedName>
    <definedName name="Camióm" hidden="1">{"FlujoGastos",#N/A,FALSE,"Base";"FlujoGastos",#N/A,FALSE,"Buzón Tren";"FlujoGastos",#N/A,FALSE,"Buzón Camión";"FlujoGastos",#N/A,FALSE,"LHD Camión";"FlujoGastos",#N/A,FALSE,"Cámara Camión"}</definedName>
    <definedName name="CAÑ1" localSheetId="0">#REF!</definedName>
    <definedName name="CAÑ1">#REF!</definedName>
    <definedName name="CAÑ1.5" localSheetId="0">#REF!</definedName>
    <definedName name="CAÑ1.5">#REF!</definedName>
    <definedName name="CAÑ10" localSheetId="0">#REF!</definedName>
    <definedName name="CAÑ10">#REF!</definedName>
    <definedName name="CAÑ12" localSheetId="0">#REF!</definedName>
    <definedName name="CAÑ12">#REF!</definedName>
    <definedName name="CAÑ14" localSheetId="0">#REF!</definedName>
    <definedName name="CAÑ14">#REF!</definedName>
    <definedName name="CAÑ16" localSheetId="0">#REF!</definedName>
    <definedName name="CAÑ16">#REF!</definedName>
    <definedName name="CAÑ18" localSheetId="0">#REF!</definedName>
    <definedName name="CAÑ18">#REF!</definedName>
    <definedName name="CAÑ2" localSheetId="0">#REF!</definedName>
    <definedName name="CAÑ2">#REF!</definedName>
    <definedName name="CAÑ20" localSheetId="0">#REF!</definedName>
    <definedName name="CAÑ20">#REF!</definedName>
    <definedName name="CAÑ24" localSheetId="0">#REF!</definedName>
    <definedName name="CAÑ24">#REF!</definedName>
    <definedName name="CAÑ28" localSheetId="0">#REF!</definedName>
    <definedName name="CAÑ28">#REF!</definedName>
    <definedName name="CAÑ3" localSheetId="0">#REF!</definedName>
    <definedName name="CAÑ3">#REF!</definedName>
    <definedName name="CAÑ30" localSheetId="0">#REF!</definedName>
    <definedName name="CAÑ30">#REF!</definedName>
    <definedName name="CAÑ36" localSheetId="0">#REF!</definedName>
    <definedName name="CAÑ36">#REF!</definedName>
    <definedName name="CAÑ4" localSheetId="0">#REF!</definedName>
    <definedName name="CAÑ4">#REF!</definedName>
    <definedName name="CAÑ6" localSheetId="0">#REF!</definedName>
    <definedName name="CAÑ6">#REF!</definedName>
    <definedName name="CAÑ8" localSheetId="0">#REF!</definedName>
    <definedName name="CAÑ8">#REF!</definedName>
    <definedName name="CANCEL" localSheetId="0">#REF!</definedName>
    <definedName name="CANCEL">#REF!</definedName>
    <definedName name="CANCELADA" localSheetId="0">#REF!</definedName>
    <definedName name="CANCELADA">#REF!</definedName>
    <definedName name="CAÑmenor1" localSheetId="0">#REF!</definedName>
    <definedName name="CAÑmenor1">#REF!</definedName>
    <definedName name="CANT" localSheetId="0">#REF!</definedName>
    <definedName name="CANT">#REF!</definedName>
    <definedName name="CANTEIRO" localSheetId="0">#REF!</definedName>
    <definedName name="CANTEIRO">#REF!</definedName>
    <definedName name="capa" localSheetId="0">#REF!</definedName>
    <definedName name="capa">#REF!</definedName>
    <definedName name="CAPA2" localSheetId="0">#REF!</definedName>
    <definedName name="CAPA2">#REF!</definedName>
    <definedName name="CAPEX" localSheetId="0">#REF!</definedName>
    <definedName name="CAPEX">#REF!</definedName>
    <definedName name="CAPTAÇÃO" localSheetId="0" hidden="1">{#N/A,#N/A,FALSE,"GERAL";#N/A,#N/A,FALSE,"012-96";#N/A,#N/A,FALSE,"018-96";#N/A,#N/A,FALSE,"027-96";#N/A,#N/A,FALSE,"059-96";#N/A,#N/A,FALSE,"076-96";#N/A,#N/A,FALSE,"019-97";#N/A,#N/A,FALSE,"021-97";#N/A,#N/A,FALSE,"022-97";#N/A,#N/A,FALSE,"028-97"}</definedName>
    <definedName name="CAPTAÇÃO" localSheetId="2" hidden="1">{#N/A,#N/A,FALSE,"GERAL";#N/A,#N/A,FALSE,"012-96";#N/A,#N/A,FALSE,"018-96";#N/A,#N/A,FALSE,"027-96";#N/A,#N/A,FALSE,"059-96";#N/A,#N/A,FALSE,"076-96";#N/A,#N/A,FALSE,"019-97";#N/A,#N/A,FALSE,"021-97";#N/A,#N/A,FALSE,"022-97";#N/A,#N/A,FALSE,"028-97"}</definedName>
    <definedName name="CAPTAÇÃO" hidden="1">{#N/A,#N/A,FALSE,"GERAL";#N/A,#N/A,FALSE,"012-96";#N/A,#N/A,FALSE,"018-96";#N/A,#N/A,FALSE,"027-96";#N/A,#N/A,FALSE,"059-96";#N/A,#N/A,FALSE,"076-96";#N/A,#N/A,FALSE,"019-97";#N/A,#N/A,FALSE,"021-97";#N/A,#N/A,FALSE,"022-97";#N/A,#N/A,FALSE,"028-97"}</definedName>
    <definedName name="CAR" localSheetId="0">#REF!</definedName>
    <definedName name="CAR">#REF!</definedName>
    <definedName name="caracProcessoCompra" localSheetId="0">#REF!</definedName>
    <definedName name="caracProcessoCompra">#REF!</definedName>
    <definedName name="CARGOS_E_SALÁRIOS" localSheetId="0">#REF!</definedName>
    <definedName name="CARGOS_E_SALÁRIOS">#REF!</definedName>
    <definedName name="casa" localSheetId="0" hidden="1">{#N/A,#N/A,FALSE,"masez (10)";#N/A,#N/A,FALSE,"masez (7)";#N/A,#N/A,FALSE,"masez (6)";#N/A,#N/A,FALSE,"masez (5)";#N/A,#N/A,FALSE,"masez (4)";#N/A,#N/A,FALSE,"masez (3)";#N/A,#N/A,FALSE,"masez (2)";#N/A,#N/A,FALSE,"GME";#N/A,#N/A,FALSE,"masez"}</definedName>
    <definedName name="casa" localSheetId="2" hidden="1">{#N/A,#N/A,FALSE,"masez (10)";#N/A,#N/A,FALSE,"masez (7)";#N/A,#N/A,FALSE,"masez (6)";#N/A,#N/A,FALSE,"masez (5)";#N/A,#N/A,FALSE,"masez (4)";#N/A,#N/A,FALSE,"masez (3)";#N/A,#N/A,FALSE,"masez (2)";#N/A,#N/A,FALSE,"GME";#N/A,#N/A,FALSE,"masez"}</definedName>
    <definedName name="casa" hidden="1">{#N/A,#N/A,FALSE,"masez (10)";#N/A,#N/A,FALSE,"masez (7)";#N/A,#N/A,FALSE,"masez (6)";#N/A,#N/A,FALSE,"masez (5)";#N/A,#N/A,FALSE,"masez (4)";#N/A,#N/A,FALSE,"masez (3)";#N/A,#N/A,FALSE,"masez (2)";#N/A,#N/A,FALSE,"GME";#N/A,#N/A,FALSE,"masez"}</definedName>
    <definedName name="cat" localSheetId="0">#REF!</definedName>
    <definedName name="cat">#REF!</definedName>
    <definedName name="CATEG" localSheetId="0">#REF!</definedName>
    <definedName name="CATEG">#REF!</definedName>
    <definedName name="categoria" localSheetId="0">#REF!</definedName>
    <definedName name="categoria">#REF!</definedName>
    <definedName name="Categorias" localSheetId="0">#REF!</definedName>
    <definedName name="Categorias">#REF!</definedName>
    <definedName name="Categorias1" localSheetId="0">#REF!</definedName>
    <definedName name="Categorias1">#REF!</definedName>
    <definedName name="CatRange">#REF!</definedName>
    <definedName name="CBWorkbookPriority" hidden="1">-568686334</definedName>
    <definedName name="cc" localSheetId="0"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cc" localSheetId="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cc"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CCC" localSheetId="0" hidden="1">{#N/A,#N/A,FALSE,"GERAL";#N/A,#N/A,FALSE,"012-96";#N/A,#N/A,FALSE,"018-96";#N/A,#N/A,FALSE,"027-96";#N/A,#N/A,FALSE,"059-96";#N/A,#N/A,FALSE,"076-96";#N/A,#N/A,FALSE,"019-97";#N/A,#N/A,FALSE,"021-97";#N/A,#N/A,FALSE,"022-97";#N/A,#N/A,FALSE,"028-97"}</definedName>
    <definedName name="CCC" localSheetId="2" hidden="1">{#N/A,#N/A,FALSE,"GERAL";#N/A,#N/A,FALSE,"012-96";#N/A,#N/A,FALSE,"018-96";#N/A,#N/A,FALSE,"027-96";#N/A,#N/A,FALSE,"059-96";#N/A,#N/A,FALSE,"076-96";#N/A,#N/A,FALSE,"019-97";#N/A,#N/A,FALSE,"021-97";#N/A,#N/A,FALSE,"022-97";#N/A,#N/A,FALSE,"028-97"}</definedName>
    <definedName name="CCC" hidden="1">{#N/A,#N/A,FALSE,"GERAL";#N/A,#N/A,FALSE,"012-96";#N/A,#N/A,FALSE,"018-96";#N/A,#N/A,FALSE,"027-96";#N/A,#N/A,FALSE,"059-96";#N/A,#N/A,FALSE,"076-96";#N/A,#N/A,FALSE,"019-97";#N/A,#N/A,FALSE,"021-97";#N/A,#N/A,FALSE,"022-97";#N/A,#N/A,FALSE,"028-97"}</definedName>
    <definedName name="CCCCC" localSheetId="0" hidden="1">#REF!</definedName>
    <definedName name="CCCCC" hidden="1">#REF!</definedName>
    <definedName name="cccccc" localSheetId="0" hidden="1">{#N/A,#N/A,FALSE,"minas";#N/A,#N/A,FALSE,"Total_OC015";#N/A,#N/A,FALSE,"ADMIN";#N/A,#N/A,FALSE,"PROCES";#N/A,#N/A,FALSE,"civil";#N/A,#N/A,FALSE,"CAÑER";#N/A,#N/A,FALSE,"ELEC";#N/A,#N/A,FALSE,"INSTR";#N/A,#N/A,FALSE,"PDS";#N/A,#N/A,FALSE,"mecan"}</definedName>
    <definedName name="cccccc" localSheetId="2" hidden="1">{#N/A,#N/A,FALSE,"minas";#N/A,#N/A,FALSE,"Total_OC015";#N/A,#N/A,FALSE,"ADMIN";#N/A,#N/A,FALSE,"PROCES";#N/A,#N/A,FALSE,"civil";#N/A,#N/A,FALSE,"CAÑER";#N/A,#N/A,FALSE,"ELEC";#N/A,#N/A,FALSE,"INSTR";#N/A,#N/A,FALSE,"PDS";#N/A,#N/A,FALSE,"mecan"}</definedName>
    <definedName name="cccccc" hidden="1">{#N/A,#N/A,FALSE,"minas";#N/A,#N/A,FALSE,"Total_OC015";#N/A,#N/A,FALSE,"ADMIN";#N/A,#N/A,FALSE,"PROCES";#N/A,#N/A,FALSE,"civil";#N/A,#N/A,FALSE,"CAÑER";#N/A,#N/A,FALSE,"ELEC";#N/A,#N/A,FALSE,"INSTR";#N/A,#N/A,FALSE,"PDS";#N/A,#N/A,FALSE,"mecan"}</definedName>
    <definedName name="CCLI" localSheetId="0">#REF!</definedName>
    <definedName name="CCLI">#REF!</definedName>
    <definedName name="CCM" localSheetId="0">#REF!</definedName>
    <definedName name="CCM" localSheetId="2">#REF!</definedName>
    <definedName name="CCM">#REF!</definedName>
    <definedName name="CCMKUP" localSheetId="0">#REF!</definedName>
    <definedName name="CCMKUP">#REF!</definedName>
    <definedName name="ccmkup1" localSheetId="0">#REF!</definedName>
    <definedName name="ccmkup1">#REF!</definedName>
    <definedName name="cdn_tac" localSheetId="0">#REF!</definedName>
    <definedName name="cdn_tac">#REF!</definedName>
    <definedName name="Cem" localSheetId="0">{"cento","duzentos","trezentos","quatrocentos","quinhentos","seiscentos","setecentos","oitocentos","novecentos"}</definedName>
    <definedName name="Cem" localSheetId="2">{"cento","duzentos","trezentos","quatrocentos","quinhentos","seiscentos","setecentos","oitocentos","novecentos"}</definedName>
    <definedName name="Cem">{"cento","duzentos","trezentos","quatrocentos","quinhentos","seiscentos","setecentos","oitocentos","novecentos"}</definedName>
    <definedName name="cf" localSheetId="0">#REF!</definedName>
    <definedName name="cf">#REF!</definedName>
    <definedName name="CF_base" localSheetId="0">#REF!</definedName>
    <definedName name="CF_base">#REF!</definedName>
    <definedName name="cfl" localSheetId="0">#REF!</definedName>
    <definedName name="cfl">#REF!</definedName>
    <definedName name="cfl_u" localSheetId="0">#REF!</definedName>
    <definedName name="cfl_u">#REF!</definedName>
    <definedName name="Chancador" localSheetId="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2"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EC" localSheetId="0">#REF!</definedName>
    <definedName name="CHEC">#REF!</definedName>
    <definedName name="CHSFH" localSheetId="0" hidden="1">{#N/A,#N/A,FALSE,"masez (10)";#N/A,#N/A,FALSE,"masez (7)";#N/A,#N/A,FALSE,"masez (6)";#N/A,#N/A,FALSE,"masez (5)";#N/A,#N/A,FALSE,"masez (4)";#N/A,#N/A,FALSE,"masez (3)";#N/A,#N/A,FALSE,"masez (2)";#N/A,#N/A,FALSE,"GME";#N/A,#N/A,FALSE,"masez"}</definedName>
    <definedName name="CHSFH" localSheetId="2" hidden="1">{#N/A,#N/A,FALSE,"masez (10)";#N/A,#N/A,FALSE,"masez (7)";#N/A,#N/A,FALSE,"masez (6)";#N/A,#N/A,FALSE,"masez (5)";#N/A,#N/A,FALSE,"masez (4)";#N/A,#N/A,FALSE,"masez (3)";#N/A,#N/A,FALSE,"masez (2)";#N/A,#N/A,FALSE,"GME";#N/A,#N/A,FALSE,"masez"}</definedName>
    <definedName name="CHSFH" hidden="1">{#N/A,#N/A,FALSE,"masez (10)";#N/A,#N/A,FALSE,"masez (7)";#N/A,#N/A,FALSE,"masez (6)";#N/A,#N/A,FALSE,"masez (5)";#N/A,#N/A,FALSE,"masez (4)";#N/A,#N/A,FALSE,"masez (3)";#N/A,#N/A,FALSE,"masez (2)";#N/A,#N/A,FALSE,"GME";#N/A,#N/A,FALSE,"masez"}</definedName>
    <definedName name="CHUQUICAMATA__BANCOS_de_MENOR_ALTURA_PROPOSAL" localSheetId="0">#REF!</definedName>
    <definedName name="CHUQUICAMATA__BANCOS_de_MENOR_ALTURA_PROPOSAL">#REF!</definedName>
    <definedName name="CI" localSheetId="0">#REF!</definedName>
    <definedName name="CI">#REF!</definedName>
    <definedName name="CIERR" localSheetId="0">#REF!</definedName>
    <definedName name="CIERR">#REF!</definedName>
    <definedName name="CIMENTO" localSheetId="0">#REF!</definedName>
    <definedName name="CIMENTO">#REF!</definedName>
    <definedName name="CIQWBGuid" hidden="1">"292ec64e-9bc1-419b-9a52-d55b1782643c"</definedName>
    <definedName name="Class" localSheetId="0">#REF!</definedName>
    <definedName name="Class">#REF!</definedName>
    <definedName name="Client_Name" localSheetId="0">#REF!</definedName>
    <definedName name="Client_Name">#REF!</definedName>
    <definedName name="CLP" localSheetId="0">#REF!</definedName>
    <definedName name="CLP">#REF!</definedName>
    <definedName name="cm" localSheetId="0">#REF!</definedName>
    <definedName name="cm">#REF!</definedName>
    <definedName name="CMC" localSheetId="0" hidden="1">{#N/A,#N/A,FALSE,"GERAL";#N/A,#N/A,FALSE,"012-96";#N/A,#N/A,FALSE,"018-96";#N/A,#N/A,FALSE,"027-96";#N/A,#N/A,FALSE,"059-96";#N/A,#N/A,FALSE,"076-96";#N/A,#N/A,FALSE,"019-97";#N/A,#N/A,FALSE,"021-97";#N/A,#N/A,FALSE,"022-97";#N/A,#N/A,FALSE,"028-97"}</definedName>
    <definedName name="CMC" localSheetId="2" hidden="1">{#N/A,#N/A,FALSE,"GERAL";#N/A,#N/A,FALSE,"012-96";#N/A,#N/A,FALSE,"018-96";#N/A,#N/A,FALSE,"027-96";#N/A,#N/A,FALSE,"059-96";#N/A,#N/A,FALSE,"076-96";#N/A,#N/A,FALSE,"019-97";#N/A,#N/A,FALSE,"021-97";#N/A,#N/A,FALSE,"022-97";#N/A,#N/A,FALSE,"028-97"}</definedName>
    <definedName name="CMC" hidden="1">{#N/A,#N/A,FALSE,"GERAL";#N/A,#N/A,FALSE,"012-96";#N/A,#N/A,FALSE,"018-96";#N/A,#N/A,FALSE,"027-96";#N/A,#N/A,FALSE,"059-96";#N/A,#N/A,FALSE,"076-96";#N/A,#N/A,FALSE,"019-97";#N/A,#N/A,FALSE,"021-97";#N/A,#N/A,FALSE,"022-97";#N/A,#N/A,FALSE,"028-97"}</definedName>
    <definedName name="CMMKUP" localSheetId="0">#REF!</definedName>
    <definedName name="CMMKUP">#REF!</definedName>
    <definedName name="CNCF" localSheetId="0">#REF!</definedName>
    <definedName name="CNCF">#REF!</definedName>
    <definedName name="CNY" localSheetId="0">#REF!</definedName>
    <definedName name="CNY">#REF!</definedName>
    <definedName name="CO" localSheetId="0">#REF!</definedName>
    <definedName name="CO">#REF!</definedName>
    <definedName name="COD" localSheetId="0">#REF!</definedName>
    <definedName name="COD">#REF!</definedName>
    <definedName name="Code_Facilities" localSheetId="0">#REF!</definedName>
    <definedName name="Code_Facilities">#REF!</definedName>
    <definedName name="Code_List" localSheetId="0">#REF!</definedName>
    <definedName name="Code_List">#REF!</definedName>
    <definedName name="Code_Owner" localSheetId="0">#REF!</definedName>
    <definedName name="Code_Owner">#REF!</definedName>
    <definedName name="Code_Plant" localSheetId="0">#REF!</definedName>
    <definedName name="Code_Plant">#REF!</definedName>
    <definedName name="CODENOME1" hidden="1">#N/A</definedName>
    <definedName name="CODIGO" localSheetId="0">#REF!</definedName>
    <definedName name="CODIGO">#REF!</definedName>
    <definedName name="codservn" localSheetId="0">#REF!</definedName>
    <definedName name="codservn">#REF!</definedName>
    <definedName name="COEFCUSIND" localSheetId="0">#REF!</definedName>
    <definedName name="COEFCUSIND" localSheetId="2">#REF!</definedName>
    <definedName name="COEFCUSIND">#REF!</definedName>
    <definedName name="Comb.OpçãoLocação" localSheetId="0">#REF!</definedName>
    <definedName name="Comb.OpçãoLocação">#REF!</definedName>
    <definedName name="Comb.Transp.Operac." localSheetId="0">#REF!</definedName>
    <definedName name="Comb.Transp.Operac.">#REF!</definedName>
    <definedName name="Combustível" localSheetId="0">#REF!</definedName>
    <definedName name="Combustível">#REF!</definedName>
    <definedName name="Comissão" localSheetId="0">#REF!</definedName>
    <definedName name="Comissão">#REF!</definedName>
    <definedName name="COMISSIONAMENTO" localSheetId="0">#REF!</definedName>
    <definedName name="COMISSIONAMENTO">#REF!</definedName>
    <definedName name="COML_BARBOSA" localSheetId="0">#REF!</definedName>
    <definedName name="COML_BARBOSA">#REF!</definedName>
    <definedName name="Comm" localSheetId="0">#REF!</definedName>
    <definedName name="Comm">#REF!</definedName>
    <definedName name="Commissiong" localSheetId="0">#REF!</definedName>
    <definedName name="Commissiong">#REF!</definedName>
    <definedName name="COMMISSIONING" localSheetId="0">#REF!</definedName>
    <definedName name="COMMISSIONING">#REF!</definedName>
    <definedName name="COMP" localSheetId="0">#REF!</definedName>
    <definedName name="COMP">#REF!</definedName>
    <definedName name="COMP.18" localSheetId="0">#REF!</definedName>
    <definedName name="COMP.18">#REF!</definedName>
    <definedName name="COMP_CLI" localSheetId="0">#REF!</definedName>
    <definedName name="COMP_CLI" localSheetId="2">QQP!COMP_CLI</definedName>
    <definedName name="COMP_CLI">#REF!</definedName>
    <definedName name="COMP1.5MA" localSheetId="0">#REF!</definedName>
    <definedName name="COMP1.5MA">#REF!</definedName>
    <definedName name="COMP1MA" localSheetId="0">#REF!</definedName>
    <definedName name="COMP1MA">#REF!</definedName>
    <definedName name="COMP2MA" localSheetId="0">#REF!</definedName>
    <definedName name="COMP2MA">#REF!</definedName>
    <definedName name="COMP3_4MA" localSheetId="0">#REF!</definedName>
    <definedName name="COMP3_4MA">#REF!</definedName>
    <definedName name="COMP3MA" localSheetId="0">#REF!</definedName>
    <definedName name="COMP3MA">#REF!</definedName>
    <definedName name="COMP4" localSheetId="0">#REF!</definedName>
    <definedName name="COMP4">#REF!</definedName>
    <definedName name="COMP6" localSheetId="0">#REF!</definedName>
    <definedName name="COMP6">#REF!</definedName>
    <definedName name="COMP8" localSheetId="0">#REF!</definedName>
    <definedName name="COMP8">#REF!</definedName>
    <definedName name="Company" localSheetId="0">#REF!</definedName>
    <definedName name="Company">#REF!</definedName>
    <definedName name="Company_List" localSheetId="0">#REF!</definedName>
    <definedName name="Company_List">#REF!</definedName>
    <definedName name="Completion_Incentive" localSheetId="0">#REF!</definedName>
    <definedName name="Completion_Incentive">#REF!</definedName>
    <definedName name="compo1" localSheetId="0">#REF!</definedName>
    <definedName name="compo1">#REF!</definedName>
    <definedName name="composicao" localSheetId="0">#REF!</definedName>
    <definedName name="composicao">#REF!</definedName>
    <definedName name="COMPUTERS" localSheetId="0">#REF!</definedName>
    <definedName name="COMPUTERS">#REF!</definedName>
    <definedName name="conc" localSheetId="0">#REF!</definedName>
    <definedName name="conc">#REF!</definedName>
    <definedName name="conc30" localSheetId="0">#REF!</definedName>
    <definedName name="conc30">#REF!</definedName>
    <definedName name="CONCENTRACION_1" localSheetId="0">#REF!</definedName>
    <definedName name="CONCENTRACION_1">#REF!</definedName>
    <definedName name="CONCENTRACION_3" localSheetId="0">#REF!</definedName>
    <definedName name="CONCENTRACION_3">#REF!</definedName>
    <definedName name="CONCENTRACON_2" localSheetId="0">#REF!</definedName>
    <definedName name="CONCENTRACON_2">#REF!</definedName>
    <definedName name="CONCRETE" localSheetId="0">#REF!</definedName>
    <definedName name="CONCRETE">#REF!</definedName>
    <definedName name="CONCRETO" localSheetId="0" hidden="1">#REF!</definedName>
    <definedName name="CONCRETO" hidden="1">#REF!</definedName>
    <definedName name="Concreto_fck___150_kgf_cm2" localSheetId="0">#REF!</definedName>
    <definedName name="Concreto_fck___150_kgf_cm2">#REF!</definedName>
    <definedName name="cond1" localSheetId="0">#REF!</definedName>
    <definedName name="cond1">#REF!</definedName>
    <definedName name="cond1.5" localSheetId="0">#REF!</definedName>
    <definedName name="cond1.5">#REF!</definedName>
    <definedName name="cond2" localSheetId="0">#REF!</definedName>
    <definedName name="cond2">#REF!</definedName>
    <definedName name="cond3" localSheetId="0">#REF!</definedName>
    <definedName name="cond3">#REF!</definedName>
    <definedName name="cond3_4" localSheetId="0">#REF!</definedName>
    <definedName name="cond3_4">#REF!</definedName>
    <definedName name="cond4" localSheetId="0">#REF!</definedName>
    <definedName name="cond4">#REF!</definedName>
    <definedName name="CONDACGA" localSheetId="0">#REF!</definedName>
    <definedName name="CONDACGA">#REF!</definedName>
    <definedName name="condicionadores" localSheetId="0">#REF!</definedName>
    <definedName name="condicionadores">#REF!</definedName>
    <definedName name="condiocionador" localSheetId="0">#REF!</definedName>
    <definedName name="condiocionador">#REF!</definedName>
    <definedName name="Confidence_Level" localSheetId="0">#REF!</definedName>
    <definedName name="Confidence_Level">#REF!</definedName>
    <definedName name="CONO1" localSheetId="0">#REF!</definedName>
    <definedName name="CONO1">#REF!</definedName>
    <definedName name="CONO2" localSheetId="0">#REF!</definedName>
    <definedName name="CONO2">#REF!</definedName>
    <definedName name="Considerações" localSheetId="0"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Considerações" localSheetId="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Considerações"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CONST_MANAGEMENT" localSheetId="0">#REF!</definedName>
    <definedName name="CONST_MANAGEMENT">#REF!</definedName>
    <definedName name="CONST_MG" localSheetId="0">#REF!</definedName>
    <definedName name="CONST_MG">#REF!</definedName>
    <definedName name="CONSTRUÇÃO_E_MONTAGEM" localSheetId="0">#REF!</definedName>
    <definedName name="CONSTRUÇÃO_E_MONTAGEM">#REF!</definedName>
    <definedName name="Construction" localSheetId="0">#REF!</definedName>
    <definedName name="Construction">#REF!</definedName>
    <definedName name="Consulta5" localSheetId="0">#REF!</definedName>
    <definedName name="Consulta5">#REF!</definedName>
    <definedName name="Consultor_Procesos" localSheetId="0">#REF!</definedName>
    <definedName name="Consultor_Procesos">#REF!</definedName>
    <definedName name="CONT" localSheetId="0">#REF!</definedName>
    <definedName name="CONT">#REF!</definedName>
    <definedName name="Cont_150" localSheetId="0">#REF!</definedName>
    <definedName name="Cont_150">#REF!</definedName>
    <definedName name="Cont_ObrasNuevas" localSheetId="0">#REF!</definedName>
    <definedName name="Cont_ObrasNuevas">#REF!</definedName>
    <definedName name="Cont_ON" localSheetId="0">#REF!</definedName>
    <definedName name="Cont_ON">#REF!</definedName>
    <definedName name="Cont_Sup_150" localSheetId="0">#REF!</definedName>
    <definedName name="Cont_Sup_150">#REF!</definedName>
    <definedName name="CONT1" localSheetId="0">#REF!</definedName>
    <definedName name="CONT1">#REF!</definedName>
    <definedName name="CONT2" localSheetId="0">#REF!</definedName>
    <definedName name="CONT2">#REF!</definedName>
    <definedName name="CONT3" localSheetId="0">#REF!</definedName>
    <definedName name="CONT3">#REF!</definedName>
    <definedName name="CONT4" localSheetId="0">#REF!</definedName>
    <definedName name="CONT4">#REF!</definedName>
    <definedName name="CONT5" localSheetId="0">#REF!</definedName>
    <definedName name="CONT5">#REF!</definedName>
    <definedName name="CONT6" localSheetId="0">#REF!</definedName>
    <definedName name="CONT6">#REF!</definedName>
    <definedName name="CONT7" localSheetId="0">#REF!</definedName>
    <definedName name="CONT7">#REF!</definedName>
    <definedName name="CONT8" localSheetId="0">#REF!</definedName>
    <definedName name="CONT8">#REF!</definedName>
    <definedName name="CONT9" localSheetId="0">#REF!</definedName>
    <definedName name="CONT9">#REF!</definedName>
    <definedName name="Contenido" localSheetId="0">#REF!</definedName>
    <definedName name="Contenido">#REF!</definedName>
    <definedName name="Contingencia_150" localSheetId="0">#REF!</definedName>
    <definedName name="Contingencia_150">#REF!</definedName>
    <definedName name="Contingency" localSheetId="0">#REF!</definedName>
    <definedName name="Contingency">#REF!</definedName>
    <definedName name="Contratada" localSheetId="0">#REF!</definedName>
    <definedName name="Contratada">#REF!</definedName>
    <definedName name="Contrato" localSheetId="0">#REF!</definedName>
    <definedName name="Contrato">#REF!</definedName>
    <definedName name="CONTROLE" localSheetId="0">#REF!</definedName>
    <definedName name="CONTROLE">#REF!</definedName>
    <definedName name="ControlKeyList" localSheetId="0">#REF!</definedName>
    <definedName name="ControlKeyList">#REF!</definedName>
    <definedName name="Conversao" localSheetId="0">#REF!</definedName>
    <definedName name="Conversao">#REF!</definedName>
    <definedName name="CONVERT" localSheetId="0">#REF!</definedName>
    <definedName name="CONVERT">#REF!</definedName>
    <definedName name="COORD" localSheetId="0">#REF!</definedName>
    <definedName name="COORD">#REF!</definedName>
    <definedName name="Coordenador" localSheetId="0">#REF!</definedName>
    <definedName name="Coordenador">#REF!</definedName>
    <definedName name="Coordenador2" localSheetId="0">#REF!</definedName>
    <definedName name="Coordenador2">#REF!</definedName>
    <definedName name="copiaranch" localSheetId="0"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copiaranch" localSheetId="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copiaranch"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copiaranch2" localSheetId="0"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copiaranch2" localSheetId="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copiaranch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CORREA" localSheetId="0">#REF!</definedName>
    <definedName name="CORREA">#REF!</definedName>
    <definedName name="Correas" localSheetId="0" hidden="1">{"desarrollo",#N/A,FALSE,"Cámara Camión";"resumen",#N/A,FALSE,"Cámara Camión";"eqprod",#N/A,FALSE,"Cámara Camión"}</definedName>
    <definedName name="Correas" localSheetId="2" hidden="1">{"desarrollo",#N/A,FALSE,"Cámara Camión";"resumen",#N/A,FALSE,"Cámara Camión";"eqprod",#N/A,FALSE,"Cámara Camión"}</definedName>
    <definedName name="Correas" hidden="1">{"desarrollo",#N/A,FALSE,"Cámara Camión";"resumen",#N/A,FALSE,"Cámara Camión";"eqprod",#N/A,FALSE,"Cámara Camión"}</definedName>
    <definedName name="CorrosionAllowance" localSheetId="0">#REF!</definedName>
    <definedName name="CorrosionAllowance">#REF!</definedName>
    <definedName name="Cost" localSheetId="0">#REF!</definedName>
    <definedName name="Cost">#REF!</definedName>
    <definedName name="costo" localSheetId="0">#REF!</definedName>
    <definedName name="costo">#REF!</definedName>
    <definedName name="COSTO_DOTACION" localSheetId="0">#REF!</definedName>
    <definedName name="COSTO_DOTACION">#REF!</definedName>
    <definedName name="COSTO_FINAL" localSheetId="0">#REF!</definedName>
    <definedName name="COSTO_FINAL">#REF!</definedName>
    <definedName name="COSTO1" localSheetId="0">#REF!</definedName>
    <definedName name="COSTO1">#REF!</definedName>
    <definedName name="COSTO2" localSheetId="0">#REF!</definedName>
    <definedName name="COSTO2">#REF!</definedName>
    <definedName name="COSTO3" localSheetId="0">#REF!</definedName>
    <definedName name="COSTO3">#REF!</definedName>
    <definedName name="COSTO4" localSheetId="0">#REF!</definedName>
    <definedName name="COSTO4">#REF!</definedName>
    <definedName name="COSTO5" localSheetId="0">#REF!</definedName>
    <definedName name="COSTO5">#REF!</definedName>
    <definedName name="costos" localSheetId="0">#REF!</definedName>
    <definedName name="costos">#REF!</definedName>
    <definedName name="costsum1" localSheetId="0">#REF!</definedName>
    <definedName name="costsum1">#REF!</definedName>
    <definedName name="costsum2" localSheetId="0">#REF!</definedName>
    <definedName name="costsum2">#REF!</definedName>
    <definedName name="costsum3" localSheetId="0">#REF!</definedName>
    <definedName name="costsum3">#REF!</definedName>
    <definedName name="Countries">#REF!</definedName>
    <definedName name="CPUX" localSheetId="0">#REF!</definedName>
    <definedName name="CPUX">#REF!</definedName>
    <definedName name="crit6" localSheetId="0">#REF!</definedName>
    <definedName name="crit6">#REF!</definedName>
    <definedName name="Criteria" localSheetId="0">#REF!</definedName>
    <definedName name="Criteria">#REF!</definedName>
    <definedName name="criteria1" localSheetId="0">#REF!</definedName>
    <definedName name="criteria1">#REF!</definedName>
    <definedName name="criteria4" localSheetId="0">#REF!</definedName>
    <definedName name="criteria4">#REF!</definedName>
    <definedName name="Criterias" localSheetId="0">#REF!</definedName>
    <definedName name="Criterias">#REF!</definedName>
    <definedName name="_xlnm.Criteria" localSheetId="0">#REF!</definedName>
    <definedName name="_xlnm.Criteria">#REF!</definedName>
    <definedName name="Criterios1" localSheetId="0">#REF!</definedName>
    <definedName name="Criterios1">#REF!</definedName>
    <definedName name="CRO">#N/A</definedName>
    <definedName name="CRT" localSheetId="0">#REF!</definedName>
    <definedName name="CRT">#REF!</definedName>
    <definedName name="cs_fase1" localSheetId="0">#REF!</definedName>
    <definedName name="cs_fase1">#REF!</definedName>
    <definedName name="CSA" localSheetId="0">#REF!</definedName>
    <definedName name="CSA">#REF!</definedName>
    <definedName name="CSNo" localSheetId="0">#REF!</definedName>
    <definedName name="CSNo">#REF!</definedName>
    <definedName name="CSPP" localSheetId="0">#REF!</definedName>
    <definedName name="CSPP">#REF!</definedName>
    <definedName name="CSYes" localSheetId="0">#REF!</definedName>
    <definedName name="CSYes">#REF!</definedName>
    <definedName name="ct" localSheetId="0">#REF!</definedName>
    <definedName name="ct">#REF!</definedName>
    <definedName name="cta" localSheetId="0">#REF!</definedName>
    <definedName name="cta">#REF!</definedName>
    <definedName name="CTH" localSheetId="0" hidden="1">{#N/A,#N/A,FALSE,"GERAL";#N/A,#N/A,FALSE,"012-96";#N/A,#N/A,FALSE,"018-96";#N/A,#N/A,FALSE,"027-96";#N/A,#N/A,FALSE,"059-96";#N/A,#N/A,FALSE,"076-96";#N/A,#N/A,FALSE,"019-97";#N/A,#N/A,FALSE,"021-97";#N/A,#N/A,FALSE,"022-97";#N/A,#N/A,FALSE,"028-97"}</definedName>
    <definedName name="CTH" localSheetId="2" hidden="1">{#N/A,#N/A,FALSE,"GERAL";#N/A,#N/A,FALSE,"012-96";#N/A,#N/A,FALSE,"018-96";#N/A,#N/A,FALSE,"027-96";#N/A,#N/A,FALSE,"059-96";#N/A,#N/A,FALSE,"076-96";#N/A,#N/A,FALSE,"019-97";#N/A,#N/A,FALSE,"021-97";#N/A,#N/A,FALSE,"022-97";#N/A,#N/A,FALSE,"028-97"}</definedName>
    <definedName name="CTH" hidden="1">{#N/A,#N/A,FALSE,"GERAL";#N/A,#N/A,FALSE,"012-96";#N/A,#N/A,FALSE,"018-96";#N/A,#N/A,FALSE,"027-96";#N/A,#N/A,FALSE,"059-96";#N/A,#N/A,FALSE,"076-96";#N/A,#N/A,FALSE,"019-97";#N/A,#N/A,FALSE,"021-97";#N/A,#N/A,FALSE,"022-97";#N/A,#N/A,FALSE,"028-97"}</definedName>
    <definedName name="cu" localSheetId="0">#REF!</definedName>
    <definedName name="cu">#REF!</definedName>
    <definedName name="cub" localSheetId="0" hidden="1">{#N/A,#N/A,FALSE,"RESUMEN";#N/A,#N/A,FALSE,"GG-GI";#N/A,#N/A,FALSE,"AMB";#N/A,#N/A,FALSE,"EyR";#N/A,#N/A,FALSE,"UCP";#N/A,#N/A,FALSE,"IND";#N/A,#N/A,FALSE,"LR";#N/A,#N/A,FALSE,"PRV";#N/A,#N/A,FALSE,"TÚNELES";#N/A,#N/A,FALSE,"IDT";#N/A,#N/A,FALSE,"ING"}</definedName>
    <definedName name="cub" localSheetId="2" hidden="1">{#N/A,#N/A,FALSE,"RESUMEN";#N/A,#N/A,FALSE,"GG-GI";#N/A,#N/A,FALSE,"AMB";#N/A,#N/A,FALSE,"EyR";#N/A,#N/A,FALSE,"UCP";#N/A,#N/A,FALSE,"IND";#N/A,#N/A,FALSE,"LR";#N/A,#N/A,FALSE,"PRV";#N/A,#N/A,FALSE,"TÚNELES";#N/A,#N/A,FALSE,"IDT";#N/A,#N/A,FALSE,"ING"}</definedName>
    <definedName name="cub" hidden="1">{#N/A,#N/A,FALSE,"RESUMEN";#N/A,#N/A,FALSE,"GG-GI";#N/A,#N/A,FALSE,"AMB";#N/A,#N/A,FALSE,"EyR";#N/A,#N/A,FALSE,"UCP";#N/A,#N/A,FALSE,"IND";#N/A,#N/A,FALSE,"LR";#N/A,#N/A,FALSE,"PRV";#N/A,#N/A,FALSE,"TÚNELES";#N/A,#N/A,FALSE,"IDT";#N/A,#N/A,FALSE,"ING"}</definedName>
    <definedName name="CUBT" localSheetId="0">#REF!</definedName>
    <definedName name="CUBT">#REF!</definedName>
    <definedName name="CUCH10" localSheetId="0">#REF!</definedName>
    <definedName name="CUCH10">#REF!</definedName>
    <definedName name="CUCH12" localSheetId="0">#REF!</definedName>
    <definedName name="CUCH12">#REF!</definedName>
    <definedName name="CUCH14" localSheetId="0">#REF!</definedName>
    <definedName name="CUCH14">#REF!</definedName>
    <definedName name="CUCH16" localSheetId="0">#REF!</definedName>
    <definedName name="CUCH16">#REF!</definedName>
    <definedName name="CUCH20" localSheetId="0">#REF!</definedName>
    <definedName name="CUCH20">#REF!</definedName>
    <definedName name="CUCH30" localSheetId="0">#REF!</definedName>
    <definedName name="CUCH30">#REF!</definedName>
    <definedName name="CUCH6" localSheetId="0">#REF!</definedName>
    <definedName name="CUCH6">#REF!</definedName>
    <definedName name="CUCH8" localSheetId="0">#REF!</definedName>
    <definedName name="CUCH8">#REF!</definedName>
    <definedName name="cuentas" localSheetId="0">#REF!</definedName>
    <definedName name="cuentas">#REF!</definedName>
    <definedName name="cup" localSheetId="0" hidden="1">#REF!</definedName>
    <definedName name="cup" hidden="1">#REF!</definedName>
    <definedName name="Currency" localSheetId="0">#REF!</definedName>
    <definedName name="Currency">#REF!</definedName>
    <definedName name="CurrencyNames" localSheetId="0">#REF!</definedName>
    <definedName name="CurrencyNames">#REF!</definedName>
    <definedName name="CurrentData" localSheetId="0">#REF!</definedName>
    <definedName name="CurrentData">#REF!</definedName>
    <definedName name="CURVA10" localSheetId="0">#REF!</definedName>
    <definedName name="CURVA10">#REF!</definedName>
    <definedName name="CURVA11" localSheetId="0">#REF!</definedName>
    <definedName name="CURVA11">#REF!</definedName>
    <definedName name="CURVA12" localSheetId="0">#REF!</definedName>
    <definedName name="CURVA12">#REF!</definedName>
    <definedName name="CURVA13" localSheetId="0">#REF!</definedName>
    <definedName name="CURVA13">#REF!</definedName>
    <definedName name="CURVA14" localSheetId="0">#REF!</definedName>
    <definedName name="CURVA14">#REF!</definedName>
    <definedName name="CURVA15" localSheetId="0">#REF!</definedName>
    <definedName name="CURVA15">#REF!</definedName>
    <definedName name="CURVA16" localSheetId="0">#REF!</definedName>
    <definedName name="CURVA16">#REF!</definedName>
    <definedName name="CURVA17" localSheetId="0">#REF!</definedName>
    <definedName name="CURVA17">#REF!</definedName>
    <definedName name="CURVA18" localSheetId="0">#REF!</definedName>
    <definedName name="CURVA18">#REF!</definedName>
    <definedName name="CURVA19" localSheetId="0">#REF!</definedName>
    <definedName name="CURVA19">#REF!</definedName>
    <definedName name="CURVA2" localSheetId="0">#REF!</definedName>
    <definedName name="CURVA2">#REF!</definedName>
    <definedName name="CURVA20" localSheetId="0">#REF!</definedName>
    <definedName name="CURVA20">#REF!</definedName>
    <definedName name="CURVA21" localSheetId="0">#REF!</definedName>
    <definedName name="CURVA21">#REF!</definedName>
    <definedName name="CURVA22" localSheetId="0">#REF!</definedName>
    <definedName name="CURVA22">#REF!</definedName>
    <definedName name="CURVA23" localSheetId="0">#REF!</definedName>
    <definedName name="CURVA23">#REF!</definedName>
    <definedName name="CURVA24" localSheetId="0">#REF!</definedName>
    <definedName name="CURVA24">#REF!</definedName>
    <definedName name="CURVA3" localSheetId="0">#REF!</definedName>
    <definedName name="CURVA3">#REF!</definedName>
    <definedName name="CURVA4" localSheetId="0">#REF!</definedName>
    <definedName name="CURVA4">#REF!</definedName>
    <definedName name="CURVA5" localSheetId="0">#REF!</definedName>
    <definedName name="CURVA5">#REF!</definedName>
    <definedName name="CURVA6" localSheetId="0">#REF!</definedName>
    <definedName name="CURVA6">#REF!</definedName>
    <definedName name="CURVA7" localSheetId="0">#REF!</definedName>
    <definedName name="CURVA7">#REF!</definedName>
    <definedName name="CURVA8" localSheetId="0">#REF!</definedName>
    <definedName name="CURVA8">#REF!</definedName>
    <definedName name="CURVA9" localSheetId="0">#REF!</definedName>
    <definedName name="CURVA9">#REF!</definedName>
    <definedName name="CUSRED" localSheetId="0">#REF!</definedName>
    <definedName name="CUSRED" localSheetId="2">#REF!</definedName>
    <definedName name="CUSRED">#REF!</definedName>
    <definedName name="custo" localSheetId="0">#REF!</definedName>
    <definedName name="custo">#REF!</definedName>
    <definedName name="custoA" localSheetId="0">#REF!</definedName>
    <definedName name="custoA" localSheetId="2">#REF!</definedName>
    <definedName name="custoA">#REF!</definedName>
    <definedName name="custoB" localSheetId="0">#REF!</definedName>
    <definedName name="custoB">#REF!</definedName>
    <definedName name="CustoChamados" localSheetId="0">#REF!</definedName>
    <definedName name="CustoChamados">#REF!</definedName>
    <definedName name="CustoMoradia" localSheetId="0">#REF!</definedName>
    <definedName name="CustoMoradia">#REF!</definedName>
    <definedName name="CustoONCALL" localSheetId="0">#REF!</definedName>
    <definedName name="CustoONCALL">#REF!</definedName>
    <definedName name="CustoOperac.Adm.Local" localSheetId="0">#REF!</definedName>
    <definedName name="CustoOperac.Adm.Local">#REF!</definedName>
    <definedName name="Custos" localSheetId="0">#REF!</definedName>
    <definedName name="Custos">#REF!</definedName>
    <definedName name="custoSUB">#REF!</definedName>
    <definedName name="cute" localSheetId="0">#REF!</definedName>
    <definedName name="cute">#REF!</definedName>
    <definedName name="CUTI" localSheetId="0">#REF!</definedName>
    <definedName name="CUTI">#REF!</definedName>
    <definedName name="Cycle">#REF!</definedName>
    <definedName name="CYM" localSheetId="0">#REF!</definedName>
    <definedName name="CYM">#REF!</definedName>
    <definedName name="d" localSheetId="0" hidden="1">{#N/A,#N/A,FALSE,"GERAL";#N/A,#N/A,FALSE,"012-96";#N/A,#N/A,FALSE,"018-96";#N/A,#N/A,FALSE,"027-96";#N/A,#N/A,FALSE,"059-96";#N/A,#N/A,FALSE,"076-96";#N/A,#N/A,FALSE,"019-97";#N/A,#N/A,FALSE,"021-97";#N/A,#N/A,FALSE,"022-97";#N/A,#N/A,FALSE,"028-97"}</definedName>
    <definedName name="d" localSheetId="2" hidden="1">{#N/A,#N/A,FALSE,"GERAL";#N/A,#N/A,FALSE,"012-96";#N/A,#N/A,FALSE,"018-96";#N/A,#N/A,FALSE,"027-96";#N/A,#N/A,FALSE,"059-96";#N/A,#N/A,FALSE,"076-96";#N/A,#N/A,FALSE,"019-97";#N/A,#N/A,FALSE,"021-97";#N/A,#N/A,FALSE,"022-97";#N/A,#N/A,FALSE,"028-97"}</definedName>
    <definedName name="d" hidden="1">{#N/A,#N/A,FALSE,"GERAL";#N/A,#N/A,FALSE,"012-96";#N/A,#N/A,FALSE,"018-96";#N/A,#N/A,FALSE,"027-96";#N/A,#N/A,FALSE,"059-96";#N/A,#N/A,FALSE,"076-96";#N/A,#N/A,FALSE,"019-97";#N/A,#N/A,FALSE,"021-97";#N/A,#N/A,FALSE,"022-97";#N/A,#N/A,FALSE,"028-97"}</definedName>
    <definedName name="DADOS_OPERACIONAIS" localSheetId="0">#REF!</definedName>
    <definedName name="DADOS_OPERACIONAIS">#REF!</definedName>
    <definedName name="daniel" localSheetId="0">#REF!</definedName>
    <definedName name="daniel">#REF!</definedName>
    <definedName name="das" localSheetId="0" hidden="1">{#N/A,#N/A,FALSE,"ET-CAPA";#N/A,#N/A,FALSE,"ET-PAG1";#N/A,#N/A,FALSE,"ET-PAG2";#N/A,#N/A,FALSE,"ET-PAG3";#N/A,#N/A,FALSE,"ET-PAG4";#N/A,#N/A,FALSE,"ET-PAG5"}</definedName>
    <definedName name="das" localSheetId="2" hidden="1">{#N/A,#N/A,FALSE,"ET-CAPA";#N/A,#N/A,FALSE,"ET-PAG1";#N/A,#N/A,FALSE,"ET-PAG2";#N/A,#N/A,FALSE,"ET-PAG3";#N/A,#N/A,FALSE,"ET-PAG4";#N/A,#N/A,FALSE,"ET-PAG5"}</definedName>
    <definedName name="das" hidden="1">{#N/A,#N/A,FALSE,"ET-CAPA";#N/A,#N/A,FALSE,"ET-PAG1";#N/A,#N/A,FALSE,"ET-PAG2";#N/A,#N/A,FALSE,"ET-PAG3";#N/A,#N/A,FALSE,"ET-PAG4";#N/A,#N/A,FALSE,"ET-PAG5"}</definedName>
    <definedName name="DATA" localSheetId="0">#REF!</definedName>
    <definedName name="DATA">#REF!</definedName>
    <definedName name="data_ref" localSheetId="0">#REF!</definedName>
    <definedName name="data_ref">#REF!</definedName>
    <definedName name="DATA1" localSheetId="0">#REF!</definedName>
    <definedName name="DATA1">#REF!</definedName>
    <definedName name="DATA10" localSheetId="0">#REF!</definedName>
    <definedName name="DATA10">#REF!</definedName>
    <definedName name="DATA11" localSheetId="0">#REF!</definedName>
    <definedName name="DATA11">#REF!</definedName>
    <definedName name="DATA12" localSheetId="0">#REF!</definedName>
    <definedName name="DATA12">#REF!</definedName>
    <definedName name="DATA13" localSheetId="0">#REF!</definedName>
    <definedName name="DATA13">#REF!</definedName>
    <definedName name="DATA14" localSheetId="0">#REF!</definedName>
    <definedName name="DATA14">#REF!</definedName>
    <definedName name="DATA15" localSheetId="0">#REF!</definedName>
    <definedName name="DATA15">#REF!</definedName>
    <definedName name="DATA16" localSheetId="0">#REF!</definedName>
    <definedName name="DATA16">#REF!</definedName>
    <definedName name="DATA17" localSheetId="0">#REF!</definedName>
    <definedName name="DATA17">#REF!</definedName>
    <definedName name="DATA18" localSheetId="0">#REF!</definedName>
    <definedName name="DATA18">#REF!</definedName>
    <definedName name="DATA19" localSheetId="0">#REF!</definedName>
    <definedName name="DATA19">#REF!</definedName>
    <definedName name="DATA2" localSheetId="0">#REF!</definedName>
    <definedName name="DATA2">#REF!</definedName>
    <definedName name="DATA20" localSheetId="0">#REF!</definedName>
    <definedName name="DATA20">#REF!</definedName>
    <definedName name="DATA21" localSheetId="0">#REF!</definedName>
    <definedName name="DATA21">#REF!</definedName>
    <definedName name="DATA22" localSheetId="0">#REF!</definedName>
    <definedName name="DATA22">#REF!</definedName>
    <definedName name="DATA23" localSheetId="0">#REF!</definedName>
    <definedName name="DATA23">#REF!</definedName>
    <definedName name="DATA24" localSheetId="0">#REF!</definedName>
    <definedName name="DATA24">#REF!</definedName>
    <definedName name="DATA25" localSheetId="0">#REF!</definedName>
    <definedName name="DATA25">#REF!</definedName>
    <definedName name="DATA26" localSheetId="0">#REF!</definedName>
    <definedName name="DATA26">#REF!</definedName>
    <definedName name="DATA27" localSheetId="0">#REF!</definedName>
    <definedName name="DATA27">#REF!</definedName>
    <definedName name="DATA28" localSheetId="0">#REF!</definedName>
    <definedName name="DATA28">#REF!</definedName>
    <definedName name="DATA29" localSheetId="0">#REF!</definedName>
    <definedName name="DATA29">#REF!</definedName>
    <definedName name="DATA3" localSheetId="0">#REF!</definedName>
    <definedName name="DATA3">#REF!</definedName>
    <definedName name="DATA30" localSheetId="0">#REF!</definedName>
    <definedName name="DATA30">#REF!</definedName>
    <definedName name="DATA31" localSheetId="0">#REF!</definedName>
    <definedName name="DATA31">#REF!</definedName>
    <definedName name="DATA32" localSheetId="0">#REF!</definedName>
    <definedName name="DATA32">#REF!</definedName>
    <definedName name="DATA33" localSheetId="0">#REF!</definedName>
    <definedName name="DATA33">#REF!</definedName>
    <definedName name="DATA34" localSheetId="0">#REF!</definedName>
    <definedName name="DATA34">#REF!</definedName>
    <definedName name="DATA35" localSheetId="0">#REF!</definedName>
    <definedName name="DATA35">#REF!</definedName>
    <definedName name="DATA36" localSheetId="0">#REF!</definedName>
    <definedName name="DATA36">#REF!</definedName>
    <definedName name="DATA37" localSheetId="0">#REF!</definedName>
    <definedName name="DATA37">#REF!</definedName>
    <definedName name="DATA38" localSheetId="0">#REF!</definedName>
    <definedName name="DATA38">#REF!</definedName>
    <definedName name="DATA39" localSheetId="0">#REF!</definedName>
    <definedName name="DATA39">#REF!</definedName>
    <definedName name="DATA4" localSheetId="0">#REF!</definedName>
    <definedName name="DATA4">#REF!</definedName>
    <definedName name="DATA40" localSheetId="0">#REF!</definedName>
    <definedName name="DATA40">#REF!</definedName>
    <definedName name="DATA41" localSheetId="0">#REF!</definedName>
    <definedName name="DATA41">#REF!</definedName>
    <definedName name="DATA42" localSheetId="0">#REF!</definedName>
    <definedName name="DATA42">#REF!</definedName>
    <definedName name="DATA43" localSheetId="0">#REF!</definedName>
    <definedName name="DATA43">#REF!</definedName>
    <definedName name="DATA44" localSheetId="0">#REF!</definedName>
    <definedName name="DATA44">#REF!</definedName>
    <definedName name="DATA45" localSheetId="0">#REF!</definedName>
    <definedName name="DATA45">#REF!</definedName>
    <definedName name="DATA5" localSheetId="0">#REF!</definedName>
    <definedName name="DATA5">#REF!</definedName>
    <definedName name="DATA6" localSheetId="0">#REF!</definedName>
    <definedName name="DATA6">#REF!</definedName>
    <definedName name="DATA7" localSheetId="0">#REF!</definedName>
    <definedName name="DATA7">#REF!</definedName>
    <definedName name="DATA8" localSheetId="0">#REF!</definedName>
    <definedName name="DATA8">#REF!</definedName>
    <definedName name="DATA9" localSheetId="0">#REF!</definedName>
    <definedName name="DATA9">#REF!</definedName>
    <definedName name="datab1" localSheetId="0">#REF!</definedName>
    <definedName name="datab1">#REF!</definedName>
    <definedName name="datab2" localSheetId="0">#REF!</definedName>
    <definedName name="datab2">#REF!</definedName>
    <definedName name="datab4" localSheetId="0">#REF!</definedName>
    <definedName name="datab4">#REF!</definedName>
    <definedName name="Database" localSheetId="0">#REF!</definedName>
    <definedName name="Database">#REF!</definedName>
    <definedName name="Databaseses" localSheetId="0">#REF!</definedName>
    <definedName name="Databaseses">#REF!</definedName>
    <definedName name="DATMODELE" localSheetId="0">#REF!</definedName>
    <definedName name="DATMODELE">#REF!</definedName>
    <definedName name="DATMODMEC" localSheetId="0">#REF!</definedName>
    <definedName name="DATMODMEC">#REF!</definedName>
    <definedName name="DATTML" localSheetId="0">#REF!</definedName>
    <definedName name="DATTML">#REF!</definedName>
    <definedName name="dbPhase3" localSheetId="0">#REF!</definedName>
    <definedName name="dbPhase3">#REF!</definedName>
    <definedName name="dbPhase4" localSheetId="0">#REF!</definedName>
    <definedName name="dbPhase4">#REF!</definedName>
    <definedName name="DCMKUP" localSheetId="0">#REF!</definedName>
    <definedName name="DCMKUP">#REF!</definedName>
    <definedName name="dcn" localSheetId="0">#REF!</definedName>
    <definedName name="dcn">#REF!</definedName>
    <definedName name="DD">#REF!</definedName>
    <definedName name="DDD" localSheetId="0">#REF!</definedName>
    <definedName name="DDD">#REF!</definedName>
    <definedName name="dddd" localSheetId="0">#REF!</definedName>
    <definedName name="dddd">#REF!</definedName>
    <definedName name="dddddd" localSheetId="0">#REF!</definedName>
    <definedName name="dddddd" localSheetId="2">QQP!dddddd</definedName>
    <definedName name="dddddd">#REF!</definedName>
    <definedName name="DDDDDDD" localSheetId="0">#REF!</definedName>
    <definedName name="DDDDDDD" localSheetId="2">#REF!</definedName>
    <definedName name="DDDDDDD">#REF!</definedName>
    <definedName name="ddddddddd" localSheetId="0">#REF!</definedName>
    <definedName name="ddddddddd" localSheetId="2">QQP!ddddddddd</definedName>
    <definedName name="ddddddddd">#REF!</definedName>
    <definedName name="DDDDDDDDDDDDDDDDDDDDDDDDDDDDDD" localSheetId="0">#REF!</definedName>
    <definedName name="DDDDDDDDDDDDDDDDDDDDDDDDDDDDDD" localSheetId="2">#REF!</definedName>
    <definedName name="DDDDDDDDDDDDDDDDDDDDDDDDDDDDDD">#REF!</definedName>
    <definedName name="DDE" localSheetId="0">#REF!</definedName>
    <definedName name="DDE" localSheetId="2">#REF!</definedName>
    <definedName name="DDE">#REF!</definedName>
    <definedName name="DDMKUP" localSheetId="0">#REF!</definedName>
    <definedName name="DDMKUP" localSheetId="2">#REF!</definedName>
    <definedName name="DDMKUP">#REF!</definedName>
    <definedName name="DE_km" localSheetId="0">#REF!</definedName>
    <definedName name="DE_km" localSheetId="2">#REF!</definedName>
    <definedName name="DE_km">#REF!</definedName>
    <definedName name="DEF" localSheetId="0">#REF!</definedName>
    <definedName name="DEF" localSheetId="2">#REF!</definedName>
    <definedName name="DEF">#REF!</definedName>
    <definedName name="Defest" localSheetId="0">#REF!</definedName>
    <definedName name="Defest">#REF!</definedName>
    <definedName name="DEFLATOR" localSheetId="0">#REF!</definedName>
    <definedName name="DEFLATOR">#REF!</definedName>
    <definedName name="deflator1" localSheetId="0">#REF!</definedName>
    <definedName name="deflator1">#REF!</definedName>
    <definedName name="deflator2" localSheetId="0">#REF!</definedName>
    <definedName name="deflator2">#REF!</definedName>
    <definedName name="delete" localSheetId="0" hidden="1">{#N/A,#N/A,FALSE,"GERAL";#N/A,#N/A,FALSE,"012-96";#N/A,#N/A,FALSE,"018-96";#N/A,#N/A,FALSE,"027-96";#N/A,#N/A,FALSE,"059-96";#N/A,#N/A,FALSE,"076-96";#N/A,#N/A,FALSE,"019-97";#N/A,#N/A,FALSE,"021-97";#N/A,#N/A,FALSE,"022-97";#N/A,#N/A,FALSE,"028-97"}</definedName>
    <definedName name="delete" localSheetId="2" hidden="1">{#N/A,#N/A,FALSE,"GERAL";#N/A,#N/A,FALSE,"012-96";#N/A,#N/A,FALSE,"018-96";#N/A,#N/A,FALSE,"027-96";#N/A,#N/A,FALSE,"059-96";#N/A,#N/A,FALSE,"076-96";#N/A,#N/A,FALSE,"019-97";#N/A,#N/A,FALSE,"021-97";#N/A,#N/A,FALSE,"022-97";#N/A,#N/A,FALSE,"028-97"}</definedName>
    <definedName name="delete" hidden="1">{#N/A,#N/A,FALSE,"GERAL";#N/A,#N/A,FALSE,"012-96";#N/A,#N/A,FALSE,"018-96";#N/A,#N/A,FALSE,"027-96";#N/A,#N/A,FALSE,"059-96";#N/A,#N/A,FALSE,"076-96";#N/A,#N/A,FALSE,"019-97";#N/A,#N/A,FALSE,"021-97";#N/A,#N/A,FALSE,"022-97";#N/A,#N/A,FALSE,"028-97"}</definedName>
    <definedName name="Deliverables" localSheetId="0">#REF!</definedName>
    <definedName name="Deliverables">#REF!</definedName>
    <definedName name="Delta" localSheetId="0">#REF!</definedName>
    <definedName name="Delta">#REF!</definedName>
    <definedName name="DEMA" localSheetId="0">#REF!</definedName>
    <definedName name="DEMA">#REF!</definedName>
    <definedName name="DEMH" localSheetId="0">#REF!</definedName>
    <definedName name="DEMH">#REF!</definedName>
    <definedName name="Demis_sjc" localSheetId="0">#REF!</definedName>
    <definedName name="Demis_sjc">#REF!</definedName>
    <definedName name="Demostrat" localSheetId="0">#REF!</definedName>
    <definedName name="Demostrat">#REF!</definedName>
    <definedName name="Denominação" localSheetId="0">#REF!</definedName>
    <definedName name="Denominação">#REF!</definedName>
    <definedName name="Depre.Transp.Operac." localSheetId="0">#REF!</definedName>
    <definedName name="Depre.Transp.Operac.">#REF!</definedName>
    <definedName name="depreciação" localSheetId="0">#REF!</definedName>
    <definedName name="depreciação">#REF!</definedName>
    <definedName name="depth" localSheetId="0">#REF!</definedName>
    <definedName name="depth">#REF!</definedName>
    <definedName name="des" localSheetId="0" hidden="1">{#N/A,#N/A,FALSE,"GERAL";#N/A,#N/A,FALSE,"012-96";#N/A,#N/A,FALSE,"018-96";#N/A,#N/A,FALSE,"027-96";#N/A,#N/A,FALSE,"059-96";#N/A,#N/A,FALSE,"076-96";#N/A,#N/A,FALSE,"019-97";#N/A,#N/A,FALSE,"021-97";#N/A,#N/A,FALSE,"022-97";#N/A,#N/A,FALSE,"028-97"}</definedName>
    <definedName name="des" localSheetId="2" hidden="1">{#N/A,#N/A,FALSE,"GERAL";#N/A,#N/A,FALSE,"012-96";#N/A,#N/A,FALSE,"018-96";#N/A,#N/A,FALSE,"027-96";#N/A,#N/A,FALSE,"059-96";#N/A,#N/A,FALSE,"076-96";#N/A,#N/A,FALSE,"019-97";#N/A,#N/A,FALSE,"021-97";#N/A,#N/A,FALSE,"022-97";#N/A,#N/A,FALSE,"028-97"}</definedName>
    <definedName name="des" hidden="1">{#N/A,#N/A,FALSE,"GERAL";#N/A,#N/A,FALSE,"012-96";#N/A,#N/A,FALSE,"018-96";#N/A,#N/A,FALSE,"027-96";#N/A,#N/A,FALSE,"059-96";#N/A,#N/A,FALSE,"076-96";#N/A,#N/A,FALSE,"019-97";#N/A,#N/A,FALSE,"021-97";#N/A,#N/A,FALSE,"022-97";#N/A,#N/A,FALSE,"028-97"}</definedName>
    <definedName name="desc" localSheetId="0">#REF!</definedName>
    <definedName name="desc">#REF!</definedName>
    <definedName name="DESC110" localSheetId="0">#REF!</definedName>
    <definedName name="DESC110">#REF!</definedName>
    <definedName name="DescrBrasil_TEC" localSheetId="0">#REF!</definedName>
    <definedName name="DescrBrasil_TEC">#REF!</definedName>
    <definedName name="DESCRIÇÃO" localSheetId="0">#REF!</definedName>
    <definedName name="DESCRIÇÃO">#REF!</definedName>
    <definedName name="descricao1" localSheetId="0" hidden="1">{#N/A,#N/A,FALSE,"GERAL";#N/A,#N/A,FALSE,"012-96";#N/A,#N/A,FALSE,"018-96";#N/A,#N/A,FALSE,"027-96";#N/A,#N/A,FALSE,"059-96";#N/A,#N/A,FALSE,"076-96";#N/A,#N/A,FALSE,"019-97";#N/A,#N/A,FALSE,"021-97";#N/A,#N/A,FALSE,"022-97";#N/A,#N/A,FALSE,"028-97"}</definedName>
    <definedName name="descricao1" localSheetId="2" hidden="1">{#N/A,#N/A,FALSE,"GERAL";#N/A,#N/A,FALSE,"012-96";#N/A,#N/A,FALSE,"018-96";#N/A,#N/A,FALSE,"027-96";#N/A,#N/A,FALSE,"059-96";#N/A,#N/A,FALSE,"076-96";#N/A,#N/A,FALSE,"019-97";#N/A,#N/A,FALSE,"021-97";#N/A,#N/A,FALSE,"022-97";#N/A,#N/A,FALSE,"028-97"}</definedName>
    <definedName name="descricao1" hidden="1">{#N/A,#N/A,FALSE,"GERAL";#N/A,#N/A,FALSE,"012-96";#N/A,#N/A,FALSE,"018-96";#N/A,#N/A,FALSE,"027-96";#N/A,#N/A,FALSE,"059-96";#N/A,#N/A,FALSE,"076-96";#N/A,#N/A,FALSE,"019-97";#N/A,#N/A,FALSE,"021-97";#N/A,#N/A,FALSE,"022-97";#N/A,#N/A,FALSE,"028-97"}</definedName>
    <definedName name="DESCRITIVO1" localSheetId="0">#REF!</definedName>
    <definedName name="DESCRITIVO1">#REF!</definedName>
    <definedName name="DESE" localSheetId="0">#REF!</definedName>
    <definedName name="DESE">#REF!</definedName>
    <definedName name="Desemb_Fin" localSheetId="0">#REF!</definedName>
    <definedName name="Desemb_Fin">#REF!</definedName>
    <definedName name="DESIGN" localSheetId="0">#REF!</definedName>
    <definedName name="DESIGN">#REF!</definedName>
    <definedName name="DEST" localSheetId="0">#REF!</definedName>
    <definedName name="DEST">#REF!</definedName>
    <definedName name="DET_CLI" localSheetId="0">#REF!</definedName>
    <definedName name="DET_CLI" localSheetId="2">QQP!DET_CLI</definedName>
    <definedName name="DET_CLI">#REF!</definedName>
    <definedName name="DET_PROD" localSheetId="0">#REF!</definedName>
    <definedName name="DET_PROD" localSheetId="2">QQP!DET_PROD</definedName>
    <definedName name="DET_PROD">#REF!</definedName>
    <definedName name="DETAILS" localSheetId="0">#REF!</definedName>
    <definedName name="DETAILS" localSheetId="2">#REF!</definedName>
    <definedName name="DETAILS">#REF!</definedName>
    <definedName name="Detalhe" localSheetId="0" hidden="1">{"'Resumo'!$A$4:$N$60"}</definedName>
    <definedName name="Detalhe" localSheetId="2" hidden="1">{"'Resumo'!$A$4:$N$60"}</definedName>
    <definedName name="Detalhe" hidden="1">{"'Resumo'!$A$4:$N$60"}</definedName>
    <definedName name="DETMET" localSheetId="0">#REF!</definedName>
    <definedName name="DETMET">#REF!</definedName>
    <definedName name="Dez" localSheetId="0">{"dez","vinte","trinta","quarenta","cinquenta","sessenta","setenta","oitenta","noventa"}</definedName>
    <definedName name="Dez" localSheetId="2">{"dez","vinte","trinta","quarenta","cinquenta","sessenta","setenta","oitenta","noventa"}</definedName>
    <definedName name="Dez">{"dez","vinte","trinta","quarenta","cinquenta","sessenta","setenta","oitenta","noventa"}</definedName>
    <definedName name="dfbadb" localSheetId="0">#REF!</definedName>
    <definedName name="dfbadb">#REF!</definedName>
    <definedName name="dfdf" localSheetId="0"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dfdf" localSheetId="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dfdf"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dfg" localSheetId="0" hidden="1">{#N/A,#N/A,TRUE,"Est. de Fact.";#N/A,#N/A,TRUE,"Capitulo 19";#N/A,#N/A,TRUE,"Proyecto P855"}</definedName>
    <definedName name="dfg" localSheetId="2" hidden="1">{#N/A,#N/A,TRUE,"Est. de Fact.";#N/A,#N/A,TRUE,"Capitulo 19";#N/A,#N/A,TRUE,"Proyecto P855"}</definedName>
    <definedName name="dfg" hidden="1">{#N/A,#N/A,TRUE,"Est. de Fact.";#N/A,#N/A,TRUE,"Capitulo 19";#N/A,#N/A,TRUE,"Proyecto P855"}</definedName>
    <definedName name="DFSGVDS" localSheetId="0" hidden="1">#REF!</definedName>
    <definedName name="DFSGVDS" hidden="1">#REF!</definedName>
    <definedName name="Diam" localSheetId="0">#REF!</definedName>
    <definedName name="Diam">#REF!</definedName>
    <definedName name="dias_ano" localSheetId="0">#REF!</definedName>
    <definedName name="dias_ano">#REF!</definedName>
    <definedName name="Diferencias" localSheetId="0" hidden="1">{#N/A,#N/A,FALSE,"Total_OC015";#N/A,#N/A,FALSE,"ADMIN";#N/A,#N/A,FALSE,"PROCES";#N/A,#N/A,FALSE,"mecan";#N/A,#N/A,FALSE,"civil";#N/A,#N/A,FALSE,"CAÑER";#N/A,#N/A,FALSE,"ELEC";#N/A,#N/A,FALSE,"INSTR"}</definedName>
    <definedName name="Diferencias" localSheetId="2" hidden="1">{#N/A,#N/A,FALSE,"Total_OC015";#N/A,#N/A,FALSE,"ADMIN";#N/A,#N/A,FALSE,"PROCES";#N/A,#N/A,FALSE,"mecan";#N/A,#N/A,FALSE,"civil";#N/A,#N/A,FALSE,"CAÑER";#N/A,#N/A,FALSE,"ELEC";#N/A,#N/A,FALSE,"INSTR"}</definedName>
    <definedName name="Diferencias" hidden="1">{#N/A,#N/A,FALSE,"Total_OC015";#N/A,#N/A,FALSE,"ADMIN";#N/A,#N/A,FALSE,"PROCES";#N/A,#N/A,FALSE,"mecan";#N/A,#N/A,FALSE,"civil";#N/A,#N/A,FALSE,"CAÑER";#N/A,#N/A,FALSE,"ELEC";#N/A,#N/A,FALSE,"INSTR"}</definedName>
    <definedName name="dim_int" localSheetId="0">#REF!</definedName>
    <definedName name="dim_int">#REF!</definedName>
    <definedName name="DIMENSIONAMENTO_DE_TUBULAÇÃO" localSheetId="0">#REF!</definedName>
    <definedName name="DIMENSIONAMENTO_DE_TUBULAÇÃO">#REF!</definedName>
    <definedName name="DIPN" localSheetId="0">#REF!</definedName>
    <definedName name="DIPN">#REF!</definedName>
    <definedName name="Direct" localSheetId="0">#REF!</definedName>
    <definedName name="Direct">#REF!</definedName>
    <definedName name="Disbursements" localSheetId="0">#REF!</definedName>
    <definedName name="Disbursements">#REF!</definedName>
    <definedName name="Discipline" localSheetId="0">#REF!</definedName>
    <definedName name="Discipline">#REF!</definedName>
    <definedName name="Disciplines" localSheetId="0">#REF!</definedName>
    <definedName name="Disciplines">#REF!</definedName>
    <definedName name="DispTelGASAG" localSheetId="0" hidden="1">{"'teste'!$B$2:$R$49"}</definedName>
    <definedName name="DispTelGASAG" localSheetId="2" hidden="1">{"'teste'!$B$2:$R$49"}</definedName>
    <definedName name="DispTelGASAG" hidden="1">{"'teste'!$B$2:$R$49"}</definedName>
    <definedName name="DISTR.MANT.ELECTRICA" localSheetId="0">#REF!</definedName>
    <definedName name="DISTR.MANT.ELECTRICA">#REF!</definedName>
    <definedName name="dng" localSheetId="0" hidden="1">{#N/A,#N/A,FALSE,"GERAL";#N/A,#N/A,FALSE,"012-96";#N/A,#N/A,FALSE,"018-96";#N/A,#N/A,FALSE,"027-96";#N/A,#N/A,FALSE,"059-96";#N/A,#N/A,FALSE,"076-96";#N/A,#N/A,FALSE,"019-97";#N/A,#N/A,FALSE,"021-97";#N/A,#N/A,FALSE,"022-97";#N/A,#N/A,FALSE,"028-97"}</definedName>
    <definedName name="dng" localSheetId="2" hidden="1">{#N/A,#N/A,FALSE,"GERAL";#N/A,#N/A,FALSE,"012-96";#N/A,#N/A,FALSE,"018-96";#N/A,#N/A,FALSE,"027-96";#N/A,#N/A,FALSE,"059-96";#N/A,#N/A,FALSE,"076-96";#N/A,#N/A,FALSE,"019-97";#N/A,#N/A,FALSE,"021-97";#N/A,#N/A,FALSE,"022-97";#N/A,#N/A,FALSE,"028-97"}</definedName>
    <definedName name="dng" hidden="1">{#N/A,#N/A,FALSE,"GERAL";#N/A,#N/A,FALSE,"012-96";#N/A,#N/A,FALSE,"018-96";#N/A,#N/A,FALSE,"027-96";#N/A,#N/A,FALSE,"059-96";#N/A,#N/A,FALSE,"076-96";#N/A,#N/A,FALSE,"019-97";#N/A,#N/A,FALSE,"021-97";#N/A,#N/A,FALSE,"022-97";#N/A,#N/A,FALSE,"028-97"}</definedName>
    <definedName name="DOC_CONTROL" localSheetId="0">#REF!</definedName>
    <definedName name="DOC_CONTROL">#REF!</definedName>
    <definedName name="Doc_List" localSheetId="0">#REF!</definedName>
    <definedName name="Doc_List">#REF!</definedName>
    <definedName name="DOCL" localSheetId="0">#REF!</definedName>
    <definedName name="DOCL">#REF!</definedName>
    <definedName name="DOCT" localSheetId="0">#REF!</definedName>
    <definedName name="DOCT">#REF!</definedName>
    <definedName name="DOCTYPE" localSheetId="0">#REF!</definedName>
    <definedName name="DOCTYPE">#REF!</definedName>
    <definedName name="Document_Type" localSheetId="0">#REF!</definedName>
    <definedName name="Document_Type">#REF!</definedName>
    <definedName name="DocumentGroup" localSheetId="0">#REF!</definedName>
    <definedName name="DocumentGroup">#REF!</definedName>
    <definedName name="DOL" localSheetId="0">#REF!</definedName>
    <definedName name="DOL">#REF!</definedName>
    <definedName name="DOLAR" localSheetId="0">#REF!</definedName>
    <definedName name="DOLAR">#REF!</definedName>
    <definedName name="Dólar" localSheetId="0">#REF!</definedName>
    <definedName name="Dólar" localSheetId="2">#REF!</definedName>
    <definedName name="Dólar">#REF!</definedName>
    <definedName name="Dollar" localSheetId="0">#REF!</definedName>
    <definedName name="Dollar">#REF!</definedName>
    <definedName name="Dormentes_7K1FAB" localSheetId="0">#REF!</definedName>
    <definedName name="Dormentes_7K1FAB">#REF!</definedName>
    <definedName name="Dormentes_Especiais_7K1FAC" localSheetId="0">#REF!</definedName>
    <definedName name="Dormentes_Especiais_7K1FAC">#REF!</definedName>
    <definedName name="DOTACION" localSheetId="0">#REF!</definedName>
    <definedName name="DOTACION">#REF!</definedName>
    <definedName name="DOTACION_COSTO" localSheetId="0">#REF!</definedName>
    <definedName name="DOTACION_COSTO">#REF!</definedName>
    <definedName name="dotch" localSheetId="0" hidden="1">{"desarrollo",#N/A,FALSE,"Cámara Camión";"resumen",#N/A,FALSE,"Cámara Camión";"eqprod",#N/A,FALSE,"Cámara Camión"}</definedName>
    <definedName name="dotch" localSheetId="2" hidden="1">{"desarrollo",#N/A,FALSE,"Cámara Camión";"resumen",#N/A,FALSE,"Cámara Camión";"eqprod",#N/A,FALSE,"Cámara Camión"}</definedName>
    <definedName name="dotch" hidden="1">{"desarrollo",#N/A,FALSE,"Cámara Camión";"resumen",#N/A,FALSE,"Cámara Camión";"eqprod",#N/A,FALSE,"Cámara Camión"}</definedName>
    <definedName name="dotch4" localSheetId="0" hidden="1">{"desarrollo",#N/A,FALSE,"Cámara Camión";"resumen",#N/A,FALSE,"Cámara Camión";"eqprod",#N/A,FALSE,"Cámara Camión"}</definedName>
    <definedName name="dotch4" localSheetId="2" hidden="1">{"desarrollo",#N/A,FALSE,"Cámara Camión";"resumen",#N/A,FALSE,"Cámara Camión";"eqprod",#N/A,FALSE,"Cámara Camión"}</definedName>
    <definedName name="dotch4" hidden="1">{"desarrollo",#N/A,FALSE,"Cámara Camión";"resumen",#N/A,FALSE,"Cámara Camión";"eqprod",#N/A,FALSE,"Cámara Camión"}</definedName>
    <definedName name="DR">#N/A</definedName>
    <definedName name="drain" localSheetId="0">#REF!</definedName>
    <definedName name="drain">#REF!</definedName>
    <definedName name="DropPositions" localSheetId="0">OFFSET(#REF!,0,0,COUNTA(#REF!),1)</definedName>
    <definedName name="DropPositions">OFFSET(#REF!,0,0,COUNTA(#REF!),1)</definedName>
    <definedName name="ds" localSheetId="0">#REF!</definedName>
    <definedName name="ds">#REF!</definedName>
    <definedName name="dsdsds" localSheetId="0">#REF!</definedName>
    <definedName name="dsdsds">#REF!</definedName>
    <definedName name="dsfadf" localSheetId="0" hidden="1">{#N/A,#N/A,FALSE,"GERAL";#N/A,#N/A,FALSE,"012-96";#N/A,#N/A,FALSE,"018-96";#N/A,#N/A,FALSE,"027-96";#N/A,#N/A,FALSE,"059-96";#N/A,#N/A,FALSE,"076-96";#N/A,#N/A,FALSE,"019-97";#N/A,#N/A,FALSE,"021-97";#N/A,#N/A,FALSE,"022-97";#N/A,#N/A,FALSE,"028-97"}</definedName>
    <definedName name="dsfadf" localSheetId="2" hidden="1">{#N/A,#N/A,FALSE,"GERAL";#N/A,#N/A,FALSE,"012-96";#N/A,#N/A,FALSE,"018-96";#N/A,#N/A,FALSE,"027-96";#N/A,#N/A,FALSE,"059-96";#N/A,#N/A,FALSE,"076-96";#N/A,#N/A,FALSE,"019-97";#N/A,#N/A,FALSE,"021-97";#N/A,#N/A,FALSE,"022-97";#N/A,#N/A,FALSE,"028-97"}</definedName>
    <definedName name="dsfadf" hidden="1">{#N/A,#N/A,FALSE,"GERAL";#N/A,#N/A,FALSE,"012-96";#N/A,#N/A,FALSE,"018-96";#N/A,#N/A,FALSE,"027-96";#N/A,#N/A,FALSE,"059-96";#N/A,#N/A,FALSE,"076-96";#N/A,#N/A,FALSE,"019-97";#N/A,#N/A,FALSE,"021-97";#N/A,#N/A,FALSE,"022-97";#N/A,#N/A,FALSE,"028-97"}</definedName>
    <definedName name="dsfs" localSheetId="0" hidden="1">{#N/A,#N/A,FALSE,"GERAL";#N/A,#N/A,FALSE,"012-96";#N/A,#N/A,FALSE,"018-96";#N/A,#N/A,FALSE,"027-96";#N/A,#N/A,FALSE,"059-96";#N/A,#N/A,FALSE,"076-96";#N/A,#N/A,FALSE,"019-97";#N/A,#N/A,FALSE,"021-97";#N/A,#N/A,FALSE,"022-97";#N/A,#N/A,FALSE,"028-97"}</definedName>
    <definedName name="dsfs" localSheetId="2" hidden="1">{#N/A,#N/A,FALSE,"GERAL";#N/A,#N/A,FALSE,"012-96";#N/A,#N/A,FALSE,"018-96";#N/A,#N/A,FALSE,"027-96";#N/A,#N/A,FALSE,"059-96";#N/A,#N/A,FALSE,"076-96";#N/A,#N/A,FALSE,"019-97";#N/A,#N/A,FALSE,"021-97";#N/A,#N/A,FALSE,"022-97";#N/A,#N/A,FALSE,"028-97"}</definedName>
    <definedName name="dsfs" hidden="1">{#N/A,#N/A,FALSE,"GERAL";#N/A,#N/A,FALSE,"012-96";#N/A,#N/A,FALSE,"018-96";#N/A,#N/A,FALSE,"027-96";#N/A,#N/A,FALSE,"059-96";#N/A,#N/A,FALSE,"076-96";#N/A,#N/A,FALSE,"019-97";#N/A,#N/A,FALSE,"021-97";#N/A,#N/A,FALSE,"022-97";#N/A,#N/A,FALSE,"028-97"}</definedName>
    <definedName name="DSHGD" localSheetId="0">#REF!</definedName>
    <definedName name="DSHGD">#REF!</definedName>
    <definedName name="DSR_ano" localSheetId="0">#REF!</definedName>
    <definedName name="DSR_ano">#REF!</definedName>
    <definedName name="dss" localSheetId="0">#REF!</definedName>
    <definedName name="dss">#REF!</definedName>
    <definedName name="dta_ant" localSheetId="0">#REF!</definedName>
    <definedName name="dta_ant">#REF!</definedName>
    <definedName name="dta_atu" localSheetId="0">#REF!</definedName>
    <definedName name="dta_atu">#REF!</definedName>
    <definedName name="dta_med" localSheetId="0">#REF!</definedName>
    <definedName name="dta_med">#REF!</definedName>
    <definedName name="DTMKUP" localSheetId="0">#REF!</definedName>
    <definedName name="DTMKUP">#REF!</definedName>
    <definedName name="DTUBOS" localSheetId="0">#REF!</definedName>
    <definedName name="DTUBOS">#REF!</definedName>
    <definedName name="DynDelivList" localSheetId="0">OFFSET(#REF!,0,0,COUNTA(#REF!),1)</definedName>
    <definedName name="DynDelivList">OFFSET(#REF!,0,0,COUNTA(#REF!),1)</definedName>
    <definedName name="e" localSheetId="0" hidden="1">{#N/A,#N/A,FALSE,"TEC-01";#N/A,#N/A,FALSE,"TEC - 02";#N/A,#N/A,FALSE,"TEC - 03";#N/A,#N/A,FALSE,"TEC - 04";#N/A,#N/A,FALSE,"TEC-07";#N/A,#N/A,FALSE,"TEC-08";#N/A,#N/A,FALSE,"TEC - 09A";#N/A,#N/A,FALSE,"TEC - 09B";#N/A,#N/A,FALSE,"TEC - 09C";#N/A,#N/A,FALSE,"TEC - 10";#N/A,#N/A,FALSE,"TEC-11"}</definedName>
    <definedName name="e" localSheetId="2" hidden="1">{#N/A,#N/A,FALSE,"TEC-01";#N/A,#N/A,FALSE,"TEC - 02";#N/A,#N/A,FALSE,"TEC - 03";#N/A,#N/A,FALSE,"TEC - 04";#N/A,#N/A,FALSE,"TEC-07";#N/A,#N/A,FALSE,"TEC-08";#N/A,#N/A,FALSE,"TEC - 09A";#N/A,#N/A,FALSE,"TEC - 09B";#N/A,#N/A,FALSE,"TEC - 09C";#N/A,#N/A,FALSE,"TEC - 10";#N/A,#N/A,FALSE,"TEC-11"}</definedName>
    <definedName name="e" hidden="1">{#N/A,#N/A,FALSE,"TEC-01";#N/A,#N/A,FALSE,"TEC - 02";#N/A,#N/A,FALSE,"TEC - 03";#N/A,#N/A,FALSE,"TEC - 04";#N/A,#N/A,FALSE,"TEC-07";#N/A,#N/A,FALSE,"TEC-08";#N/A,#N/A,FALSE,"TEC - 09A";#N/A,#N/A,FALSE,"TEC - 09B";#N/A,#N/A,FALSE,"TEC - 09C";#N/A,#N/A,FALSE,"TEC - 10";#N/A,#N/A,FALSE,"TEC-11"}</definedName>
    <definedName name="e__cm" localSheetId="0">#REF!</definedName>
    <definedName name="e__cm">#REF!</definedName>
    <definedName name="ea" localSheetId="0" hidden="1">{#N/A,#N/A,FALSE,"TEC-01";#N/A,#N/A,FALSE,"TEC - 02";#N/A,#N/A,FALSE,"TEC - 03";#N/A,#N/A,FALSE,"TEC - 04";#N/A,#N/A,FALSE,"TEC-07";#N/A,#N/A,FALSE,"TEC-08";#N/A,#N/A,FALSE,"TEC - 09A";#N/A,#N/A,FALSE,"TEC - 09B";#N/A,#N/A,FALSE,"TEC - 09C";#N/A,#N/A,FALSE,"TEC - 10";#N/A,#N/A,FALSE,"TEC-11"}</definedName>
    <definedName name="ea" localSheetId="2" hidden="1">{#N/A,#N/A,FALSE,"TEC-01";#N/A,#N/A,FALSE,"TEC - 02";#N/A,#N/A,FALSE,"TEC - 03";#N/A,#N/A,FALSE,"TEC - 04";#N/A,#N/A,FALSE,"TEC-07";#N/A,#N/A,FALSE,"TEC-08";#N/A,#N/A,FALSE,"TEC - 09A";#N/A,#N/A,FALSE,"TEC - 09B";#N/A,#N/A,FALSE,"TEC - 09C";#N/A,#N/A,FALSE,"TEC - 10";#N/A,#N/A,FALSE,"TEC-11"}</definedName>
    <definedName name="ea" hidden="1">{#N/A,#N/A,FALSE,"TEC-01";#N/A,#N/A,FALSE,"TEC - 02";#N/A,#N/A,FALSE,"TEC - 03";#N/A,#N/A,FALSE,"TEC - 04";#N/A,#N/A,FALSE,"TEC-07";#N/A,#N/A,FALSE,"TEC-08";#N/A,#N/A,FALSE,"TEC - 09A";#N/A,#N/A,FALSE,"TEC - 09B";#N/A,#N/A,FALSE,"TEC - 09C";#N/A,#N/A,FALSE,"TEC - 10";#N/A,#N/A,FALSE,"TEC-11"}</definedName>
    <definedName name="ECO" localSheetId="0"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 localSheetId="2"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VCFELE" localSheetId="0">#REF!</definedName>
    <definedName name="ECVCFELE">#REF!</definedName>
    <definedName name="ECVCFMEC" localSheetId="0">#REF!</definedName>
    <definedName name="ECVCFMEC">#REF!</definedName>
    <definedName name="edede" localSheetId="0" hidden="1">{"DETALLE_1996",#N/A,FALSE,"flujo";"DETALLE_1997",#N/A,FALSE,"flujo";"GASTOS_INCURRIDOS_1996",#N/A,FALSE,"flujo";"GASTOS_PROGRAMADOS_PARA_1997",#N/A,FALSE,"flujo";#N/A,#N/A,FALSE,"comparat";#N/A,#N/A,FALSE,"costos";#N/A,#N/A,FALSE,"proyctrol"}</definedName>
    <definedName name="edede" localSheetId="2" hidden="1">{"DETALLE_1996",#N/A,FALSE,"flujo";"DETALLE_1997",#N/A,FALSE,"flujo";"GASTOS_INCURRIDOS_1996",#N/A,FALSE,"flujo";"GASTOS_PROGRAMADOS_PARA_1997",#N/A,FALSE,"flujo";#N/A,#N/A,FALSE,"comparat";#N/A,#N/A,FALSE,"costos";#N/A,#N/A,FALSE,"proyctrol"}</definedName>
    <definedName name="edede" hidden="1">{"DETALLE_1996",#N/A,FALSE,"flujo";"DETALLE_1997",#N/A,FALSE,"flujo";"GASTOS_INCURRIDOS_1996",#N/A,FALSE,"flujo";"GASTOS_PROGRAMADOS_PARA_1997",#N/A,FALSE,"flujo";#N/A,#N/A,FALSE,"comparat";#N/A,#N/A,FALSE,"costos";#N/A,#N/A,FALSE,"proyctrol"}</definedName>
    <definedName name="ededed" localSheetId="0" hidden="1">{#N/A,#N/A,TRUE,"Est. de Fact.";#N/A,#N/A,TRUE,"Capitulo 19";#N/A,#N/A,TRUE,"Proyecto P855"}</definedName>
    <definedName name="ededed" localSheetId="2" hidden="1">{#N/A,#N/A,TRUE,"Est. de Fact.";#N/A,#N/A,TRUE,"Capitulo 19";#N/A,#N/A,TRUE,"Proyecto P855"}</definedName>
    <definedName name="ededed" hidden="1">{#N/A,#N/A,TRUE,"Est. de Fact.";#N/A,#N/A,TRUE,"Capitulo 19";#N/A,#N/A,TRUE,"Proyecto P855"}</definedName>
    <definedName name="ee" localSheetId="0" hidden="1">{#N/A,#N/A,FALSE,"Total_OC015";#N/A,#N/A,FALSE,"ADMIN";#N/A,#N/A,FALSE,"PROCES";#N/A,#N/A,FALSE,"mecan";#N/A,#N/A,FALSE,"civil";#N/A,#N/A,FALSE,"CAÑER";#N/A,#N/A,FALSE,"ELEC";#N/A,#N/A,FALSE,"INSTR"}</definedName>
    <definedName name="ee" localSheetId="2" hidden="1">{#N/A,#N/A,FALSE,"Total_OC015";#N/A,#N/A,FALSE,"ADMIN";#N/A,#N/A,FALSE,"PROCES";#N/A,#N/A,FALSE,"mecan";#N/A,#N/A,FALSE,"civil";#N/A,#N/A,FALSE,"CAÑER";#N/A,#N/A,FALSE,"ELEC";#N/A,#N/A,FALSE,"INSTR"}</definedName>
    <definedName name="ee" hidden="1">{#N/A,#N/A,FALSE,"Total_OC015";#N/A,#N/A,FALSE,"ADMIN";#N/A,#N/A,FALSE,"PROCES";#N/A,#N/A,FALSE,"mecan";#N/A,#N/A,FALSE,"civil";#N/A,#N/A,FALSE,"CAÑER";#N/A,#N/A,FALSE,"ELEC";#N/A,#N/A,FALSE,"INSTR"}</definedName>
    <definedName name="eee" localSheetId="0" hidden="1">{#N/A,#N/A,FALSE,"masez (10)";#N/A,#N/A,FALSE,"masez (7)";#N/A,#N/A,FALSE,"masez (6)";#N/A,#N/A,FALSE,"masez (5)";#N/A,#N/A,FALSE,"masez (4)";#N/A,#N/A,FALSE,"masez (3)";#N/A,#N/A,FALSE,"masez (2)";#N/A,#N/A,FALSE,"GME";#N/A,#N/A,FALSE,"masez"}</definedName>
    <definedName name="eee" localSheetId="2" hidden="1">{#N/A,#N/A,FALSE,"masez (10)";#N/A,#N/A,FALSE,"masez (7)";#N/A,#N/A,FALSE,"masez (6)";#N/A,#N/A,FALSE,"masez (5)";#N/A,#N/A,FALSE,"masez (4)";#N/A,#N/A,FALSE,"masez (3)";#N/A,#N/A,FALSE,"masez (2)";#N/A,#N/A,FALSE,"GME";#N/A,#N/A,FALSE,"masez"}</definedName>
    <definedName name="eee" hidden="1">{#N/A,#N/A,FALSE,"masez (10)";#N/A,#N/A,FALSE,"masez (7)";#N/A,#N/A,FALSE,"masez (6)";#N/A,#N/A,FALSE,"masez (5)";#N/A,#N/A,FALSE,"masez (4)";#N/A,#N/A,FALSE,"masez (3)";#N/A,#N/A,FALSE,"masez (2)";#N/A,#N/A,FALSE,"GME";#N/A,#N/A,FALSE,"masez"}</definedName>
    <definedName name="eeeeeee" localSheetId="0">#REF!</definedName>
    <definedName name="eeeeeee">#REF!</definedName>
    <definedName name="eewr" localSheetId="0">#REF!</definedName>
    <definedName name="eewr">#REF!</definedName>
    <definedName name="EF" localSheetId="0">#REF!</definedName>
    <definedName name="EF">#REF!</definedName>
    <definedName name="EFA" localSheetId="0">#REF!</definedName>
    <definedName name="EFA">#REF!</definedName>
    <definedName name="EFF" localSheetId="0" hidden="1">{#N/A,#N/A,FALSE,"GERAL";#N/A,#N/A,FALSE,"012-96";#N/A,#N/A,FALSE,"018-96";#N/A,#N/A,FALSE,"027-96";#N/A,#N/A,FALSE,"059-96";#N/A,#N/A,FALSE,"076-96";#N/A,#N/A,FALSE,"019-97";#N/A,#N/A,FALSE,"021-97";#N/A,#N/A,FALSE,"022-97";#N/A,#N/A,FALSE,"028-97"}</definedName>
    <definedName name="EFF" localSheetId="2" hidden="1">{#N/A,#N/A,FALSE,"GERAL";#N/A,#N/A,FALSE,"012-96";#N/A,#N/A,FALSE,"018-96";#N/A,#N/A,FALSE,"027-96";#N/A,#N/A,FALSE,"059-96";#N/A,#N/A,FALSE,"076-96";#N/A,#N/A,FALSE,"019-97";#N/A,#N/A,FALSE,"021-97";#N/A,#N/A,FALSE,"022-97";#N/A,#N/A,FALSE,"028-97"}</definedName>
    <definedName name="EFF" hidden="1">{#N/A,#N/A,FALSE,"GERAL";#N/A,#N/A,FALSE,"012-96";#N/A,#N/A,FALSE,"018-96";#N/A,#N/A,FALSE,"027-96";#N/A,#N/A,FALSE,"059-96";#N/A,#N/A,FALSE,"076-96";#N/A,#N/A,FALSE,"019-97";#N/A,#N/A,FALSE,"021-97";#N/A,#N/A,FALSE,"022-97";#N/A,#N/A,FALSE,"028-97"}</definedName>
    <definedName name="ehe" localSheetId="0">#REF!</definedName>
    <definedName name="ehe">#REF!</definedName>
    <definedName name="EI" localSheetId="0">#REF!</definedName>
    <definedName name="EI">#REF!</definedName>
    <definedName name="eighteight" localSheetId="0">#REF!</definedName>
    <definedName name="eighteight">#REF!</definedName>
    <definedName name="eightfive" localSheetId="0">#REF!</definedName>
    <definedName name="eightfive">#REF!</definedName>
    <definedName name="eightfour" localSheetId="0">#REF!</definedName>
    <definedName name="eightfour">#REF!</definedName>
    <definedName name="eightnine" localSheetId="0">#REF!</definedName>
    <definedName name="eightnine">#REF!</definedName>
    <definedName name="eightone" localSheetId="0">#REF!</definedName>
    <definedName name="eightone">#REF!</definedName>
    <definedName name="EIXO" localSheetId="0">#REF!</definedName>
    <definedName name="EIXO">#REF!</definedName>
    <definedName name="EIXO_DADOS" localSheetId="0">#REF!,#REF!</definedName>
    <definedName name="EIXO_DADOS" localSheetId="2">#REF!,#REF!</definedName>
    <definedName name="EIXO_DADOS">#REF!,#REF!</definedName>
    <definedName name="eixos" localSheetId="0">#REF!</definedName>
    <definedName name="eixos" localSheetId="2">#REF!</definedName>
    <definedName name="eixos">#REF!</definedName>
    <definedName name="elect" localSheetId="0">#REF!</definedName>
    <definedName name="elect">#REF!</definedName>
    <definedName name="ELECTRICAL" localSheetId="0">#REF!</definedName>
    <definedName name="ELECTRICAL">#REF!</definedName>
    <definedName name="Eletrica" localSheetId="0" hidden="1">{#N/A,#N/A,FALSE,"GERAL";#N/A,#N/A,FALSE,"012-96";#N/A,#N/A,FALSE,"018-96";#N/A,#N/A,FALSE,"027-96";#N/A,#N/A,FALSE,"059-96";#N/A,#N/A,FALSE,"076-96";#N/A,#N/A,FALSE,"019-97";#N/A,#N/A,FALSE,"021-97";#N/A,#N/A,FALSE,"022-97";#N/A,#N/A,FALSE,"028-97"}</definedName>
    <definedName name="Eletrica" localSheetId="2" hidden="1">{#N/A,#N/A,FALSE,"GERAL";#N/A,#N/A,FALSE,"012-96";#N/A,#N/A,FALSE,"018-96";#N/A,#N/A,FALSE,"027-96";#N/A,#N/A,FALSE,"059-96";#N/A,#N/A,FALSE,"076-96";#N/A,#N/A,FALSE,"019-97";#N/A,#N/A,FALSE,"021-97";#N/A,#N/A,FALSE,"022-97";#N/A,#N/A,FALSE,"028-97"}</definedName>
    <definedName name="Eletrica" hidden="1">{#N/A,#N/A,FALSE,"GERAL";#N/A,#N/A,FALSE,"012-96";#N/A,#N/A,FALSE,"018-96";#N/A,#N/A,FALSE,"027-96";#N/A,#N/A,FALSE,"059-96";#N/A,#N/A,FALSE,"076-96";#N/A,#N/A,FALSE,"019-97";#N/A,#N/A,FALSE,"021-97";#N/A,#N/A,FALSE,"022-97";#N/A,#N/A,FALSE,"028-97"}</definedName>
    <definedName name="Elétrica" localSheetId="0"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Elétrica" localSheetId="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Elétrica"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EMITIDOSATE" localSheetId="0">#REF!</definedName>
    <definedName name="EMITIDOSATE">#REF!</definedName>
    <definedName name="EMPRESA" localSheetId="0">#REF!</definedName>
    <definedName name="EMPRESA">#REF!</definedName>
    <definedName name="Empresa_Cod">#REF!</definedName>
    <definedName name="enc" localSheetId="0">#REF!</definedName>
    <definedName name="enc" localSheetId="1">#REF!</definedName>
    <definedName name="enc" localSheetId="3">#REF!</definedName>
    <definedName name="enc" localSheetId="9">'ENCARGOS SOCIAIS'!$D$33</definedName>
    <definedName name="enc" localSheetId="2">#REF!</definedName>
    <definedName name="enc">#REF!</definedName>
    <definedName name="Encargos" localSheetId="0">#REF!</definedName>
    <definedName name="Encargos">#REF!</definedName>
    <definedName name="Encargos_Sociais_Trabalhistas" localSheetId="0">#REF!</definedName>
    <definedName name="Encargos_Sociais_Trabalhistas" localSheetId="2">#REF!</definedName>
    <definedName name="Encargos_Sociais_Trabalhistas">#REF!</definedName>
    <definedName name="EncargosHExtra" localSheetId="0">#REF!</definedName>
    <definedName name="EncargosHExtra">#REF!</definedName>
    <definedName name="ENERGIA" localSheetId="0">#REF!</definedName>
    <definedName name="ENERGIA">#REF!</definedName>
    <definedName name="ENGEMEC" localSheetId="0">#REF!</definedName>
    <definedName name="ENGEMEC">#REF!</definedName>
    <definedName name="ENGENHARIA" localSheetId="0">#REF!</definedName>
    <definedName name="ENGENHARIA">#REF!</definedName>
    <definedName name="ENGINEERING__MGENT" localSheetId="0">#REF!</definedName>
    <definedName name="ENGINEERING__MGENT">#REF!</definedName>
    <definedName name="ENT" localSheetId="0">#REF!</definedName>
    <definedName name="ENT" localSheetId="2">#REF!</definedName>
    <definedName name="ENT">#REF!</definedName>
    <definedName name="entrada_mult" localSheetId="0">#REF!</definedName>
    <definedName name="entrada_mult">#REF!</definedName>
    <definedName name="ENVIRONMENT" localSheetId="0">#REF!</definedName>
    <definedName name="ENVIRONMENT">#REF!</definedName>
    <definedName name="EPI" localSheetId="0">#REF!</definedName>
    <definedName name="EPI">#REF!</definedName>
    <definedName name="EPIAdm.Local" localSheetId="0">#REF!</definedName>
    <definedName name="EPIAdm.Local">#REF!</definedName>
    <definedName name="eq" localSheetId="0" hidden="1">{#N/A,#N/A,FALSE,"minas";#N/A,#N/A,FALSE,"Total_OC015";#N/A,#N/A,FALSE,"ADMIN";#N/A,#N/A,FALSE,"PROCES";#N/A,#N/A,FALSE,"civil";#N/A,#N/A,FALSE,"CAÑER";#N/A,#N/A,FALSE,"ELEC";#N/A,#N/A,FALSE,"INSTR";#N/A,#N/A,FALSE,"PDS";#N/A,#N/A,FALSE,"mecan"}</definedName>
    <definedName name="eq" localSheetId="2" hidden="1">{#N/A,#N/A,FALSE,"minas";#N/A,#N/A,FALSE,"Total_OC015";#N/A,#N/A,FALSE,"ADMIN";#N/A,#N/A,FALSE,"PROCES";#N/A,#N/A,FALSE,"civil";#N/A,#N/A,FALSE,"CAÑER";#N/A,#N/A,FALSE,"ELEC";#N/A,#N/A,FALSE,"INSTR";#N/A,#N/A,FALSE,"PDS";#N/A,#N/A,FALSE,"mecan"}</definedName>
    <definedName name="eq" hidden="1">{#N/A,#N/A,FALSE,"minas";#N/A,#N/A,FALSE,"Total_OC015";#N/A,#N/A,FALSE,"ADMIN";#N/A,#N/A,FALSE,"PROCES";#N/A,#N/A,FALSE,"civil";#N/A,#N/A,FALSE,"CAÑER";#N/A,#N/A,FALSE,"ELEC";#N/A,#N/A,FALSE,"INSTR";#N/A,#N/A,FALSE,"PDS";#N/A,#N/A,FALSE,"mecan"}</definedName>
    <definedName name="eqemergencia" localSheetId="0">#REF!</definedName>
    <definedName name="eqemergencia">#REF!</definedName>
    <definedName name="eqfluoresc236w" localSheetId="0">#REF!</definedName>
    <definedName name="eqfluoresc236w">#REF!</definedName>
    <definedName name="eqpt" localSheetId="0">#REF!</definedName>
    <definedName name="eqpt">#REF!</definedName>
    <definedName name="equ" localSheetId="0" hidden="1">{#N/A,#N/A,TRUE,"Est. de Fact.";#N/A,#N/A,TRUE,"Capitulo 19";#N/A,#N/A,TRUE,"Proyecto P855"}</definedName>
    <definedName name="equ" localSheetId="2" hidden="1">{#N/A,#N/A,TRUE,"Est. de Fact.";#N/A,#N/A,TRUE,"Capitulo 19";#N/A,#N/A,TRUE,"Proyecto P855"}</definedName>
    <definedName name="equ" hidden="1">{#N/A,#N/A,TRUE,"Est. de Fact.";#N/A,#N/A,TRUE,"Capitulo 19";#N/A,#N/A,TRUE,"Proyecto P855"}</definedName>
    <definedName name="equi" localSheetId="0" hidden="1">{#N/A,#N/A,FALSE,"Total_OC015";#N/A,#N/A,FALSE,"ADMIN";#N/A,#N/A,FALSE,"PROCES";#N/A,#N/A,FALSE,"mecan";#N/A,#N/A,FALSE,"civil";#N/A,#N/A,FALSE,"CAÑER";#N/A,#N/A,FALSE,"ELEC";#N/A,#N/A,FALSE,"INSTR"}</definedName>
    <definedName name="equi" localSheetId="2" hidden="1">{#N/A,#N/A,FALSE,"Total_OC015";#N/A,#N/A,FALSE,"ADMIN";#N/A,#N/A,FALSE,"PROCES";#N/A,#N/A,FALSE,"mecan";#N/A,#N/A,FALSE,"civil";#N/A,#N/A,FALSE,"CAÑER";#N/A,#N/A,FALSE,"ELEC";#N/A,#N/A,FALSE,"INSTR"}</definedName>
    <definedName name="equi" hidden="1">{#N/A,#N/A,FALSE,"Total_OC015";#N/A,#N/A,FALSE,"ADMIN";#N/A,#N/A,FALSE,"PROCES";#N/A,#N/A,FALSE,"mecan";#N/A,#N/A,FALSE,"civil";#N/A,#N/A,FALSE,"CAÑER";#N/A,#N/A,FALSE,"ELEC";#N/A,#N/A,FALSE,"INSTR"}</definedName>
    <definedName name="equip" localSheetId="0">#REF!</definedName>
    <definedName name="equip">#REF!</definedName>
    <definedName name="Equip.Especiais" localSheetId="0">#REF!</definedName>
    <definedName name="Equip.Especiais">#REF!</definedName>
    <definedName name="EQUIP_1" localSheetId="0">#REF!</definedName>
    <definedName name="EQUIP_1">#REF!</definedName>
    <definedName name="EQUIP_2" localSheetId="0">#REF!</definedName>
    <definedName name="EQUIP_2">#REF!</definedName>
    <definedName name="EQUIP_ELEC_REQ" localSheetId="0">#REF!</definedName>
    <definedName name="EQUIP_ELEC_REQ">#REF!</definedName>
    <definedName name="EQUIP_ELEC_REQ_1" localSheetId="0">#REF!</definedName>
    <definedName name="EQUIP_ELEC_REQ_1">#REF!</definedName>
    <definedName name="EQUIP1">#REF!</definedName>
    <definedName name="EQUIP2">#REF!</definedName>
    <definedName name="Equipamento" localSheetId="0">#REF!</definedName>
    <definedName name="Equipamento">#REF!</definedName>
    <definedName name="equu" localSheetId="0" hidden="1">{#N/A,#N/A,FALSE,"minas";#N/A,#N/A,FALSE,"Total_OC015";#N/A,#N/A,FALSE,"ADMIN";#N/A,#N/A,FALSE,"PROCES";#N/A,#N/A,FALSE,"civil";#N/A,#N/A,FALSE,"CAÑER";#N/A,#N/A,FALSE,"ELEC";#N/A,#N/A,FALSE,"INSTR";#N/A,#N/A,FALSE,"PDS";#N/A,#N/A,FALSE,"mecan"}</definedName>
    <definedName name="equu" localSheetId="2" hidden="1">{#N/A,#N/A,FALSE,"minas";#N/A,#N/A,FALSE,"Total_OC015";#N/A,#N/A,FALSE,"ADMIN";#N/A,#N/A,FALSE,"PROCES";#N/A,#N/A,FALSE,"civil";#N/A,#N/A,FALSE,"CAÑER";#N/A,#N/A,FALSE,"ELEC";#N/A,#N/A,FALSE,"INSTR";#N/A,#N/A,FALSE,"PDS";#N/A,#N/A,FALSE,"mecan"}</definedName>
    <definedName name="equu" hidden="1">{#N/A,#N/A,FALSE,"minas";#N/A,#N/A,FALSE,"Total_OC015";#N/A,#N/A,FALSE,"ADMIN";#N/A,#N/A,FALSE,"PROCES";#N/A,#N/A,FALSE,"civil";#N/A,#N/A,FALSE,"CAÑER";#N/A,#N/A,FALSE,"ELEC";#N/A,#N/A,FALSE,"INSTR";#N/A,#N/A,FALSE,"PDS";#N/A,#N/A,FALSE,"mecan"}</definedName>
    <definedName name="er" localSheetId="0">#REF!</definedName>
    <definedName name="er">#REF!</definedName>
    <definedName name="erd" localSheetId="0" hidden="1">{#N/A,#N/A,FALSE,"IC_Global";#N/A,#N/A,FALSE,"IC_Global (98-f)";#N/A,#N/A,FALSE,"Inc";#N/A,#N/A,FALSE,"CAMBIOS (2)";#N/A,#N/A,FALSE,"EXPL Inc.";#N/A,#N/A,FALSE,"HITOS98";#N/A,#N/A,FALSE,"CURVA ""S"" GLOBAL ";#N/A,#N/A,FALSE,"CURVA ""S"" 1998 "}</definedName>
    <definedName name="erd" localSheetId="2" hidden="1">{#N/A,#N/A,FALSE,"IC_Global";#N/A,#N/A,FALSE,"IC_Global (98-f)";#N/A,#N/A,FALSE,"Inc";#N/A,#N/A,FALSE,"CAMBIOS (2)";#N/A,#N/A,FALSE,"EXPL Inc.";#N/A,#N/A,FALSE,"HITOS98";#N/A,#N/A,FALSE,"CURVA ""S"" GLOBAL ";#N/A,#N/A,FALSE,"CURVA ""S"" 1998 "}</definedName>
    <definedName name="erd" hidden="1">{#N/A,#N/A,FALSE,"IC_Global";#N/A,#N/A,FALSE,"IC_Global (98-f)";#N/A,#N/A,FALSE,"Inc";#N/A,#N/A,FALSE,"CAMBIOS (2)";#N/A,#N/A,FALSE,"EXPL Inc.";#N/A,#N/A,FALSE,"HITOS98";#N/A,#N/A,FALSE,"CURVA ""S"" GLOBAL ";#N/A,#N/A,FALSE,"CURVA ""S"" 1998 "}</definedName>
    <definedName name="ergerg" localSheetId="0" hidden="1">{#N/A,#N/A,FALSE,"minas";#N/A,#N/A,FALSE,"Total_OC015";#N/A,#N/A,FALSE,"ADMIN";#N/A,#N/A,FALSE,"PROCES";#N/A,#N/A,FALSE,"civil";#N/A,#N/A,FALSE,"CAÑER";#N/A,#N/A,FALSE,"ELEC";#N/A,#N/A,FALSE,"INSTR";#N/A,#N/A,FALSE,"PDS";#N/A,#N/A,FALSE,"mecan"}</definedName>
    <definedName name="ergerg" localSheetId="2" hidden="1">{#N/A,#N/A,FALSE,"minas";#N/A,#N/A,FALSE,"Total_OC015";#N/A,#N/A,FALSE,"ADMIN";#N/A,#N/A,FALSE,"PROCES";#N/A,#N/A,FALSE,"civil";#N/A,#N/A,FALSE,"CAÑER";#N/A,#N/A,FALSE,"ELEC";#N/A,#N/A,FALSE,"INSTR";#N/A,#N/A,FALSE,"PDS";#N/A,#N/A,FALSE,"mecan"}</definedName>
    <definedName name="ergerg" hidden="1">{#N/A,#N/A,FALSE,"minas";#N/A,#N/A,FALSE,"Total_OC015";#N/A,#N/A,FALSE,"ADMIN";#N/A,#N/A,FALSE,"PROCES";#N/A,#N/A,FALSE,"civil";#N/A,#N/A,FALSE,"CAÑER";#N/A,#N/A,FALSE,"ELEC";#N/A,#N/A,FALSE,"INSTR";#N/A,#N/A,FALSE,"PDS";#N/A,#N/A,FALSE,"mecan"}</definedName>
    <definedName name="ES" localSheetId="0">#REF!</definedName>
    <definedName name="ES">#REF!</definedName>
    <definedName name="ESA" localSheetId="0">#REF!</definedName>
    <definedName name="ESA">#REF!</definedName>
    <definedName name="ESC150X100" localSheetId="0">#REF!</definedName>
    <definedName name="ESC150X100">#REF!</definedName>
    <definedName name="ESC300X100" localSheetId="0">#REF!</definedName>
    <definedName name="ESC300X100">#REF!</definedName>
    <definedName name="ESC450X100" localSheetId="0">#REF!</definedName>
    <definedName name="ESC450X100">#REF!</definedName>
    <definedName name="ESC600X100" localSheetId="0">#REF!</definedName>
    <definedName name="ESC600X100">#REF!</definedName>
    <definedName name="ESC750X100" localSheetId="0">#REF!</definedName>
    <definedName name="ESC750X100">#REF!</definedName>
    <definedName name="ESocial">#REF!</definedName>
    <definedName name="ESP" localSheetId="0" hidden="1">{#N/A,#N/A,FALSE,"GERAL";#N/A,#N/A,FALSE,"012-96";#N/A,#N/A,FALSE,"018-96";#N/A,#N/A,FALSE,"027-96";#N/A,#N/A,FALSE,"059-96";#N/A,#N/A,FALSE,"076-96";#N/A,#N/A,FALSE,"019-97";#N/A,#N/A,FALSE,"021-97";#N/A,#N/A,FALSE,"022-97";#N/A,#N/A,FALSE,"028-97"}</definedName>
    <definedName name="ESP" localSheetId="2" hidden="1">{#N/A,#N/A,FALSE,"GERAL";#N/A,#N/A,FALSE,"012-96";#N/A,#N/A,FALSE,"018-96";#N/A,#N/A,FALSE,"027-96";#N/A,#N/A,FALSE,"059-96";#N/A,#N/A,FALSE,"076-96";#N/A,#N/A,FALSE,"019-97";#N/A,#N/A,FALSE,"021-97";#N/A,#N/A,FALSE,"022-97";#N/A,#N/A,FALSE,"028-97"}</definedName>
    <definedName name="ESP" hidden="1">{#N/A,#N/A,FALSE,"GERAL";#N/A,#N/A,FALSE,"012-96";#N/A,#N/A,FALSE,"018-96";#N/A,#N/A,FALSE,"027-96";#N/A,#N/A,FALSE,"059-96";#N/A,#N/A,FALSE,"076-96";#N/A,#N/A,FALSE,"019-97";#N/A,#N/A,FALSE,"021-97";#N/A,#N/A,FALSE,"022-97";#N/A,#N/A,FALSE,"028-97"}</definedName>
    <definedName name="ESPCON" localSheetId="0" hidden="1">{#N/A,#N/A,FALSE,"GERAL";#N/A,#N/A,FALSE,"012-96";#N/A,#N/A,FALSE,"018-96";#N/A,#N/A,FALSE,"027-96";#N/A,#N/A,FALSE,"059-96";#N/A,#N/A,FALSE,"076-96";#N/A,#N/A,FALSE,"019-97";#N/A,#N/A,FALSE,"021-97";#N/A,#N/A,FALSE,"022-97";#N/A,#N/A,FALSE,"028-97"}</definedName>
    <definedName name="ESPCON" localSheetId="2" hidden="1">{#N/A,#N/A,FALSE,"GERAL";#N/A,#N/A,FALSE,"012-96";#N/A,#N/A,FALSE,"018-96";#N/A,#N/A,FALSE,"027-96";#N/A,#N/A,FALSE,"059-96";#N/A,#N/A,FALSE,"076-96";#N/A,#N/A,FALSE,"019-97";#N/A,#N/A,FALSE,"021-97";#N/A,#N/A,FALSE,"022-97";#N/A,#N/A,FALSE,"028-97"}</definedName>
    <definedName name="ESPCON" hidden="1">{#N/A,#N/A,FALSE,"GERAL";#N/A,#N/A,FALSE,"012-96";#N/A,#N/A,FALSE,"018-96";#N/A,#N/A,FALSE,"027-96";#N/A,#N/A,FALSE,"059-96";#N/A,#N/A,FALSE,"076-96";#N/A,#N/A,FALSE,"019-97";#N/A,#N/A,FALSE,"021-97";#N/A,#N/A,FALSE,"022-97";#N/A,#N/A,FALSE,"028-97"}</definedName>
    <definedName name="ESPESSAMENTO" localSheetId="0" hidden="1">{#N/A,#N/A,FALSE,"GERAL";#N/A,#N/A,FALSE,"012-96";#N/A,#N/A,FALSE,"018-96";#N/A,#N/A,FALSE,"027-96";#N/A,#N/A,FALSE,"059-96";#N/A,#N/A,FALSE,"076-96";#N/A,#N/A,FALSE,"019-97";#N/A,#N/A,FALSE,"021-97";#N/A,#N/A,FALSE,"022-97";#N/A,#N/A,FALSE,"028-97"}</definedName>
    <definedName name="ESPESSAMENTO" localSheetId="2" hidden="1">{#N/A,#N/A,FALSE,"GERAL";#N/A,#N/A,FALSE,"012-96";#N/A,#N/A,FALSE,"018-96";#N/A,#N/A,FALSE,"027-96";#N/A,#N/A,FALSE,"059-96";#N/A,#N/A,FALSE,"076-96";#N/A,#N/A,FALSE,"019-97";#N/A,#N/A,FALSE,"021-97";#N/A,#N/A,FALSE,"022-97";#N/A,#N/A,FALSE,"028-97"}</definedName>
    <definedName name="ESPESSAMENTO" hidden="1">{#N/A,#N/A,FALSE,"GERAL";#N/A,#N/A,FALSE,"012-96";#N/A,#N/A,FALSE,"018-96";#N/A,#N/A,FALSE,"027-96";#N/A,#N/A,FALSE,"059-96";#N/A,#N/A,FALSE,"076-96";#N/A,#N/A,FALSE,"019-97";#N/A,#N/A,FALSE,"021-97";#N/A,#N/A,FALSE,"022-97";#N/A,#N/A,FALSE,"028-97"}</definedName>
    <definedName name="Est.Metálica" localSheetId="0"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Est.Metálica" localSheetId="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Est.Metálica"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Est.Metálica1" localSheetId="0"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Est.Metálica1" localSheetId="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Est.Metálica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ESTELE" localSheetId="0">#REF!</definedName>
    <definedName name="ESTELE">#REF!</definedName>
    <definedName name="ESTL" localSheetId="0">#REF!</definedName>
    <definedName name="ESTL">#REF!</definedName>
    <definedName name="ESTMEC" localSheetId="0">#REF!</definedName>
    <definedName name="ESTMEC">#REF!</definedName>
    <definedName name="ESTP" localSheetId="0">#REF!</definedName>
    <definedName name="ESTP">#REF!</definedName>
    <definedName name="ESTS" localSheetId="0">#REF!</definedName>
    <definedName name="ESTS">#REF!</definedName>
    <definedName name="EstTotalF">#REF!</definedName>
    <definedName name="etp" localSheetId="0" hidden="1">{#N/A,#N/A,FALSE,"TEC-01";#N/A,#N/A,FALSE,"TEC - 02";#N/A,#N/A,FALSE,"TEC - 03";#N/A,#N/A,FALSE,"TEC - 04";#N/A,#N/A,FALSE,"TEC-07";#N/A,#N/A,FALSE,"TEC-08";#N/A,#N/A,FALSE,"TEC - 09A";#N/A,#N/A,FALSE,"TEC - 09B";#N/A,#N/A,FALSE,"TEC - 09C";#N/A,#N/A,FALSE,"TEC - 10";#N/A,#N/A,FALSE,"TEC-11"}</definedName>
    <definedName name="etp" localSheetId="2" hidden="1">{#N/A,#N/A,FALSE,"TEC-01";#N/A,#N/A,FALSE,"TEC - 02";#N/A,#N/A,FALSE,"TEC - 03";#N/A,#N/A,FALSE,"TEC - 04";#N/A,#N/A,FALSE,"TEC-07";#N/A,#N/A,FALSE,"TEC-08";#N/A,#N/A,FALSE,"TEC - 09A";#N/A,#N/A,FALSE,"TEC - 09B";#N/A,#N/A,FALSE,"TEC - 09C";#N/A,#N/A,FALSE,"TEC - 10";#N/A,#N/A,FALSE,"TEC-11"}</definedName>
    <definedName name="etp" hidden="1">{#N/A,#N/A,FALSE,"TEC-01";#N/A,#N/A,FALSE,"TEC - 02";#N/A,#N/A,FALSE,"TEC - 03";#N/A,#N/A,FALSE,"TEC - 04";#N/A,#N/A,FALSE,"TEC-07";#N/A,#N/A,FALSE,"TEC-08";#N/A,#N/A,FALSE,"TEC - 09A";#N/A,#N/A,FALSE,"TEC - 09B";#N/A,#N/A,FALSE,"TEC - 09C";#N/A,#N/A,FALSE,"TEC - 10";#N/A,#N/A,FALSE,"TEC-11"}</definedName>
    <definedName name="EUR" localSheetId="0">#REF!</definedName>
    <definedName name="EUR">#REF!</definedName>
    <definedName name="EUR_Total" localSheetId="0">#REF!</definedName>
    <definedName name="EUR_Total">#REF!</definedName>
    <definedName name="EURO" localSheetId="0">#REF!</definedName>
    <definedName name="EURO">#REF!</definedName>
    <definedName name="EV">#N/A</definedName>
    <definedName name="EVENTOS" localSheetId="0">OFFSET(#REF!,0,0,COUNTA(#REF!),1)</definedName>
    <definedName name="EVENTOS">OFFSET(#REF!,0,0,COUNTA(#REF!),1)</definedName>
    <definedName name="ewerwe" localSheetId="0">#REF!</definedName>
    <definedName name="ewerwe">#REF!</definedName>
    <definedName name="ewew" localSheetId="0" hidden="1">{#N/A,#N/A,FALSE,"Total_OC015";#N/A,#N/A,FALSE,"ADMIN";#N/A,#N/A,FALSE,"PROCES";#N/A,#N/A,FALSE,"mecan";#N/A,#N/A,FALSE,"civil";#N/A,#N/A,FALSE,"CAÑER";#N/A,#N/A,FALSE,"ELEC";#N/A,#N/A,FALSE,"INSTR"}</definedName>
    <definedName name="ewew" localSheetId="2" hidden="1">{#N/A,#N/A,FALSE,"Total_OC015";#N/A,#N/A,FALSE,"ADMIN";#N/A,#N/A,FALSE,"PROCES";#N/A,#N/A,FALSE,"mecan";#N/A,#N/A,FALSE,"civil";#N/A,#N/A,FALSE,"CAÑER";#N/A,#N/A,FALSE,"ELEC";#N/A,#N/A,FALSE,"INSTR"}</definedName>
    <definedName name="ewew" hidden="1">{#N/A,#N/A,FALSE,"Total_OC015";#N/A,#N/A,FALSE,"ADMIN";#N/A,#N/A,FALSE,"PROCES";#N/A,#N/A,FALSE,"mecan";#N/A,#N/A,FALSE,"civil";#N/A,#N/A,FALSE,"CAÑER";#N/A,#N/A,FALSE,"ELEC";#N/A,#N/A,FALSE,"INSTR"}</definedName>
    <definedName name="EWP" localSheetId="0">#REF!</definedName>
    <definedName name="EWP">#REF!</definedName>
    <definedName name="excav" localSheetId="0">#REF!</definedName>
    <definedName name="excav">#REF!</definedName>
    <definedName name="Excel_BuiltIn__FilterDatabase_1" localSheetId="0">#REF!</definedName>
    <definedName name="Excel_BuiltIn__FilterDatabase_1">#REF!</definedName>
    <definedName name="Excel_BuiltIn__FilterDatabase_2" localSheetId="0">#REF!</definedName>
    <definedName name="Excel_BuiltIn__FilterDatabase_2">#REF!</definedName>
    <definedName name="Excel_BuiltIn_Print_Area_1" localSheetId="0">#REF!</definedName>
    <definedName name="Excel_BuiltIn_Print_Area_1">#REF!</definedName>
    <definedName name="Excel_BuiltIn_Print_Area_1_1" localSheetId="0">#REF!</definedName>
    <definedName name="Excel_BuiltIn_Print_Area_1_1">#REF!</definedName>
    <definedName name="Excel_BuiltIn_Print_Area_2" localSheetId="0">#REF!</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3">#REF!</definedName>
    <definedName name="Excel_BuiltIn_Print_Area_4">#REF!</definedName>
    <definedName name="Excel_BuiltIn_Print_Area_5">#REF!</definedName>
    <definedName name="Excel_BuiltIn_Print_Area_6">#REF!</definedName>
    <definedName name="Excel_BuiltIn_Print_Area_7">#REF!</definedName>
    <definedName name="Excel_BuiltIn_Print_Area_8">#REF!</definedName>
    <definedName name="Excel_BuiltIn_Print_Area_9">#REF!</definedName>
    <definedName name="Excel_BuiltIn_Print_Titles_2_1">#REF!</definedName>
    <definedName name="EXCF" localSheetId="0">#REF!</definedName>
    <definedName name="EXCF">#REF!</definedName>
    <definedName name="Exch_Rate" localSheetId="0">#REF!</definedName>
    <definedName name="Exch_Rate">#REF!</definedName>
    <definedName name="Exch_Rate1" localSheetId="0">#REF!</definedName>
    <definedName name="Exch_Rate1">#REF!</definedName>
    <definedName name="EXCHANGE" localSheetId="0">#REF!</definedName>
    <definedName name="EXCHANGE">#REF!</definedName>
    <definedName name="EXCM" localSheetId="0">#REF!</definedName>
    <definedName name="EXCM">#REF!</definedName>
    <definedName name="EXMA" localSheetId="0">#REF!</definedName>
    <definedName name="EXMA">#REF!</definedName>
    <definedName name="Exp_Index" localSheetId="0">#REF!</definedName>
    <definedName name="Exp_Index">#REF!</definedName>
    <definedName name="EXPANSAO" localSheetId="0">#REF!</definedName>
    <definedName name="EXPANSAO">#REF!</definedName>
    <definedName name="Expense_rates" localSheetId="0">#REF!</definedName>
    <definedName name="Expense_rates">#REF!</definedName>
    <definedName name="Expenses" localSheetId="0">#REF!</definedName>
    <definedName name="Expenses">#REF!</definedName>
    <definedName name="EXPLOSIVOS" localSheetId="0" hidden="1">{#N/A,#N/A,FALSE,"GERAL";#N/A,#N/A,FALSE,"012-96";#N/A,#N/A,FALSE,"018-96";#N/A,#N/A,FALSE,"027-96";#N/A,#N/A,FALSE,"059-96";#N/A,#N/A,FALSE,"076-96";#N/A,#N/A,FALSE,"019-97";#N/A,#N/A,FALSE,"021-97";#N/A,#N/A,FALSE,"022-97";#N/A,#N/A,FALSE,"028-97"}</definedName>
    <definedName name="EXPLOSIVOS" localSheetId="2" hidden="1">{#N/A,#N/A,FALSE,"GERAL";#N/A,#N/A,FALSE,"012-96";#N/A,#N/A,FALSE,"018-96";#N/A,#N/A,FALSE,"027-96";#N/A,#N/A,FALSE,"059-96";#N/A,#N/A,FALSE,"076-96";#N/A,#N/A,FALSE,"019-97";#N/A,#N/A,FALSE,"021-97";#N/A,#N/A,FALSE,"022-97";#N/A,#N/A,FALSE,"028-97"}</definedName>
    <definedName name="EXPLOSIVOS" hidden="1">{#N/A,#N/A,FALSE,"GERAL";#N/A,#N/A,FALSE,"012-96";#N/A,#N/A,FALSE,"018-96";#N/A,#N/A,FALSE,"027-96";#N/A,#N/A,FALSE,"059-96";#N/A,#N/A,FALSE,"076-96";#N/A,#N/A,FALSE,"019-97";#N/A,#N/A,FALSE,"021-97";#N/A,#N/A,FALSE,"022-97";#N/A,#N/A,FALSE,"028-97"}</definedName>
    <definedName name="ExportDrwsTopLine" localSheetId="0">#REF!</definedName>
    <definedName name="ExportDrwsTopLine">#REF!</definedName>
    <definedName name="EXT__m" localSheetId="0">#REF!</definedName>
    <definedName name="EXT__m">#REF!</definedName>
    <definedName name="EXTENSÃO" localSheetId="0">#REF!</definedName>
    <definedName name="EXTENSÃO">#REF!</definedName>
    <definedName name="Extraordinário" localSheetId="0" hidden="1">{#N/A,#N/A,FALSE,"TEC-01";#N/A,#N/A,FALSE,"TEC - 02";#N/A,#N/A,FALSE,"TEC - 03";#N/A,#N/A,FALSE,"TEC - 04";#N/A,#N/A,FALSE,"TEC-07";#N/A,#N/A,FALSE,"TEC-08";#N/A,#N/A,FALSE,"TEC - 09A";#N/A,#N/A,FALSE,"TEC - 09B";#N/A,#N/A,FALSE,"TEC - 09C";#N/A,#N/A,FALSE,"TEC - 10";#N/A,#N/A,FALSE,"TEC-11"}</definedName>
    <definedName name="Extraordinário" localSheetId="2" hidden="1">{#N/A,#N/A,FALSE,"TEC-01";#N/A,#N/A,FALSE,"TEC - 02";#N/A,#N/A,FALSE,"TEC - 03";#N/A,#N/A,FALSE,"TEC - 04";#N/A,#N/A,FALSE,"TEC-07";#N/A,#N/A,FALSE,"TEC-08";#N/A,#N/A,FALSE,"TEC - 09A";#N/A,#N/A,FALSE,"TEC - 09B";#N/A,#N/A,FALSE,"TEC - 09C";#N/A,#N/A,FALSE,"TEC - 10";#N/A,#N/A,FALSE,"TEC-11"}</definedName>
    <definedName name="Extraordinário" hidden="1">{#N/A,#N/A,FALSE,"TEC-01";#N/A,#N/A,FALSE,"TEC - 02";#N/A,#N/A,FALSE,"TEC - 03";#N/A,#N/A,FALSE,"TEC - 04";#N/A,#N/A,FALSE,"TEC-07";#N/A,#N/A,FALSE,"TEC-08";#N/A,#N/A,FALSE,"TEC - 09A";#N/A,#N/A,FALSE,"TEC - 09B";#N/A,#N/A,FALSE,"TEC - 09C";#N/A,#N/A,FALSE,"TEC - 10";#N/A,#N/A,FALSE,"TEC-11"}</definedName>
    <definedName name="f" localSheetId="0" hidden="1">{#N/A,#N/A,FALSE,"GERAL";#N/A,#N/A,FALSE,"012-96";#N/A,#N/A,FALSE,"018-96";#N/A,#N/A,FALSE,"027-96";#N/A,#N/A,FALSE,"059-96";#N/A,#N/A,FALSE,"076-96";#N/A,#N/A,FALSE,"019-97";#N/A,#N/A,FALSE,"021-97";#N/A,#N/A,FALSE,"022-97";#N/A,#N/A,FALSE,"028-97"}</definedName>
    <definedName name="f" localSheetId="2" hidden="1">{#N/A,#N/A,FALSE,"GERAL";#N/A,#N/A,FALSE,"012-96";#N/A,#N/A,FALSE,"018-96";#N/A,#N/A,FALSE,"027-96";#N/A,#N/A,FALSE,"059-96";#N/A,#N/A,FALSE,"076-96";#N/A,#N/A,FALSE,"019-97";#N/A,#N/A,FALSE,"021-97";#N/A,#N/A,FALSE,"022-97";#N/A,#N/A,FALSE,"028-97"}</definedName>
    <definedName name="f" hidden="1">{#N/A,#N/A,FALSE,"GERAL";#N/A,#N/A,FALSE,"012-96";#N/A,#N/A,FALSE,"018-96";#N/A,#N/A,FALSE,"027-96";#N/A,#N/A,FALSE,"059-96";#N/A,#N/A,FALSE,"076-96";#N/A,#N/A,FALSE,"019-97";#N/A,#N/A,FALSE,"021-97";#N/A,#N/A,FALSE,"022-97";#N/A,#N/A,FALSE,"028-97"}</definedName>
    <definedName name="Fac" localSheetId="0">#REF!</definedName>
    <definedName name="Fac">#REF!</definedName>
    <definedName name="Facility_List" localSheetId="0">#REF!</definedName>
    <definedName name="Facility_List">#REF!</definedName>
    <definedName name="FACT" localSheetId="0">#REF!</definedName>
    <definedName name="FACT">#REF!</definedName>
    <definedName name="Factor_EC" localSheetId="0">#REF!</definedName>
    <definedName name="Factor_EC">#REF!</definedName>
    <definedName name="Factor_Mean" localSheetId="0">#REF!</definedName>
    <definedName name="Factor_Mean">#REF!</definedName>
    <definedName name="Factor_SD" localSheetId="0">#REF!</definedName>
    <definedName name="Factor_SD">#REF!</definedName>
    <definedName name="FAL" localSheetId="0">#REF!</definedName>
    <definedName name="FAL">#REF!</definedName>
    <definedName name="far" localSheetId="0"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far" localSheetId="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far"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FATELE" localSheetId="0">#REF!</definedName>
    <definedName name="FATELE">#REF!</definedName>
    <definedName name="FATMEC" localSheetId="0">#REF!</definedName>
    <definedName name="FATMEC">#REF!</definedName>
    <definedName name="FATOR" localSheetId="0">#REF!</definedName>
    <definedName name="FATOR">#REF!</definedName>
    <definedName name="fatorg">#REF!</definedName>
    <definedName name="FATTML">#REF!</definedName>
    <definedName name="FB" localSheetId="0">#REF!</definedName>
    <definedName name="FB">#REF!</definedName>
    <definedName name="fcs">#REF!</definedName>
    <definedName name="FD" localSheetId="0">#REF!</definedName>
    <definedName name="FD">#REF!</definedName>
    <definedName name="fdafd" localSheetId="0" hidden="1">{#N/A,#N/A,FALSE,"GERAL";#N/A,#N/A,FALSE,"012-96";#N/A,#N/A,FALSE,"018-96";#N/A,#N/A,FALSE,"027-96";#N/A,#N/A,FALSE,"059-96";#N/A,#N/A,FALSE,"076-96";#N/A,#N/A,FALSE,"019-97";#N/A,#N/A,FALSE,"021-97";#N/A,#N/A,FALSE,"022-97";#N/A,#N/A,FALSE,"028-97"}</definedName>
    <definedName name="fdafd" localSheetId="2" hidden="1">{#N/A,#N/A,FALSE,"GERAL";#N/A,#N/A,FALSE,"012-96";#N/A,#N/A,FALSE,"018-96";#N/A,#N/A,FALSE,"027-96";#N/A,#N/A,FALSE,"059-96";#N/A,#N/A,FALSE,"076-96";#N/A,#N/A,FALSE,"019-97";#N/A,#N/A,FALSE,"021-97";#N/A,#N/A,FALSE,"022-97";#N/A,#N/A,FALSE,"028-97"}</definedName>
    <definedName name="fdafd" hidden="1">{#N/A,#N/A,FALSE,"GERAL";#N/A,#N/A,FALSE,"012-96";#N/A,#N/A,FALSE,"018-96";#N/A,#N/A,FALSE,"027-96";#N/A,#N/A,FALSE,"059-96";#N/A,#N/A,FALSE,"076-96";#N/A,#N/A,FALSE,"019-97";#N/A,#N/A,FALSE,"021-97";#N/A,#N/A,FALSE,"022-97";#N/A,#N/A,FALSE,"028-97"}</definedName>
    <definedName name="fdfd" localSheetId="0" hidden="1">{#N/A,#N/A,FALSE,"GERAL";#N/A,#N/A,FALSE,"012-96";#N/A,#N/A,FALSE,"018-96";#N/A,#N/A,FALSE,"027-96";#N/A,#N/A,FALSE,"059-96";#N/A,#N/A,FALSE,"076-96";#N/A,#N/A,FALSE,"019-97";#N/A,#N/A,FALSE,"021-97";#N/A,#N/A,FALSE,"022-97";#N/A,#N/A,FALSE,"028-97"}</definedName>
    <definedName name="fdfd" localSheetId="2" hidden="1">{#N/A,#N/A,FALSE,"GERAL";#N/A,#N/A,FALSE,"012-96";#N/A,#N/A,FALSE,"018-96";#N/A,#N/A,FALSE,"027-96";#N/A,#N/A,FALSE,"059-96";#N/A,#N/A,FALSE,"076-96";#N/A,#N/A,FALSE,"019-97";#N/A,#N/A,FALSE,"021-97";#N/A,#N/A,FALSE,"022-97";#N/A,#N/A,FALSE,"028-97"}</definedName>
    <definedName name="fdfd" hidden="1">{#N/A,#N/A,FALSE,"GERAL";#N/A,#N/A,FALSE,"012-96";#N/A,#N/A,FALSE,"018-96";#N/A,#N/A,FALSE,"027-96";#N/A,#N/A,FALSE,"059-96";#N/A,#N/A,FALSE,"076-96";#N/A,#N/A,FALSE,"019-97";#N/A,#N/A,FALSE,"021-97";#N/A,#N/A,FALSE,"022-97";#N/A,#N/A,FALSE,"028-97"}</definedName>
    <definedName name="fdfng" localSheetId="0" hidden="1">{#N/A,#N/A,FALSE,"GERAL";#N/A,#N/A,FALSE,"012-96";#N/A,#N/A,FALSE,"018-96";#N/A,#N/A,FALSE,"027-96";#N/A,#N/A,FALSE,"059-96";#N/A,#N/A,FALSE,"076-96";#N/A,#N/A,FALSE,"019-97";#N/A,#N/A,FALSE,"021-97";#N/A,#N/A,FALSE,"022-97";#N/A,#N/A,FALSE,"028-97"}</definedName>
    <definedName name="fdfng" localSheetId="2" hidden="1">{#N/A,#N/A,FALSE,"GERAL";#N/A,#N/A,FALSE,"012-96";#N/A,#N/A,FALSE,"018-96";#N/A,#N/A,FALSE,"027-96";#N/A,#N/A,FALSE,"059-96";#N/A,#N/A,FALSE,"076-96";#N/A,#N/A,FALSE,"019-97";#N/A,#N/A,FALSE,"021-97";#N/A,#N/A,FALSE,"022-97";#N/A,#N/A,FALSE,"028-97"}</definedName>
    <definedName name="fdfng" hidden="1">{#N/A,#N/A,FALSE,"GERAL";#N/A,#N/A,FALSE,"012-96";#N/A,#N/A,FALSE,"018-96";#N/A,#N/A,FALSE,"027-96";#N/A,#N/A,FALSE,"059-96";#N/A,#N/A,FALSE,"076-96";#N/A,#N/A,FALSE,"019-97";#N/A,#N/A,FALSE,"021-97";#N/A,#N/A,FALSE,"022-97";#N/A,#N/A,FALSE,"028-97"}</definedName>
    <definedName name="FECHA" localSheetId="0">#REF!</definedName>
    <definedName name="FECHA">#REF!</definedName>
    <definedName name="Fee" localSheetId="0">#REF!</definedName>
    <definedName name="Fee">#REF!</definedName>
    <definedName name="felipe" localSheetId="0" hidden="1">{"CI+GG(BASE)",#N/A,FALSE,"CI+GG(BASE)";"GG",#N/A,FALSE,"CI+GG(BASE)";"CI",#N/A,FALSE,"CI+GG(BASE)"}</definedName>
    <definedName name="felipe" localSheetId="2" hidden="1">{"CI+GG(BASE)",#N/A,FALSE,"CI+GG(BASE)";"GG",#N/A,FALSE,"CI+GG(BASE)";"CI",#N/A,FALSE,"CI+GG(BASE)"}</definedName>
    <definedName name="felipe" hidden="1">{"CI+GG(BASE)",#N/A,FALSE,"CI+GG(BASE)";"GG",#N/A,FALSE,"CI+GG(BASE)";"CI",#N/A,FALSE,"CI+GG(BASE)"}</definedName>
    <definedName name="Felix_Sadovnick" localSheetId="0">#REF!</definedName>
    <definedName name="Felix_Sadovnick">#REF!</definedName>
    <definedName name="fence" localSheetId="0">#REF!</definedName>
    <definedName name="fence">#REF!</definedName>
    <definedName name="Ferramentas" localSheetId="0">#REF!</definedName>
    <definedName name="Ferramentas">#REF!</definedName>
    <definedName name="Feuille_1" localSheetId="0">#REF!</definedName>
    <definedName name="Feuille_1">#REF!</definedName>
    <definedName name="Feuille_10" localSheetId="0">#REF!</definedName>
    <definedName name="Feuille_10">#REF!</definedName>
    <definedName name="Feuille_115" localSheetId="0">#REF!</definedName>
    <definedName name="Feuille_115">#REF!</definedName>
    <definedName name="Feuille_3" localSheetId="0">#REF!</definedName>
    <definedName name="Feuille_3">#REF!</definedName>
    <definedName name="Feuille_4" localSheetId="0">#REF!</definedName>
    <definedName name="Feuille_4">#REF!</definedName>
    <definedName name="Feuille_5" localSheetId="0">#REF!</definedName>
    <definedName name="Feuille_5">#REF!</definedName>
    <definedName name="Feuille_6" localSheetId="0">#REF!</definedName>
    <definedName name="Feuille_6">#REF!</definedName>
    <definedName name="Feuille_7" localSheetId="0">#REF!</definedName>
    <definedName name="Feuille_7">#REF!</definedName>
    <definedName name="Feuille_8" localSheetId="0">#REF!</definedName>
    <definedName name="Feuille_8">#REF!</definedName>
    <definedName name="Feuille_9" localSheetId="0">#REF!</definedName>
    <definedName name="Feuille_9">#REF!</definedName>
    <definedName name="Feulle_1" localSheetId="0">#REF!</definedName>
    <definedName name="Feulle_1">#REF!</definedName>
    <definedName name="FF" localSheetId="0" hidden="1">{#N/A,#N/A,FALSE,"GERAL";#N/A,#N/A,FALSE,"012-96";#N/A,#N/A,FALSE,"018-96";#N/A,#N/A,FALSE,"027-96";#N/A,#N/A,FALSE,"059-96";#N/A,#N/A,FALSE,"076-96";#N/A,#N/A,FALSE,"019-97";#N/A,#N/A,FALSE,"021-97";#N/A,#N/A,FALSE,"022-97";#N/A,#N/A,FALSE,"028-97"}</definedName>
    <definedName name="FF" localSheetId="2" hidden="1">{#N/A,#N/A,FALSE,"GERAL";#N/A,#N/A,FALSE,"012-96";#N/A,#N/A,FALSE,"018-96";#N/A,#N/A,FALSE,"027-96";#N/A,#N/A,FALSE,"059-96";#N/A,#N/A,FALSE,"076-96";#N/A,#N/A,FALSE,"019-97";#N/A,#N/A,FALSE,"021-97";#N/A,#N/A,FALSE,"022-97";#N/A,#N/A,FALSE,"028-97"}</definedName>
    <definedName name="FF" hidden="1">{#N/A,#N/A,FALSE,"GERAL";#N/A,#N/A,FALSE,"012-96";#N/A,#N/A,FALSE,"018-96";#N/A,#N/A,FALSE,"027-96";#N/A,#N/A,FALSE,"059-96";#N/A,#N/A,FALSE,"076-96";#N/A,#N/A,FALSE,"019-97";#N/A,#N/A,FALSE,"021-97";#N/A,#N/A,FALSE,"022-97";#N/A,#N/A,FALSE,"028-97"}</definedName>
    <definedName name="ffff" localSheetId="0" hidden="1">{#N/A,#N/A,FALSE,"Total_OC015";#N/A,#N/A,FALSE,"ADMIN";#N/A,#N/A,FALSE,"PROCES";#N/A,#N/A,FALSE,"mecan";#N/A,#N/A,FALSE,"civil";#N/A,#N/A,FALSE,"CAÑER";#N/A,#N/A,FALSE,"ELEC";#N/A,#N/A,FALSE,"INSTR"}</definedName>
    <definedName name="ffff" localSheetId="2" hidden="1">{#N/A,#N/A,FALSE,"Total_OC015";#N/A,#N/A,FALSE,"ADMIN";#N/A,#N/A,FALSE,"PROCES";#N/A,#N/A,FALSE,"mecan";#N/A,#N/A,FALSE,"civil";#N/A,#N/A,FALSE,"CAÑER";#N/A,#N/A,FALSE,"ELEC";#N/A,#N/A,FALSE,"INSTR"}</definedName>
    <definedName name="ffff" hidden="1">{#N/A,#N/A,FALSE,"Total_OC015";#N/A,#N/A,FALSE,"ADMIN";#N/A,#N/A,FALSE,"PROCES";#N/A,#N/A,FALSE,"mecan";#N/A,#N/A,FALSE,"civil";#N/A,#N/A,FALSE,"CAÑER";#N/A,#N/A,FALSE,"ELEC";#N/A,#N/A,FALSE,"INSTR"}</definedName>
    <definedName name="fffff" localSheetId="0" hidden="1">{#N/A,#N/A,FALSE,"Total_OC015";#N/A,#N/A,FALSE,"ADMIN";#N/A,#N/A,FALSE,"PROCES";#N/A,#N/A,FALSE,"mecan";#N/A,#N/A,FALSE,"civil";#N/A,#N/A,FALSE,"CAÑER";#N/A,#N/A,FALSE,"ELEC";#N/A,#N/A,FALSE,"INSTR"}</definedName>
    <definedName name="fffff" localSheetId="2" hidden="1">{#N/A,#N/A,FALSE,"Total_OC015";#N/A,#N/A,FALSE,"ADMIN";#N/A,#N/A,FALSE,"PROCES";#N/A,#N/A,FALSE,"mecan";#N/A,#N/A,FALSE,"civil";#N/A,#N/A,FALSE,"CAÑER";#N/A,#N/A,FALSE,"ELEC";#N/A,#N/A,FALSE,"INSTR"}</definedName>
    <definedName name="fffff" hidden="1">{#N/A,#N/A,FALSE,"Total_OC015";#N/A,#N/A,FALSE,"ADMIN";#N/A,#N/A,FALSE,"PROCES";#N/A,#N/A,FALSE,"mecan";#N/A,#N/A,FALSE,"civil";#N/A,#N/A,FALSE,"CAÑER";#N/A,#N/A,FALSE,"ELEC";#N/A,#N/A,FALSE,"INSTR"}</definedName>
    <definedName name="fffffffffff" localSheetId="0"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fffffffffff" localSheetId="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fffffffffff"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FFTY" localSheetId="0" hidden="1">{#N/A,#N/A,FALSE,"GERAL";#N/A,#N/A,FALSE,"012-96";#N/A,#N/A,FALSE,"018-96";#N/A,#N/A,FALSE,"027-96";#N/A,#N/A,FALSE,"059-96";#N/A,#N/A,FALSE,"076-96";#N/A,#N/A,FALSE,"019-97";#N/A,#N/A,FALSE,"021-97";#N/A,#N/A,FALSE,"022-97";#N/A,#N/A,FALSE,"028-97"}</definedName>
    <definedName name="FFTY" localSheetId="2" hidden="1">{#N/A,#N/A,FALSE,"GERAL";#N/A,#N/A,FALSE,"012-96";#N/A,#N/A,FALSE,"018-96";#N/A,#N/A,FALSE,"027-96";#N/A,#N/A,FALSE,"059-96";#N/A,#N/A,FALSE,"076-96";#N/A,#N/A,FALSE,"019-97";#N/A,#N/A,FALSE,"021-97";#N/A,#N/A,FALSE,"022-97";#N/A,#N/A,FALSE,"028-97"}</definedName>
    <definedName name="FFTY" hidden="1">{#N/A,#N/A,FALSE,"GERAL";#N/A,#N/A,FALSE,"012-96";#N/A,#N/A,FALSE,"018-96";#N/A,#N/A,FALSE,"027-96";#N/A,#N/A,FALSE,"059-96";#N/A,#N/A,FALSE,"076-96";#N/A,#N/A,FALSE,"019-97";#N/A,#N/A,FALSE,"021-97";#N/A,#N/A,FALSE,"022-97";#N/A,#N/A,FALSE,"028-97"}</definedName>
    <definedName name="fgch" localSheetId="0" hidden="1">{#N/A,#N/A,FALSE,"masez (10)";#N/A,#N/A,FALSE,"masez (7)";#N/A,#N/A,FALSE,"masez (6)";#N/A,#N/A,FALSE,"masez (5)";#N/A,#N/A,FALSE,"masez (4)";#N/A,#N/A,FALSE,"masez (3)";#N/A,#N/A,FALSE,"masez (2)";#N/A,#N/A,FALSE,"GME";#N/A,#N/A,FALSE,"masez"}</definedName>
    <definedName name="fgch" localSheetId="2" hidden="1">{#N/A,#N/A,FALSE,"masez (10)";#N/A,#N/A,FALSE,"masez (7)";#N/A,#N/A,FALSE,"masez (6)";#N/A,#N/A,FALSE,"masez (5)";#N/A,#N/A,FALSE,"masez (4)";#N/A,#N/A,FALSE,"masez (3)";#N/A,#N/A,FALSE,"masez (2)";#N/A,#N/A,FALSE,"GME";#N/A,#N/A,FALSE,"masez"}</definedName>
    <definedName name="fgch" hidden="1">{#N/A,#N/A,FALSE,"masez (10)";#N/A,#N/A,FALSE,"masez (7)";#N/A,#N/A,FALSE,"masez (6)";#N/A,#N/A,FALSE,"masez (5)";#N/A,#N/A,FALSE,"masez (4)";#N/A,#N/A,FALSE,"masez (3)";#N/A,#N/A,FALSE,"masez (2)";#N/A,#N/A,FALSE,"GME";#N/A,#N/A,FALSE,"masez"}</definedName>
    <definedName name="fgfdfg" localSheetId="0">#REF!</definedName>
    <definedName name="fgfdfg">#REF!</definedName>
    <definedName name="FGTS" localSheetId="0">#REF!</definedName>
    <definedName name="FGTS">#REF!</definedName>
    <definedName name="FGTS_ind" localSheetId="0">#REF!</definedName>
    <definedName name="FGTS_ind">#REF!</definedName>
    <definedName name="FHSFJKSG" localSheetId="0" hidden="1">{#N/A,#N/A,FALSE,"RESUMEN";#N/A,#N/A,FALSE,"GG-GI";#N/A,#N/A,FALSE,"AMB";#N/A,#N/A,FALSE,"EyR";#N/A,#N/A,FALSE,"UCP";#N/A,#N/A,FALSE,"IND";#N/A,#N/A,FALSE,"LR";#N/A,#N/A,FALSE,"PRV";#N/A,#N/A,FALSE,"TÚNELES";#N/A,#N/A,FALSE,"IDT";#N/A,#N/A,FALSE,"ING"}</definedName>
    <definedName name="FHSFJKSG" localSheetId="2" hidden="1">{#N/A,#N/A,FALSE,"RESUMEN";#N/A,#N/A,FALSE,"GG-GI";#N/A,#N/A,FALSE,"AMB";#N/A,#N/A,FALSE,"EyR";#N/A,#N/A,FALSE,"UCP";#N/A,#N/A,FALSE,"IND";#N/A,#N/A,FALSE,"LR";#N/A,#N/A,FALSE,"PRV";#N/A,#N/A,FALSE,"TÚNELES";#N/A,#N/A,FALSE,"IDT";#N/A,#N/A,FALSE,"ING"}</definedName>
    <definedName name="FHSFJKSG" hidden="1">{#N/A,#N/A,FALSE,"RESUMEN";#N/A,#N/A,FALSE,"GG-GI";#N/A,#N/A,FALSE,"AMB";#N/A,#N/A,FALSE,"EyR";#N/A,#N/A,FALSE,"UCP";#N/A,#N/A,FALSE,"IND";#N/A,#N/A,FALSE,"LR";#N/A,#N/A,FALSE,"PRV";#N/A,#N/A,FALSE,"TÚNELES";#N/A,#N/A,FALSE,"IDT";#N/A,#N/A,FALSE,"ING"}</definedName>
    <definedName name="FIELD_ENGINEERING" localSheetId="0">#REF!</definedName>
    <definedName name="FIELD_ENGINEERING">#REF!</definedName>
    <definedName name="FIELD_PROJECT_CONTROLS" localSheetId="0">#REF!</definedName>
    <definedName name="FIELD_PROJECT_CONTROLS">#REF!</definedName>
    <definedName name="fieldcontrols" localSheetId="0">#REF!</definedName>
    <definedName name="fieldcontrols">#REF!</definedName>
    <definedName name="fifty" localSheetId="0">#REF!</definedName>
    <definedName name="fifty">#REF!</definedName>
    <definedName name="filtragem" localSheetId="0" hidden="1">{#N/A,#N/A,FALSE,"GERAL";#N/A,#N/A,FALSE,"012-96";#N/A,#N/A,FALSE,"018-96";#N/A,#N/A,FALSE,"027-96";#N/A,#N/A,FALSE,"059-96";#N/A,#N/A,FALSE,"076-96";#N/A,#N/A,FALSE,"019-97";#N/A,#N/A,FALSE,"021-97";#N/A,#N/A,FALSE,"022-97";#N/A,#N/A,FALSE,"028-97"}</definedName>
    <definedName name="filtragem" localSheetId="2" hidden="1">{#N/A,#N/A,FALSE,"GERAL";#N/A,#N/A,FALSE,"012-96";#N/A,#N/A,FALSE,"018-96";#N/A,#N/A,FALSE,"027-96";#N/A,#N/A,FALSE,"059-96";#N/A,#N/A,FALSE,"076-96";#N/A,#N/A,FALSE,"019-97";#N/A,#N/A,FALSE,"021-97";#N/A,#N/A,FALSE,"022-97";#N/A,#N/A,FALSE,"028-97"}</definedName>
    <definedName name="filtragem" hidden="1">{#N/A,#N/A,FALSE,"GERAL";#N/A,#N/A,FALSE,"012-96";#N/A,#N/A,FALSE,"018-96";#N/A,#N/A,FALSE,"027-96";#N/A,#N/A,FALSE,"059-96";#N/A,#N/A,FALSE,"076-96";#N/A,#N/A,FALSE,"019-97";#N/A,#N/A,FALSE,"021-97";#N/A,#N/A,FALSE,"022-97";#N/A,#N/A,FALSE,"028-97"}</definedName>
    <definedName name="FIM" localSheetId="0" hidden="1">{#N/A,#N/A,FALSE,"GERAL";#N/A,#N/A,FALSE,"012-96";#N/A,#N/A,FALSE,"018-96";#N/A,#N/A,FALSE,"027-96";#N/A,#N/A,FALSE,"059-96";#N/A,#N/A,FALSE,"076-96";#N/A,#N/A,FALSE,"019-97";#N/A,#N/A,FALSE,"021-97";#N/A,#N/A,FALSE,"022-97";#N/A,#N/A,FALSE,"028-97"}</definedName>
    <definedName name="FIM" localSheetId="2" hidden="1">{#N/A,#N/A,FALSE,"GERAL";#N/A,#N/A,FALSE,"012-96";#N/A,#N/A,FALSE,"018-96";#N/A,#N/A,FALSE,"027-96";#N/A,#N/A,FALSE,"059-96";#N/A,#N/A,FALSE,"076-96";#N/A,#N/A,FALSE,"019-97";#N/A,#N/A,FALSE,"021-97";#N/A,#N/A,FALSE,"022-97";#N/A,#N/A,FALSE,"028-97"}</definedName>
    <definedName name="FIM" hidden="1">{#N/A,#N/A,FALSE,"GERAL";#N/A,#N/A,FALSE,"012-96";#N/A,#N/A,FALSE,"018-96";#N/A,#N/A,FALSE,"027-96";#N/A,#N/A,FALSE,"059-96";#N/A,#N/A,FALSE,"076-96";#N/A,#N/A,FALSE,"019-97";#N/A,#N/A,FALSE,"021-97";#N/A,#N/A,FALSE,"022-97";#N/A,#N/A,FALSE,"028-97"}</definedName>
    <definedName name="fire" localSheetId="0">#REF!</definedName>
    <definedName name="fire">#REF!</definedName>
    <definedName name="FiveA" localSheetId="0">#REF!</definedName>
    <definedName name="FiveA">#REF!</definedName>
    <definedName name="FiveB" localSheetId="0">#REF!</definedName>
    <definedName name="FiveB">#REF!</definedName>
    <definedName name="FiveC" localSheetId="0">#REF!</definedName>
    <definedName name="FiveC">#REF!</definedName>
    <definedName name="FiveD" localSheetId="0">#REF!</definedName>
    <definedName name="FiveD">#REF!</definedName>
    <definedName name="FiveE" localSheetId="0">#REF!</definedName>
    <definedName name="FiveE">#REF!</definedName>
    <definedName name="FiveF" localSheetId="0">#REF!</definedName>
    <definedName name="FiveF">#REF!</definedName>
    <definedName name="FiveG" localSheetId="0">#REF!</definedName>
    <definedName name="FiveG">#REF!</definedName>
    <definedName name="FiveH" localSheetId="0">#REF!</definedName>
    <definedName name="FiveH">#REF!</definedName>
    <definedName name="FiveI" localSheetId="0">#REF!</definedName>
    <definedName name="FiveI">#REF!</definedName>
    <definedName name="FiveJ" localSheetId="0">#REF!</definedName>
    <definedName name="FiveJ">#REF!</definedName>
    <definedName name="FiveK" localSheetId="0">#REF!</definedName>
    <definedName name="FiveK">#REF!</definedName>
    <definedName name="FiveL" localSheetId="0">#REF!</definedName>
    <definedName name="FiveL">#REF!</definedName>
    <definedName name="FiveM" localSheetId="0">#REF!</definedName>
    <definedName name="FiveM">#REF!</definedName>
    <definedName name="fiveone" localSheetId="0">#REF!</definedName>
    <definedName name="fiveone">#REF!</definedName>
    <definedName name="fivezero" localSheetId="0">#REF!</definedName>
    <definedName name="fivezero">#REF!</definedName>
    <definedName name="FL" localSheetId="0">#REF!</definedName>
    <definedName name="FL">#REF!</definedName>
    <definedName name="FLOT" localSheetId="0" hidden="1">{#N/A,#N/A,FALSE,"GERAL";#N/A,#N/A,FALSE,"012-96";#N/A,#N/A,FALSE,"018-96";#N/A,#N/A,FALSE,"027-96";#N/A,#N/A,FALSE,"059-96";#N/A,#N/A,FALSE,"076-96";#N/A,#N/A,FALSE,"019-97";#N/A,#N/A,FALSE,"021-97";#N/A,#N/A,FALSE,"022-97";#N/A,#N/A,FALSE,"028-97"}</definedName>
    <definedName name="FLOT" localSheetId="2" hidden="1">{#N/A,#N/A,FALSE,"GERAL";#N/A,#N/A,FALSE,"012-96";#N/A,#N/A,FALSE,"018-96";#N/A,#N/A,FALSE,"027-96";#N/A,#N/A,FALSE,"059-96";#N/A,#N/A,FALSE,"076-96";#N/A,#N/A,FALSE,"019-97";#N/A,#N/A,FALSE,"021-97";#N/A,#N/A,FALSE,"022-97";#N/A,#N/A,FALSE,"028-97"}</definedName>
    <definedName name="FLOT" hidden="1">{#N/A,#N/A,FALSE,"GERAL";#N/A,#N/A,FALSE,"012-96";#N/A,#N/A,FALSE,"018-96";#N/A,#N/A,FALSE,"027-96";#N/A,#N/A,FALSE,"059-96";#N/A,#N/A,FALSE,"076-96";#N/A,#N/A,FALSE,"019-97";#N/A,#N/A,FALSE,"021-97";#N/A,#N/A,FALSE,"022-97";#N/A,#N/A,FALSE,"028-97"}</definedName>
    <definedName name="FLOTAÇÃO" localSheetId="0" hidden="1">{#N/A,#N/A,FALSE,"GERAL";#N/A,#N/A,FALSE,"012-96";#N/A,#N/A,FALSE,"018-96";#N/A,#N/A,FALSE,"027-96";#N/A,#N/A,FALSE,"059-96";#N/A,#N/A,FALSE,"076-96";#N/A,#N/A,FALSE,"019-97";#N/A,#N/A,FALSE,"021-97";#N/A,#N/A,FALSE,"022-97";#N/A,#N/A,FALSE,"028-97"}</definedName>
    <definedName name="FLOTAÇÃO" localSheetId="2" hidden="1">{#N/A,#N/A,FALSE,"GERAL";#N/A,#N/A,FALSE,"012-96";#N/A,#N/A,FALSE,"018-96";#N/A,#N/A,FALSE,"027-96";#N/A,#N/A,FALSE,"059-96";#N/A,#N/A,FALSE,"076-96";#N/A,#N/A,FALSE,"019-97";#N/A,#N/A,FALSE,"021-97";#N/A,#N/A,FALSE,"022-97";#N/A,#N/A,FALSE,"028-97"}</definedName>
    <definedName name="FLOTAÇÃO" hidden="1">{#N/A,#N/A,FALSE,"GERAL";#N/A,#N/A,FALSE,"012-96";#N/A,#N/A,FALSE,"018-96";#N/A,#N/A,FALSE,"027-96";#N/A,#N/A,FALSE,"059-96";#N/A,#N/A,FALSE,"076-96";#N/A,#N/A,FALSE,"019-97";#N/A,#N/A,FALSE,"021-97";#N/A,#N/A,FALSE,"022-97";#N/A,#N/A,FALSE,"028-97"}</definedName>
    <definedName name="flu" localSheetId="0">#REF!</definedName>
    <definedName name="flu">#REF!</definedName>
    <definedName name="flu_u" localSheetId="0">#REF!</definedName>
    <definedName name="flu_u">#REF!</definedName>
    <definedName name="FLUTUANTE2" localSheetId="0" hidden="1">{#N/A,#N/A,FALSE,"GERAL";#N/A,#N/A,FALSE,"012-96";#N/A,#N/A,FALSE,"018-96";#N/A,#N/A,FALSE,"027-96";#N/A,#N/A,FALSE,"059-96";#N/A,#N/A,FALSE,"076-96";#N/A,#N/A,FALSE,"019-97";#N/A,#N/A,FALSE,"021-97";#N/A,#N/A,FALSE,"022-97";#N/A,#N/A,FALSE,"028-97"}</definedName>
    <definedName name="FLUTUANTE2" localSheetId="2" hidden="1">{#N/A,#N/A,FALSE,"GERAL";#N/A,#N/A,FALSE,"012-96";#N/A,#N/A,FALSE,"018-96";#N/A,#N/A,FALSE,"027-96";#N/A,#N/A,FALSE,"059-96";#N/A,#N/A,FALSE,"076-96";#N/A,#N/A,FALSE,"019-97";#N/A,#N/A,FALSE,"021-97";#N/A,#N/A,FALSE,"022-97";#N/A,#N/A,FALSE,"028-97"}</definedName>
    <definedName name="FLUTUANTE2" hidden="1">{#N/A,#N/A,FALSE,"GERAL";#N/A,#N/A,FALSE,"012-96";#N/A,#N/A,FALSE,"018-96";#N/A,#N/A,FALSE,"027-96";#N/A,#N/A,FALSE,"059-96";#N/A,#N/A,FALSE,"076-96";#N/A,#N/A,FALSE,"019-97";#N/A,#N/A,FALSE,"021-97";#N/A,#N/A,FALSE,"022-97";#N/A,#N/A,FALSE,"028-97"}</definedName>
    <definedName name="FLUX" localSheetId="0">#REF!</definedName>
    <definedName name="FLUX">#REF!</definedName>
    <definedName name="FLUX_1" localSheetId="0">#REF!</definedName>
    <definedName name="FLUX_1">#REF!</definedName>
    <definedName name="FLUX_2" localSheetId="0">#REF!</definedName>
    <definedName name="FLUX_2">#REF!</definedName>
    <definedName name="Fluxogram" localSheetId="0" hidden="1">{#N/A,#N/A,FALSE,"GERAL";#N/A,#N/A,FALSE,"012-96";#N/A,#N/A,FALSE,"018-96";#N/A,#N/A,FALSE,"027-96";#N/A,#N/A,FALSE,"059-96";#N/A,#N/A,FALSE,"076-96";#N/A,#N/A,FALSE,"019-97";#N/A,#N/A,FALSE,"021-97";#N/A,#N/A,FALSE,"022-97";#N/A,#N/A,FALSE,"028-97"}</definedName>
    <definedName name="Fluxogram" localSheetId="2" hidden="1">{#N/A,#N/A,FALSE,"GERAL";#N/A,#N/A,FALSE,"012-96";#N/A,#N/A,FALSE,"018-96";#N/A,#N/A,FALSE,"027-96";#N/A,#N/A,FALSE,"059-96";#N/A,#N/A,FALSE,"076-96";#N/A,#N/A,FALSE,"019-97";#N/A,#N/A,FALSE,"021-97";#N/A,#N/A,FALSE,"022-97";#N/A,#N/A,FALSE,"028-97"}</definedName>
    <definedName name="Fluxogram" hidden="1">{#N/A,#N/A,FALSE,"GERAL";#N/A,#N/A,FALSE,"012-96";#N/A,#N/A,FALSE,"018-96";#N/A,#N/A,FALSE,"027-96";#N/A,#N/A,FALSE,"059-96";#N/A,#N/A,FALSE,"076-96";#N/A,#N/A,FALSE,"019-97";#N/A,#N/A,FALSE,"021-97";#N/A,#N/A,FALSE,"022-97";#N/A,#N/A,FALSE,"028-97"}</definedName>
    <definedName name="FO" localSheetId="0">#REF!</definedName>
    <definedName name="FO">#REF!</definedName>
    <definedName name="FOA" localSheetId="0">#REF!</definedName>
    <definedName name="FOA">#REF!</definedName>
    <definedName name="fol" localSheetId="0" hidden="1">{#N/A,#N/A,FALSE,"GERAL";#N/A,#N/A,FALSE,"012-96";#N/A,#N/A,FALSE,"018-96";#N/A,#N/A,FALSE,"027-96";#N/A,#N/A,FALSE,"059-96";#N/A,#N/A,FALSE,"076-96";#N/A,#N/A,FALSE,"019-97";#N/A,#N/A,FALSE,"021-97";#N/A,#N/A,FALSE,"022-97";#N/A,#N/A,FALSE,"028-97"}</definedName>
    <definedName name="fol" localSheetId="2" hidden="1">{#N/A,#N/A,FALSE,"GERAL";#N/A,#N/A,FALSE,"012-96";#N/A,#N/A,FALSE,"018-96";#N/A,#N/A,FALSE,"027-96";#N/A,#N/A,FALSE,"059-96";#N/A,#N/A,FALSE,"076-96";#N/A,#N/A,FALSE,"019-97";#N/A,#N/A,FALSE,"021-97";#N/A,#N/A,FALSE,"022-97";#N/A,#N/A,FALSE,"028-97"}</definedName>
    <definedName name="fol" hidden="1">{#N/A,#N/A,FALSE,"GERAL";#N/A,#N/A,FALSE,"012-96";#N/A,#N/A,FALSE,"018-96";#N/A,#N/A,FALSE,"027-96";#N/A,#N/A,FALSE,"059-96";#N/A,#N/A,FALSE,"076-96";#N/A,#N/A,FALSE,"019-97";#N/A,#N/A,FALSE,"021-97";#N/A,#N/A,FALSE,"022-97";#N/A,#N/A,FALSE,"028-97"}</definedName>
    <definedName name="fol2a" localSheetId="0">#REF!</definedName>
    <definedName name="fol2a">#REF!</definedName>
    <definedName name="FolhaPagamento" localSheetId="0">#REF!</definedName>
    <definedName name="FolhaPagamento">#REF!</definedName>
    <definedName name="FORM" localSheetId="0">#REF!</definedName>
    <definedName name="FORM">#REF!</definedName>
    <definedName name="FORM8A_PRINTOUT" localSheetId="0">#REF!</definedName>
    <definedName name="FORM8A_PRINTOUT">#REF!</definedName>
    <definedName name="FORM8A_TITRE" localSheetId="0">#REF!</definedName>
    <definedName name="FORM8A_TITRE">#REF!</definedName>
    <definedName name="FORM8A_WIN_END" localSheetId="0">#REF!</definedName>
    <definedName name="FORM8A_WIN_END">#REF!</definedName>
    <definedName name="FORM8A_WIN1" localSheetId="0">#REF!</definedName>
    <definedName name="FORM8A_WIN1">#REF!</definedName>
    <definedName name="FORM8A_WINGO" localSheetId="0">#REF!</definedName>
    <definedName name="FORM8A_WINGO">#REF!</definedName>
    <definedName name="FORM8B_PRINTOUT" localSheetId="0">#REF!</definedName>
    <definedName name="FORM8B_PRINTOUT">#REF!</definedName>
    <definedName name="FORM8B_TITRE" localSheetId="0">#REF!</definedName>
    <definedName name="FORM8B_TITRE">#REF!</definedName>
    <definedName name="FORM8B_WIN_END" localSheetId="0">#REF!</definedName>
    <definedName name="FORM8B_WIN_END">#REF!</definedName>
    <definedName name="FORM8B_WIN1" localSheetId="0">#REF!</definedName>
    <definedName name="FORM8B_WIN1">#REF!</definedName>
    <definedName name="Format" localSheetId="0">#REF!</definedName>
    <definedName name="Format">#REF!</definedName>
    <definedName name="Formato" localSheetId="0">#REF!</definedName>
    <definedName name="Formato">#REF!</definedName>
    <definedName name="FORMATOS" localSheetId="0">#REF!</definedName>
    <definedName name="FORMATOS">#REF!</definedName>
    <definedName name="Fornec_assent_lajotas_concreto_45x45x5_cm" localSheetId="0">#REF!</definedName>
    <definedName name="Fornec_assent_lajotas_concreto_45x45x5_cm">#REF!</definedName>
    <definedName name="Fornec_e_Assent_de_Petit_Pavet">#REF!</definedName>
    <definedName name="Fornec_e_assent_lousas_de_granito" localSheetId="0">#REF!</definedName>
    <definedName name="Fornec_e_assent_lousas_de_granito">#REF!</definedName>
    <definedName name="FourA" localSheetId="0">#REF!</definedName>
    <definedName name="FourA">#REF!</definedName>
    <definedName name="FourB" localSheetId="0">#REF!</definedName>
    <definedName name="FourB">#REF!</definedName>
    <definedName name="FourC" localSheetId="0">#REF!</definedName>
    <definedName name="FourC">#REF!</definedName>
    <definedName name="FourD" localSheetId="0">#REF!</definedName>
    <definedName name="FourD">#REF!</definedName>
    <definedName name="FourE" localSheetId="0">#REF!</definedName>
    <definedName name="FourE">#REF!</definedName>
    <definedName name="FourF" localSheetId="0">#REF!</definedName>
    <definedName name="FourF">#REF!</definedName>
    <definedName name="FourG" localSheetId="0">#REF!</definedName>
    <definedName name="FourG">#REF!</definedName>
    <definedName name="FourH" localSheetId="0">#REF!</definedName>
    <definedName name="FourH">#REF!</definedName>
    <definedName name="FourI" localSheetId="0">#REF!</definedName>
    <definedName name="FourI">#REF!</definedName>
    <definedName name="FourJ" localSheetId="0">#REF!</definedName>
    <definedName name="FourJ">#REF!</definedName>
    <definedName name="FourK" localSheetId="0">#REF!</definedName>
    <definedName name="FourK">#REF!</definedName>
    <definedName name="FourL" localSheetId="0">#REF!</definedName>
    <definedName name="FourL">#REF!</definedName>
    <definedName name="Fourm" localSheetId="0">#REF!</definedName>
    <definedName name="Fourm">#REF!</definedName>
    <definedName name="fp_mod" localSheetId="0">#REF!</definedName>
    <definedName name="fp_mod">#REF!</definedName>
    <definedName name="fp_par" localSheetId="0">#REF!</definedName>
    <definedName name="fp_par">#REF!</definedName>
    <definedName name="FPE" localSheetId="0">#REF!</definedName>
    <definedName name="FPE">#REF!</definedName>
    <definedName name="FPI" localSheetId="0">#REF!</definedName>
    <definedName name="FPI">#REF!</definedName>
    <definedName name="fpp_1" localSheetId="0">#REF!</definedName>
    <definedName name="fpp_1">#REF!</definedName>
    <definedName name="fpp_2" localSheetId="0">#REF!</definedName>
    <definedName name="fpp_2">#REF!</definedName>
    <definedName name="fpp_3" localSheetId="0">#REF!</definedName>
    <definedName name="fpp_3">#REF!</definedName>
    <definedName name="FRA" localSheetId="0">#REF!</definedName>
    <definedName name="FRA">#REF!</definedName>
    <definedName name="Fransisco_Baeza_Morales" localSheetId="0">#REF!</definedName>
    <definedName name="Fransisco_Baeza_Morales">#REF!</definedName>
    <definedName name="FRC" localSheetId="0">#REF!</definedName>
    <definedName name="FRC">#REF!</definedName>
    <definedName name="FRD" localSheetId="0">#REF!</definedName>
    <definedName name="FRD">#REF!</definedName>
    <definedName name="FREADVAL" localSheetId="0">#REF!</definedName>
    <definedName name="FREADVAL">#REF!</definedName>
    <definedName name="FREFIX" localSheetId="0">#REF!</definedName>
    <definedName name="FREFIX">#REF!</definedName>
    <definedName name="FREPES" localSheetId="0">#REF!</definedName>
    <definedName name="FREPES">#REF!</definedName>
    <definedName name="frequência">#REF!</definedName>
    <definedName name="FRESAGEM" localSheetId="0">#REF!</definedName>
    <definedName name="FRESAGEM">#REF!</definedName>
    <definedName name="FRETE">#REF!</definedName>
    <definedName name="frfrfr" localSheetId="0" hidden="1">{"DETALLE_1996",#N/A,FALSE,"flujo";"DETALLE_1997",#N/A,FALSE,"flujo";"GASTOS_INCURRIDOS_1996",#N/A,FALSE,"flujo";"GASTOS_PROGRAMADOS_PARA_1997",#N/A,FALSE,"flujo";#N/A,#N/A,FALSE,"comparat";#N/A,#N/A,FALSE,"costos";#N/A,#N/A,FALSE,"proyctrol"}</definedName>
    <definedName name="frfrfr" localSheetId="2" hidden="1">{"DETALLE_1996",#N/A,FALSE,"flujo";"DETALLE_1997",#N/A,FALSE,"flujo";"GASTOS_INCURRIDOS_1996",#N/A,FALSE,"flujo";"GASTOS_PROGRAMADOS_PARA_1997",#N/A,FALSE,"flujo";#N/A,#N/A,FALSE,"comparat";#N/A,#N/A,FALSE,"costos";#N/A,#N/A,FALSE,"proyctrol"}</definedName>
    <definedName name="frfrfr" hidden="1">{"DETALLE_1996",#N/A,FALSE,"flujo";"DETALLE_1997",#N/A,FALSE,"flujo";"GASTOS_INCURRIDOS_1996",#N/A,FALSE,"flujo";"GASTOS_PROGRAMADOS_PARA_1997",#N/A,FALSE,"flujo";#N/A,#N/A,FALSE,"comparat";#N/A,#N/A,FALSE,"costos";#N/A,#N/A,FALSE,"proyctrol"}</definedName>
    <definedName name="FROLB" localSheetId="0">#REF!</definedName>
    <definedName name="FROLB">#REF!</definedName>
    <definedName name="fsd" localSheetId="0">#REF!</definedName>
    <definedName name="fsd">#REF!</definedName>
    <definedName name="fse" localSheetId="0">#REF!</definedName>
    <definedName name="fse">#REF!</definedName>
    <definedName name="FSEFSEF" localSheetId="0" hidden="1">{#N/A,#N/A,FALSE,"Total_OC015";#N/A,#N/A,FALSE,"ADMIN";#N/A,#N/A,FALSE,"PROCES";#N/A,#N/A,FALSE,"mecan";#N/A,#N/A,FALSE,"civil";#N/A,#N/A,FALSE,"CAÑER";#N/A,#N/A,FALSE,"ELEC";#N/A,#N/A,FALSE,"INSTR"}</definedName>
    <definedName name="FSEFSEF" localSheetId="2" hidden="1">{#N/A,#N/A,FALSE,"Total_OC015";#N/A,#N/A,FALSE,"ADMIN";#N/A,#N/A,FALSE,"PROCES";#N/A,#N/A,FALSE,"mecan";#N/A,#N/A,FALSE,"civil";#N/A,#N/A,FALSE,"CAÑER";#N/A,#N/A,FALSE,"ELEC";#N/A,#N/A,FALSE,"INSTR"}</definedName>
    <definedName name="FSEFSEF" hidden="1">{#N/A,#N/A,FALSE,"Total_OC015";#N/A,#N/A,FALSE,"ADMIN";#N/A,#N/A,FALSE,"PROCES";#N/A,#N/A,FALSE,"mecan";#N/A,#N/A,FALSE,"civil";#N/A,#N/A,FALSE,"CAÑER";#N/A,#N/A,FALSE,"ELEC";#N/A,#N/A,FALSE,"INSTR"}</definedName>
    <definedName name="fsn" localSheetId="0">#REF!</definedName>
    <definedName name="fsn">#REF!</definedName>
    <definedName name="FT" localSheetId="0">#REF!</definedName>
    <definedName name="FT">#REF!</definedName>
    <definedName name="FTM" localSheetId="0">#REF!</definedName>
    <definedName name="FTM">#REF!</definedName>
    <definedName name="FTMina" localSheetId="0">#REF!</definedName>
    <definedName name="FTMina">#REF!</definedName>
    <definedName name="FTPlanta" localSheetId="0">#REF!</definedName>
    <definedName name="FTPlanta">#REF!</definedName>
    <definedName name="FUI">#REF!</definedName>
    <definedName name="Função" localSheetId="0">#REF!</definedName>
    <definedName name="Função">#REF!</definedName>
    <definedName name="FuncGroup" localSheetId="0">#REF!</definedName>
    <definedName name="FuncGroup">#REF!</definedName>
    <definedName name="FunctionalGroups" localSheetId="0">#REF!</definedName>
    <definedName name="FunctionalGroups">#REF!</definedName>
    <definedName name="FundoDePensão" localSheetId="0">#REF!</definedName>
    <definedName name="FundoDePensão">#REF!</definedName>
    <definedName name="fur" localSheetId="0">#REF!</definedName>
    <definedName name="fur">#REF!</definedName>
    <definedName name="FURNACE" localSheetId="0">#REF!</definedName>
    <definedName name="FURNACE">#REF!</definedName>
    <definedName name="FWFESDFSDF" localSheetId="0" hidden="1">{#N/A,#N/A,TRUE,"Est. de Fact.";#N/A,#N/A,TRUE,"Capitulo 19";#N/A,#N/A,TRUE,"Proyecto P855"}</definedName>
    <definedName name="FWFESDFSDF" localSheetId="2" hidden="1">{#N/A,#N/A,TRUE,"Est. de Fact.";#N/A,#N/A,TRUE,"Capitulo 19";#N/A,#N/A,TRUE,"Proyecto P855"}</definedName>
    <definedName name="FWFESDFSDF" hidden="1">{#N/A,#N/A,TRUE,"Est. de Fact.";#N/A,#N/A,TRUE,"Capitulo 19";#N/A,#N/A,TRUE,"Proyecto P855"}</definedName>
    <definedName name="fx" localSheetId="0" hidden="1">{#N/A,#N/A,FALSE,"GERAL";#N/A,#N/A,FALSE,"012-96";#N/A,#N/A,FALSE,"018-96";#N/A,#N/A,FALSE,"027-96";#N/A,#N/A,FALSE,"059-96";#N/A,#N/A,FALSE,"076-96";#N/A,#N/A,FALSE,"019-97";#N/A,#N/A,FALSE,"021-97";#N/A,#N/A,FALSE,"022-97";#N/A,#N/A,FALSE,"028-97"}</definedName>
    <definedName name="fx" localSheetId="2" hidden="1">{#N/A,#N/A,FALSE,"GERAL";#N/A,#N/A,FALSE,"012-96";#N/A,#N/A,FALSE,"018-96";#N/A,#N/A,FALSE,"027-96";#N/A,#N/A,FALSE,"059-96";#N/A,#N/A,FALSE,"076-96";#N/A,#N/A,FALSE,"019-97";#N/A,#N/A,FALSE,"021-97";#N/A,#N/A,FALSE,"022-97";#N/A,#N/A,FALSE,"028-97"}</definedName>
    <definedName name="fx" hidden="1">{#N/A,#N/A,FALSE,"GERAL";#N/A,#N/A,FALSE,"012-96";#N/A,#N/A,FALSE,"018-96";#N/A,#N/A,FALSE,"027-96";#N/A,#N/A,FALSE,"059-96";#N/A,#N/A,FALSE,"076-96";#N/A,#N/A,FALSE,"019-97";#N/A,#N/A,FALSE,"021-97";#N/A,#N/A,FALSE,"022-97";#N/A,#N/A,FALSE,"028-97"}</definedName>
    <definedName name="g" localSheetId="0">#REF!</definedName>
    <definedName name="g" localSheetId="2">#REF!</definedName>
    <definedName name="g">#REF!</definedName>
    <definedName name="gagagd" localSheetId="0" hidden="1">{#N/A,#N/A,FALSE,"GERAL";#N/A,#N/A,FALSE,"012-96";#N/A,#N/A,FALSE,"018-96";#N/A,#N/A,FALSE,"027-96";#N/A,#N/A,FALSE,"059-96";#N/A,#N/A,FALSE,"076-96";#N/A,#N/A,FALSE,"019-97";#N/A,#N/A,FALSE,"021-97";#N/A,#N/A,FALSE,"022-97";#N/A,#N/A,FALSE,"028-97"}</definedName>
    <definedName name="gagagd" localSheetId="2" hidden="1">{#N/A,#N/A,FALSE,"GERAL";#N/A,#N/A,FALSE,"012-96";#N/A,#N/A,FALSE,"018-96";#N/A,#N/A,FALSE,"027-96";#N/A,#N/A,FALSE,"059-96";#N/A,#N/A,FALSE,"076-96";#N/A,#N/A,FALSE,"019-97";#N/A,#N/A,FALSE,"021-97";#N/A,#N/A,FALSE,"022-97";#N/A,#N/A,FALSE,"028-97"}</definedName>
    <definedName name="gagagd" hidden="1">{#N/A,#N/A,FALSE,"GERAL";#N/A,#N/A,FALSE,"012-96";#N/A,#N/A,FALSE,"018-96";#N/A,#N/A,FALSE,"027-96";#N/A,#N/A,FALSE,"059-96";#N/A,#N/A,FALSE,"076-96";#N/A,#N/A,FALSE,"019-97";#N/A,#N/A,FALSE,"021-97";#N/A,#N/A,FALSE,"022-97";#N/A,#N/A,FALSE,"028-97"}</definedName>
    <definedName name="galo" localSheetId="0" hidden="1">{#N/A,#N/A,FALSE,"GERAL";#N/A,#N/A,FALSE,"012-96";#N/A,#N/A,FALSE,"018-96";#N/A,#N/A,FALSE,"027-96";#N/A,#N/A,FALSE,"059-96";#N/A,#N/A,FALSE,"076-96";#N/A,#N/A,FALSE,"019-97";#N/A,#N/A,FALSE,"021-97";#N/A,#N/A,FALSE,"022-97";#N/A,#N/A,FALSE,"028-97"}</definedName>
    <definedName name="galo" localSheetId="2" hidden="1">{#N/A,#N/A,FALSE,"GERAL";#N/A,#N/A,FALSE,"012-96";#N/A,#N/A,FALSE,"018-96";#N/A,#N/A,FALSE,"027-96";#N/A,#N/A,FALSE,"059-96";#N/A,#N/A,FALSE,"076-96";#N/A,#N/A,FALSE,"019-97";#N/A,#N/A,FALSE,"021-97";#N/A,#N/A,FALSE,"022-97";#N/A,#N/A,FALSE,"028-97"}</definedName>
    <definedName name="galo" hidden="1">{#N/A,#N/A,FALSE,"GERAL";#N/A,#N/A,FALSE,"012-96";#N/A,#N/A,FALSE,"018-96";#N/A,#N/A,FALSE,"027-96";#N/A,#N/A,FALSE,"059-96";#N/A,#N/A,FALSE,"076-96";#N/A,#N/A,FALSE,"019-97";#N/A,#N/A,FALSE,"021-97";#N/A,#N/A,FALSE,"022-97";#N/A,#N/A,FALSE,"028-97"}</definedName>
    <definedName name="ganem" localSheetId="0"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ganem" localSheetId="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ganem"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garbage" localSheetId="0">#REF!</definedName>
    <definedName name="garbage">#REF!</definedName>
    <definedName name="Gastón" localSheetId="0" hidden="1">{"CI+GG(BASE)",#N/A,FALSE,"CI+GG(BASE)";"GG",#N/A,FALSE,"CI+GG(BASE)";"CI",#N/A,FALSE,"CI+GG(BASE)"}</definedName>
    <definedName name="Gastón" localSheetId="2" hidden="1">{"CI+GG(BASE)",#N/A,FALSE,"CI+GG(BASE)";"GG",#N/A,FALSE,"CI+GG(BASE)";"CI",#N/A,FALSE,"CI+GG(BASE)"}</definedName>
    <definedName name="Gastón" hidden="1">{"CI+GG(BASE)",#N/A,FALSE,"CI+GG(BASE)";"GG",#N/A,FALSE,"CI+GG(BASE)";"CI",#N/A,FALSE,"CI+GG(BASE)"}</definedName>
    <definedName name="GBP" localSheetId="0">#REF!</definedName>
    <definedName name="GBP">#REF!</definedName>
    <definedName name="GE" localSheetId="0">#REF!</definedName>
    <definedName name="GE">#REF!</definedName>
    <definedName name="General" localSheetId="0">#REF!</definedName>
    <definedName name="General">#REF!</definedName>
    <definedName name="gente" localSheetId="0" hidden="1">{"FlujoGastos",#N/A,FALSE,"Base";"FlujoGastos",#N/A,FALSE,"Buzón Tren";"FlujoGastos",#N/A,FALSE,"Buzón Camión";"FlujoGastos",#N/A,FALSE,"LHD Camión";"FlujoGastos",#N/A,FALSE,"Cámara Camión"}</definedName>
    <definedName name="gente" localSheetId="2" hidden="1">{"FlujoGastos",#N/A,FALSE,"Base";"FlujoGastos",#N/A,FALSE,"Buzón Tren";"FlujoGastos",#N/A,FALSE,"Buzón Camión";"FlujoGastos",#N/A,FALSE,"LHD Camión";"FlujoGastos",#N/A,FALSE,"Cámara Camión"}</definedName>
    <definedName name="gente" hidden="1">{"FlujoGastos",#N/A,FALSE,"Base";"FlujoGastos",#N/A,FALSE,"Buzón Tren";"FlujoGastos",#N/A,FALSE,"Buzón Camión";"FlujoGastos",#N/A,FALSE,"LHD Camión";"FlujoGastos",#N/A,FALSE,"Cámara Camión"}</definedName>
    <definedName name="gentio" localSheetId="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2"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RÊNCIA_GERAL_DO_PROJETO" localSheetId="0">#REF!</definedName>
    <definedName name="GERÊNCIA_GERAL_DO_PROJETO">#REF!</definedName>
    <definedName name="Gerenciadora" localSheetId="0">#REF!</definedName>
    <definedName name="Gerenciadora">#REF!</definedName>
    <definedName name="gerente" localSheetId="0" hidden="1">{"desarrollo",#N/A,FALSE,"Cámara Camión";"resumen",#N/A,FALSE,"Cámara Camión";"eqprod",#N/A,FALSE,"Cámara Camión"}</definedName>
    <definedName name="gerente" localSheetId="2" hidden="1">{"desarrollo",#N/A,FALSE,"Cámara Camión";"resumen",#N/A,FALSE,"Cámara Camión";"eqprod",#N/A,FALSE,"Cámara Camión"}</definedName>
    <definedName name="gerente" hidden="1">{"desarrollo",#N/A,FALSE,"Cámara Camión";"resumen",#N/A,FALSE,"Cámara Camión";"eqprod",#N/A,FALSE,"Cámara Camión"}</definedName>
    <definedName name="Germán_Caceres" localSheetId="0">#REF!</definedName>
    <definedName name="Germán_Caceres">#REF!</definedName>
    <definedName name="gg" localSheetId="0" hidden="1">{#N/A,#N/A,FALSE,"Total_OC015";#N/A,#N/A,FALSE,"ADMIN";#N/A,#N/A,FALSE,"PROCES";#N/A,#N/A,FALSE,"mecan";#N/A,#N/A,FALSE,"civil";#N/A,#N/A,FALSE,"CAÑER";#N/A,#N/A,FALSE,"ELEC";#N/A,#N/A,FALSE,"INSTR"}</definedName>
    <definedName name="gg" localSheetId="2" hidden="1">{#N/A,#N/A,FALSE,"Total_OC015";#N/A,#N/A,FALSE,"ADMIN";#N/A,#N/A,FALSE,"PROCES";#N/A,#N/A,FALSE,"mecan";#N/A,#N/A,FALSE,"civil";#N/A,#N/A,FALSE,"CAÑER";#N/A,#N/A,FALSE,"ELEC";#N/A,#N/A,FALSE,"INSTR"}</definedName>
    <definedName name="gg" hidden="1">{#N/A,#N/A,FALSE,"Total_OC015";#N/A,#N/A,FALSE,"ADMIN";#N/A,#N/A,FALSE,"PROCES";#N/A,#N/A,FALSE,"mecan";#N/A,#N/A,FALSE,"civil";#N/A,#N/A,FALSE,"CAÑER";#N/A,#N/A,FALSE,"ELEC";#N/A,#N/A,FALSE,"INSTR"}</definedName>
    <definedName name="ggad" localSheetId="0" hidden="1">{#N/A,#N/A,FALSE,"GERAL";#N/A,#N/A,FALSE,"012-96";#N/A,#N/A,FALSE,"018-96";#N/A,#N/A,FALSE,"027-96";#N/A,#N/A,FALSE,"059-96";#N/A,#N/A,FALSE,"076-96";#N/A,#N/A,FALSE,"019-97";#N/A,#N/A,FALSE,"021-97";#N/A,#N/A,FALSE,"022-97";#N/A,#N/A,FALSE,"028-97"}</definedName>
    <definedName name="ggad" localSheetId="2" hidden="1">{#N/A,#N/A,FALSE,"GERAL";#N/A,#N/A,FALSE,"012-96";#N/A,#N/A,FALSE,"018-96";#N/A,#N/A,FALSE,"027-96";#N/A,#N/A,FALSE,"059-96";#N/A,#N/A,FALSE,"076-96";#N/A,#N/A,FALSE,"019-97";#N/A,#N/A,FALSE,"021-97";#N/A,#N/A,FALSE,"022-97";#N/A,#N/A,FALSE,"028-97"}</definedName>
    <definedName name="ggad" hidden="1">{#N/A,#N/A,FALSE,"GERAL";#N/A,#N/A,FALSE,"012-96";#N/A,#N/A,FALSE,"018-96";#N/A,#N/A,FALSE,"027-96";#N/A,#N/A,FALSE,"059-96";#N/A,#N/A,FALSE,"076-96";#N/A,#N/A,FALSE,"019-97";#N/A,#N/A,FALSE,"021-97";#N/A,#N/A,FALSE,"022-97";#N/A,#N/A,FALSE,"028-97"}</definedName>
    <definedName name="gggg" localSheetId="0" hidden="1">{#N/A,#N/A,TRUE,"Est. de Fact.";#N/A,#N/A,TRUE,"Capitulo 19";#N/A,#N/A,TRUE,"Proyecto P855"}</definedName>
    <definedName name="gggg" localSheetId="2" hidden="1">{#N/A,#N/A,TRUE,"Est. de Fact.";#N/A,#N/A,TRUE,"Capitulo 19";#N/A,#N/A,TRUE,"Proyecto P855"}</definedName>
    <definedName name="gggg" hidden="1">{#N/A,#N/A,TRUE,"Est. de Fact.";#N/A,#N/A,TRUE,"Capitulo 19";#N/A,#N/A,TRUE,"Proyecto P855"}</definedName>
    <definedName name="gggggg" localSheetId="0" hidden="1">{#N/A,#N/A,FALSE,"Total_OC015";#N/A,#N/A,FALSE,"ADMIN";#N/A,#N/A,FALSE,"PROCES";#N/A,#N/A,FALSE,"mecan";#N/A,#N/A,FALSE,"civil";#N/A,#N/A,FALSE,"CAÑER";#N/A,#N/A,FALSE,"ELEC";#N/A,#N/A,FALSE,"INSTR"}</definedName>
    <definedName name="gggggg" localSheetId="2" hidden="1">{#N/A,#N/A,FALSE,"Total_OC015";#N/A,#N/A,FALSE,"ADMIN";#N/A,#N/A,FALSE,"PROCES";#N/A,#N/A,FALSE,"mecan";#N/A,#N/A,FALSE,"civil";#N/A,#N/A,FALSE,"CAÑER";#N/A,#N/A,FALSE,"ELEC";#N/A,#N/A,FALSE,"INSTR"}</definedName>
    <definedName name="gggggg" hidden="1">{#N/A,#N/A,FALSE,"Total_OC015";#N/A,#N/A,FALSE,"ADMIN";#N/A,#N/A,FALSE,"PROCES";#N/A,#N/A,FALSE,"mecan";#N/A,#N/A,FALSE,"civil";#N/A,#N/A,FALSE,"CAÑER";#N/A,#N/A,FALSE,"ELEC";#N/A,#N/A,FALSE,"INSTR"}</definedName>
    <definedName name="GJ" localSheetId="0" hidden="1">{#N/A,#N/A,FALSE,"GERAL";#N/A,#N/A,FALSE,"012-96";#N/A,#N/A,FALSE,"018-96";#N/A,#N/A,FALSE,"027-96";#N/A,#N/A,FALSE,"059-96";#N/A,#N/A,FALSE,"076-96";#N/A,#N/A,FALSE,"019-97";#N/A,#N/A,FALSE,"021-97";#N/A,#N/A,FALSE,"022-97";#N/A,#N/A,FALSE,"028-97"}</definedName>
    <definedName name="GJ" localSheetId="2" hidden="1">{#N/A,#N/A,FALSE,"GERAL";#N/A,#N/A,FALSE,"012-96";#N/A,#N/A,FALSE,"018-96";#N/A,#N/A,FALSE,"027-96";#N/A,#N/A,FALSE,"059-96";#N/A,#N/A,FALSE,"076-96";#N/A,#N/A,FALSE,"019-97";#N/A,#N/A,FALSE,"021-97";#N/A,#N/A,FALSE,"022-97";#N/A,#N/A,FALSE,"028-97"}</definedName>
    <definedName name="GJ" hidden="1">{#N/A,#N/A,FALSE,"GERAL";#N/A,#N/A,FALSE,"012-96";#N/A,#N/A,FALSE,"018-96";#N/A,#N/A,FALSE,"027-96";#N/A,#N/A,FALSE,"059-96";#N/A,#N/A,FALSE,"076-96";#N/A,#N/A,FALSE,"019-97";#N/A,#N/A,FALSE,"021-97";#N/A,#N/A,FALSE,"022-97";#N/A,#N/A,FALSE,"028-97"}</definedName>
    <definedName name="gjgh" localSheetId="0" hidden="1">{#N/A,#N/A,FALSE,"GERAL";#N/A,#N/A,FALSE,"012-96";#N/A,#N/A,FALSE,"018-96";#N/A,#N/A,FALSE,"027-96";#N/A,#N/A,FALSE,"059-96";#N/A,#N/A,FALSE,"076-96";#N/A,#N/A,FALSE,"019-97";#N/A,#N/A,FALSE,"021-97";#N/A,#N/A,FALSE,"022-97";#N/A,#N/A,FALSE,"028-97"}</definedName>
    <definedName name="gjgh" localSheetId="2" hidden="1">{#N/A,#N/A,FALSE,"GERAL";#N/A,#N/A,FALSE,"012-96";#N/A,#N/A,FALSE,"018-96";#N/A,#N/A,FALSE,"027-96";#N/A,#N/A,FALSE,"059-96";#N/A,#N/A,FALSE,"076-96";#N/A,#N/A,FALSE,"019-97";#N/A,#N/A,FALSE,"021-97";#N/A,#N/A,FALSE,"022-97";#N/A,#N/A,FALSE,"028-97"}</definedName>
    <definedName name="gjgh" hidden="1">{#N/A,#N/A,FALSE,"GERAL";#N/A,#N/A,FALSE,"012-96";#N/A,#N/A,FALSE,"018-96";#N/A,#N/A,FALSE,"027-96";#N/A,#N/A,FALSE,"059-96";#N/A,#N/A,FALSE,"076-96";#N/A,#N/A,FALSE,"019-97";#N/A,#N/A,FALSE,"021-97";#N/A,#N/A,FALSE,"022-97";#N/A,#N/A,FALSE,"028-97"}</definedName>
    <definedName name="GJK" localSheetId="0" hidden="1">{#N/A,#N/A,FALSE,"GERAL";#N/A,#N/A,FALSE,"012-96";#N/A,#N/A,FALSE,"018-96";#N/A,#N/A,FALSE,"027-96";#N/A,#N/A,FALSE,"059-96";#N/A,#N/A,FALSE,"076-96";#N/A,#N/A,FALSE,"019-97";#N/A,#N/A,FALSE,"021-97";#N/A,#N/A,FALSE,"022-97";#N/A,#N/A,FALSE,"028-97"}</definedName>
    <definedName name="GJK" localSheetId="2" hidden="1">{#N/A,#N/A,FALSE,"GERAL";#N/A,#N/A,FALSE,"012-96";#N/A,#N/A,FALSE,"018-96";#N/A,#N/A,FALSE,"027-96";#N/A,#N/A,FALSE,"059-96";#N/A,#N/A,FALSE,"076-96";#N/A,#N/A,FALSE,"019-97";#N/A,#N/A,FALSE,"021-97";#N/A,#N/A,FALSE,"022-97";#N/A,#N/A,FALSE,"028-97"}</definedName>
    <definedName name="GJK" hidden="1">{#N/A,#N/A,FALSE,"GERAL";#N/A,#N/A,FALSE,"012-96";#N/A,#N/A,FALSE,"018-96";#N/A,#N/A,FALSE,"027-96";#N/A,#N/A,FALSE,"059-96";#N/A,#N/A,FALSE,"076-96";#N/A,#N/A,FALSE,"019-97";#N/A,#N/A,FALSE,"021-97";#N/A,#N/A,FALSE,"022-97";#N/A,#N/A,FALSE,"028-97"}</definedName>
    <definedName name="GJLHÑÑGHK" localSheetId="0" hidden="1">{#N/A,#N/A,FALSE,"masez (10)";#N/A,#N/A,FALSE,"masez (7)";#N/A,#N/A,FALSE,"masez (6)";#N/A,#N/A,FALSE,"masez (5)";#N/A,#N/A,FALSE,"masez (4)";#N/A,#N/A,FALSE,"masez (3)";#N/A,#N/A,FALSE,"masez (2)";#N/A,#N/A,FALSE,"GME";#N/A,#N/A,FALSE,"masez"}</definedName>
    <definedName name="GJLHÑÑGHK" localSheetId="2" hidden="1">{#N/A,#N/A,FALSE,"masez (10)";#N/A,#N/A,FALSE,"masez (7)";#N/A,#N/A,FALSE,"masez (6)";#N/A,#N/A,FALSE,"masez (5)";#N/A,#N/A,FALSE,"masez (4)";#N/A,#N/A,FALSE,"masez (3)";#N/A,#N/A,FALSE,"masez (2)";#N/A,#N/A,FALSE,"GME";#N/A,#N/A,FALSE,"masez"}</definedName>
    <definedName name="GJLHÑÑGHK" hidden="1">{#N/A,#N/A,FALSE,"masez (10)";#N/A,#N/A,FALSE,"masez (7)";#N/A,#N/A,FALSE,"masez (6)";#N/A,#N/A,FALSE,"masez (5)";#N/A,#N/A,FALSE,"masez (4)";#N/A,#N/A,FALSE,"masez (3)";#N/A,#N/A,FALSE,"masez (2)";#N/A,#N/A,FALSE,"GME";#N/A,#N/A,FALSE,"masez"}</definedName>
    <definedName name="GLOBO1" localSheetId="0">#REF!</definedName>
    <definedName name="GLOBO1">#REF!</definedName>
    <definedName name="GLOBO2" localSheetId="0">#REF!</definedName>
    <definedName name="GLOBO2">#REF!</definedName>
    <definedName name="gmd" localSheetId="0" hidden="1">{#N/A,#N/A,FALSE,"Matrix";#N/A,#N/A,FALSE,"Executive";#N/A,#N/A,FALSE,"Summary"}</definedName>
    <definedName name="gmd" localSheetId="2" hidden="1">{#N/A,#N/A,FALSE,"Matrix";#N/A,#N/A,FALSE,"Executive";#N/A,#N/A,FALSE,"Summary"}</definedName>
    <definedName name="gmd" hidden="1">{#N/A,#N/A,FALSE,"Matrix";#N/A,#N/A,FALSE,"Executive";#N/A,#N/A,FALSE,"Summary"}</definedName>
    <definedName name="Gonzalo_Ochoa" localSheetId="0">#REF!</definedName>
    <definedName name="Gonzalo_Ochoa">#REF!</definedName>
    <definedName name="grade_rate" localSheetId="0">#REF!</definedName>
    <definedName name="grade_rate">#REF!</definedName>
    <definedName name="graduad" localSheetId="0">#REF!</definedName>
    <definedName name="graduad">#REF!</definedName>
    <definedName name="GRADUADA" localSheetId="0">#REF!</definedName>
    <definedName name="GRADUADA">#REF!</definedName>
    <definedName name="GRAFACUM" localSheetId="0">#REF!</definedName>
    <definedName name="GRAFACUM">#REF!</definedName>
    <definedName name="GRAFICOK" localSheetId="0">#REF!</definedName>
    <definedName name="GRAFICOK">#REF!</definedName>
    <definedName name="GRAFO1" localSheetId="0">#REF!</definedName>
    <definedName name="GRAFO1">#REF!</definedName>
    <definedName name="GRAFO2" localSheetId="0">#REF!</definedName>
    <definedName name="GRAFO2">#REF!</definedName>
    <definedName name="grafos" localSheetId="0">#REF!</definedName>
    <definedName name="grafos">#REF!</definedName>
    <definedName name="granulometria" localSheetId="0">#REF!</definedName>
    <definedName name="granulometria">#REF!</definedName>
    <definedName name="grav" localSheetId="0" hidden="1">{#N/A,#N/A,FALSE,"GERAL";#N/A,#N/A,FALSE,"012-96";#N/A,#N/A,FALSE,"018-96";#N/A,#N/A,FALSE,"027-96";#N/A,#N/A,FALSE,"059-96";#N/A,#N/A,FALSE,"076-96";#N/A,#N/A,FALSE,"019-97";#N/A,#N/A,FALSE,"021-97";#N/A,#N/A,FALSE,"022-97";#N/A,#N/A,FALSE,"028-97"}</definedName>
    <definedName name="grav" localSheetId="2" hidden="1">{#N/A,#N/A,FALSE,"GERAL";#N/A,#N/A,FALSE,"012-96";#N/A,#N/A,FALSE,"018-96";#N/A,#N/A,FALSE,"027-96";#N/A,#N/A,FALSE,"059-96";#N/A,#N/A,FALSE,"076-96";#N/A,#N/A,FALSE,"019-97";#N/A,#N/A,FALSE,"021-97";#N/A,#N/A,FALSE,"022-97";#N/A,#N/A,FALSE,"028-97"}</definedName>
    <definedName name="grav" hidden="1">{#N/A,#N/A,FALSE,"GERAL";#N/A,#N/A,FALSE,"012-96";#N/A,#N/A,FALSE,"018-96";#N/A,#N/A,FALSE,"027-96";#N/A,#N/A,FALSE,"059-96";#N/A,#N/A,FALSE,"076-96";#N/A,#N/A,FALSE,"019-97";#N/A,#N/A,FALSE,"021-97";#N/A,#N/A,FALSE,"022-97";#N/A,#N/A,FALSE,"028-97"}</definedName>
    <definedName name="_xlnm.Recorder" localSheetId="0">#REF!</definedName>
    <definedName name="_xlnm.Recorder">#REF!</definedName>
    <definedName name="gravidade" localSheetId="0">#REF!</definedName>
    <definedName name="gravidade">#REF!</definedName>
    <definedName name="grege" localSheetId="0" hidden="1">{#N/A,#N/A,FALSE,"Total_OC015";#N/A,#N/A,FALSE,"ADMIN";#N/A,#N/A,FALSE,"PROCES";#N/A,#N/A,FALSE,"mecan";#N/A,#N/A,FALSE,"civil";#N/A,#N/A,FALSE,"CAÑER";#N/A,#N/A,FALSE,"ELEC";#N/A,#N/A,FALSE,"INSTR"}</definedName>
    <definedName name="grege" localSheetId="2" hidden="1">{#N/A,#N/A,FALSE,"Total_OC015";#N/A,#N/A,FALSE,"ADMIN";#N/A,#N/A,FALSE,"PROCES";#N/A,#N/A,FALSE,"mecan";#N/A,#N/A,FALSE,"civil";#N/A,#N/A,FALSE,"CAÑER";#N/A,#N/A,FALSE,"ELEC";#N/A,#N/A,FALSE,"INSTR"}</definedName>
    <definedName name="grege" hidden="1">{#N/A,#N/A,FALSE,"Total_OC015";#N/A,#N/A,FALSE,"ADMIN";#N/A,#N/A,FALSE,"PROCES";#N/A,#N/A,FALSE,"mecan";#N/A,#N/A,FALSE,"civil";#N/A,#N/A,FALSE,"CAÑER";#N/A,#N/A,FALSE,"ELEC";#N/A,#N/A,FALSE,"INSTR"}</definedName>
    <definedName name="GROU" localSheetId="0">#REF!</definedName>
    <definedName name="GROU">#REF!</definedName>
    <definedName name="Group" localSheetId="0">#REF!</definedName>
    <definedName name="Group">#REF!</definedName>
    <definedName name="gsdaga" localSheetId="0" hidden="1">{#N/A,#N/A,FALSE,"GERAL";#N/A,#N/A,FALSE,"012-96";#N/A,#N/A,FALSE,"018-96";#N/A,#N/A,FALSE,"027-96";#N/A,#N/A,FALSE,"059-96";#N/A,#N/A,FALSE,"076-96";#N/A,#N/A,FALSE,"019-97";#N/A,#N/A,FALSE,"021-97";#N/A,#N/A,FALSE,"022-97";#N/A,#N/A,FALSE,"028-97"}</definedName>
    <definedName name="gsdaga" localSheetId="2" hidden="1">{#N/A,#N/A,FALSE,"GERAL";#N/A,#N/A,FALSE,"012-96";#N/A,#N/A,FALSE,"018-96";#N/A,#N/A,FALSE,"027-96";#N/A,#N/A,FALSE,"059-96";#N/A,#N/A,FALSE,"076-96";#N/A,#N/A,FALSE,"019-97";#N/A,#N/A,FALSE,"021-97";#N/A,#N/A,FALSE,"022-97";#N/A,#N/A,FALSE,"028-97"}</definedName>
    <definedName name="gsdaga" hidden="1">{#N/A,#N/A,FALSE,"GERAL";#N/A,#N/A,FALSE,"012-96";#N/A,#N/A,FALSE,"018-96";#N/A,#N/A,FALSE,"027-96";#N/A,#N/A,FALSE,"059-96";#N/A,#N/A,FALSE,"076-96";#N/A,#N/A,FALSE,"019-97";#N/A,#N/A,FALSE,"021-97";#N/A,#N/A,FALSE,"022-97";#N/A,#N/A,FALSE,"028-97"}</definedName>
    <definedName name="gtgtgt" localSheetId="0" hidden="1">{#N/A,#N/A,TRUE,"Est. de Fact.";#N/A,#N/A,TRUE,"Capitulo 19";#N/A,#N/A,TRUE,"Proyecto P855"}</definedName>
    <definedName name="gtgtgt" localSheetId="2" hidden="1">{#N/A,#N/A,TRUE,"Est. de Fact.";#N/A,#N/A,TRUE,"Capitulo 19";#N/A,#N/A,TRUE,"Proyecto P855"}</definedName>
    <definedName name="gtgtgt" hidden="1">{#N/A,#N/A,TRUE,"Est. de Fact.";#N/A,#N/A,TRUE,"Capitulo 19";#N/A,#N/A,TRUE,"Proyecto P855"}</definedName>
    <definedName name="Guess" localSheetId="0">#REF!</definedName>
    <definedName name="Guess">#REF!</definedName>
    <definedName name="GUI" localSheetId="0" hidden="1">{#N/A,#N/A,FALSE,"GERAL";#N/A,#N/A,FALSE,"012-96";#N/A,#N/A,FALSE,"018-96";#N/A,#N/A,FALSE,"027-96";#N/A,#N/A,FALSE,"059-96";#N/A,#N/A,FALSE,"076-96";#N/A,#N/A,FALSE,"019-97";#N/A,#N/A,FALSE,"021-97";#N/A,#N/A,FALSE,"022-97";#N/A,#N/A,FALSE,"028-97"}</definedName>
    <definedName name="GUI" localSheetId="2" hidden="1">{#N/A,#N/A,FALSE,"GERAL";#N/A,#N/A,FALSE,"012-96";#N/A,#N/A,FALSE,"018-96";#N/A,#N/A,FALSE,"027-96";#N/A,#N/A,FALSE,"059-96";#N/A,#N/A,FALSE,"076-96";#N/A,#N/A,FALSE,"019-97";#N/A,#N/A,FALSE,"021-97";#N/A,#N/A,FALSE,"022-97";#N/A,#N/A,FALSE,"028-97"}</definedName>
    <definedName name="GUI" hidden="1">{#N/A,#N/A,FALSE,"GERAL";#N/A,#N/A,FALSE,"012-96";#N/A,#N/A,FALSE,"018-96";#N/A,#N/A,FALSE,"027-96";#N/A,#N/A,FALSE,"059-96";#N/A,#N/A,FALSE,"076-96";#N/A,#N/A,FALSE,"019-97";#N/A,#N/A,FALSE,"021-97";#N/A,#N/A,FALSE,"022-97";#N/A,#N/A,FALSE,"028-97"}</definedName>
    <definedName name="h" localSheetId="0">#REF!</definedName>
    <definedName name="h">#REF!</definedName>
    <definedName name="H_Br" localSheetId="0">#REF!</definedName>
    <definedName name="H_Br">#REF!</definedName>
    <definedName name="H_Cd_Cd" localSheetId="0">#REF!</definedName>
    <definedName name="H_Cd_Cd">#REF!</definedName>
    <definedName name="H71d" localSheetId="0">#REF!</definedName>
    <definedName name="H71d">#REF!</definedName>
    <definedName name="Hatch" localSheetId="0">#REF!</definedName>
    <definedName name="Hatch">#REF!</definedName>
    <definedName name="HATCH_EMP_LIST" localSheetId="0">#REF!</definedName>
    <definedName name="HATCH_EMP_LIST">#REF!</definedName>
    <definedName name="Hatch_Position_Rate" localSheetId="0">#REF!</definedName>
    <definedName name="Hatch_Position_Rate">#REF!</definedName>
    <definedName name="HatchBRClass" localSheetId="0">#REF!</definedName>
    <definedName name="HatchBRClass">#REF!</definedName>
    <definedName name="HatchBRPositions" localSheetId="0">#REF!</definedName>
    <definedName name="HatchBRPositions">#REF!</definedName>
    <definedName name="HatchBRRatesCLT" localSheetId="0">#REF!</definedName>
    <definedName name="HatchBRRatesCLT">#REF!</definedName>
    <definedName name="HatchBRRatesPJ" localSheetId="0">#REF!</definedName>
    <definedName name="HatchBRRatesPJ">#REF!</definedName>
    <definedName name="hc" localSheetId="0">#REF!</definedName>
    <definedName name="hc">#REF!</definedName>
    <definedName name="HDDR" localSheetId="0">#REF!</definedName>
    <definedName name="HDDR">#REF!</definedName>
    <definedName name="hdhdhdh" localSheetId="0">#REF!</definedName>
    <definedName name="hdhdhdh">#REF!</definedName>
    <definedName name="HDR" localSheetId="0">#REF!</definedName>
    <definedName name="HDR">#REF!</definedName>
    <definedName name="he" localSheetId="0">#REF!</definedName>
    <definedName name="he">#REF!</definedName>
    <definedName name="Header" localSheetId="0">#REF!</definedName>
    <definedName name="Header">#REF!</definedName>
    <definedName name="Height" localSheetId="0">#REF!</definedName>
    <definedName name="Height">#REF!</definedName>
    <definedName name="Heliponto" localSheetId="0">#REF!</definedName>
    <definedName name="Heliponto">#REF!</definedName>
    <definedName name="HENFEL4" localSheetId="0">#REF!</definedName>
    <definedName name="HENFEL4" localSheetId="2">#REF!</definedName>
    <definedName name="HENFEL4">#REF!</definedName>
    <definedName name="HENFEL6" localSheetId="0">#REF!</definedName>
    <definedName name="HENFEL6" localSheetId="2">#REF!</definedName>
    <definedName name="HENFEL6">#REF!</definedName>
    <definedName name="hfh" localSheetId="0">#REF!</definedName>
    <definedName name="hfh" localSheetId="2">QQP!hfh</definedName>
    <definedName name="hfh">#REF!</definedName>
    <definedName name="HFUN" localSheetId="0">#REF!</definedName>
    <definedName name="HFUN">#REF!</definedName>
    <definedName name="HGFHFHF" localSheetId="0"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HGFHFHF" localSheetId="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HGFHFHF"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HH" localSheetId="0">#REF!</definedName>
    <definedName name="HH" localSheetId="2">#REF!</definedName>
    <definedName name="HH">#REF!</definedName>
    <definedName name="Hh_Hatch" localSheetId="0">#REF!</definedName>
    <definedName name="Hh_Hatch">#REF!</definedName>
    <definedName name="Hh_Others" localSheetId="0">#REF!</definedName>
    <definedName name="Hh_Others">#REF!</definedName>
    <definedName name="HHDESELE" localSheetId="0">#REF!</definedName>
    <definedName name="HHDESELE">#REF!</definedName>
    <definedName name="HHDESMEC" localSheetId="0">#REF!</definedName>
    <definedName name="HHDESMEC">#REF!</definedName>
    <definedName name="HHENGELE">#REF!</definedName>
    <definedName name="HHENGMEC">#REF!</definedName>
    <definedName name="hhernand" localSheetId="0">#REF!</definedName>
    <definedName name="hhernand">#REF!</definedName>
    <definedName name="hhhh" localSheetId="0" hidden="1">{#N/A,#N/A,FALSE,"minas";#N/A,#N/A,FALSE,"Total_OC015";#N/A,#N/A,FALSE,"ADMIN";#N/A,#N/A,FALSE,"PROCES";#N/A,#N/A,FALSE,"civil";#N/A,#N/A,FALSE,"CAÑER";#N/A,#N/A,FALSE,"ELEC";#N/A,#N/A,FALSE,"INSTR";#N/A,#N/A,FALSE,"PDS";#N/A,#N/A,FALSE,"mecan"}</definedName>
    <definedName name="hhhh" localSheetId="2" hidden="1">{#N/A,#N/A,FALSE,"minas";#N/A,#N/A,FALSE,"Total_OC015";#N/A,#N/A,FALSE,"ADMIN";#N/A,#N/A,FALSE,"PROCES";#N/A,#N/A,FALSE,"civil";#N/A,#N/A,FALSE,"CAÑER";#N/A,#N/A,FALSE,"ELEC";#N/A,#N/A,FALSE,"INSTR";#N/A,#N/A,FALSE,"PDS";#N/A,#N/A,FALSE,"mecan"}</definedName>
    <definedName name="hhhh" hidden="1">{#N/A,#N/A,FALSE,"minas";#N/A,#N/A,FALSE,"Total_OC015";#N/A,#N/A,FALSE,"ADMIN";#N/A,#N/A,FALSE,"PROCES";#N/A,#N/A,FALSE,"civil";#N/A,#N/A,FALSE,"CAÑER";#N/A,#N/A,FALSE,"ELEC";#N/A,#N/A,FALSE,"INSTR";#N/A,#N/A,FALSE,"PDS";#N/A,#N/A,FALSE,"mecan"}</definedName>
    <definedName name="hhhhh" localSheetId="0">#REF!</definedName>
    <definedName name="hhhhh">#REF!</definedName>
    <definedName name="HHMONELE" localSheetId="0">#REF!</definedName>
    <definedName name="HHMONELE">#REF!</definedName>
    <definedName name="HHMONMEC" localSheetId="0">#REF!</definedName>
    <definedName name="HHMONMEC">#REF!</definedName>
    <definedName name="hhoo" localSheetId="0" hidden="1">{#N/A,#N/A,FALSE,"TEC-01";#N/A,#N/A,FALSE,"TEC - 02";#N/A,#N/A,FALSE,"TEC - 03";#N/A,#N/A,FALSE,"TEC - 04";#N/A,#N/A,FALSE,"TEC-07";#N/A,#N/A,FALSE,"TEC-08";#N/A,#N/A,FALSE,"TEC - 09A";#N/A,#N/A,FALSE,"TEC - 09B";#N/A,#N/A,FALSE,"TEC - 09C";#N/A,#N/A,FALSE,"TEC - 10";#N/A,#N/A,FALSE,"TEC-11"}</definedName>
    <definedName name="hhoo" localSheetId="2" hidden="1">{#N/A,#N/A,FALSE,"TEC-01";#N/A,#N/A,FALSE,"TEC - 02";#N/A,#N/A,FALSE,"TEC - 03";#N/A,#N/A,FALSE,"TEC - 04";#N/A,#N/A,FALSE,"TEC-07";#N/A,#N/A,FALSE,"TEC-08";#N/A,#N/A,FALSE,"TEC - 09A";#N/A,#N/A,FALSE,"TEC - 09B";#N/A,#N/A,FALSE,"TEC - 09C";#N/A,#N/A,FALSE,"TEC - 10";#N/A,#N/A,FALSE,"TEC-11"}</definedName>
    <definedName name="hhoo" hidden="1">{#N/A,#N/A,FALSE,"TEC-01";#N/A,#N/A,FALSE,"TEC - 02";#N/A,#N/A,FALSE,"TEC - 03";#N/A,#N/A,FALSE,"TEC - 04";#N/A,#N/A,FALSE,"TEC-07";#N/A,#N/A,FALSE,"TEC-08";#N/A,#N/A,FALSE,"TEC - 09A";#N/A,#N/A,FALSE,"TEC - 09B";#N/A,#N/A,FALSE,"TEC - 09C";#N/A,#N/A,FALSE,"TEC - 10";#N/A,#N/A,FALSE,"TEC-11"}</definedName>
    <definedName name="HHPROELE" localSheetId="0">#REF!</definedName>
    <definedName name="HHPROELE">#REF!</definedName>
    <definedName name="HHPROMEC" localSheetId="0">#REF!</definedName>
    <definedName name="HHPROMEC">#REF!</definedName>
    <definedName name="hjkkh" localSheetId="0">#REF!</definedName>
    <definedName name="hjkkh">#REF!</definedName>
    <definedName name="HLOE" localSheetId="0">#REF!</definedName>
    <definedName name="HLOE">#REF!</definedName>
    <definedName name="HLOS" localSheetId="0">#REF!</definedName>
    <definedName name="HLOS">#REF!</definedName>
    <definedName name="HMBH" localSheetId="0">#REF!</definedName>
    <definedName name="HMBH">#REF!</definedName>
    <definedName name="HMTM" localSheetId="0">#REF!</definedName>
    <definedName name="HMTM">#REF!</definedName>
    <definedName name="HMUR" localSheetId="0">#REF!</definedName>
    <definedName name="HMUR">#REF!</definedName>
    <definedName name="hnd" localSheetId="0">#REF!</definedName>
    <definedName name="hnd">#REF!</definedName>
    <definedName name="HOJA" localSheetId="0" hidden="1">{#N/A,#N/A,FALSE,"minas";#N/A,#N/A,FALSE,"Total_OC015";#N/A,#N/A,FALSE,"ADMIN";#N/A,#N/A,FALSE,"PROCES";#N/A,#N/A,FALSE,"civil";#N/A,#N/A,FALSE,"CAÑER";#N/A,#N/A,FALSE,"ELEC";#N/A,#N/A,FALSE,"INSTR";#N/A,#N/A,FALSE,"PDS";#N/A,#N/A,FALSE,"mecan"}</definedName>
    <definedName name="HOJA" localSheetId="2" hidden="1">{#N/A,#N/A,FALSE,"minas";#N/A,#N/A,FALSE,"Total_OC015";#N/A,#N/A,FALSE,"ADMIN";#N/A,#N/A,FALSE,"PROCES";#N/A,#N/A,FALSE,"civil";#N/A,#N/A,FALSE,"CAÑER";#N/A,#N/A,FALSE,"ELEC";#N/A,#N/A,FALSE,"INSTR";#N/A,#N/A,FALSE,"PDS";#N/A,#N/A,FALSE,"mecan"}</definedName>
    <definedName name="HOJA" hidden="1">{#N/A,#N/A,FALSE,"minas";#N/A,#N/A,FALSE,"Total_OC015";#N/A,#N/A,FALSE,"ADMIN";#N/A,#N/A,FALSE,"PROCES";#N/A,#N/A,FALSE,"civil";#N/A,#N/A,FALSE,"CAÑER";#N/A,#N/A,FALSE,"ELEC";#N/A,#N/A,FALSE,"INSTR";#N/A,#N/A,FALSE,"PDS";#N/A,#N/A,FALSE,"mecan"}</definedName>
    <definedName name="HOLA" localSheetId="0">#REF!</definedName>
    <definedName name="HOLA">#REF!</definedName>
    <definedName name="homero" localSheetId="0">#REF!</definedName>
    <definedName name="homero">#REF!</definedName>
    <definedName name="Horas_Mes" localSheetId="0">#REF!</definedName>
    <definedName name="Horas_Mes">#REF!</definedName>
    <definedName name="horizon" localSheetId="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2"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ozon" localSheetId="0" hidden="1">{"desarrollo",#N/A,FALSE,"LHD Camión";"eqdllo",#N/A,FALSE,"LHD Camión";"eqprod",#N/A,FALSE,"LHD Camión";"Resumen",#N/A,FALSE,"LHD Camión"}</definedName>
    <definedName name="horozon" localSheetId="2" hidden="1">{"desarrollo",#N/A,FALSE,"LHD Camión";"eqdllo",#N/A,FALSE,"LHD Camión";"eqprod",#N/A,FALSE,"LHD Camión";"Resumen",#N/A,FALSE,"LHD Camión"}</definedName>
    <definedName name="horozon" hidden="1">{"desarrollo",#N/A,FALSE,"LHD Camión";"eqdllo",#N/A,FALSE,"LHD Camión";"eqprod",#N/A,FALSE,"LHD Camión";"Resumen",#N/A,FALSE,"LHD Camión"}</definedName>
    <definedName name="HoursPerCycle" localSheetId="0">#REF!</definedName>
    <definedName name="HoursPerCycle">#REF!</definedName>
    <definedName name="howToChange" localSheetId="0">#REF!</definedName>
    <definedName name="howToChange">#REF!</definedName>
    <definedName name="howToCheck" localSheetId="0">#REF!</definedName>
    <definedName name="howToCheck">#REF!</definedName>
    <definedName name="HP">#N/A</definedName>
    <definedName name="HR" localSheetId="0">#REF!</definedName>
    <definedName name="HR">#REF!</definedName>
    <definedName name="Hr_Mes" localSheetId="0">#REF!</definedName>
    <definedName name="Hr_Mes">#REF!</definedName>
    <definedName name="HSEC" localSheetId="0">#REF!</definedName>
    <definedName name="HSEC">#REF!</definedName>
    <definedName name="HTML_CodePage" hidden="1">1252</definedName>
    <definedName name="HTML_Control" localSheetId="0" hidden="1">{"'Plan1 (2)'!$A$5:$F$63"}</definedName>
    <definedName name="HTML_Control" localSheetId="2" hidden="1">{"'Plan1 (2)'!$A$5:$F$63"}</definedName>
    <definedName name="HTML_Control" hidden="1">{"'Plan1 (2)'!$A$5:$F$63"}</definedName>
    <definedName name="HTML_Description" hidden="1">""</definedName>
    <definedName name="HTML_Email" hidden="1">""</definedName>
    <definedName name="HTML_Header" hidden="1">"Plan1 (2)"</definedName>
    <definedName name="HTML_LastUpdate" hidden="1">"04/03/1999"</definedName>
    <definedName name="HTML_LineAfter" hidden="1">FALSE</definedName>
    <definedName name="HTML_LineBefore" hidden="1">FALSE</definedName>
    <definedName name="HTML_Name" hidden="1">"Ana Tereza"</definedName>
    <definedName name="HTML_OBDlg2" hidden="1">TRUE</definedName>
    <definedName name="HTML_OBDlg4" hidden="1">TRUE</definedName>
    <definedName name="HTML_OS" hidden="1">0</definedName>
    <definedName name="HTML_PathFile" hidden="1">"V:\Operacao de Maquinas\INTERDIÇÕES NA VP\MeuHTML.htm"</definedName>
    <definedName name="HTML_Title" hidden="1">"TabLoc"</definedName>
    <definedName name="HVAC" localSheetId="0">#REF!</definedName>
    <definedName name="HVAC">#REF!</definedName>
    <definedName name="HYDROMET" localSheetId="0">#REF!</definedName>
    <definedName name="HYDROMET">#REF!</definedName>
    <definedName name="i" localSheetId="0"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i" localSheetId="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i"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IAT" localSheetId="0">#REF!</definedName>
    <definedName name="IAT">#REF!</definedName>
    <definedName name="ICAT16" localSheetId="0">#REF!</definedName>
    <definedName name="ICAT16">#REF!</definedName>
    <definedName name="ien" localSheetId="0">#REF!</definedName>
    <definedName name="ien">#REF!</definedName>
    <definedName name="IIEdb" localSheetId="0">#REF!</definedName>
    <definedName name="IIEdb">#REF!</definedName>
    <definedName name="III" localSheetId="0">#REF!</definedName>
    <definedName name="III">#REF!</definedName>
    <definedName name="IMP" localSheetId="0">#REF!</definedName>
    <definedName name="IMP">#REF!</definedName>
    <definedName name="ImprBrit" localSheetId="0">#REF!</definedName>
    <definedName name="ImprBrit">#REF!</definedName>
    <definedName name="ImprBritA3">#REF!</definedName>
    <definedName name="Imprimir_títulos_IM" localSheetId="0">#REF!</definedName>
    <definedName name="Imprimir_títulos_IM">#REF!</definedName>
    <definedName name="ImprRelA3">#REF!</definedName>
    <definedName name="ImprRelA4">#REF!</definedName>
    <definedName name="Indirect" localSheetId="0">#REF!</definedName>
    <definedName name="Indirect">#REF!</definedName>
    <definedName name="Inflation">#REF!</definedName>
    <definedName name="INFORMATICA" localSheetId="0">#REF!</definedName>
    <definedName name="INFORMATICA">#REF!</definedName>
    <definedName name="INFORMATION_SYSTEMS" localSheetId="0">#REF!</definedName>
    <definedName name="INFORMATION_SYSTEMS">#REF!</definedName>
    <definedName name="Ing" localSheetId="0" hidden="1">{#N/A,#N/A,FALSE,"Total_OC015";#N/A,#N/A,FALSE,"ADMIN";#N/A,#N/A,FALSE,"PROCES";#N/A,#N/A,FALSE,"mecan";#N/A,#N/A,FALSE,"civil";#N/A,#N/A,FALSE,"CAÑER";#N/A,#N/A,FALSE,"ELEC";#N/A,#N/A,FALSE,"INSTR"}</definedName>
    <definedName name="Ing" localSheetId="2" hidden="1">{#N/A,#N/A,FALSE,"Total_OC015";#N/A,#N/A,FALSE,"ADMIN";#N/A,#N/A,FALSE,"PROCES";#N/A,#N/A,FALSE,"mecan";#N/A,#N/A,FALSE,"civil";#N/A,#N/A,FALSE,"CAÑER";#N/A,#N/A,FALSE,"ELEC";#N/A,#N/A,FALSE,"INSTR"}</definedName>
    <definedName name="Ing" hidden="1">{#N/A,#N/A,FALSE,"Total_OC015";#N/A,#N/A,FALSE,"ADMIN";#N/A,#N/A,FALSE,"PROCES";#N/A,#N/A,FALSE,"mecan";#N/A,#N/A,FALSE,"civil";#N/A,#N/A,FALSE,"CAÑER";#N/A,#N/A,FALSE,"ELEC";#N/A,#N/A,FALSE,"INSTR"}</definedName>
    <definedName name="ingresos" localSheetId="0">#REF!</definedName>
    <definedName name="ingresos">#REF!</definedName>
    <definedName name="InhaltsvezSUMMEN" localSheetId="0">#REF!</definedName>
    <definedName name="InhaltsvezSUMMEN">#REF!</definedName>
    <definedName name="inic_cell" localSheetId="0">#REF!</definedName>
    <definedName name="inic_cell">#REF!</definedName>
    <definedName name="Inicio" localSheetId="0">#REF!</definedName>
    <definedName name="Inicio" localSheetId="2">QQP!Inicio</definedName>
    <definedName name="Inicio">#REF!</definedName>
    <definedName name="INMKUP" localSheetId="0">#REF!</definedName>
    <definedName name="INMKUP" localSheetId="2">#REF!</definedName>
    <definedName name="INMKUP">#REF!</definedName>
    <definedName name="Input_Comissão" localSheetId="0">#REF!</definedName>
    <definedName name="Input_Comissão" localSheetId="2">#REF!</definedName>
    <definedName name="Input_Comissão">#REF!</definedName>
    <definedName name="INPUTF" localSheetId="0">#REF!</definedName>
    <definedName name="INPUTF">#REF!</definedName>
    <definedName name="Inst_Assist" localSheetId="0">#REF!</definedName>
    <definedName name="Inst_Assist">#REF!</definedName>
    <definedName name="insul" localSheetId="0">#REF!</definedName>
    <definedName name="insul">#REF!</definedName>
    <definedName name="Insumos" localSheetId="0">#REF!</definedName>
    <definedName name="Insumos">#REF!</definedName>
    <definedName name="Insumos_Jararaca" localSheetId="0">#REF!</definedName>
    <definedName name="Insumos_Jararaca">#REF!</definedName>
    <definedName name="Insumos1" localSheetId="0">#REF!</definedName>
    <definedName name="Insumos1">#REF!</definedName>
    <definedName name="Intervalo" localSheetId="0">#REF!</definedName>
    <definedName name="Intervalo">#REF!</definedName>
    <definedName name="Intran" localSheetId="0" hidden="1">{"'teste'!$B$2:$R$49"}</definedName>
    <definedName name="Intran" localSheetId="2" hidden="1">{"'teste'!$B$2:$R$49"}</definedName>
    <definedName name="Intran" hidden="1">{"'teste'!$B$2:$R$49"}</definedName>
    <definedName name="Introducción" localSheetId="0">#REF!</definedName>
    <definedName name="Introducción">#REF!</definedName>
    <definedName name="INVALIDO" localSheetId="0" hidden="1">{#N/A,#N/A,FALSE,"GERAL";#N/A,#N/A,FALSE,"012-96";#N/A,#N/A,FALSE,"018-96";#N/A,#N/A,FALSE,"027-96";#N/A,#N/A,FALSE,"059-96";#N/A,#N/A,FALSE,"076-96";#N/A,#N/A,FALSE,"019-97";#N/A,#N/A,FALSE,"021-97";#N/A,#N/A,FALSE,"022-97";#N/A,#N/A,FALSE,"028-97"}</definedName>
    <definedName name="INVALIDO" localSheetId="2" hidden="1">{#N/A,#N/A,FALSE,"GERAL";#N/A,#N/A,FALSE,"012-96";#N/A,#N/A,FALSE,"018-96";#N/A,#N/A,FALSE,"027-96";#N/A,#N/A,FALSE,"059-96";#N/A,#N/A,FALSE,"076-96";#N/A,#N/A,FALSE,"019-97";#N/A,#N/A,FALSE,"021-97";#N/A,#N/A,FALSE,"022-97";#N/A,#N/A,FALSE,"028-97"}</definedName>
    <definedName name="INVALIDO" hidden="1">{#N/A,#N/A,FALSE,"GERAL";#N/A,#N/A,FALSE,"012-96";#N/A,#N/A,FALSE,"018-96";#N/A,#N/A,FALSE,"027-96";#N/A,#N/A,FALSE,"059-96";#N/A,#N/A,FALSE,"076-96";#N/A,#N/A,FALSE,"019-97";#N/A,#N/A,FALSE,"021-97";#N/A,#N/A,FALSE,"022-97";#N/A,#N/A,FALSE,"028-97"}</definedName>
    <definedName name="Inversión_Actual" localSheetId="0">#REF!</definedName>
    <definedName name="Inversión_Actual">#REF!</definedName>
    <definedName name="Inversiones" localSheetId="0">#REF!</definedName>
    <definedName name="Inversiones">#REF!</definedName>
    <definedName name="ioioioi" localSheetId="0" hidden="1">{#N/A,#N/A,TRUE,"Est. de Fact.";#N/A,#N/A,TRUE,"Capitulo 19";#N/A,#N/A,TRUE,"Proyecto P855"}</definedName>
    <definedName name="ioioioi" localSheetId="2" hidden="1">{#N/A,#N/A,TRUE,"Est. de Fact.";#N/A,#N/A,TRUE,"Capitulo 19";#N/A,#N/A,TRUE,"Proyecto P855"}</definedName>
    <definedName name="ioioioi" hidden="1">{#N/A,#N/A,TRUE,"Est. de Fact.";#N/A,#N/A,TRUE,"Capitulo 19";#N/A,#N/A,TRUE,"Proyecto P855"}</definedName>
    <definedName name="iPasDMSubTypeCodes" localSheetId="0">#REF!</definedName>
    <definedName name="iPasDMSubTypeCodes">#REF!</definedName>
    <definedName name="IPMKUP" localSheetId="0">#REF!</definedName>
    <definedName name="IPMKUP">#REF!</definedName>
    <definedName name="IR" localSheetId="0">#REF!</definedName>
    <definedName name="IR">#REF!</definedName>
    <definedName name="IRRF" localSheetId="0">#REF!</definedName>
    <definedName name="IRRF" localSheetId="2">#REF!</definedName>
    <definedName name="IRRF">#REF!</definedName>
    <definedName name="ISK" localSheetId="0">#REF!</definedName>
    <definedName name="ISK">#REF!</definedName>
    <definedName name="ISMKUP" localSheetId="0">#REF!</definedName>
    <definedName name="ISMKUP">#REF!</definedName>
    <definedName name="IT" localSheetId="0">#REF!</definedName>
    <definedName name="IT">#REF!</definedName>
    <definedName name="it_br_oia_tac" localSheetId="0">#REF!</definedName>
    <definedName name="it_br_oia_tac">#REF!</definedName>
    <definedName name="it_br_sp_tac" localSheetId="0">#REF!</definedName>
    <definedName name="it_br_sp_tac">#REF!</definedName>
    <definedName name="it_ca_oia_tac" localSheetId="0">#REF!</definedName>
    <definedName name="it_ca_oia_tac">#REF!</definedName>
    <definedName name="it_ca_sp_tac" localSheetId="0">#REF!</definedName>
    <definedName name="it_ca_sp_tac">#REF!</definedName>
    <definedName name="it_ctt" localSheetId="0">#REF!</definedName>
    <definedName name="it_ctt">#REF!</definedName>
    <definedName name="ITFee" localSheetId="0">#REF!</definedName>
    <definedName name="ITFee">#REF!</definedName>
    <definedName name="ITMKUP" localSheetId="0">#REF!</definedName>
    <definedName name="ITMKUP">#REF!</definedName>
    <definedName name="j" localSheetId="0">#REF!</definedName>
    <definedName name="j" localSheetId="2">QQP!j</definedName>
    <definedName name="j">#REF!</definedName>
    <definedName name="JAGUARA" localSheetId="0">#REF!</definedName>
    <definedName name="JAGUARA" localSheetId="2">#REF!</definedName>
    <definedName name="JAGUARA">#REF!</definedName>
    <definedName name="Jan_Al" localSheetId="0">#REF!</definedName>
    <definedName name="Jan_Al" localSheetId="2">#REF!</definedName>
    <definedName name="Jan_Al">#REF!</definedName>
    <definedName name="Jan_Fe" localSheetId="0">#REF!</definedName>
    <definedName name="Jan_Fe">#REF!</definedName>
    <definedName name="Jan_Mn" localSheetId="0">#REF!</definedName>
    <definedName name="Jan_Mn">#REF!</definedName>
    <definedName name="Jan_P" localSheetId="0">#REF!</definedName>
    <definedName name="Jan_P">#REF!</definedName>
    <definedName name="Jan_Si" localSheetId="0">#REF!</definedName>
    <definedName name="Jan_Si">#REF!</definedName>
    <definedName name="janal" localSheetId="0">#REF!</definedName>
    <definedName name="janal">#REF!</definedName>
    <definedName name="jao" localSheetId="0" hidden="1">{#N/A,#N/A,FALSE,"GERAL";#N/A,#N/A,FALSE,"012-96";#N/A,#N/A,FALSE,"018-96";#N/A,#N/A,FALSE,"027-96";#N/A,#N/A,FALSE,"059-96";#N/A,#N/A,FALSE,"076-96";#N/A,#N/A,FALSE,"019-97";#N/A,#N/A,FALSE,"021-97";#N/A,#N/A,FALSE,"022-97";#N/A,#N/A,FALSE,"028-97"}</definedName>
    <definedName name="jao" localSheetId="2" hidden="1">{#N/A,#N/A,FALSE,"GERAL";#N/A,#N/A,FALSE,"012-96";#N/A,#N/A,FALSE,"018-96";#N/A,#N/A,FALSE,"027-96";#N/A,#N/A,FALSE,"059-96";#N/A,#N/A,FALSE,"076-96";#N/A,#N/A,FALSE,"019-97";#N/A,#N/A,FALSE,"021-97";#N/A,#N/A,FALSE,"022-97";#N/A,#N/A,FALSE,"028-97"}</definedName>
    <definedName name="jao" hidden="1">{#N/A,#N/A,FALSE,"GERAL";#N/A,#N/A,FALSE,"012-96";#N/A,#N/A,FALSE,"018-96";#N/A,#N/A,FALSE,"027-96";#N/A,#N/A,FALSE,"059-96";#N/A,#N/A,FALSE,"076-96";#N/A,#N/A,FALSE,"019-97";#N/A,#N/A,FALSE,"021-97";#N/A,#N/A,FALSE,"022-97";#N/A,#N/A,FALSE,"028-97"}</definedName>
    <definedName name="jEFF" localSheetId="0" hidden="1">{#N/A,#N/A,FALSE,"ET-CAPA";#N/A,#N/A,FALSE,"ET-PAG1";#N/A,#N/A,FALSE,"ET-PAG2";#N/A,#N/A,FALSE,"ET-PAG3";#N/A,#N/A,FALSE,"ET-PAG4";#N/A,#N/A,FALSE,"ET-PAG5"}</definedName>
    <definedName name="jEFF" localSheetId="2" hidden="1">{#N/A,#N/A,FALSE,"ET-CAPA";#N/A,#N/A,FALSE,"ET-PAG1";#N/A,#N/A,FALSE,"ET-PAG2";#N/A,#N/A,FALSE,"ET-PAG3";#N/A,#N/A,FALSE,"ET-PAG4";#N/A,#N/A,FALSE,"ET-PAG5"}</definedName>
    <definedName name="jEFF" hidden="1">{#N/A,#N/A,FALSE,"ET-CAPA";#N/A,#N/A,FALSE,"ET-PAG1";#N/A,#N/A,FALSE,"ET-PAG2";#N/A,#N/A,FALSE,"ET-PAG3";#N/A,#N/A,FALSE,"ET-PAG4";#N/A,#N/A,FALSE,"ET-PAG5"}</definedName>
    <definedName name="jEFF1" localSheetId="0" hidden="1">{#N/A,#N/A,FALSE,"ET-CAPA";#N/A,#N/A,FALSE,"ET-PAG1";#N/A,#N/A,FALSE,"ET-PAG2";#N/A,#N/A,FALSE,"ET-PAG3";#N/A,#N/A,FALSE,"ET-PAG4";#N/A,#N/A,FALSE,"ET-PAG5"}</definedName>
    <definedName name="jEFF1" localSheetId="2" hidden="1">{#N/A,#N/A,FALSE,"ET-CAPA";#N/A,#N/A,FALSE,"ET-PAG1";#N/A,#N/A,FALSE,"ET-PAG2";#N/A,#N/A,FALSE,"ET-PAG3";#N/A,#N/A,FALSE,"ET-PAG4";#N/A,#N/A,FALSE,"ET-PAG5"}</definedName>
    <definedName name="jEFF1" hidden="1">{#N/A,#N/A,FALSE,"ET-CAPA";#N/A,#N/A,FALSE,"ET-PAG1";#N/A,#N/A,FALSE,"ET-PAG2";#N/A,#N/A,FALSE,"ET-PAG3";#N/A,#N/A,FALSE,"ET-PAG4";#N/A,#N/A,FALSE,"ET-PAG5"}</definedName>
    <definedName name="JELE" localSheetId="0">#REF!</definedName>
    <definedName name="JELE">#REF!</definedName>
    <definedName name="jj" localSheetId="0" hidden="1">{#N/A,#N/A,FALSE,"Total_OC015";#N/A,#N/A,FALSE,"ADMIN";#N/A,#N/A,FALSE,"PROCES";#N/A,#N/A,FALSE,"mecan";#N/A,#N/A,FALSE,"civil";#N/A,#N/A,FALSE,"CAÑER";#N/A,#N/A,FALSE,"ELEC";#N/A,#N/A,FALSE,"INSTR"}</definedName>
    <definedName name="jj" localSheetId="2" hidden="1">{#N/A,#N/A,FALSE,"Total_OC015";#N/A,#N/A,FALSE,"ADMIN";#N/A,#N/A,FALSE,"PROCES";#N/A,#N/A,FALSE,"mecan";#N/A,#N/A,FALSE,"civil";#N/A,#N/A,FALSE,"CAÑER";#N/A,#N/A,FALSE,"ELEC";#N/A,#N/A,FALSE,"INSTR"}</definedName>
    <definedName name="jj" hidden="1">{#N/A,#N/A,FALSE,"Total_OC015";#N/A,#N/A,FALSE,"ADMIN";#N/A,#N/A,FALSE,"PROCES";#N/A,#N/A,FALSE,"mecan";#N/A,#N/A,FALSE,"civil";#N/A,#N/A,FALSE,"CAÑER";#N/A,#N/A,FALSE,"ELEC";#N/A,#N/A,FALSE,"INSTR"}</definedName>
    <definedName name="jjj" localSheetId="0" hidden="1">{#N/A,#N/A,FALSE,"Total_OC015";#N/A,#N/A,FALSE,"ADMIN";#N/A,#N/A,FALSE,"PROCES";#N/A,#N/A,FALSE,"mecan";#N/A,#N/A,FALSE,"civil";#N/A,#N/A,FALSE,"CAÑER";#N/A,#N/A,FALSE,"ELEC";#N/A,#N/A,FALSE,"INSTR"}</definedName>
    <definedName name="jjj" localSheetId="2" hidden="1">{#N/A,#N/A,FALSE,"Total_OC015";#N/A,#N/A,FALSE,"ADMIN";#N/A,#N/A,FALSE,"PROCES";#N/A,#N/A,FALSE,"mecan";#N/A,#N/A,FALSE,"civil";#N/A,#N/A,FALSE,"CAÑER";#N/A,#N/A,FALSE,"ELEC";#N/A,#N/A,FALSE,"INSTR"}</definedName>
    <definedName name="jjj" hidden="1">{#N/A,#N/A,FALSE,"Total_OC015";#N/A,#N/A,FALSE,"ADMIN";#N/A,#N/A,FALSE,"PROCES";#N/A,#N/A,FALSE,"mecan";#N/A,#N/A,FALSE,"civil";#N/A,#N/A,FALSE,"CAÑER";#N/A,#N/A,FALSE,"ELEC";#N/A,#N/A,FALSE,"INSTR"}</definedName>
    <definedName name="jjjj" localSheetId="0">#REF!</definedName>
    <definedName name="jjjj">#REF!</definedName>
    <definedName name="jkl" localSheetId="0" hidden="1">#REF!</definedName>
    <definedName name="jkl" hidden="1">#REF!</definedName>
    <definedName name="JMEC" localSheetId="0">#REF!</definedName>
    <definedName name="JMEC">#REF!</definedName>
    <definedName name="jo" localSheetId="0">#REF!</definedName>
    <definedName name="jo">#REF!</definedName>
    <definedName name="Job" localSheetId="0">#REF!</definedName>
    <definedName name="Job">#REF!</definedName>
    <definedName name="Job_car" localSheetId="0">#REF!</definedName>
    <definedName name="Job_car">#REF!</definedName>
    <definedName name="Job_Location" localSheetId="0">#REF!</definedName>
    <definedName name="Job_Location">#REF!</definedName>
    <definedName name="Job_Number" localSheetId="0">#REF!</definedName>
    <definedName name="Job_Number">#REF!</definedName>
    <definedName name="José_Padron" localSheetId="0">#REF!</definedName>
    <definedName name="José_Padron">#REF!</definedName>
    <definedName name="JOSIANNE" localSheetId="0" hidden="1">{#N/A,#N/A,FALSE,"TEC-01";#N/A,#N/A,FALSE,"TEC - 02";#N/A,#N/A,FALSE,"TEC - 03";#N/A,#N/A,FALSE,"TEC - 04";#N/A,#N/A,FALSE,"TEC-07";#N/A,#N/A,FALSE,"TEC-08";#N/A,#N/A,FALSE,"TEC - 09A";#N/A,#N/A,FALSE,"TEC - 09B";#N/A,#N/A,FALSE,"TEC - 09C";#N/A,#N/A,FALSE,"TEC - 10";#N/A,#N/A,FALSE,"TEC-11"}</definedName>
    <definedName name="JOSIANNE" localSheetId="2" hidden="1">{#N/A,#N/A,FALSE,"TEC-01";#N/A,#N/A,FALSE,"TEC - 02";#N/A,#N/A,FALSE,"TEC - 03";#N/A,#N/A,FALSE,"TEC - 04";#N/A,#N/A,FALSE,"TEC-07";#N/A,#N/A,FALSE,"TEC-08";#N/A,#N/A,FALSE,"TEC - 09A";#N/A,#N/A,FALSE,"TEC - 09B";#N/A,#N/A,FALSE,"TEC - 09C";#N/A,#N/A,FALSE,"TEC - 10";#N/A,#N/A,FALSE,"TEC-11"}</definedName>
    <definedName name="JOSIANNE" hidden="1">{#N/A,#N/A,FALSE,"TEC-01";#N/A,#N/A,FALSE,"TEC - 02";#N/A,#N/A,FALSE,"TEC - 03";#N/A,#N/A,FALSE,"TEC - 04";#N/A,#N/A,FALSE,"TEC-07";#N/A,#N/A,FALSE,"TEC-08";#N/A,#N/A,FALSE,"TEC - 09A";#N/A,#N/A,FALSE,"TEC - 09B";#N/A,#N/A,FALSE,"TEC - 09C";#N/A,#N/A,FALSE,"TEC - 10";#N/A,#N/A,FALSE,"TEC-11"}</definedName>
    <definedName name="JS" localSheetId="0">#REF!</definedName>
    <definedName name="JS">#REF!</definedName>
    <definedName name="jsf" localSheetId="0">#REF!</definedName>
    <definedName name="jsf">#REF!</definedName>
    <definedName name="JUPOX" localSheetId="0" hidden="1">{#N/A,#N/A,FALSE,"masez (10)";#N/A,#N/A,FALSE,"masez (7)";#N/A,#N/A,FALSE,"masez (6)";#N/A,#N/A,FALSE,"masez (5)";#N/A,#N/A,FALSE,"masez (4)";#N/A,#N/A,FALSE,"masez (3)";#N/A,#N/A,FALSE,"masez (2)";#N/A,#N/A,FALSE,"GME";#N/A,#N/A,FALSE,"masez"}</definedName>
    <definedName name="JUPOX" localSheetId="2" hidden="1">{#N/A,#N/A,FALSE,"masez (10)";#N/A,#N/A,FALSE,"masez (7)";#N/A,#N/A,FALSE,"masez (6)";#N/A,#N/A,FALSE,"masez (5)";#N/A,#N/A,FALSE,"masez (4)";#N/A,#N/A,FALSE,"masez (3)";#N/A,#N/A,FALSE,"masez (2)";#N/A,#N/A,FALSE,"GME";#N/A,#N/A,FALSE,"masez"}</definedName>
    <definedName name="JUPOX" hidden="1">{#N/A,#N/A,FALSE,"masez (10)";#N/A,#N/A,FALSE,"masez (7)";#N/A,#N/A,FALSE,"masez (6)";#N/A,#N/A,FALSE,"masez (5)";#N/A,#N/A,FALSE,"masez (4)";#N/A,#N/A,FALSE,"masez (3)";#N/A,#N/A,FALSE,"masez (2)";#N/A,#N/A,FALSE,"GME";#N/A,#N/A,FALSE,"masez"}</definedName>
    <definedName name="justificativaProcessoCompra" localSheetId="0">#REF!</definedName>
    <definedName name="justificativaProcessoCompra">#REF!</definedName>
    <definedName name="K" localSheetId="0">#REF!</definedName>
    <definedName name="K">#REF!</definedName>
    <definedName name="kk" localSheetId="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2"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KKK" localSheetId="0">#REF!</definedName>
    <definedName name="KKKKK">#REF!</definedName>
    <definedName name="KKLKLKLKL" localSheetId="0" hidden="1">{"'Resumo2'!$B$2:$J$23"}</definedName>
    <definedName name="KKLKLKLKL" localSheetId="2" hidden="1">{"'Resumo2'!$B$2:$J$23"}</definedName>
    <definedName name="KKLKLKLKL" hidden="1">{"'Resumo2'!$B$2:$J$23"}</definedName>
    <definedName name="KRW" localSheetId="0">#REF!</definedName>
    <definedName name="KRW">#REF!</definedName>
    <definedName name="Kubus">#REF!</definedName>
    <definedName name="Kubus1">#REF!</definedName>
    <definedName name="kubuspalmeiras">#REF!</definedName>
    <definedName name="kubusretiro">#REF!</definedName>
    <definedName name="lab" localSheetId="0">#REF!</definedName>
    <definedName name="lab">#REF!</definedName>
    <definedName name="Labour_Rates" localSheetId="0">#REF!</definedName>
    <definedName name="Labour_Rates">#REF!</definedName>
    <definedName name="LADO" localSheetId="0">#REF!</definedName>
    <definedName name="LADO">#REF!</definedName>
    <definedName name="landscp" localSheetId="0">#REF!</definedName>
    <definedName name="landscp">#REF!</definedName>
    <definedName name="LARG" localSheetId="0">#REF!</definedName>
    <definedName name="LARG">#REF!</definedName>
    <definedName name="lçjh" localSheetId="0">#REF!</definedName>
    <definedName name="lçjh">#REF!</definedName>
    <definedName name="LCV" localSheetId="0" hidden="1">{#N/A,#N/A,FALSE,"TEC-01";#N/A,#N/A,FALSE,"TEC - 02";#N/A,#N/A,FALSE,"TEC - 03";#N/A,#N/A,FALSE,"TEC - 04";#N/A,#N/A,FALSE,"TEC-07";#N/A,#N/A,FALSE,"TEC-08";#N/A,#N/A,FALSE,"TEC - 09A";#N/A,#N/A,FALSE,"TEC - 09B";#N/A,#N/A,FALSE,"TEC - 09C";#N/A,#N/A,FALSE,"TEC - 10";#N/A,#N/A,FALSE,"TEC-11"}</definedName>
    <definedName name="LCV" localSheetId="2" hidden="1">{#N/A,#N/A,FALSE,"TEC-01";#N/A,#N/A,FALSE,"TEC - 02";#N/A,#N/A,FALSE,"TEC - 03";#N/A,#N/A,FALSE,"TEC - 04";#N/A,#N/A,FALSE,"TEC-07";#N/A,#N/A,FALSE,"TEC-08";#N/A,#N/A,FALSE,"TEC - 09A";#N/A,#N/A,FALSE,"TEC - 09B";#N/A,#N/A,FALSE,"TEC - 09C";#N/A,#N/A,FALSE,"TEC - 10";#N/A,#N/A,FALSE,"TEC-11"}</definedName>
    <definedName name="LCV" hidden="1">{#N/A,#N/A,FALSE,"TEC-01";#N/A,#N/A,FALSE,"TEC - 02";#N/A,#N/A,FALSE,"TEC - 03";#N/A,#N/A,FALSE,"TEC - 04";#N/A,#N/A,FALSE,"TEC-07";#N/A,#N/A,FALSE,"TEC-08";#N/A,#N/A,FALSE,"TEC - 09A";#N/A,#N/A,FALSE,"TEC - 09B";#N/A,#N/A,FALSE,"TEC - 09C";#N/A,#N/A,FALSE,"TEC - 10";#N/A,#N/A,FALSE,"TEC-11"}</definedName>
    <definedName name="LD" localSheetId="0">#REF!</definedName>
    <definedName name="LD">#REF!</definedName>
    <definedName name="LDExport" localSheetId="0">#REF!</definedName>
    <definedName name="LDExport">#REF!</definedName>
    <definedName name="ldexport1" localSheetId="0">#REF!</definedName>
    <definedName name="ldexport1">#REF!</definedName>
    <definedName name="LE">#REF!</definedName>
    <definedName name="legal_ano" localSheetId="0">#REF!</definedName>
    <definedName name="legal_ano">#REF!</definedName>
    <definedName name="LEGK" localSheetId="0">#REF!</definedName>
    <definedName name="LEGK">#REF!</definedName>
    <definedName name="LIBRA_Total" localSheetId="0">#REF!</definedName>
    <definedName name="LIBRA_Total">#REF!</definedName>
    <definedName name="Lic_Pat" localSheetId="0">#REF!</definedName>
    <definedName name="Lic_Pat">#REF!</definedName>
    <definedName name="light" localSheetId="0">#REF!</definedName>
    <definedName name="light">#REF!</definedName>
    <definedName name="limcount" hidden="1">1</definedName>
    <definedName name="LIMPAR_DADOS" localSheetId="0">#REF!,#REF!,#REF!,#REF!,#REF!,#REF!,#REF!,#REF!,#REF!,#REF!,#REF!,#REF!</definedName>
    <definedName name="LIMPAR_DADOS" localSheetId="2">#REF!,#REF!,#REF!,#REF!,#REF!,#REF!,#REF!,#REF!,#REF!,#REF!,#REF!,#REF!</definedName>
    <definedName name="LIMPAR_DADOS">#REF!,#REF!,#REF!,#REF!,#REF!,#REF!,#REF!,#REF!,#REF!,#REF!,#REF!,#REF!</definedName>
    <definedName name="LIMPAR_TITULO" localSheetId="0">#REF!,#REF!,#REF!,#REF!,#REF!,#REF!,#REF!</definedName>
    <definedName name="LIMPAR_TITULO">#REF!,#REF!,#REF!,#REF!,#REF!,#REF!,#REF!</definedName>
    <definedName name="Line" localSheetId="0">#REF!</definedName>
    <definedName name="Line">#REF!</definedName>
    <definedName name="LINELIST_PIPERUNS" localSheetId="0">#REF!</definedName>
    <definedName name="LINELIST_PIPERUNS">#REF!</definedName>
    <definedName name="LinhasContratos" localSheetId="0">#REF!</definedName>
    <definedName name="LinhasContratos">#REF!</definedName>
    <definedName name="Lisette_Schubert" localSheetId="0">#REF!</definedName>
    <definedName name="Lisette_Schubert">#REF!</definedName>
    <definedName name="Lista">#REF!</definedName>
    <definedName name="Lista_Hatch_EMP_COM" localSheetId="0">#REF!,#REF!,#REF!,#REF!</definedName>
    <definedName name="Lista_Hatch_EMP_COM">#REF!,#REF!,#REF!,#REF!</definedName>
    <definedName name="ListaFim" localSheetId="0">#REF!</definedName>
    <definedName name="ListaFim">#REF!</definedName>
    <definedName name="ListCompanies" localSheetId="0">#REF!</definedName>
    <definedName name="ListCompanies">#REF!</definedName>
    <definedName name="lixo" localSheetId="0" hidden="1">{#N/A,#N/A,FALSE,"GERAL";#N/A,#N/A,FALSE,"012-96";#N/A,#N/A,FALSE,"018-96";#N/A,#N/A,FALSE,"027-96";#N/A,#N/A,FALSE,"059-96";#N/A,#N/A,FALSE,"076-96";#N/A,#N/A,FALSE,"019-97";#N/A,#N/A,FALSE,"021-97";#N/A,#N/A,FALSE,"022-97";#N/A,#N/A,FALSE,"028-97"}</definedName>
    <definedName name="lixo" localSheetId="2" hidden="1">{#N/A,#N/A,FALSE,"GERAL";#N/A,#N/A,FALSE,"012-96";#N/A,#N/A,FALSE,"018-96";#N/A,#N/A,FALSE,"027-96";#N/A,#N/A,FALSE,"059-96";#N/A,#N/A,FALSE,"076-96";#N/A,#N/A,FALSE,"019-97";#N/A,#N/A,FALSE,"021-97";#N/A,#N/A,FALSE,"022-97";#N/A,#N/A,FALSE,"028-97"}</definedName>
    <definedName name="lixo" hidden="1">{#N/A,#N/A,FALSE,"GERAL";#N/A,#N/A,FALSE,"012-96";#N/A,#N/A,FALSE,"018-96";#N/A,#N/A,FALSE,"027-96";#N/A,#N/A,FALSE,"059-96";#N/A,#N/A,FALSE,"076-96";#N/A,#N/A,FALSE,"019-97";#N/A,#N/A,FALSE,"021-97";#N/A,#N/A,FALSE,"022-97";#N/A,#N/A,FALSE,"028-97"}</definedName>
    <definedName name="lk" localSheetId="0" hidden="1">{#N/A,#N/A,FALSE,"Total_OC015";#N/A,#N/A,FALSE,"ADMIN";#N/A,#N/A,FALSE,"PROCES";#N/A,#N/A,FALSE,"mecan";#N/A,#N/A,FALSE,"civil";#N/A,#N/A,FALSE,"CAÑER";#N/A,#N/A,FALSE,"ELEC";#N/A,#N/A,FALSE,"INSTR"}</definedName>
    <definedName name="lk" localSheetId="2" hidden="1">{#N/A,#N/A,FALSE,"Total_OC015";#N/A,#N/A,FALSE,"ADMIN";#N/A,#N/A,FALSE,"PROCES";#N/A,#N/A,FALSE,"mecan";#N/A,#N/A,FALSE,"civil";#N/A,#N/A,FALSE,"CAÑER";#N/A,#N/A,FALSE,"ELEC";#N/A,#N/A,FALSE,"INSTR"}</definedName>
    <definedName name="lk" hidden="1">{#N/A,#N/A,FALSE,"Total_OC015";#N/A,#N/A,FALSE,"ADMIN";#N/A,#N/A,FALSE,"PROCES";#N/A,#N/A,FALSE,"mecan";#N/A,#N/A,FALSE,"civil";#N/A,#N/A,FALSE,"CAÑER";#N/A,#N/A,FALSE,"ELEC";#N/A,#N/A,FALSE,"INSTR"}</definedName>
    <definedName name="ll" localSheetId="0" hidden="1">{#N/A,#N/A,TRUE,"Est. de Fact.";#N/A,#N/A,TRUE,"Capitulo 19";#N/A,#N/A,TRUE,"Proyecto P855"}</definedName>
    <definedName name="ll" localSheetId="2" hidden="1">{#N/A,#N/A,TRUE,"Est. de Fact.";#N/A,#N/A,TRUE,"Capitulo 19";#N/A,#N/A,TRUE,"Proyecto P855"}</definedName>
    <definedName name="ll" hidden="1">{#N/A,#N/A,TRUE,"Est. de Fact.";#N/A,#N/A,TRUE,"Capitulo 19";#N/A,#N/A,TRUE,"Proyecto P855"}</definedName>
    <definedName name="LLL" localSheetId="0">#REF!</definedName>
    <definedName name="LLL">#REF!</definedName>
    <definedName name="loc" localSheetId="0">#REF!</definedName>
    <definedName name="loc">#REF!</definedName>
    <definedName name="Loc_Inc" localSheetId="0">#REF!</definedName>
    <definedName name="Loc_Inc">#REF!</definedName>
    <definedName name="LocaçãoVeículo" localSheetId="0">#REF!</definedName>
    <definedName name="LocaçãoVeículo">#REF!</definedName>
    <definedName name="Local" localSheetId="0">#REF!</definedName>
    <definedName name="Local">#REF!</definedName>
    <definedName name="Location" localSheetId="0">#REF!</definedName>
    <definedName name="Location">#REF!</definedName>
    <definedName name="lokar" localSheetId="0" hidden="1">{#N/A,#N/A,FALSE,"GERAL";#N/A,#N/A,FALSE,"012-96";#N/A,#N/A,FALSE,"018-96";#N/A,#N/A,FALSE,"027-96";#N/A,#N/A,FALSE,"059-96";#N/A,#N/A,FALSE,"076-96";#N/A,#N/A,FALSE,"019-97";#N/A,#N/A,FALSE,"021-97";#N/A,#N/A,FALSE,"022-97";#N/A,#N/A,FALSE,"028-97"}</definedName>
    <definedName name="lokar" localSheetId="2" hidden="1">{#N/A,#N/A,FALSE,"GERAL";#N/A,#N/A,FALSE,"012-96";#N/A,#N/A,FALSE,"018-96";#N/A,#N/A,FALSE,"027-96";#N/A,#N/A,FALSE,"059-96";#N/A,#N/A,FALSE,"076-96";#N/A,#N/A,FALSE,"019-97";#N/A,#N/A,FALSE,"021-97";#N/A,#N/A,FALSE,"022-97";#N/A,#N/A,FALSE,"028-97"}</definedName>
    <definedName name="lokar" hidden="1">{#N/A,#N/A,FALSE,"GERAL";#N/A,#N/A,FALSE,"012-96";#N/A,#N/A,FALSE,"018-96";#N/A,#N/A,FALSE,"027-96";#N/A,#N/A,FALSE,"059-96";#N/A,#N/A,FALSE,"076-96";#N/A,#N/A,FALSE,"019-97";#N/A,#N/A,FALSE,"021-97";#N/A,#N/A,FALSE,"022-97";#N/A,#N/A,FALSE,"028-97"}</definedName>
    <definedName name="LOLD">1</definedName>
    <definedName name="LOLD_Table">31</definedName>
    <definedName name="Lote" localSheetId="0">#REF!</definedName>
    <definedName name="Lote" localSheetId="2">QQP!Lote</definedName>
    <definedName name="Lote">#REF!</definedName>
    <definedName name="LoteBolota" localSheetId="0">#REF!</definedName>
    <definedName name="LoteBolota" localSheetId="2">QQP!LoteBolota</definedName>
    <definedName name="LoteBolota">#REF!</definedName>
    <definedName name="LoteBonito2" localSheetId="0" hidden="1">{"'Resumo2'!$B$2:$J$23"}</definedName>
    <definedName name="LoteBonito2" localSheetId="2" hidden="1">{"'Resumo2'!$B$2:$J$23"}</definedName>
    <definedName name="LoteBonito2" hidden="1">{"'Resumo2'!$B$2:$J$23"}</definedName>
    <definedName name="lots" localSheetId="0" hidden="1">{#N/A,#N/A,FALSE,"Total_OC015";#N/A,#N/A,FALSE,"ADMIN";#N/A,#N/A,FALSE,"PROCES";#N/A,#N/A,FALSE,"mecan";#N/A,#N/A,FALSE,"civil";#N/A,#N/A,FALSE,"CAÑER";#N/A,#N/A,FALSE,"ELEC";#N/A,#N/A,FALSE,"INSTR"}</definedName>
    <definedName name="lots" localSheetId="2" hidden="1">{#N/A,#N/A,FALSE,"Total_OC015";#N/A,#N/A,FALSE,"ADMIN";#N/A,#N/A,FALSE,"PROCES";#N/A,#N/A,FALSE,"mecan";#N/A,#N/A,FALSE,"civil";#N/A,#N/A,FALSE,"CAÑER";#N/A,#N/A,FALSE,"ELEC";#N/A,#N/A,FALSE,"INSTR"}</definedName>
    <definedName name="lots" hidden="1">{#N/A,#N/A,FALSE,"Total_OC015";#N/A,#N/A,FALSE,"ADMIN";#N/A,#N/A,FALSE,"PROCES";#N/A,#N/A,FALSE,"mecan";#N/A,#N/A,FALSE,"civil";#N/A,#N/A,FALSE,"CAÑER";#N/A,#N/A,FALSE,"ELEC";#N/A,#N/A,FALSE,"INSTR"}</definedName>
    <definedName name="LS" localSheetId="0">#REF!</definedName>
    <definedName name="LS">#REF!</definedName>
    <definedName name="luis" localSheetId="0" hidden="1">{"'Plan1 (2)'!$A$5:$F$63"}</definedName>
    <definedName name="luis" localSheetId="2" hidden="1">{"'Plan1 (2)'!$A$5:$F$63"}</definedName>
    <definedName name="luis" hidden="1">{"'Plan1 (2)'!$A$5:$F$63"}</definedName>
    <definedName name="Luis_Garrido_L." localSheetId="0">#REF!</definedName>
    <definedName name="Luis_Garrido_L.">#REF!</definedName>
    <definedName name="luOCA2" localSheetId="0">#REF!</definedName>
    <definedName name="luOCA2">#REF!</definedName>
    <definedName name="LUSI" localSheetId="0" hidden="1">{#N/A,#N/A,FALSE,"ET-CAPA";#N/A,#N/A,FALSE,"ET-PAG1";#N/A,#N/A,FALSE,"ET-PAG2";#N/A,#N/A,FALSE,"ET-PAG3";#N/A,#N/A,FALSE,"ET-PAG4";#N/A,#N/A,FALSE,"ET-PAG5"}</definedName>
    <definedName name="LUSI" localSheetId="2" hidden="1">{#N/A,#N/A,FALSE,"ET-CAPA";#N/A,#N/A,FALSE,"ET-PAG1";#N/A,#N/A,FALSE,"ET-PAG2";#N/A,#N/A,FALSE,"ET-PAG3";#N/A,#N/A,FALSE,"ET-PAG4";#N/A,#N/A,FALSE,"ET-PAG5"}</definedName>
    <definedName name="LUSI" hidden="1">{#N/A,#N/A,FALSE,"ET-CAPA";#N/A,#N/A,FALSE,"ET-PAG1";#N/A,#N/A,FALSE,"ET-PAG2";#N/A,#N/A,FALSE,"ET-PAG3";#N/A,#N/A,FALSE,"ET-PAG4";#N/A,#N/A,FALSE,"ET-PAG5"}</definedName>
    <definedName name="Macro1" localSheetId="0">#REF!</definedName>
    <definedName name="Macro1">#REF!</definedName>
    <definedName name="Macro3" localSheetId="0">#REF!</definedName>
    <definedName name="Macro3">#REF!</definedName>
    <definedName name="MACU">#N/A</definedName>
    <definedName name="MAG" localSheetId="0">#REF!</definedName>
    <definedName name="MAG">#REF!</definedName>
    <definedName name="MANTO" localSheetId="0" hidden="1">{#N/A,#N/A,FALSE,"GERAL";#N/A,#N/A,FALSE,"012-96";#N/A,#N/A,FALSE,"018-96";#N/A,#N/A,FALSE,"027-96";#N/A,#N/A,FALSE,"059-96";#N/A,#N/A,FALSE,"076-96";#N/A,#N/A,FALSE,"019-97";#N/A,#N/A,FALSE,"021-97";#N/A,#N/A,FALSE,"022-97";#N/A,#N/A,FALSE,"028-97"}</definedName>
    <definedName name="MANTO" localSheetId="2" hidden="1">{#N/A,#N/A,FALSE,"GERAL";#N/A,#N/A,FALSE,"012-96";#N/A,#N/A,FALSE,"018-96";#N/A,#N/A,FALSE,"027-96";#N/A,#N/A,FALSE,"059-96";#N/A,#N/A,FALSE,"076-96";#N/A,#N/A,FALSE,"019-97";#N/A,#N/A,FALSE,"021-97";#N/A,#N/A,FALSE,"022-97";#N/A,#N/A,FALSE,"028-97"}</definedName>
    <definedName name="MANTO" hidden="1">{#N/A,#N/A,FALSE,"GERAL";#N/A,#N/A,FALSE,"012-96";#N/A,#N/A,FALSE,"018-96";#N/A,#N/A,FALSE,"027-96";#N/A,#N/A,FALSE,"059-96";#N/A,#N/A,FALSE,"076-96";#N/A,#N/A,FALSE,"019-97";#N/A,#N/A,FALSE,"021-97";#N/A,#N/A,FALSE,"022-97";#N/A,#N/A,FALSE,"028-97"}</definedName>
    <definedName name="Manuel_Romero" localSheetId="0">#REF!</definedName>
    <definedName name="Manuel_Romero">#REF!</definedName>
    <definedName name="Manut.Transp.Operac." localSheetId="0">#REF!</definedName>
    <definedName name="Manut.Transp.Operac.">#REF!</definedName>
    <definedName name="Manutenção" localSheetId="0">#REF!</definedName>
    <definedName name="Manutenção">#REF!</definedName>
    <definedName name="maodeobra">#REF!</definedName>
    <definedName name="maodeobra20">#REF!</definedName>
    <definedName name="MAR" localSheetId="0">#REF!</definedName>
    <definedName name="MAR">#REF!</definedName>
    <definedName name="Mariluz_Muñoz" localSheetId="0">#REF!</definedName>
    <definedName name="Mariluz_Muñoz">#REF!</definedName>
    <definedName name="MARINE" localSheetId="0">#REF!</definedName>
    <definedName name="MARINE">#REF!</definedName>
    <definedName name="mario" localSheetId="0">#REF!</definedName>
    <definedName name="mario">#REF!</definedName>
    <definedName name="MARIP10" localSheetId="0">#REF!</definedName>
    <definedName name="MARIP10">#REF!</definedName>
    <definedName name="MARIP12" localSheetId="0">#REF!</definedName>
    <definedName name="MARIP12">#REF!</definedName>
    <definedName name="MARIP16" localSheetId="0">#REF!</definedName>
    <definedName name="MARIP16">#REF!</definedName>
    <definedName name="MARIP18" localSheetId="0">#REF!</definedName>
    <definedName name="MARIP18">#REF!</definedName>
    <definedName name="MARIP2" localSheetId="0">#REF!</definedName>
    <definedName name="MARIP2">#REF!</definedName>
    <definedName name="MARIP20" localSheetId="0">#REF!</definedName>
    <definedName name="MARIP20">#REF!</definedName>
    <definedName name="MARIP3" localSheetId="0">#REF!</definedName>
    <definedName name="MARIP3">#REF!</definedName>
    <definedName name="MARIP30" localSheetId="0">#REF!</definedName>
    <definedName name="MARIP30">#REF!</definedName>
    <definedName name="MARIP4" localSheetId="0">#REF!</definedName>
    <definedName name="MARIP4">#REF!</definedName>
    <definedName name="MARIP8" localSheetId="0">#REF!</definedName>
    <definedName name="MARIP8">#REF!</definedName>
    <definedName name="MASTER" localSheetId="0" hidden="1">{#N/A,#N/A,FALSE,"GERAL";#N/A,#N/A,FALSE,"012-96";#N/A,#N/A,FALSE,"018-96";#N/A,#N/A,FALSE,"027-96";#N/A,#N/A,FALSE,"059-96";#N/A,#N/A,FALSE,"076-96";#N/A,#N/A,FALSE,"019-97";#N/A,#N/A,FALSE,"021-97";#N/A,#N/A,FALSE,"022-97";#N/A,#N/A,FALSE,"028-97"}</definedName>
    <definedName name="MASTER" localSheetId="2" hidden="1">{#N/A,#N/A,FALSE,"GERAL";#N/A,#N/A,FALSE,"012-96";#N/A,#N/A,FALSE,"018-96";#N/A,#N/A,FALSE,"027-96";#N/A,#N/A,FALSE,"059-96";#N/A,#N/A,FALSE,"076-96";#N/A,#N/A,FALSE,"019-97";#N/A,#N/A,FALSE,"021-97";#N/A,#N/A,FALSE,"022-97";#N/A,#N/A,FALSE,"028-97"}</definedName>
    <definedName name="MASTER" hidden="1">{#N/A,#N/A,FALSE,"GERAL";#N/A,#N/A,FALSE,"012-96";#N/A,#N/A,FALSE,"018-96";#N/A,#N/A,FALSE,"027-96";#N/A,#N/A,FALSE,"059-96";#N/A,#N/A,FALSE,"076-96";#N/A,#N/A,FALSE,"019-97";#N/A,#N/A,FALSE,"021-97";#N/A,#N/A,FALSE,"022-97";#N/A,#N/A,FALSE,"028-97"}</definedName>
    <definedName name="Match" localSheetId="0">#REF!</definedName>
    <definedName name="Match">#REF!</definedName>
    <definedName name="Match_Parc" localSheetId="0">#REF!</definedName>
    <definedName name="Match_Parc">#REF!</definedName>
    <definedName name="Material" localSheetId="0">#REF!</definedName>
    <definedName name="Material">#REF!</definedName>
    <definedName name="MATERIALS_MANAGEMENT" localSheetId="0">#REF!</definedName>
    <definedName name="MATERIALS_MANAGEMENT">#REF!</definedName>
    <definedName name="MATRIZ" localSheetId="0">#REF!</definedName>
    <definedName name="MATRIZ" localSheetId="2">QQP!#REF!</definedName>
    <definedName name="MATRIZ">#REF!</definedName>
    <definedName name="MATRIZ_DE_RESPONSABILIDADE" localSheetId="0">#REF!</definedName>
    <definedName name="MATRIZ_DE_RESPONSABILIDADE">#REF!</definedName>
    <definedName name="MATRIZ01" localSheetId="0">#REF!</definedName>
    <definedName name="MATRIZ01">#REF!</definedName>
    <definedName name="MatrizCorrel2003" localSheetId="0">#REF!</definedName>
    <definedName name="MatrizCorrel2003">#REF!</definedName>
    <definedName name="mattubcust" localSheetId="0" hidden="1">{#N/A,#N/A,FALSE,"GERAL";#N/A,#N/A,FALSE,"012-96";#N/A,#N/A,FALSE,"018-96";#N/A,#N/A,FALSE,"027-96";#N/A,#N/A,FALSE,"059-96";#N/A,#N/A,FALSE,"076-96";#N/A,#N/A,FALSE,"019-97";#N/A,#N/A,FALSE,"021-97";#N/A,#N/A,FALSE,"022-97";#N/A,#N/A,FALSE,"028-97"}</definedName>
    <definedName name="mattubcust" localSheetId="2" hidden="1">{#N/A,#N/A,FALSE,"GERAL";#N/A,#N/A,FALSE,"012-96";#N/A,#N/A,FALSE,"018-96";#N/A,#N/A,FALSE,"027-96";#N/A,#N/A,FALSE,"059-96";#N/A,#N/A,FALSE,"076-96";#N/A,#N/A,FALSE,"019-97";#N/A,#N/A,FALSE,"021-97";#N/A,#N/A,FALSE,"022-97";#N/A,#N/A,FALSE,"028-97"}</definedName>
    <definedName name="mattubcust" hidden="1">{#N/A,#N/A,FALSE,"GERAL";#N/A,#N/A,FALSE,"012-96";#N/A,#N/A,FALSE,"018-96";#N/A,#N/A,FALSE,"027-96";#N/A,#N/A,FALSE,"059-96";#N/A,#N/A,FALSE,"076-96";#N/A,#N/A,FALSE,"019-97";#N/A,#N/A,FALSE,"021-97";#N/A,#N/A,FALSE,"022-97";#N/A,#N/A,FALSE,"028-97"}</definedName>
    <definedName name="max" localSheetId="0">#REF!</definedName>
    <definedName name="max">#REF!</definedName>
    <definedName name="MBM" localSheetId="0">#REF!</definedName>
    <definedName name="MBM">#REF!</definedName>
    <definedName name="MBV" localSheetId="0">#REF!</definedName>
    <definedName name="MBV">#REF!</definedName>
    <definedName name="MC" localSheetId="0" hidden="1">{#N/A,#N/A,FALSE,"GERAL";#N/A,#N/A,FALSE,"012-96";#N/A,#N/A,FALSE,"018-96";#N/A,#N/A,FALSE,"027-96";#N/A,#N/A,FALSE,"059-96";#N/A,#N/A,FALSE,"076-96";#N/A,#N/A,FALSE,"019-97";#N/A,#N/A,FALSE,"021-97";#N/A,#N/A,FALSE,"022-97";#N/A,#N/A,FALSE,"028-97"}</definedName>
    <definedName name="MC" localSheetId="2" hidden="1">{#N/A,#N/A,FALSE,"GERAL";#N/A,#N/A,FALSE,"012-96";#N/A,#N/A,FALSE,"018-96";#N/A,#N/A,FALSE,"027-96";#N/A,#N/A,FALSE,"059-96";#N/A,#N/A,FALSE,"076-96";#N/A,#N/A,FALSE,"019-97";#N/A,#N/A,FALSE,"021-97";#N/A,#N/A,FALSE,"022-97";#N/A,#N/A,FALSE,"028-97"}</definedName>
    <definedName name="MC" hidden="1">{#N/A,#N/A,FALSE,"GERAL";#N/A,#N/A,FALSE,"012-96";#N/A,#N/A,FALSE,"018-96";#N/A,#N/A,FALSE,"027-96";#N/A,#N/A,FALSE,"059-96";#N/A,#N/A,FALSE,"076-96";#N/A,#N/A,FALSE,"019-97";#N/A,#N/A,FALSE,"021-97";#N/A,#N/A,FALSE,"022-97";#N/A,#N/A,FALSE,"028-97"}</definedName>
    <definedName name="MCM" localSheetId="0" hidden="1">{#N/A,#N/A,FALSE,"GERAL";#N/A,#N/A,FALSE,"012-96";#N/A,#N/A,FALSE,"018-96";#N/A,#N/A,FALSE,"027-96";#N/A,#N/A,FALSE,"059-96";#N/A,#N/A,FALSE,"076-96";#N/A,#N/A,FALSE,"019-97";#N/A,#N/A,FALSE,"021-97";#N/A,#N/A,FALSE,"022-97";#N/A,#N/A,FALSE,"028-97"}</definedName>
    <definedName name="MCM" localSheetId="2" hidden="1">{#N/A,#N/A,FALSE,"GERAL";#N/A,#N/A,FALSE,"012-96";#N/A,#N/A,FALSE,"018-96";#N/A,#N/A,FALSE,"027-96";#N/A,#N/A,FALSE,"059-96";#N/A,#N/A,FALSE,"076-96";#N/A,#N/A,FALSE,"019-97";#N/A,#N/A,FALSE,"021-97";#N/A,#N/A,FALSE,"022-97";#N/A,#N/A,FALSE,"028-97"}</definedName>
    <definedName name="MCM" hidden="1">{#N/A,#N/A,FALSE,"GERAL";#N/A,#N/A,FALSE,"012-96";#N/A,#N/A,FALSE,"018-96";#N/A,#N/A,FALSE,"027-96";#N/A,#N/A,FALSE,"059-96";#N/A,#N/A,FALSE,"076-96";#N/A,#N/A,FALSE,"019-97";#N/A,#N/A,FALSE,"021-97";#N/A,#N/A,FALSE,"022-97";#N/A,#N/A,FALSE,"028-97"}</definedName>
    <definedName name="MCOD02.040.4190" localSheetId="0">#REF!</definedName>
    <definedName name="MCOD02.040.4190">#REF!</definedName>
    <definedName name="MCOD02.040.4210" localSheetId="0">#REF!</definedName>
    <definedName name="MCOD02.040.4210">#REF!</definedName>
    <definedName name="MCOD02.040.4280" localSheetId="0">#REF!</definedName>
    <definedName name="MCOD02.040.4280">#REF!</definedName>
    <definedName name="MCOD02.040.4320">#REF!</definedName>
    <definedName name="MCOD02.040.4350">#REF!</definedName>
    <definedName name="MCOD02.040.4509">#REF!</definedName>
    <definedName name="MCOD02.040.4540">#REF!</definedName>
    <definedName name="MCOD02.040.4580">#REF!</definedName>
    <definedName name="MCOD02.040.4610">#REF!</definedName>
    <definedName name="MCOD02.040.4730">#REF!</definedName>
    <definedName name="MCOD02.040.4820">#REF!</definedName>
    <definedName name="MCOD02.040.7618">#REF!</definedName>
    <definedName name="MCOD02.040.7639">#REF!</definedName>
    <definedName name="MCOD02.040.7720">#REF!</definedName>
    <definedName name="MCOD02.040.9746">#REF!</definedName>
    <definedName name="MCOD02.040.9833">#REF!</definedName>
    <definedName name="MCOD02.110.0106">#REF!</definedName>
    <definedName name="MCOD02.110.0110">#REF!</definedName>
    <definedName name="MCOD02.110.0140">#REF!</definedName>
    <definedName name="MCOD02.110.0146">#REF!</definedName>
    <definedName name="MCOD02.110.0150">#REF!</definedName>
    <definedName name="MCOD02.110.0614">#REF!</definedName>
    <definedName name="MCOD02.110.0630">#REF!</definedName>
    <definedName name="MCOD02.110.0734">#REF!</definedName>
    <definedName name="MCOD02.110.0740">#REF!</definedName>
    <definedName name="MCOD02.110.0742">#REF!</definedName>
    <definedName name="MCOD02.110.0746">#REF!</definedName>
    <definedName name="MCOD02.110.0750">#REF!</definedName>
    <definedName name="MCOD02.110.1146">#REF!</definedName>
    <definedName name="MCOD02.110.1414">#REF!</definedName>
    <definedName name="MCOD02.110.1420">#REF!</definedName>
    <definedName name="MCOD02.110.1660">#REF!</definedName>
    <definedName name="MCOD02.110.1662">#REF!</definedName>
    <definedName name="MCOD02.110.1666">#REF!</definedName>
    <definedName name="MCOD02.110.1872">#REF!</definedName>
    <definedName name="MCOD02.110.1880">#REF!</definedName>
    <definedName name="MCOD02.110.1974">#REF!</definedName>
    <definedName name="MCOD02.110.2008">#REF!</definedName>
    <definedName name="MCOD02.110.2066">#REF!</definedName>
    <definedName name="MCOD02.110.2294">#REF!</definedName>
    <definedName name="MCOD02.110.2304">#REF!</definedName>
    <definedName name="MCOD02.110.2310">#REF!</definedName>
    <definedName name="MCOD02.110.2784">#REF!</definedName>
    <definedName name="MCOD02.110.2796">#REF!</definedName>
    <definedName name="MCOD02.110.2798">#REF!</definedName>
    <definedName name="MCOD02.110.2800">#REF!</definedName>
    <definedName name="MCOD02.110.3910">#REF!</definedName>
    <definedName name="MCOD02.110.3912">#REF!</definedName>
    <definedName name="MCOD02.110.3928">#REF!</definedName>
    <definedName name="MCOD02.110.3930">#REF!</definedName>
    <definedName name="MCOD02.110.3940">#REF!</definedName>
    <definedName name="MCOD02.110.4288">#REF!</definedName>
    <definedName name="MCOD02.110.4304">#REF!</definedName>
    <definedName name="MCOD02.110.4312">#REF!</definedName>
    <definedName name="MCOD02.110.4314">#REF!</definedName>
    <definedName name="MCOD02.110.4488">#REF!</definedName>
    <definedName name="MCOD02.110.4536">#REF!</definedName>
    <definedName name="MCOD02.120.0060">#REF!</definedName>
    <definedName name="MCOD02.120.0070">#REF!</definedName>
    <definedName name="MCOD02.120.0090">#REF!</definedName>
    <definedName name="MCOD02.130.0050">#REF!</definedName>
    <definedName name="MCOD02.130.0080">#REF!</definedName>
    <definedName name="MCOD02.130.1018">#REF!</definedName>
    <definedName name="MCOD02.130.1055">#REF!</definedName>
    <definedName name="MCOD02.140.1200">#REF!</definedName>
    <definedName name="MCOD02.210.0090">#REF!</definedName>
    <definedName name="MCOD02.210.0110">#REF!</definedName>
    <definedName name="MCOD02.210.0310">#REF!</definedName>
    <definedName name="MCOD02.210.0340">#REF!</definedName>
    <definedName name="MCOD02.210.0350">#REF!</definedName>
    <definedName name="MCOD02.210.0370">#REF!</definedName>
    <definedName name="MCOD02.210.0380">#REF!</definedName>
    <definedName name="MCOD02.210.0390">#REF!</definedName>
    <definedName name="MCOD02.210.1609">#REF!</definedName>
    <definedName name="MCOD02.210.1620">#REF!</definedName>
    <definedName name="MCOD02.210.1625">#REF!</definedName>
    <definedName name="MCOD02.210.1630">#REF!</definedName>
    <definedName name="MCOD02.210.1637">#REF!</definedName>
    <definedName name="MCOD02.210.2930">#REF!</definedName>
    <definedName name="MCOD03.020.0010">#REF!</definedName>
    <definedName name="MCOD03.020.0500">#REF!</definedName>
    <definedName name="MCOD03.020.0510">#REF!</definedName>
    <definedName name="MCOD03.020.0660">#REF!</definedName>
    <definedName name="MCOD03.020.0680">#REF!</definedName>
    <definedName name="MCOD05.120.0020">#REF!</definedName>
    <definedName name="MCOD11.010.0046">#REF!</definedName>
    <definedName name="MCOD11.010.0378">#REF!</definedName>
    <definedName name="MCOD28.120.0067">#REF!</definedName>
    <definedName name="MCOD28.120.0087">#REF!</definedName>
    <definedName name="MCODCOTADO01">#REF!</definedName>
    <definedName name="MCODCOTADO02">#REF!</definedName>
    <definedName name="MCODCOTADO03">#REF!</definedName>
    <definedName name="mec" localSheetId="0">#REF!</definedName>
    <definedName name="mec">#REF!</definedName>
    <definedName name="MECHANICAL" localSheetId="0">#REF!</definedName>
    <definedName name="MECHANICAL">#REF!</definedName>
    <definedName name="MEDIÇÃO" localSheetId="0">#REF!</definedName>
    <definedName name="MEDIÇÃO">#REF!</definedName>
    <definedName name="MEL" localSheetId="0">#REF!</definedName>
    <definedName name="MEL">#REF!</definedName>
    <definedName name="MEM" localSheetId="0">#REF!</definedName>
    <definedName name="MEM">#REF!</definedName>
    <definedName name="MEMO" localSheetId="0">#REF!</definedName>
    <definedName name="MEMO">#REF!</definedName>
    <definedName name="Memória" localSheetId="0" hidden="1">{#N/A,#N/A,FALSE,"TEC-01";#N/A,#N/A,FALSE,"TEC - 02";#N/A,#N/A,FALSE,"TEC - 03";#N/A,#N/A,FALSE,"TEC - 04";#N/A,#N/A,FALSE,"TEC-07";#N/A,#N/A,FALSE,"TEC-08";#N/A,#N/A,FALSE,"TEC - 09A";#N/A,#N/A,FALSE,"TEC - 09B";#N/A,#N/A,FALSE,"TEC - 09C";#N/A,#N/A,FALSE,"TEC - 10";#N/A,#N/A,FALSE,"TEC-11"}</definedName>
    <definedName name="Memória" localSheetId="2" hidden="1">{#N/A,#N/A,FALSE,"TEC-01";#N/A,#N/A,FALSE,"TEC - 02";#N/A,#N/A,FALSE,"TEC - 03";#N/A,#N/A,FALSE,"TEC - 04";#N/A,#N/A,FALSE,"TEC-07";#N/A,#N/A,FALSE,"TEC-08";#N/A,#N/A,FALSE,"TEC - 09A";#N/A,#N/A,FALSE,"TEC - 09B";#N/A,#N/A,FALSE,"TEC - 09C";#N/A,#N/A,FALSE,"TEC - 10";#N/A,#N/A,FALSE,"TEC-11"}</definedName>
    <definedName name="Memória" hidden="1">{#N/A,#N/A,FALSE,"TEC-01";#N/A,#N/A,FALSE,"TEC - 02";#N/A,#N/A,FALSE,"TEC - 03";#N/A,#N/A,FALSE,"TEC - 04";#N/A,#N/A,FALSE,"TEC-07";#N/A,#N/A,FALSE,"TEC-08";#N/A,#N/A,FALSE,"TEC - 09A";#N/A,#N/A,FALSE,"TEC - 09B";#N/A,#N/A,FALSE,"TEC - 09C";#N/A,#N/A,FALSE,"TEC - 10";#N/A,#N/A,FALSE,"TEC-11"}</definedName>
    <definedName name="MesCalc" localSheetId="0">#REF!</definedName>
    <definedName name="MesCalc">#REF!</definedName>
    <definedName name="MesNegociado" localSheetId="0">#REF!</definedName>
    <definedName name="MesNegociado">#REF!</definedName>
    <definedName name="MESTRE" localSheetId="0" hidden="1">{#N/A,#N/A,FALSE,"GERAL";#N/A,#N/A,FALSE,"012-96";#N/A,#N/A,FALSE,"018-96";#N/A,#N/A,FALSE,"027-96";#N/A,#N/A,FALSE,"059-96";#N/A,#N/A,FALSE,"076-96";#N/A,#N/A,FALSE,"019-97";#N/A,#N/A,FALSE,"021-97";#N/A,#N/A,FALSE,"022-97";#N/A,#N/A,FALSE,"028-97"}</definedName>
    <definedName name="MESTRE" localSheetId="2" hidden="1">{#N/A,#N/A,FALSE,"GERAL";#N/A,#N/A,FALSE,"012-96";#N/A,#N/A,FALSE,"018-96";#N/A,#N/A,FALSE,"027-96";#N/A,#N/A,FALSE,"059-96";#N/A,#N/A,FALSE,"076-96";#N/A,#N/A,FALSE,"019-97";#N/A,#N/A,FALSE,"021-97";#N/A,#N/A,FALSE,"022-97";#N/A,#N/A,FALSE,"028-97"}</definedName>
    <definedName name="MESTRE" hidden="1">{#N/A,#N/A,FALSE,"GERAL";#N/A,#N/A,FALSE,"012-96";#N/A,#N/A,FALSE,"018-96";#N/A,#N/A,FALSE,"027-96";#N/A,#N/A,FALSE,"059-96";#N/A,#N/A,FALSE,"076-96";#N/A,#N/A,FALSE,"019-97";#N/A,#N/A,FALSE,"021-97";#N/A,#N/A,FALSE,"022-97";#N/A,#N/A,FALSE,"028-97"}</definedName>
    <definedName name="MFL" localSheetId="0">#REF!</definedName>
    <definedName name="MFL">#REF!</definedName>
    <definedName name="mine_inf_sens" localSheetId="0">#REF!</definedName>
    <definedName name="mine_inf_sens">#REF!</definedName>
    <definedName name="miner" localSheetId="0" hidden="1">{#N/A,#N/A,FALSE,"ET-CAPA";#N/A,#N/A,FALSE,"ET-PAG1";#N/A,#N/A,FALSE,"ET-PAG2";#N/A,#N/A,FALSE,"ET-PAG3";#N/A,#N/A,FALSE,"ET-PAG4";#N/A,#N/A,FALSE,"ET-PAG5"}</definedName>
    <definedName name="miner" localSheetId="2" hidden="1">{#N/A,#N/A,FALSE,"ET-CAPA";#N/A,#N/A,FALSE,"ET-PAG1";#N/A,#N/A,FALSE,"ET-PAG2";#N/A,#N/A,FALSE,"ET-PAG3";#N/A,#N/A,FALSE,"ET-PAG4";#N/A,#N/A,FALSE,"ET-PAG5"}</definedName>
    <definedName name="miner" hidden="1">{#N/A,#N/A,FALSE,"ET-CAPA";#N/A,#N/A,FALSE,"ET-PAG1";#N/A,#N/A,FALSE,"ET-PAG2";#N/A,#N/A,FALSE,"ET-PAG3";#N/A,#N/A,FALSE,"ET-PAG4";#N/A,#N/A,FALSE,"ET-PAG5"}</definedName>
    <definedName name="Miner1" localSheetId="0" hidden="1">{#N/A,#N/A,FALSE,"ET-CAPA";#N/A,#N/A,FALSE,"ET-PAG1";#N/A,#N/A,FALSE,"ET-PAG2";#N/A,#N/A,FALSE,"ET-PAG3";#N/A,#N/A,FALSE,"ET-PAG4";#N/A,#N/A,FALSE,"ET-PAG5"}</definedName>
    <definedName name="Miner1" localSheetId="2" hidden="1">{#N/A,#N/A,FALSE,"ET-CAPA";#N/A,#N/A,FALSE,"ET-PAG1";#N/A,#N/A,FALSE,"ET-PAG2";#N/A,#N/A,FALSE,"ET-PAG3";#N/A,#N/A,FALSE,"ET-PAG4";#N/A,#N/A,FALSE,"ET-PAG5"}</definedName>
    <definedName name="Miner1" hidden="1">{#N/A,#N/A,FALSE,"ET-CAPA";#N/A,#N/A,FALSE,"ET-PAG1";#N/A,#N/A,FALSE,"ET-PAG2";#N/A,#N/A,FALSE,"ET-PAG3";#N/A,#N/A,FALSE,"ET-PAG4";#N/A,#N/A,FALSE,"ET-PAG5"}</definedName>
    <definedName name="miner2" localSheetId="0" hidden="1">{#N/A,#N/A,FALSE,"ET-CAPA";#N/A,#N/A,FALSE,"ET-PAG1";#N/A,#N/A,FALSE,"ET-PAG2";#N/A,#N/A,FALSE,"ET-PAG3";#N/A,#N/A,FALSE,"ET-PAG4";#N/A,#N/A,FALSE,"ET-PAG5"}</definedName>
    <definedName name="miner2" localSheetId="2" hidden="1">{#N/A,#N/A,FALSE,"ET-CAPA";#N/A,#N/A,FALSE,"ET-PAG1";#N/A,#N/A,FALSE,"ET-PAG2";#N/A,#N/A,FALSE,"ET-PAG3";#N/A,#N/A,FALSE,"ET-PAG4";#N/A,#N/A,FALSE,"ET-PAG5"}</definedName>
    <definedName name="miner2" hidden="1">{#N/A,#N/A,FALSE,"ET-CAPA";#N/A,#N/A,FALSE,"ET-PAG1";#N/A,#N/A,FALSE,"ET-PAG2";#N/A,#N/A,FALSE,"ET-PAG3";#N/A,#N/A,FALSE,"ET-PAG4";#N/A,#N/A,FALSE,"ET-PAG5"}</definedName>
    <definedName name="MINING" localSheetId="0">#REF!</definedName>
    <definedName name="MINING">#REF!</definedName>
    <definedName name="MINPGPELE" localSheetId="0">#REF!</definedName>
    <definedName name="MINPGPELE" localSheetId="2">#REF!</definedName>
    <definedName name="MINPGPELE">#REF!</definedName>
    <definedName name="MINPGPMEC">#REF!</definedName>
    <definedName name="Minproc" localSheetId="0">#REF!</definedName>
    <definedName name="Minproc">#REF!</definedName>
    <definedName name="Misc">#REF!</definedName>
    <definedName name="MIX">#REF!</definedName>
    <definedName name="MM" localSheetId="0" hidden="1">{#N/A,#N/A,FALSE,"GERAL";#N/A,#N/A,FALSE,"012-96";#N/A,#N/A,FALSE,"018-96";#N/A,#N/A,FALSE,"027-96";#N/A,#N/A,FALSE,"059-96";#N/A,#N/A,FALSE,"076-96";#N/A,#N/A,FALSE,"019-97";#N/A,#N/A,FALSE,"021-97";#N/A,#N/A,FALSE,"022-97";#N/A,#N/A,FALSE,"028-97"}</definedName>
    <definedName name="MM" localSheetId="2" hidden="1">{#N/A,#N/A,FALSE,"GERAL";#N/A,#N/A,FALSE,"012-96";#N/A,#N/A,FALSE,"018-96";#N/A,#N/A,FALSE,"027-96";#N/A,#N/A,FALSE,"059-96";#N/A,#N/A,FALSE,"076-96";#N/A,#N/A,FALSE,"019-97";#N/A,#N/A,FALSE,"021-97";#N/A,#N/A,FALSE,"022-97";#N/A,#N/A,FALSE,"028-97"}</definedName>
    <definedName name="MM" hidden="1">{#N/A,#N/A,FALSE,"GERAL";#N/A,#N/A,FALSE,"012-96";#N/A,#N/A,FALSE,"018-96";#N/A,#N/A,FALSE,"027-96";#N/A,#N/A,FALSE,"059-96";#N/A,#N/A,FALSE,"076-96";#N/A,#N/A,FALSE,"019-97";#N/A,#N/A,FALSE,"021-97";#N/A,#N/A,FALSE,"022-97";#N/A,#N/A,FALSE,"028-97"}</definedName>
    <definedName name="MmExcelLinker_4E7BD31E_65F0_440C_A162_0361D739B0FD" localSheetId="0">APR!Anexo IVA MAT DE #REF!</definedName>
    <definedName name="MmExcelLinker_4E7BD31E_65F0_440C_A162_0361D739B0FD" localSheetId="1">[0]!Anexo IVA MAT DE #REF!</definedName>
    <definedName name="MmExcelLinker_4E7BD31E_65F0_440C_A162_0361D739B0FD" localSheetId="3">[0]!Anexo IVA MAT DE #REF!</definedName>
    <definedName name="MmExcelLinker_4E7BD31E_65F0_440C_A162_0361D739B0FD" localSheetId="7">[0]!Anexo IVA MAT DE #REF!</definedName>
    <definedName name="MmExcelLinker_4E7BD31E_65F0_440C_A162_0361D739B0FD" localSheetId="2">Anexo IVA MAT DE #REF!</definedName>
    <definedName name="MmExcelLinker_4E7BD31E_65F0_440C_A162_0361D739B0FD" localSheetId="6">[0]!Anexo IVA MAT DE #REF!</definedName>
    <definedName name="MmExcelLinker_4E7BD31E_65F0_440C_A162_0361D739B0FD">Anexo IVA MAT DE #REF!</definedName>
    <definedName name="mmm" localSheetId="0">#REF!</definedName>
    <definedName name="mmm" localSheetId="2">QQP!mmm</definedName>
    <definedName name="mmm">#REF!</definedName>
    <definedName name="mmmmmm" localSheetId="0" hidden="1">{#N/A,#N/A,FALSE,"Total_OC015";#N/A,#N/A,FALSE,"ADMIN";#N/A,#N/A,FALSE,"PROCES";#N/A,#N/A,FALSE,"mecan";#N/A,#N/A,FALSE,"civil";#N/A,#N/A,FALSE,"CAÑER";#N/A,#N/A,FALSE,"ELEC";#N/A,#N/A,FALSE,"INSTR"}</definedName>
    <definedName name="mmmmmm" localSheetId="2" hidden="1">{#N/A,#N/A,FALSE,"Total_OC015";#N/A,#N/A,FALSE,"ADMIN";#N/A,#N/A,FALSE,"PROCES";#N/A,#N/A,FALSE,"mecan";#N/A,#N/A,FALSE,"civil";#N/A,#N/A,FALSE,"CAÑER";#N/A,#N/A,FALSE,"ELEC";#N/A,#N/A,FALSE,"INSTR"}</definedName>
    <definedName name="mmmmmm" hidden="1">{#N/A,#N/A,FALSE,"Total_OC015";#N/A,#N/A,FALSE,"ADMIN";#N/A,#N/A,FALSE,"PROCES";#N/A,#N/A,FALSE,"mecan";#N/A,#N/A,FALSE,"civil";#N/A,#N/A,FALSE,"CAÑER";#N/A,#N/A,FALSE,"ELEC";#N/A,#N/A,FALSE,"INSTR"}</definedName>
    <definedName name="MOAdm.Local" localSheetId="0">#REF!</definedName>
    <definedName name="MOAdm.Local">#REF!</definedName>
    <definedName name="MOAGEM" localSheetId="0">#REF!</definedName>
    <definedName name="MOAGEM">#REF!</definedName>
    <definedName name="MOBILIA" localSheetId="0">#REF!</definedName>
    <definedName name="MOBILIA">#REF!</definedName>
    <definedName name="mobrangelo">#REF!</definedName>
    <definedName name="Moedas" localSheetId="0">#REF!</definedName>
    <definedName name="Moedas" localSheetId="2">#REF!</definedName>
    <definedName name="Moedas">#REF!</definedName>
    <definedName name="MOLAS_AÇO" localSheetId="0">#REF!</definedName>
    <definedName name="MOLAS_AÇO">#REF!</definedName>
    <definedName name="MONEDAS" localSheetId="0">#REF!</definedName>
    <definedName name="MONEDAS">#REF!</definedName>
    <definedName name="Montagem" localSheetId="0">#REF!</definedName>
    <definedName name="Montagem">#REF!</definedName>
    <definedName name="monte" localSheetId="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2"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tor" localSheetId="0">#REF!</definedName>
    <definedName name="motor">#REF!</definedName>
    <definedName name="motor4" localSheetId="0">#REF!</definedName>
    <definedName name="motor4" localSheetId="2">#REF!</definedName>
    <definedName name="motor4">#REF!</definedName>
    <definedName name="motor6" localSheetId="0">#REF!</definedName>
    <definedName name="motor6" localSheetId="2">#REF!</definedName>
    <definedName name="motor6">#REF!</definedName>
    <definedName name="MTOT01.0250.0360" localSheetId="0">#REF!</definedName>
    <definedName name="MTOT01.0250.0360">#REF!</definedName>
    <definedName name="MTOT01.040.0010" localSheetId="0">#REF!</definedName>
    <definedName name="MTOT01.040.0010">#REF!</definedName>
    <definedName name="MTOT01.040.0020" localSheetId="0">#REF!</definedName>
    <definedName name="MTOT01.040.0020">#REF!</definedName>
    <definedName name="MTOT01.050.0010">#REF!</definedName>
    <definedName name="MTOT01.050.0020">#REF!</definedName>
    <definedName name="MTOT01.050.0040">#REF!</definedName>
    <definedName name="MTOT01.060.0020">#REF!</definedName>
    <definedName name="MTOT01.060.0040">#REF!</definedName>
    <definedName name="MTOT01.070.0040">#REF!</definedName>
    <definedName name="MTOT01.085.0020">#REF!</definedName>
    <definedName name="MTOT01.130.0930">#REF!</definedName>
    <definedName name="MTOT01.140.0020">#REF!</definedName>
    <definedName name="MTOT01.140.0130">#REF!</definedName>
    <definedName name="MTOT01.140.0380">#REF!</definedName>
    <definedName name="MTOT01.140.0880">#REF!</definedName>
    <definedName name="MTOT01.140.1270">#REF!</definedName>
    <definedName name="MTOT01.140.1350">#REF!</definedName>
    <definedName name="MTOT01.140.1680">#REF!</definedName>
    <definedName name="MTOT01.150.0030">#REF!</definedName>
    <definedName name="MTOT01.150.0130">#REF!</definedName>
    <definedName name="MTOT01.150.0210">#REF!</definedName>
    <definedName name="MTOT01.150.0240">#REF!</definedName>
    <definedName name="MTOT01.150.0590">#REF!</definedName>
    <definedName name="MTOT01.160.0070">#REF!</definedName>
    <definedName name="MTOT01.160.0140">#REF!</definedName>
    <definedName name="MTOT01.180.0290">#REF!</definedName>
    <definedName name="MTOT01.250.0310">#REF!</definedName>
    <definedName name="MTOT01.250.0320">#REF!</definedName>
    <definedName name="MTOT01.250.0340">#REF!</definedName>
    <definedName name="MTOT01.250.0360">#REF!</definedName>
    <definedName name="MTOT01.250.0390">#REF!</definedName>
    <definedName name="MTOT01.250.0410">#REF!</definedName>
    <definedName name="MTOT01.250.0470">#REF!</definedName>
    <definedName name="MTOT01.250.0560">#REF!</definedName>
    <definedName name="MTOT01.250.0620">#REF!</definedName>
    <definedName name="MTOT02.010.4306">#REF!</definedName>
    <definedName name="MTOT02.020.0040">#REF!</definedName>
    <definedName name="MTOT02.020.0050">#REF!</definedName>
    <definedName name="MTOT02.020.0070">#REF!</definedName>
    <definedName name="MTOT02.020.0080">#REF!</definedName>
    <definedName name="MTOT02.040.0191">#REF!</definedName>
    <definedName name="MTOT02.040.0225">#REF!</definedName>
    <definedName name="MTOT02.040.0233">#REF!</definedName>
    <definedName name="MTOT02.040.0255">#REF!</definedName>
    <definedName name="MTOT02.040.0730">#REF!</definedName>
    <definedName name="MTOT02.040.0930">#REF!</definedName>
    <definedName name="MTOT02.040.0990">#REF!</definedName>
    <definedName name="MTOT02.040.1040">#REF!</definedName>
    <definedName name="MTOT02.040.1080">#REF!</definedName>
    <definedName name="MTOT02.040.1170">#REF!</definedName>
    <definedName name="MTOT02.040.3860">#REF!</definedName>
    <definedName name="MTOT02.040.4190">#REF!</definedName>
    <definedName name="MTOT02.040.4210">#REF!</definedName>
    <definedName name="MTOT02.040.4280">#REF!</definedName>
    <definedName name="MTOT02.040.4320">#REF!</definedName>
    <definedName name="MTOT02.040.4350">#REF!</definedName>
    <definedName name="MTOT02.040.4509">#REF!</definedName>
    <definedName name="MTOT02.040.4540">#REF!</definedName>
    <definedName name="MTOT02.040.4580">#REF!</definedName>
    <definedName name="MTOT02.040.4610">#REF!</definedName>
    <definedName name="MTOT02.040.4730">#REF!</definedName>
    <definedName name="MTOT02.040.4820">#REF!</definedName>
    <definedName name="MTOT02.040.7618">#REF!</definedName>
    <definedName name="MTOT02.040.7639">#REF!</definedName>
    <definedName name="MTOT02.040.7720">#REF!</definedName>
    <definedName name="MTOT02.040.9746">#REF!</definedName>
    <definedName name="MTOT02.040.9833">#REF!</definedName>
    <definedName name="MTOT02.110.0106">#REF!</definedName>
    <definedName name="MTOT02.110.0110">#REF!</definedName>
    <definedName name="MTOT02.110.0140">#REF!</definedName>
    <definedName name="MTOT02.110.0146">#REF!</definedName>
    <definedName name="MTOT02.110.0150">#REF!</definedName>
    <definedName name="MTOT02.110.0614">#REF!</definedName>
    <definedName name="MTOT02.110.0630">#REF!</definedName>
    <definedName name="MTOT02.110.0734">#REF!</definedName>
    <definedName name="MTOT02.110.0740">#REF!</definedName>
    <definedName name="MTOT02.110.0742">#REF!</definedName>
    <definedName name="MTOT02.110.0746">#REF!</definedName>
    <definedName name="MTOT02.110.0750">#REF!</definedName>
    <definedName name="MTOT02.110.1146">#REF!</definedName>
    <definedName name="MTOT02.110.1414">#REF!</definedName>
    <definedName name="MTOT02.110.1420">#REF!</definedName>
    <definedName name="MTOT02.110.1660">#REF!</definedName>
    <definedName name="MTOT02.110.1662">#REF!</definedName>
    <definedName name="MTOT02.110.1666">#REF!</definedName>
    <definedName name="MTOT02.110.1872">#REF!</definedName>
    <definedName name="MTOT02.110.1880">#REF!</definedName>
    <definedName name="MTOT02.110.1974">#REF!</definedName>
    <definedName name="MTOT02.110.2008">#REF!</definedName>
    <definedName name="MTOT02.110.2066">#REF!</definedName>
    <definedName name="MTOT02.110.2294">#REF!</definedName>
    <definedName name="MTOT02.110.2304">#REF!</definedName>
    <definedName name="MTOT02.110.2310">#REF!</definedName>
    <definedName name="MTOT02.110.2784">#REF!</definedName>
    <definedName name="MTOT02.110.2796">#REF!</definedName>
    <definedName name="MTOT02.110.2798">#REF!</definedName>
    <definedName name="MTOT02.110.2800">#REF!</definedName>
    <definedName name="MTOT02.110.3910">#REF!</definedName>
    <definedName name="MTOT02.110.3912">#REF!</definedName>
    <definedName name="MTOT02.110.3928">#REF!</definedName>
    <definedName name="MTOT02.110.3930">#REF!</definedName>
    <definedName name="MTOT02.110.3940">#REF!</definedName>
    <definedName name="MTOT02.110.4288">#REF!</definedName>
    <definedName name="MTOT02.110.4304">#REF!</definedName>
    <definedName name="MTOT02.110.4312">#REF!</definedName>
    <definedName name="MTOT02.110.4314">#REF!</definedName>
    <definedName name="MTOT02.110.4488">#REF!</definedName>
    <definedName name="MTOT02.110.4536">#REF!</definedName>
    <definedName name="MTOT02.120.0060">#REF!</definedName>
    <definedName name="MTOT02.120.0070">#REF!</definedName>
    <definedName name="MTOT02.120.0090">#REF!</definedName>
    <definedName name="MTOT02.130.0050">#REF!</definedName>
    <definedName name="MTOT02.130.0080">#REF!</definedName>
    <definedName name="MTOT02.130.1018">#REF!</definedName>
    <definedName name="MTOT02.130.1055">#REF!</definedName>
    <definedName name="MTOT02.140.1200">#REF!</definedName>
    <definedName name="MTOT02.210.0090">#REF!</definedName>
    <definedName name="MTOT02.210.0110">#REF!</definedName>
    <definedName name="MTOT02.210.0310">#REF!</definedName>
    <definedName name="MTOT02.210.0340">#REF!</definedName>
    <definedName name="MTOT02.210.0350">#REF!</definedName>
    <definedName name="MTOT02.210.0370">#REF!</definedName>
    <definedName name="MTOT02.210.0380">#REF!</definedName>
    <definedName name="MTOT02.210.0390">#REF!</definedName>
    <definedName name="MTOT02.210.1609">#REF!</definedName>
    <definedName name="MTOT02.210.1620">#REF!</definedName>
    <definedName name="MTOT02.210.1625">#REF!</definedName>
    <definedName name="MTOT02.210.1630">#REF!</definedName>
    <definedName name="MTOT02.210.1637">#REF!</definedName>
    <definedName name="MTOT02.210.2930">#REF!</definedName>
    <definedName name="MTOT03.020.0010">#REF!</definedName>
    <definedName name="MTOT03.020.0500">#REF!</definedName>
    <definedName name="MTOT03.020.0510">#REF!</definedName>
    <definedName name="MTOT03.020.0660">#REF!</definedName>
    <definedName name="MTOT03.020.0680">#REF!</definedName>
    <definedName name="MTOT05.120.0020">#REF!</definedName>
    <definedName name="MTOT11.010.0046">#REF!</definedName>
    <definedName name="MTOT11.010.0378">#REF!</definedName>
    <definedName name="MTOT28.120.0067">#REF!</definedName>
    <definedName name="MTOT28.120.0087">#REF!</definedName>
    <definedName name="MTOTCOTADO01">#REF!</definedName>
    <definedName name="MTOTCOTADO02">#REF!</definedName>
    <definedName name="MTOTCOTADO03">#REF!</definedName>
    <definedName name="Mult" localSheetId="0">#REF!</definedName>
    <definedName name="Mult">#REF!</definedName>
    <definedName name="Multa_FGTS" localSheetId="0">#REF!</definedName>
    <definedName name="Multa_FGTS">#REF!</definedName>
    <definedName name="MULTIPLICADOR" localSheetId="0">#REF!</definedName>
    <definedName name="MULTIPLICADOR">#REF!</definedName>
    <definedName name="Multiplier">#REF!</definedName>
    <definedName name="myRange" localSheetId="0">#REF!</definedName>
    <definedName name="myRange">#REF!</definedName>
    <definedName name="N4E" localSheetId="0">#REF!</definedName>
    <definedName name="N4E">#REF!</definedName>
    <definedName name="N4WC" localSheetId="0">#REF!</definedName>
    <definedName name="N4WC">#REF!</definedName>
    <definedName name="N4WN" localSheetId="0">#REF!</definedName>
    <definedName name="N4WN">#REF!</definedName>
    <definedName name="N5200100">#REF!</definedName>
    <definedName name="N5203900">#REF!</definedName>
    <definedName name="N5213300">#REF!</definedName>
    <definedName name="N5216100">#REF!</definedName>
    <definedName name="N5216200">#REF!</definedName>
    <definedName name="N5219100">#REF!</definedName>
    <definedName name="N5226200">#REF!</definedName>
    <definedName name="N5245600">#REF!</definedName>
    <definedName name="N5246100">#REF!</definedName>
    <definedName name="N5246500">#REF!</definedName>
    <definedName name="N5246600">#REF!</definedName>
    <definedName name="N5246700">#REF!</definedName>
    <definedName name="N5246900">#REF!</definedName>
    <definedName name="N5246900_OUTROS">#REF!</definedName>
    <definedName name="N5264100">#REF!</definedName>
    <definedName name="N5270200">#REF!</definedName>
    <definedName name="N5270700">#REF!</definedName>
    <definedName name="N5280100">#REF!</definedName>
    <definedName name="N5281900">#REF!</definedName>
    <definedName name="N5E" localSheetId="0">#REF!</definedName>
    <definedName name="N5E">#REF!</definedName>
    <definedName name="N5W" localSheetId="0">#REF!</definedName>
    <definedName name="N5W">#REF!</definedName>
    <definedName name="n5wa" localSheetId="0">#REF!</definedName>
    <definedName name="n5wa">#REF!</definedName>
    <definedName name="name" localSheetId="0">#REF!</definedName>
    <definedName name="name">#REF!</definedName>
    <definedName name="Não" localSheetId="0">#REF!</definedName>
    <definedName name="Não">#REF!</definedName>
    <definedName name="NewMatrix" localSheetId="0">#REF!</definedName>
    <definedName name="NewMatrix">#REF!</definedName>
    <definedName name="NewMatrix2004" localSheetId="0">#REF!</definedName>
    <definedName name="NewMatrix2004">#REF!</definedName>
    <definedName name="ninefive" localSheetId="0">#REF!</definedName>
    <definedName name="ninefive">#REF!</definedName>
    <definedName name="ninefour" localSheetId="0">#REF!</definedName>
    <definedName name="ninefour">#REF!</definedName>
    <definedName name="ninenine" localSheetId="0">#REF!</definedName>
    <definedName name="ninenine">#REF!</definedName>
    <definedName name="nineseven" localSheetId="0">#REF!</definedName>
    <definedName name="nineseven">#REF!</definedName>
    <definedName name="ninesix" localSheetId="0">#REF!</definedName>
    <definedName name="ninesix">#REF!</definedName>
    <definedName name="ninethree" localSheetId="0">#REF!</definedName>
    <definedName name="ninethree">#REF!</definedName>
    <definedName name="ññ" localSheetId="0" hidden="1">{#N/A,#N/A,FALSE,"Total_OC015";#N/A,#N/A,FALSE,"ADMIN";#N/A,#N/A,FALSE,"PROCES";#N/A,#N/A,FALSE,"mecan";#N/A,#N/A,FALSE,"civil";#N/A,#N/A,FALSE,"CAÑER";#N/A,#N/A,FALSE,"ELEC";#N/A,#N/A,FALSE,"INSTR"}</definedName>
    <definedName name="ññ" localSheetId="2" hidden="1">{#N/A,#N/A,FALSE,"Total_OC015";#N/A,#N/A,FALSE,"ADMIN";#N/A,#N/A,FALSE,"PROCES";#N/A,#N/A,FALSE,"mecan";#N/A,#N/A,FALSE,"civil";#N/A,#N/A,FALSE,"CAÑER";#N/A,#N/A,FALSE,"ELEC";#N/A,#N/A,FALSE,"INSTR"}</definedName>
    <definedName name="ññ" hidden="1">{#N/A,#N/A,FALSE,"Total_OC015";#N/A,#N/A,FALSE,"ADMIN";#N/A,#N/A,FALSE,"PROCES";#N/A,#N/A,FALSE,"mecan";#N/A,#N/A,FALSE,"civil";#N/A,#N/A,FALSE,"CAÑER";#N/A,#N/A,FALSE,"ELEC";#N/A,#N/A,FALSE,"INSTR"}</definedName>
    <definedName name="nnnnn" localSheetId="0" hidden="1">{#N/A,#N/A,FALSE,"Total_OC015";#N/A,#N/A,FALSE,"ADMIN";#N/A,#N/A,FALSE,"PROCES";#N/A,#N/A,FALSE,"mecan";#N/A,#N/A,FALSE,"civil";#N/A,#N/A,FALSE,"CAÑER";#N/A,#N/A,FALSE,"ELEC";#N/A,#N/A,FALSE,"INSTR"}</definedName>
    <definedName name="nnnnn" localSheetId="2" hidden="1">{#N/A,#N/A,FALSE,"Total_OC015";#N/A,#N/A,FALSE,"ADMIN";#N/A,#N/A,FALSE,"PROCES";#N/A,#N/A,FALSE,"mecan";#N/A,#N/A,FALSE,"civil";#N/A,#N/A,FALSE,"CAÑER";#N/A,#N/A,FALSE,"ELEC";#N/A,#N/A,FALSE,"INSTR"}</definedName>
    <definedName name="nnnnn" hidden="1">{#N/A,#N/A,FALSE,"Total_OC015";#N/A,#N/A,FALSE,"ADMIN";#N/A,#N/A,FALSE,"PROCES";#N/A,#N/A,FALSE,"mecan";#N/A,#N/A,FALSE,"civil";#N/A,#N/A,FALSE,"CAÑER";#N/A,#N/A,FALSE,"ELEC";#N/A,#N/A,FALSE,"INSTR"}</definedName>
    <definedName name="NO" localSheetId="0">#REF!</definedName>
    <definedName name="NO">#REF!</definedName>
    <definedName name="NºChicanas" localSheetId="0">#REF!</definedName>
    <definedName name="NºChicanas">#REF!</definedName>
    <definedName name="Nombre" localSheetId="0">#REF!</definedName>
    <definedName name="Nombre">#REF!</definedName>
    <definedName name="nome" localSheetId="0">#REF!</definedName>
    <definedName name="nome">#REF!</definedName>
    <definedName name="nome_obra" localSheetId="0">#REF!</definedName>
    <definedName name="nome_obra">#REF!</definedName>
    <definedName name="NOME2" localSheetId="0"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2" localSheetId="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3" localSheetId="0"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3" localSheetId="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4" localSheetId="0"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4" localSheetId="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4"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5" localSheetId="0"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5" localSheetId="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nDeliverables" localSheetId="0">#REF!</definedName>
    <definedName name="NonDeliverables">#REF!</definedName>
    <definedName name="nose" localSheetId="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2"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1" localSheetId="0" hidden="1">{#N/A,#N/A,FALSE,"Matrix";#N/A,#N/A,FALSE,"Executive";#N/A,#N/A,FALSE,"Summary";#N/A,#N/A,FALSE,"Office1";#N/A,#N/A,FALSE,"Office2";#N/A,#N/A,FALSE,"Office3";#N/A,#N/A,FALSE,"Office4";#N/A,#N/A,FALSE,"Office5";#N/A,#N/A,FALSE,"Office6";#N/A,#N/A,FALSE,"Office7";#N/A,#N/A,FALSE,"Labor"}</definedName>
    <definedName name="nose1" localSheetId="2" hidden="1">{#N/A,#N/A,FALSE,"Matrix";#N/A,#N/A,FALSE,"Executive";#N/A,#N/A,FALSE,"Summary";#N/A,#N/A,FALSE,"Office1";#N/A,#N/A,FALSE,"Office2";#N/A,#N/A,FALSE,"Office3";#N/A,#N/A,FALSE,"Office4";#N/A,#N/A,FALSE,"Office5";#N/A,#N/A,FALSE,"Office6";#N/A,#N/A,FALSE,"Office7";#N/A,#N/A,FALSE,"Labor"}</definedName>
    <definedName name="nose1" hidden="1">{#N/A,#N/A,FALSE,"Matrix";#N/A,#N/A,FALSE,"Executive";#N/A,#N/A,FALSE,"Summary";#N/A,#N/A,FALSE,"Office1";#N/A,#N/A,FALSE,"Office2";#N/A,#N/A,FALSE,"Office3";#N/A,#N/A,FALSE,"Office4";#N/A,#N/A,FALSE,"Office5";#N/A,#N/A,FALSE,"Office6";#N/A,#N/A,FALSE,"Office7";#N/A,#N/A,FALSE,"Labor"}</definedName>
    <definedName name="nose2" localSheetId="0" hidden="1">{#N/A,#N/A,FALSE,"E-1";#N/A,#N/A,FALSE,"E-2";#N/A,#N/A,FALSE,"F-1";#N/A,#N/A,FALSE,"F-2";#N/A,#N/A,FALSE,"F-3";#N/A,#N/A,FALSE,"F-4";#N/A,#N/A,FALSE,"F-5";#N/A,#N/A,FALSE,"F-6";#N/A,#N/A,FALSE,"Matrix"}</definedName>
    <definedName name="nose2" localSheetId="2" hidden="1">{#N/A,#N/A,FALSE,"E-1";#N/A,#N/A,FALSE,"E-2";#N/A,#N/A,FALSE,"F-1";#N/A,#N/A,FALSE,"F-2";#N/A,#N/A,FALSE,"F-3";#N/A,#N/A,FALSE,"F-4";#N/A,#N/A,FALSE,"F-5";#N/A,#N/A,FALSE,"F-6";#N/A,#N/A,FALSE,"Matrix"}</definedName>
    <definedName name="nose2" hidden="1">{#N/A,#N/A,FALSE,"E-1";#N/A,#N/A,FALSE,"E-2";#N/A,#N/A,FALSE,"F-1";#N/A,#N/A,FALSE,"F-2";#N/A,#N/A,FALSE,"F-3";#N/A,#N/A,FALSE,"F-4";#N/A,#N/A,FALSE,"F-5";#N/A,#N/A,FALSE,"F-6";#N/A,#N/A,FALSE,"Matrix"}</definedName>
    <definedName name="nose3" localSheetId="0" hidden="1">{#N/A,#N/A,FALSE,"Matrix";#N/A,#N/A,FALSE,"Executive";#N/A,#N/A,FALSE,"Summary"}</definedName>
    <definedName name="nose3" localSheetId="2" hidden="1">{#N/A,#N/A,FALSE,"Matrix";#N/A,#N/A,FALSE,"Executive";#N/A,#N/A,FALSE,"Summary"}</definedName>
    <definedName name="nose3" hidden="1">{#N/A,#N/A,FALSE,"Matrix";#N/A,#N/A,FALSE,"Executive";#N/A,#N/A,FALSE,"Summary"}</definedName>
    <definedName name="NOV" localSheetId="0">#REF!</definedName>
    <definedName name="NOV">#REF!</definedName>
    <definedName name="nova" localSheetId="0" hidden="1">{#N/A,#N/A,FALSE,"ET-CAPA";#N/A,#N/A,FALSE,"ET-PAG1";#N/A,#N/A,FALSE,"ET-PAG2";#N/A,#N/A,FALSE,"ET-PAG3";#N/A,#N/A,FALSE,"ET-PAG4";#N/A,#N/A,FALSE,"ET-PAG5"}</definedName>
    <definedName name="nova" localSheetId="2" hidden="1">{#N/A,#N/A,FALSE,"ET-CAPA";#N/A,#N/A,FALSE,"ET-PAG1";#N/A,#N/A,FALSE,"ET-PAG2";#N/A,#N/A,FALSE,"ET-PAG3";#N/A,#N/A,FALSE,"ET-PAG4";#N/A,#N/A,FALSE,"ET-PAG5"}</definedName>
    <definedName name="nova" hidden="1">{#N/A,#N/A,FALSE,"ET-CAPA";#N/A,#N/A,FALSE,"ET-PAG1";#N/A,#N/A,FALSE,"ET-PAG2";#N/A,#N/A,FALSE,"ET-PAG3";#N/A,#N/A,FALSE,"ET-PAG4";#N/A,#N/A,FALSE,"ET-PAG5"}</definedName>
    <definedName name="Nove" localSheetId="0">#REF!</definedName>
    <definedName name="Nove">#REF!</definedName>
    <definedName name="NOVO" localSheetId="0" hidden="1">{#N/A,#N/A,FALSE,"GERAL";#N/A,#N/A,FALSE,"012-96";#N/A,#N/A,FALSE,"018-96";#N/A,#N/A,FALSE,"027-96";#N/A,#N/A,FALSE,"059-96";#N/A,#N/A,FALSE,"076-96";#N/A,#N/A,FALSE,"019-97";#N/A,#N/A,FALSE,"021-97";#N/A,#N/A,FALSE,"022-97";#N/A,#N/A,FALSE,"028-97"}</definedName>
    <definedName name="NOVO" localSheetId="2" hidden="1">{#N/A,#N/A,FALSE,"GERAL";#N/A,#N/A,FALSE,"012-96";#N/A,#N/A,FALSE,"018-96";#N/A,#N/A,FALSE,"027-96";#N/A,#N/A,FALSE,"059-96";#N/A,#N/A,FALSE,"076-96";#N/A,#N/A,FALSE,"019-97";#N/A,#N/A,FALSE,"021-97";#N/A,#N/A,FALSE,"022-97";#N/A,#N/A,FALSE,"028-97"}</definedName>
    <definedName name="NOVO" hidden="1">{#N/A,#N/A,FALSE,"GERAL";#N/A,#N/A,FALSE,"012-96";#N/A,#N/A,FALSE,"018-96";#N/A,#N/A,FALSE,"027-96";#N/A,#N/A,FALSE,"059-96";#N/A,#N/A,FALSE,"076-96";#N/A,#N/A,FALSE,"019-97";#N/A,#N/A,FALSE,"021-97";#N/A,#N/A,FALSE,"022-97";#N/A,#N/A,FALSE,"028-97"}</definedName>
    <definedName name="nro_medicao" localSheetId="0">#REF!</definedName>
    <definedName name="nro_medicao">#REF!</definedName>
    <definedName name="NUM" localSheetId="0">#REF!</definedName>
    <definedName name="NUM">#REF!</definedName>
    <definedName name="num_des_doc" localSheetId="0">#REF!</definedName>
    <definedName name="num_des_doc">#REF!</definedName>
    <definedName name="num_linhas" localSheetId="0">#REF!</definedName>
    <definedName name="num_linhas">#REF!</definedName>
    <definedName name="NúmeroFuncionários" localSheetId="0">#REF!</definedName>
    <definedName name="NúmeroFuncionários">#REF!</definedName>
    <definedName name="nvd" localSheetId="0">#REF!</definedName>
    <definedName name="nvd" localSheetId="2">#REF!</definedName>
    <definedName name="nvd">#REF!</definedName>
    <definedName name="nwr" localSheetId="0" hidden="1">{#N/A,#N/A,FALSE,"GERAL";#N/A,#N/A,FALSE,"012-96";#N/A,#N/A,FALSE,"018-96";#N/A,#N/A,FALSE,"027-96";#N/A,#N/A,FALSE,"059-96";#N/A,#N/A,FALSE,"076-96";#N/A,#N/A,FALSE,"019-97";#N/A,#N/A,FALSE,"021-97";#N/A,#N/A,FALSE,"022-97";#N/A,#N/A,FALSE,"028-97"}</definedName>
    <definedName name="nwr" localSheetId="2" hidden="1">{#N/A,#N/A,FALSE,"GERAL";#N/A,#N/A,FALSE,"012-96";#N/A,#N/A,FALSE,"018-96";#N/A,#N/A,FALSE,"027-96";#N/A,#N/A,FALSE,"059-96";#N/A,#N/A,FALSE,"076-96";#N/A,#N/A,FALSE,"019-97";#N/A,#N/A,FALSE,"021-97";#N/A,#N/A,FALSE,"022-97";#N/A,#N/A,FALSE,"028-97"}</definedName>
    <definedName name="nwr" hidden="1">{#N/A,#N/A,FALSE,"GERAL";#N/A,#N/A,FALSE,"012-96";#N/A,#N/A,FALSE,"018-96";#N/A,#N/A,FALSE,"027-96";#N/A,#N/A,FALSE,"059-96";#N/A,#N/A,FALSE,"076-96";#N/A,#N/A,FALSE,"019-97";#N/A,#N/A,FALSE,"021-97";#N/A,#N/A,FALSE,"022-97";#N/A,#N/A,FALSE,"028-97"}</definedName>
    <definedName name="o" localSheetId="0">#REF!</definedName>
    <definedName name="o">#REF!</definedName>
    <definedName name="objeto" localSheetId="0">#REF!</definedName>
    <definedName name="objeto">#REF!</definedName>
    <definedName name="OBRA" localSheetId="0">#REF!</definedName>
    <definedName name="OBRA">#REF!</definedName>
    <definedName name="OCem">"cem"</definedName>
    <definedName name="OD" localSheetId="0">#REF!</definedName>
    <definedName name="OD">#REF!</definedName>
    <definedName name="oe_br_oia_tac" localSheetId="0">#REF!</definedName>
    <definedName name="oe_br_oia_tac">#REF!</definedName>
    <definedName name="oe_br_sp_tac" localSheetId="0">#REF!</definedName>
    <definedName name="oe_br_sp_tac">#REF!</definedName>
    <definedName name="oe_ca_oia_tac" localSheetId="0">#REF!</definedName>
    <definedName name="oe_ca_oia_tac">#REF!</definedName>
    <definedName name="oe_ca_sp_tac" localSheetId="0">#REF!</definedName>
    <definedName name="oe_ca_sp_tac">#REF!</definedName>
    <definedName name="oe_ctt" localSheetId="0">#REF!</definedName>
    <definedName name="oe_ctt">#REF!</definedName>
    <definedName name="OFFICE_DATA" localSheetId="0">#REF!</definedName>
    <definedName name="OFFICE_DATA">#REF!</definedName>
    <definedName name="Office1TotalBurdenCost" localSheetId="0">#REF!</definedName>
    <definedName name="Office1TotalBurdenCost">#REF!</definedName>
    <definedName name="Office1TotalHours" localSheetId="0">#REF!</definedName>
    <definedName name="Office1TotalHours">#REF!</definedName>
    <definedName name="Office1TotalMonths" localSheetId="0">#REF!</definedName>
    <definedName name="Office1TotalMonths">#REF!</definedName>
    <definedName name="Office1TotalPRCost" localSheetId="0">#REF!</definedName>
    <definedName name="Office1TotalPRCost">#REF!</definedName>
    <definedName name="Office1TotalRevenue" localSheetId="0">#REF!</definedName>
    <definedName name="Office1TotalRevenue">#REF!</definedName>
    <definedName name="Office2TotalBurdenCost" localSheetId="0">#REF!</definedName>
    <definedName name="Office2TotalBurdenCost">#REF!</definedName>
    <definedName name="Office2TotalHours" localSheetId="0">#REF!</definedName>
    <definedName name="Office2TotalHours">#REF!</definedName>
    <definedName name="Office2TotalMonths" localSheetId="0">#REF!</definedName>
    <definedName name="Office2TotalMonths">#REF!</definedName>
    <definedName name="Office2TotalPRCost" localSheetId="0">#REF!</definedName>
    <definedName name="Office2TotalPRCost">#REF!</definedName>
    <definedName name="Office2TotalRevenue" localSheetId="0">#REF!</definedName>
    <definedName name="Office2TotalRevenue">#REF!</definedName>
    <definedName name="Office3TotalBurdenCost" localSheetId="0">#REF!</definedName>
    <definedName name="Office3TotalBurdenCost">#REF!</definedName>
    <definedName name="Office3TotalHours" localSheetId="0">#REF!</definedName>
    <definedName name="Office3TotalHours">#REF!</definedName>
    <definedName name="Office3TotalMonths" localSheetId="0">#REF!</definedName>
    <definedName name="Office3TotalMonths">#REF!</definedName>
    <definedName name="Office3TotalPRCost" localSheetId="0">#REF!</definedName>
    <definedName name="Office3TotalPRCost">#REF!</definedName>
    <definedName name="Office3TotalRevenue" localSheetId="0">#REF!</definedName>
    <definedName name="Office3TotalRevenue">#REF!</definedName>
    <definedName name="Office4TotalBurdenCost" localSheetId="0">#REF!</definedName>
    <definedName name="Office4TotalBurdenCost">#REF!</definedName>
    <definedName name="Office4TotalHours" localSheetId="0">#REF!</definedName>
    <definedName name="Office4TotalHours">#REF!</definedName>
    <definedName name="Office4TotalMonths" localSheetId="0">#REF!</definedName>
    <definedName name="Office4TotalMonths">#REF!</definedName>
    <definedName name="Office4TotalPRCost" localSheetId="0">#REF!</definedName>
    <definedName name="Office4TotalPRCost">#REF!</definedName>
    <definedName name="Office4TotalRevenue" localSheetId="0">#REF!</definedName>
    <definedName name="Office4TotalRevenue">#REF!</definedName>
    <definedName name="Office5TotalBurdenCost" localSheetId="0">#REF!</definedName>
    <definedName name="Office5TotalBurdenCost">#REF!</definedName>
    <definedName name="Office5TotalHours" localSheetId="0">#REF!</definedName>
    <definedName name="Office5TotalHours">#REF!</definedName>
    <definedName name="Office5TotalMonths" localSheetId="0">#REF!</definedName>
    <definedName name="Office5TotalMonths">#REF!</definedName>
    <definedName name="Office5TotalPRCost" localSheetId="0">#REF!</definedName>
    <definedName name="Office5TotalPRCost">#REF!</definedName>
    <definedName name="Office5TotalRevenue" localSheetId="0">#REF!</definedName>
    <definedName name="Office5TotalRevenue">#REF!</definedName>
    <definedName name="Office6TotalBurdenCost" localSheetId="0">#REF!</definedName>
    <definedName name="Office6TotalBurdenCost">#REF!</definedName>
    <definedName name="Office6TotalHours" localSheetId="0">#REF!</definedName>
    <definedName name="Office6TotalHours">#REF!</definedName>
    <definedName name="Office6TotalMonths" localSheetId="0">#REF!</definedName>
    <definedName name="Office6TotalMonths">#REF!</definedName>
    <definedName name="Office6TotalPRCost" localSheetId="0">#REF!</definedName>
    <definedName name="Office6TotalPRCost">#REF!</definedName>
    <definedName name="Office6TotalRevenue" localSheetId="0">#REF!</definedName>
    <definedName name="Office6TotalRevenue">#REF!</definedName>
    <definedName name="Office7StaffAverage" localSheetId="0">#REF!</definedName>
    <definedName name="Office7StaffAverage">#REF!</definedName>
    <definedName name="Office7StaffPeak" localSheetId="0">#REF!</definedName>
    <definedName name="Office7StaffPeak">#REF!</definedName>
    <definedName name="Office7TotalBurdenCost" localSheetId="0">#REF!</definedName>
    <definedName name="Office7TotalBurdenCost">#REF!</definedName>
    <definedName name="Office7TotalHours" localSheetId="0">#REF!</definedName>
    <definedName name="Office7TotalHours">#REF!</definedName>
    <definedName name="Office7TotalMonths" localSheetId="0">#REF!</definedName>
    <definedName name="Office7TotalMonths">#REF!</definedName>
    <definedName name="Office7TotalPRCost" localSheetId="0">#REF!</definedName>
    <definedName name="Office7TotalPRCost">#REF!</definedName>
    <definedName name="Office7TotalRevenue" localSheetId="0">#REF!</definedName>
    <definedName name="Office7TotalRevenue">#REF!</definedName>
    <definedName name="OffSite" localSheetId="0">#REF!</definedName>
    <definedName name="OffSite">#REF!</definedName>
    <definedName name="oh" localSheetId="0">#REF!</definedName>
    <definedName name="oh">#REF!</definedName>
    <definedName name="ok" localSheetId="0" hidden="1">#REF!</definedName>
    <definedName name="ok" hidden="1">#REF!</definedName>
    <definedName name="OLA" localSheetId="0">#REF!</definedName>
    <definedName name="OLA">#REF!</definedName>
    <definedName name="OneA" localSheetId="0">#REF!</definedName>
    <definedName name="OneA">#REF!</definedName>
    <definedName name="OneB" localSheetId="0">#REF!</definedName>
    <definedName name="OneB">#REF!</definedName>
    <definedName name="OneC" localSheetId="0">#REF!</definedName>
    <definedName name="OneC">#REF!</definedName>
    <definedName name="OneD" localSheetId="0">#REF!</definedName>
    <definedName name="OneD">#REF!</definedName>
    <definedName name="OneE" localSheetId="0">#REF!</definedName>
    <definedName name="OneE">#REF!</definedName>
    <definedName name="OneF" localSheetId="0">#REF!</definedName>
    <definedName name="OneF">#REF!</definedName>
    <definedName name="onefive" localSheetId="0">#REF!</definedName>
    <definedName name="onefive">#REF!</definedName>
    <definedName name="onefour" localSheetId="0">#REF!</definedName>
    <definedName name="onefour">#REF!</definedName>
    <definedName name="OneG" localSheetId="0">#REF!</definedName>
    <definedName name="OneG">#REF!</definedName>
    <definedName name="OneH" localSheetId="0">#REF!</definedName>
    <definedName name="OneH">#REF!</definedName>
    <definedName name="OneI" localSheetId="0">#REF!</definedName>
    <definedName name="OneI">#REF!</definedName>
    <definedName name="OneJ" localSheetId="0">#REF!</definedName>
    <definedName name="OneJ">#REF!</definedName>
    <definedName name="OneK" localSheetId="0">#REF!</definedName>
    <definedName name="OneK">#REF!</definedName>
    <definedName name="OneL" localSheetId="0">#REF!</definedName>
    <definedName name="OneL">#REF!</definedName>
    <definedName name="OneM" localSheetId="0">#REF!</definedName>
    <definedName name="OneM">#REF!</definedName>
    <definedName name="oneone" localSheetId="0">#REF!</definedName>
    <definedName name="oneone">#REF!</definedName>
    <definedName name="onethree" localSheetId="0">#REF!</definedName>
    <definedName name="onethree">#REF!</definedName>
    <definedName name="onetwo" localSheetId="0">#REF!</definedName>
    <definedName name="onetwo">#REF!</definedName>
    <definedName name="onezero" localSheetId="0">#REF!</definedName>
    <definedName name="onezero">#REF!</definedName>
    <definedName name="Ônibus" localSheetId="0">#REF!</definedName>
    <definedName name="Ônibus">#REF!</definedName>
    <definedName name="OnSite" localSheetId="0">#REF!</definedName>
    <definedName name="OnSite">#REF!</definedName>
    <definedName name="oo" localSheetId="0" hidden="1">{#N/A,#N/A,FALSE,"Total_OC015";#N/A,#N/A,FALSE,"ADMIN";#N/A,#N/A,FALSE,"PROCES";#N/A,#N/A,FALSE,"mecan";#N/A,#N/A,FALSE,"civil";#N/A,#N/A,FALSE,"CAÑER";#N/A,#N/A,FALSE,"ELEC";#N/A,#N/A,FALSE,"INSTR"}</definedName>
    <definedName name="oo" localSheetId="2" hidden="1">{#N/A,#N/A,FALSE,"Total_OC015";#N/A,#N/A,FALSE,"ADMIN";#N/A,#N/A,FALSE,"PROCES";#N/A,#N/A,FALSE,"mecan";#N/A,#N/A,FALSE,"civil";#N/A,#N/A,FALSE,"CAÑER";#N/A,#N/A,FALSE,"ELEC";#N/A,#N/A,FALSE,"INSTR"}</definedName>
    <definedName name="oo" hidden="1">{#N/A,#N/A,FALSE,"Total_OC015";#N/A,#N/A,FALSE,"ADMIN";#N/A,#N/A,FALSE,"PROCES";#N/A,#N/A,FALSE,"mecan";#N/A,#N/A,FALSE,"civil";#N/A,#N/A,FALSE,"CAÑER";#N/A,#N/A,FALSE,"ELEC";#N/A,#N/A,FALSE,"INSTR"}</definedName>
    <definedName name="Opcao" localSheetId="0">#REF!</definedName>
    <definedName name="Opcao">#REF!</definedName>
    <definedName name="OPERAÇÃO_ASSISTIDA" localSheetId="0">#REF!</definedName>
    <definedName name="OPERAÇÃO_ASSISTIDA">#REF!</definedName>
    <definedName name="opopopo" localSheetId="0" hidden="1">{#N/A,#N/A,FALSE,"Total_OC015";#N/A,#N/A,FALSE,"ADMIN";#N/A,#N/A,FALSE,"PROCES";#N/A,#N/A,FALSE,"mecan";#N/A,#N/A,FALSE,"civil";#N/A,#N/A,FALSE,"CAÑER";#N/A,#N/A,FALSE,"ELEC";#N/A,#N/A,FALSE,"INSTR"}</definedName>
    <definedName name="opopopo" localSheetId="2" hidden="1">{#N/A,#N/A,FALSE,"Total_OC015";#N/A,#N/A,FALSE,"ADMIN";#N/A,#N/A,FALSE,"PROCES";#N/A,#N/A,FALSE,"mecan";#N/A,#N/A,FALSE,"civil";#N/A,#N/A,FALSE,"CAÑER";#N/A,#N/A,FALSE,"ELEC";#N/A,#N/A,FALSE,"INSTR"}</definedName>
    <definedName name="opopopo" hidden="1">{#N/A,#N/A,FALSE,"Total_OC015";#N/A,#N/A,FALSE,"ADMIN";#N/A,#N/A,FALSE,"PROCES";#N/A,#N/A,FALSE,"mecan";#N/A,#N/A,FALSE,"civil";#N/A,#N/A,FALSE,"CAÑER";#N/A,#N/A,FALSE,"ELEC";#N/A,#N/A,FALSE,"INSTR"}</definedName>
    <definedName name="Option_Rate" localSheetId="0">#REF!</definedName>
    <definedName name="Option_Rate">#REF!</definedName>
    <definedName name="ORDE" localSheetId="0">#REF!</definedName>
    <definedName name="ORDE">#REF!</definedName>
    <definedName name="orig" localSheetId="0">#REF!</definedName>
    <definedName name="orig">#REF!</definedName>
    <definedName name="origem" localSheetId="0">#REF!</definedName>
    <definedName name="origem">#REF!</definedName>
    <definedName name="OTPREM" localSheetId="0">#REF!</definedName>
    <definedName name="OTPREM">#REF!</definedName>
    <definedName name="OV" localSheetId="0">#REF!</definedName>
    <definedName name="OV">#REF!</definedName>
    <definedName name="p" localSheetId="0">#REF!</definedName>
    <definedName name="p">#REF!</definedName>
    <definedName name="P.Aparente" localSheetId="2">#REF!</definedName>
    <definedName name="P.Aparente">#REF!</definedName>
    <definedName name="P.Reatia">#REF!</definedName>
    <definedName name="P_base" localSheetId="0">#REF!</definedName>
    <definedName name="P_base">#REF!</definedName>
    <definedName name="P_SUCATA">#REF!</definedName>
    <definedName name="P10v" localSheetId="0">#REF!</definedName>
    <definedName name="P10v">#REF!</definedName>
    <definedName name="P50v" localSheetId="0">#REF!</definedName>
    <definedName name="P50v">#REF!</definedName>
    <definedName name="P70v" localSheetId="0">#REF!</definedName>
    <definedName name="P70v">#REF!</definedName>
    <definedName name="P90v" localSheetId="0">#REF!</definedName>
    <definedName name="P90v">#REF!</definedName>
    <definedName name="package" localSheetId="0">#REF!</definedName>
    <definedName name="package">#REF!</definedName>
    <definedName name="PackagePhase" localSheetId="0">#REF!</definedName>
    <definedName name="PackagePhase">#REF!</definedName>
    <definedName name="PackageType" localSheetId="0">#REF!</definedName>
    <definedName name="PackageType">#REF!</definedName>
    <definedName name="PageSize" localSheetId="0">#REF!</definedName>
    <definedName name="PageSize">#REF!</definedName>
    <definedName name="paint" localSheetId="0">#REF!</definedName>
    <definedName name="paint">#REF!</definedName>
    <definedName name="Pal_Workbook_GUID" hidden="1">"WYDF5RV5V4J8528SUDLBPZU7"</definedName>
    <definedName name="PANDROL" localSheetId="0">#REF!</definedName>
    <definedName name="PANDROL">#REF!</definedName>
    <definedName name="PANREGL" localSheetId="0">#REF!</definedName>
    <definedName name="PANREGL">#REF!</definedName>
    <definedName name="PARALELO" localSheetId="0">#REF!</definedName>
    <definedName name="PARALELO">#REF!</definedName>
    <definedName name="PARAMETERS" localSheetId="0">#REF!</definedName>
    <definedName name="PARAMETERS">#REF!</definedName>
    <definedName name="PARC" localSheetId="0">#REF!</definedName>
    <definedName name="PARC">#REF!</definedName>
    <definedName name="Parceiro" localSheetId="0">#REF!</definedName>
    <definedName name="Parceiro">#REF!</definedName>
    <definedName name="PARCEIRO_EMP_LIST" localSheetId="0">#REF!</definedName>
    <definedName name="PARCEIRO_EMP_LIST">#REF!</definedName>
    <definedName name="Parceiro_list" localSheetId="0">#REF!</definedName>
    <definedName name="Parceiro_list">#REF!</definedName>
    <definedName name="Parceiro_Position_Rate" localSheetId="0">#REF!</definedName>
    <definedName name="Parceiro_Position_Rate">#REF!</definedName>
    <definedName name="PAREGL" localSheetId="0">#REF!</definedName>
    <definedName name="PAREGL">#REF!</definedName>
    <definedName name="PARR" localSheetId="0">#REF!</definedName>
    <definedName name="PARR">#REF!</definedName>
    <definedName name="pativar" localSheetId="0">#REF!</definedName>
    <definedName name="pativar">#REF!</definedName>
    <definedName name="Pavimentação" localSheetId="0" hidden="1">{#N/A,#N/A,FALSE,"GERAL";#N/A,#N/A,FALSE,"012-96";#N/A,#N/A,FALSE,"018-96";#N/A,#N/A,FALSE,"027-96";#N/A,#N/A,FALSE,"059-96";#N/A,#N/A,FALSE,"076-96";#N/A,#N/A,FALSE,"019-97";#N/A,#N/A,FALSE,"021-97";#N/A,#N/A,FALSE,"022-97";#N/A,#N/A,FALSE,"028-97"}</definedName>
    <definedName name="Pavimentação" localSheetId="2" hidden="1">{#N/A,#N/A,FALSE,"GERAL";#N/A,#N/A,FALSE,"012-96";#N/A,#N/A,FALSE,"018-96";#N/A,#N/A,FALSE,"027-96";#N/A,#N/A,FALSE,"059-96";#N/A,#N/A,FALSE,"076-96";#N/A,#N/A,FALSE,"019-97";#N/A,#N/A,FALSE,"021-97";#N/A,#N/A,FALSE,"022-97";#N/A,#N/A,FALSE,"028-97"}</definedName>
    <definedName name="Pavimentação" hidden="1">{#N/A,#N/A,FALSE,"GERAL";#N/A,#N/A,FALSE,"012-96";#N/A,#N/A,FALSE,"018-96";#N/A,#N/A,FALSE,"027-96";#N/A,#N/A,FALSE,"059-96";#N/A,#N/A,FALSE,"076-96";#N/A,#N/A,FALSE,"019-97";#N/A,#N/A,FALSE,"021-97";#N/A,#N/A,FALSE,"022-97";#N/A,#N/A,FALSE,"028-97"}</definedName>
    <definedName name="Payback" localSheetId="0">#REF!</definedName>
    <definedName name="Payback">#REF!</definedName>
    <definedName name="PÇ" localSheetId="0">#REF!</definedName>
    <definedName name="PÇ">#REF!</definedName>
    <definedName name="pct" localSheetId="0">#REF!</definedName>
    <definedName name="pct">#REF!</definedName>
    <definedName name="PE" localSheetId="0">#REF!</definedName>
    <definedName name="PE">#REF!</definedName>
    <definedName name="PED" localSheetId="0">#REF!</definedName>
    <definedName name="PED">#REF!</definedName>
    <definedName name="PEDIDO" localSheetId="0">#REF!</definedName>
    <definedName name="PEDIDO">#REF!</definedName>
    <definedName name="PEN" localSheetId="0">#REF!</definedName>
    <definedName name="PEN">#REF!</definedName>
    <definedName name="pendencias2" localSheetId="0" hidden="1">{#N/A,#N/A,FALSE,"GERAL";#N/A,#N/A,FALSE,"012-96";#N/A,#N/A,FALSE,"018-96";#N/A,#N/A,FALSE,"027-96";#N/A,#N/A,FALSE,"059-96";#N/A,#N/A,FALSE,"076-96";#N/A,#N/A,FALSE,"019-97";#N/A,#N/A,FALSE,"021-97";#N/A,#N/A,FALSE,"022-97";#N/A,#N/A,FALSE,"028-97"}</definedName>
    <definedName name="pendencias2" localSheetId="2" hidden="1">{#N/A,#N/A,FALSE,"GERAL";#N/A,#N/A,FALSE,"012-96";#N/A,#N/A,FALSE,"018-96";#N/A,#N/A,FALSE,"027-96";#N/A,#N/A,FALSE,"059-96";#N/A,#N/A,FALSE,"076-96";#N/A,#N/A,FALSE,"019-97";#N/A,#N/A,FALSE,"021-97";#N/A,#N/A,FALSE,"022-97";#N/A,#N/A,FALSE,"028-97"}</definedName>
    <definedName name="pendencias2" hidden="1">{#N/A,#N/A,FALSE,"GERAL";#N/A,#N/A,FALSE,"012-96";#N/A,#N/A,FALSE,"018-96";#N/A,#N/A,FALSE,"027-96";#N/A,#N/A,FALSE,"059-96";#N/A,#N/A,FALSE,"076-96";#N/A,#N/A,FALSE,"019-97";#N/A,#N/A,FALSE,"021-97";#N/A,#N/A,FALSE,"022-97";#N/A,#N/A,FALSE,"028-97"}</definedName>
    <definedName name="Pendências2" localSheetId="0" hidden="1">{#N/A,#N/A,FALSE,"GERAL";#N/A,#N/A,FALSE,"012-96";#N/A,#N/A,FALSE,"018-96";#N/A,#N/A,FALSE,"027-96";#N/A,#N/A,FALSE,"059-96";#N/A,#N/A,FALSE,"076-96";#N/A,#N/A,FALSE,"019-97";#N/A,#N/A,FALSE,"021-97";#N/A,#N/A,FALSE,"022-97";#N/A,#N/A,FALSE,"028-97"}</definedName>
    <definedName name="Pendências2" localSheetId="2" hidden="1">{#N/A,#N/A,FALSE,"GERAL";#N/A,#N/A,FALSE,"012-96";#N/A,#N/A,FALSE,"018-96";#N/A,#N/A,FALSE,"027-96";#N/A,#N/A,FALSE,"059-96";#N/A,#N/A,FALSE,"076-96";#N/A,#N/A,FALSE,"019-97";#N/A,#N/A,FALSE,"021-97";#N/A,#N/A,FALSE,"022-97";#N/A,#N/A,FALSE,"028-97"}</definedName>
    <definedName name="Pendências2" hidden="1">{#N/A,#N/A,FALSE,"GERAL";#N/A,#N/A,FALSE,"012-96";#N/A,#N/A,FALSE,"018-96";#N/A,#N/A,FALSE,"027-96";#N/A,#N/A,FALSE,"059-96";#N/A,#N/A,FALSE,"076-96";#N/A,#N/A,FALSE,"019-97";#N/A,#N/A,FALSE,"021-97";#N/A,#N/A,FALSE,"022-97";#N/A,#N/A,FALSE,"028-97"}</definedName>
    <definedName name="pendencias3" localSheetId="0" hidden="1">{#N/A,#N/A,FALSE,"GERAL";#N/A,#N/A,FALSE,"012-96";#N/A,#N/A,FALSE,"018-96";#N/A,#N/A,FALSE,"027-96";#N/A,#N/A,FALSE,"059-96";#N/A,#N/A,FALSE,"076-96";#N/A,#N/A,FALSE,"019-97";#N/A,#N/A,FALSE,"021-97";#N/A,#N/A,FALSE,"022-97";#N/A,#N/A,FALSE,"028-97"}</definedName>
    <definedName name="pendencias3" localSheetId="2" hidden="1">{#N/A,#N/A,FALSE,"GERAL";#N/A,#N/A,FALSE,"012-96";#N/A,#N/A,FALSE,"018-96";#N/A,#N/A,FALSE,"027-96";#N/A,#N/A,FALSE,"059-96";#N/A,#N/A,FALSE,"076-96";#N/A,#N/A,FALSE,"019-97";#N/A,#N/A,FALSE,"021-97";#N/A,#N/A,FALSE,"022-97";#N/A,#N/A,FALSE,"028-97"}</definedName>
    <definedName name="pendencias3" hidden="1">{#N/A,#N/A,FALSE,"GERAL";#N/A,#N/A,FALSE,"012-96";#N/A,#N/A,FALSE,"018-96";#N/A,#N/A,FALSE,"027-96";#N/A,#N/A,FALSE,"059-96";#N/A,#N/A,FALSE,"076-96";#N/A,#N/A,FALSE,"019-97";#N/A,#N/A,FALSE,"021-97";#N/A,#N/A,FALSE,"022-97";#N/A,#N/A,FALSE,"028-97"}</definedName>
    <definedName name="Pendências3" localSheetId="0" hidden="1">{#N/A,#N/A,FALSE,"GERAL";#N/A,#N/A,FALSE,"012-96";#N/A,#N/A,FALSE,"018-96";#N/A,#N/A,FALSE,"027-96";#N/A,#N/A,FALSE,"059-96";#N/A,#N/A,FALSE,"076-96";#N/A,#N/A,FALSE,"019-97";#N/A,#N/A,FALSE,"021-97";#N/A,#N/A,FALSE,"022-97";#N/A,#N/A,FALSE,"028-97"}</definedName>
    <definedName name="Pendências3" localSheetId="2" hidden="1">{#N/A,#N/A,FALSE,"GERAL";#N/A,#N/A,FALSE,"012-96";#N/A,#N/A,FALSE,"018-96";#N/A,#N/A,FALSE,"027-96";#N/A,#N/A,FALSE,"059-96";#N/A,#N/A,FALSE,"076-96";#N/A,#N/A,FALSE,"019-97";#N/A,#N/A,FALSE,"021-97";#N/A,#N/A,FALSE,"022-97";#N/A,#N/A,FALSE,"028-97"}</definedName>
    <definedName name="Pendências3" hidden="1">{#N/A,#N/A,FALSE,"GERAL";#N/A,#N/A,FALSE,"012-96";#N/A,#N/A,FALSE,"018-96";#N/A,#N/A,FALSE,"027-96";#N/A,#N/A,FALSE,"059-96";#N/A,#N/A,FALSE,"076-96";#N/A,#N/A,FALSE,"019-97";#N/A,#N/A,FALSE,"021-97";#N/A,#N/A,FALSE,"022-97";#N/A,#N/A,FALSE,"028-97"}</definedName>
    <definedName name="pensebete" localSheetId="0">#REF!</definedName>
    <definedName name="pensebete">#REF!</definedName>
    <definedName name="per" localSheetId="0">#REF!</definedName>
    <definedName name="per">#REF!</definedName>
    <definedName name="Perc_H" localSheetId="0">#REF!</definedName>
    <definedName name="Perc_H">#REF!</definedName>
    <definedName name="Perc_M" localSheetId="0">#REF!</definedName>
    <definedName name="Perc_M">#REF!</definedName>
    <definedName name="Perc_ML" localSheetId="0">#REF!</definedName>
    <definedName name="Perc_ML">#REF!</definedName>
    <definedName name="Perc_Prob" localSheetId="0">#REF!</definedName>
    <definedName name="Perc_Prob">#REF!</definedName>
    <definedName name="PerDiem" localSheetId="0">#REF!</definedName>
    <definedName name="PerDiem">#REF!</definedName>
    <definedName name="PerDiemDays" localSheetId="0">#REF!</definedName>
    <definedName name="PerDiemDays">#REF!</definedName>
    <definedName name="periodo" localSheetId="0">#REF!</definedName>
    <definedName name="periodo">#REF!</definedName>
    <definedName name="perso" localSheetId="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2"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2"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G_agosto_2002" localSheetId="0">#REF!</definedName>
    <definedName name="PG_agosto_2002">#REF!</definedName>
    <definedName name="Phase" localSheetId="0">#REF!</definedName>
    <definedName name="Phase">#REF!</definedName>
    <definedName name="Phases" localSheetId="0">#REF!</definedName>
    <definedName name="Phases">#REF!</definedName>
    <definedName name="pipe" localSheetId="0">#REF!</definedName>
    <definedName name="pipe">#REF!</definedName>
    <definedName name="Pipe_insulation" localSheetId="0">#REF!</definedName>
    <definedName name="Pipe_insulation">#REF!</definedName>
    <definedName name="PIPING" localSheetId="0">#REF!</definedName>
    <definedName name="PIPING">#REF!</definedName>
    <definedName name="PIPING_SPECIALIZED" localSheetId="0">#REF!</definedName>
    <definedName name="PIPING_SPECIALIZED">#REF!</definedName>
    <definedName name="PKOR" localSheetId="0">#REF!</definedName>
    <definedName name="PKOR">#REF!</definedName>
    <definedName name="pl">#REF!</definedName>
    <definedName name="PLA">#REF!</definedName>
    <definedName name="Plan" localSheetId="0" hidden="1">{#N/A,#N/A,FALSE,"GERAL";#N/A,#N/A,FALSE,"012-96";#N/A,#N/A,FALSE,"018-96";#N/A,#N/A,FALSE,"027-96";#N/A,#N/A,FALSE,"059-96";#N/A,#N/A,FALSE,"076-96";#N/A,#N/A,FALSE,"019-97";#N/A,#N/A,FALSE,"021-97";#N/A,#N/A,FALSE,"022-97";#N/A,#N/A,FALSE,"028-97"}</definedName>
    <definedName name="Plan" localSheetId="2" hidden="1">{#N/A,#N/A,FALSE,"GERAL";#N/A,#N/A,FALSE,"012-96";#N/A,#N/A,FALSE,"018-96";#N/A,#N/A,FALSE,"027-96";#N/A,#N/A,FALSE,"059-96";#N/A,#N/A,FALSE,"076-96";#N/A,#N/A,FALSE,"019-97";#N/A,#N/A,FALSE,"021-97";#N/A,#N/A,FALSE,"022-97";#N/A,#N/A,FALSE,"028-97"}</definedName>
    <definedName name="Plan" hidden="1">{#N/A,#N/A,FALSE,"GERAL";#N/A,#N/A,FALSE,"012-96";#N/A,#N/A,FALSE,"018-96";#N/A,#N/A,FALSE,"027-96";#N/A,#N/A,FALSE,"059-96";#N/A,#N/A,FALSE,"076-96";#N/A,#N/A,FALSE,"019-97";#N/A,#N/A,FALSE,"021-97";#N/A,#N/A,FALSE,"022-97";#N/A,#N/A,FALSE,"028-97"}</definedName>
    <definedName name="PLANEJADA" localSheetId="0">#REF!</definedName>
    <definedName name="PLANEJADA">#REF!</definedName>
    <definedName name="PLANEJAMENTO_E_CONTROLE" localSheetId="0">#REF!</definedName>
    <definedName name="PLANEJAMENTO_E_CONTROLE">#REF!</definedName>
    <definedName name="plani" localSheetId="0" hidden="1">{#N/A,#N/A,FALSE,"GERAL";#N/A,#N/A,FALSE,"012-96";#N/A,#N/A,FALSE,"018-96";#N/A,#N/A,FALSE,"027-96";#N/A,#N/A,FALSE,"059-96";#N/A,#N/A,FALSE,"076-96";#N/A,#N/A,FALSE,"019-97";#N/A,#N/A,FALSE,"021-97";#N/A,#N/A,FALSE,"022-97";#N/A,#N/A,FALSE,"028-97"}</definedName>
    <definedName name="plani" localSheetId="2" hidden="1">{#N/A,#N/A,FALSE,"GERAL";#N/A,#N/A,FALSE,"012-96";#N/A,#N/A,FALSE,"018-96";#N/A,#N/A,FALSE,"027-96";#N/A,#N/A,FALSE,"059-96";#N/A,#N/A,FALSE,"076-96";#N/A,#N/A,FALSE,"019-97";#N/A,#N/A,FALSE,"021-97";#N/A,#N/A,FALSE,"022-97";#N/A,#N/A,FALSE,"028-97"}</definedName>
    <definedName name="plani" hidden="1">{#N/A,#N/A,FALSE,"GERAL";#N/A,#N/A,FALSE,"012-96";#N/A,#N/A,FALSE,"018-96";#N/A,#N/A,FALSE,"027-96";#N/A,#N/A,FALSE,"059-96";#N/A,#N/A,FALSE,"076-96";#N/A,#N/A,FALSE,"019-97";#N/A,#N/A,FALSE,"021-97";#N/A,#N/A,FALSE,"022-97";#N/A,#N/A,FALSE,"028-97"}</definedName>
    <definedName name="Planilha" localSheetId="0" hidden="1">#REF!</definedName>
    <definedName name="Planilha" hidden="1">#REF!</definedName>
    <definedName name="plant" localSheetId="0">#REF!</definedName>
    <definedName name="plant">#REF!</definedName>
    <definedName name="PlantArea" localSheetId="0">#REF!</definedName>
    <definedName name="PlantArea">#REF!</definedName>
    <definedName name="PlantAreaFunFirstDataCell" localSheetId="0">#REF!</definedName>
    <definedName name="PlantAreaFunFirstDataCell">#REF!</definedName>
    <definedName name="PlantAreas" localSheetId="0">#REF!</definedName>
    <definedName name="PlantAreas">#REF!</definedName>
    <definedName name="PlantFeedRate_tpa" localSheetId="0">#REF!</definedName>
    <definedName name="PlantFeedRate_tpa">#REF!</definedName>
    <definedName name="PlantFeedRate_tpd" localSheetId="0">#REF!</definedName>
    <definedName name="PlantFeedRate_tpd">#REF!</definedName>
    <definedName name="PLAT1" localSheetId="0">#REF!</definedName>
    <definedName name="PLAT1" localSheetId="2">#REF!</definedName>
    <definedName name="PLAT1">#REF!</definedName>
    <definedName name="PLC" localSheetId="0">#REF!</definedName>
    <definedName name="PLC">#REF!</definedName>
    <definedName name="PLMKUP" localSheetId="0">#REF!</definedName>
    <definedName name="PLMKUP">#REF!</definedName>
    <definedName name="PLR" localSheetId="0">#REF!</definedName>
    <definedName name="PLR">#REF!</definedName>
    <definedName name="PMREC" localSheetId="0">#REF!</definedName>
    <definedName name="PMREC" localSheetId="2">#REF!</definedName>
    <definedName name="PMREC">#REF!</definedName>
    <definedName name="PN" localSheetId="0">#REF!</definedName>
    <definedName name="PN">#REF!</definedName>
    <definedName name="PN_CLASSES" localSheetId="0">#REF!</definedName>
    <definedName name="PN_CLASSES">#REF!</definedName>
    <definedName name="PNPBASELE" localSheetId="0">#REF!</definedName>
    <definedName name="PNPBASELE">#REF!</definedName>
    <definedName name="PNPBASMEC" localSheetId="0">#REF!</definedName>
    <definedName name="PNPBASMEC">#REF!</definedName>
    <definedName name="pos" localSheetId="0" hidden="1">{#N/A,#N/A,FALSE,"GERAL";#N/A,#N/A,FALSE,"012-96";#N/A,#N/A,FALSE,"018-96";#N/A,#N/A,FALSE,"027-96";#N/A,#N/A,FALSE,"059-96";#N/A,#N/A,FALSE,"076-96";#N/A,#N/A,FALSE,"019-97";#N/A,#N/A,FALSE,"021-97";#N/A,#N/A,FALSE,"022-97";#N/A,#N/A,FALSE,"028-97"}</definedName>
    <definedName name="pos" localSheetId="2" hidden="1">{#N/A,#N/A,FALSE,"GERAL";#N/A,#N/A,FALSE,"012-96";#N/A,#N/A,FALSE,"018-96";#N/A,#N/A,FALSE,"027-96";#N/A,#N/A,FALSE,"059-96";#N/A,#N/A,FALSE,"076-96";#N/A,#N/A,FALSE,"019-97";#N/A,#N/A,FALSE,"021-97";#N/A,#N/A,FALSE,"022-97";#N/A,#N/A,FALSE,"028-97"}</definedName>
    <definedName name="pos" hidden="1">{#N/A,#N/A,FALSE,"GERAL";#N/A,#N/A,FALSE,"012-96";#N/A,#N/A,FALSE,"018-96";#N/A,#N/A,FALSE,"027-96";#N/A,#N/A,FALSE,"059-96";#N/A,#N/A,FALSE,"076-96";#N/A,#N/A,FALSE,"019-97";#N/A,#N/A,FALSE,"021-97";#N/A,#N/A,FALSE,"022-97";#N/A,#N/A,FALSE,"028-97"}</definedName>
    <definedName name="Positions" localSheetId="0">#REF!</definedName>
    <definedName name="Positions">#REF!</definedName>
    <definedName name="POSTKEY" localSheetId="0">#REF!</definedName>
    <definedName name="POSTKEY">#REF!</definedName>
    <definedName name="Potencia" localSheetId="0">#REF!</definedName>
    <definedName name="Potencia">#REF!</definedName>
    <definedName name="PPAG">#REF!</definedName>
    <definedName name="PPCOFINS">#REF!</definedName>
    <definedName name="PPFRE">#REF!</definedName>
    <definedName name="PPICMS">#REF!</definedName>
    <definedName name="PPIPI">#REF!</definedName>
    <definedName name="ppp" localSheetId="0"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ppp" localSheetId="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ppp"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PPPIS" localSheetId="0">#REF!</definedName>
    <definedName name="PPPIS">#REF!</definedName>
    <definedName name="pppp" localSheetId="0" hidden="1">#REF!</definedName>
    <definedName name="pppp" hidden="1">#REF!</definedName>
    <definedName name="PPREP" localSheetId="0">#REF!</definedName>
    <definedName name="PPREP">#REF!</definedName>
    <definedName name="PPSAL">#REF!</definedName>
    <definedName name="PPU" localSheetId="0">#REF!</definedName>
    <definedName name="PPU">#REF!</definedName>
    <definedName name="pqp">#N/A</definedName>
    <definedName name="PQUALIDADE" localSheetId="0">#REF!</definedName>
    <definedName name="PQUALIDADE">#REF!</definedName>
    <definedName name="PREC" localSheetId="0">#REF!</definedName>
    <definedName name="PREC">#REF!</definedName>
    <definedName name="preco" localSheetId="0">#REF!</definedName>
    <definedName name="preco">#REF!</definedName>
    <definedName name="PREÇO">#REF!</definedName>
    <definedName name="Prédios">#REF!</definedName>
    <definedName name="PREV_EXT" localSheetId="0">#REF!</definedName>
    <definedName name="PREV_EXT" localSheetId="2">QQP!PREV_EXT</definedName>
    <definedName name="PREV_EXT">#REF!</definedName>
    <definedName name="PREV_INT" localSheetId="0">#REF!</definedName>
    <definedName name="PREV_INT" localSheetId="2">QQP!PREV_INT</definedName>
    <definedName name="PREV_INT">#REF!</definedName>
    <definedName name="PREV_MERC" localSheetId="0">#REF!</definedName>
    <definedName name="PREV_MERC" localSheetId="2">QQP!PREV_MERC</definedName>
    <definedName name="PREV_MERC">#REF!</definedName>
    <definedName name="PreviousData" localSheetId="0">#REF!</definedName>
    <definedName name="PreviousData" localSheetId="2">#REF!</definedName>
    <definedName name="PreviousData">#REF!</definedName>
    <definedName name="Print_Area" localSheetId="0">#REF!</definedName>
    <definedName name="Print_Area" localSheetId="2">#REF!</definedName>
    <definedName name="Print_Area">#REF!</definedName>
    <definedName name="Print_Area_MFL" localSheetId="0">#REF!</definedName>
    <definedName name="Print_Area_MFL">#REF!</definedName>
    <definedName name="Print_Area_MI">#REF!</definedName>
    <definedName name="Print_areas" localSheetId="0">#REF!</definedName>
    <definedName name="Print_areas">#REF!</definedName>
    <definedName name="Print_Brief" localSheetId="0">#REF!</definedName>
    <definedName name="Print_Brief">#REF!</definedName>
    <definedName name="PRINT_TITLES_MI" localSheetId="0">#REF!</definedName>
    <definedName name="PRINT_TITLES_MI">#REF!</definedName>
    <definedName name="print1" localSheetId="0">#REF!</definedName>
    <definedName name="print1">#REF!</definedName>
    <definedName name="print4" localSheetId="0">#REF!</definedName>
    <definedName name="print4">#REF!</definedName>
    <definedName name="prj" localSheetId="0">#REF!</definedName>
    <definedName name="prj">#REF!</definedName>
    <definedName name="proc" localSheetId="0">#REF!</definedName>
    <definedName name="proc">#REF!</definedName>
    <definedName name="PROCESS" localSheetId="0">#REF!</definedName>
    <definedName name="PROCESS">#REF!</definedName>
    <definedName name="PROCURA" localSheetId="0">#REF!</definedName>
    <definedName name="PROCURA">#REF!</definedName>
    <definedName name="Procurement" localSheetId="0">#REF!</definedName>
    <definedName name="Procurement">#REF!</definedName>
    <definedName name="PRODUCTIVIDAD" localSheetId="0">#REF!</definedName>
    <definedName name="PRODUCTIVIDAD">#REF!</definedName>
    <definedName name="Progen" localSheetId="0">#REF!</definedName>
    <definedName name="Progen">#REF!</definedName>
    <definedName name="ProgenClass" localSheetId="0">#REF!</definedName>
    <definedName name="ProgenClass">#REF!</definedName>
    <definedName name="ProgenPositions" localSheetId="0">#REF!</definedName>
    <definedName name="ProgenPositions">#REF!</definedName>
    <definedName name="ProgenRates" localSheetId="0">#REF!</definedName>
    <definedName name="ProgenRates">#REF!</definedName>
    <definedName name="PROGRAMMING" localSheetId="0">#REF!</definedName>
    <definedName name="PROGRAMMING">#REF!</definedName>
    <definedName name="PROJ" localSheetId="0">#REF!</definedName>
    <definedName name="PROJ">#REF!</definedName>
    <definedName name="PROJ_MANAGEMENT" localSheetId="0">#REF!</definedName>
    <definedName name="PROJ_MANAGEMENT">#REF!</definedName>
    <definedName name="PROJCOST" localSheetId="0">#REF!</definedName>
    <definedName name="PROJCOST">#REF!</definedName>
    <definedName name="Project_Control" localSheetId="0">#REF!</definedName>
    <definedName name="Project_Control">#REF!</definedName>
    <definedName name="PROJECT_CONTROLS" localSheetId="0">#REF!</definedName>
    <definedName name="PROJECT_CONTROLS">#REF!</definedName>
    <definedName name="PROJECT_MANAGEMENT" localSheetId="0">#REF!</definedName>
    <definedName name="PROJECT_MANAGEMENT">#REF!</definedName>
    <definedName name="Project_Name" localSheetId="0">#REF!</definedName>
    <definedName name="Project_Name">#REF!</definedName>
    <definedName name="Project_Services" localSheetId="0">#REF!</definedName>
    <definedName name="Project_Services">#REF!</definedName>
    <definedName name="ProjectAreas" localSheetId="0">#REF!</definedName>
    <definedName name="ProjectAreas">#REF!</definedName>
    <definedName name="ProjectUsed" localSheetId="0">#REF!</definedName>
    <definedName name="ProjectUsed">#REF!</definedName>
    <definedName name="ProjectWiseDataBegin" localSheetId="0">#REF!</definedName>
    <definedName name="ProjectWiseDataBegin">#REF!</definedName>
    <definedName name="ProjWiseTopLine" localSheetId="0">#REF!</definedName>
    <definedName name="ProjWiseTopLine">#REF!</definedName>
    <definedName name="PROPOSTA" localSheetId="0">#REF!</definedName>
    <definedName name="PROPOSTA">#REF!</definedName>
    <definedName name="prt_maquina" localSheetId="0">#REF!</definedName>
    <definedName name="prt_maquina">#REF!</definedName>
    <definedName name="prt_resumen" localSheetId="0">#REF!</definedName>
    <definedName name="prt_resumen">#REF!</definedName>
    <definedName name="PSMKUP" localSheetId="0">#REF!</definedName>
    <definedName name="PSMKUP">#REF!</definedName>
    <definedName name="PtblLAR" localSheetId="0">#REF!</definedName>
    <definedName name="PtblLAR">#REF!</definedName>
    <definedName name="PTONSUCATA" localSheetId="0">#REF!</definedName>
    <definedName name="PTONSUCATA">#REF!</definedName>
    <definedName name="PWWorkCentre" localSheetId="0">#REF!</definedName>
    <definedName name="PWWorkCentre">#REF!</definedName>
    <definedName name="q" localSheetId="0"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q" localSheetId="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q"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QEC" localSheetId="0" hidden="1">{#N/A,#N/A,FALSE,"GERAL";#N/A,#N/A,FALSE,"012-96";#N/A,#N/A,FALSE,"018-96";#N/A,#N/A,FALSE,"027-96";#N/A,#N/A,FALSE,"059-96";#N/A,#N/A,FALSE,"076-96";#N/A,#N/A,FALSE,"019-97";#N/A,#N/A,FALSE,"021-97";#N/A,#N/A,FALSE,"022-97";#N/A,#N/A,FALSE,"028-97"}</definedName>
    <definedName name="QEC" localSheetId="2" hidden="1">{#N/A,#N/A,FALSE,"GERAL";#N/A,#N/A,FALSE,"012-96";#N/A,#N/A,FALSE,"018-96";#N/A,#N/A,FALSE,"027-96";#N/A,#N/A,FALSE,"059-96";#N/A,#N/A,FALSE,"076-96";#N/A,#N/A,FALSE,"019-97";#N/A,#N/A,FALSE,"021-97";#N/A,#N/A,FALSE,"022-97";#N/A,#N/A,FALSE,"028-97"}</definedName>
    <definedName name="QEC" hidden="1">{#N/A,#N/A,FALSE,"GERAL";#N/A,#N/A,FALSE,"012-96";#N/A,#N/A,FALSE,"018-96";#N/A,#N/A,FALSE,"027-96";#N/A,#N/A,FALSE,"059-96";#N/A,#N/A,FALSE,"076-96";#N/A,#N/A,FALSE,"019-97";#N/A,#N/A,FALSE,"021-97";#N/A,#N/A,FALSE,"022-97";#N/A,#N/A,FALSE,"028-97"}</definedName>
    <definedName name="qqq" localSheetId="0" hidden="1">{#N/A,#N/A,FALSE,"GERAL";#N/A,#N/A,FALSE,"012-96";#N/A,#N/A,FALSE,"018-96";#N/A,#N/A,FALSE,"027-96";#N/A,#N/A,FALSE,"059-96";#N/A,#N/A,FALSE,"076-96";#N/A,#N/A,FALSE,"019-97";#N/A,#N/A,FALSE,"021-97";#N/A,#N/A,FALSE,"022-97";#N/A,#N/A,FALSE,"028-97"}</definedName>
    <definedName name="qqq" localSheetId="2" hidden="1">{#N/A,#N/A,FALSE,"GERAL";#N/A,#N/A,FALSE,"012-96";#N/A,#N/A,FALSE,"018-96";#N/A,#N/A,FALSE,"027-96";#N/A,#N/A,FALSE,"059-96";#N/A,#N/A,FALSE,"076-96";#N/A,#N/A,FALSE,"019-97";#N/A,#N/A,FALSE,"021-97";#N/A,#N/A,FALSE,"022-97";#N/A,#N/A,FALSE,"028-97"}</definedName>
    <definedName name="qqq" hidden="1">{#N/A,#N/A,FALSE,"GERAL";#N/A,#N/A,FALSE,"012-96";#N/A,#N/A,FALSE,"018-96";#N/A,#N/A,FALSE,"027-96";#N/A,#N/A,FALSE,"059-96";#N/A,#N/A,FALSE,"076-96";#N/A,#N/A,FALSE,"019-97";#N/A,#N/A,FALSE,"021-97";#N/A,#N/A,FALSE,"022-97";#N/A,#N/A,FALSE,"028-97"}</definedName>
    <definedName name="QtyColumn" localSheetId="0">#REF!</definedName>
    <definedName name="QtyColumn">#REF!</definedName>
    <definedName name="QUAD" localSheetId="0">#REF!</definedName>
    <definedName name="QUAD" localSheetId="1">#REF!</definedName>
    <definedName name="QUAD" localSheetId="3">#REF!</definedName>
    <definedName name="QUAD">#REF!</definedName>
    <definedName name="QUALITY" localSheetId="0">#REF!</definedName>
    <definedName name="QUALITY">#REF!</definedName>
    <definedName name="quant" localSheetId="0">#REF!</definedName>
    <definedName name="quant">#REF!</definedName>
    <definedName name="quant1" localSheetId="0">#REF!</definedName>
    <definedName name="quant1">#REF!</definedName>
    <definedName name="Quatro" localSheetId="0">#REF!</definedName>
    <definedName name="Quatro">#REF!</definedName>
    <definedName name="qx" localSheetId="0" hidden="1">{#N/A,#N/A,FALSE,"masez (10)";#N/A,#N/A,FALSE,"masez (7)";#N/A,#N/A,FALSE,"masez (6)";#N/A,#N/A,FALSE,"masez (5)";#N/A,#N/A,FALSE,"masez (4)";#N/A,#N/A,FALSE,"masez (3)";#N/A,#N/A,FALSE,"masez (2)";#N/A,#N/A,FALSE,"GME";#N/A,#N/A,FALSE,"masez"}</definedName>
    <definedName name="qx" localSheetId="2" hidden="1">{#N/A,#N/A,FALSE,"masez (10)";#N/A,#N/A,FALSE,"masez (7)";#N/A,#N/A,FALSE,"masez (6)";#N/A,#N/A,FALSE,"masez (5)";#N/A,#N/A,FALSE,"masez (4)";#N/A,#N/A,FALSE,"masez (3)";#N/A,#N/A,FALSE,"masez (2)";#N/A,#N/A,FALSE,"GME";#N/A,#N/A,FALSE,"masez"}</definedName>
    <definedName name="qx" hidden="1">{#N/A,#N/A,FALSE,"masez (10)";#N/A,#N/A,FALSE,"masez (7)";#N/A,#N/A,FALSE,"masez (6)";#N/A,#N/A,FALSE,"masez (5)";#N/A,#N/A,FALSE,"masez (4)";#N/A,#N/A,FALSE,"masez (3)";#N/A,#N/A,FALSE,"masez (2)";#N/A,#N/A,FALSE,"GME";#N/A,#N/A,FALSE,"masez"}</definedName>
    <definedName name="RAH" localSheetId="0">#REF!</definedName>
    <definedName name="RAH">#REF!</definedName>
    <definedName name="RAIL" localSheetId="0">#REF!</definedName>
    <definedName name="RAIL">#REF!</definedName>
    <definedName name="rand" localSheetId="0">#REF!</definedName>
    <definedName name="rand">#REF!</definedName>
    <definedName name="rango" localSheetId="0">#REF!</definedName>
    <definedName name="rango">#REF!</definedName>
    <definedName name="RANTOT" localSheetId="0">#REF!</definedName>
    <definedName name="RANTOT">#REF!</definedName>
    <definedName name="RateAustralia" localSheetId="0">#REF!</definedName>
    <definedName name="RateAustralia">#REF!</definedName>
    <definedName name="RateBrazil" localSheetId="0">#REF!</definedName>
    <definedName name="RateBrazil">#REF!</definedName>
    <definedName name="RateChile" localSheetId="0">#REF!</definedName>
    <definedName name="RateChile">#REF!</definedName>
    <definedName name="RatePeru" localSheetId="0">#REF!</definedName>
    <definedName name="RatePeru">#REF!</definedName>
    <definedName name="Rates">#REF!</definedName>
    <definedName name="Rates_AU">#REF!</definedName>
    <definedName name="Rates_BR">#REF!</definedName>
    <definedName name="Rates_CA">#REF!</definedName>
    <definedName name="Rates_CH">#REF!</definedName>
    <definedName name="RATES_NO_OT" localSheetId="0">#REF!</definedName>
    <definedName name="RATES_NO_OT">#REF!</definedName>
    <definedName name="Rates_SA">#REF!</definedName>
    <definedName name="RATESCHEDULE" localSheetId="0">#REF!</definedName>
    <definedName name="RATESCHEDULE">#REF!</definedName>
    <definedName name="RawData" localSheetId="0">#REF!</definedName>
    <definedName name="RawData">#REF!</definedName>
    <definedName name="RD" localSheetId="0">#REF!</definedName>
    <definedName name="RD">#REF!</definedName>
    <definedName name="RDGDCELE">#REF!</definedName>
    <definedName name="RDGDCMEC">#REF!</definedName>
    <definedName name="re" hidden="1">#REF!</definedName>
    <definedName name="reagentes" localSheetId="0" hidden="1">{#N/A,#N/A,FALSE,"GERAL";#N/A,#N/A,FALSE,"012-96";#N/A,#N/A,FALSE,"018-96";#N/A,#N/A,FALSE,"027-96";#N/A,#N/A,FALSE,"059-96";#N/A,#N/A,FALSE,"076-96";#N/A,#N/A,FALSE,"019-97";#N/A,#N/A,FALSE,"021-97";#N/A,#N/A,FALSE,"022-97";#N/A,#N/A,FALSE,"028-97"}</definedName>
    <definedName name="reagentes" localSheetId="2" hidden="1">{#N/A,#N/A,FALSE,"GERAL";#N/A,#N/A,FALSE,"012-96";#N/A,#N/A,FALSE,"018-96";#N/A,#N/A,FALSE,"027-96";#N/A,#N/A,FALSE,"059-96";#N/A,#N/A,FALSE,"076-96";#N/A,#N/A,FALSE,"019-97";#N/A,#N/A,FALSE,"021-97";#N/A,#N/A,FALSE,"022-97";#N/A,#N/A,FALSE,"028-97"}</definedName>
    <definedName name="reagentes" hidden="1">{#N/A,#N/A,FALSE,"GERAL";#N/A,#N/A,FALSE,"012-96";#N/A,#N/A,FALSE,"018-96";#N/A,#N/A,FALSE,"027-96";#N/A,#N/A,FALSE,"059-96";#N/A,#N/A,FALSE,"076-96";#N/A,#N/A,FALSE,"019-97";#N/A,#N/A,FALSE,"021-97";#N/A,#N/A,FALSE,"022-97";#N/A,#N/A,FALSE,"028-97"}</definedName>
    <definedName name="REAJUSTE" localSheetId="0">#REF!</definedName>
    <definedName name="REAJUSTE">#REF!</definedName>
    <definedName name="real" localSheetId="0">#REF!</definedName>
    <definedName name="real">#REF!</definedName>
    <definedName name="REAL_Total" localSheetId="0">#REF!</definedName>
    <definedName name="REAL_Total">#REF!</definedName>
    <definedName name="Recap" localSheetId="0">#REF!</definedName>
    <definedName name="Recap">#REF!</definedName>
    <definedName name="RECIERR" localSheetId="0">#REF!</definedName>
    <definedName name="RECIERR">#REF!</definedName>
    <definedName name="reconc" localSheetId="0">#REF!</definedName>
    <definedName name="reconc">#REF!</definedName>
    <definedName name="reducao" localSheetId="0">#REF!</definedName>
    <definedName name="reducao">#REF!</definedName>
    <definedName name="referencias" localSheetId="0">#REF!</definedName>
    <definedName name="referencias">#REF!</definedName>
    <definedName name="REFRACTORY" localSheetId="0">#REF!</definedName>
    <definedName name="REFRACTORY">#REF!</definedName>
    <definedName name="Regime" localSheetId="0">#REF!</definedName>
    <definedName name="Regime">#REF!</definedName>
    <definedName name="RegimeTra" localSheetId="0">#REF!</definedName>
    <definedName name="RegimeTra">#REF!</definedName>
    <definedName name="RELC" localSheetId="0">#REF!</definedName>
    <definedName name="RELC">#REF!</definedName>
    <definedName name="RELG" localSheetId="0">#REF!</definedName>
    <definedName name="RELG">#REF!</definedName>
    <definedName name="RELMAS" localSheetId="0">#REF!</definedName>
    <definedName name="RELMAS">#REF!</definedName>
    <definedName name="Reloc_Allow">#REF!</definedName>
    <definedName name="Rendimento">#REF!</definedName>
    <definedName name="REPUESTOS" localSheetId="0">#REF!</definedName>
    <definedName name="REPUESTOS">#REF!</definedName>
    <definedName name="rerere" localSheetId="0" hidden="1">{#N/A,#N/A,TRUE,"Est. de Fact.";#N/A,#N/A,TRUE,"Capitulo 19";#N/A,#N/A,TRUE,"Proyecto P855"}</definedName>
    <definedName name="rerere" localSheetId="2" hidden="1">{#N/A,#N/A,TRUE,"Est. de Fact.";#N/A,#N/A,TRUE,"Capitulo 19";#N/A,#N/A,TRUE,"Proyecto P855"}</definedName>
    <definedName name="rerere" hidden="1">{#N/A,#N/A,TRUE,"Est. de Fact.";#N/A,#N/A,TRUE,"Capitulo 19";#N/A,#N/A,TRUE,"Proyecto P855"}</definedName>
    <definedName name="RES" localSheetId="0">#REF!</definedName>
    <definedName name="RES">#REF!</definedName>
    <definedName name="RESP" localSheetId="0">#REF!</definedName>
    <definedName name="RESP">#REF!</definedName>
    <definedName name="responsável" localSheetId="0">#REF!</definedName>
    <definedName name="responsável">#REF!</definedName>
    <definedName name="RESU" localSheetId="0">#REF!</definedName>
    <definedName name="RESU">#REF!</definedName>
    <definedName name="resultadorendimento">#REF!</definedName>
    <definedName name="RESUMEN" localSheetId="0">#REF!</definedName>
    <definedName name="RESUMEN">#REF!</definedName>
    <definedName name="RESUMO">#N/A</definedName>
    <definedName name="RETE1.5MA" localSheetId="0">#REF!</definedName>
    <definedName name="RETE1.5MA">#REF!</definedName>
    <definedName name="Rev" localSheetId="0">#REF!</definedName>
    <definedName name="Rev">#REF!</definedName>
    <definedName name="REV." localSheetId="0">#REF!</definedName>
    <definedName name="REV.">#REF!</definedName>
    <definedName name="RevBy">#REF!</definedName>
    <definedName name="RevDate">#REF!</definedName>
    <definedName name="REVISÃO" localSheetId="0">#REF!</definedName>
    <definedName name="REVISÃO">#REF!</definedName>
    <definedName name="RevList">#REF!</definedName>
    <definedName name="RevListBy">#REF!</definedName>
    <definedName name="RevListDate">#REF!</definedName>
    <definedName name="RevListNo">#REF!</definedName>
    <definedName name="RevListStatus">#REF!</definedName>
    <definedName name="rfv">#REF!</definedName>
    <definedName name="rho" localSheetId="0">#REF!</definedName>
    <definedName name="rho">#REF!</definedName>
    <definedName name="RiskAfterRecalcMacro" hidden="1">""</definedName>
    <definedName name="RiskAfterSimMacro" hidden="1">""</definedName>
    <definedName name="riskATSTbaselineRequested">TRUE</definedName>
    <definedName name="riskATSTboxGraph">TRUE</definedName>
    <definedName name="riskATSTcomparisonGraph">TRUE</definedName>
    <definedName name="riskATSThistogramGraph">FALSE</definedName>
    <definedName name="riskATSToutputStatistic">4</definedName>
    <definedName name="riskATSTprintReport">FALSE</definedName>
    <definedName name="riskATSTreportsInActiveBook">FALSE</definedName>
    <definedName name="riskATSTreportsSelected">TRUE</definedName>
    <definedName name="riskATSTsequentialStress">TRUE</definedName>
    <definedName name="riskATSTsummaryReport">TRUE</definedName>
    <definedName name="RiskAutoStopPercChange">1.5</definedName>
    <definedName name="RiskBeforeRecalcMacro" hidden="1">""</definedName>
    <definedName name="RiskBeforeSimMacro" hidden="1">""</definedName>
    <definedName name="RiskCollectDistributionSamples">2</definedName>
    <definedName name="RiskExcelReportsGoInNewWorkbook">TRUE</definedName>
    <definedName name="RiskExcelReportsToGenerate">0</definedName>
    <definedName name="RiskFixedSeed">1</definedName>
    <definedName name="RiskGenerateExcelReportsAtEndOfSimulation">FALSE</definedName>
    <definedName name="RiskHasSettings">TRUE</definedName>
    <definedName name="RiskMinimizeOnStart">FALSE</definedName>
    <definedName name="RiskMonitorConvergence">FALSE</definedName>
    <definedName name="RiskMultipleCPUSupportEnabled" hidden="1">TRUE</definedName>
    <definedName name="RiskNumIterations">5000</definedName>
    <definedName name="RiskNumSimulations">1</definedName>
    <definedName name="RiskPauseOnError">FALSE</definedName>
    <definedName name="RiskRealTimeResults">FALSE</definedName>
    <definedName name="RiskReportGraphFormat">0</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howRiskWindowAtEndOfSimulation">TRUE</definedName>
    <definedName name="RiskStandardRecalc">1</definedName>
    <definedName name="RiskStatFunctionsUpdateFreq">1</definedName>
    <definedName name="RiskSwapState" hidden="1">TRUE</definedName>
    <definedName name="RiskTemplateSheetName">"myTemplate"</definedName>
    <definedName name="RiskUpdateDisplay">FALSE</definedName>
    <definedName name="RiskUpdateStatFunctions">TRUE</definedName>
    <definedName name="RiskUseDifferentSeedForEachSim">FALSE</definedName>
    <definedName name="RiskUseFixedSeed">FALSE</definedName>
    <definedName name="RiskUseMultipleCPUs">FALSE</definedName>
    <definedName name="RJMODELE">#REF!</definedName>
    <definedName name="RJMODMEC" localSheetId="0">#REF!</definedName>
    <definedName name="RJMODMEC">#REF!</definedName>
    <definedName name="RMOIENGELE">#REF!</definedName>
    <definedName name="RMOIENGMEC">#REF!</definedName>
    <definedName name="RMOIMONELE">#REF!</definedName>
    <definedName name="RMOIMONMEC">#REF!</definedName>
    <definedName name="RMOIPROELE">#REF!</definedName>
    <definedName name="RMOIPROMEC">#REF!</definedName>
    <definedName name="RND" localSheetId="0">#REF!</definedName>
    <definedName name="RND">#REF!</definedName>
    <definedName name="RngAtualização" localSheetId="0">#REF!</definedName>
    <definedName name="RngAtualização">#REF!</definedName>
    <definedName name="rngContrato" localSheetId="0">#REF!</definedName>
    <definedName name="rngContrato">#REF!</definedName>
    <definedName name="rngDados" localSheetId="0">#REF!</definedName>
    <definedName name="rngDados">#REF!</definedName>
    <definedName name="rngFaseProjeto" localSheetId="0">#REF!</definedName>
    <definedName name="rngFaseProjeto">#REF!</definedName>
    <definedName name="rngNumLD" localSheetId="0">#REF!</definedName>
    <definedName name="rngNumLD">#REF!</definedName>
    <definedName name="rngNumProjeto" localSheetId="0">#REF!</definedName>
    <definedName name="rngNumProjeto">#REF!</definedName>
    <definedName name="rngRevisao" localSheetId="0">#REF!</definedName>
    <definedName name="rngRevisao">#REF!</definedName>
    <definedName name="road" localSheetId="0">#REF!</definedName>
    <definedName name="road">#REF!</definedName>
    <definedName name="Roberto_Gonzalez_O." localSheetId="0">#REF!</definedName>
    <definedName name="Roberto_Gonzalez_O.">#REF!</definedName>
    <definedName name="Roce" localSheetId="0">#REF!</definedName>
    <definedName name="Roce">#REF!</definedName>
    <definedName name="ROFFER" localSheetId="0">#REF!</definedName>
    <definedName name="ROFFER">#REF!</definedName>
    <definedName name="ROLETETRIPLO" localSheetId="0">#REF!</definedName>
    <definedName name="ROLETETRIPLO" localSheetId="2">#REF!</definedName>
    <definedName name="ROLETETRIPLO">#REF!</definedName>
    <definedName name="Rosto" localSheetId="0">#REF!</definedName>
    <definedName name="Rosto">#REF!</definedName>
    <definedName name="rpa" localSheetId="0">#REF!</definedName>
    <definedName name="rpa">#REF!</definedName>
    <definedName name="rpb" localSheetId="0">#REF!</definedName>
    <definedName name="rpb">#REF!</definedName>
    <definedName name="rpp" localSheetId="0">#REF!</definedName>
    <definedName name="rpp">#REF!</definedName>
    <definedName name="rr" localSheetId="0">#REF!</definedName>
    <definedName name="rr">#REF!</definedName>
    <definedName name="rrow1" localSheetId="0">#REF!</definedName>
    <definedName name="rrow1">#REF!</definedName>
    <definedName name="RRR" localSheetId="0">#REF!</definedName>
    <definedName name="RRR">#REF!</definedName>
    <definedName name="RRRR" localSheetId="0"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RRRR" localSheetId="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RRRR"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RSRC" localSheetId="0">#REF!</definedName>
    <definedName name="RSRC">#REF!</definedName>
    <definedName name="rtrtrt" localSheetId="0" hidden="1">{#N/A,#N/A,TRUE,"Est. de Fact.";#N/A,#N/A,TRUE,"Capitulo 19";#N/A,#N/A,TRUE,"Proyecto P855"}</definedName>
    <definedName name="rtrtrt" localSheetId="2" hidden="1">{#N/A,#N/A,TRUE,"Est. de Fact.";#N/A,#N/A,TRUE,"Capitulo 19";#N/A,#N/A,TRUE,"Proyecto P855"}</definedName>
    <definedName name="rtrtrt" hidden="1">{#N/A,#N/A,TRUE,"Est. de Fact.";#N/A,#N/A,TRUE,"Capitulo 19";#N/A,#N/A,TRUE,"Proyecto P855"}</definedName>
    <definedName name="rty" localSheetId="0" hidden="1">{#N/A,#N/A,FALSE,"masez (10)";#N/A,#N/A,FALSE,"masez (7)";#N/A,#N/A,FALSE,"masez (6)";#N/A,#N/A,FALSE,"masez (5)";#N/A,#N/A,FALSE,"masez (4)";#N/A,#N/A,FALSE,"masez (3)";#N/A,#N/A,FALSE,"masez (2)";#N/A,#N/A,FALSE,"GME";#N/A,#N/A,FALSE,"masez"}</definedName>
    <definedName name="rty" localSheetId="2" hidden="1">{#N/A,#N/A,FALSE,"masez (10)";#N/A,#N/A,FALSE,"masez (7)";#N/A,#N/A,FALSE,"masez (6)";#N/A,#N/A,FALSE,"masez (5)";#N/A,#N/A,FALSE,"masez (4)";#N/A,#N/A,FALSE,"masez (3)";#N/A,#N/A,FALSE,"masez (2)";#N/A,#N/A,FALSE,"GME";#N/A,#N/A,FALSE,"masez"}</definedName>
    <definedName name="rty" hidden="1">{#N/A,#N/A,FALSE,"masez (10)";#N/A,#N/A,FALSE,"masez (7)";#N/A,#N/A,FALSE,"masez (6)";#N/A,#N/A,FALSE,"masez (5)";#N/A,#N/A,FALSE,"masez (4)";#N/A,#N/A,FALSE,"masez (3)";#N/A,#N/A,FALSE,"masez (2)";#N/A,#N/A,FALSE,"GME";#N/A,#N/A,FALSE,"masez"}</definedName>
    <definedName name="Rugosidade" localSheetId="0">#REF!</definedName>
    <definedName name="Rugosidade">#REF!</definedName>
    <definedName name="Rugosidade1" localSheetId="0">#REF!</definedName>
    <definedName name="Rugosidade1">#REF!</definedName>
    <definedName name="S" localSheetId="0">#REF!</definedName>
    <definedName name="S">#REF!</definedName>
    <definedName name="sa" localSheetId="0">#REF!</definedName>
    <definedName name="sa">#REF!</definedName>
    <definedName name="saa" localSheetId="0" hidden="1">{#N/A,#N/A,FALSE,"GERAL";#N/A,#N/A,FALSE,"012-96";#N/A,#N/A,FALSE,"018-96";#N/A,#N/A,FALSE,"027-96";#N/A,#N/A,FALSE,"059-96";#N/A,#N/A,FALSE,"076-96";#N/A,#N/A,FALSE,"019-97";#N/A,#N/A,FALSE,"021-97";#N/A,#N/A,FALSE,"022-97";#N/A,#N/A,FALSE,"028-97"}</definedName>
    <definedName name="saa" localSheetId="2" hidden="1">{#N/A,#N/A,FALSE,"GERAL";#N/A,#N/A,FALSE,"012-96";#N/A,#N/A,FALSE,"018-96";#N/A,#N/A,FALSE,"027-96";#N/A,#N/A,FALSE,"059-96";#N/A,#N/A,FALSE,"076-96";#N/A,#N/A,FALSE,"019-97";#N/A,#N/A,FALSE,"021-97";#N/A,#N/A,FALSE,"022-97";#N/A,#N/A,FALSE,"028-97"}</definedName>
    <definedName name="saa" hidden="1">{#N/A,#N/A,FALSE,"GERAL";#N/A,#N/A,FALSE,"012-96";#N/A,#N/A,FALSE,"018-96";#N/A,#N/A,FALSE,"027-96";#N/A,#N/A,FALSE,"059-96";#N/A,#N/A,FALSE,"076-96";#N/A,#N/A,FALSE,"019-97";#N/A,#N/A,FALSE,"021-97";#N/A,#N/A,FALSE,"022-97";#N/A,#N/A,FALSE,"028-97"}</definedName>
    <definedName name="sad" localSheetId="0">#REF!</definedName>
    <definedName name="sad">#REF!</definedName>
    <definedName name="sadd" localSheetId="0" hidden="1">{#N/A,#N/A,FALSE,"GERAL";#N/A,#N/A,FALSE,"012-96";#N/A,#N/A,FALSE,"018-96";#N/A,#N/A,FALSE,"027-96";#N/A,#N/A,FALSE,"059-96";#N/A,#N/A,FALSE,"076-96";#N/A,#N/A,FALSE,"019-97";#N/A,#N/A,FALSE,"021-97";#N/A,#N/A,FALSE,"022-97";#N/A,#N/A,FALSE,"028-97"}</definedName>
    <definedName name="sadd" localSheetId="2" hidden="1">{#N/A,#N/A,FALSE,"GERAL";#N/A,#N/A,FALSE,"012-96";#N/A,#N/A,FALSE,"018-96";#N/A,#N/A,FALSE,"027-96";#N/A,#N/A,FALSE,"059-96";#N/A,#N/A,FALSE,"076-96";#N/A,#N/A,FALSE,"019-97";#N/A,#N/A,FALSE,"021-97";#N/A,#N/A,FALSE,"022-97";#N/A,#N/A,FALSE,"028-97"}</definedName>
    <definedName name="sadd" hidden="1">{#N/A,#N/A,FALSE,"GERAL";#N/A,#N/A,FALSE,"012-96";#N/A,#N/A,FALSE,"018-96";#N/A,#N/A,FALSE,"027-96";#N/A,#N/A,FALSE,"059-96";#N/A,#N/A,FALSE,"076-96";#N/A,#N/A,FALSE,"019-97";#N/A,#N/A,FALSE,"021-97";#N/A,#N/A,FALSE,"022-97";#N/A,#N/A,FALSE,"028-97"}</definedName>
    <definedName name="sadfdf" localSheetId="0" hidden="1">{#N/A,#N/A,FALSE,"Total_OC015";#N/A,#N/A,FALSE,"ADMIN";#N/A,#N/A,FALSE,"PROCES";#N/A,#N/A,FALSE,"mecan";#N/A,#N/A,FALSE,"civil";#N/A,#N/A,FALSE,"CAÑER";#N/A,#N/A,FALSE,"ELEC";#N/A,#N/A,FALSE,"INSTR"}</definedName>
    <definedName name="sadfdf" localSheetId="2" hidden="1">{#N/A,#N/A,FALSE,"Total_OC015";#N/A,#N/A,FALSE,"ADMIN";#N/A,#N/A,FALSE,"PROCES";#N/A,#N/A,FALSE,"mecan";#N/A,#N/A,FALSE,"civil";#N/A,#N/A,FALSE,"CAÑER";#N/A,#N/A,FALSE,"ELEC";#N/A,#N/A,FALSE,"INSTR"}</definedName>
    <definedName name="sadfdf" hidden="1">{#N/A,#N/A,FALSE,"Total_OC015";#N/A,#N/A,FALSE,"ADMIN";#N/A,#N/A,FALSE,"PROCES";#N/A,#N/A,FALSE,"mecan";#N/A,#N/A,FALSE,"civil";#N/A,#N/A,FALSE,"CAÑER";#N/A,#N/A,FALSE,"ELEC";#N/A,#N/A,FALSE,"INSTR"}</definedName>
    <definedName name="SAMKUP" localSheetId="0">#REF!</definedName>
    <definedName name="SAMKUP">#REF!</definedName>
    <definedName name="SAP" localSheetId="0">#REF!</definedName>
    <definedName name="SAP">#REF!</definedName>
    <definedName name="SAP___3D" localSheetId="0">#REF!</definedName>
    <definedName name="SAP___3D">#REF!</definedName>
    <definedName name="SAPBEXhrIndnt" hidden="1">"Wide"</definedName>
    <definedName name="SAPProjOffice" localSheetId="0">#REF!</definedName>
    <definedName name="SAPProjOffice">#REF!</definedName>
    <definedName name="SAPsysID" hidden="1">"708C5W7SBKP804JT78WJ0JNKI"</definedName>
    <definedName name="SAPwbID" hidden="1">"ARS"</definedName>
    <definedName name="SAPWorkCentre" localSheetId="0">#REF!</definedName>
    <definedName name="SAPWorkCentre">#REF!</definedName>
    <definedName name="SARE" localSheetId="0">#REF!</definedName>
    <definedName name="SARE">#REF!</definedName>
    <definedName name="sas" localSheetId="0" hidden="1">{#N/A,#N/A,FALSE,"GERAL";#N/A,#N/A,FALSE,"012-96";#N/A,#N/A,FALSE,"018-96";#N/A,#N/A,FALSE,"027-96";#N/A,#N/A,FALSE,"059-96";#N/A,#N/A,FALSE,"076-96";#N/A,#N/A,FALSE,"019-97";#N/A,#N/A,FALSE,"021-97";#N/A,#N/A,FALSE,"022-97";#N/A,#N/A,FALSE,"028-97"}</definedName>
    <definedName name="sas" localSheetId="2" hidden="1">{#N/A,#N/A,FALSE,"GERAL";#N/A,#N/A,FALSE,"012-96";#N/A,#N/A,FALSE,"018-96";#N/A,#N/A,FALSE,"027-96";#N/A,#N/A,FALSE,"059-96";#N/A,#N/A,FALSE,"076-96";#N/A,#N/A,FALSE,"019-97";#N/A,#N/A,FALSE,"021-97";#N/A,#N/A,FALSE,"022-97";#N/A,#N/A,FALSE,"028-97"}</definedName>
    <definedName name="sas" hidden="1">{#N/A,#N/A,FALSE,"GERAL";#N/A,#N/A,FALSE,"012-96";#N/A,#N/A,FALSE,"018-96";#N/A,#N/A,FALSE,"027-96";#N/A,#N/A,FALSE,"059-96";#N/A,#N/A,FALSE,"076-96";#N/A,#N/A,FALSE,"019-97";#N/A,#N/A,FALSE,"021-97";#N/A,#N/A,FALSE,"022-97";#N/A,#N/A,FALSE,"028-97"}</definedName>
    <definedName name="SCOD02.010.0020" localSheetId="0">#REF!</definedName>
    <definedName name="SCOD02.010.0020">#REF!</definedName>
    <definedName name="SCOD02.010.0040" localSheetId="0">#REF!</definedName>
    <definedName name="SCOD02.010.0040">#REF!</definedName>
    <definedName name="SCOD02.010.0050" localSheetId="0">#REF!</definedName>
    <definedName name="SCOD02.010.0050">#REF!</definedName>
    <definedName name="SCOD02.010.0065">#REF!</definedName>
    <definedName name="SCOD02.010.0080">#REF!</definedName>
    <definedName name="SCOD02.010.0090">#REF!</definedName>
    <definedName name="SCOD02.010.0130">#REF!</definedName>
    <definedName name="SCOD02.010.0140">#REF!</definedName>
    <definedName name="SCOD02.010.0150">#REF!</definedName>
    <definedName name="SCOD02.010.0190">#REF!</definedName>
    <definedName name="SCOD03.010.0020">#REF!</definedName>
    <definedName name="SCOD03.010.0270">#REF!</definedName>
    <definedName name="SCOD03.010.0430">#REF!</definedName>
    <definedName name="SCOD03.010.0440">#REF!</definedName>
    <definedName name="SCOD04.010.0010">#REF!</definedName>
    <definedName name="SCOD04.010.0020">#REF!</definedName>
    <definedName name="SCOD04.010.0040">#REF!</definedName>
    <definedName name="SCOD04.010.0050">#REF!</definedName>
    <definedName name="SCOD04.010.0070">#REF!</definedName>
    <definedName name="SCOD04.010.0140">#REF!</definedName>
    <definedName name="SCOD04.010.0150">#REF!</definedName>
    <definedName name="SCOD04.010.0190">#REF!</definedName>
    <definedName name="SCOD04.010.0200">#REF!</definedName>
    <definedName name="SCOD04.010.0372">#REF!</definedName>
    <definedName name="SCOD04.010.0420">#REF!</definedName>
    <definedName name="SCOD04.010.0430">#REF!</definedName>
    <definedName name="SCOD05.010.0010">#REF!</definedName>
    <definedName name="SCOD05.010.0020">#REF!</definedName>
    <definedName name="SCOD05.010.0040">#REF!</definedName>
    <definedName name="SCOD06.010.0010">#REF!</definedName>
    <definedName name="SCOD08.010.0010">#REF!</definedName>
    <definedName name="SCOD08.010.0030">#REF!</definedName>
    <definedName name="SCOD08.010.0040">#REF!</definedName>
    <definedName name="SCOD08.010.0080">#REF!</definedName>
    <definedName name="SCOD08.010.0120">#REF!</definedName>
    <definedName name="SCOD08.010.0210">#REF!</definedName>
    <definedName name="SCOD08.010.0355">#REF!</definedName>
    <definedName name="SCOD08.010.0380">#REF!</definedName>
    <definedName name="SCOD08.020.0400">#REF!</definedName>
    <definedName name="SCOD08.020.0410">#REF!</definedName>
    <definedName name="SCOD08.020.0420">#REF!</definedName>
    <definedName name="SCOD08.020.0440">#REF!</definedName>
    <definedName name="SCOD09.010.0060">#REF!</definedName>
    <definedName name="SCOD09.010.0150">#REF!</definedName>
    <definedName name="SCOD09.010.0160">#REF!</definedName>
    <definedName name="SCOD09.010.0470">#REF!</definedName>
    <definedName name="SCOD09.010.0520">#REF!</definedName>
    <definedName name="SCOD09.010.0580">#REF!</definedName>
    <definedName name="SCOD10.010.0030">#REF!</definedName>
    <definedName name="SCOD10.010.0150">#REF!</definedName>
    <definedName name="SCOD10.010.0180">#REF!</definedName>
    <definedName name="SCOD10.010.0260">#REF!</definedName>
    <definedName name="SCOD10.010.0270">#REF!</definedName>
    <definedName name="SCOD10.010.0298">#REF!</definedName>
    <definedName name="SCOD10.010.0300">#REF!</definedName>
    <definedName name="SCOD10.010.0301">#REF!</definedName>
    <definedName name="SCOD10.010.0307">#REF!</definedName>
    <definedName name="SCOD10.010.0310">#REF!</definedName>
    <definedName name="SCOD10.010.0320">#REF!</definedName>
    <definedName name="SCOD10.010.0333">#REF!</definedName>
    <definedName name="SCOD10.010.0380">#REF!</definedName>
    <definedName name="SCOD10.010.0430">#REF!</definedName>
    <definedName name="SCOD10.010.0450">#REF!</definedName>
    <definedName name="SCOD10.010.0612">#REF!</definedName>
    <definedName name="SCOD10.010.0624">#REF!</definedName>
    <definedName name="SCOD10.010.0625">#REF!</definedName>
    <definedName name="SCOD10.010.0635">#REF!</definedName>
    <definedName name="SCOD10.010.0640">#REF!</definedName>
    <definedName name="SCOD10.010.0700">#REF!</definedName>
    <definedName name="SCOD10.010.1090">#REF!</definedName>
    <definedName name="SCOD10.010.1100">#REF!</definedName>
    <definedName name="SCOD10.010.1110">#REF!</definedName>
    <definedName name="SCOD10.010.1150">#REF!</definedName>
    <definedName name="SCOD10.010.1370">#REF!</definedName>
    <definedName name="SCOD10.010.1520">#REF!</definedName>
    <definedName name="SCOD10.010.1535">#REF!</definedName>
    <definedName name="SCOD10.010.1570">#REF!</definedName>
    <definedName name="SCOD11.010.0020">#REF!</definedName>
    <definedName name="SCOD11.010.0040">#REF!</definedName>
    <definedName name="SCOD11.010.0060">#REF!</definedName>
    <definedName name="SCOD11.010.0095">#REF!</definedName>
    <definedName name="SCOD11.010.0111">#REF!</definedName>
    <definedName name="SCOD11.010.0160">#REF!</definedName>
    <definedName name="SCOD11.010.0170">#REF!</definedName>
    <definedName name="SCOD11.010.0180">#REF!</definedName>
    <definedName name="SCOD11.010.0190">#REF!</definedName>
    <definedName name="SCOD11.010.0200">#REF!</definedName>
    <definedName name="SCOD11.010.0210">#REF!</definedName>
    <definedName name="SCOD11.010.0220">#REF!</definedName>
    <definedName name="SCOD11.010.0250">#REF!</definedName>
    <definedName name="SCOD11.010.0280">#REF!</definedName>
    <definedName name="SCOD11.010.0290">#REF!</definedName>
    <definedName name="SCOD11.010.0360">#REF!</definedName>
    <definedName name="SCOD11.010.0400">#REF!</definedName>
    <definedName name="SCOD11.010.0500">#REF!</definedName>
    <definedName name="SCOD11.010.0510">#REF!</definedName>
    <definedName name="SCOD11.010.0700">#REF!</definedName>
    <definedName name="SCOD12.010.0550">#REF!</definedName>
    <definedName name="SCOD13.010.0060">#REF!</definedName>
    <definedName name="SCOD13.010.0070">#REF!</definedName>
    <definedName name="SCOD13.010.0500">#REF!</definedName>
    <definedName name="SCOD13.010.1190">#REF!</definedName>
    <definedName name="SCOD13.010.1200">#REF!</definedName>
    <definedName name="SCOD13.010.1210">#REF!</definedName>
    <definedName name="SCOD13.010.1240">#REF!</definedName>
    <definedName name="SCOD15.010.0270">#REF!</definedName>
    <definedName name="SCOD15.010.0280">#REF!</definedName>
    <definedName name="SCOD15.010.0290">#REF!</definedName>
    <definedName name="SCOD16.010.0010">#REF!</definedName>
    <definedName name="SCOD16.010.0060">#REF!</definedName>
    <definedName name="SCOD16.010.0110">#REF!</definedName>
    <definedName name="SCOD16.010.0120">#REF!</definedName>
    <definedName name="SCOD16.010.0170">#REF!</definedName>
    <definedName name="SCOD17.010.0090">#REF!</definedName>
    <definedName name="SCOD17.010.0290">#REF!</definedName>
    <definedName name="SCOD17.010.0320">#REF!</definedName>
    <definedName name="SCOD17.010.0351">#REF!</definedName>
    <definedName name="SCOD17.010.0390">#REF!</definedName>
    <definedName name="SCOD17.010.0436">#REF!</definedName>
    <definedName name="SCOD17.010.0437">#REF!</definedName>
    <definedName name="SCOD17.010.0444">#REF!</definedName>
    <definedName name="SCOD17.010.0455">#REF!</definedName>
    <definedName name="SCOD17.010.0551">#REF!</definedName>
    <definedName name="SCOD17.010.0603">#REF!</definedName>
    <definedName name="SCOD17.010.0604">#REF!</definedName>
    <definedName name="SCODComposição01">#REF!</definedName>
    <definedName name="SCODComposição02">#REF!</definedName>
    <definedName name="SCODComposição03">#REF!</definedName>
    <definedName name="SCODComposição04">#REF!</definedName>
    <definedName name="SCODComposição05">#REF!</definedName>
    <definedName name="SCODComposição06">#REF!</definedName>
    <definedName name="SCODCOTADO01">#REF!</definedName>
    <definedName name="SD" localSheetId="0" hidden="1">{#N/A,#N/A,FALSE,"TEC-01";#N/A,#N/A,FALSE,"TEC - 02";#N/A,#N/A,FALSE,"TEC - 03";#N/A,#N/A,FALSE,"TEC - 04";#N/A,#N/A,FALSE,"TEC-07";#N/A,#N/A,FALSE,"TEC-08";#N/A,#N/A,FALSE,"TEC - 09A";#N/A,#N/A,FALSE,"TEC - 09B";#N/A,#N/A,FALSE,"TEC - 09C";#N/A,#N/A,FALSE,"TEC - 10";#N/A,#N/A,FALSE,"TEC-11"}</definedName>
    <definedName name="SD" localSheetId="2" hidden="1">{#N/A,#N/A,FALSE,"TEC-01";#N/A,#N/A,FALSE,"TEC - 02";#N/A,#N/A,FALSE,"TEC - 03";#N/A,#N/A,FALSE,"TEC - 04";#N/A,#N/A,FALSE,"TEC-07";#N/A,#N/A,FALSE,"TEC-08";#N/A,#N/A,FALSE,"TEC - 09A";#N/A,#N/A,FALSE,"TEC - 09B";#N/A,#N/A,FALSE,"TEC - 09C";#N/A,#N/A,FALSE,"TEC - 10";#N/A,#N/A,FALSE,"TEC-11"}</definedName>
    <definedName name="SD" hidden="1">{#N/A,#N/A,FALSE,"TEC-01";#N/A,#N/A,FALSE,"TEC - 02";#N/A,#N/A,FALSE,"TEC - 03";#N/A,#N/A,FALSE,"TEC - 04";#N/A,#N/A,FALSE,"TEC-07";#N/A,#N/A,FALSE,"TEC-08";#N/A,#N/A,FALSE,"TEC - 09A";#N/A,#N/A,FALSE,"TEC - 09B";#N/A,#N/A,FALSE,"TEC - 09C";#N/A,#N/A,FALSE,"TEC - 10";#N/A,#N/A,FALSE,"TEC-11"}</definedName>
    <definedName name="sdf" localSheetId="0" hidden="1">{#N/A,#N/A,FALSE,"GERAL";#N/A,#N/A,FALSE,"012-96";#N/A,#N/A,FALSE,"018-96";#N/A,#N/A,FALSE,"027-96";#N/A,#N/A,FALSE,"059-96";#N/A,#N/A,FALSE,"076-96";#N/A,#N/A,FALSE,"019-97";#N/A,#N/A,FALSE,"021-97";#N/A,#N/A,FALSE,"022-97";#N/A,#N/A,FALSE,"028-97"}</definedName>
    <definedName name="sdf" localSheetId="2" hidden="1">{#N/A,#N/A,FALSE,"GERAL";#N/A,#N/A,FALSE,"012-96";#N/A,#N/A,FALSE,"018-96";#N/A,#N/A,FALSE,"027-96";#N/A,#N/A,FALSE,"059-96";#N/A,#N/A,FALSE,"076-96";#N/A,#N/A,FALSE,"019-97";#N/A,#N/A,FALSE,"021-97";#N/A,#N/A,FALSE,"022-97";#N/A,#N/A,FALSE,"028-97"}</definedName>
    <definedName name="sdf" hidden="1">{#N/A,#N/A,FALSE,"GERAL";#N/A,#N/A,FALSE,"012-96";#N/A,#N/A,FALSE,"018-96";#N/A,#N/A,FALSE,"027-96";#N/A,#N/A,FALSE,"059-96";#N/A,#N/A,FALSE,"076-96";#N/A,#N/A,FALSE,"019-97";#N/A,#N/A,FALSE,"021-97";#N/A,#N/A,FALSE,"022-97";#N/A,#N/A,FALSE,"028-97"}</definedName>
    <definedName name="sdfsdfsd" localSheetId="0">#REF!</definedName>
    <definedName name="sdfsdfsd">#REF!</definedName>
    <definedName name="SDKSD" localSheetId="0" hidden="1">{#N/A,#N/A,FALSE,"Total_OC015";#N/A,#N/A,FALSE,"ADMIN";#N/A,#N/A,FALSE,"PROCES";#N/A,#N/A,FALSE,"mecan";#N/A,#N/A,FALSE,"civil";#N/A,#N/A,FALSE,"CAÑER";#N/A,#N/A,FALSE,"ELEC";#N/A,#N/A,FALSE,"INSTR"}</definedName>
    <definedName name="SDKSD" localSheetId="2" hidden="1">{#N/A,#N/A,FALSE,"Total_OC015";#N/A,#N/A,FALSE,"ADMIN";#N/A,#N/A,FALSE,"PROCES";#N/A,#N/A,FALSE,"mecan";#N/A,#N/A,FALSE,"civil";#N/A,#N/A,FALSE,"CAÑER";#N/A,#N/A,FALSE,"ELEC";#N/A,#N/A,FALSE,"INSTR"}</definedName>
    <definedName name="SDKSD" hidden="1">{#N/A,#N/A,FALSE,"Total_OC015";#N/A,#N/A,FALSE,"ADMIN";#N/A,#N/A,FALSE,"PROCES";#N/A,#N/A,FALSE,"mecan";#N/A,#N/A,FALSE,"civil";#N/A,#N/A,FALSE,"CAÑER";#N/A,#N/A,FALSE,"ELEC";#N/A,#N/A,FALSE,"INSTR"}</definedName>
    <definedName name="sdsd" localSheetId="0" hidden="1">{#N/A,#N/A,FALSE,"Total_OC015";#N/A,#N/A,FALSE,"ADMIN";#N/A,#N/A,FALSE,"PROCES";#N/A,#N/A,FALSE,"mecan";#N/A,#N/A,FALSE,"civil";#N/A,#N/A,FALSE,"CAÑER";#N/A,#N/A,FALSE,"ELEC";#N/A,#N/A,FALSE,"INSTR"}</definedName>
    <definedName name="sdsd" localSheetId="2" hidden="1">{#N/A,#N/A,FALSE,"Total_OC015";#N/A,#N/A,FALSE,"ADMIN";#N/A,#N/A,FALSE,"PROCES";#N/A,#N/A,FALSE,"mecan";#N/A,#N/A,FALSE,"civil";#N/A,#N/A,FALSE,"CAÑER";#N/A,#N/A,FALSE,"ELEC";#N/A,#N/A,FALSE,"INSTR"}</definedName>
    <definedName name="sdsd" hidden="1">{#N/A,#N/A,FALSE,"Total_OC015";#N/A,#N/A,FALSE,"ADMIN";#N/A,#N/A,FALSE,"PROCES";#N/A,#N/A,FALSE,"mecan";#N/A,#N/A,FALSE,"civil";#N/A,#N/A,FALSE,"CAÑER";#N/A,#N/A,FALSE,"ELEC";#N/A,#N/A,FALSE,"INSTR"}</definedName>
    <definedName name="SE" localSheetId="0" hidden="1">{#N/A,#N/A,FALSE,"GERAL";#N/A,#N/A,FALSE,"012-96";#N/A,#N/A,FALSE,"018-96";#N/A,#N/A,FALSE,"027-96";#N/A,#N/A,FALSE,"059-96";#N/A,#N/A,FALSE,"076-96";#N/A,#N/A,FALSE,"019-97";#N/A,#N/A,FALSE,"021-97";#N/A,#N/A,FALSE,"022-97";#N/A,#N/A,FALSE,"028-97"}</definedName>
    <definedName name="SE" localSheetId="2" hidden="1">{#N/A,#N/A,FALSE,"GERAL";#N/A,#N/A,FALSE,"012-96";#N/A,#N/A,FALSE,"018-96";#N/A,#N/A,FALSE,"027-96";#N/A,#N/A,FALSE,"059-96";#N/A,#N/A,FALSE,"076-96";#N/A,#N/A,FALSE,"019-97";#N/A,#N/A,FALSE,"021-97";#N/A,#N/A,FALSE,"022-97";#N/A,#N/A,FALSE,"028-97"}</definedName>
    <definedName name="SE" hidden="1">{#N/A,#N/A,FALSE,"GERAL";#N/A,#N/A,FALSE,"012-96";#N/A,#N/A,FALSE,"018-96";#N/A,#N/A,FALSE,"027-96";#N/A,#N/A,FALSE,"059-96";#N/A,#N/A,FALSE,"076-96";#N/A,#N/A,FALSE,"019-97";#N/A,#N/A,FALSE,"021-97";#N/A,#N/A,FALSE,"022-97";#N/A,#N/A,FALSE,"028-97"}</definedName>
    <definedName name="segment_model" localSheetId="0">#REF!</definedName>
    <definedName name="segment_model">#REF!</definedName>
    <definedName name="Segments" localSheetId="0">#REF!</definedName>
    <definedName name="Segments">#REF!</definedName>
    <definedName name="SeguroAcid.Trab." localSheetId="0">#REF!</definedName>
    <definedName name="SeguroAcid.Trab.">#REF!</definedName>
    <definedName name="SeguroVida" localSheetId="0">#REF!</definedName>
    <definedName name="SeguroVida">#REF!</definedName>
    <definedName name="SeguroVidaEmGrupo" localSheetId="0">#REF!</definedName>
    <definedName name="SeguroVidaEmGrupo">#REF!</definedName>
    <definedName name="Seis" localSheetId="0">#REF!</definedName>
    <definedName name="Seis">#REF!</definedName>
    <definedName name="SELBE" localSheetId="0"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SELBE" localSheetId="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SELBE"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SEMKUP" localSheetId="0">#REF!</definedName>
    <definedName name="SEMKUP">#REF!</definedName>
    <definedName name="sencount" hidden="1">1</definedName>
    <definedName name="sens" localSheetId="0">#REF!</definedName>
    <definedName name="sens">#REF!</definedName>
    <definedName name="sens2" localSheetId="0">#REF!</definedName>
    <definedName name="sens2">#REF!</definedName>
    <definedName name="sens200" localSheetId="0">#REF!</definedName>
    <definedName name="sens200">#REF!</definedName>
    <definedName name="SENTRANS" localSheetId="0">#REF!</definedName>
    <definedName name="SENTRANS">#REF!</definedName>
    <definedName name="serv" localSheetId="0">#REF!</definedName>
    <definedName name="serv">#REF!</definedName>
    <definedName name="SET" localSheetId="0">#REF!</definedName>
    <definedName name="SET">#REF!</definedName>
    <definedName name="SET_UP_DO_PROJETO" localSheetId="0">#REF!</definedName>
    <definedName name="SET_UP_DO_PROJETO">#REF!</definedName>
    <definedName name="Sete" localSheetId="0">#REF!</definedName>
    <definedName name="Sete">#REF!</definedName>
    <definedName name="seveneight" localSheetId="0">#REF!</definedName>
    <definedName name="seveneight">#REF!</definedName>
    <definedName name="sevennine" localSheetId="0">#REF!</definedName>
    <definedName name="sevennine">#REF!</definedName>
    <definedName name="sevenseven" localSheetId="0">#REF!</definedName>
    <definedName name="sevenseven">#REF!</definedName>
    <definedName name="sevenzero" localSheetId="0">#REF!</definedName>
    <definedName name="sevenzero">#REF!</definedName>
    <definedName name="sewer" localSheetId="0">#REF!</definedName>
    <definedName name="sewer">#REF!</definedName>
    <definedName name="SF" localSheetId="0">#REF!</definedName>
    <definedName name="SF">#REF!</definedName>
    <definedName name="SFGAST5" localSheetId="0" hidden="1">{#N/A,#N/A,FALSE,"IC_Global";#N/A,#N/A,FALSE,"IC_Global (98-f)";#N/A,#N/A,FALSE,"Inc";#N/A,#N/A,FALSE,"CAMBIOS (2)";#N/A,#N/A,FALSE,"EXPL Inc.";#N/A,#N/A,FALSE,"HITOS98";#N/A,#N/A,FALSE,"CURVA ""S"" GLOBAL ";#N/A,#N/A,FALSE,"CURVA ""S"" 1998 "}</definedName>
    <definedName name="SFGAST5" localSheetId="2" hidden="1">{#N/A,#N/A,FALSE,"IC_Global";#N/A,#N/A,FALSE,"IC_Global (98-f)";#N/A,#N/A,FALSE,"Inc";#N/A,#N/A,FALSE,"CAMBIOS (2)";#N/A,#N/A,FALSE,"EXPL Inc.";#N/A,#N/A,FALSE,"HITOS98";#N/A,#N/A,FALSE,"CURVA ""S"" GLOBAL ";#N/A,#N/A,FALSE,"CURVA ""S"" 1998 "}</definedName>
    <definedName name="SFGAST5" hidden="1">{#N/A,#N/A,FALSE,"IC_Global";#N/A,#N/A,FALSE,"IC_Global (98-f)";#N/A,#N/A,FALSE,"Inc";#N/A,#N/A,FALSE,"CAMBIOS (2)";#N/A,#N/A,FALSE,"EXPL Inc.";#N/A,#N/A,FALSE,"HITOS98";#N/A,#N/A,FALSE,"CURVA ""S"" GLOBAL ";#N/A,#N/A,FALSE,"CURVA ""S"" 1998 "}</definedName>
    <definedName name="SFSTRT" localSheetId="0" hidden="1">{#N/A,#N/A,FALSE,"masez (10)";#N/A,#N/A,FALSE,"masez (7)";#N/A,#N/A,FALSE,"masez (6)";#N/A,#N/A,FALSE,"masez (5)";#N/A,#N/A,FALSE,"masez (4)";#N/A,#N/A,FALSE,"masez (3)";#N/A,#N/A,FALSE,"masez (2)";#N/A,#N/A,FALSE,"GME";#N/A,#N/A,FALSE,"masez"}</definedName>
    <definedName name="SFSTRT" localSheetId="2" hidden="1">{#N/A,#N/A,FALSE,"masez (10)";#N/A,#N/A,FALSE,"masez (7)";#N/A,#N/A,FALSE,"masez (6)";#N/A,#N/A,FALSE,"masez (5)";#N/A,#N/A,FALSE,"masez (4)";#N/A,#N/A,FALSE,"masez (3)";#N/A,#N/A,FALSE,"masez (2)";#N/A,#N/A,FALSE,"GME";#N/A,#N/A,FALSE,"masez"}</definedName>
    <definedName name="SFSTRT" hidden="1">{#N/A,#N/A,FALSE,"masez (10)";#N/A,#N/A,FALSE,"masez (7)";#N/A,#N/A,FALSE,"masez (6)";#N/A,#N/A,FALSE,"masez (5)";#N/A,#N/A,FALSE,"masez (4)";#N/A,#N/A,FALSE,"masez (3)";#N/A,#N/A,FALSE,"masez (2)";#N/A,#N/A,FALSE,"GME";#N/A,#N/A,FALSE,"masez"}</definedName>
    <definedName name="SH" localSheetId="0" hidden="1">{#N/A,#N/A,FALSE,"GERAL";#N/A,#N/A,FALSE,"012-96";#N/A,#N/A,FALSE,"018-96";#N/A,#N/A,FALSE,"027-96";#N/A,#N/A,FALSE,"059-96";#N/A,#N/A,FALSE,"076-96";#N/A,#N/A,FALSE,"019-97";#N/A,#N/A,FALSE,"021-97";#N/A,#N/A,FALSE,"022-97";#N/A,#N/A,FALSE,"028-97"}</definedName>
    <definedName name="SH" localSheetId="2" hidden="1">{#N/A,#N/A,FALSE,"GERAL";#N/A,#N/A,FALSE,"012-96";#N/A,#N/A,FALSE,"018-96";#N/A,#N/A,FALSE,"027-96";#N/A,#N/A,FALSE,"059-96";#N/A,#N/A,FALSE,"076-96";#N/A,#N/A,FALSE,"019-97";#N/A,#N/A,FALSE,"021-97";#N/A,#N/A,FALSE,"022-97";#N/A,#N/A,FALSE,"028-97"}</definedName>
    <definedName name="SH" hidden="1">{#N/A,#N/A,FALSE,"GERAL";#N/A,#N/A,FALSE,"012-96";#N/A,#N/A,FALSE,"018-96";#N/A,#N/A,FALSE,"027-96";#N/A,#N/A,FALSE,"059-96";#N/A,#N/A,FALSE,"076-96";#N/A,#N/A,FALSE,"019-97";#N/A,#N/A,FALSE,"021-97";#N/A,#N/A,FALSE,"022-97";#N/A,#N/A,FALSE,"028-97"}</definedName>
    <definedName name="SHEE" localSheetId="0">#REF!</definedName>
    <definedName name="SHEE">#REF!</definedName>
    <definedName name="SHEET" localSheetId="0">#REF!</definedName>
    <definedName name="SHEET">#REF!</definedName>
    <definedName name="Sheet_size" localSheetId="0">#REF!</definedName>
    <definedName name="Sheet_size">#REF!</definedName>
    <definedName name="shit" localSheetId="0">#REF!</definedName>
    <definedName name="shit">#REF!</definedName>
    <definedName name="shit2" localSheetId="0">#REF!</definedName>
    <definedName name="shit2">#REF!</definedName>
    <definedName name="ShrsperWk" localSheetId="0">#REF!</definedName>
    <definedName name="ShrsperWk">#REF!</definedName>
    <definedName name="Si" localSheetId="0" hidden="1">{#N/A,#N/A,FALSE,"GERAL";#N/A,#N/A,FALSE,"012-96";#N/A,#N/A,FALSE,"018-96";#N/A,#N/A,FALSE,"027-96";#N/A,#N/A,FALSE,"059-96";#N/A,#N/A,FALSE,"076-96";#N/A,#N/A,FALSE,"019-97";#N/A,#N/A,FALSE,"021-97";#N/A,#N/A,FALSE,"022-97";#N/A,#N/A,FALSE,"028-97"}</definedName>
    <definedName name="Si" localSheetId="2" hidden="1">{#N/A,#N/A,FALSE,"GERAL";#N/A,#N/A,FALSE,"012-96";#N/A,#N/A,FALSE,"018-96";#N/A,#N/A,FALSE,"027-96";#N/A,#N/A,FALSE,"059-96";#N/A,#N/A,FALSE,"076-96";#N/A,#N/A,FALSE,"019-97";#N/A,#N/A,FALSE,"021-97";#N/A,#N/A,FALSE,"022-97";#N/A,#N/A,FALSE,"028-97"}</definedName>
    <definedName name="Si" hidden="1">{#N/A,#N/A,FALSE,"GERAL";#N/A,#N/A,FALSE,"012-96";#N/A,#N/A,FALSE,"018-96";#N/A,#N/A,FALSE,"027-96";#N/A,#N/A,FALSE,"059-96";#N/A,#N/A,FALSE,"076-96";#N/A,#N/A,FALSE,"019-97";#N/A,#N/A,FALSE,"021-97";#N/A,#N/A,FALSE,"022-97";#N/A,#N/A,FALSE,"028-97"}</definedName>
    <definedName name="SidewallsScaled" localSheetId="0">#REF!</definedName>
    <definedName name="SidewallsScaled">#REF!</definedName>
    <definedName name="SIE" localSheetId="0">#REF!</definedName>
    <definedName name="SIE">#REF!</definedName>
    <definedName name="SIG" localSheetId="0">#REF!</definedName>
    <definedName name="SIG">#REF!</definedName>
    <definedName name="Singularidade" localSheetId="0">#REF!</definedName>
    <definedName name="Singularidade">#REF!</definedName>
    <definedName name="Singularidade1" localSheetId="0">#REF!</definedName>
    <definedName name="Singularidade1">#REF!</definedName>
    <definedName name="SITE" localSheetId="0">#REF!</definedName>
    <definedName name="SITE">#REF!</definedName>
    <definedName name="SixA" localSheetId="0">#REF!</definedName>
    <definedName name="SixA">#REF!</definedName>
    <definedName name="SixB" localSheetId="0">#REF!</definedName>
    <definedName name="SixB">#REF!</definedName>
    <definedName name="SixC" localSheetId="0">#REF!</definedName>
    <definedName name="SixC">#REF!</definedName>
    <definedName name="SixD" localSheetId="0">#REF!</definedName>
    <definedName name="SixD">#REF!</definedName>
    <definedName name="SixE" localSheetId="0">#REF!</definedName>
    <definedName name="SixE">#REF!</definedName>
    <definedName name="SixF" localSheetId="0">#REF!</definedName>
    <definedName name="SixF">#REF!</definedName>
    <definedName name="SixG" localSheetId="0">#REF!</definedName>
    <definedName name="SixG">#REF!</definedName>
    <definedName name="SixH" localSheetId="0">#REF!</definedName>
    <definedName name="SixH">#REF!</definedName>
    <definedName name="SixI" localSheetId="0">#REF!</definedName>
    <definedName name="SixI">#REF!</definedName>
    <definedName name="SixJ" localSheetId="0">#REF!</definedName>
    <definedName name="SixJ">#REF!</definedName>
    <definedName name="SixK" localSheetId="0">#REF!</definedName>
    <definedName name="SixK">#REF!</definedName>
    <definedName name="SixL" localSheetId="0">#REF!</definedName>
    <definedName name="SixL">#REF!</definedName>
    <definedName name="SixM" localSheetId="0">#REF!</definedName>
    <definedName name="SixM">#REF!</definedName>
    <definedName name="Sml" localSheetId="0">{"um","dois","três","quatro","cinco","seis","sete","oito","nove","dez","onze","doze","treze","quatorze","quinze","dezesseis","dezessete","dezoito","dezenove"}</definedName>
    <definedName name="Sml" localSheetId="2">{"um","dois","três","quatro","cinco","seis","sete","oito","nove","dez","onze","doze","treze","quatorze","quinze","dezesseis","dezessete","dezoito","dezenove"}</definedName>
    <definedName name="Sml">{"um","dois","três","quatro","cinco","seis","sete","oito","nove","dez","onze","doze","treze","quatorze","quinze","dezesseis","dezessete","dezoito","dezenove"}</definedName>
    <definedName name="Sng" localSheetId="0">{"um","mil","um milhão","um bilhão","um trilhão"}</definedName>
    <definedName name="Sng" localSheetId="2">{"um","mil","um milhão","um bilhão","um trilhão"}</definedName>
    <definedName name="Sng">{"um","mil","um milhão","um bilhão","um trilhão"}</definedName>
    <definedName name="solver_lin" hidden="1">0</definedName>
    <definedName name="solver_num" hidden="1">0</definedName>
    <definedName name="solver_rel1" hidden="1">3</definedName>
    <definedName name="solver_rhs1" hidden="1">0</definedName>
    <definedName name="solver_tmp" hidden="1">0</definedName>
    <definedName name="solver_typ" hidden="1">1</definedName>
    <definedName name="solver_val" hidden="1">0</definedName>
    <definedName name="SOMA" localSheetId="0">#REF!</definedName>
    <definedName name="SOMA">#REF!</definedName>
    <definedName name="SP_C" localSheetId="0">#REF!</definedName>
    <definedName name="SP_C">#REF!</definedName>
    <definedName name="span" localSheetId="0">#REF!</definedName>
    <definedName name="span">#REF!</definedName>
    <definedName name="SPECIALIZED" localSheetId="0">#REF!</definedName>
    <definedName name="SPECIALIZED">#REF!</definedName>
    <definedName name="SRH" localSheetId="0" hidden="1">{#N/A,#N/A,FALSE,"GERAL";#N/A,#N/A,FALSE,"012-96";#N/A,#N/A,FALSE,"018-96";#N/A,#N/A,FALSE,"027-96";#N/A,#N/A,FALSE,"059-96";#N/A,#N/A,FALSE,"076-96";#N/A,#N/A,FALSE,"019-97";#N/A,#N/A,FALSE,"021-97";#N/A,#N/A,FALSE,"022-97";#N/A,#N/A,FALSE,"028-97"}</definedName>
    <definedName name="SRH" localSheetId="2" hidden="1">{#N/A,#N/A,FALSE,"GERAL";#N/A,#N/A,FALSE,"012-96";#N/A,#N/A,FALSE,"018-96";#N/A,#N/A,FALSE,"027-96";#N/A,#N/A,FALSE,"059-96";#N/A,#N/A,FALSE,"076-96";#N/A,#N/A,FALSE,"019-97";#N/A,#N/A,FALSE,"021-97";#N/A,#N/A,FALSE,"022-97";#N/A,#N/A,FALSE,"028-97"}</definedName>
    <definedName name="SRH" hidden="1">{#N/A,#N/A,FALSE,"GERAL";#N/A,#N/A,FALSE,"012-96";#N/A,#N/A,FALSE,"018-96";#N/A,#N/A,FALSE,"027-96";#N/A,#N/A,FALSE,"059-96";#N/A,#N/A,FALSE,"076-96";#N/A,#N/A,FALSE,"019-97";#N/A,#N/A,FALSE,"021-97";#N/A,#N/A,FALSE,"022-97";#N/A,#N/A,FALSE,"028-97"}</definedName>
    <definedName name="SRTSRT" localSheetId="0" hidden="1">{#N/A,#N/A,FALSE,"GERAL";#N/A,#N/A,FALSE,"012-96";#N/A,#N/A,FALSE,"018-96";#N/A,#N/A,FALSE,"027-96";#N/A,#N/A,FALSE,"059-96";#N/A,#N/A,FALSE,"076-96";#N/A,#N/A,FALSE,"019-97";#N/A,#N/A,FALSE,"021-97";#N/A,#N/A,FALSE,"022-97";#N/A,#N/A,FALSE,"028-97"}</definedName>
    <definedName name="SRTSRT" localSheetId="2" hidden="1">{#N/A,#N/A,FALSE,"GERAL";#N/A,#N/A,FALSE,"012-96";#N/A,#N/A,FALSE,"018-96";#N/A,#N/A,FALSE,"027-96";#N/A,#N/A,FALSE,"059-96";#N/A,#N/A,FALSE,"076-96";#N/A,#N/A,FALSE,"019-97";#N/A,#N/A,FALSE,"021-97";#N/A,#N/A,FALSE,"022-97";#N/A,#N/A,FALSE,"028-97"}</definedName>
    <definedName name="SRTSRT" hidden="1">{#N/A,#N/A,FALSE,"GERAL";#N/A,#N/A,FALSE,"012-96";#N/A,#N/A,FALSE,"018-96";#N/A,#N/A,FALSE,"027-96";#N/A,#N/A,FALSE,"059-96";#N/A,#N/A,FALSE,"076-96";#N/A,#N/A,FALSE,"019-97";#N/A,#N/A,FALSE,"021-97";#N/A,#N/A,FALSE,"022-97";#N/A,#N/A,FALSE,"028-97"}</definedName>
    <definedName name="SRTST" localSheetId="0" hidden="1">{#N/A,#N/A,FALSE,"GERAL";#N/A,#N/A,FALSE,"012-96";#N/A,#N/A,FALSE,"018-96";#N/A,#N/A,FALSE,"027-96";#N/A,#N/A,FALSE,"059-96";#N/A,#N/A,FALSE,"076-96";#N/A,#N/A,FALSE,"019-97";#N/A,#N/A,FALSE,"021-97";#N/A,#N/A,FALSE,"022-97";#N/A,#N/A,FALSE,"028-97"}</definedName>
    <definedName name="SRTST" localSheetId="2" hidden="1">{#N/A,#N/A,FALSE,"GERAL";#N/A,#N/A,FALSE,"012-96";#N/A,#N/A,FALSE,"018-96";#N/A,#N/A,FALSE,"027-96";#N/A,#N/A,FALSE,"059-96";#N/A,#N/A,FALSE,"076-96";#N/A,#N/A,FALSE,"019-97";#N/A,#N/A,FALSE,"021-97";#N/A,#N/A,FALSE,"022-97";#N/A,#N/A,FALSE,"028-97"}</definedName>
    <definedName name="SRTST" hidden="1">{#N/A,#N/A,FALSE,"GERAL";#N/A,#N/A,FALSE,"012-96";#N/A,#N/A,FALSE,"018-96";#N/A,#N/A,FALSE,"027-96";#N/A,#N/A,FALSE,"059-96";#N/A,#N/A,FALSE,"076-96";#N/A,#N/A,FALSE,"019-97";#N/A,#N/A,FALSE,"021-97";#N/A,#N/A,FALSE,"022-97";#N/A,#N/A,FALSE,"028-97"}</definedName>
    <definedName name="ss" localSheetId="0" hidden="1">{#N/A,#N/A,FALSE,"GERAL";#N/A,#N/A,FALSE,"012-96";#N/A,#N/A,FALSE,"018-96";#N/A,#N/A,FALSE,"027-96";#N/A,#N/A,FALSE,"059-96";#N/A,#N/A,FALSE,"076-96";#N/A,#N/A,FALSE,"019-97";#N/A,#N/A,FALSE,"021-97";#N/A,#N/A,FALSE,"022-97";#N/A,#N/A,FALSE,"028-97"}</definedName>
    <definedName name="ss" localSheetId="2" hidden="1">{#N/A,#N/A,FALSE,"GERAL";#N/A,#N/A,FALSE,"012-96";#N/A,#N/A,FALSE,"018-96";#N/A,#N/A,FALSE,"027-96";#N/A,#N/A,FALSE,"059-96";#N/A,#N/A,FALSE,"076-96";#N/A,#N/A,FALSE,"019-97";#N/A,#N/A,FALSE,"021-97";#N/A,#N/A,FALSE,"022-97";#N/A,#N/A,FALSE,"028-97"}</definedName>
    <definedName name="ss" hidden="1">{#N/A,#N/A,FALSE,"GERAL";#N/A,#N/A,FALSE,"012-96";#N/A,#N/A,FALSE,"018-96";#N/A,#N/A,FALSE,"027-96";#N/A,#N/A,FALSE,"059-96";#N/A,#N/A,FALSE,"076-96";#N/A,#N/A,FALSE,"019-97";#N/A,#N/A,FALSE,"021-97";#N/A,#N/A,FALSE,"022-97";#N/A,#N/A,FALSE,"028-97"}</definedName>
    <definedName name="ssdsdsds" localSheetId="0"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ssdsdsds" localSheetId="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ssdsdsds"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SSNo" localSheetId="0">#REF!</definedName>
    <definedName name="SSNo">#REF!</definedName>
    <definedName name="sss" localSheetId="0" hidden="1">{#N/A,#N/A,FALSE,"masez (10)";#N/A,#N/A,FALSE,"masez (7)";#N/A,#N/A,FALSE,"masez (6)";#N/A,#N/A,FALSE,"masez (5)";#N/A,#N/A,FALSE,"masez (4)";#N/A,#N/A,FALSE,"masez (3)";#N/A,#N/A,FALSE,"masez (2)";#N/A,#N/A,FALSE,"GME";#N/A,#N/A,FALSE,"masez"}</definedName>
    <definedName name="sss" localSheetId="2" hidden="1">{#N/A,#N/A,FALSE,"masez (10)";#N/A,#N/A,FALSE,"masez (7)";#N/A,#N/A,FALSE,"masez (6)";#N/A,#N/A,FALSE,"masez (5)";#N/A,#N/A,FALSE,"masez (4)";#N/A,#N/A,FALSE,"masez (3)";#N/A,#N/A,FALSE,"masez (2)";#N/A,#N/A,FALSE,"GME";#N/A,#N/A,FALSE,"masez"}</definedName>
    <definedName name="sss" hidden="1">{#N/A,#N/A,FALSE,"masez (10)";#N/A,#N/A,FALSE,"masez (7)";#N/A,#N/A,FALSE,"masez (6)";#N/A,#N/A,FALSE,"masez (5)";#N/A,#N/A,FALSE,"masez (4)";#N/A,#N/A,FALSE,"masez (3)";#N/A,#N/A,FALSE,"masez (2)";#N/A,#N/A,FALSE,"GME";#N/A,#N/A,FALSE,"masez"}</definedName>
    <definedName name="SSSS" localSheetId="0">#REF!</definedName>
    <definedName name="SSSS">#REF!</definedName>
    <definedName name="sssss" localSheetId="0" hidden="1">{#N/A,#N/A,FALSE,"Total_OC015";#N/A,#N/A,FALSE,"ADMIN";#N/A,#N/A,FALSE,"PROCES";#N/A,#N/A,FALSE,"mecan";#N/A,#N/A,FALSE,"civil";#N/A,#N/A,FALSE,"CAÑER";#N/A,#N/A,FALSE,"ELEC";#N/A,#N/A,FALSE,"INSTR"}</definedName>
    <definedName name="sssss" localSheetId="2" hidden="1">{#N/A,#N/A,FALSE,"Total_OC015";#N/A,#N/A,FALSE,"ADMIN";#N/A,#N/A,FALSE,"PROCES";#N/A,#N/A,FALSE,"mecan";#N/A,#N/A,FALSE,"civil";#N/A,#N/A,FALSE,"CAÑER";#N/A,#N/A,FALSE,"ELEC";#N/A,#N/A,FALSE,"INSTR"}</definedName>
    <definedName name="sssss" hidden="1">{#N/A,#N/A,FALSE,"Total_OC015";#N/A,#N/A,FALSE,"ADMIN";#N/A,#N/A,FALSE,"PROCES";#N/A,#N/A,FALSE,"mecan";#N/A,#N/A,FALSE,"civil";#N/A,#N/A,FALSE,"CAÑER";#N/A,#N/A,FALSE,"ELEC";#N/A,#N/A,FALSE,"INSTR"}</definedName>
    <definedName name="SSSSSS" localSheetId="0">#REF!</definedName>
    <definedName name="SSSSSS">#REF!</definedName>
    <definedName name="sssssssss" localSheetId="0" hidden="1">{#N/A,#N/A,FALSE,"GERAL";#N/A,#N/A,FALSE,"012-96";#N/A,#N/A,FALSE,"018-96";#N/A,#N/A,FALSE,"027-96";#N/A,#N/A,FALSE,"059-96";#N/A,#N/A,FALSE,"076-96";#N/A,#N/A,FALSE,"019-97";#N/A,#N/A,FALSE,"021-97";#N/A,#N/A,FALSE,"022-97";#N/A,#N/A,FALSE,"028-97"}</definedName>
    <definedName name="sssssssss" localSheetId="2" hidden="1">{#N/A,#N/A,FALSE,"GERAL";#N/A,#N/A,FALSE,"012-96";#N/A,#N/A,FALSE,"018-96";#N/A,#N/A,FALSE,"027-96";#N/A,#N/A,FALSE,"059-96";#N/A,#N/A,FALSE,"076-96";#N/A,#N/A,FALSE,"019-97";#N/A,#N/A,FALSE,"021-97";#N/A,#N/A,FALSE,"022-97";#N/A,#N/A,FALSE,"028-97"}</definedName>
    <definedName name="sssssssss" hidden="1">{#N/A,#N/A,FALSE,"GERAL";#N/A,#N/A,FALSE,"012-96";#N/A,#N/A,FALSE,"018-96";#N/A,#N/A,FALSE,"027-96";#N/A,#N/A,FALSE,"059-96";#N/A,#N/A,FALSE,"076-96";#N/A,#N/A,FALSE,"019-97";#N/A,#N/A,FALSE,"021-97";#N/A,#N/A,FALSE,"022-97";#N/A,#N/A,FALSE,"028-97"}</definedName>
    <definedName name="SSYes" localSheetId="0">#REF!</definedName>
    <definedName name="SSYes">#REF!</definedName>
    <definedName name="st" localSheetId="0">#REF!</definedName>
    <definedName name="st">#REF!</definedName>
    <definedName name="Staff" localSheetId="0">#REF!</definedName>
    <definedName name="Staff">#REF!</definedName>
    <definedName name="staff_ratio" localSheetId="0">#REF!</definedName>
    <definedName name="staff_ratio">#REF!</definedName>
    <definedName name="Std_dev" localSheetId="0">#REF!</definedName>
    <definedName name="Std_dev">#REF!</definedName>
    <definedName name="STEEL" localSheetId="0">#REF!</definedName>
    <definedName name="STEEL">#REF!</definedName>
    <definedName name="STO09.010.0060" localSheetId="0">#REF!</definedName>
    <definedName name="STO09.010.0060">#REF!</definedName>
    <definedName name="STOT02.010.0020" localSheetId="0">#REF!</definedName>
    <definedName name="STOT02.010.0020">#REF!</definedName>
    <definedName name="STOT02.010.0040" localSheetId="0">#REF!</definedName>
    <definedName name="STOT02.010.0040">#REF!</definedName>
    <definedName name="STOT02.010.0050">#REF!</definedName>
    <definedName name="STOT02.010.0065">#REF!</definedName>
    <definedName name="STOT02.010.0080">#REF!</definedName>
    <definedName name="STOT02.010.0090">#REF!</definedName>
    <definedName name="STOT02.010.0130">#REF!</definedName>
    <definedName name="STOT02.010.0140">#REF!</definedName>
    <definedName name="STOT02.010.0150">#REF!</definedName>
    <definedName name="STOT02.010.0190">#REF!</definedName>
    <definedName name="STOT03.010.0020">#REF!</definedName>
    <definedName name="STOT03.010.0270">#REF!</definedName>
    <definedName name="STOT03.010.0430">#REF!</definedName>
    <definedName name="STOT03.010.0440">#REF!</definedName>
    <definedName name="STOT04.010.0010">#REF!</definedName>
    <definedName name="STOT04.010.0020">#REF!</definedName>
    <definedName name="STOT04.010.0040">#REF!</definedName>
    <definedName name="STOT04.010.0050">#REF!</definedName>
    <definedName name="STOT04.010.0070">#REF!</definedName>
    <definedName name="STOT04.010.0140">#REF!</definedName>
    <definedName name="STOT04.010.0150">#REF!</definedName>
    <definedName name="STOT04.010.0190">#REF!</definedName>
    <definedName name="STOT04.010.0290" localSheetId="0">#REF!</definedName>
    <definedName name="STOT04.010.0290">#REF!</definedName>
    <definedName name="STOT04.010.0420" localSheetId="0">#REF!</definedName>
    <definedName name="STOT04.010.0420">#REF!</definedName>
    <definedName name="STOT04.010.0430" localSheetId="0">#REF!</definedName>
    <definedName name="STOT04.010.0430">#REF!</definedName>
    <definedName name="STOT05.010.0010" localSheetId="0">#REF!</definedName>
    <definedName name="STOT05.010.0010">#REF!</definedName>
    <definedName name="STOT05.010.0020">#REF!</definedName>
    <definedName name="STOT06.010.0010">#REF!</definedName>
    <definedName name="STOT08.010.0010">#REF!</definedName>
    <definedName name="STOT08.010.0030">#REF!</definedName>
    <definedName name="STOT08.010.0040">#REF!</definedName>
    <definedName name="STOT08.010.0080">#REF!</definedName>
    <definedName name="STOT08.010.0120">#REF!</definedName>
    <definedName name="STOT08.010.0210">#REF!</definedName>
    <definedName name="STOT08.010.0355">#REF!</definedName>
    <definedName name="STOT08.010.0380">#REF!</definedName>
    <definedName name="STOT08.020.0400">#REF!</definedName>
    <definedName name="STOT08.020.0410">#REF!</definedName>
    <definedName name="STOT08.020.0420">#REF!</definedName>
    <definedName name="STOT08.020.0440">#REF!</definedName>
    <definedName name="STOT09.010.0060">#REF!</definedName>
    <definedName name="STOT09.010.0150">#REF!</definedName>
    <definedName name="STOT09.010.0160">#REF!</definedName>
    <definedName name="STOT09.010.0470">#REF!</definedName>
    <definedName name="STOT09.010.0520">#REF!</definedName>
    <definedName name="STOT09.010.0580">#REF!</definedName>
    <definedName name="STOT10.010.0030">#REF!</definedName>
    <definedName name="STOT10.010.0150">#REF!</definedName>
    <definedName name="STOT10.010.0180">#REF!</definedName>
    <definedName name="STOT10.010.0260">#REF!</definedName>
    <definedName name="STOT10.010.0270">#REF!</definedName>
    <definedName name="STOT10.010.0298">#REF!</definedName>
    <definedName name="STOT10.010.0300">#REF!</definedName>
    <definedName name="STOT10.010.0301">#REF!</definedName>
    <definedName name="STOT10.010.0307">#REF!</definedName>
    <definedName name="STOT10.010.0310">#REF!</definedName>
    <definedName name="STOT10.010.0320">#REF!</definedName>
    <definedName name="STOT10.010.0333">#REF!</definedName>
    <definedName name="STOT10.010.0380">#REF!</definedName>
    <definedName name="STOT10.010.0430">#REF!</definedName>
    <definedName name="STOT10.010.0450">#REF!</definedName>
    <definedName name="STOT10.010.0612">#REF!</definedName>
    <definedName name="STOT10.010.0624">#REF!</definedName>
    <definedName name="STOT10.010.0625">#REF!</definedName>
    <definedName name="STOT10.010.0635">#REF!</definedName>
    <definedName name="STOT10.010.0640">#REF!</definedName>
    <definedName name="STOT10.010.0700">#REF!</definedName>
    <definedName name="STOT10.010.1090">#REF!</definedName>
    <definedName name="STOT10.010.1100">#REF!</definedName>
    <definedName name="STOT10.010.1110">#REF!</definedName>
    <definedName name="STOT10.010.1150">#REF!</definedName>
    <definedName name="STOT10.010.1370">#REF!</definedName>
    <definedName name="STOT10.010.1520">#REF!</definedName>
    <definedName name="STOT10.010.1535">#REF!</definedName>
    <definedName name="STOT10.010.1570">#REF!</definedName>
    <definedName name="STOT11.010.0020">#REF!</definedName>
    <definedName name="STOT11.010.0040">#REF!</definedName>
    <definedName name="STOT11.010.0060">#REF!</definedName>
    <definedName name="STOT11.010.0095">#REF!</definedName>
    <definedName name="STOT11.010.0111">#REF!</definedName>
    <definedName name="STOT11.010.0160">#REF!</definedName>
    <definedName name="STOT11.010.0170">#REF!</definedName>
    <definedName name="STOT11.010.0180">#REF!</definedName>
    <definedName name="STOT11.010.0190">#REF!</definedName>
    <definedName name="STOT11.010.0200">#REF!</definedName>
    <definedName name="STOT11.010.0210">#REF!</definedName>
    <definedName name="STOT11.010.0220">#REF!</definedName>
    <definedName name="STOT11.010.0250">#REF!</definedName>
    <definedName name="STOT11.010.0280">#REF!</definedName>
    <definedName name="STOT11.010.0290">#REF!</definedName>
    <definedName name="STOT11.010.0360">#REF!</definedName>
    <definedName name="STOT11.010.0400">#REF!</definedName>
    <definedName name="STOT11.010.0500">#REF!</definedName>
    <definedName name="STOT11.010.0510">#REF!</definedName>
    <definedName name="STOT11.010.0700">#REF!</definedName>
    <definedName name="STOT12.010.0550">#REF!</definedName>
    <definedName name="STOT13.010.0060">#REF!</definedName>
    <definedName name="STOT13.010.0070">#REF!</definedName>
    <definedName name="STOT13.010.0500">#REF!</definedName>
    <definedName name="STOT13.010.1190">#REF!</definedName>
    <definedName name="STOT13.010.1200">#REF!</definedName>
    <definedName name="STOT13.010.1210">#REF!</definedName>
    <definedName name="STOT13.010.1240">#REF!</definedName>
    <definedName name="STOT15.010.0010" localSheetId="0">#REF!</definedName>
    <definedName name="STOT15.010.0010">#REF!</definedName>
    <definedName name="STOT15.010.0040" localSheetId="0">#REF!</definedName>
    <definedName name="STOT15.010.0040">#REF!</definedName>
    <definedName name="STOT15.010.0055" localSheetId="0">#REF!</definedName>
    <definedName name="STOT15.010.0055">#REF!</definedName>
    <definedName name="STOT15.010.0270" localSheetId="0">#REF!</definedName>
    <definedName name="STOT15.010.0270">#REF!</definedName>
    <definedName name="STOT15.010.0280" localSheetId="0">#REF!</definedName>
    <definedName name="STOT15.010.0280">#REF!</definedName>
    <definedName name="STOT16.010.0010" localSheetId="0">#REF!</definedName>
    <definedName name="STOT16.010.0010">#REF!</definedName>
    <definedName name="STOT16.010.0060">#REF!</definedName>
    <definedName name="STOT16.010.0110">#REF!</definedName>
    <definedName name="STOT16.010.0120">#REF!</definedName>
    <definedName name="STOT16.010.0170">#REF!</definedName>
    <definedName name="STOT17.010.0090">#REF!</definedName>
    <definedName name="STOT17.010.0290">#REF!</definedName>
    <definedName name="STOT17.010.0320">#REF!</definedName>
    <definedName name="STOT17.010.0351">#REF!</definedName>
    <definedName name="STOT17.010.0390">#REF!</definedName>
    <definedName name="STOT17.010.0436">#REF!</definedName>
    <definedName name="STOT17.010.0437">#REF!</definedName>
    <definedName name="STOT17.010.0444">#REF!</definedName>
    <definedName name="STOT17.010.0455">#REF!</definedName>
    <definedName name="STOT17.010.0551">#REF!</definedName>
    <definedName name="STOT17.010.0603">#REF!</definedName>
    <definedName name="STOT17.010.0604">#REF!</definedName>
    <definedName name="STOTComposição01">#REF!</definedName>
    <definedName name="STOTComposição02">#REF!</definedName>
    <definedName name="STOTComposição03">#REF!</definedName>
    <definedName name="STOTComposição04">#REF!</definedName>
    <definedName name="STOTComposição05">#REF!</definedName>
    <definedName name="STOTComposição06">#REF!</definedName>
    <definedName name="STOTCOTADO01">#REF!</definedName>
    <definedName name="struct" localSheetId="0">#REF!</definedName>
    <definedName name="struct">#REF!</definedName>
    <definedName name="STRUCTURAL" localSheetId="0">#REF!</definedName>
    <definedName name="STRUCTURAL">#REF!</definedName>
    <definedName name="Sub_Area" localSheetId="0">#REF!</definedName>
    <definedName name="Sub_Area">#REF!</definedName>
    <definedName name="Sub_Type" localSheetId="0">#REF!</definedName>
    <definedName name="Sub_Type">#REF!</definedName>
    <definedName name="Subestação">#REF!</definedName>
    <definedName name="SubTotalA">#REF!</definedName>
    <definedName name="SubTotalB">#REF!</definedName>
    <definedName name="SUCCAO" localSheetId="0">#REF!</definedName>
    <definedName name="SUCCAO">#REF!</definedName>
    <definedName name="SUELDO_MANT" localSheetId="0">#REF!</definedName>
    <definedName name="SUELDO_MANT">#REF!</definedName>
    <definedName name="SUELDO_OP" localSheetId="0">#REF!</definedName>
    <definedName name="SUELDO_OP">#REF!</definedName>
    <definedName name="sum" localSheetId="0">#REF!</definedName>
    <definedName name="sum">#REF!</definedName>
    <definedName name="sumário">#REF!</definedName>
    <definedName name="Summary" localSheetId="0">#REF!</definedName>
    <definedName name="Summary">#REF!</definedName>
    <definedName name="SumOfTotals" localSheetId="0">#REF!</definedName>
    <definedName name="SumOfTotals">#REF!</definedName>
    <definedName name="super" localSheetId="0">#REF!</definedName>
    <definedName name="super">#REF!</definedName>
    <definedName name="SUPRIMENTOS" localSheetId="0">#REF!</definedName>
    <definedName name="SUPRIMENTOS">#REF!</definedName>
    <definedName name="T" localSheetId="0">#REF!</definedName>
    <definedName name="T">#REF!</definedName>
    <definedName name="ta" localSheetId="0" hidden="1">{#N/A,#N/A,FALSE,"GERAL";#N/A,#N/A,FALSE,"012-96";#N/A,#N/A,FALSE,"018-96";#N/A,#N/A,FALSE,"027-96";#N/A,#N/A,FALSE,"059-96";#N/A,#N/A,FALSE,"076-96";#N/A,#N/A,FALSE,"019-97";#N/A,#N/A,FALSE,"021-97";#N/A,#N/A,FALSE,"022-97";#N/A,#N/A,FALSE,"028-97"}</definedName>
    <definedName name="ta" localSheetId="2" hidden="1">{#N/A,#N/A,FALSE,"GERAL";#N/A,#N/A,FALSE,"012-96";#N/A,#N/A,FALSE,"018-96";#N/A,#N/A,FALSE,"027-96";#N/A,#N/A,FALSE,"059-96";#N/A,#N/A,FALSE,"076-96";#N/A,#N/A,FALSE,"019-97";#N/A,#N/A,FALSE,"021-97";#N/A,#N/A,FALSE,"022-97";#N/A,#N/A,FALSE,"028-97"}</definedName>
    <definedName name="ta" hidden="1">{#N/A,#N/A,FALSE,"GERAL";#N/A,#N/A,FALSE,"012-96";#N/A,#N/A,FALSE,"018-96";#N/A,#N/A,FALSE,"027-96";#N/A,#N/A,FALSE,"059-96";#N/A,#N/A,FALSE,"076-96";#N/A,#N/A,FALSE,"019-97";#N/A,#N/A,FALSE,"021-97";#N/A,#N/A,FALSE,"022-97";#N/A,#N/A,FALSE,"028-97"}</definedName>
    <definedName name="tab" localSheetId="0">#REF!</definedName>
    <definedName name="tab">#REF!</definedName>
    <definedName name="tab_mancal" localSheetId="0">#REF!</definedName>
    <definedName name="tab_mancal">#REF!</definedName>
    <definedName name="TABEFET" localSheetId="0">#REF!</definedName>
    <definedName name="TABEFET">#REF!</definedName>
    <definedName name="TABELA">#REF!</definedName>
    <definedName name="TABELA01">#REF!</definedName>
    <definedName name="TABELA02">#REF!</definedName>
    <definedName name="tabela03">#REF!</definedName>
    <definedName name="tabela2">#REF!</definedName>
    <definedName name="tabelaDenominação">#REF!</definedName>
    <definedName name="TABLA1" localSheetId="0">#REF!</definedName>
    <definedName name="TABLA1">#REF!</definedName>
    <definedName name="TABLACAR" localSheetId="0">#REF!</definedName>
    <definedName name="TABLACAR">#REF!</definedName>
    <definedName name="Table_1" localSheetId="0">#REF!</definedName>
    <definedName name="Table_1">#REF!</definedName>
    <definedName name="Table_10" localSheetId="0">#REF!</definedName>
    <definedName name="Table_10">#REF!</definedName>
    <definedName name="Table_11" localSheetId="0">#REF!</definedName>
    <definedName name="Table_11">#REF!</definedName>
    <definedName name="Table_2" localSheetId="0">#REF!</definedName>
    <definedName name="Table_2">#REF!</definedName>
    <definedName name="Table_3" localSheetId="0">#REF!</definedName>
    <definedName name="Table_3">#REF!</definedName>
    <definedName name="Table_4" localSheetId="0">#REF!</definedName>
    <definedName name="Table_4">#REF!</definedName>
    <definedName name="Table_5" localSheetId="0">#REF!</definedName>
    <definedName name="Table_5">#REF!</definedName>
    <definedName name="Table_6" localSheetId="0">#REF!</definedName>
    <definedName name="Table_6">#REF!</definedName>
    <definedName name="Table_7" localSheetId="0">#REF!</definedName>
    <definedName name="Table_7">#REF!</definedName>
    <definedName name="Table_8" localSheetId="0">#REF!</definedName>
    <definedName name="Table_8">#REF!</definedName>
    <definedName name="Table_9" localSheetId="0">#REF!</definedName>
    <definedName name="Table_9">#REF!</definedName>
    <definedName name="TableName">"Dummy"</definedName>
    <definedName name="TABMAX" localSheetId="0">#REF!</definedName>
    <definedName name="TABMAX">#REF!</definedName>
    <definedName name="TABMIN" localSheetId="0">#REF!</definedName>
    <definedName name="TABMIN">#REF!</definedName>
    <definedName name="TabRelatorio" localSheetId="0">#REF!</definedName>
    <definedName name="TabRelatorio">#REF!</definedName>
    <definedName name="tabtubo" localSheetId="0">#REF!</definedName>
    <definedName name="tabtubo">#REF!</definedName>
    <definedName name="TABTUBOMM" localSheetId="0">#REF!</definedName>
    <definedName name="TABTUBOMM">#REF!</definedName>
    <definedName name="Tag_Carga">#REF!</definedName>
    <definedName name="Tag_CCM">#REF!</definedName>
    <definedName name="TAMBOR" localSheetId="0">#REF!</definedName>
    <definedName name="TAMBOR">#REF!</definedName>
    <definedName name="TAMBOR_DADOS" localSheetId="0">#REF!</definedName>
    <definedName name="TAMBOR_DADOS">#REF!</definedName>
    <definedName name="tank" localSheetId="0">#REF!</definedName>
    <definedName name="tank">#REF!</definedName>
    <definedName name="tanque" localSheetId="0">#REF!</definedName>
    <definedName name="tanque">#REF!</definedName>
    <definedName name="tasacambio" localSheetId="0">#REF!</definedName>
    <definedName name="tasacambio">#REF!</definedName>
    <definedName name="TASK" localSheetId="0">#REF!</definedName>
    <definedName name="TASK">#REF!</definedName>
    <definedName name="TASKPRED" localSheetId="0">#REF!</definedName>
    <definedName name="TASKPRED">#REF!</definedName>
    <definedName name="TASKRSRC" localSheetId="0">#REF!</definedName>
    <definedName name="TASKRSRC">#REF!</definedName>
    <definedName name="tax_expat">#REF!</definedName>
    <definedName name="tax_local">#REF!</definedName>
    <definedName name="Taxa_de_Cambio" localSheetId="0">#REF!</definedName>
    <definedName name="Taxa_de_Cambio">#REF!</definedName>
    <definedName name="Taxa_de_Desconto" localSheetId="0">#REF!</definedName>
    <definedName name="Taxa_de_Desconto">#REF!</definedName>
    <definedName name="Taxi_BR">#REF!</definedName>
    <definedName name="Taxi_SAF">#REF!</definedName>
    <definedName name="TBF">#REF!</definedName>
    <definedName name="TDCTO" localSheetId="0">#REF!</definedName>
    <definedName name="TDCTO">#REF!</definedName>
    <definedName name="telaA" localSheetId="0">#REF!</definedName>
    <definedName name="telaA" localSheetId="2">#REF!</definedName>
    <definedName name="telaA">#REF!</definedName>
    <definedName name="telaC" localSheetId="0">#REF!</definedName>
    <definedName name="telaC" localSheetId="2">#REF!</definedName>
    <definedName name="telaC">#REF!</definedName>
    <definedName name="tem" localSheetId="0">#REF!</definedName>
    <definedName name="tem">#REF!</definedName>
    <definedName name="TEMPO" localSheetId="0">#REF!</definedName>
    <definedName name="TEMPO">#REF!</definedName>
    <definedName name="TERRA" localSheetId="0">#REF!</definedName>
    <definedName name="TERRA">#REF!</definedName>
    <definedName name="test" localSheetId="0">#REF!</definedName>
    <definedName name="test">#REF!</definedName>
    <definedName name="TEST0" localSheetId="0">#REF!</definedName>
    <definedName name="TEST0">#REF!</definedName>
    <definedName name="TEST1" localSheetId="0">#REF!</definedName>
    <definedName name="TEST1">#REF!</definedName>
    <definedName name="TEST10" localSheetId="0">#REF!</definedName>
    <definedName name="TEST10">#REF!</definedName>
    <definedName name="TEST11" localSheetId="0">#REF!</definedName>
    <definedName name="TEST11">#REF!</definedName>
    <definedName name="TEST12" localSheetId="0">#REF!</definedName>
    <definedName name="TEST12">#REF!</definedName>
    <definedName name="TEST13" localSheetId="0">#REF!</definedName>
    <definedName name="TEST13">#REF!</definedName>
    <definedName name="TEST14" localSheetId="0">#REF!</definedName>
    <definedName name="TEST14">#REF!</definedName>
    <definedName name="TEST15" localSheetId="0">#REF!</definedName>
    <definedName name="TEST15">#REF!</definedName>
    <definedName name="TEST16" localSheetId="0">#REF!</definedName>
    <definedName name="TEST16">#REF!</definedName>
    <definedName name="TEST17" localSheetId="0">#REF!</definedName>
    <definedName name="TEST17">#REF!</definedName>
    <definedName name="TEST18" localSheetId="0">#REF!</definedName>
    <definedName name="TEST18">#REF!</definedName>
    <definedName name="TEST19" localSheetId="0">#REF!</definedName>
    <definedName name="TEST19">#REF!</definedName>
    <definedName name="TEST2" localSheetId="0">#REF!</definedName>
    <definedName name="TEST2">#REF!</definedName>
    <definedName name="TEST20" localSheetId="0">#REF!</definedName>
    <definedName name="TEST20">#REF!</definedName>
    <definedName name="TEST21" localSheetId="0">#REF!</definedName>
    <definedName name="TEST21">#REF!</definedName>
    <definedName name="TEST22" localSheetId="0">#REF!</definedName>
    <definedName name="TEST22">#REF!</definedName>
    <definedName name="TEST23" localSheetId="0">#REF!</definedName>
    <definedName name="TEST23">#REF!</definedName>
    <definedName name="TEST24" localSheetId="0">#REF!</definedName>
    <definedName name="TEST24">#REF!</definedName>
    <definedName name="TEST25" localSheetId="0">#REF!</definedName>
    <definedName name="TEST25">#REF!</definedName>
    <definedName name="TEST26" localSheetId="0">#REF!</definedName>
    <definedName name="TEST26">#REF!</definedName>
    <definedName name="TEST27" localSheetId="0">#REF!</definedName>
    <definedName name="TEST27">#REF!</definedName>
    <definedName name="TEST28" localSheetId="0">#REF!</definedName>
    <definedName name="TEST28">#REF!</definedName>
    <definedName name="TEST29" localSheetId="0">#REF!</definedName>
    <definedName name="TEST29">#REF!</definedName>
    <definedName name="TEST3" localSheetId="0">#REF!</definedName>
    <definedName name="TEST3">#REF!</definedName>
    <definedName name="TEST30" localSheetId="0">#REF!</definedName>
    <definedName name="TEST30">#REF!</definedName>
    <definedName name="TEST31" localSheetId="0">#REF!</definedName>
    <definedName name="TEST31">#REF!</definedName>
    <definedName name="TEST32" localSheetId="0">#REF!</definedName>
    <definedName name="TEST32">#REF!</definedName>
    <definedName name="TEST33" localSheetId="0">#REF!</definedName>
    <definedName name="TEST33">#REF!</definedName>
    <definedName name="TEST34" localSheetId="0">#REF!</definedName>
    <definedName name="TEST34">#REF!</definedName>
    <definedName name="TEST35" localSheetId="0">#REF!</definedName>
    <definedName name="TEST35">#REF!</definedName>
    <definedName name="TEST36" localSheetId="0">#REF!</definedName>
    <definedName name="TEST36">#REF!</definedName>
    <definedName name="TEST37" localSheetId="0">#REF!</definedName>
    <definedName name="TEST37">#REF!</definedName>
    <definedName name="TEST38" localSheetId="0">#REF!</definedName>
    <definedName name="TEST38">#REF!</definedName>
    <definedName name="TEST39" localSheetId="0">#REF!</definedName>
    <definedName name="TEST39">#REF!</definedName>
    <definedName name="TEST4" localSheetId="0">#REF!</definedName>
    <definedName name="TEST4">#REF!</definedName>
    <definedName name="TEST40" localSheetId="0">#REF!</definedName>
    <definedName name="TEST40">#REF!</definedName>
    <definedName name="TEST41" localSheetId="0">#REF!</definedName>
    <definedName name="TEST41">#REF!</definedName>
    <definedName name="TEST42" localSheetId="0">#REF!</definedName>
    <definedName name="TEST42">#REF!</definedName>
    <definedName name="TEST43" localSheetId="0">#REF!</definedName>
    <definedName name="TEST43">#REF!</definedName>
    <definedName name="TEST44" localSheetId="0">#REF!</definedName>
    <definedName name="TEST44">#REF!</definedName>
    <definedName name="TEST45" localSheetId="0">#REF!</definedName>
    <definedName name="TEST45">#REF!</definedName>
    <definedName name="TEST46" localSheetId="0">#REF!</definedName>
    <definedName name="TEST46">#REF!</definedName>
    <definedName name="TEST47" localSheetId="0">#REF!</definedName>
    <definedName name="TEST47">#REF!</definedName>
    <definedName name="TEST48" localSheetId="0">#REF!</definedName>
    <definedName name="TEST48">#REF!</definedName>
    <definedName name="TEST49" localSheetId="0">#REF!</definedName>
    <definedName name="TEST49">#REF!</definedName>
    <definedName name="TEST5" localSheetId="0">#REF!</definedName>
    <definedName name="TEST5">#REF!</definedName>
    <definedName name="TEST50" localSheetId="0">#REF!</definedName>
    <definedName name="TEST50">#REF!</definedName>
    <definedName name="TEST51" localSheetId="0">#REF!</definedName>
    <definedName name="TEST51">#REF!</definedName>
    <definedName name="TEST52" localSheetId="0">#REF!</definedName>
    <definedName name="TEST52">#REF!</definedName>
    <definedName name="TEST53" localSheetId="0">#REF!</definedName>
    <definedName name="TEST53">#REF!</definedName>
    <definedName name="TEST54" localSheetId="0">#REF!</definedName>
    <definedName name="TEST54">#REF!</definedName>
    <definedName name="TEST55" localSheetId="0">#REF!</definedName>
    <definedName name="TEST55">#REF!</definedName>
    <definedName name="TEST56" localSheetId="0">#REF!</definedName>
    <definedName name="TEST56">#REF!</definedName>
    <definedName name="TEST57" localSheetId="0">#REF!</definedName>
    <definedName name="TEST57">#REF!</definedName>
    <definedName name="TEST6" localSheetId="0">#REF!</definedName>
    <definedName name="TEST6">#REF!</definedName>
    <definedName name="TEST7" localSheetId="0">#REF!</definedName>
    <definedName name="TEST7">#REF!</definedName>
    <definedName name="TEST8" localSheetId="0">#REF!</definedName>
    <definedName name="TEST8">#REF!</definedName>
    <definedName name="TEST9" localSheetId="0">#REF!</definedName>
    <definedName name="TEST9">#REF!</definedName>
    <definedName name="teste" localSheetId="0">#REF!</definedName>
    <definedName name="teste">#REF!</definedName>
    <definedName name="teste1" localSheetId="0" hidden="1">{#N/A,#N/A,FALSE,"GERAL";#N/A,#N/A,FALSE,"012-96";#N/A,#N/A,FALSE,"018-96";#N/A,#N/A,FALSE,"027-96";#N/A,#N/A,FALSE,"059-96";#N/A,#N/A,FALSE,"076-96";#N/A,#N/A,FALSE,"019-97";#N/A,#N/A,FALSE,"021-97";#N/A,#N/A,FALSE,"022-97";#N/A,#N/A,FALSE,"028-97"}</definedName>
    <definedName name="teste1" localSheetId="2" hidden="1">{#N/A,#N/A,FALSE,"GERAL";#N/A,#N/A,FALSE,"012-96";#N/A,#N/A,FALSE,"018-96";#N/A,#N/A,FALSE,"027-96";#N/A,#N/A,FALSE,"059-96";#N/A,#N/A,FALSE,"076-96";#N/A,#N/A,FALSE,"019-97";#N/A,#N/A,FALSE,"021-97";#N/A,#N/A,FALSE,"022-97";#N/A,#N/A,FALSE,"028-97"}</definedName>
    <definedName name="teste1" hidden="1">{#N/A,#N/A,FALSE,"GERAL";#N/A,#N/A,FALSE,"012-96";#N/A,#N/A,FALSE,"018-96";#N/A,#N/A,FALSE,"027-96";#N/A,#N/A,FALSE,"059-96";#N/A,#N/A,FALSE,"076-96";#N/A,#N/A,FALSE,"019-97";#N/A,#N/A,FALSE,"021-97";#N/A,#N/A,FALSE,"022-97";#N/A,#N/A,FALSE,"028-97"}</definedName>
    <definedName name="TESTE2" localSheetId="0">#REF!</definedName>
    <definedName name="TESTE2">#REF!</definedName>
    <definedName name="testeFuvio" localSheetId="0" hidden="1">{#N/A,#N/A,FALSE,"GERAL";#N/A,#N/A,FALSE,"012-96";#N/A,#N/A,FALSE,"018-96";#N/A,#N/A,FALSE,"027-96";#N/A,#N/A,FALSE,"059-96";#N/A,#N/A,FALSE,"076-96";#N/A,#N/A,FALSE,"019-97";#N/A,#N/A,FALSE,"021-97";#N/A,#N/A,FALSE,"022-97";#N/A,#N/A,FALSE,"028-97"}</definedName>
    <definedName name="testeFuvio" localSheetId="2" hidden="1">{#N/A,#N/A,FALSE,"GERAL";#N/A,#N/A,FALSE,"012-96";#N/A,#N/A,FALSE,"018-96";#N/A,#N/A,FALSE,"027-96";#N/A,#N/A,FALSE,"059-96";#N/A,#N/A,FALSE,"076-96";#N/A,#N/A,FALSE,"019-97";#N/A,#N/A,FALSE,"021-97";#N/A,#N/A,FALSE,"022-97";#N/A,#N/A,FALSE,"028-97"}</definedName>
    <definedName name="testeFuvio" hidden="1">{#N/A,#N/A,FALSE,"GERAL";#N/A,#N/A,FALSE,"012-96";#N/A,#N/A,FALSE,"018-96";#N/A,#N/A,FALSE,"027-96";#N/A,#N/A,FALSE,"059-96";#N/A,#N/A,FALSE,"076-96";#N/A,#N/A,FALSE,"019-97";#N/A,#N/A,FALSE,"021-97";#N/A,#N/A,FALSE,"022-97";#N/A,#N/A,FALSE,"028-97"}</definedName>
    <definedName name="TESTHKEY" localSheetId="0">#REF!</definedName>
    <definedName name="TESTHKEY">#REF!</definedName>
    <definedName name="TESTKEYS" localSheetId="0">#REF!</definedName>
    <definedName name="TESTKEYS">#REF!</definedName>
    <definedName name="TESTVKEY" localSheetId="0">#REF!</definedName>
    <definedName name="TESTVKEY">#REF!</definedName>
    <definedName name="TF_Bay_Size" localSheetId="0">#REF!</definedName>
    <definedName name="TF_Bay_Size">#REF!</definedName>
    <definedName name="TF_Bays" localSheetId="0">#REF!</definedName>
    <definedName name="TF_Bays">#REF!</definedName>
    <definedName name="THLV1000" localSheetId="0">#REF!</definedName>
    <definedName name="THLV1000">#REF!</definedName>
    <definedName name="THLV2000" localSheetId="0">#REF!</definedName>
    <definedName name="THLV2000">#REF!</definedName>
    <definedName name="THLV3000" localSheetId="0">#REF!</definedName>
    <definedName name="THLV3000">#REF!</definedName>
    <definedName name="THLV4000" localSheetId="0">#REF!</definedName>
    <definedName name="THLV4000">#REF!</definedName>
    <definedName name="THLV5000" localSheetId="0">#REF!</definedName>
    <definedName name="THLV5000">#REF!</definedName>
    <definedName name="ThreeA" localSheetId="0">#REF!</definedName>
    <definedName name="ThreeA">#REF!</definedName>
    <definedName name="ThreeB" localSheetId="0">#REF!</definedName>
    <definedName name="ThreeB">#REF!</definedName>
    <definedName name="ThreeC" localSheetId="0">#REF!</definedName>
    <definedName name="ThreeC">#REF!</definedName>
    <definedName name="ThreeD" localSheetId="0">#REF!</definedName>
    <definedName name="ThreeD">#REF!</definedName>
    <definedName name="ThreeE" localSheetId="0">#REF!</definedName>
    <definedName name="ThreeE">#REF!</definedName>
    <definedName name="ThreeF" localSheetId="0">#REF!</definedName>
    <definedName name="ThreeF">#REF!</definedName>
    <definedName name="ThreeG" localSheetId="0">#REF!</definedName>
    <definedName name="ThreeG">#REF!</definedName>
    <definedName name="ThreeH" localSheetId="0">#REF!</definedName>
    <definedName name="ThreeH">#REF!</definedName>
    <definedName name="ThreeI" localSheetId="0">#REF!</definedName>
    <definedName name="ThreeI">#REF!</definedName>
    <definedName name="ThreeJ" localSheetId="0">#REF!</definedName>
    <definedName name="ThreeJ">#REF!</definedName>
    <definedName name="ThreeK" localSheetId="0">#REF!</definedName>
    <definedName name="ThreeK">#REF!</definedName>
    <definedName name="ThreeL" localSheetId="0">#REF!</definedName>
    <definedName name="ThreeL">#REF!</definedName>
    <definedName name="ThreeM" localSheetId="0">#REF!</definedName>
    <definedName name="ThreeM">#REF!</definedName>
    <definedName name="threezero" localSheetId="0">#REF!</definedName>
    <definedName name="threezero">#REF!</definedName>
    <definedName name="TIJ" localSheetId="0">#REF!</definedName>
    <definedName name="TIJ">#REF!</definedName>
    <definedName name="TIJINV" localSheetId="0">#REF!</definedName>
    <definedName name="TIJINV">#REF!</definedName>
    <definedName name="tile" localSheetId="0">#REF!</definedName>
    <definedName name="tile">#REF!</definedName>
    <definedName name="Tipo" localSheetId="0">#REF!</definedName>
    <definedName name="Tipo">#REF!</definedName>
    <definedName name="tipo_tamb" localSheetId="0">#REF!</definedName>
    <definedName name="tipo_tamb">#REF!</definedName>
    <definedName name="tipotub" localSheetId="0">#REF!</definedName>
    <definedName name="tipotub">#REF!</definedName>
    <definedName name="TIR" localSheetId="0">#REF!</definedName>
    <definedName name="TIR">#REF!</definedName>
    <definedName name="TITLE" localSheetId="0">#REF!</definedName>
    <definedName name="TITLE">#REF!</definedName>
    <definedName name="TITULO" localSheetId="0">#REF!</definedName>
    <definedName name="TITULO">#REF!</definedName>
    <definedName name="_xlnm.Print_Titles" localSheetId="2">QQP!$1:$4</definedName>
    <definedName name="Títulos_impressão_IM" localSheetId="0">#REF!</definedName>
    <definedName name="Títulos_impressão_IM" localSheetId="2">#REF!</definedName>
    <definedName name="Títulos_impressão_IM">#REF!</definedName>
    <definedName name="tnband" localSheetId="0">#REF!</definedName>
    <definedName name="tnband">#REF!</definedName>
    <definedName name="to" localSheetId="0" hidden="1">{#N/A,#N/A,FALSE,"GERAL";#N/A,#N/A,FALSE,"012-96";#N/A,#N/A,FALSE,"018-96";#N/A,#N/A,FALSE,"027-96";#N/A,#N/A,FALSE,"059-96";#N/A,#N/A,FALSE,"076-96";#N/A,#N/A,FALSE,"019-97";#N/A,#N/A,FALSE,"021-97";#N/A,#N/A,FALSE,"022-97";#N/A,#N/A,FALSE,"028-97"}</definedName>
    <definedName name="to" localSheetId="2" hidden="1">{#N/A,#N/A,FALSE,"GERAL";#N/A,#N/A,FALSE,"012-96";#N/A,#N/A,FALSE,"018-96";#N/A,#N/A,FALSE,"027-96";#N/A,#N/A,FALSE,"059-96";#N/A,#N/A,FALSE,"076-96";#N/A,#N/A,FALSE,"019-97";#N/A,#N/A,FALSE,"021-97";#N/A,#N/A,FALSE,"022-97";#N/A,#N/A,FALSE,"028-97"}</definedName>
    <definedName name="to" hidden="1">{#N/A,#N/A,FALSE,"GERAL";#N/A,#N/A,FALSE,"012-96";#N/A,#N/A,FALSE,"018-96";#N/A,#N/A,FALSE,"027-96";#N/A,#N/A,FALSE,"059-96";#N/A,#N/A,FALSE,"076-96";#N/A,#N/A,FALSE,"019-97";#N/A,#N/A,FALSE,"021-97";#N/A,#N/A,FALSE,"022-97";#N/A,#N/A,FALSE,"028-97"}</definedName>
    <definedName name="TOLOSA" localSheetId="0">#REF!</definedName>
    <definedName name="TOLOSA">#REF!</definedName>
    <definedName name="TOLV" localSheetId="0">#REF!</definedName>
    <definedName name="TOLV">#REF!</definedName>
    <definedName name="Toquepala" localSheetId="0" hidden="1">{#N/A,#N/A,FALSE,"Matrix";#N/A,#N/A,FALSE,"Executive";#N/A,#N/A,FALSE,"Summary"}</definedName>
    <definedName name="Toquepala" localSheetId="2" hidden="1">{#N/A,#N/A,FALSE,"Matrix";#N/A,#N/A,FALSE,"Executive";#N/A,#N/A,FALSE,"Summary"}</definedName>
    <definedName name="Toquepala" hidden="1">{#N/A,#N/A,FALSE,"Matrix";#N/A,#N/A,FALSE,"Executive";#N/A,#N/A,FALSE,"Summary"}</definedName>
    <definedName name="TOT">#N/A</definedName>
    <definedName name="tot_acc" localSheetId="0">#REF!</definedName>
    <definedName name="tot_acc">#REF!</definedName>
    <definedName name="tot_acc_Reaj" localSheetId="0">#REF!</definedName>
    <definedName name="tot_acc_Reaj">#REF!</definedName>
    <definedName name="tot_ant" localSheetId="0">#REF!</definedName>
    <definedName name="tot_ant">#REF!</definedName>
    <definedName name="tot_ant_Reaj" localSheetId="0">#REF!</definedName>
    <definedName name="tot_ant_Reaj">#REF!</definedName>
    <definedName name="tot_contrato" localSheetId="0">#REF!</definedName>
    <definedName name="tot_contrato">#REF!</definedName>
    <definedName name="tot_med" localSheetId="0">#REF!</definedName>
    <definedName name="tot_med">#REF!</definedName>
    <definedName name="tot_med_ant" localSheetId="0">#REF!</definedName>
    <definedName name="tot_med_ant">#REF!</definedName>
    <definedName name="tot_med_Reaj" localSheetId="0">#REF!</definedName>
    <definedName name="tot_med_Reaj">#REF!</definedName>
    <definedName name="tot_medicao" localSheetId="0">#REF!</definedName>
    <definedName name="tot_medicao">#REF!</definedName>
    <definedName name="tot_medido" localSheetId="0">#REF!</definedName>
    <definedName name="tot_medido">#REF!</definedName>
    <definedName name="tot_orc" localSheetId="0">#REF!</definedName>
    <definedName name="tot_orc">#REF!</definedName>
    <definedName name="tot_saldo" localSheetId="0">#REF!</definedName>
    <definedName name="tot_saldo">#REF!</definedName>
    <definedName name="tot_sld" localSheetId="0">#REF!</definedName>
    <definedName name="tot_sld">#REF!</definedName>
    <definedName name="tot_sld_Reaj" localSheetId="0">#REF!</definedName>
    <definedName name="tot_sld_Reaj">#REF!</definedName>
    <definedName name="TOTAL" localSheetId="0">#REF!</definedName>
    <definedName name="TOTAL">#REF!</definedName>
    <definedName name="Total_Esc" localSheetId="0">#REF!</definedName>
    <definedName name="Total_Esc">#REF!</definedName>
    <definedName name="Total_FC" localSheetId="0">#REF!</definedName>
    <definedName name="Total_FC">#REF!</definedName>
    <definedName name="Total_FIN_NOC" localSheetId="0">#REF!</definedName>
    <definedName name="Total_FIN_NOC">#REF!</definedName>
    <definedName name="Total_Invest_Cost" localSheetId="0">#REF!</definedName>
    <definedName name="Total_Invest_Cost">#REF!</definedName>
    <definedName name="Total_OC" localSheetId="0">#REF!</definedName>
    <definedName name="Total_OC">#REF!</definedName>
    <definedName name="Total_PR_Ext_Risks" localSheetId="0">#REF!</definedName>
    <definedName name="Total_PR_Ext_Risks">#REF!</definedName>
    <definedName name="TotalEPI" localSheetId="0">#REF!</definedName>
    <definedName name="TotalEPI">#REF!</definedName>
    <definedName name="TotalFerramentas" localSheetId="0">#REF!</definedName>
    <definedName name="TotalFerramentas">#REF!</definedName>
    <definedName name="TotalHours" localSheetId="0">#REF!</definedName>
    <definedName name="TotalHours">#REF!</definedName>
    <definedName name="TOTALMATERIAL" localSheetId="0">#REF!</definedName>
    <definedName name="TOTALMATERIAL">#REF!</definedName>
    <definedName name="totalminas" localSheetId="0">#REF!</definedName>
    <definedName name="totalminas">#REF!</definedName>
    <definedName name="TotalProjectHours" localSheetId="0">#REF!</definedName>
    <definedName name="TotalProjectHours">#REF!</definedName>
    <definedName name="totals" localSheetId="0">#REF!</definedName>
    <definedName name="totals">#REF!</definedName>
    <definedName name="TR" localSheetId="0">#REF!</definedName>
    <definedName name="TR">#REF!</definedName>
    <definedName name="transp36" localSheetId="0"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transp36" localSheetId="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transp3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transp36a" localSheetId="0"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transp36a" localSheetId="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transp36a"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Treinamento" localSheetId="0">#REF!</definedName>
    <definedName name="Treinamento">#REF!</definedName>
    <definedName name="tres_a_quatro" localSheetId="0">#REF!</definedName>
    <definedName name="tres_a_quatro">#REF!</definedName>
    <definedName name="TRIB" localSheetId="0">#REF!</definedName>
    <definedName name="TRIB" localSheetId="9">#REF!</definedName>
    <definedName name="TRIB" localSheetId="2">#REF!</definedName>
    <definedName name="TRIB">#REF!</definedName>
    <definedName name="Trilho_Tratados_7K1FAA" localSheetId="0">#REF!</definedName>
    <definedName name="Trilho_Tratados_7K1FAA">#REF!</definedName>
    <definedName name="TROLA" localSheetId="0">#REF!</definedName>
    <definedName name="TROLA">#REF!</definedName>
    <definedName name="TROLB" localSheetId="0">#REF!</definedName>
    <definedName name="TROLB">#REF!</definedName>
    <definedName name="TSHLV1000" localSheetId="0">#REF!</definedName>
    <definedName name="TSHLV1000">#REF!</definedName>
    <definedName name="TSHLV2000" localSheetId="0">#REF!</definedName>
    <definedName name="TSHLV2000">#REF!</definedName>
    <definedName name="TSHLV3000" localSheetId="0">#REF!</definedName>
    <definedName name="TSHLV3000">#REF!</definedName>
    <definedName name="TSHLV4000" localSheetId="0">#REF!</definedName>
    <definedName name="TSHLV4000">#REF!</definedName>
    <definedName name="TSHLV5000" localSheetId="0">#REF!</definedName>
    <definedName name="TSHLV5000">#REF!</definedName>
    <definedName name="tste" localSheetId="0" hidden="1">{#N/A,#N/A,FALSE,"TEC-01";#N/A,#N/A,FALSE,"TEC - 02";#N/A,#N/A,FALSE,"TEC - 03";#N/A,#N/A,FALSE,"TEC - 04";#N/A,#N/A,FALSE,"TEC-07";#N/A,#N/A,FALSE,"TEC-08";#N/A,#N/A,FALSE,"TEC - 09A";#N/A,#N/A,FALSE,"TEC - 09B";#N/A,#N/A,FALSE,"TEC - 09C";#N/A,#N/A,FALSE,"TEC - 10";#N/A,#N/A,FALSE,"TEC-11"}</definedName>
    <definedName name="tste" localSheetId="2" hidden="1">{#N/A,#N/A,FALSE,"TEC-01";#N/A,#N/A,FALSE,"TEC - 02";#N/A,#N/A,FALSE,"TEC - 03";#N/A,#N/A,FALSE,"TEC - 04";#N/A,#N/A,FALSE,"TEC-07";#N/A,#N/A,FALSE,"TEC-08";#N/A,#N/A,FALSE,"TEC - 09A";#N/A,#N/A,FALSE,"TEC - 09B";#N/A,#N/A,FALSE,"TEC - 09C";#N/A,#N/A,FALSE,"TEC - 10";#N/A,#N/A,FALSE,"TEC-11"}</definedName>
    <definedName name="tste" hidden="1">{#N/A,#N/A,FALSE,"TEC-01";#N/A,#N/A,FALSE,"TEC - 02";#N/A,#N/A,FALSE,"TEC - 03";#N/A,#N/A,FALSE,"TEC - 04";#N/A,#N/A,FALSE,"TEC-07";#N/A,#N/A,FALSE,"TEC-08";#N/A,#N/A,FALSE,"TEC - 09A";#N/A,#N/A,FALSE,"TEC - 09B";#N/A,#N/A,FALSE,"TEC - 09C";#N/A,#N/A,FALSE,"TEC - 10";#N/A,#N/A,FALSE,"TEC-11"}</definedName>
    <definedName name="tt" localSheetId="0">#REF!</definedName>
    <definedName name="tt">#REF!</definedName>
    <definedName name="TTD" localSheetId="0">#REF!</definedName>
    <definedName name="TTD">#REF!</definedName>
    <definedName name="TTT" localSheetId="0">#REF!</definedName>
    <definedName name="TTT">#REF!</definedName>
    <definedName name="ttttt">#REF!</definedName>
    <definedName name="tttttt" localSheetId="0">#REF!</definedName>
    <definedName name="tttttt">#REF!</definedName>
    <definedName name="tttttttt" localSheetId="0">#REF!</definedName>
    <definedName name="tttttttt">#REF!</definedName>
    <definedName name="TU" localSheetId="0" hidden="1">{#N/A,#N/A,FALSE,"GERAL";#N/A,#N/A,FALSE,"012-96";#N/A,#N/A,FALSE,"018-96";#N/A,#N/A,FALSE,"027-96";#N/A,#N/A,FALSE,"059-96";#N/A,#N/A,FALSE,"076-96";#N/A,#N/A,FALSE,"019-97";#N/A,#N/A,FALSE,"021-97";#N/A,#N/A,FALSE,"022-97";#N/A,#N/A,FALSE,"028-97"}</definedName>
    <definedName name="TU" localSheetId="2" hidden="1">{#N/A,#N/A,FALSE,"GERAL";#N/A,#N/A,FALSE,"012-96";#N/A,#N/A,FALSE,"018-96";#N/A,#N/A,FALSE,"027-96";#N/A,#N/A,FALSE,"059-96";#N/A,#N/A,FALSE,"076-96";#N/A,#N/A,FALSE,"019-97";#N/A,#N/A,FALSE,"021-97";#N/A,#N/A,FALSE,"022-97";#N/A,#N/A,FALSE,"028-97"}</definedName>
    <definedName name="TU" hidden="1">{#N/A,#N/A,FALSE,"GERAL";#N/A,#N/A,FALSE,"012-96";#N/A,#N/A,FALSE,"018-96";#N/A,#N/A,FALSE,"027-96";#N/A,#N/A,FALSE,"059-96";#N/A,#N/A,FALSE,"076-96";#N/A,#N/A,FALSE,"019-97";#N/A,#N/A,FALSE,"021-97";#N/A,#N/A,FALSE,"022-97";#N/A,#N/A,FALSE,"028-97"}</definedName>
    <definedName name="Tubos_PRFV" localSheetId="0">#REF!</definedName>
    <definedName name="Tubos_PRFV">#REF!</definedName>
    <definedName name="Tubulacao" localSheetId="0">#REF!</definedName>
    <definedName name="Tubulacao">#REF!</definedName>
    <definedName name="tudo" localSheetId="0">#REF!</definedName>
    <definedName name="tudo">#REF!</definedName>
    <definedName name="tuut" localSheetId="0" hidden="1">{#N/A,#N/A,FALSE,"masez (10)";#N/A,#N/A,FALSE,"masez (7)";#N/A,#N/A,FALSE,"masez (6)";#N/A,#N/A,FALSE,"masez (5)";#N/A,#N/A,FALSE,"masez (4)";#N/A,#N/A,FALSE,"masez (3)";#N/A,#N/A,FALSE,"masez (2)";#N/A,#N/A,FALSE,"GME";#N/A,#N/A,FALSE,"masez"}</definedName>
    <definedName name="tuut" localSheetId="2" hidden="1">{#N/A,#N/A,FALSE,"masez (10)";#N/A,#N/A,FALSE,"masez (7)";#N/A,#N/A,FALSE,"masez (6)";#N/A,#N/A,FALSE,"masez (5)";#N/A,#N/A,FALSE,"masez (4)";#N/A,#N/A,FALSE,"masez (3)";#N/A,#N/A,FALSE,"masez (2)";#N/A,#N/A,FALSE,"GME";#N/A,#N/A,FALSE,"masez"}</definedName>
    <definedName name="tuut" hidden="1">{#N/A,#N/A,FALSE,"masez (10)";#N/A,#N/A,FALSE,"masez (7)";#N/A,#N/A,FALSE,"masez (6)";#N/A,#N/A,FALSE,"masez (5)";#N/A,#N/A,FALSE,"masez (4)";#N/A,#N/A,FALSE,"masez (3)";#N/A,#N/A,FALSE,"masez (2)";#N/A,#N/A,FALSE,"GME";#N/A,#N/A,FALSE,"masez"}</definedName>
    <definedName name="TwoA" localSheetId="0">#REF!</definedName>
    <definedName name="TwoA">#REF!</definedName>
    <definedName name="TwoB" localSheetId="0">#REF!</definedName>
    <definedName name="TwoB">#REF!</definedName>
    <definedName name="TwoC" localSheetId="0">#REF!</definedName>
    <definedName name="TwoC">#REF!</definedName>
    <definedName name="TwoD" localSheetId="0">#REF!</definedName>
    <definedName name="TwoD">#REF!</definedName>
    <definedName name="TwoE" localSheetId="0">#REF!</definedName>
    <definedName name="TwoE">#REF!</definedName>
    <definedName name="TwoF" localSheetId="0">#REF!</definedName>
    <definedName name="TwoF">#REF!</definedName>
    <definedName name="TwoG" localSheetId="0">#REF!</definedName>
    <definedName name="TwoG">#REF!</definedName>
    <definedName name="TwoH" localSheetId="0">#REF!</definedName>
    <definedName name="TwoH">#REF!</definedName>
    <definedName name="TwoI" localSheetId="0">#REF!</definedName>
    <definedName name="TwoI">#REF!</definedName>
    <definedName name="TwoJ" localSheetId="0">#REF!</definedName>
    <definedName name="TwoJ">#REF!</definedName>
    <definedName name="TwoK" localSheetId="0">#REF!</definedName>
    <definedName name="TwoK">#REF!</definedName>
    <definedName name="TwoL" localSheetId="0">#REF!</definedName>
    <definedName name="TwoL">#REF!</definedName>
    <definedName name="TwoM" localSheetId="0">#REF!</definedName>
    <definedName name="TwoM">#REF!</definedName>
    <definedName name="twoone" localSheetId="0">#REF!</definedName>
    <definedName name="twoone">#REF!</definedName>
    <definedName name="twozero" localSheetId="0">#REF!</definedName>
    <definedName name="twozero">#REF!</definedName>
    <definedName name="TXREMATI" localSheetId="0">#REF!</definedName>
    <definedName name="TXREMATI">#REF!</definedName>
    <definedName name="Type" localSheetId="0">#REF!</definedName>
    <definedName name="Type">#REF!</definedName>
    <definedName name="TYPES" localSheetId="0">#REF!</definedName>
    <definedName name="TYPES">#REF!</definedName>
    <definedName name="u" localSheetId="0"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u" localSheetId="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u"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UDM" localSheetId="0">#REF!</definedName>
    <definedName name="UDM">#REF!</definedName>
    <definedName name="UF" localSheetId="0">#REF!</definedName>
    <definedName name="UF">#REF!</definedName>
    <definedName name="UFS" localSheetId="0">#REF!</definedName>
    <definedName name="UFS">#REF!</definedName>
    <definedName name="UI" localSheetId="0" hidden="1">{#N/A,#N/A,FALSE,"GERAL";#N/A,#N/A,FALSE,"012-96";#N/A,#N/A,FALSE,"018-96";#N/A,#N/A,FALSE,"027-96";#N/A,#N/A,FALSE,"059-96";#N/A,#N/A,FALSE,"076-96";#N/A,#N/A,FALSE,"019-97";#N/A,#N/A,FALSE,"021-97";#N/A,#N/A,FALSE,"022-97";#N/A,#N/A,FALSE,"028-97"}</definedName>
    <definedName name="UI" localSheetId="2" hidden="1">{#N/A,#N/A,FALSE,"GERAL";#N/A,#N/A,FALSE,"012-96";#N/A,#N/A,FALSE,"018-96";#N/A,#N/A,FALSE,"027-96";#N/A,#N/A,FALSE,"059-96";#N/A,#N/A,FALSE,"076-96";#N/A,#N/A,FALSE,"019-97";#N/A,#N/A,FALSE,"021-97";#N/A,#N/A,FALSE,"022-97";#N/A,#N/A,FALSE,"028-97"}</definedName>
    <definedName name="UI" hidden="1">{#N/A,#N/A,FALSE,"GERAL";#N/A,#N/A,FALSE,"012-96";#N/A,#N/A,FALSE,"018-96";#N/A,#N/A,FALSE,"027-96";#N/A,#N/A,FALSE,"059-96";#N/A,#N/A,FALSE,"076-96";#N/A,#N/A,FALSE,"019-97";#N/A,#N/A,FALSE,"021-97";#N/A,#N/A,FALSE,"022-97";#N/A,#N/A,FALSE,"028-97"}</definedName>
    <definedName name="uiuiuu" localSheetId="0" hidden="1">{#N/A,#N/A,FALSE,"Total_OC015";#N/A,#N/A,FALSE,"ADMIN";#N/A,#N/A,FALSE,"PROCES";#N/A,#N/A,FALSE,"mecan";#N/A,#N/A,FALSE,"civil";#N/A,#N/A,FALSE,"CAÑER";#N/A,#N/A,FALSE,"ELEC";#N/A,#N/A,FALSE,"INSTR"}</definedName>
    <definedName name="uiuiuu" localSheetId="2" hidden="1">{#N/A,#N/A,FALSE,"Total_OC015";#N/A,#N/A,FALSE,"ADMIN";#N/A,#N/A,FALSE,"PROCES";#N/A,#N/A,FALSE,"mecan";#N/A,#N/A,FALSE,"civil";#N/A,#N/A,FALSE,"CAÑER";#N/A,#N/A,FALSE,"ELEC";#N/A,#N/A,FALSE,"INSTR"}</definedName>
    <definedName name="uiuiuu" hidden="1">{#N/A,#N/A,FALSE,"Total_OC015";#N/A,#N/A,FALSE,"ADMIN";#N/A,#N/A,FALSE,"PROCES";#N/A,#N/A,FALSE,"mecan";#N/A,#N/A,FALSE,"civil";#N/A,#N/A,FALSE,"CAÑER";#N/A,#N/A,FALSE,"ELEC";#N/A,#N/A,FALSE,"INSTR"}</definedName>
    <definedName name="ujuu">1000</definedName>
    <definedName name="ujuuju" localSheetId="0">#REF!</definedName>
    <definedName name="ujuuju">#REF!</definedName>
    <definedName name="ULTR">#N/A</definedName>
    <definedName name="Und" localSheetId="0">#REF!</definedName>
    <definedName name="Und">#REF!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p_tax" localSheetId="0">#REF!</definedName>
    <definedName name="Up_tax">#REF!</definedName>
    <definedName name="Uplift" localSheetId="0">#REF!</definedName>
    <definedName name="Uplift">#REF!</definedName>
    <definedName name="Upvc_2001" localSheetId="0">#REF!</definedName>
    <definedName name="Upvc_2001">#REF!</definedName>
    <definedName name="UPVC_99" localSheetId="0">#REF!</definedName>
    <definedName name="UPVC_99">#REF!</definedName>
    <definedName name="us" localSheetId="0">#REF!</definedName>
    <definedName name="us">#REF!</definedName>
    <definedName name="USD">#REF!</definedName>
    <definedName name="USD_Total" localSheetId="0">#REF!</definedName>
    <definedName name="USD_Total">#REF!</definedName>
    <definedName name="USERDATA" localSheetId="0">#REF!</definedName>
    <definedName name="USERDATA">#REF!</definedName>
    <definedName name="USG" localSheetId="0">#REF!</definedName>
    <definedName name="USG">#REF!</definedName>
    <definedName name="Utlidades2">#REF!</definedName>
    <definedName name="UUUUUUU" localSheetId="0" hidden="1">{#N/A,#N/A,FALSE,"GERAL";#N/A,#N/A,FALSE,"012-96";#N/A,#N/A,FALSE,"018-96";#N/A,#N/A,FALSE,"027-96";#N/A,#N/A,FALSE,"059-96";#N/A,#N/A,FALSE,"076-96";#N/A,#N/A,FALSE,"019-97";#N/A,#N/A,FALSE,"021-97";#N/A,#N/A,FALSE,"022-97";#N/A,#N/A,FALSE,"028-97"}</definedName>
    <definedName name="UUUUUUU" localSheetId="2" hidden="1">{#N/A,#N/A,FALSE,"GERAL";#N/A,#N/A,FALSE,"012-96";#N/A,#N/A,FALSE,"018-96";#N/A,#N/A,FALSE,"027-96";#N/A,#N/A,FALSE,"059-96";#N/A,#N/A,FALSE,"076-96";#N/A,#N/A,FALSE,"019-97";#N/A,#N/A,FALSE,"021-97";#N/A,#N/A,FALSE,"022-97";#N/A,#N/A,FALSE,"028-97"}</definedName>
    <definedName name="UUUUUUU" hidden="1">{#N/A,#N/A,FALSE,"GERAL";#N/A,#N/A,FALSE,"012-96";#N/A,#N/A,FALSE,"018-96";#N/A,#N/A,FALSE,"027-96";#N/A,#N/A,FALSE,"059-96";#N/A,#N/A,FALSE,"076-96";#N/A,#N/A,FALSE,"019-97";#N/A,#N/A,FALSE,"021-97";#N/A,#N/A,FALSE,"022-97";#N/A,#N/A,FALSE,"028-97"}</definedName>
    <definedName name="v" localSheetId="0"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v" localSheetId="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v"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V_1" localSheetId="0">#REF!</definedName>
    <definedName name="V_1">#REF!</definedName>
    <definedName name="V_2" localSheetId="0">#REF!</definedName>
    <definedName name="V_2">#REF!</definedName>
    <definedName name="V_3" localSheetId="0">#REF!</definedName>
    <definedName name="V_3">#REF!</definedName>
    <definedName name="V_4">#REF!</definedName>
    <definedName name="VAA">#REF!</definedName>
    <definedName name="ValAcurl">#REF!</definedName>
    <definedName name="Valchvrl">#REF!</definedName>
    <definedName name="VALE" localSheetId="0">#REF!</definedName>
    <definedName name="VALE">#REF!</definedName>
    <definedName name="ValidationListAsBuiltRequired1028" localSheetId="0">#REF!</definedName>
    <definedName name="ValidationListAsBuiltRequired1028">#REF!</definedName>
    <definedName name="ValidationListControlled1023" localSheetId="0">#REF!</definedName>
    <definedName name="ValidationListControlled1023">#REF!</definedName>
    <definedName name="ValidationListDocumentGroup1024" localSheetId="0">#REF!</definedName>
    <definedName name="ValidationListDocumentGroup1024">#REF!</definedName>
    <definedName name="ValidationListDocumentScheme1009" localSheetId="0">#REF!</definedName>
    <definedName name="ValidationListDocumentScheme1009">#REF!</definedName>
    <definedName name="ValidationListDocumentScheme1010" localSheetId="0">#REF!</definedName>
    <definedName name="ValidationListDocumentScheme1010">#REF!</definedName>
    <definedName name="ValidationListDocumentScheme1017" localSheetId="0">#REF!</definedName>
    <definedName name="ValidationListDocumentScheme1017">#REF!</definedName>
    <definedName name="ValidationListDocumentScheme1018" localSheetId="0">#REF!</definedName>
    <definedName name="ValidationListDocumentScheme1018">#REF!</definedName>
    <definedName name="ValidationListDocumentScheme1019" localSheetId="0">#REF!</definedName>
    <definedName name="ValidationListDocumentScheme1019">#REF!</definedName>
    <definedName name="ValidationListDocumentScheme1020" localSheetId="0">#REF!</definedName>
    <definedName name="ValidationListDocumentScheme1020">#REF!</definedName>
    <definedName name="ValidationListDocumentScheme1025" localSheetId="0">#REF!</definedName>
    <definedName name="ValidationListDocumentScheme1025">#REF!</definedName>
    <definedName name="ValidationListDocumentScheme1026" localSheetId="0">#REF!</definedName>
    <definedName name="ValidationListDocumentScheme1026">#REF!</definedName>
    <definedName name="ValidationListDocumentScheme1035" localSheetId="0">#REF!</definedName>
    <definedName name="ValidationListDocumentScheme1035">#REF!</definedName>
    <definedName name="ValidationListDocumentScheme1037" localSheetId="0">#REF!</definedName>
    <definedName name="ValidationListDocumentScheme1037">#REF!</definedName>
    <definedName name="ValidationListDocumentScheme1041" localSheetId="0">#REF!</definedName>
    <definedName name="ValidationListDocumentScheme1041">#REF!</definedName>
    <definedName name="ValidationListDocumentScheme1043" localSheetId="0">#REF!</definedName>
    <definedName name="ValidationListDocumentScheme1043">#REF!</definedName>
    <definedName name="ValidationListDocumentScheme1046" localSheetId="0">#REF!</definedName>
    <definedName name="ValidationListDocumentScheme1046">#REF!</definedName>
    <definedName name="ValidationListDocumentScheme1049" localSheetId="0">#REF!</definedName>
    <definedName name="ValidationListDocumentScheme1049">#REF!</definedName>
    <definedName name="ValidationListDocumentScheme1053" localSheetId="0">#REF!</definedName>
    <definedName name="ValidationListDocumentScheme1053">#REF!</definedName>
    <definedName name="ValidationListDocumentScheme1054" localSheetId="0">#REF!</definedName>
    <definedName name="ValidationListDocumentScheme1054">#REF!</definedName>
    <definedName name="ValidationListDocumentScheme1056" localSheetId="0">#REF!</definedName>
    <definedName name="ValidationListDocumentScheme1056">#REF!</definedName>
    <definedName name="ValidationListDocumentScheme1057" localSheetId="0">#REF!</definedName>
    <definedName name="ValidationListDocumentScheme1057">#REF!</definedName>
    <definedName name="ValidationListDocumentScheme1063" localSheetId="0">#REF!</definedName>
    <definedName name="ValidationListDocumentScheme1063">#REF!</definedName>
    <definedName name="ValidationListDocumentScheme1064" localSheetId="0">#REF!</definedName>
    <definedName name="ValidationListDocumentScheme1064">#REF!</definedName>
    <definedName name="ValidationListDocumentScheme1066" localSheetId="0">#REF!</definedName>
    <definedName name="ValidationListDocumentScheme1066">#REF!</definedName>
    <definedName name="ValidationListDocumentScheme1067" localSheetId="0">#REF!</definedName>
    <definedName name="ValidationListDocumentScheme1067">#REF!</definedName>
    <definedName name="ValidationListDocumentScheme1070" localSheetId="0">#REF!</definedName>
    <definedName name="ValidationListDocumentScheme1070">#REF!</definedName>
    <definedName name="ValidationListDocumentScheme1073" localSheetId="0">#REF!</definedName>
    <definedName name="ValidationListDocumentScheme1073">#REF!</definedName>
    <definedName name="ValidationListDocumentScheme1080" localSheetId="0">#REF!</definedName>
    <definedName name="ValidationListDocumentScheme1080">#REF!</definedName>
    <definedName name="ValidationListDocumentScheme1086" localSheetId="0">#REF!</definedName>
    <definedName name="ValidationListDocumentScheme1086">#REF!</definedName>
    <definedName name="ValidationListDocumentScheme1092" localSheetId="0">#REF!</definedName>
    <definedName name="ValidationListDocumentScheme1092">#REF!</definedName>
    <definedName name="ValidationListDocumentScheme1105" localSheetId="0">#REF!</definedName>
    <definedName name="ValidationListDocumentScheme1105">#REF!</definedName>
    <definedName name="ValidationListDocumentScheme1106" localSheetId="0">#REF!</definedName>
    <definedName name="ValidationListDocumentScheme1106">#REF!</definedName>
    <definedName name="ValidationListDocumentScheme1151" localSheetId="0">#REF!</definedName>
    <definedName name="ValidationListDocumentScheme1151">#REF!</definedName>
    <definedName name="ValidationListDocumentScheme1155" localSheetId="0">#REF!</definedName>
    <definedName name="ValidationListDocumentScheme1155">#REF!</definedName>
    <definedName name="ValidationListDocumentStatus1017" localSheetId="0">#REF!</definedName>
    <definedName name="ValidationListDocumentStatus1017">#REF!</definedName>
    <definedName name="ValidationListDocumentSubType1015" localSheetId="0">#REF!</definedName>
    <definedName name="ValidationListDocumentSubType1015">#REF!</definedName>
    <definedName name="ValidationListDocumentSubType1016" localSheetId="0">#REF!</definedName>
    <definedName name="ValidationListDocumentSubType1016">#REF!</definedName>
    <definedName name="ValidationListDocumentSubType1022" localSheetId="0">#REF!</definedName>
    <definedName name="ValidationListDocumentSubType1022">#REF!</definedName>
    <definedName name="ValidationListDocumentSubType1024" localSheetId="0">#REF!</definedName>
    <definedName name="ValidationListDocumentSubType1024">#REF!</definedName>
    <definedName name="ValidationListDocumentSubType1025" localSheetId="0">#REF!</definedName>
    <definedName name="ValidationListDocumentSubType1025">#REF!</definedName>
    <definedName name="ValidationListDocumentSubType1026" localSheetId="0">#REF!</definedName>
    <definedName name="ValidationListDocumentSubType1026">#REF!</definedName>
    <definedName name="ValidationListDocumentSubType1031" localSheetId="0">#REF!</definedName>
    <definedName name="ValidationListDocumentSubType1031">#REF!</definedName>
    <definedName name="ValidationListDocumentSubType1043" localSheetId="0">#REF!</definedName>
    <definedName name="ValidationListDocumentSubType1043">#REF!</definedName>
    <definedName name="ValidationListDocumentSubType1047" localSheetId="0">#REF!</definedName>
    <definedName name="ValidationListDocumentSubType1047">#REF!</definedName>
    <definedName name="ValidationListDocumentSubType1049" localSheetId="0">#REF!</definedName>
    <definedName name="ValidationListDocumentSubType1049">#REF!</definedName>
    <definedName name="ValidationListDocumentSubType1060" localSheetId="0">#REF!</definedName>
    <definedName name="ValidationListDocumentSubType1060">#REF!</definedName>
    <definedName name="ValidationListDocumentSubType1062" localSheetId="0">#REF!</definedName>
    <definedName name="ValidationListDocumentSubType1062">#REF!</definedName>
    <definedName name="ValidationListDocumentSubType1063" localSheetId="0">#REF!</definedName>
    <definedName name="ValidationListDocumentSubType1063">#REF!</definedName>
    <definedName name="ValidationListDocumentSubType1070" localSheetId="0">#REF!</definedName>
    <definedName name="ValidationListDocumentSubType1070">#REF!</definedName>
    <definedName name="ValidationListDocumentSubType1072" localSheetId="0">#REF!</definedName>
    <definedName name="ValidationListDocumentSubType1072">#REF!</definedName>
    <definedName name="ValidationListDocumentSubType1073" localSheetId="0">#REF!</definedName>
    <definedName name="ValidationListDocumentSubType1073">#REF!</definedName>
    <definedName name="ValidationListDocumentSubType1076" localSheetId="0">#REF!</definedName>
    <definedName name="ValidationListDocumentSubType1076">#REF!</definedName>
    <definedName name="ValidationListDocumentSubType1079" localSheetId="0">#REF!</definedName>
    <definedName name="ValidationListDocumentSubType1079">#REF!</definedName>
    <definedName name="ValidationListDocumentSubType1085" localSheetId="0">#REF!</definedName>
    <definedName name="ValidationListDocumentSubType1085">#REF!</definedName>
    <definedName name="ValidationListDocumentSubType1092" localSheetId="0">#REF!</definedName>
    <definedName name="ValidationListDocumentSubType1092">#REF!</definedName>
    <definedName name="ValidationListDocumentSubType1111" localSheetId="0">#REF!</definedName>
    <definedName name="ValidationListDocumentSubType1111">#REF!</definedName>
    <definedName name="ValidationListDocumentSubType1112" localSheetId="0">#REF!</definedName>
    <definedName name="ValidationListDocumentSubType1112">#REF!</definedName>
    <definedName name="ValidationListDocumentSubType1161" localSheetId="0">#REF!</definedName>
    <definedName name="ValidationListDocumentSubType1161">#REF!</definedName>
    <definedName name="ValidationListDocumentType1014" localSheetId="0">#REF!</definedName>
    <definedName name="ValidationListDocumentType1014">#REF!</definedName>
    <definedName name="ValidationListDocumentType1015" localSheetId="0">#REF!</definedName>
    <definedName name="ValidationListDocumentType1015">#REF!</definedName>
    <definedName name="ValidationListDocumentType1021" localSheetId="0">#REF!</definedName>
    <definedName name="ValidationListDocumentType1021">#REF!</definedName>
    <definedName name="ValidationListDocumentType1024" localSheetId="0">#REF!</definedName>
    <definedName name="ValidationListDocumentType1024">#REF!</definedName>
    <definedName name="ValidationListDocumentType1025" localSheetId="0">#REF!</definedName>
    <definedName name="ValidationListDocumentType1025">#REF!</definedName>
    <definedName name="ValidationListDocumentType1030" localSheetId="0">#REF!</definedName>
    <definedName name="ValidationListDocumentType1030">#REF!</definedName>
    <definedName name="ValidationListDocumentType1042" localSheetId="0">#REF!</definedName>
    <definedName name="ValidationListDocumentType1042">#REF!</definedName>
    <definedName name="ValidationListDocumentType1046" localSheetId="0">#REF!</definedName>
    <definedName name="ValidationListDocumentType1046">#REF!</definedName>
    <definedName name="ValidationListDocumentType1048" localSheetId="0">#REF!</definedName>
    <definedName name="ValidationListDocumentType1048">#REF!</definedName>
    <definedName name="ValidationListDocumentType1059" localSheetId="0">#REF!</definedName>
    <definedName name="ValidationListDocumentType1059">#REF!</definedName>
    <definedName name="ValidationListDocumentType1061" localSheetId="0">#REF!</definedName>
    <definedName name="ValidationListDocumentType1061">#REF!</definedName>
    <definedName name="ValidationListDocumentType1062" localSheetId="0">#REF!</definedName>
    <definedName name="ValidationListDocumentType1062">#REF!</definedName>
    <definedName name="ValidationListDocumentType1069" localSheetId="0">#REF!</definedName>
    <definedName name="ValidationListDocumentType1069">#REF!</definedName>
    <definedName name="ValidationListDocumentType1071" localSheetId="0">#REF!</definedName>
    <definedName name="ValidationListDocumentType1071">#REF!</definedName>
    <definedName name="ValidationListDocumentType1072" localSheetId="0">#REF!</definedName>
    <definedName name="ValidationListDocumentType1072">#REF!</definedName>
    <definedName name="ValidationListDocumentType1075" localSheetId="0">#REF!</definedName>
    <definedName name="ValidationListDocumentType1075">#REF!</definedName>
    <definedName name="ValidationListDocumentType1078" localSheetId="0">#REF!</definedName>
    <definedName name="ValidationListDocumentType1078">#REF!</definedName>
    <definedName name="ValidationListDocumentType1091" localSheetId="0">#REF!</definedName>
    <definedName name="ValidationListDocumentType1091">#REF!</definedName>
    <definedName name="ValidationListDocumentType1110" localSheetId="0">#REF!</definedName>
    <definedName name="ValidationListDocumentType1110">#REF!</definedName>
    <definedName name="ValidationListDocumentType1156" localSheetId="0">#REF!</definedName>
    <definedName name="ValidationListDocumentType1156">#REF!</definedName>
    <definedName name="ValidationListGrade1025" localSheetId="0">#REF!</definedName>
    <definedName name="ValidationListGrade1025">#REF!</definedName>
    <definedName name="ValidationListMedia1026" localSheetId="0">#REF!</definedName>
    <definedName name="ValidationListMedia1026">#REF!</definedName>
    <definedName name="ValidationListSheetSize1027" localSheetId="0">#REF!</definedName>
    <definedName name="ValidationListSheetSize1027">#REF!</definedName>
    <definedName name="ValidationListSubTypeCode1016" localSheetId="0">#REF!</definedName>
    <definedName name="ValidationListSubTypeCode1016">#REF!</definedName>
    <definedName name="ValidationListSubTypeCode1023" localSheetId="0">#REF!</definedName>
    <definedName name="ValidationListSubTypeCode1023">#REF!</definedName>
    <definedName name="Valor" localSheetId="0">#REF!</definedName>
    <definedName name="Valor">#REF!</definedName>
    <definedName name="VALORCD" localSheetId="0">#REF!</definedName>
    <definedName name="VALORCD">#REF!</definedName>
    <definedName name="valorcomiof" localSheetId="0">#REF!</definedName>
    <definedName name="valorcomiof">#REF!</definedName>
    <definedName name="VALORES_VALORES_Listar">#REF!</definedName>
    <definedName name="VALORPC" localSheetId="0">#REF!</definedName>
    <definedName name="VALORPC">#REF!</definedName>
    <definedName name="Valotização" localSheetId="0">#REF!</definedName>
    <definedName name="Valotização">#REF!</definedName>
    <definedName name="Value_BE" localSheetId="0">#REF!</definedName>
    <definedName name="Value_BE">#REF!</definedName>
    <definedName name="Value_C" localSheetId="0">#REF!</definedName>
    <definedName name="Value_C">#REF!</definedName>
    <definedName name="Value_EC" localSheetId="0">#REF!</definedName>
    <definedName name="Value_EC">#REF!</definedName>
    <definedName name="Value_Mean" localSheetId="0">#REF!</definedName>
    <definedName name="Value_Mean">#REF!</definedName>
    <definedName name="Value_PR" localSheetId="0">#REF!</definedName>
    <definedName name="Value_PR">#REF!</definedName>
    <definedName name="VAR_EXT" localSheetId="0">#REF!</definedName>
    <definedName name="VAR_EXT" localSheetId="2">QQP!VAR_EXT</definedName>
    <definedName name="VAR_EXT">#REF!</definedName>
    <definedName name="VAR_INT" localSheetId="0">#REF!</definedName>
    <definedName name="VAR_INT" localSheetId="2">QQP!VAR_INT</definedName>
    <definedName name="VAR_INT">#REF!</definedName>
    <definedName name="VBF" localSheetId="0">#REF!</definedName>
    <definedName name="VBF" localSheetId="2">#REF!</definedName>
    <definedName name="VBF">#REF!</definedName>
    <definedName name="VC" localSheetId="0">#REF!</definedName>
    <definedName name="VC" localSheetId="2">#REF!</definedName>
    <definedName name="VC">#REF!</definedName>
    <definedName name="VCXNVJHKKLYJ" localSheetId="0" hidden="1">{#N/A,#N/A,FALSE,"masez (10)";#N/A,#N/A,FALSE,"masez (7)";#N/A,#N/A,FALSE,"masez (6)";#N/A,#N/A,FALSE,"masez (5)";#N/A,#N/A,FALSE,"masez (4)";#N/A,#N/A,FALSE,"masez (3)";#N/A,#N/A,FALSE,"masez (2)";#N/A,#N/A,FALSE,"GME";#N/A,#N/A,FALSE,"masez"}</definedName>
    <definedName name="VCXNVJHKKLYJ" localSheetId="2" hidden="1">{#N/A,#N/A,FALSE,"masez (10)";#N/A,#N/A,FALSE,"masez (7)";#N/A,#N/A,FALSE,"masez (6)";#N/A,#N/A,FALSE,"masez (5)";#N/A,#N/A,FALSE,"masez (4)";#N/A,#N/A,FALSE,"masez (3)";#N/A,#N/A,FALSE,"masez (2)";#N/A,#N/A,FALSE,"GME";#N/A,#N/A,FALSE,"masez"}</definedName>
    <definedName name="VCXNVJHKKLYJ" hidden="1">{#N/A,#N/A,FALSE,"masez (10)";#N/A,#N/A,FALSE,"masez (7)";#N/A,#N/A,FALSE,"masez (6)";#N/A,#N/A,FALSE,"masez (5)";#N/A,#N/A,FALSE,"masez (4)";#N/A,#N/A,FALSE,"masez (3)";#N/A,#N/A,FALSE,"masez (2)";#N/A,#N/A,FALSE,"GME";#N/A,#N/A,FALSE,"masez"}</definedName>
    <definedName name="VD" localSheetId="0">#REF!</definedName>
    <definedName name="VD">#REF!</definedName>
    <definedName name="VE" localSheetId="0">#REF!</definedName>
    <definedName name="VE">#REF!</definedName>
    <definedName name="VEND" localSheetId="0">#REF!</definedName>
    <definedName name="VEND">#REF!</definedName>
    <definedName name="verti" localSheetId="0" hidden="1">{"desarrollo",#N/A,FALSE,"Cámara Camión";"resumen",#N/A,FALSE,"Cámara Camión";"eqprod",#N/A,FALSE,"Cámara Camión"}</definedName>
    <definedName name="verti" localSheetId="2" hidden="1">{"desarrollo",#N/A,FALSE,"Cámara Camión";"resumen",#N/A,FALSE,"Cámara Camión";"eqprod",#N/A,FALSE,"Cámara Camión"}</definedName>
    <definedName name="verti" hidden="1">{"desarrollo",#N/A,FALSE,"Cámara Camión";"resumen",#N/A,FALSE,"Cámara Camión";"eqprod",#N/A,FALSE,"Cámara Camión"}</definedName>
    <definedName name="vertical" localSheetId="0" hidden="1">{"desarrollo",#N/A,FALSE,"LHD Camión";"eqdllo",#N/A,FALSE,"LHD Camión";"eqprod",#N/A,FALSE,"LHD Camión";"Resumen",#N/A,FALSE,"LHD Camión"}</definedName>
    <definedName name="vertical" localSheetId="2" hidden="1">{"desarrollo",#N/A,FALSE,"LHD Camión";"eqdllo",#N/A,FALSE,"LHD Camión";"eqprod",#N/A,FALSE,"LHD Camión";"Resumen",#N/A,FALSE,"LHD Camión"}</definedName>
    <definedName name="vertical" hidden="1">{"desarrollo",#N/A,FALSE,"LHD Camión";"eqdllo",#N/A,FALSE,"LHD Camión";"eqprod",#N/A,FALSE,"LHD Camión";"Resumen",#N/A,FALSE,"LHD Camión"}</definedName>
    <definedName name="VI" localSheetId="0" hidden="1">{#N/A,#N/A,FALSE,"GERAL";#N/A,#N/A,FALSE,"012-96";#N/A,#N/A,FALSE,"018-96";#N/A,#N/A,FALSE,"027-96";#N/A,#N/A,FALSE,"059-96";#N/A,#N/A,FALSE,"076-96";#N/A,#N/A,FALSE,"019-97";#N/A,#N/A,FALSE,"021-97";#N/A,#N/A,FALSE,"022-97";#N/A,#N/A,FALSE,"028-97"}</definedName>
    <definedName name="VI" localSheetId="2" hidden="1">{#N/A,#N/A,FALSE,"GERAL";#N/A,#N/A,FALSE,"012-96";#N/A,#N/A,FALSE,"018-96";#N/A,#N/A,FALSE,"027-96";#N/A,#N/A,FALSE,"059-96";#N/A,#N/A,FALSE,"076-96";#N/A,#N/A,FALSE,"019-97";#N/A,#N/A,FALSE,"021-97";#N/A,#N/A,FALSE,"022-97";#N/A,#N/A,FALSE,"028-97"}</definedName>
    <definedName name="VI" hidden="1">{#N/A,#N/A,FALSE,"GERAL";#N/A,#N/A,FALSE,"012-96";#N/A,#N/A,FALSE,"018-96";#N/A,#N/A,FALSE,"027-96";#N/A,#N/A,FALSE,"059-96";#N/A,#N/A,FALSE,"076-96";#N/A,#N/A,FALSE,"019-97";#N/A,#N/A,FALSE,"021-97";#N/A,#N/A,FALSE,"022-97";#N/A,#N/A,FALSE,"028-97"}</definedName>
    <definedName name="VIAGENS" localSheetId="0">#REF!</definedName>
    <definedName name="VIAGENS">#REF!</definedName>
    <definedName name="viio" localSheetId="0" hidden="1">{#N/A,#N/A,FALSE,"masez (10)";#N/A,#N/A,FALSE,"masez (7)";#N/A,#N/A,FALSE,"masez (6)";#N/A,#N/A,FALSE,"masez (5)";#N/A,#N/A,FALSE,"masez (4)";#N/A,#N/A,FALSE,"masez (3)";#N/A,#N/A,FALSE,"masez (2)";#N/A,#N/A,FALSE,"GME";#N/A,#N/A,FALSE,"masez"}</definedName>
    <definedName name="viio" localSheetId="2" hidden="1">{#N/A,#N/A,FALSE,"masez (10)";#N/A,#N/A,FALSE,"masez (7)";#N/A,#N/A,FALSE,"masez (6)";#N/A,#N/A,FALSE,"masez (5)";#N/A,#N/A,FALSE,"masez (4)";#N/A,#N/A,FALSE,"masez (3)";#N/A,#N/A,FALSE,"masez (2)";#N/A,#N/A,FALSE,"GME";#N/A,#N/A,FALSE,"masez"}</definedName>
    <definedName name="viio" hidden="1">{#N/A,#N/A,FALSE,"masez (10)";#N/A,#N/A,FALSE,"masez (7)";#N/A,#N/A,FALSE,"masez (6)";#N/A,#N/A,FALSE,"masez (5)";#N/A,#N/A,FALSE,"masez (4)";#N/A,#N/A,FALSE,"masez (3)";#N/A,#N/A,FALSE,"masez (2)";#N/A,#N/A,FALSE,"GME";#N/A,#N/A,FALSE,"masez"}</definedName>
    <definedName name="voith4" localSheetId="0">#REF!</definedName>
    <definedName name="voith4" localSheetId="2">#REF!</definedName>
    <definedName name="voith4">#REF!</definedName>
    <definedName name="voith6" localSheetId="0">#REF!</definedName>
    <definedName name="voith6" localSheetId="2">#REF!</definedName>
    <definedName name="voith6">#REF!</definedName>
    <definedName name="VOL_ACUM" localSheetId="0">#REF!</definedName>
    <definedName name="VOL_ACUM">#REF!</definedName>
    <definedName name="VOLUME" localSheetId="0">#REF!</definedName>
    <definedName name="VOLUME">#REF!</definedName>
    <definedName name="VPI" localSheetId="0">#REF!</definedName>
    <definedName name="VPI">#REF!</definedName>
    <definedName name="VPL" localSheetId="0">#REF!</definedName>
    <definedName name="VPL">#REF!</definedName>
    <definedName name="VPLperp" localSheetId="0">#REF!</definedName>
    <definedName name="VPLperp">#REF!</definedName>
    <definedName name="Vutil" localSheetId="0">#REF!</definedName>
    <definedName name="Vutil" localSheetId="2">#REF!</definedName>
    <definedName name="Vutil">#REF!</definedName>
    <definedName name="vvv" localSheetId="0">#REF!</definedName>
    <definedName name="vvv">#REF!</definedName>
    <definedName name="vvvvv" localSheetId="0"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vvvvv" localSheetId="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vvvvv"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VVVVVV" localSheetId="0">#REF!</definedName>
    <definedName name="VVVVVV">#REF!</definedName>
    <definedName name="w" localSheetId="0" hidden="1">{#N/A,#N/A,FALSE,"GERAL";#N/A,#N/A,FALSE,"012-96";#N/A,#N/A,FALSE,"018-96";#N/A,#N/A,FALSE,"027-96";#N/A,#N/A,FALSE,"059-96";#N/A,#N/A,FALSE,"076-96";#N/A,#N/A,FALSE,"019-97";#N/A,#N/A,FALSE,"021-97";#N/A,#N/A,FALSE,"022-97";#N/A,#N/A,FALSE,"028-97"}</definedName>
    <definedName name="w" localSheetId="2" hidden="1">{#N/A,#N/A,FALSE,"GERAL";#N/A,#N/A,FALSE,"012-96";#N/A,#N/A,FALSE,"018-96";#N/A,#N/A,FALSE,"027-96";#N/A,#N/A,FALSE,"059-96";#N/A,#N/A,FALSE,"076-96";#N/A,#N/A,FALSE,"019-97";#N/A,#N/A,FALSE,"021-97";#N/A,#N/A,FALSE,"022-97";#N/A,#N/A,FALSE,"028-97"}</definedName>
    <definedName name="w" hidden="1">{#N/A,#N/A,FALSE,"GERAL";#N/A,#N/A,FALSE,"012-96";#N/A,#N/A,FALSE,"018-96";#N/A,#N/A,FALSE,"027-96";#N/A,#N/A,FALSE,"059-96";#N/A,#N/A,FALSE,"076-96";#N/A,#N/A,FALSE,"019-97";#N/A,#N/A,FALSE,"021-97";#N/A,#N/A,FALSE,"022-97";#N/A,#N/A,FALSE,"028-97"}</definedName>
    <definedName name="wacc" localSheetId="0">#REF!</definedName>
    <definedName name="wacc">#REF!</definedName>
    <definedName name="wacc1" localSheetId="0">#REF!</definedName>
    <definedName name="wacc1">#REF!</definedName>
    <definedName name="wages" localSheetId="0">#REF!</definedName>
    <definedName name="wages">#REF!</definedName>
    <definedName name="water" localSheetId="0">#REF!</definedName>
    <definedName name="water">#REF!</definedName>
    <definedName name="WBS1000S" localSheetId="0">#REF!</definedName>
    <definedName name="WBS1000S">#REF!</definedName>
    <definedName name="WBS2000S" localSheetId="0">#REF!</definedName>
    <definedName name="WBS2000S">#REF!</definedName>
    <definedName name="WBS3000S" localSheetId="0">#REF!</definedName>
    <definedName name="WBS3000S">#REF!</definedName>
    <definedName name="WBS4000S" localSheetId="0">#REF!</definedName>
    <definedName name="WBS4000S">#REF!</definedName>
    <definedName name="WBS5000S" localSheetId="0">#REF!</definedName>
    <definedName name="WBS5000S">#REF!</definedName>
    <definedName name="WeeksPerMonth">#REF!</definedName>
    <definedName name="wef" localSheetId="0" hidden="1">{#N/A,#N/A,FALSE,"minas";#N/A,#N/A,FALSE,"Total_OC015";#N/A,#N/A,FALSE,"ADMIN";#N/A,#N/A,FALSE,"PROCES";#N/A,#N/A,FALSE,"civil";#N/A,#N/A,FALSE,"CAÑER";#N/A,#N/A,FALSE,"ELEC";#N/A,#N/A,FALSE,"INSTR";#N/A,#N/A,FALSE,"PDS";#N/A,#N/A,FALSE,"mecan"}</definedName>
    <definedName name="wef" localSheetId="2" hidden="1">{#N/A,#N/A,FALSE,"minas";#N/A,#N/A,FALSE,"Total_OC015";#N/A,#N/A,FALSE,"ADMIN";#N/A,#N/A,FALSE,"PROCES";#N/A,#N/A,FALSE,"civil";#N/A,#N/A,FALSE,"CAÑER";#N/A,#N/A,FALSE,"ELEC";#N/A,#N/A,FALSE,"INSTR";#N/A,#N/A,FALSE,"PDS";#N/A,#N/A,FALSE,"mecan"}</definedName>
    <definedName name="wef" hidden="1">{#N/A,#N/A,FALSE,"minas";#N/A,#N/A,FALSE,"Total_OC015";#N/A,#N/A,FALSE,"ADMIN";#N/A,#N/A,FALSE,"PROCES";#N/A,#N/A,FALSE,"civil";#N/A,#N/A,FALSE,"CAÑER";#N/A,#N/A,FALSE,"ELEC";#N/A,#N/A,FALSE,"INSTR";#N/A,#N/A,FALSE,"PDS";#N/A,#N/A,FALSE,"mecan"}</definedName>
    <definedName name="wefw" localSheetId="0" hidden="1">{#N/A,#N/A,FALSE,"Total_OC015";#N/A,#N/A,FALSE,"ADMIN";#N/A,#N/A,FALSE,"PROCES";#N/A,#N/A,FALSE,"mecan";#N/A,#N/A,FALSE,"civil";#N/A,#N/A,FALSE,"CAÑER";#N/A,#N/A,FALSE,"ELEC";#N/A,#N/A,FALSE,"INSTR"}</definedName>
    <definedName name="wefw" localSheetId="2" hidden="1">{#N/A,#N/A,FALSE,"Total_OC015";#N/A,#N/A,FALSE,"ADMIN";#N/A,#N/A,FALSE,"PROCES";#N/A,#N/A,FALSE,"mecan";#N/A,#N/A,FALSE,"civil";#N/A,#N/A,FALSE,"CAÑER";#N/A,#N/A,FALSE,"ELEC";#N/A,#N/A,FALSE,"INSTR"}</definedName>
    <definedName name="wefw" hidden="1">{#N/A,#N/A,FALSE,"Total_OC015";#N/A,#N/A,FALSE,"ADMIN";#N/A,#N/A,FALSE,"PROCES";#N/A,#N/A,FALSE,"mecan";#N/A,#N/A,FALSE,"civil";#N/A,#N/A,FALSE,"CAÑER";#N/A,#N/A,FALSE,"ELEC";#N/A,#N/A,FALSE,"INSTR"}</definedName>
    <definedName name="wefwe" localSheetId="0" hidden="1">{#N/A,#N/A,FALSE,"Total_OC015";#N/A,#N/A,FALSE,"ADMIN";#N/A,#N/A,FALSE,"PROCES";#N/A,#N/A,FALSE,"mecan";#N/A,#N/A,FALSE,"civil";#N/A,#N/A,FALSE,"CAÑER";#N/A,#N/A,FALSE,"ELEC";#N/A,#N/A,FALSE,"INSTR"}</definedName>
    <definedName name="wefwe" localSheetId="2" hidden="1">{#N/A,#N/A,FALSE,"Total_OC015";#N/A,#N/A,FALSE,"ADMIN";#N/A,#N/A,FALSE,"PROCES";#N/A,#N/A,FALSE,"mecan";#N/A,#N/A,FALSE,"civil";#N/A,#N/A,FALSE,"CAÑER";#N/A,#N/A,FALSE,"ELEC";#N/A,#N/A,FALSE,"INSTR"}</definedName>
    <definedName name="wefwe" hidden="1">{#N/A,#N/A,FALSE,"Total_OC015";#N/A,#N/A,FALSE,"ADMIN";#N/A,#N/A,FALSE,"PROCES";#N/A,#N/A,FALSE,"mecan";#N/A,#N/A,FALSE,"civil";#N/A,#N/A,FALSE,"CAÑER";#N/A,#N/A,FALSE,"ELEC";#N/A,#N/A,FALSE,"INSTR"}</definedName>
    <definedName name="wefwef" localSheetId="0" hidden="1">{#N/A,#N/A,TRUE,"Est. de Fact.";#N/A,#N/A,TRUE,"Capitulo 19";#N/A,#N/A,TRUE,"Proyecto P855"}</definedName>
    <definedName name="wefwef" localSheetId="2" hidden="1">{#N/A,#N/A,TRUE,"Est. de Fact.";#N/A,#N/A,TRUE,"Capitulo 19";#N/A,#N/A,TRUE,"Proyecto P855"}</definedName>
    <definedName name="wefwef" hidden="1">{#N/A,#N/A,TRUE,"Est. de Fact.";#N/A,#N/A,TRUE,"Capitulo 19";#N/A,#N/A,TRUE,"Proyecto P855"}</definedName>
    <definedName name="Weight" localSheetId="0">#REF!</definedName>
    <definedName name="Weight">#REF!</definedName>
    <definedName name="WERT" localSheetId="0" hidden="1">{#N/A,#N/A,FALSE,"masez (10)";#N/A,#N/A,FALSE,"masez (7)";#N/A,#N/A,FALSE,"masez (6)";#N/A,#N/A,FALSE,"masez (5)";#N/A,#N/A,FALSE,"masez (4)";#N/A,#N/A,FALSE,"masez (3)";#N/A,#N/A,FALSE,"masez (2)";#N/A,#N/A,FALSE,"GME";#N/A,#N/A,FALSE,"masez"}</definedName>
    <definedName name="WERT" localSheetId="2" hidden="1">{#N/A,#N/A,FALSE,"masez (10)";#N/A,#N/A,FALSE,"masez (7)";#N/A,#N/A,FALSE,"masez (6)";#N/A,#N/A,FALSE,"masez (5)";#N/A,#N/A,FALSE,"masez (4)";#N/A,#N/A,FALSE,"masez (3)";#N/A,#N/A,FALSE,"masez (2)";#N/A,#N/A,FALSE,"GME";#N/A,#N/A,FALSE,"masez"}</definedName>
    <definedName name="WERT" hidden="1">{#N/A,#N/A,FALSE,"masez (10)";#N/A,#N/A,FALSE,"masez (7)";#N/A,#N/A,FALSE,"masez (6)";#N/A,#N/A,FALSE,"masez (5)";#N/A,#N/A,FALSE,"masez (4)";#N/A,#N/A,FALSE,"masez (3)";#N/A,#N/A,FALSE,"masez (2)";#N/A,#N/A,FALSE,"GME";#N/A,#N/A,FALSE,"masez"}</definedName>
    <definedName name="werwe" localSheetId="0">#REF!</definedName>
    <definedName name="werwe">#REF!</definedName>
    <definedName name="werwerwerew" localSheetId="0">#REF!</definedName>
    <definedName name="werwerwerew">#REF!</definedName>
    <definedName name="werwerwerwe" localSheetId="0">#REF!</definedName>
    <definedName name="werwerwerwe">#REF!</definedName>
    <definedName name="wewwe" localSheetId="0" hidden="1">{#N/A,#N/A,FALSE,"minas";#N/A,#N/A,FALSE,"Total_OC015";#N/A,#N/A,FALSE,"ADMIN";#N/A,#N/A,FALSE,"PROCES";#N/A,#N/A,FALSE,"civil";#N/A,#N/A,FALSE,"CAÑER";#N/A,#N/A,FALSE,"ELEC";#N/A,#N/A,FALSE,"INSTR";#N/A,#N/A,FALSE,"PDS";#N/A,#N/A,FALSE,"mecan"}</definedName>
    <definedName name="wewwe" localSheetId="2" hidden="1">{#N/A,#N/A,FALSE,"minas";#N/A,#N/A,FALSE,"Total_OC015";#N/A,#N/A,FALSE,"ADMIN";#N/A,#N/A,FALSE,"PROCES";#N/A,#N/A,FALSE,"civil";#N/A,#N/A,FALSE,"CAÑER";#N/A,#N/A,FALSE,"ELEC";#N/A,#N/A,FALSE,"INSTR";#N/A,#N/A,FALSE,"PDS";#N/A,#N/A,FALSE,"mecan"}</definedName>
    <definedName name="wewwe" hidden="1">{#N/A,#N/A,FALSE,"minas";#N/A,#N/A,FALSE,"Total_OC015";#N/A,#N/A,FALSE,"ADMIN";#N/A,#N/A,FALSE,"PROCES";#N/A,#N/A,FALSE,"civil";#N/A,#N/A,FALSE,"CAÑER";#N/A,#N/A,FALSE,"ELEC";#N/A,#N/A,FALSE,"INSTR";#N/A,#N/A,FALSE,"PDS";#N/A,#N/A,FALSE,"mecan"}</definedName>
    <definedName name="width" localSheetId="0">#REF!</definedName>
    <definedName name="width">#REF!</definedName>
    <definedName name="wnr" localSheetId="0" hidden="1">{#N/A,#N/A,FALSE,"GERAL";#N/A,#N/A,FALSE,"012-96";#N/A,#N/A,FALSE,"018-96";#N/A,#N/A,FALSE,"027-96";#N/A,#N/A,FALSE,"059-96";#N/A,#N/A,FALSE,"076-96";#N/A,#N/A,FALSE,"019-97";#N/A,#N/A,FALSE,"021-97";#N/A,#N/A,FALSE,"022-97";#N/A,#N/A,FALSE,"028-97"}</definedName>
    <definedName name="wnr" localSheetId="2" hidden="1">{#N/A,#N/A,FALSE,"GERAL";#N/A,#N/A,FALSE,"012-96";#N/A,#N/A,FALSE,"018-96";#N/A,#N/A,FALSE,"027-96";#N/A,#N/A,FALSE,"059-96";#N/A,#N/A,FALSE,"076-96";#N/A,#N/A,FALSE,"019-97";#N/A,#N/A,FALSE,"021-97";#N/A,#N/A,FALSE,"022-97";#N/A,#N/A,FALSE,"028-97"}</definedName>
    <definedName name="wnr" hidden="1">{#N/A,#N/A,FALSE,"GERAL";#N/A,#N/A,FALSE,"012-96";#N/A,#N/A,FALSE,"018-96";#N/A,#N/A,FALSE,"027-96";#N/A,#N/A,FALSE,"059-96";#N/A,#N/A,FALSE,"076-96";#N/A,#N/A,FALSE,"019-97";#N/A,#N/A,FALSE,"021-97";#N/A,#N/A,FALSE,"022-97";#N/A,#N/A,FALSE,"028-97"}</definedName>
    <definedName name="wrn" localSheetId="0" hidden="1">{#N/A,#N/A,TRUE,"Est. de Fact.";#N/A,#N/A,TRUE,"Capitulo 19";#N/A,#N/A,TRUE,"Proyecto P855"}</definedName>
    <definedName name="wrn" localSheetId="2" hidden="1">{#N/A,#N/A,TRUE,"Est. de Fact.";#N/A,#N/A,TRUE,"Capitulo 19";#N/A,#N/A,TRUE,"Proyecto P855"}</definedName>
    <definedName name="wrn" hidden="1">{#N/A,#N/A,TRUE,"Est. de Fact.";#N/A,#N/A,TRUE,"Capitulo 19";#N/A,#N/A,TRUE,"Proyecto P855"}</definedName>
    <definedName name="wrn.2." localSheetId="0" hidden="1">{"4",#N/A,FALSE,"Flujos Caja - Mon. 1999"}</definedName>
    <definedName name="wrn.2." localSheetId="2" hidden="1">{"4",#N/A,FALSE,"Flujos Caja - Mon. 1999"}</definedName>
    <definedName name="wrn.2." hidden="1">{"4",#N/A,FALSE,"Flujos Caja - Mon. 1999"}</definedName>
    <definedName name="wrn.ARA." localSheetId="0" hidden="1">{"ARA1",#N/A,FALSE,"ENG-ARA";"ARAhours",#N/A,FALSE,"ENG-ARA";"ARA$",#N/A,FALSE,"ENG-ARA"}</definedName>
    <definedName name="wrn.ARA." localSheetId="2" hidden="1">{"ARA1",#N/A,FALSE,"ENG-ARA";"ARAhours",#N/A,FALSE,"ENG-ARA";"ARA$",#N/A,FALSE,"ENG-ARA"}</definedName>
    <definedName name="wrn.ARA." hidden="1">{"ARA1",#N/A,FALSE,"ENG-ARA";"ARAhours",#N/A,FALSE,"ENG-ARA";"ARA$",#N/A,FALSE,"ENG-ARA"}</definedName>
    <definedName name="wrn.bechtel._.hours." localSheetId="0" hidden="1">{"bechtel1",#N/A,TRUE,"BECHTEL";"bechtelhours",#N/A,TRUE,"BECHTEL";"bechtel$",#N/A,TRUE,"BECHTEL"}</definedName>
    <definedName name="wrn.bechtel._.hours." localSheetId="2" hidden="1">{"bechtel1",#N/A,TRUE,"BECHTEL";"bechtelhours",#N/A,TRUE,"BECHTEL";"bechtel$",#N/A,TRUE,"BECHTEL"}</definedName>
    <definedName name="wrn.bechtel._.hours." hidden="1">{"bechtel1",#N/A,TRUE,"BECHTEL";"bechtelhours",#N/A,TRUE,"BECHTEL";"bechtel$",#N/A,TRUE,"BECHTEL"}</definedName>
    <definedName name="wrn.Camaracamion." localSheetId="0" hidden="1">{"desarrollo",#N/A,FALSE,"Cámara Camión";"resumen",#N/A,FALSE,"Cámara Camión";"eqprod",#N/A,FALSE,"Cámara Camión"}</definedName>
    <definedName name="wrn.Camaracamion." localSheetId="2" hidden="1">{"desarrollo",#N/A,FALSE,"Cámara Camión";"resumen",#N/A,FALSE,"Cámara Camión";"eqprod",#N/A,FALSE,"Cámara Camión"}</definedName>
    <definedName name="wrn.Camaracamion." hidden="1">{"desarrollo",#N/A,FALSE,"Cámara Camión";"resumen",#N/A,FALSE,"Cámara Camión";"eqprod",#N/A,FALSE,"Cámara Camión"}</definedName>
    <definedName name="wrn.CIGG." localSheetId="0" hidden="1">{"CI+GG(BASE)",#N/A,FALSE,"CI+GG(BASE)";"GG",#N/A,FALSE,"CI+GG(BASE)";"CI",#N/A,FALSE,"CI+GG(BASE)"}</definedName>
    <definedName name="wrn.CIGG." localSheetId="2" hidden="1">{"CI+GG(BASE)",#N/A,FALSE,"CI+GG(BASE)";"GG",#N/A,FALSE,"CI+GG(BASE)";"CI",#N/A,FALSE,"CI+GG(BASE)"}</definedName>
    <definedName name="wrn.CIGG." hidden="1">{"CI+GG(BASE)",#N/A,FALSE,"CI+GG(BASE)";"GG",#N/A,FALSE,"CI+GG(BASE)";"CI",#N/A,FALSE,"CI+GG(BASE)"}</definedName>
    <definedName name="wrn.Completo." localSheetId="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wrn.Completo." localSheetId="2"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wrn.Completo."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wrn.Detail." localSheetId="0" hidden="1">{#N/A,#N/A,FALSE,"Matrix";#N/A,#N/A,FALSE,"Executive";#N/A,#N/A,FALSE,"Summary";#N/A,#N/A,FALSE,"Office1";#N/A,#N/A,FALSE,"Office2";#N/A,#N/A,FALSE,"Office3";#N/A,#N/A,FALSE,"Office4";#N/A,#N/A,FALSE,"Office5";#N/A,#N/A,FALSE,"Office6";#N/A,#N/A,FALSE,"Office7";#N/A,#N/A,FALSE,"Labor"}</definedName>
    <definedName name="wrn.Detail." localSheetId="2" hidden="1">{#N/A,#N/A,FALSE,"Matrix";#N/A,#N/A,FALSE,"Executive";#N/A,#N/A,FALSE,"Summary";#N/A,#N/A,FALSE,"Office1";#N/A,#N/A,FALSE,"Office2";#N/A,#N/A,FALSE,"Office3";#N/A,#N/A,FALSE,"Office4";#N/A,#N/A,FALSE,"Office5";#N/A,#N/A,FALSE,"Office6";#N/A,#N/A,FALSE,"Office7";#N/A,#N/A,FALSE,"Labor"}</definedName>
    <definedName name="wrn.Detail." hidden="1">{#N/A,#N/A,FALSE,"Matrix";#N/A,#N/A,FALSE,"Executive";#N/A,#N/A,FALSE,"Summary";#N/A,#N/A,FALSE,"Office1";#N/A,#N/A,FALSE,"Office2";#N/A,#N/A,FALSE,"Office3";#N/A,#N/A,FALSE,"Office4";#N/A,#N/A,FALSE,"Office5";#N/A,#N/A,FALSE,"Office6";#N/A,#N/A,FALSE,"Office7";#N/A,#N/A,FALSE,"Labor"}</definedName>
    <definedName name="wrn.Día._.API." localSheetId="0" hidden="1">{#N/A,#N/A,FALSE,"IC_Global";#N/A,#N/A,FALSE,"IC_Global (98-f)";#N/A,#N/A,FALSE,"Inc";#N/A,#N/A,FALSE,"CAMBIOS (2)";#N/A,#N/A,FALSE,"EXPL Inc.";#N/A,#N/A,FALSE,"HITOS98";#N/A,#N/A,FALSE,"CURVA ""S"" GLOBAL ";#N/A,#N/A,FALSE,"CURVA ""S"" 1998 "}</definedName>
    <definedName name="wrn.Día._.API." localSheetId="2" hidden="1">{#N/A,#N/A,FALSE,"IC_Global";#N/A,#N/A,FALSE,"IC_Global (98-f)";#N/A,#N/A,FALSE,"Inc";#N/A,#N/A,FALSE,"CAMBIOS (2)";#N/A,#N/A,FALSE,"EXPL Inc.";#N/A,#N/A,FALSE,"HITOS98";#N/A,#N/A,FALSE,"CURVA ""S"" GLOBAL ";#N/A,#N/A,FALSE,"CURVA ""S"" 1998 "}</definedName>
    <definedName name="wrn.Día._.API." hidden="1">{#N/A,#N/A,FALSE,"IC_Global";#N/A,#N/A,FALSE,"IC_Global (98-f)";#N/A,#N/A,FALSE,"Inc";#N/A,#N/A,FALSE,"CAMBIOS (2)";#N/A,#N/A,FALSE,"EXPL Inc.";#N/A,#N/A,FALSE,"HITOS98";#N/A,#N/A,FALSE,"CURVA ""S"" GLOBAL ";#N/A,#N/A,FALSE,"CURVA ""S"" 1998 "}</definedName>
    <definedName name="wrn.ep10." localSheetId="0" hidden="1">{#N/A,#N/A,FALSE,"masez (10)";#N/A,#N/A,FALSE,"masez (7)";#N/A,#N/A,FALSE,"masez (6)";#N/A,#N/A,FALSE,"masez (5)";#N/A,#N/A,FALSE,"masez (4)";#N/A,#N/A,FALSE,"masez (3)";#N/A,#N/A,FALSE,"masez (2)";#N/A,#N/A,FALSE,"GME";#N/A,#N/A,FALSE,"masez"}</definedName>
    <definedName name="wrn.ep10." localSheetId="2" hidden="1">{#N/A,#N/A,FALSE,"masez (10)";#N/A,#N/A,FALSE,"masez (7)";#N/A,#N/A,FALSE,"masez (6)";#N/A,#N/A,FALSE,"masez (5)";#N/A,#N/A,FALSE,"masez (4)";#N/A,#N/A,FALSE,"masez (3)";#N/A,#N/A,FALSE,"masez (2)";#N/A,#N/A,FALSE,"GME";#N/A,#N/A,FALSE,"masez"}</definedName>
    <definedName name="wrn.ep10." hidden="1">{#N/A,#N/A,FALSE,"masez (10)";#N/A,#N/A,FALSE,"masez (7)";#N/A,#N/A,FALSE,"masez (6)";#N/A,#N/A,FALSE,"masez (5)";#N/A,#N/A,FALSE,"masez (4)";#N/A,#N/A,FALSE,"masez (3)";#N/A,#N/A,FALSE,"masez (2)";#N/A,#N/A,FALSE,"GME";#N/A,#N/A,FALSE,"masez"}</definedName>
    <definedName name="wrn.ESTIMAT." localSheetId="0" hidden="1">{#N/A,#N/A,FALSE,"RA";#N/A,#N/A,FALSE,"APO";#N/A,#N/A,FALSE,"MOD";#N/A,#N/A,FALSE,"ESA";#N/A,#N/A,FALSE,"MOI";#N/A,#N/A,FALSE,"ALIM_TRANS";#N/A,#N/A,FALSE,"EQUIP.";#N/A,#N/A,FALSE,"EPI_FER.CONS";#N/A,#N/A,FALSE,"GAS_SOLDA_TINTA_AREIA";#N/A,#N/A,FALSE,"MAT.CONS";#N/A,#N/A,FALSE,"RES.SUB";#N/A,#N/A,FALSE,"CANT.";#N/A,#N/A,FALSE,"MAT.PERM";#N/A,#N/A,FALSE,"CUS.DIR";#N/A,#N/A,FALSE,"2.3";#N/A,#N/A,FALSE,"total";#N/A,#N/A,FALSE,"CUSTO";#N/A,#N/A,FALSE,"ORÇAM"}</definedName>
    <definedName name="wrn.ESTIMAT." localSheetId="2" hidden="1">{#N/A,#N/A,FALSE,"RA";#N/A,#N/A,FALSE,"APO";#N/A,#N/A,FALSE,"MOD";#N/A,#N/A,FALSE,"ESA";#N/A,#N/A,FALSE,"MOI";#N/A,#N/A,FALSE,"ALIM_TRANS";#N/A,#N/A,FALSE,"EQUIP.";#N/A,#N/A,FALSE,"EPI_FER.CONS";#N/A,#N/A,FALSE,"GAS_SOLDA_TINTA_AREIA";#N/A,#N/A,FALSE,"MAT.CONS";#N/A,#N/A,FALSE,"RES.SUB";#N/A,#N/A,FALSE,"CANT.";#N/A,#N/A,FALSE,"MAT.PERM";#N/A,#N/A,FALSE,"CUS.DIR";#N/A,#N/A,FALSE,"2.3";#N/A,#N/A,FALSE,"total";#N/A,#N/A,FALSE,"CUSTO";#N/A,#N/A,FALSE,"ORÇAM"}</definedName>
    <definedName name="wrn.ESTIMAT." hidden="1">{#N/A,#N/A,FALSE,"RA";#N/A,#N/A,FALSE,"APO";#N/A,#N/A,FALSE,"MOD";#N/A,#N/A,FALSE,"ESA";#N/A,#N/A,FALSE,"MOI";#N/A,#N/A,FALSE,"ALIM_TRANS";#N/A,#N/A,FALSE,"EQUIP.";#N/A,#N/A,FALSE,"EPI_FER.CONS";#N/A,#N/A,FALSE,"GAS_SOLDA_TINTA_AREIA";#N/A,#N/A,FALSE,"MAT.CONS";#N/A,#N/A,FALSE,"RES.SUB";#N/A,#N/A,FALSE,"CANT.";#N/A,#N/A,FALSE,"MAT.PERM";#N/A,#N/A,FALSE,"CUS.DIR";#N/A,#N/A,FALSE,"2.3";#N/A,#N/A,FALSE,"total";#N/A,#N/A,FALSE,"CUSTO";#N/A,#N/A,FALSE,"ORÇAM"}</definedName>
    <definedName name="wrn.flujos." localSheetId="0" hidden="1">{"FlujoGastos",#N/A,FALSE,"Base";"FlujoGastos",#N/A,FALSE,"Buzón Tren";"FlujoGastos",#N/A,FALSE,"Buzón Camión";"FlujoGastos",#N/A,FALSE,"LHD Camión";"FlujoGastos",#N/A,FALSE,"Cámara Camión"}</definedName>
    <definedName name="wrn.flujos." localSheetId="2" hidden="1">{"FlujoGastos",#N/A,FALSE,"Base";"FlujoGastos",#N/A,FALSE,"Buzón Tren";"FlujoGastos",#N/A,FALSE,"Buzón Camión";"FlujoGastos",#N/A,FALSE,"LHD Camión";"FlujoGastos",#N/A,FALSE,"Cámara Camión"}</definedName>
    <definedName name="wrn.flujos." hidden="1">{"FlujoGastos",#N/A,FALSE,"Base";"FlujoGastos",#N/A,FALSE,"Buzón Tren";"FlujoGastos",#N/A,FALSE,"Buzón Camión";"FlujoGastos",#N/A,FALSE,"LHD Camión";"FlujoGastos",#N/A,FALSE,"Cámara Camión"}</definedName>
    <definedName name="wrn.Forms." localSheetId="0" hidden="1">{#N/A,#N/A,FALSE,"E-1";#N/A,#N/A,FALSE,"E-2";#N/A,#N/A,FALSE,"F-1";#N/A,#N/A,FALSE,"F-2";#N/A,#N/A,FALSE,"F-3";#N/A,#N/A,FALSE,"F-4";#N/A,#N/A,FALSE,"F-5";#N/A,#N/A,FALSE,"F-6";#N/A,#N/A,FALSE,"Matrix"}</definedName>
    <definedName name="wrn.Forms." localSheetId="2" hidden="1">{#N/A,#N/A,FALSE,"E-1";#N/A,#N/A,FALSE,"E-2";#N/A,#N/A,FALSE,"F-1";#N/A,#N/A,FALSE,"F-2";#N/A,#N/A,FALSE,"F-3";#N/A,#N/A,FALSE,"F-4";#N/A,#N/A,FALSE,"F-5";#N/A,#N/A,FALSE,"F-6";#N/A,#N/A,FALSE,"Matrix"}</definedName>
    <definedName name="wrn.Forms." hidden="1">{#N/A,#N/A,FALSE,"E-1";#N/A,#N/A,FALSE,"E-2";#N/A,#N/A,FALSE,"F-1";#N/A,#N/A,FALSE,"F-2";#N/A,#N/A,FALSE,"F-3";#N/A,#N/A,FALSE,"F-4";#N/A,#N/A,FALSE,"F-5";#N/A,#N/A,FALSE,"F-6";#N/A,#N/A,FALSE,"Matrix"}</definedName>
    <definedName name="wrn.FORMULARIOS." localSheetId="0"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 localSheetId="2"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GERAL" localSheetId="0" hidden="1">{#N/A,#N/A,FALSE,"ET-CAPA";#N/A,#N/A,FALSE,"ET-PAG1";#N/A,#N/A,FALSE,"ET-PAG2";#N/A,#N/A,FALSE,"ET-PAG3";#N/A,#N/A,FALSE,"ET-PAG4";#N/A,#N/A,FALSE,"ET-PAG5"}</definedName>
    <definedName name="wrn.GERAL" localSheetId="2" hidden="1">{#N/A,#N/A,FALSE,"ET-CAPA";#N/A,#N/A,FALSE,"ET-PAG1";#N/A,#N/A,FALSE,"ET-PAG2";#N/A,#N/A,FALSE,"ET-PAG3";#N/A,#N/A,FALSE,"ET-PAG4";#N/A,#N/A,FALSE,"ET-PAG5"}</definedName>
    <definedName name="wrn.GERAL" hidden="1">{#N/A,#N/A,FALSE,"ET-CAPA";#N/A,#N/A,FALSE,"ET-PAG1";#N/A,#N/A,FALSE,"ET-PAG2";#N/A,#N/A,FALSE,"ET-PAG3";#N/A,#N/A,FALSE,"ET-PAG4";#N/A,#N/A,FALSE,"ET-PAG5"}</definedName>
    <definedName name="wrn.GERAL." localSheetId="0" hidden="1">{#N/A,#N/A,FALSE,"ET-CAPA";#N/A,#N/A,FALSE,"ET-PAG1";#N/A,#N/A,FALSE,"ET-PAG2";#N/A,#N/A,FALSE,"ET-PAG3";#N/A,#N/A,FALSE,"ET-PAG4";#N/A,#N/A,FALSE,"ET-PAG5"}</definedName>
    <definedName name="wrn.GERAL." localSheetId="2" hidden="1">{#N/A,#N/A,FALSE,"ET-CAPA";#N/A,#N/A,FALSE,"ET-PAG1";#N/A,#N/A,FALSE,"ET-PAG2";#N/A,#N/A,FALSE,"ET-PAG3";#N/A,#N/A,FALSE,"ET-PAG4";#N/A,#N/A,FALSE,"ET-PAG5"}</definedName>
    <definedName name="wrn.GERAL." hidden="1">{#N/A,#N/A,FALSE,"ET-CAPA";#N/A,#N/A,FALSE,"ET-PAG1";#N/A,#N/A,FALSE,"ET-PAG2";#N/A,#N/A,FALSE,"ET-PAG3";#N/A,#N/A,FALSE,"ET-PAG4";#N/A,#N/A,FALSE,"ET-PAG5"}</definedName>
    <definedName name="wrn.GERAL1." localSheetId="0" hidden="1">{#N/A,#N/A,FALSE,"ET-CAPA";#N/A,#N/A,FALSE,"ET-PAG1";#N/A,#N/A,FALSE,"ET-PAG2";#N/A,#N/A,FALSE,"ET-PAG3";#N/A,#N/A,FALSE,"ET-PAG4";#N/A,#N/A,FALSE,"ET-PAG5"}</definedName>
    <definedName name="wrn.GERAL1." localSheetId="2" hidden="1">{#N/A,#N/A,FALSE,"ET-CAPA";#N/A,#N/A,FALSE,"ET-PAG1";#N/A,#N/A,FALSE,"ET-PAG2";#N/A,#N/A,FALSE,"ET-PAG3";#N/A,#N/A,FALSE,"ET-PAG4";#N/A,#N/A,FALSE,"ET-PAG5"}</definedName>
    <definedName name="wrn.GERAL1." hidden="1">{#N/A,#N/A,FALSE,"ET-CAPA";#N/A,#N/A,FALSE,"ET-PAG1";#N/A,#N/A,FALSE,"ET-PAG2";#N/A,#N/A,FALSE,"ET-PAG3";#N/A,#N/A,FALSE,"ET-PAG4";#N/A,#N/A,FALSE,"ET-PAG5"}</definedName>
    <definedName name="wrn.GERAL2." localSheetId="0" hidden="1">{#N/A,#N/A,FALSE,"ET-CAPA";#N/A,#N/A,FALSE,"ET-PAG1";#N/A,#N/A,FALSE,"ET-PAG2";#N/A,#N/A,FALSE,"ET-PAG3";#N/A,#N/A,FALSE,"ET-PAG4";#N/A,#N/A,FALSE,"ET-PAG5"}</definedName>
    <definedName name="wrn.GERAL2." localSheetId="2" hidden="1">{#N/A,#N/A,FALSE,"ET-CAPA";#N/A,#N/A,FALSE,"ET-PAG1";#N/A,#N/A,FALSE,"ET-PAG2";#N/A,#N/A,FALSE,"ET-PAG3";#N/A,#N/A,FALSE,"ET-PAG4";#N/A,#N/A,FALSE,"ET-PAG5"}</definedName>
    <definedName name="wrn.GERAL2." hidden="1">{#N/A,#N/A,FALSE,"ET-CAPA";#N/A,#N/A,FALSE,"ET-PAG1";#N/A,#N/A,FALSE,"ET-PAG2";#N/A,#N/A,FALSE,"ET-PAG3";#N/A,#N/A,FALSE,"ET-PAG4";#N/A,#N/A,FALSE,"ET-PAG5"}</definedName>
    <definedName name="wrn.INFORME_XPAND." localSheetId="0" hidden="1">{"DETALLE_1996",#N/A,FALSE,"flujo";"DETALLE_1997",#N/A,FALSE,"flujo";"GASTOS_INCURRIDOS_1996",#N/A,FALSE,"flujo";"GASTOS_PROGRAMADOS_PARA_1997",#N/A,FALSE,"flujo";#N/A,#N/A,FALSE,"comparat";#N/A,#N/A,FALSE,"costos";#N/A,#N/A,FALSE,"proyctrol"}</definedName>
    <definedName name="wrn.INFORME_XPAND." localSheetId="2" hidden="1">{"DETALLE_1996",#N/A,FALSE,"flujo";"DETALLE_1997",#N/A,FALSE,"flujo";"GASTOS_INCURRIDOS_1996",#N/A,FALSE,"flujo";"GASTOS_PROGRAMADOS_PARA_1997",#N/A,FALSE,"flujo";#N/A,#N/A,FALSE,"comparat";#N/A,#N/A,FALSE,"costos";#N/A,#N/A,FALSE,"proyctrol"}</definedName>
    <definedName name="wrn.INFORME_XPAND." hidden="1">{"DETALLE_1996",#N/A,FALSE,"flujo";"DETALLE_1997",#N/A,FALSE,"flujo";"GASTOS_INCURRIDOS_1996",#N/A,FALSE,"flujo";"GASTOS_PROGRAMADOS_PARA_1997",#N/A,FALSE,"flujo";#N/A,#N/A,FALSE,"comparat";#N/A,#N/A,FALSE,"costos";#N/A,#N/A,FALSE,"proyctrol"}</definedName>
    <definedName name="wrn.INFORMETEC." localSheetId="0" hidden="1">{#N/A,#N/A,FALSE,"TEC-01";#N/A,#N/A,FALSE,"TEC - 02";#N/A,#N/A,FALSE,"TEC - 03";#N/A,#N/A,FALSE,"TEC - 04";#N/A,#N/A,FALSE,"TEC-07";#N/A,#N/A,FALSE,"TEC-08";#N/A,#N/A,FALSE,"TEC - 09A";#N/A,#N/A,FALSE,"TEC - 09B";#N/A,#N/A,FALSE,"TEC - 09C";#N/A,#N/A,FALSE,"TEC - 10";#N/A,#N/A,FALSE,"TEC-11"}</definedName>
    <definedName name="wrn.INFORMETEC." localSheetId="2" hidden="1">{#N/A,#N/A,FALSE,"TEC-01";#N/A,#N/A,FALSE,"TEC - 02";#N/A,#N/A,FALSE,"TEC - 03";#N/A,#N/A,FALSE,"TEC - 04";#N/A,#N/A,FALSE,"TEC-07";#N/A,#N/A,FALSE,"TEC-08";#N/A,#N/A,FALSE,"TEC - 09A";#N/A,#N/A,FALSE,"TEC - 09B";#N/A,#N/A,FALSE,"TEC - 09C";#N/A,#N/A,FALSE,"TEC - 10";#N/A,#N/A,FALSE,"TEC-11"}</definedName>
    <definedName name="wrn.INFORMETEC." hidden="1">{#N/A,#N/A,FALSE,"TEC-01";#N/A,#N/A,FALSE,"TEC - 02";#N/A,#N/A,FALSE,"TEC - 03";#N/A,#N/A,FALSE,"TEC - 04";#N/A,#N/A,FALSE,"TEC-07";#N/A,#N/A,FALSE,"TEC-08";#N/A,#N/A,FALSE,"TEC - 09A";#N/A,#N/A,FALSE,"TEC - 09B";#N/A,#N/A,FALSE,"TEC - 09C";#N/A,#N/A,FALSE,"TEC - 10";#N/A,#N/A,FALSE,"TEC-11"}</definedName>
    <definedName name="wrn.LHDCAMION." localSheetId="0" hidden="1">{"desarrollo",#N/A,FALSE,"LHD Camión";"eqdllo",#N/A,FALSE,"LHD Camión";"eqprod",#N/A,FALSE,"LHD Camión";"Resumen",#N/A,FALSE,"LHD Camión"}</definedName>
    <definedName name="wrn.LHDCAMION." localSheetId="2" hidden="1">{"desarrollo",#N/A,FALSE,"LHD Camión";"eqdllo",#N/A,FALSE,"LHD Camión";"eqprod",#N/A,FALSE,"LHD Camión";"Resumen",#N/A,FALSE,"LHD Camión"}</definedName>
    <definedName name="wrn.LHDCAMION." hidden="1">{"desarrollo",#N/A,FALSE,"LHD Camión";"eqdllo",#N/A,FALSE,"LHD Camión";"eqprod",#N/A,FALSE,"LHD Camión";"Resumen",#N/A,FALSE,"LHD Camión"}</definedName>
    <definedName name="wrn.Lista._.Eq.yMaq.." localSheetId="0" hidden="1">{#N/A,#N/A,FALSE,"Lista Eq.yMaq."}</definedName>
    <definedName name="wrn.Lista._.Eq.yMaq.." localSheetId="2" hidden="1">{#N/A,#N/A,FALSE,"Lista Eq.yMaq."}</definedName>
    <definedName name="wrn.Lista._.Eq.yMaq.." hidden="1">{#N/A,#N/A,FALSE,"Lista Eq.yMaq."}</definedName>
    <definedName name="wrn.MO." localSheetId="0" hidden="1">{"MO(BASE)",#N/A,FALSE,"MO(BASE)";"MO(BASE)1",#N/A,FALSE,"MO(BASE)";"MO(BASE)2",#N/A,FALSE,"MO(BASE)"}</definedName>
    <definedName name="wrn.MO." localSheetId="2" hidden="1">{"MO(BASE)",#N/A,FALSE,"MO(BASE)";"MO(BASE)1",#N/A,FALSE,"MO(BASE)";"MO(BASE)2",#N/A,FALSE,"MO(BASE)"}</definedName>
    <definedName name="wrn.MO." hidden="1">{"MO(BASE)",#N/A,FALSE,"MO(BASE)";"MO(BASE)1",#N/A,FALSE,"MO(BASE)";"MO(BASE)2",#N/A,FALSE,"MO(BASE)"}</definedName>
    <definedName name="wrn.MONEDA._.99." localSheetId="0" hidden="1">{"3",#N/A,FALSE,"Flujos Caja - Mon. 1999";"INGRESOS MONEDA 1999",#N/A,FALSE,"Flujos Caja - Mon. 1999"}</definedName>
    <definedName name="wrn.MONEDA._.99." localSheetId="2" hidden="1">{"3",#N/A,FALSE,"Flujos Caja - Mon. 1999";"INGRESOS MONEDA 1999",#N/A,FALSE,"Flujos Caja - Mon. 1999"}</definedName>
    <definedName name="wrn.MONEDA._.99." hidden="1">{"3",#N/A,FALSE,"Flujos Caja - Mon. 1999";"INGRESOS MONEDA 1999",#N/A,FALSE,"Flujos Caja - Mon. 1999"}</definedName>
    <definedName name="wrn.Nelson._.Summary." localSheetId="0" hidden="1">{#N/A,#N/A,FALSE,"subcontract"}</definedName>
    <definedName name="wrn.Nelson._.Summary." localSheetId="2" hidden="1">{#N/A,#N/A,FALSE,"subcontract"}</definedName>
    <definedName name="wrn.Nelson._.Summary." hidden="1">{#N/A,#N/A,FALSE,"subcontract"}</definedName>
    <definedName name="WRN.PEND" localSheetId="0" hidden="1">{#N/A,#N/A,FALSE,"GERAL";#N/A,#N/A,FALSE,"012-96";#N/A,#N/A,FALSE,"018-96";#N/A,#N/A,FALSE,"027-96";#N/A,#N/A,FALSE,"059-96";#N/A,#N/A,FALSE,"076-96";#N/A,#N/A,FALSE,"019-97";#N/A,#N/A,FALSE,"021-97";#N/A,#N/A,FALSE,"022-97";#N/A,#N/A,FALSE,"028-97"}</definedName>
    <definedName name="WRN.PEND" localSheetId="2" hidden="1">{#N/A,#N/A,FALSE,"GERAL";#N/A,#N/A,FALSE,"012-96";#N/A,#N/A,FALSE,"018-96";#N/A,#N/A,FALSE,"027-96";#N/A,#N/A,FALSE,"059-96";#N/A,#N/A,FALSE,"076-96";#N/A,#N/A,FALSE,"019-97";#N/A,#N/A,FALSE,"021-97";#N/A,#N/A,FALSE,"022-97";#N/A,#N/A,FALSE,"028-97"}</definedName>
    <definedName name="WRN.PEND" hidden="1">{#N/A,#N/A,FALSE,"GERAL";#N/A,#N/A,FALSE,"012-96";#N/A,#N/A,FALSE,"018-96";#N/A,#N/A,FALSE,"027-96";#N/A,#N/A,FALSE,"059-96";#N/A,#N/A,FALSE,"076-96";#N/A,#N/A,FALSE,"019-97";#N/A,#N/A,FALSE,"021-97";#N/A,#N/A,FALSE,"022-97";#N/A,#N/A,FALSE,"028-97"}</definedName>
    <definedName name="WRN.PEND2" localSheetId="0" hidden="1">{#N/A,#N/A,FALSE,"GERAL";#N/A,#N/A,FALSE,"012-96";#N/A,#N/A,FALSE,"018-96";#N/A,#N/A,FALSE,"027-96";#N/A,#N/A,FALSE,"059-96";#N/A,#N/A,FALSE,"076-96";#N/A,#N/A,FALSE,"019-97";#N/A,#N/A,FALSE,"021-97";#N/A,#N/A,FALSE,"022-97";#N/A,#N/A,FALSE,"028-97"}</definedName>
    <definedName name="WRN.PEND2" localSheetId="2" hidden="1">{#N/A,#N/A,FALSE,"GERAL";#N/A,#N/A,FALSE,"012-96";#N/A,#N/A,FALSE,"018-96";#N/A,#N/A,FALSE,"027-96";#N/A,#N/A,FALSE,"059-96";#N/A,#N/A,FALSE,"076-96";#N/A,#N/A,FALSE,"019-97";#N/A,#N/A,FALSE,"021-97";#N/A,#N/A,FALSE,"022-97";#N/A,#N/A,FALSE,"028-97"}</definedName>
    <definedName name="WRN.PEND2" hidden="1">{#N/A,#N/A,FALSE,"GERAL";#N/A,#N/A,FALSE,"012-96";#N/A,#N/A,FALSE,"018-96";#N/A,#N/A,FALSE,"027-96";#N/A,#N/A,FALSE,"059-96";#N/A,#N/A,FALSE,"076-96";#N/A,#N/A,FALSE,"019-97";#N/A,#N/A,FALSE,"021-97";#N/A,#N/A,FALSE,"022-97";#N/A,#N/A,FALSE,"028-97"}</definedName>
    <definedName name="WRN.PEND3" localSheetId="0" hidden="1">{#N/A,#N/A,FALSE,"GERAL";#N/A,#N/A,FALSE,"012-96";#N/A,#N/A,FALSE,"018-96";#N/A,#N/A,FALSE,"027-96";#N/A,#N/A,FALSE,"059-96";#N/A,#N/A,FALSE,"076-96";#N/A,#N/A,FALSE,"019-97";#N/A,#N/A,FALSE,"021-97";#N/A,#N/A,FALSE,"022-97";#N/A,#N/A,FALSE,"028-97"}</definedName>
    <definedName name="WRN.PEND3" localSheetId="2" hidden="1">{#N/A,#N/A,FALSE,"GERAL";#N/A,#N/A,FALSE,"012-96";#N/A,#N/A,FALSE,"018-96";#N/A,#N/A,FALSE,"027-96";#N/A,#N/A,FALSE,"059-96";#N/A,#N/A,FALSE,"076-96";#N/A,#N/A,FALSE,"019-97";#N/A,#N/A,FALSE,"021-97";#N/A,#N/A,FALSE,"022-97";#N/A,#N/A,FALSE,"028-97"}</definedName>
    <definedName name="WRN.PEND3" hidden="1">{#N/A,#N/A,FALSE,"GERAL";#N/A,#N/A,FALSE,"012-96";#N/A,#N/A,FALSE,"018-96";#N/A,#N/A,FALSE,"027-96";#N/A,#N/A,FALSE,"059-96";#N/A,#N/A,FALSE,"076-96";#N/A,#N/A,FALSE,"019-97";#N/A,#N/A,FALSE,"021-97";#N/A,#N/A,FALSE,"022-97";#N/A,#N/A,FALSE,"028-97"}</definedName>
    <definedName name="WRN.PEND4" localSheetId="0" hidden="1">{#N/A,#N/A,FALSE,"GERAL";#N/A,#N/A,FALSE,"012-96";#N/A,#N/A,FALSE,"018-96";#N/A,#N/A,FALSE,"027-96";#N/A,#N/A,FALSE,"059-96";#N/A,#N/A,FALSE,"076-96";#N/A,#N/A,FALSE,"019-97";#N/A,#N/A,FALSE,"021-97";#N/A,#N/A,FALSE,"022-97";#N/A,#N/A,FALSE,"028-97"}</definedName>
    <definedName name="WRN.PEND4" localSheetId="2" hidden="1">{#N/A,#N/A,FALSE,"GERAL";#N/A,#N/A,FALSE,"012-96";#N/A,#N/A,FALSE,"018-96";#N/A,#N/A,FALSE,"027-96";#N/A,#N/A,FALSE,"059-96";#N/A,#N/A,FALSE,"076-96";#N/A,#N/A,FALSE,"019-97";#N/A,#N/A,FALSE,"021-97";#N/A,#N/A,FALSE,"022-97";#N/A,#N/A,FALSE,"028-97"}</definedName>
    <definedName name="WRN.PEND4" hidden="1">{#N/A,#N/A,FALSE,"GERAL";#N/A,#N/A,FALSE,"012-96";#N/A,#N/A,FALSE,"018-96";#N/A,#N/A,FALSE,"027-96";#N/A,#N/A,FALSE,"059-96";#N/A,#N/A,FALSE,"076-96";#N/A,#N/A,FALSE,"019-97";#N/A,#N/A,FALSE,"021-97";#N/A,#N/A,FALSE,"022-97";#N/A,#N/A,FALSE,"028-97"}</definedName>
    <definedName name="wrn.PENDENCIAS." localSheetId="0" hidden="1">{#N/A,#N/A,FALSE,"GERAL";#N/A,#N/A,FALSE,"012-96";#N/A,#N/A,FALSE,"018-96";#N/A,#N/A,FALSE,"027-96";#N/A,#N/A,FALSE,"059-96";#N/A,#N/A,FALSE,"076-96";#N/A,#N/A,FALSE,"019-97";#N/A,#N/A,FALSE,"021-97";#N/A,#N/A,FALSE,"022-97";#N/A,#N/A,FALSE,"028-97"}</definedName>
    <definedName name="wrn.PENDENCIAS." localSheetId="2" hidden="1">{#N/A,#N/A,FALSE,"GERAL";#N/A,#N/A,FALSE,"012-96";#N/A,#N/A,FALSE,"018-96";#N/A,#N/A,FALSE,"027-96";#N/A,#N/A,FALSE,"059-96";#N/A,#N/A,FALSE,"076-96";#N/A,#N/A,FALSE,"019-97";#N/A,#N/A,FALSE,"021-97";#N/A,#N/A,FALSE,"022-97";#N/A,#N/A,FALSE,"028-97"}</definedName>
    <definedName name="wrn.PENDENCIAS." hidden="1">{#N/A,#N/A,FALSE,"GERAL";#N/A,#N/A,FALSE,"012-96";#N/A,#N/A,FALSE,"018-96";#N/A,#N/A,FALSE,"027-96";#N/A,#N/A,FALSE,"059-96";#N/A,#N/A,FALSE,"076-96";#N/A,#N/A,FALSE,"019-97";#N/A,#N/A,FALSE,"021-97";#N/A,#N/A,FALSE,"022-97";#N/A,#N/A,FALSE,"028-97"}</definedName>
    <definedName name="wrn.pendientes." localSheetId="0" hidden="1">{#N/A,#N/A,FALSE,"PEND INC";#N/A,#N/A,FALSE,"PEND MINM"}</definedName>
    <definedName name="wrn.pendientes." localSheetId="2" hidden="1">{#N/A,#N/A,FALSE,"PEND INC";#N/A,#N/A,FALSE,"PEND MINM"}</definedName>
    <definedName name="wrn.pendientes." hidden="1">{#N/A,#N/A,FALSE,"PEND INC";#N/A,#N/A,FALSE,"PEND MINM"}</definedName>
    <definedName name="wrn.Presupuesto." localSheetId="0" hidden="1">{#N/A,#N/A,FALSE,"Presupuesto"}</definedName>
    <definedName name="wrn.Presupuesto." localSheetId="2" hidden="1">{#N/A,#N/A,FALSE,"Presupuesto"}</definedName>
    <definedName name="wrn.Presupuesto." hidden="1">{#N/A,#N/A,FALSE,"Presupuesto"}</definedName>
    <definedName name="wrn.print1." localSheetId="0" hidden="1">{#N/A,#N/A,TRUE,"Est. de Fact.";#N/A,#N/A,TRUE,"Capitulo 19";#N/A,#N/A,TRUE,"Proyecto P855"}</definedName>
    <definedName name="wrn.print1." localSheetId="2" hidden="1">{#N/A,#N/A,TRUE,"Est. de Fact.";#N/A,#N/A,TRUE,"Capitulo 19";#N/A,#N/A,TRUE,"Proyecto P855"}</definedName>
    <definedName name="wrn.print1." hidden="1">{#N/A,#N/A,TRUE,"Est. de Fact.";#N/A,#N/A,TRUE,"Capitulo 19";#N/A,#N/A,TRUE,"Proyecto P855"}</definedName>
    <definedName name="wrn.PRINTBAS." localSheetId="0" hidden="1">{#N/A,#N/A,FALSE,"Total_OC015";#N/A,#N/A,FALSE,"ADMIN";#N/A,#N/A,FALSE,"PROCES";#N/A,#N/A,FALSE,"mecan";#N/A,#N/A,FALSE,"civil";#N/A,#N/A,FALSE,"CAÑER";#N/A,#N/A,FALSE,"ELEC";#N/A,#N/A,FALSE,"INSTR"}</definedName>
    <definedName name="wrn.PRINTBAS." localSheetId="2" hidden="1">{#N/A,#N/A,FALSE,"Total_OC015";#N/A,#N/A,FALSE,"ADMIN";#N/A,#N/A,FALSE,"PROCES";#N/A,#N/A,FALSE,"mecan";#N/A,#N/A,FALSE,"civil";#N/A,#N/A,FALSE,"CAÑER";#N/A,#N/A,FALSE,"ELEC";#N/A,#N/A,FALSE,"INSTR"}</definedName>
    <definedName name="wrn.PRINTBAS." hidden="1">{#N/A,#N/A,FALSE,"Total_OC015";#N/A,#N/A,FALSE,"ADMIN";#N/A,#N/A,FALSE,"PROCES";#N/A,#N/A,FALSE,"mecan";#N/A,#N/A,FALSE,"civil";#N/A,#N/A,FALSE,"CAÑER";#N/A,#N/A,FALSE,"ELEC";#N/A,#N/A,FALSE,"INSTR"}</definedName>
    <definedName name="wrn.PRINTEPRS." localSheetId="0" hidden="1">{#N/A,#N/A,FALSE,"minas";#N/A,#N/A,FALSE,"Total_OC015";#N/A,#N/A,FALSE,"ADMIN";#N/A,#N/A,FALSE,"PROCES";#N/A,#N/A,FALSE,"civil";#N/A,#N/A,FALSE,"CAÑER";#N/A,#N/A,FALSE,"ELEC";#N/A,#N/A,FALSE,"INSTR";#N/A,#N/A,FALSE,"PDS";#N/A,#N/A,FALSE,"mecan"}</definedName>
    <definedName name="wrn.PRINTEPRS." localSheetId="2" hidden="1">{#N/A,#N/A,FALSE,"minas";#N/A,#N/A,FALSE,"Total_OC015";#N/A,#N/A,FALSE,"ADMIN";#N/A,#N/A,FALSE,"PROCES";#N/A,#N/A,FALSE,"civil";#N/A,#N/A,FALSE,"CAÑER";#N/A,#N/A,FALSE,"ELEC";#N/A,#N/A,FALSE,"INSTR";#N/A,#N/A,FALSE,"PDS";#N/A,#N/A,FALSE,"mecan"}</definedName>
    <definedName name="wrn.PRINTEPRS." hidden="1">{#N/A,#N/A,FALSE,"minas";#N/A,#N/A,FALSE,"Total_OC015";#N/A,#N/A,FALSE,"ADMIN";#N/A,#N/A,FALSE,"PROCES";#N/A,#N/A,FALSE,"civil";#N/A,#N/A,FALSE,"CAÑER";#N/A,#N/A,FALSE,"ELEC";#N/A,#N/A,FALSE,"INSTR";#N/A,#N/A,FALSE,"PDS";#N/A,#N/A,FALSE,"mecan"}</definedName>
    <definedName name="wrn.printeprs1" localSheetId="0" hidden="1">{#N/A,#N/A,FALSE,"minas";#N/A,#N/A,FALSE,"Total_OC015";#N/A,#N/A,FALSE,"ADMIN";#N/A,#N/A,FALSE,"PROCES";#N/A,#N/A,FALSE,"civil";#N/A,#N/A,FALSE,"CAÑER";#N/A,#N/A,FALSE,"ELEC";#N/A,#N/A,FALSE,"INSTR";#N/A,#N/A,FALSE,"PDS";#N/A,#N/A,FALSE,"mecan"}</definedName>
    <definedName name="wrn.printeprs1" localSheetId="2" hidden="1">{#N/A,#N/A,FALSE,"minas";#N/A,#N/A,FALSE,"Total_OC015";#N/A,#N/A,FALSE,"ADMIN";#N/A,#N/A,FALSE,"PROCES";#N/A,#N/A,FALSE,"civil";#N/A,#N/A,FALSE,"CAÑER";#N/A,#N/A,FALSE,"ELEC";#N/A,#N/A,FALSE,"INSTR";#N/A,#N/A,FALSE,"PDS";#N/A,#N/A,FALSE,"mecan"}</definedName>
    <definedName name="wrn.printeprs1" hidden="1">{#N/A,#N/A,FALSE,"minas";#N/A,#N/A,FALSE,"Total_OC015";#N/A,#N/A,FALSE,"ADMIN";#N/A,#N/A,FALSE,"PROCES";#N/A,#N/A,FALSE,"civil";#N/A,#N/A,FALSE,"CAÑER";#N/A,#N/A,FALSE,"ELEC";#N/A,#N/A,FALSE,"INSTR";#N/A,#N/A,FALSE,"PDS";#N/A,#N/A,FALSE,"mecan"}</definedName>
    <definedName name="wrn.PROCART." localSheetId="0" hidden="1">{#N/A,#N/A,FALSE,"MAQUINA"}</definedName>
    <definedName name="wrn.PROCART." localSheetId="2" hidden="1">{#N/A,#N/A,FALSE,"MAQUINA"}</definedName>
    <definedName name="wrn.PROCART." hidden="1">{#N/A,#N/A,FALSE,"MAQUINA"}</definedName>
    <definedName name="wrn.RELPAC." localSheetId="0"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wrn.RELPAC." localSheetId="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wrn.RELPAC."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wrn.Summary." localSheetId="0" hidden="1">{#N/A,#N/A,FALSE,"Matrix";#N/A,#N/A,FALSE,"Executive";#N/A,#N/A,FALSE,"Summary"}</definedName>
    <definedName name="wrn.Summary." localSheetId="2" hidden="1">{#N/A,#N/A,FALSE,"Matrix";#N/A,#N/A,FALSE,"Executive";#N/A,#N/A,FALSE,"Summary"}</definedName>
    <definedName name="wrn.Summary." hidden="1">{#N/A,#N/A,FALSE,"Matrix";#N/A,#N/A,FALSE,"Executive";#N/A,#N/A,FALSE,"Summary"}</definedName>
    <definedName name="wrn.unidades." localSheetId="0" hidden="1">{#N/A,#N/A,FALSE,"RESUMEN";#N/A,#N/A,FALSE,"GG-GI";#N/A,#N/A,FALSE,"AMB";#N/A,#N/A,FALSE,"EyR";#N/A,#N/A,FALSE,"UCP";#N/A,#N/A,FALSE,"IND";#N/A,#N/A,FALSE,"LR";#N/A,#N/A,FALSE,"PRV";#N/A,#N/A,FALSE,"TÚNELES";#N/A,#N/A,FALSE,"IDT";#N/A,#N/A,FALSE,"ING"}</definedName>
    <definedName name="wrn.unidades." localSheetId="2" hidden="1">{#N/A,#N/A,FALSE,"RESUMEN";#N/A,#N/A,FALSE,"GG-GI";#N/A,#N/A,FALSE,"AMB";#N/A,#N/A,FALSE,"EyR";#N/A,#N/A,FALSE,"UCP";#N/A,#N/A,FALSE,"IND";#N/A,#N/A,FALSE,"LR";#N/A,#N/A,FALSE,"PRV";#N/A,#N/A,FALSE,"TÚNELES";#N/A,#N/A,FALSE,"IDT";#N/A,#N/A,FALSE,"ING"}</definedName>
    <definedName name="wrn.unidades." hidden="1">{#N/A,#N/A,FALSE,"RESUMEN";#N/A,#N/A,FALSE,"GG-GI";#N/A,#N/A,FALSE,"AMB";#N/A,#N/A,FALSE,"EyR";#N/A,#N/A,FALSE,"UCP";#N/A,#N/A,FALSE,"IND";#N/A,#N/A,FALSE,"LR";#N/A,#N/A,FALSE,"PRV";#N/A,#N/A,FALSE,"TÚNELES";#N/A,#N/A,FALSE,"IDT";#N/A,#N/A,FALSE,"ING"}</definedName>
    <definedName name="wrn_PENDENCIAS_" localSheetId="0">{#N/A,#N/A,FALSE,"GERAL";#N/A,#N/A,FALSE,"012-96";#N/A,#N/A,FALSE,"018-96";#N/A,#N/A,FALSE,"027-96";#N/A,#N/A,FALSE,"059-96";#N/A,#N/A,FALSE,"076-96";#N/A,#N/A,FALSE,"019-97";#N/A,#N/A,FALSE,"021-97";#N/A,#N/A,FALSE,"022-97";#N/A,#N/A,FALSE,"028-97"}</definedName>
    <definedName name="wrn_PENDENCIAS_" localSheetId="2">{#N/A,#N/A,FALSE,"GERAL";#N/A,#N/A,FALSE,"012-96";#N/A,#N/A,FALSE,"018-96";#N/A,#N/A,FALSE,"027-96";#N/A,#N/A,FALSE,"059-96";#N/A,#N/A,FALSE,"076-96";#N/A,#N/A,FALSE,"019-97";#N/A,#N/A,FALSE,"021-97";#N/A,#N/A,FALSE,"022-97";#N/A,#N/A,FALSE,"028-97"}</definedName>
    <definedName name="wrn_PENDENCIAS_">{#N/A,#N/A,FALSE,"GERAL";#N/A,#N/A,FALSE,"012-96";#N/A,#N/A,FALSE,"018-96";#N/A,#N/A,FALSE,"027-96";#N/A,#N/A,FALSE,"059-96";#N/A,#N/A,FALSE,"076-96";#N/A,#N/A,FALSE,"019-97";#N/A,#N/A,FALSE,"021-97";#N/A,#N/A,FALSE,"022-97";#N/A,#N/A,FALSE,"028-97"}</definedName>
    <definedName name="wrn_PENDENCIAS__1" localSheetId="0">{#N/A,#N/A,FALSE,"GERAL";#N/A,#N/A,FALSE,"012-96";#N/A,#N/A,FALSE,"018-96";#N/A,#N/A,FALSE,"027-96";#N/A,#N/A,FALSE,"059-96";#N/A,#N/A,FALSE,"076-96";#N/A,#N/A,FALSE,"019-97";#N/A,#N/A,FALSE,"021-97";#N/A,#N/A,FALSE,"022-97";#N/A,#N/A,FALSE,"028-97"}</definedName>
    <definedName name="wrn_PENDENCIAS__1" localSheetId="2">{#N/A,#N/A,FALSE,"GERAL";#N/A,#N/A,FALSE,"012-96";#N/A,#N/A,FALSE,"018-96";#N/A,#N/A,FALSE,"027-96";#N/A,#N/A,FALSE,"059-96";#N/A,#N/A,FALSE,"076-96";#N/A,#N/A,FALSE,"019-97";#N/A,#N/A,FALSE,"021-97";#N/A,#N/A,FALSE,"022-97";#N/A,#N/A,FALSE,"028-97"}</definedName>
    <definedName name="wrn_PENDENCIAS__1">{#N/A,#N/A,FALSE,"GERAL";#N/A,#N/A,FALSE,"012-96";#N/A,#N/A,FALSE,"018-96";#N/A,#N/A,FALSE,"027-96";#N/A,#N/A,FALSE,"059-96";#N/A,#N/A,FALSE,"076-96";#N/A,#N/A,FALSE,"019-97";#N/A,#N/A,FALSE,"021-97";#N/A,#N/A,FALSE,"022-97";#N/A,#N/A,FALSE,"028-97"}</definedName>
    <definedName name="wsdf" localSheetId="0" hidden="1">{#N/A,#N/A,FALSE,"Total_OC015";#N/A,#N/A,FALSE,"ADMIN";#N/A,#N/A,FALSE,"PROCES";#N/A,#N/A,FALSE,"mecan";#N/A,#N/A,FALSE,"civil";#N/A,#N/A,FALSE,"CAÑER";#N/A,#N/A,FALSE,"ELEC";#N/A,#N/A,FALSE,"INSTR"}</definedName>
    <definedName name="wsdf" localSheetId="2" hidden="1">{#N/A,#N/A,FALSE,"Total_OC015";#N/A,#N/A,FALSE,"ADMIN";#N/A,#N/A,FALSE,"PROCES";#N/A,#N/A,FALSE,"mecan";#N/A,#N/A,FALSE,"civil";#N/A,#N/A,FALSE,"CAÑER";#N/A,#N/A,FALSE,"ELEC";#N/A,#N/A,FALSE,"INSTR"}</definedName>
    <definedName name="wsdf" hidden="1">{#N/A,#N/A,FALSE,"Total_OC015";#N/A,#N/A,FALSE,"ADMIN";#N/A,#N/A,FALSE,"PROCES";#N/A,#N/A,FALSE,"mecan";#N/A,#N/A,FALSE,"civil";#N/A,#N/A,FALSE,"CAÑER";#N/A,#N/A,FALSE,"ELEC";#N/A,#N/A,FALSE,"INSTR"}</definedName>
    <definedName name="wswsw" localSheetId="0" hidden="1">{#N/A,#N/A,FALSE,"Total_OC015";#N/A,#N/A,FALSE,"ADMIN";#N/A,#N/A,FALSE,"PROCES";#N/A,#N/A,FALSE,"mecan";#N/A,#N/A,FALSE,"civil";#N/A,#N/A,FALSE,"CAÑER";#N/A,#N/A,FALSE,"ELEC";#N/A,#N/A,FALSE,"INSTR"}</definedName>
    <definedName name="wswsw" localSheetId="2" hidden="1">{#N/A,#N/A,FALSE,"Total_OC015";#N/A,#N/A,FALSE,"ADMIN";#N/A,#N/A,FALSE,"PROCES";#N/A,#N/A,FALSE,"mecan";#N/A,#N/A,FALSE,"civil";#N/A,#N/A,FALSE,"CAÑER";#N/A,#N/A,FALSE,"ELEC";#N/A,#N/A,FALSE,"INSTR"}</definedName>
    <definedName name="wswsw" hidden="1">{#N/A,#N/A,FALSE,"Total_OC015";#N/A,#N/A,FALSE,"ADMIN";#N/A,#N/A,FALSE,"PROCES";#N/A,#N/A,FALSE,"mecan";#N/A,#N/A,FALSE,"civil";#N/A,#N/A,FALSE,"CAÑER";#N/A,#N/A,FALSE,"ELEC";#N/A,#N/A,FALSE,"INSTR"}</definedName>
    <definedName name="ww" localSheetId="0">#REF!</definedName>
    <definedName name="ww">#REF!</definedName>
    <definedName name="www" localSheetId="0" hidden="1">{#N/A,#N/A,FALSE,"masez (10)";#N/A,#N/A,FALSE,"masez (7)";#N/A,#N/A,FALSE,"masez (6)";#N/A,#N/A,FALSE,"masez (5)";#N/A,#N/A,FALSE,"masez (4)";#N/A,#N/A,FALSE,"masez (3)";#N/A,#N/A,FALSE,"masez (2)";#N/A,#N/A,FALSE,"GME";#N/A,#N/A,FALSE,"masez"}</definedName>
    <definedName name="www" localSheetId="2" hidden="1">{#N/A,#N/A,FALSE,"masez (10)";#N/A,#N/A,FALSE,"masez (7)";#N/A,#N/A,FALSE,"masez (6)";#N/A,#N/A,FALSE,"masez (5)";#N/A,#N/A,FALSE,"masez (4)";#N/A,#N/A,FALSE,"masez (3)";#N/A,#N/A,FALSE,"masez (2)";#N/A,#N/A,FALSE,"GME";#N/A,#N/A,FALSE,"masez"}</definedName>
    <definedName name="www" hidden="1">{#N/A,#N/A,FALSE,"masez (10)";#N/A,#N/A,FALSE,"masez (7)";#N/A,#N/A,FALSE,"masez (6)";#N/A,#N/A,FALSE,"masez (5)";#N/A,#N/A,FALSE,"masez (4)";#N/A,#N/A,FALSE,"masez (3)";#N/A,#N/A,FALSE,"masez (2)";#N/A,#N/A,FALSE,"GME";#N/A,#N/A,FALSE,"masez"}</definedName>
    <definedName name="x" localSheetId="0" hidden="1">{"'Plan1 (2)'!$A$5:$F$63"}</definedName>
    <definedName name="x" localSheetId="2" hidden="1">{"'Plan1 (2)'!$A$5:$F$63"}</definedName>
    <definedName name="x" hidden="1">{"'Plan1 (2)'!$A$5:$F$63"}</definedName>
    <definedName name="XALK" localSheetId="0">#REF!</definedName>
    <definedName name="XALK">#REF!</definedName>
    <definedName name="XCXCX" localSheetId="0">#REF!</definedName>
    <definedName name="XCXCX">#REF!</definedName>
    <definedName name="xd" localSheetId="0" hidden="1">{#N/A,#N/A,TRUE,"Est. de Fact.";#N/A,#N/A,TRUE,"Capitulo 19";#N/A,#N/A,TRUE,"Proyecto P855"}</definedName>
    <definedName name="xd" localSheetId="2" hidden="1">{#N/A,#N/A,TRUE,"Est. de Fact.";#N/A,#N/A,TRUE,"Capitulo 19";#N/A,#N/A,TRUE,"Proyecto P855"}</definedName>
    <definedName name="xd" hidden="1">{#N/A,#N/A,TRUE,"Est. de Fact.";#N/A,#N/A,TRUE,"Capitulo 19";#N/A,#N/A,TRUE,"Proyecto P855"}</definedName>
    <definedName name="XE_Currency" localSheetId="0">#REF!</definedName>
    <definedName name="XE_Currency">#REF!</definedName>
    <definedName name="XX">#N/A</definedName>
    <definedName name="xxx" localSheetId="0" hidden="1">{#N/A,#N/A,FALSE,"GERAL";#N/A,#N/A,FALSE,"012-96";#N/A,#N/A,FALSE,"018-96";#N/A,#N/A,FALSE,"027-96";#N/A,#N/A,FALSE,"059-96";#N/A,#N/A,FALSE,"076-96";#N/A,#N/A,FALSE,"019-97";#N/A,#N/A,FALSE,"021-97";#N/A,#N/A,FALSE,"022-97";#N/A,#N/A,FALSE,"028-97"}</definedName>
    <definedName name="xxx" localSheetId="2" hidden="1">{#N/A,#N/A,FALSE,"GERAL";#N/A,#N/A,FALSE,"012-96";#N/A,#N/A,FALSE,"018-96";#N/A,#N/A,FALSE,"027-96";#N/A,#N/A,FALSE,"059-96";#N/A,#N/A,FALSE,"076-96";#N/A,#N/A,FALSE,"019-97";#N/A,#N/A,FALSE,"021-97";#N/A,#N/A,FALSE,"022-97";#N/A,#N/A,FALSE,"028-97"}</definedName>
    <definedName name="xxx" hidden="1">{#N/A,#N/A,FALSE,"GERAL";#N/A,#N/A,FALSE,"012-96";#N/A,#N/A,FALSE,"018-96";#N/A,#N/A,FALSE,"027-96";#N/A,#N/A,FALSE,"059-96";#N/A,#N/A,FALSE,"076-96";#N/A,#N/A,FALSE,"019-97";#N/A,#N/A,FALSE,"021-97";#N/A,#N/A,FALSE,"022-97";#N/A,#N/A,FALSE,"028-97"}</definedName>
    <definedName name="xxxx" localSheetId="0">#REF!</definedName>
    <definedName name="xxxx">#REF!</definedName>
    <definedName name="XXXXX" localSheetId="0">#REF!</definedName>
    <definedName name="XXXXX">#REF!</definedName>
    <definedName name="y" localSheetId="0">#REF!,#REF!,#REF!,#REF!,#REF!,#REF!</definedName>
    <definedName name="y">#REF!,#REF!,#REF!,#REF!,#REF!,#REF!</definedName>
    <definedName name="YEN_Total" localSheetId="0">#REF!</definedName>
    <definedName name="YEN_Total">#REF!</definedName>
    <definedName name="yhyhy" localSheetId="0">#REF!</definedName>
    <definedName name="yhyhy">#REF!</definedName>
    <definedName name="YNList" localSheetId="0">#REF!</definedName>
    <definedName name="YNList">#REF!</definedName>
    <definedName name="yttyty" localSheetId="0" hidden="1">{#N/A,#N/A,FALSE,"Total_OC015";#N/A,#N/A,FALSE,"ADMIN";#N/A,#N/A,FALSE,"PROCES";#N/A,#N/A,FALSE,"mecan";#N/A,#N/A,FALSE,"civil";#N/A,#N/A,FALSE,"CAÑER";#N/A,#N/A,FALSE,"ELEC";#N/A,#N/A,FALSE,"INSTR"}</definedName>
    <definedName name="yttyty" localSheetId="2" hidden="1">{#N/A,#N/A,FALSE,"Total_OC015";#N/A,#N/A,FALSE,"ADMIN";#N/A,#N/A,FALSE,"PROCES";#N/A,#N/A,FALSE,"mecan";#N/A,#N/A,FALSE,"civil";#N/A,#N/A,FALSE,"CAÑER";#N/A,#N/A,FALSE,"ELEC";#N/A,#N/A,FALSE,"INSTR"}</definedName>
    <definedName name="yttyty" hidden="1">{#N/A,#N/A,FALSE,"Total_OC015";#N/A,#N/A,FALSE,"ADMIN";#N/A,#N/A,FALSE,"PROCES";#N/A,#N/A,FALSE,"mecan";#N/A,#N/A,FALSE,"civil";#N/A,#N/A,FALSE,"CAÑER";#N/A,#N/A,FALSE,"ELEC";#N/A,#N/A,FALSE,"INSTR"}</definedName>
    <definedName name="YUAN_Total" localSheetId="0">#REF!</definedName>
    <definedName name="YUAN_Total">#REF!</definedName>
    <definedName name="yuyuyu" localSheetId="0" hidden="1">{#N/A,#N/A,FALSE,"minas";#N/A,#N/A,FALSE,"Total_OC015";#N/A,#N/A,FALSE,"ADMIN";#N/A,#N/A,FALSE,"PROCES";#N/A,#N/A,FALSE,"civil";#N/A,#N/A,FALSE,"CAÑER";#N/A,#N/A,FALSE,"ELEC";#N/A,#N/A,FALSE,"INSTR";#N/A,#N/A,FALSE,"PDS";#N/A,#N/A,FALSE,"mecan"}</definedName>
    <definedName name="yuyuyu" localSheetId="2" hidden="1">{#N/A,#N/A,FALSE,"minas";#N/A,#N/A,FALSE,"Total_OC015";#N/A,#N/A,FALSE,"ADMIN";#N/A,#N/A,FALSE,"PROCES";#N/A,#N/A,FALSE,"civil";#N/A,#N/A,FALSE,"CAÑER";#N/A,#N/A,FALSE,"ELEC";#N/A,#N/A,FALSE,"INSTR";#N/A,#N/A,FALSE,"PDS";#N/A,#N/A,FALSE,"mecan"}</definedName>
    <definedName name="yuyuyu" hidden="1">{#N/A,#N/A,FALSE,"minas";#N/A,#N/A,FALSE,"Total_OC015";#N/A,#N/A,FALSE,"ADMIN";#N/A,#N/A,FALSE,"PROCES";#N/A,#N/A,FALSE,"civil";#N/A,#N/A,FALSE,"CAÑER";#N/A,#N/A,FALSE,"ELEC";#N/A,#N/A,FALSE,"INSTR";#N/A,#N/A,FALSE,"PDS";#N/A,#N/A,FALSE,"mecan"}</definedName>
    <definedName name="yy" localSheetId="0">#REF!</definedName>
    <definedName name="yy">#REF!</definedName>
    <definedName name="yyy" localSheetId="0">#REF!</definedName>
    <definedName name="yyy">#REF!</definedName>
    <definedName name="z" localSheetId="0">#REF!</definedName>
    <definedName name="z">#REF!</definedName>
    <definedName name="Z_118390A3_5BCD_4BAD_AD5D_57758148AB45_.wvu.Cols" localSheetId="0" hidden="1">#REF!,#REF!,#REF!,#REF!,#REF!,#REF!</definedName>
    <definedName name="Z_118390A3_5BCD_4BAD_AD5D_57758148AB45_.wvu.Cols" hidden="1">#REF!,#REF!,#REF!,#REF!,#REF!,#REF!</definedName>
    <definedName name="Z_118390A3_5BCD_4BAD_AD5D_57758148AB45_.wvu.Rows" localSheetId="0" hidden="1">#REF!,#REF!</definedName>
    <definedName name="Z_118390A3_5BCD_4BAD_AD5D_57758148AB45_.wvu.Rows" hidden="1">#REF!,#REF!</definedName>
    <definedName name="Z_146D92FF_DFCA_47DC_9CF6_0D07F916365B_.wvu.Cols" localSheetId="0" hidden="1">#REF!,#REF!,#REF!,#REF!</definedName>
    <definedName name="Z_146D92FF_DFCA_47DC_9CF6_0D07F916365B_.wvu.Cols" hidden="1">#REF!,#REF!,#REF!,#REF!</definedName>
    <definedName name="Z_146D92FF_DFCA_47DC_9CF6_0D07F916365B_.wvu.FilterData" localSheetId="0" hidden="1">#REF!</definedName>
    <definedName name="Z_146D92FF_DFCA_47DC_9CF6_0D07F916365B_.wvu.FilterData" hidden="1">#REF!</definedName>
    <definedName name="Z_204280AB_6F29_4C38_B953_40E78BD846F8_.wvu.Cols" localSheetId="0" hidden="1">#REF!,#REF!,#REF!</definedName>
    <definedName name="Z_204280AB_6F29_4C38_B953_40E78BD846F8_.wvu.Cols" hidden="1">#REF!,#REF!,#REF!</definedName>
    <definedName name="Z_204280AB_6F29_4C38_B953_40E78BD846F8_.wvu.FilterData" localSheetId="0" hidden="1">#REF!</definedName>
    <definedName name="Z_204280AB_6F29_4C38_B953_40E78BD846F8_.wvu.FilterData" hidden="1">#REF!</definedName>
    <definedName name="Z_204280AB_6F29_4C38_B953_40E78BD846F8_.wvu.PrintArea" localSheetId="0" hidden="1">#REF!</definedName>
    <definedName name="Z_204280AB_6F29_4C38_B953_40E78BD846F8_.wvu.PrintArea" hidden="1">#REF!</definedName>
    <definedName name="Z_204280AB_6F29_4C38_B953_40E78BD846F8_.wvu.PrintTitles" localSheetId="0" hidden="1">#REF!</definedName>
    <definedName name="Z_204280AB_6F29_4C38_B953_40E78BD846F8_.wvu.PrintTitles" hidden="1">#REF!</definedName>
    <definedName name="Z_7AE3F8A6_7282_4640_BAE6_7D5F8B45608B_.wvu.Cols" localSheetId="0" hidden="1">#REF!</definedName>
    <definedName name="Z_7AE3F8A6_7282_4640_BAE6_7D5F8B45608B_.wvu.Cols" hidden="1">#REF!</definedName>
    <definedName name="Z_F8DBEF03_39C5_4B4F_97A5_5A8DD9B74A35_.wvu.Cols" localSheetId="0" hidden="1">#REF!,#REF!,#REF!,#REF!,#REF!,#REF!</definedName>
    <definedName name="Z_F8DBEF03_39C5_4B4F_97A5_5A8DD9B74A35_.wvu.Cols" hidden="1">#REF!,#REF!,#REF!,#REF!,#REF!,#REF!</definedName>
    <definedName name="za" localSheetId="0">#REF!</definedName>
    <definedName name="za">#REF!</definedName>
    <definedName name="ZAR" localSheetId="0">#REF!</definedName>
    <definedName name="ZAR">#REF!</definedName>
    <definedName name="Zona" localSheetId="0">#REF!</definedName>
    <definedName name="Zona">#REF!</definedName>
    <definedName name="ZVZ" localSheetId="0" hidden="1">{#N/A,#N/A,FALSE,"GERAL";#N/A,#N/A,FALSE,"012-96";#N/A,#N/A,FALSE,"018-96";#N/A,#N/A,FALSE,"027-96";#N/A,#N/A,FALSE,"059-96";#N/A,#N/A,FALSE,"076-96";#N/A,#N/A,FALSE,"019-97";#N/A,#N/A,FALSE,"021-97";#N/A,#N/A,FALSE,"022-97";#N/A,#N/A,FALSE,"028-97"}</definedName>
    <definedName name="ZVZ" localSheetId="2" hidden="1">{#N/A,#N/A,FALSE,"GERAL";#N/A,#N/A,FALSE,"012-96";#N/A,#N/A,FALSE,"018-96";#N/A,#N/A,FALSE,"027-96";#N/A,#N/A,FALSE,"059-96";#N/A,#N/A,FALSE,"076-96";#N/A,#N/A,FALSE,"019-97";#N/A,#N/A,FALSE,"021-97";#N/A,#N/A,FALSE,"022-97";#N/A,#N/A,FALSE,"028-97"}</definedName>
    <definedName name="ZVZ" hidden="1">{#N/A,#N/A,FALSE,"GERAL";#N/A,#N/A,FALSE,"012-96";#N/A,#N/A,FALSE,"018-96";#N/A,#N/A,FALSE,"027-96";#N/A,#N/A,FALSE,"059-96";#N/A,#N/A,FALSE,"076-96";#N/A,#N/A,FALSE,"019-97";#N/A,#N/A,FALSE,"021-97";#N/A,#N/A,FALSE,"022-97";#N/A,#N/A,FALSE,"028-97"}</definedName>
    <definedName name="zzzzz" localSheetId="0" hidden="1">{#N/A,#N/A,FALSE,"minas";#N/A,#N/A,FALSE,"Total_OC015";#N/A,#N/A,FALSE,"ADMIN";#N/A,#N/A,FALSE,"PROCES";#N/A,#N/A,FALSE,"civil";#N/A,#N/A,FALSE,"CAÑER";#N/A,#N/A,FALSE,"ELEC";#N/A,#N/A,FALSE,"INSTR";#N/A,#N/A,FALSE,"PDS";#N/A,#N/A,FALSE,"mecan"}</definedName>
    <definedName name="zzzzz" localSheetId="2" hidden="1">{#N/A,#N/A,FALSE,"minas";#N/A,#N/A,FALSE,"Total_OC015";#N/A,#N/A,FALSE,"ADMIN";#N/A,#N/A,FALSE,"PROCES";#N/A,#N/A,FALSE,"civil";#N/A,#N/A,FALSE,"CAÑER";#N/A,#N/A,FALSE,"ELEC";#N/A,#N/A,FALSE,"INSTR";#N/A,#N/A,FALSE,"PDS";#N/A,#N/A,FALSE,"mecan"}</definedName>
    <definedName name="zzzzz" hidden="1">{#N/A,#N/A,FALSE,"minas";#N/A,#N/A,FALSE,"Total_OC015";#N/A,#N/A,FALSE,"ADMIN";#N/A,#N/A,FALSE,"PROCES";#N/A,#N/A,FALSE,"civil";#N/A,#N/A,FALSE,"CAÑER";#N/A,#N/A,FALSE,"ELEC";#N/A,#N/A,FALSE,"INSTR";#N/A,#N/A,FALSE,"PDS";#N/A,#N/A,FALSE,"mecan"}</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2" i="57" l="1"/>
  <c r="I21" i="101"/>
  <c r="I8" i="101"/>
  <c r="I9" i="101"/>
  <c r="I10" i="101"/>
  <c r="I11" i="101"/>
  <c r="I12" i="101"/>
  <c r="I13" i="101"/>
  <c r="I14" i="101"/>
  <c r="I15" i="101"/>
  <c r="I16" i="101"/>
  <c r="I17" i="101"/>
  <c r="I18" i="101"/>
  <c r="I19" i="101"/>
  <c r="I20" i="101"/>
  <c r="I7" i="101"/>
  <c r="DS130" i="105"/>
  <c r="DS104" i="105"/>
  <c r="DS105" i="105"/>
  <c r="DS106" i="105"/>
  <c r="DS107" i="105"/>
  <c r="DS108" i="105"/>
  <c r="DS109" i="105"/>
  <c r="DS110" i="105"/>
  <c r="DS111" i="105"/>
  <c r="DS112" i="105"/>
  <c r="DS113" i="105"/>
  <c r="I113" i="101" s="1"/>
  <c r="DS114" i="105"/>
  <c r="DS115" i="105"/>
  <c r="DS116" i="105"/>
  <c r="DS117" i="105"/>
  <c r="DS118" i="105"/>
  <c r="DS119" i="105"/>
  <c r="DS120" i="105"/>
  <c r="DS121" i="105"/>
  <c r="DS122" i="105"/>
  <c r="DS103" i="105"/>
  <c r="I103" i="101" s="1"/>
  <c r="DS82" i="105"/>
  <c r="DS83" i="105"/>
  <c r="DS84" i="105"/>
  <c r="DS85" i="105"/>
  <c r="DS86" i="105"/>
  <c r="DS87" i="105"/>
  <c r="DS88" i="105"/>
  <c r="DS89" i="105"/>
  <c r="DS90" i="105"/>
  <c r="DS91" i="105"/>
  <c r="DS92" i="105"/>
  <c r="DS93" i="105"/>
  <c r="DS94" i="105"/>
  <c r="DS95" i="105"/>
  <c r="DS96" i="105"/>
  <c r="DS97" i="105"/>
  <c r="DS98" i="105"/>
  <c r="DS99" i="105"/>
  <c r="DS81" i="105"/>
  <c r="I81" i="101" s="1"/>
  <c r="DS25" i="105"/>
  <c r="DS26" i="105"/>
  <c r="DS27" i="105"/>
  <c r="DS28" i="105"/>
  <c r="DS29" i="105"/>
  <c r="DS30" i="105"/>
  <c r="DS31" i="105"/>
  <c r="DS32" i="105"/>
  <c r="DS33" i="105"/>
  <c r="DS34" i="105"/>
  <c r="DS35" i="105"/>
  <c r="DS36" i="105"/>
  <c r="DS37" i="105"/>
  <c r="DS38" i="105"/>
  <c r="DS39" i="105"/>
  <c r="DS40" i="105"/>
  <c r="DS41" i="105"/>
  <c r="DS42" i="105"/>
  <c r="DS43" i="105"/>
  <c r="DS44" i="105"/>
  <c r="DS45" i="105"/>
  <c r="DS46" i="105"/>
  <c r="DS47" i="105"/>
  <c r="DS48" i="105"/>
  <c r="DS49" i="105"/>
  <c r="DS50" i="105"/>
  <c r="DS51" i="105"/>
  <c r="DS52" i="105"/>
  <c r="DS53" i="105"/>
  <c r="DS54" i="105"/>
  <c r="DS55" i="105"/>
  <c r="DS56" i="105"/>
  <c r="DS57" i="105"/>
  <c r="DS58" i="105"/>
  <c r="DS59" i="105"/>
  <c r="DS60" i="105"/>
  <c r="DS61" i="105"/>
  <c r="DS62" i="105"/>
  <c r="DS63" i="105"/>
  <c r="DS64" i="105"/>
  <c r="DS65" i="105"/>
  <c r="DS66" i="105"/>
  <c r="DS67" i="105"/>
  <c r="DS68" i="105"/>
  <c r="DS69" i="105"/>
  <c r="DS70" i="105"/>
  <c r="DS71" i="105"/>
  <c r="DS72" i="105"/>
  <c r="DS73" i="105"/>
  <c r="DS74" i="105"/>
  <c r="DS75" i="105"/>
  <c r="DS76" i="105"/>
  <c r="DS77" i="105"/>
  <c r="DS24" i="105"/>
  <c r="I24" i="101" s="1"/>
  <c r="I78" i="101" s="1"/>
  <c r="DS8" i="105"/>
  <c r="DS9" i="105"/>
  <c r="DS10" i="105"/>
  <c r="DS11" i="105"/>
  <c r="DS12" i="105"/>
  <c r="DS13" i="105"/>
  <c r="DS14" i="105"/>
  <c r="DS15" i="105"/>
  <c r="DS16" i="105"/>
  <c r="DS17" i="105"/>
  <c r="DS18" i="105"/>
  <c r="DS19" i="105"/>
  <c r="DS20" i="105"/>
  <c r="DS7" i="105"/>
  <c r="I104" i="101"/>
  <c r="I105" i="101"/>
  <c r="I106" i="101"/>
  <c r="I107" i="101"/>
  <c r="I108" i="101"/>
  <c r="I109" i="101"/>
  <c r="I110" i="101"/>
  <c r="I111" i="101"/>
  <c r="I112" i="101"/>
  <c r="I114" i="101"/>
  <c r="I115" i="101"/>
  <c r="I116" i="101"/>
  <c r="I117" i="101"/>
  <c r="I118" i="101"/>
  <c r="I119" i="101"/>
  <c r="I120" i="101"/>
  <c r="I121" i="101"/>
  <c r="I122" i="101"/>
  <c r="I82" i="101"/>
  <c r="I83" i="101"/>
  <c r="I84" i="101"/>
  <c r="I85" i="101"/>
  <c r="I86" i="101"/>
  <c r="I87" i="101"/>
  <c r="I88" i="101"/>
  <c r="I89" i="101"/>
  <c r="I90" i="101"/>
  <c r="I91" i="101"/>
  <c r="I92" i="101"/>
  <c r="I93" i="101"/>
  <c r="I94" i="101"/>
  <c r="I95" i="101"/>
  <c r="I96" i="101"/>
  <c r="I97" i="101"/>
  <c r="I98" i="101"/>
  <c r="I99" i="101"/>
  <c r="I25" i="101"/>
  <c r="I26" i="101"/>
  <c r="I27" i="101"/>
  <c r="I28" i="101"/>
  <c r="I29" i="101"/>
  <c r="I30" i="101"/>
  <c r="I31" i="101"/>
  <c r="I32" i="101"/>
  <c r="I33" i="101"/>
  <c r="I34" i="101"/>
  <c r="I35" i="101"/>
  <c r="I36" i="101"/>
  <c r="I37" i="101"/>
  <c r="I38" i="101"/>
  <c r="I39" i="101"/>
  <c r="I40" i="101"/>
  <c r="I41" i="101"/>
  <c r="I42" i="101"/>
  <c r="I43" i="101"/>
  <c r="I44" i="101"/>
  <c r="I45" i="101"/>
  <c r="I46" i="101"/>
  <c r="I47" i="101"/>
  <c r="I48" i="101"/>
  <c r="I49" i="101"/>
  <c r="I50" i="101"/>
  <c r="I51" i="101"/>
  <c r="I52" i="101"/>
  <c r="I53" i="101"/>
  <c r="I54" i="101"/>
  <c r="I55" i="101"/>
  <c r="I56" i="101"/>
  <c r="I57" i="101"/>
  <c r="I58" i="101"/>
  <c r="I59" i="101"/>
  <c r="I60" i="101"/>
  <c r="I61" i="101"/>
  <c r="I62" i="101"/>
  <c r="I63" i="101"/>
  <c r="I64" i="101"/>
  <c r="I65" i="101"/>
  <c r="I66" i="101"/>
  <c r="I67" i="101"/>
  <c r="I68" i="101"/>
  <c r="I69" i="101"/>
  <c r="I70" i="101"/>
  <c r="I71" i="101"/>
  <c r="I72" i="101"/>
  <c r="I73" i="101"/>
  <c r="I74" i="101"/>
  <c r="I75" i="101"/>
  <c r="I76" i="101"/>
  <c r="I77" i="101"/>
  <c r="B104" i="101"/>
  <c r="C104" i="101"/>
  <c r="D104" i="101"/>
  <c r="E104" i="101"/>
  <c r="B105" i="101"/>
  <c r="C105" i="101"/>
  <c r="D105" i="101"/>
  <c r="E105" i="101"/>
  <c r="B106" i="101"/>
  <c r="C106" i="101"/>
  <c r="D106" i="101"/>
  <c r="E106" i="101"/>
  <c r="B107" i="101"/>
  <c r="C107" i="101"/>
  <c r="D107" i="101"/>
  <c r="E107" i="101"/>
  <c r="B108" i="101"/>
  <c r="C108" i="101"/>
  <c r="D108" i="101"/>
  <c r="E108" i="101"/>
  <c r="B109" i="101"/>
  <c r="C109" i="101"/>
  <c r="D109" i="101"/>
  <c r="E109" i="101"/>
  <c r="B110" i="101"/>
  <c r="C110" i="101"/>
  <c r="D110" i="101"/>
  <c r="E110" i="101"/>
  <c r="B111" i="101"/>
  <c r="C111" i="101"/>
  <c r="D111" i="101"/>
  <c r="E111" i="101"/>
  <c r="B112" i="101"/>
  <c r="C112" i="101"/>
  <c r="D112" i="101"/>
  <c r="E112" i="101"/>
  <c r="B113" i="101"/>
  <c r="C113" i="101"/>
  <c r="D113" i="101"/>
  <c r="E113" i="101"/>
  <c r="B114" i="101"/>
  <c r="C114" i="101"/>
  <c r="D114" i="101"/>
  <c r="E114" i="101"/>
  <c r="B115" i="101"/>
  <c r="C115" i="101"/>
  <c r="D115" i="101"/>
  <c r="E115" i="101"/>
  <c r="B116" i="101"/>
  <c r="C116" i="101"/>
  <c r="D116" i="101"/>
  <c r="E116" i="101"/>
  <c r="B117" i="101"/>
  <c r="C117" i="101"/>
  <c r="D117" i="101"/>
  <c r="E117" i="101"/>
  <c r="B118" i="101"/>
  <c r="C118" i="101"/>
  <c r="D118" i="101"/>
  <c r="E118" i="101"/>
  <c r="B119" i="101"/>
  <c r="C119" i="101"/>
  <c r="D119" i="101"/>
  <c r="E119" i="101"/>
  <c r="B120" i="101"/>
  <c r="C120" i="101"/>
  <c r="D120" i="101"/>
  <c r="E120" i="101"/>
  <c r="B121" i="101"/>
  <c r="C121" i="101"/>
  <c r="D121" i="101"/>
  <c r="E121" i="101"/>
  <c r="B122" i="101"/>
  <c r="C122" i="101"/>
  <c r="D122" i="101"/>
  <c r="E122" i="101"/>
  <c r="E103" i="101"/>
  <c r="D103" i="101"/>
  <c r="C103" i="101"/>
  <c r="B103" i="101"/>
  <c r="B82" i="101"/>
  <c r="C82" i="101"/>
  <c r="D82" i="101"/>
  <c r="E82" i="101"/>
  <c r="B83" i="101"/>
  <c r="C83" i="101"/>
  <c r="D83" i="101"/>
  <c r="E83" i="101"/>
  <c r="B84" i="101"/>
  <c r="C84" i="101"/>
  <c r="D84" i="101"/>
  <c r="E84" i="101"/>
  <c r="B85" i="101"/>
  <c r="C85" i="101"/>
  <c r="D85" i="101"/>
  <c r="E85" i="101"/>
  <c r="B86" i="101"/>
  <c r="C86" i="101"/>
  <c r="D86" i="101"/>
  <c r="E86" i="101"/>
  <c r="B87" i="101"/>
  <c r="C87" i="101"/>
  <c r="D87" i="101"/>
  <c r="E87" i="101"/>
  <c r="B88" i="101"/>
  <c r="C88" i="101"/>
  <c r="D88" i="101"/>
  <c r="E88" i="101"/>
  <c r="B89" i="101"/>
  <c r="C89" i="101"/>
  <c r="D89" i="101"/>
  <c r="E89" i="101"/>
  <c r="B90" i="101"/>
  <c r="C90" i="101"/>
  <c r="D90" i="101"/>
  <c r="E90" i="101"/>
  <c r="B91" i="101"/>
  <c r="C91" i="101"/>
  <c r="D91" i="101"/>
  <c r="E91" i="101"/>
  <c r="B92" i="101"/>
  <c r="C92" i="101"/>
  <c r="D92" i="101"/>
  <c r="E92" i="101"/>
  <c r="B93" i="101"/>
  <c r="C93" i="101"/>
  <c r="D93" i="101"/>
  <c r="E93" i="101"/>
  <c r="B94" i="101"/>
  <c r="C94" i="101"/>
  <c r="D94" i="101"/>
  <c r="E94" i="101"/>
  <c r="B95" i="101"/>
  <c r="C95" i="101"/>
  <c r="D95" i="101"/>
  <c r="E95" i="101"/>
  <c r="B96" i="101"/>
  <c r="C96" i="101"/>
  <c r="D96" i="101"/>
  <c r="E96" i="101"/>
  <c r="B97" i="101"/>
  <c r="C97" i="101"/>
  <c r="D97" i="101"/>
  <c r="E97" i="101"/>
  <c r="B98" i="101"/>
  <c r="C98" i="101"/>
  <c r="D98" i="101"/>
  <c r="E98" i="101"/>
  <c r="B99" i="101"/>
  <c r="C99" i="101"/>
  <c r="D99" i="101"/>
  <c r="E99" i="101"/>
  <c r="E81" i="101"/>
  <c r="D81" i="101"/>
  <c r="C81" i="101"/>
  <c r="B81" i="101"/>
  <c r="B25" i="101"/>
  <c r="C25" i="101"/>
  <c r="D25" i="101"/>
  <c r="E25" i="101"/>
  <c r="B26" i="101"/>
  <c r="C26" i="101"/>
  <c r="D26" i="101"/>
  <c r="E26" i="101"/>
  <c r="B27" i="101"/>
  <c r="C27" i="101"/>
  <c r="D27" i="101"/>
  <c r="E27" i="101"/>
  <c r="B28" i="101"/>
  <c r="C28" i="101"/>
  <c r="D28" i="101"/>
  <c r="E28" i="101"/>
  <c r="B29" i="101"/>
  <c r="C29" i="101"/>
  <c r="D29" i="101"/>
  <c r="E29" i="101"/>
  <c r="B30" i="101"/>
  <c r="C30" i="101"/>
  <c r="D30" i="101"/>
  <c r="E30" i="101"/>
  <c r="B31" i="101"/>
  <c r="C31" i="101"/>
  <c r="D31" i="101"/>
  <c r="E31" i="101"/>
  <c r="B32" i="101"/>
  <c r="C32" i="101"/>
  <c r="D32" i="101"/>
  <c r="E32" i="101"/>
  <c r="B33" i="101"/>
  <c r="C33" i="101"/>
  <c r="D33" i="101"/>
  <c r="E33" i="101"/>
  <c r="B34" i="101"/>
  <c r="C34" i="101"/>
  <c r="D34" i="101"/>
  <c r="E34" i="101"/>
  <c r="B35" i="101"/>
  <c r="C35" i="101"/>
  <c r="D35" i="101"/>
  <c r="E35" i="101"/>
  <c r="B36" i="101"/>
  <c r="C36" i="101"/>
  <c r="D36" i="101"/>
  <c r="E36" i="101"/>
  <c r="B37" i="101"/>
  <c r="C37" i="101"/>
  <c r="D37" i="101"/>
  <c r="E37" i="101"/>
  <c r="B38" i="101"/>
  <c r="C38" i="101"/>
  <c r="D38" i="101"/>
  <c r="E38" i="101"/>
  <c r="B39" i="101"/>
  <c r="C39" i="101"/>
  <c r="D39" i="101"/>
  <c r="E39" i="101"/>
  <c r="B40" i="101"/>
  <c r="C40" i="101"/>
  <c r="D40" i="101"/>
  <c r="E40" i="101"/>
  <c r="B41" i="101"/>
  <c r="C41" i="101"/>
  <c r="D41" i="101"/>
  <c r="E41" i="101"/>
  <c r="B42" i="101"/>
  <c r="C42" i="101"/>
  <c r="D42" i="101"/>
  <c r="E42" i="101"/>
  <c r="B43" i="101"/>
  <c r="C43" i="101"/>
  <c r="D43" i="101"/>
  <c r="E43" i="101"/>
  <c r="B44" i="101"/>
  <c r="C44" i="101"/>
  <c r="D44" i="101"/>
  <c r="E44" i="101"/>
  <c r="B45" i="101"/>
  <c r="C45" i="101"/>
  <c r="D45" i="101"/>
  <c r="E45" i="101"/>
  <c r="B46" i="101"/>
  <c r="C46" i="101"/>
  <c r="D46" i="101"/>
  <c r="E46" i="101"/>
  <c r="B47" i="101"/>
  <c r="C47" i="101"/>
  <c r="D47" i="101"/>
  <c r="E47" i="101"/>
  <c r="B48" i="101"/>
  <c r="C48" i="101"/>
  <c r="D48" i="101"/>
  <c r="E48" i="101"/>
  <c r="B49" i="101"/>
  <c r="C49" i="101"/>
  <c r="D49" i="101"/>
  <c r="E49" i="101"/>
  <c r="B50" i="101"/>
  <c r="C50" i="101"/>
  <c r="D50" i="101"/>
  <c r="E50" i="101"/>
  <c r="B51" i="101"/>
  <c r="C51" i="101"/>
  <c r="D51" i="101"/>
  <c r="E51" i="101"/>
  <c r="B52" i="101"/>
  <c r="C52" i="101"/>
  <c r="D52" i="101"/>
  <c r="E52" i="101"/>
  <c r="B53" i="101"/>
  <c r="C53" i="101"/>
  <c r="D53" i="101"/>
  <c r="E53" i="101"/>
  <c r="B54" i="101"/>
  <c r="C54" i="101"/>
  <c r="D54" i="101"/>
  <c r="E54" i="101"/>
  <c r="B55" i="101"/>
  <c r="C55" i="101"/>
  <c r="D55" i="101"/>
  <c r="E55" i="101"/>
  <c r="B56" i="101"/>
  <c r="C56" i="101"/>
  <c r="D56" i="101"/>
  <c r="E56" i="101"/>
  <c r="B57" i="101"/>
  <c r="C57" i="101"/>
  <c r="D57" i="101"/>
  <c r="E57" i="101"/>
  <c r="B58" i="101"/>
  <c r="C58" i="101"/>
  <c r="D58" i="101"/>
  <c r="E58" i="101"/>
  <c r="B59" i="101"/>
  <c r="C59" i="101"/>
  <c r="D59" i="101"/>
  <c r="E59" i="101"/>
  <c r="B60" i="101"/>
  <c r="C60" i="101"/>
  <c r="D60" i="101"/>
  <c r="E60" i="101"/>
  <c r="B61" i="101"/>
  <c r="C61" i="101"/>
  <c r="D61" i="101"/>
  <c r="E61" i="101"/>
  <c r="B62" i="101"/>
  <c r="C62" i="101"/>
  <c r="D62" i="101"/>
  <c r="E62" i="101"/>
  <c r="B63" i="101"/>
  <c r="C63" i="101"/>
  <c r="D63" i="101"/>
  <c r="E63" i="101"/>
  <c r="B64" i="101"/>
  <c r="C64" i="101"/>
  <c r="D64" i="101"/>
  <c r="E64" i="101"/>
  <c r="B65" i="101"/>
  <c r="C65" i="101"/>
  <c r="D65" i="101"/>
  <c r="E65" i="101"/>
  <c r="B66" i="101"/>
  <c r="C66" i="101"/>
  <c r="D66" i="101"/>
  <c r="E66" i="101"/>
  <c r="B67" i="101"/>
  <c r="C67" i="101"/>
  <c r="D67" i="101"/>
  <c r="E67" i="101"/>
  <c r="B68" i="101"/>
  <c r="C68" i="101"/>
  <c r="D68" i="101"/>
  <c r="E68" i="101"/>
  <c r="B69" i="101"/>
  <c r="C69" i="101"/>
  <c r="D69" i="101"/>
  <c r="E69" i="101"/>
  <c r="B70" i="101"/>
  <c r="C70" i="101"/>
  <c r="D70" i="101"/>
  <c r="E70" i="101"/>
  <c r="B71" i="101"/>
  <c r="C71" i="101"/>
  <c r="D71" i="101"/>
  <c r="E71" i="101"/>
  <c r="B72" i="101"/>
  <c r="C72" i="101"/>
  <c r="D72" i="101"/>
  <c r="E72" i="101"/>
  <c r="B73" i="101"/>
  <c r="C73" i="101"/>
  <c r="D73" i="101"/>
  <c r="E73" i="101"/>
  <c r="B74" i="101"/>
  <c r="C74" i="101"/>
  <c r="D74" i="101"/>
  <c r="E74" i="101"/>
  <c r="B75" i="101"/>
  <c r="C75" i="101"/>
  <c r="D75" i="101"/>
  <c r="E75" i="101"/>
  <c r="B76" i="101"/>
  <c r="C76" i="101"/>
  <c r="D76" i="101"/>
  <c r="E76" i="101"/>
  <c r="B77" i="101"/>
  <c r="C77" i="101"/>
  <c r="D77" i="101"/>
  <c r="E77" i="101"/>
  <c r="E24" i="101"/>
  <c r="D24" i="101"/>
  <c r="C24" i="101"/>
  <c r="B24" i="101"/>
  <c r="B8" i="101"/>
  <c r="C8" i="101"/>
  <c r="D8" i="101"/>
  <c r="E8" i="101"/>
  <c r="B9" i="101"/>
  <c r="C9" i="101"/>
  <c r="D9" i="101"/>
  <c r="E9" i="101"/>
  <c r="B10" i="101"/>
  <c r="C10" i="101"/>
  <c r="D10" i="101"/>
  <c r="E10" i="101"/>
  <c r="B11" i="101"/>
  <c r="C11" i="101"/>
  <c r="D11" i="101"/>
  <c r="E11" i="101"/>
  <c r="B12" i="101"/>
  <c r="C12" i="101"/>
  <c r="D12" i="101"/>
  <c r="E12" i="101"/>
  <c r="B13" i="101"/>
  <c r="C13" i="101"/>
  <c r="D13" i="101"/>
  <c r="E13" i="101"/>
  <c r="B14" i="101"/>
  <c r="C14" i="101"/>
  <c r="D14" i="101"/>
  <c r="E14" i="101"/>
  <c r="B15" i="101"/>
  <c r="C15" i="101"/>
  <c r="D15" i="101"/>
  <c r="E15" i="101"/>
  <c r="B16" i="101"/>
  <c r="C16" i="101"/>
  <c r="D16" i="101"/>
  <c r="E16" i="101"/>
  <c r="B17" i="101"/>
  <c r="C17" i="101"/>
  <c r="D17" i="101"/>
  <c r="E17" i="101"/>
  <c r="B18" i="101"/>
  <c r="C18" i="101"/>
  <c r="D18" i="101"/>
  <c r="E18" i="101"/>
  <c r="B19" i="101"/>
  <c r="C19" i="101"/>
  <c r="D19" i="101"/>
  <c r="E19" i="101"/>
  <c r="B20" i="101"/>
  <c r="C20" i="101"/>
  <c r="D20" i="101"/>
  <c r="E20" i="101"/>
  <c r="E7" i="101"/>
  <c r="D7" i="101"/>
  <c r="C7" i="101"/>
  <c r="B7" i="101"/>
  <c r="AQ28" i="105"/>
  <c r="AR28" i="105" s="1"/>
  <c r="AW28" i="105"/>
  <c r="AX28" i="105" s="1"/>
  <c r="AZ28" i="105"/>
  <c r="BA28" i="105" s="1"/>
  <c r="BC28" i="105"/>
  <c r="BD28" i="105" s="1"/>
  <c r="BI28" i="105"/>
  <c r="BJ28" i="105" s="1"/>
  <c r="CD28" i="105"/>
  <c r="CE28" i="105" s="1"/>
  <c r="DN28" i="105"/>
  <c r="DO28" i="105" s="1"/>
  <c r="DK28" i="105"/>
  <c r="DH28" i="105"/>
  <c r="DI28" i="105" s="1"/>
  <c r="DE28" i="105"/>
  <c r="DB28" i="105"/>
  <c r="CY28" i="105"/>
  <c r="CZ28" i="105" s="1"/>
  <c r="CV28" i="105"/>
  <c r="CW28" i="105" s="1"/>
  <c r="CS28" i="105"/>
  <c r="CT28" i="105" s="1"/>
  <c r="CP28" i="105"/>
  <c r="CQ28" i="105" s="1"/>
  <c r="CM28" i="105"/>
  <c r="CJ28" i="105"/>
  <c r="CK28" i="105" s="1"/>
  <c r="CG28" i="105"/>
  <c r="CH28" i="105" s="1"/>
  <c r="CA28" i="105"/>
  <c r="CB28" i="105" s="1"/>
  <c r="BX28" i="105"/>
  <c r="BY28" i="105" s="1"/>
  <c r="BU28" i="105"/>
  <c r="BV28" i="105" s="1"/>
  <c r="BR28" i="105"/>
  <c r="BS28" i="105" s="1"/>
  <c r="BO28" i="105"/>
  <c r="BP28" i="105" s="1"/>
  <c r="BL28" i="105"/>
  <c r="BM28" i="105" s="1"/>
  <c r="BF28" i="105"/>
  <c r="BG28" i="105" s="1"/>
  <c r="AT28" i="105"/>
  <c r="AU28" i="105" s="1"/>
  <c r="AN28" i="105"/>
  <c r="AO28" i="105" s="1"/>
  <c r="AK28" i="105"/>
  <c r="AL28" i="105" s="1"/>
  <c r="AH28" i="105"/>
  <c r="AI28" i="105" s="1"/>
  <c r="AE28" i="105"/>
  <c r="AF28" i="105" s="1"/>
  <c r="AB28" i="105"/>
  <c r="AC28" i="105" s="1"/>
  <c r="Y28" i="105"/>
  <c r="V28" i="105"/>
  <c r="W28" i="105" s="1"/>
  <c r="S28" i="105"/>
  <c r="T28" i="105" s="1"/>
  <c r="P28" i="105"/>
  <c r="Q28" i="105" s="1"/>
  <c r="M28" i="105"/>
  <c r="N28" i="105" s="1"/>
  <c r="J28" i="105"/>
  <c r="G28" i="105"/>
  <c r="K28" i="105"/>
  <c r="L14" i="85"/>
  <c r="L44" i="85"/>
  <c r="DN111" i="105"/>
  <c r="DM111" i="105"/>
  <c r="DN110" i="105"/>
  <c r="DO110" i="105" s="1"/>
  <c r="DM110" i="105"/>
  <c r="DN109" i="105"/>
  <c r="DM109" i="105"/>
  <c r="DN108" i="105"/>
  <c r="DO108" i="105" s="1"/>
  <c r="DM108" i="105"/>
  <c r="DN107" i="105"/>
  <c r="DM107" i="105"/>
  <c r="DM106" i="105"/>
  <c r="DN106" i="105"/>
  <c r="DK111" i="105"/>
  <c r="DJ111" i="105"/>
  <c r="DK110" i="105"/>
  <c r="DJ110" i="105"/>
  <c r="DK109" i="105"/>
  <c r="DL109" i="105" s="1"/>
  <c r="DJ109" i="105"/>
  <c r="DK108" i="105"/>
  <c r="DL108" i="105" s="1"/>
  <c r="DJ108" i="105"/>
  <c r="DK107" i="105"/>
  <c r="DJ107" i="105"/>
  <c r="DJ106" i="105"/>
  <c r="DK106" i="105"/>
  <c r="DH111" i="105"/>
  <c r="DI111" i="105" s="1"/>
  <c r="DG111" i="105"/>
  <c r="DH110" i="105"/>
  <c r="DG110" i="105"/>
  <c r="DH109" i="105"/>
  <c r="DI109" i="105" s="1"/>
  <c r="DG109" i="105"/>
  <c r="DH108" i="105"/>
  <c r="DI108" i="105" s="1"/>
  <c r="DG108" i="105"/>
  <c r="DH107" i="105"/>
  <c r="DG107" i="105"/>
  <c r="DG106" i="105"/>
  <c r="DH106" i="105"/>
  <c r="DE111" i="105"/>
  <c r="DF111" i="105" s="1"/>
  <c r="DD111" i="105"/>
  <c r="DE110" i="105"/>
  <c r="DD110" i="105"/>
  <c r="DF110" i="105" s="1"/>
  <c r="DE109" i="105"/>
  <c r="DD109" i="105"/>
  <c r="DE108" i="105"/>
  <c r="DF108" i="105" s="1"/>
  <c r="DD108" i="105"/>
  <c r="DE107" i="105"/>
  <c r="DD107" i="105"/>
  <c r="DD106" i="105"/>
  <c r="DE106" i="105"/>
  <c r="CP111" i="105"/>
  <c r="CQ111" i="105" s="1"/>
  <c r="CO111" i="105"/>
  <c r="CP110" i="105"/>
  <c r="CO110" i="105"/>
  <c r="CP109" i="105"/>
  <c r="CQ109" i="105" s="1"/>
  <c r="CO109" i="105"/>
  <c r="CP108" i="105"/>
  <c r="CQ108" i="105" s="1"/>
  <c r="CO108" i="105"/>
  <c r="CP107" i="105"/>
  <c r="CO107" i="105"/>
  <c r="CO106" i="105"/>
  <c r="CQ106" i="105" s="1"/>
  <c r="CP106" i="105"/>
  <c r="CM111" i="105"/>
  <c r="CN111" i="105" s="1"/>
  <c r="CL111" i="105"/>
  <c r="CM110" i="105"/>
  <c r="CN110" i="105" s="1"/>
  <c r="CL110" i="105"/>
  <c r="CM109" i="105"/>
  <c r="CL109" i="105"/>
  <c r="CM108" i="105"/>
  <c r="CL108" i="105"/>
  <c r="CM107" i="105"/>
  <c r="CL107" i="105"/>
  <c r="CL106" i="105"/>
  <c r="CM106" i="105"/>
  <c r="CJ111" i="105"/>
  <c r="CI111" i="105"/>
  <c r="CJ110" i="105"/>
  <c r="CK110" i="105" s="1"/>
  <c r="CI110" i="105"/>
  <c r="CJ109" i="105"/>
  <c r="CI109" i="105"/>
  <c r="CJ108" i="105"/>
  <c r="CI108" i="105"/>
  <c r="CK108" i="105" s="1"/>
  <c r="CJ107" i="105"/>
  <c r="CK107" i="105" s="1"/>
  <c r="CI107" i="105"/>
  <c r="CI106" i="105"/>
  <c r="CK106" i="105" s="1"/>
  <c r="CJ106" i="105"/>
  <c r="CG111" i="105"/>
  <c r="CH111" i="105" s="1"/>
  <c r="CF111" i="105"/>
  <c r="CG110" i="105"/>
  <c r="CH110" i="105" s="1"/>
  <c r="CF110" i="105"/>
  <c r="CG109" i="105"/>
  <c r="CF109" i="105"/>
  <c r="CG108" i="105"/>
  <c r="CH108" i="105" s="1"/>
  <c r="CF108" i="105"/>
  <c r="CG107" i="105"/>
  <c r="CH107" i="105" s="1"/>
  <c r="CF107" i="105"/>
  <c r="CF106" i="105"/>
  <c r="CH106" i="105" s="1"/>
  <c r="CG106" i="105"/>
  <c r="CD111" i="105"/>
  <c r="CE111" i="105" s="1"/>
  <c r="CC111" i="105"/>
  <c r="CD110" i="105"/>
  <c r="CE110" i="105" s="1"/>
  <c r="CC110" i="105"/>
  <c r="CD109" i="105"/>
  <c r="CC109" i="105"/>
  <c r="CD108" i="105"/>
  <c r="CE108" i="105" s="1"/>
  <c r="CC108" i="105"/>
  <c r="CD107" i="105"/>
  <c r="CE107" i="105" s="1"/>
  <c r="CC107" i="105"/>
  <c r="CC106" i="105"/>
  <c r="CD106" i="105"/>
  <c r="CA111" i="105"/>
  <c r="CB111" i="105" s="1"/>
  <c r="BZ111" i="105"/>
  <c r="CA110" i="105"/>
  <c r="CB110" i="105" s="1"/>
  <c r="BZ110" i="105"/>
  <c r="CA109" i="105"/>
  <c r="BZ109" i="105"/>
  <c r="CA108" i="105"/>
  <c r="BZ108" i="105"/>
  <c r="CA107" i="105"/>
  <c r="BZ107" i="105"/>
  <c r="BZ106" i="105"/>
  <c r="CA106" i="105"/>
  <c r="BX111" i="105"/>
  <c r="BY111" i="105" s="1"/>
  <c r="BW111" i="105"/>
  <c r="BX110" i="105"/>
  <c r="BW110" i="105"/>
  <c r="BY110" i="105" s="1"/>
  <c r="BX109" i="105"/>
  <c r="BW109" i="105"/>
  <c r="BX108" i="105"/>
  <c r="BY108" i="105" s="1"/>
  <c r="BW108" i="105"/>
  <c r="BX107" i="105"/>
  <c r="BW107" i="105"/>
  <c r="BW106" i="105"/>
  <c r="BY106" i="105" s="1"/>
  <c r="BX106" i="105"/>
  <c r="BU111" i="105"/>
  <c r="BT111" i="105"/>
  <c r="BU110" i="105"/>
  <c r="BT110" i="105"/>
  <c r="BV110" i="105" s="1"/>
  <c r="BU109" i="105"/>
  <c r="BT109" i="105"/>
  <c r="BU108" i="105"/>
  <c r="BT108" i="105"/>
  <c r="BU107" i="105"/>
  <c r="BV107" i="105" s="1"/>
  <c r="BT107" i="105"/>
  <c r="BT106" i="105"/>
  <c r="BU106" i="105"/>
  <c r="BR111" i="105"/>
  <c r="BS111" i="105" s="1"/>
  <c r="BQ111" i="105"/>
  <c r="BR110" i="105"/>
  <c r="BS110" i="105" s="1"/>
  <c r="BQ110" i="105"/>
  <c r="BR109" i="105"/>
  <c r="BQ109" i="105"/>
  <c r="BR108" i="105"/>
  <c r="BS108" i="105" s="1"/>
  <c r="BQ108" i="105"/>
  <c r="BR107" i="105"/>
  <c r="BS107" i="105" s="1"/>
  <c r="BQ107" i="105"/>
  <c r="BQ106" i="105"/>
  <c r="BR106" i="105"/>
  <c r="BO111" i="105"/>
  <c r="BP111" i="105" s="1"/>
  <c r="BN111" i="105"/>
  <c r="BO110" i="105"/>
  <c r="BP110" i="105" s="1"/>
  <c r="BN110" i="105"/>
  <c r="BO109" i="105"/>
  <c r="BN109" i="105"/>
  <c r="BO108" i="105"/>
  <c r="BN108" i="105"/>
  <c r="BO107" i="105"/>
  <c r="BP107" i="105" s="1"/>
  <c r="BN107" i="105"/>
  <c r="BN106" i="105"/>
  <c r="BO106" i="105"/>
  <c r="BL111" i="105"/>
  <c r="BM111" i="105" s="1"/>
  <c r="BK111" i="105"/>
  <c r="BL110" i="105"/>
  <c r="BM110" i="105" s="1"/>
  <c r="BK110" i="105"/>
  <c r="BL109" i="105"/>
  <c r="BK109" i="105"/>
  <c r="BL108" i="105"/>
  <c r="BM108" i="105" s="1"/>
  <c r="BK108" i="105"/>
  <c r="BL107" i="105"/>
  <c r="BM107" i="105" s="1"/>
  <c r="BK107" i="105"/>
  <c r="BK106" i="105"/>
  <c r="BL106" i="105"/>
  <c r="BI111" i="105"/>
  <c r="BJ111" i="105" s="1"/>
  <c r="BH111" i="105"/>
  <c r="BI110" i="105"/>
  <c r="BJ110" i="105" s="1"/>
  <c r="BH110" i="105"/>
  <c r="BI109" i="105"/>
  <c r="BH109" i="105"/>
  <c r="BI108" i="105"/>
  <c r="BJ108" i="105" s="1"/>
  <c r="BH108" i="105"/>
  <c r="BI107" i="105"/>
  <c r="BJ107" i="105" s="1"/>
  <c r="BH107" i="105"/>
  <c r="BH106" i="105"/>
  <c r="BI106" i="105"/>
  <c r="DM20" i="105"/>
  <c r="DM19" i="105"/>
  <c r="DO19" i="105" s="1"/>
  <c r="DM18" i="105"/>
  <c r="DO18" i="105" s="1"/>
  <c r="DM15" i="105"/>
  <c r="DO15" i="105" s="1"/>
  <c r="DM14" i="105"/>
  <c r="DO14" i="105" s="1"/>
  <c r="DM13" i="105"/>
  <c r="DM7" i="105"/>
  <c r="DJ20" i="105"/>
  <c r="DL20" i="105" s="1"/>
  <c r="DJ19" i="105"/>
  <c r="DJ18" i="105"/>
  <c r="DL18" i="105" s="1"/>
  <c r="DJ15" i="105"/>
  <c r="DL15" i="105" s="1"/>
  <c r="DJ14" i="105"/>
  <c r="DJ13" i="105"/>
  <c r="DJ7" i="105"/>
  <c r="DG20" i="105"/>
  <c r="DI20" i="105" s="1"/>
  <c r="DG19" i="105"/>
  <c r="DI19" i="105" s="1"/>
  <c r="DG18" i="105"/>
  <c r="DI18" i="105" s="1"/>
  <c r="DG15" i="105"/>
  <c r="DI15" i="105" s="1"/>
  <c r="DG14" i="105"/>
  <c r="DI14" i="105" s="1"/>
  <c r="DG13" i="105"/>
  <c r="DG7" i="105"/>
  <c r="DD20" i="105"/>
  <c r="DF20" i="105" s="1"/>
  <c r="DD19" i="105"/>
  <c r="DF19" i="105" s="1"/>
  <c r="DD18" i="105"/>
  <c r="DF18" i="105" s="1"/>
  <c r="DD15" i="105"/>
  <c r="DF15" i="105" s="1"/>
  <c r="DD14" i="105"/>
  <c r="DD13" i="105"/>
  <c r="DF13" i="105" s="1"/>
  <c r="DD7" i="105"/>
  <c r="CO20" i="105"/>
  <c r="CO19" i="105"/>
  <c r="CO18" i="105"/>
  <c r="CQ18" i="105" s="1"/>
  <c r="CO14" i="105"/>
  <c r="CO9" i="105"/>
  <c r="CO8" i="105"/>
  <c r="CO21" i="105" s="1"/>
  <c r="CO7" i="105"/>
  <c r="CL32" i="105"/>
  <c r="CN32" i="105" s="1"/>
  <c r="CL20" i="105"/>
  <c r="CN20" i="105" s="1"/>
  <c r="CL19" i="105"/>
  <c r="CN19" i="105" s="1"/>
  <c r="CL18" i="105"/>
  <c r="CN18" i="105" s="1"/>
  <c r="CL14" i="105"/>
  <c r="CN14" i="105" s="1"/>
  <c r="CL11" i="105"/>
  <c r="CN11" i="105" s="1"/>
  <c r="CL10" i="105"/>
  <c r="CN10" i="105" s="1"/>
  <c r="CL9" i="105"/>
  <c r="CL8" i="105"/>
  <c r="CL7" i="105"/>
  <c r="CI20" i="105"/>
  <c r="CI19" i="105"/>
  <c r="CI14" i="105"/>
  <c r="CK14" i="105" s="1"/>
  <c r="CI9" i="105"/>
  <c r="CI8" i="105"/>
  <c r="CI7" i="105"/>
  <c r="CI21" i="105" s="1"/>
  <c r="CF20" i="105"/>
  <c r="CH20" i="105" s="1"/>
  <c r="CF19" i="105"/>
  <c r="CF14" i="105"/>
  <c r="CH14" i="105" s="1"/>
  <c r="CF9" i="105"/>
  <c r="CF8" i="105"/>
  <c r="CF7" i="105"/>
  <c r="CC20" i="105"/>
  <c r="CE20" i="105" s="1"/>
  <c r="CC19" i="105"/>
  <c r="CE19" i="105" s="1"/>
  <c r="CC14" i="105"/>
  <c r="CC9" i="105"/>
  <c r="CC8" i="105"/>
  <c r="CC7" i="105"/>
  <c r="BZ7" i="105"/>
  <c r="BW7" i="105"/>
  <c r="BT7" i="105"/>
  <c r="BQ7" i="105"/>
  <c r="BN7" i="105"/>
  <c r="BZ20" i="105"/>
  <c r="CB20" i="105" s="1"/>
  <c r="BZ19" i="105"/>
  <c r="BZ14" i="105"/>
  <c r="BZ9" i="105"/>
  <c r="BZ8" i="105"/>
  <c r="BW20" i="105"/>
  <c r="BW19" i="105"/>
  <c r="BW14" i="105"/>
  <c r="BW21" i="105" s="1"/>
  <c r="BW9" i="105"/>
  <c r="BW8" i="105"/>
  <c r="BT20" i="105"/>
  <c r="BT19" i="105"/>
  <c r="BT14" i="105"/>
  <c r="BT9" i="105"/>
  <c r="BT8" i="105"/>
  <c r="BO32" i="105"/>
  <c r="BP32" i="105" s="1"/>
  <c r="BR32" i="105"/>
  <c r="BS32" i="105" s="1"/>
  <c r="BQ20" i="105"/>
  <c r="BQ19" i="105"/>
  <c r="BQ18" i="105"/>
  <c r="BQ17" i="105"/>
  <c r="BS17" i="105" s="1"/>
  <c r="BQ16" i="105"/>
  <c r="BS16" i="105" s="1"/>
  <c r="BQ15" i="105"/>
  <c r="BQ14" i="105"/>
  <c r="BQ13" i="105"/>
  <c r="BQ9" i="105"/>
  <c r="BQ8" i="105"/>
  <c r="BN20" i="105"/>
  <c r="BN19" i="105"/>
  <c r="BN18" i="105"/>
  <c r="BN17" i="105"/>
  <c r="BN16" i="105"/>
  <c r="BN15" i="105"/>
  <c r="BN14" i="105"/>
  <c r="BN13" i="105"/>
  <c r="BN9" i="105"/>
  <c r="BN8" i="105"/>
  <c r="CB10" i="105"/>
  <c r="CE10" i="105"/>
  <c r="CH10" i="105"/>
  <c r="CK10" i="105"/>
  <c r="CQ10" i="105"/>
  <c r="CT10" i="105"/>
  <c r="CW10" i="105"/>
  <c r="CZ10" i="105"/>
  <c r="DC10" i="105"/>
  <c r="DF10" i="105"/>
  <c r="DI10" i="105"/>
  <c r="DL10" i="105"/>
  <c r="DO10" i="105"/>
  <c r="CB11" i="105"/>
  <c r="CE11" i="105"/>
  <c r="CH11" i="105"/>
  <c r="CK11" i="105"/>
  <c r="CQ11" i="105"/>
  <c r="CT11" i="105"/>
  <c r="CW11" i="105"/>
  <c r="CZ11" i="105"/>
  <c r="DC11" i="105"/>
  <c r="DF11" i="105"/>
  <c r="DI11" i="105"/>
  <c r="DL11" i="105"/>
  <c r="DO11" i="105"/>
  <c r="CB12" i="105"/>
  <c r="CE12" i="105"/>
  <c r="CH12" i="105"/>
  <c r="CK12" i="105"/>
  <c r="CN12" i="105"/>
  <c r="CQ12" i="105"/>
  <c r="CT12" i="105"/>
  <c r="CW12" i="105"/>
  <c r="CZ12" i="105"/>
  <c r="DC12" i="105"/>
  <c r="DF12" i="105"/>
  <c r="DI12" i="105"/>
  <c r="DL12" i="105"/>
  <c r="DO12" i="105"/>
  <c r="CB13" i="105"/>
  <c r="CE13" i="105"/>
  <c r="CH13" i="105"/>
  <c r="CK13" i="105"/>
  <c r="CN13" i="105"/>
  <c r="CQ13" i="105"/>
  <c r="CT13" i="105"/>
  <c r="CW13" i="105"/>
  <c r="CZ13" i="105"/>
  <c r="DC13" i="105"/>
  <c r="DI13" i="105"/>
  <c r="DL13" i="105"/>
  <c r="DO13" i="105"/>
  <c r="CB14" i="105"/>
  <c r="CE14" i="105"/>
  <c r="CQ14" i="105"/>
  <c r="CT14" i="105"/>
  <c r="CW14" i="105"/>
  <c r="CZ14" i="105"/>
  <c r="DC14" i="105"/>
  <c r="DF14" i="105"/>
  <c r="CB15" i="105"/>
  <c r="CE15" i="105"/>
  <c r="CH15" i="105"/>
  <c r="CK15" i="105"/>
  <c r="CN15" i="105"/>
  <c r="CQ15" i="105"/>
  <c r="CT15" i="105"/>
  <c r="CW15" i="105"/>
  <c r="CZ15" i="105"/>
  <c r="DC15" i="105"/>
  <c r="CB16" i="105"/>
  <c r="CE16" i="105"/>
  <c r="CH16" i="105"/>
  <c r="CK16" i="105"/>
  <c r="CN16" i="105"/>
  <c r="CQ16" i="105"/>
  <c r="CT16" i="105"/>
  <c r="CW16" i="105"/>
  <c r="CZ16" i="105"/>
  <c r="DC16" i="105"/>
  <c r="DF16" i="105"/>
  <c r="DI16" i="105"/>
  <c r="DL16" i="105"/>
  <c r="DO16" i="105"/>
  <c r="CB17" i="105"/>
  <c r="CE17" i="105"/>
  <c r="CH17" i="105"/>
  <c r="CK17" i="105"/>
  <c r="CN17" i="105"/>
  <c r="CQ17" i="105"/>
  <c r="CT17" i="105"/>
  <c r="CW17" i="105"/>
  <c r="CZ17" i="105"/>
  <c r="DC17" i="105"/>
  <c r="DF17" i="105"/>
  <c r="DI17" i="105"/>
  <c r="DL17" i="105"/>
  <c r="DO17" i="105"/>
  <c r="CB18" i="105"/>
  <c r="CE18" i="105"/>
  <c r="CH18" i="105"/>
  <c r="CK18" i="105"/>
  <c r="CT18" i="105"/>
  <c r="CW18" i="105"/>
  <c r="CZ18" i="105"/>
  <c r="DC18" i="105"/>
  <c r="CB19" i="105"/>
  <c r="CH19" i="105"/>
  <c r="CK19" i="105"/>
  <c r="CQ19" i="105"/>
  <c r="CT19" i="105"/>
  <c r="CW19" i="105"/>
  <c r="CZ19" i="105"/>
  <c r="DC19" i="105"/>
  <c r="DL19" i="105"/>
  <c r="CK20" i="105"/>
  <c r="CQ20" i="105"/>
  <c r="CT20" i="105"/>
  <c r="CW20" i="105"/>
  <c r="CZ20" i="105"/>
  <c r="DC20" i="105"/>
  <c r="DO20" i="105"/>
  <c r="AP21" i="105"/>
  <c r="AM12" i="105"/>
  <c r="AM11" i="105"/>
  <c r="AJ11" i="105"/>
  <c r="AA11" i="105"/>
  <c r="AG11" i="105"/>
  <c r="AD11" i="105"/>
  <c r="AD21" i="105" s="1"/>
  <c r="AM10" i="105"/>
  <c r="AM21" i="105" s="1"/>
  <c r="AJ10" i="105"/>
  <c r="AJ21" i="105"/>
  <c r="AG10" i="105"/>
  <c r="AG21" i="105" s="1"/>
  <c r="AD10" i="105"/>
  <c r="AA10" i="105"/>
  <c r="AA21" i="105"/>
  <c r="Y31" i="105"/>
  <c r="Y30" i="105"/>
  <c r="Y29" i="105"/>
  <c r="X17" i="105"/>
  <c r="X21" i="105" s="1"/>
  <c r="X16" i="105"/>
  <c r="Z16" i="105"/>
  <c r="BY17" i="105"/>
  <c r="BV17" i="105"/>
  <c r="BP17" i="105"/>
  <c r="BM17" i="105"/>
  <c r="BJ17" i="105"/>
  <c r="BG17" i="105"/>
  <c r="BD17" i="105"/>
  <c r="BA17" i="105"/>
  <c r="AX17" i="105"/>
  <c r="AU17" i="105"/>
  <c r="AR17" i="105"/>
  <c r="AO17" i="105"/>
  <c r="AL17" i="105"/>
  <c r="AI17" i="105"/>
  <c r="AF17" i="105"/>
  <c r="AC17" i="105"/>
  <c r="Z17" i="105"/>
  <c r="W17" i="105"/>
  <c r="T17" i="105"/>
  <c r="Q17" i="105"/>
  <c r="BY16" i="105"/>
  <c r="BV16" i="105"/>
  <c r="BP16" i="105"/>
  <c r="BM16" i="105"/>
  <c r="BJ16" i="105"/>
  <c r="BG16" i="105"/>
  <c r="BD16" i="105"/>
  <c r="BA16" i="105"/>
  <c r="AX16" i="105"/>
  <c r="AU16" i="105"/>
  <c r="AR16" i="105"/>
  <c r="AO16" i="105"/>
  <c r="AL16" i="105"/>
  <c r="AI16" i="105"/>
  <c r="AF16" i="105"/>
  <c r="AC16" i="105"/>
  <c r="W16" i="105"/>
  <c r="T16" i="105"/>
  <c r="Q16" i="105"/>
  <c r="N17" i="105"/>
  <c r="N16" i="105"/>
  <c r="K17" i="105"/>
  <c r="K16" i="105"/>
  <c r="H17" i="105"/>
  <c r="H16" i="105"/>
  <c r="E8" i="105"/>
  <c r="E9" i="105"/>
  <c r="E10" i="105"/>
  <c r="E11" i="105"/>
  <c r="E13" i="105"/>
  <c r="E14" i="105"/>
  <c r="E15" i="105"/>
  <c r="E16" i="105"/>
  <c r="E17" i="105"/>
  <c r="E18" i="105"/>
  <c r="E19" i="105"/>
  <c r="E20" i="105"/>
  <c r="C8" i="105"/>
  <c r="C9" i="105"/>
  <c r="C10" i="105"/>
  <c r="C11" i="105"/>
  <c r="C12" i="105"/>
  <c r="C13" i="105"/>
  <c r="C14" i="105"/>
  <c r="C15" i="105"/>
  <c r="C16" i="105"/>
  <c r="C17" i="105"/>
  <c r="C18" i="105"/>
  <c r="C19" i="105"/>
  <c r="C20" i="105"/>
  <c r="B9" i="105"/>
  <c r="B10" i="105"/>
  <c r="B11" i="105"/>
  <c r="B12" i="105"/>
  <c r="B13" i="105"/>
  <c r="B14" i="105"/>
  <c r="B15" i="105"/>
  <c r="B16" i="105"/>
  <c r="B17" i="105"/>
  <c r="B18" i="105"/>
  <c r="B19" i="105"/>
  <c r="B20" i="105"/>
  <c r="G12" i="26"/>
  <c r="H12" i="26" s="1"/>
  <c r="I12" i="26" s="1"/>
  <c r="G13" i="26"/>
  <c r="H13" i="26" s="1"/>
  <c r="I13" i="26" s="1"/>
  <c r="G14" i="26"/>
  <c r="H14" i="26" s="1"/>
  <c r="I14" i="26" s="1"/>
  <c r="U11" i="105"/>
  <c r="U10" i="105"/>
  <c r="B8" i="105"/>
  <c r="R12" i="105"/>
  <c r="R10" i="105"/>
  <c r="R21" i="105" s="1"/>
  <c r="O12" i="105"/>
  <c r="O10" i="105"/>
  <c r="O21" i="105" s="1"/>
  <c r="M25" i="105"/>
  <c r="M24" i="105"/>
  <c r="L19" i="105"/>
  <c r="J111" i="105"/>
  <c r="J110" i="105"/>
  <c r="J109" i="105"/>
  <c r="J108" i="105"/>
  <c r="J107" i="105"/>
  <c r="J106" i="105"/>
  <c r="G111" i="105"/>
  <c r="G110" i="105"/>
  <c r="G109" i="105"/>
  <c r="G108" i="105"/>
  <c r="G107" i="105"/>
  <c r="G106" i="105"/>
  <c r="I20" i="105"/>
  <c r="I19" i="105"/>
  <c r="I18" i="105"/>
  <c r="I15" i="105"/>
  <c r="I14" i="105"/>
  <c r="I13" i="105"/>
  <c r="I9" i="105"/>
  <c r="I8" i="105"/>
  <c r="I7" i="105"/>
  <c r="F20" i="105"/>
  <c r="G21" i="105"/>
  <c r="F19" i="105"/>
  <c r="F18" i="105"/>
  <c r="F15" i="105"/>
  <c r="F14" i="105"/>
  <c r="F13" i="105"/>
  <c r="F9" i="105"/>
  <c r="F8" i="105"/>
  <c r="F7" i="105"/>
  <c r="DR21" i="105"/>
  <c r="DQ21" i="105"/>
  <c r="J21" i="105"/>
  <c r="M21" i="105"/>
  <c r="P21" i="105"/>
  <c r="S21" i="105"/>
  <c r="V21" i="105"/>
  <c r="Y21" i="105"/>
  <c r="AB21" i="105"/>
  <c r="AE21" i="105"/>
  <c r="AH21" i="105"/>
  <c r="AK21" i="105"/>
  <c r="AN21" i="105"/>
  <c r="AQ21" i="105"/>
  <c r="AT21" i="105"/>
  <c r="AW21" i="105"/>
  <c r="AZ21" i="105"/>
  <c r="BC21" i="105"/>
  <c r="BF21" i="105"/>
  <c r="BI21" i="105"/>
  <c r="BL21" i="105"/>
  <c r="BO21" i="105"/>
  <c r="BR21" i="105"/>
  <c r="BU21" i="105"/>
  <c r="BX21" i="105"/>
  <c r="CA21" i="105"/>
  <c r="CD21" i="105"/>
  <c r="CG21" i="105"/>
  <c r="CJ21" i="105"/>
  <c r="CM21" i="105"/>
  <c r="CP21" i="105"/>
  <c r="CS21" i="105"/>
  <c r="CV21" i="105"/>
  <c r="CY21" i="105"/>
  <c r="DB21" i="105"/>
  <c r="DE21" i="105"/>
  <c r="DH21" i="105"/>
  <c r="DK21" i="105"/>
  <c r="DN21" i="105"/>
  <c r="C7" i="105"/>
  <c r="B7" i="105"/>
  <c r="F9" i="26"/>
  <c r="DM1" i="105"/>
  <c r="DJ1" i="105"/>
  <c r="DO122" i="105"/>
  <c r="DO121" i="105"/>
  <c r="DO120" i="105"/>
  <c r="DO119" i="105"/>
  <c r="DO118" i="105"/>
  <c r="DO117" i="105"/>
  <c r="DO116" i="105"/>
  <c r="DO115" i="105"/>
  <c r="DO114" i="105"/>
  <c r="DO113" i="105"/>
  <c r="DO112" i="105"/>
  <c r="DO111" i="105"/>
  <c r="DO107" i="105"/>
  <c r="DO103" i="105"/>
  <c r="DO99" i="105"/>
  <c r="DO98" i="105"/>
  <c r="DO97" i="105"/>
  <c r="DO96" i="105"/>
  <c r="DO95" i="105"/>
  <c r="DO94" i="105"/>
  <c r="DO93" i="105"/>
  <c r="DO92" i="105"/>
  <c r="DO91" i="105"/>
  <c r="DO90" i="105"/>
  <c r="DO89" i="105"/>
  <c r="DO88" i="105"/>
  <c r="DO87" i="105"/>
  <c r="DO86" i="105"/>
  <c r="DO85" i="105"/>
  <c r="DO84" i="105"/>
  <c r="DO83" i="105"/>
  <c r="DO82" i="105"/>
  <c r="DO81" i="105"/>
  <c r="DO100" i="105" s="1"/>
  <c r="DO128" i="105" s="1"/>
  <c r="DO77" i="105"/>
  <c r="DO76" i="105"/>
  <c r="DO75" i="105"/>
  <c r="DO74" i="105"/>
  <c r="DO73" i="105"/>
  <c r="DO72" i="105"/>
  <c r="DO71" i="105"/>
  <c r="DO70" i="105"/>
  <c r="DO69" i="105"/>
  <c r="DO68" i="105"/>
  <c r="DO67" i="105"/>
  <c r="DO66" i="105"/>
  <c r="DO65" i="105"/>
  <c r="DO64" i="105"/>
  <c r="DO63" i="105"/>
  <c r="DO62" i="105"/>
  <c r="DO61" i="105"/>
  <c r="DO60" i="105"/>
  <c r="DO59" i="105"/>
  <c r="DO58" i="105"/>
  <c r="DO57" i="105"/>
  <c r="DO56" i="105"/>
  <c r="DO55" i="105"/>
  <c r="DO54" i="105"/>
  <c r="DO53" i="105"/>
  <c r="DO51" i="105"/>
  <c r="DO50" i="105"/>
  <c r="DO49" i="105"/>
  <c r="DO48" i="105"/>
  <c r="DO47" i="105"/>
  <c r="DO46" i="105"/>
  <c r="DO45" i="105"/>
  <c r="DO44" i="105"/>
  <c r="DO42" i="105"/>
  <c r="DO41" i="105"/>
  <c r="DO39" i="105"/>
  <c r="DO38" i="105"/>
  <c r="DO37" i="105"/>
  <c r="DO36" i="105"/>
  <c r="DO35" i="105"/>
  <c r="DO34" i="105"/>
  <c r="DO33" i="105"/>
  <c r="DO32" i="105"/>
  <c r="DO31" i="105"/>
  <c r="DO30" i="105"/>
  <c r="DO29" i="105"/>
  <c r="DO27" i="105"/>
  <c r="DO26" i="105"/>
  <c r="DO25" i="105"/>
  <c r="DG1" i="105"/>
  <c r="DL122" i="105"/>
  <c r="DL121" i="105"/>
  <c r="DL120" i="105"/>
  <c r="DL119" i="105"/>
  <c r="DL118" i="105"/>
  <c r="DL117" i="105"/>
  <c r="DL116" i="105"/>
  <c r="DL115" i="105"/>
  <c r="DL114" i="105"/>
  <c r="DL113" i="105"/>
  <c r="DL112" i="105"/>
  <c r="DL111" i="105"/>
  <c r="DL110" i="105"/>
  <c r="DL107" i="105"/>
  <c r="DL105" i="105"/>
  <c r="DL104" i="105"/>
  <c r="DL103" i="105"/>
  <c r="DL99" i="105"/>
  <c r="DL98" i="105"/>
  <c r="DL97" i="105"/>
  <c r="DL96" i="105"/>
  <c r="DL95" i="105"/>
  <c r="DL94" i="105"/>
  <c r="DL93" i="105"/>
  <c r="DL92" i="105"/>
  <c r="DL91" i="105"/>
  <c r="DL90" i="105"/>
  <c r="DL89" i="105"/>
  <c r="DL88" i="105"/>
  <c r="DL87" i="105"/>
  <c r="DL86" i="105"/>
  <c r="DL85" i="105"/>
  <c r="DL84" i="105"/>
  <c r="DL83" i="105"/>
  <c r="DL82" i="105"/>
  <c r="DL81" i="105"/>
  <c r="DL77" i="105"/>
  <c r="DL76" i="105"/>
  <c r="DL75" i="105"/>
  <c r="DL74" i="105"/>
  <c r="DL73" i="105"/>
  <c r="DL72" i="105"/>
  <c r="DL71" i="105"/>
  <c r="DL70" i="105"/>
  <c r="DL69" i="105"/>
  <c r="DL68" i="105"/>
  <c r="DL67" i="105"/>
  <c r="DL66" i="105"/>
  <c r="DL65" i="105"/>
  <c r="DL64" i="105"/>
  <c r="DL63" i="105"/>
  <c r="DL62" i="105"/>
  <c r="DL61" i="105"/>
  <c r="DL60" i="105"/>
  <c r="DL59" i="105"/>
  <c r="DL58" i="105"/>
  <c r="DL57" i="105"/>
  <c r="DL56" i="105"/>
  <c r="DL55" i="105"/>
  <c r="DL54" i="105"/>
  <c r="DL53" i="105"/>
  <c r="DL51" i="105"/>
  <c r="DL50" i="105"/>
  <c r="DL49" i="105"/>
  <c r="DL48" i="105"/>
  <c r="DL47" i="105"/>
  <c r="DL46" i="105"/>
  <c r="DL45" i="105"/>
  <c r="DL44" i="105"/>
  <c r="DL42" i="105"/>
  <c r="DL41" i="105"/>
  <c r="DL39" i="105"/>
  <c r="DL38" i="105"/>
  <c r="DL37" i="105"/>
  <c r="DL36" i="105"/>
  <c r="DL35" i="105"/>
  <c r="DL34" i="105"/>
  <c r="DL33" i="105"/>
  <c r="DL32" i="105"/>
  <c r="DL31" i="105"/>
  <c r="DL30" i="105"/>
  <c r="DL29" i="105"/>
  <c r="DL28" i="105"/>
  <c r="DL27" i="105"/>
  <c r="DL26" i="105"/>
  <c r="DL25" i="105"/>
  <c r="DD1" i="105"/>
  <c r="DI122" i="105"/>
  <c r="DI121" i="105"/>
  <c r="DI120" i="105"/>
  <c r="DI119" i="105"/>
  <c r="DI118" i="105"/>
  <c r="DI117" i="105"/>
  <c r="DI116" i="105"/>
  <c r="DI115" i="105"/>
  <c r="DI114" i="105"/>
  <c r="DI113" i="105"/>
  <c r="DI112" i="105"/>
  <c r="DI110" i="105"/>
  <c r="DI107" i="105"/>
  <c r="DI105" i="105"/>
  <c r="DI104" i="105"/>
  <c r="DI103" i="105"/>
  <c r="DI99" i="105"/>
  <c r="DI98" i="105"/>
  <c r="DI97" i="105"/>
  <c r="DI96" i="105"/>
  <c r="DI95" i="105"/>
  <c r="DI94" i="105"/>
  <c r="DI93" i="105"/>
  <c r="DI92" i="105"/>
  <c r="DI91" i="105"/>
  <c r="DI90" i="105"/>
  <c r="DI89" i="105"/>
  <c r="DI88" i="105"/>
  <c r="DI87" i="105"/>
  <c r="DI86" i="105"/>
  <c r="DI85" i="105"/>
  <c r="DI84" i="105"/>
  <c r="DI83" i="105"/>
  <c r="DI82" i="105"/>
  <c r="DI81" i="105"/>
  <c r="DI77" i="105"/>
  <c r="DI76" i="105"/>
  <c r="DI75" i="105"/>
  <c r="DI74" i="105"/>
  <c r="DI73" i="105"/>
  <c r="DI72" i="105"/>
  <c r="DI71" i="105"/>
  <c r="DI70" i="105"/>
  <c r="DI69" i="105"/>
  <c r="DI68" i="105"/>
  <c r="DI67" i="105"/>
  <c r="DI66" i="105"/>
  <c r="DI65" i="105"/>
  <c r="DI64" i="105"/>
  <c r="DI63" i="105"/>
  <c r="DI62" i="105"/>
  <c r="DI61" i="105"/>
  <c r="DI60" i="105"/>
  <c r="DI59" i="105"/>
  <c r="DI58" i="105"/>
  <c r="DI57" i="105"/>
  <c r="DI56" i="105"/>
  <c r="DI55" i="105"/>
  <c r="DI54" i="105"/>
  <c r="DI53" i="105"/>
  <c r="DI51" i="105"/>
  <c r="DI50" i="105"/>
  <c r="DI49" i="105"/>
  <c r="DI48" i="105"/>
  <c r="DI47" i="105"/>
  <c r="DI46" i="105"/>
  <c r="DI45" i="105"/>
  <c r="DI44" i="105"/>
  <c r="DI42" i="105"/>
  <c r="DI41" i="105"/>
  <c r="DI39" i="105"/>
  <c r="DI38" i="105"/>
  <c r="DI37" i="105"/>
  <c r="DI36" i="105"/>
  <c r="DI35" i="105"/>
  <c r="DI34" i="105"/>
  <c r="DI33" i="105"/>
  <c r="DI32" i="105"/>
  <c r="DI31" i="105"/>
  <c r="DI30" i="105"/>
  <c r="DI29" i="105"/>
  <c r="DI27" i="105"/>
  <c r="DI26" i="105"/>
  <c r="DI25" i="105"/>
  <c r="DA1" i="105"/>
  <c r="DF122" i="105"/>
  <c r="DF121" i="105"/>
  <c r="DF120" i="105"/>
  <c r="DF119" i="105"/>
  <c r="DF118" i="105"/>
  <c r="DF117" i="105"/>
  <c r="DF116" i="105"/>
  <c r="DF115" i="105"/>
  <c r="DF114" i="105"/>
  <c r="DF113" i="105"/>
  <c r="DF112" i="105"/>
  <c r="DF109" i="105"/>
  <c r="DF107" i="105"/>
  <c r="DF105" i="105"/>
  <c r="DF104" i="105"/>
  <c r="DF103" i="105"/>
  <c r="DF99" i="105"/>
  <c r="DF98" i="105"/>
  <c r="DF97" i="105"/>
  <c r="DF96" i="105"/>
  <c r="DF95" i="105"/>
  <c r="DF94" i="105"/>
  <c r="DF93" i="105"/>
  <c r="DF92" i="105"/>
  <c r="DF91" i="105"/>
  <c r="DF90" i="105"/>
  <c r="DF89" i="105"/>
  <c r="DF88" i="105"/>
  <c r="DF87" i="105"/>
  <c r="DF86" i="105"/>
  <c r="DF85" i="105"/>
  <c r="DF84" i="105"/>
  <c r="DF83" i="105"/>
  <c r="DF82" i="105"/>
  <c r="DF81" i="105"/>
  <c r="DF100" i="105" s="1"/>
  <c r="DF128" i="105" s="1"/>
  <c r="DF77" i="105"/>
  <c r="DF76" i="105"/>
  <c r="DF75" i="105"/>
  <c r="DF74" i="105"/>
  <c r="DF73" i="105"/>
  <c r="DF72" i="105"/>
  <c r="DF71" i="105"/>
  <c r="DF70" i="105"/>
  <c r="DF69" i="105"/>
  <c r="DF68" i="105"/>
  <c r="DF67" i="105"/>
  <c r="DF66" i="105"/>
  <c r="DF65" i="105"/>
  <c r="DF64" i="105"/>
  <c r="DF63" i="105"/>
  <c r="DF62" i="105"/>
  <c r="DF61" i="105"/>
  <c r="DF60" i="105"/>
  <c r="DF59" i="105"/>
  <c r="DF58" i="105"/>
  <c r="DF57" i="105"/>
  <c r="DF56" i="105"/>
  <c r="DF55" i="105"/>
  <c r="DF54" i="105"/>
  <c r="DF53" i="105"/>
  <c r="DF51" i="105"/>
  <c r="DF50" i="105"/>
  <c r="DF49" i="105"/>
  <c r="DF48" i="105"/>
  <c r="DF47" i="105"/>
  <c r="DF46" i="105"/>
  <c r="DF45" i="105"/>
  <c r="DF44" i="105"/>
  <c r="DF42" i="105"/>
  <c r="DF41" i="105"/>
  <c r="DF39" i="105"/>
  <c r="DF38" i="105"/>
  <c r="DF37" i="105"/>
  <c r="DF36" i="105"/>
  <c r="DF35" i="105"/>
  <c r="DF34" i="105"/>
  <c r="DF33" i="105"/>
  <c r="DF32" i="105"/>
  <c r="DF31" i="105"/>
  <c r="DF30" i="105"/>
  <c r="DF29" i="105"/>
  <c r="DF28" i="105"/>
  <c r="DF27" i="105"/>
  <c r="DF26" i="105"/>
  <c r="DF25" i="105"/>
  <c r="CX1" i="105"/>
  <c r="DC122" i="105"/>
  <c r="DC121" i="105"/>
  <c r="DC120" i="105"/>
  <c r="DC119" i="105"/>
  <c r="DC118" i="105"/>
  <c r="DC117" i="105"/>
  <c r="DC116" i="105"/>
  <c r="DC115" i="105"/>
  <c r="DC114" i="105"/>
  <c r="DC113" i="105"/>
  <c r="DC112" i="105"/>
  <c r="DC111" i="105"/>
  <c r="DC110" i="105"/>
  <c r="DC109" i="105"/>
  <c r="DC108" i="105"/>
  <c r="DC107" i="105"/>
  <c r="DC106" i="105"/>
  <c r="DC105" i="105"/>
  <c r="DC104" i="105"/>
  <c r="DC103" i="105"/>
  <c r="DC99" i="105"/>
  <c r="DC98" i="105"/>
  <c r="DC97" i="105"/>
  <c r="DC96" i="105"/>
  <c r="DC95" i="105"/>
  <c r="DC94" i="105"/>
  <c r="DC93" i="105"/>
  <c r="DC92" i="105"/>
  <c r="DC91" i="105"/>
  <c r="DC90" i="105"/>
  <c r="DC89" i="105"/>
  <c r="DC88" i="105"/>
  <c r="DC87" i="105"/>
  <c r="DC86" i="105"/>
  <c r="DC85" i="105"/>
  <c r="DC84" i="105"/>
  <c r="DC83" i="105"/>
  <c r="DC82" i="105"/>
  <c r="DC81" i="105"/>
  <c r="DC77" i="105"/>
  <c r="DC76" i="105"/>
  <c r="DC75" i="105"/>
  <c r="DC74" i="105"/>
  <c r="DC73" i="105"/>
  <c r="DC72" i="105"/>
  <c r="DC71" i="105"/>
  <c r="DC70" i="105"/>
  <c r="DC69" i="105"/>
  <c r="DC68" i="105"/>
  <c r="DC67" i="105"/>
  <c r="DC66" i="105"/>
  <c r="DC65" i="105"/>
  <c r="DC64" i="105"/>
  <c r="DC63" i="105"/>
  <c r="DC62" i="105"/>
  <c r="DC61" i="105"/>
  <c r="DC60" i="105"/>
  <c r="DC59" i="105"/>
  <c r="DC58" i="105"/>
  <c r="DC57" i="105"/>
  <c r="DC56" i="105"/>
  <c r="DC55" i="105"/>
  <c r="DC54" i="105"/>
  <c r="DC53" i="105"/>
  <c r="DC51" i="105"/>
  <c r="DC50" i="105"/>
  <c r="DC49" i="105"/>
  <c r="DC48" i="105"/>
  <c r="DC47" i="105"/>
  <c r="DC46" i="105"/>
  <c r="DC45" i="105"/>
  <c r="DC44" i="105"/>
  <c r="DC42" i="105"/>
  <c r="DC41" i="105"/>
  <c r="DC39" i="105"/>
  <c r="DC38" i="105"/>
  <c r="DC37" i="105"/>
  <c r="DC36" i="105"/>
  <c r="DC35" i="105"/>
  <c r="DC34" i="105"/>
  <c r="DC33" i="105"/>
  <c r="DC32" i="105"/>
  <c r="DC31" i="105"/>
  <c r="DC30" i="105"/>
  <c r="DC29" i="105"/>
  <c r="DC28" i="105"/>
  <c r="DC27" i="105"/>
  <c r="DC26" i="105"/>
  <c r="DC25" i="105"/>
  <c r="DA21" i="105"/>
  <c r="CU1" i="105"/>
  <c r="CZ122" i="105"/>
  <c r="CZ121" i="105"/>
  <c r="CZ120" i="105"/>
  <c r="CZ119" i="105"/>
  <c r="CZ118" i="105"/>
  <c r="CZ117" i="105"/>
  <c r="CZ116" i="105"/>
  <c r="CZ115" i="105"/>
  <c r="CZ114" i="105"/>
  <c r="CZ113" i="105"/>
  <c r="CZ112" i="105"/>
  <c r="CZ111" i="105"/>
  <c r="CZ110" i="105"/>
  <c r="CZ109" i="105"/>
  <c r="CZ108" i="105"/>
  <c r="CZ107" i="105"/>
  <c r="CZ106" i="105"/>
  <c r="CZ105" i="105"/>
  <c r="CZ104" i="105"/>
  <c r="CZ103" i="105"/>
  <c r="CZ99" i="105"/>
  <c r="CZ98" i="105"/>
  <c r="CZ97" i="105"/>
  <c r="CZ96" i="105"/>
  <c r="CZ95" i="105"/>
  <c r="CZ94" i="105"/>
  <c r="CZ93" i="105"/>
  <c r="CZ92" i="105"/>
  <c r="CZ91" i="105"/>
  <c r="CZ90" i="105"/>
  <c r="CZ89" i="105"/>
  <c r="CZ88" i="105"/>
  <c r="CZ87" i="105"/>
  <c r="CZ86" i="105"/>
  <c r="CZ85" i="105"/>
  <c r="CZ84" i="105"/>
  <c r="CZ83" i="105"/>
  <c r="CZ82" i="105"/>
  <c r="CZ81" i="105"/>
  <c r="CZ100" i="105" s="1"/>
  <c r="CZ128" i="105" s="1"/>
  <c r="CZ77" i="105"/>
  <c r="CZ76" i="105"/>
  <c r="CZ75" i="105"/>
  <c r="CZ74" i="105"/>
  <c r="CZ73" i="105"/>
  <c r="CZ72" i="105"/>
  <c r="CZ71" i="105"/>
  <c r="CZ70" i="105"/>
  <c r="CZ69" i="105"/>
  <c r="CZ68" i="105"/>
  <c r="CZ67" i="105"/>
  <c r="CZ66" i="105"/>
  <c r="CZ65" i="105"/>
  <c r="CZ64" i="105"/>
  <c r="CZ63" i="105"/>
  <c r="CZ62" i="105"/>
  <c r="CZ61" i="105"/>
  <c r="CZ60" i="105"/>
  <c r="CZ59" i="105"/>
  <c r="CZ58" i="105"/>
  <c r="CZ57" i="105"/>
  <c r="CZ56" i="105"/>
  <c r="CZ55" i="105"/>
  <c r="CZ54" i="105"/>
  <c r="CZ53" i="105"/>
  <c r="CZ51" i="105"/>
  <c r="CZ50" i="105"/>
  <c r="CZ49" i="105"/>
  <c r="CZ48" i="105"/>
  <c r="CZ47" i="105"/>
  <c r="CZ46" i="105"/>
  <c r="CZ45" i="105"/>
  <c r="CZ44" i="105"/>
  <c r="CZ42" i="105"/>
  <c r="CZ41" i="105"/>
  <c r="CZ39" i="105"/>
  <c r="CZ38" i="105"/>
  <c r="CZ37" i="105"/>
  <c r="CZ36" i="105"/>
  <c r="CZ35" i="105"/>
  <c r="CZ34" i="105"/>
  <c r="CZ33" i="105"/>
  <c r="CZ32" i="105"/>
  <c r="CZ31" i="105"/>
  <c r="CZ30" i="105"/>
  <c r="CZ29" i="105"/>
  <c r="CZ27" i="105"/>
  <c r="CZ26" i="105"/>
  <c r="CZ25" i="105"/>
  <c r="CX21" i="105"/>
  <c r="CR1" i="105"/>
  <c r="CW122" i="105"/>
  <c r="CW121" i="105"/>
  <c r="CW120" i="105"/>
  <c r="CW119" i="105"/>
  <c r="CW118" i="105"/>
  <c r="CW117" i="105"/>
  <c r="CW116" i="105"/>
  <c r="CW115" i="105"/>
  <c r="CW114" i="105"/>
  <c r="CW113" i="105"/>
  <c r="CW112" i="105"/>
  <c r="CW111" i="105"/>
  <c r="CW110" i="105"/>
  <c r="CW109" i="105"/>
  <c r="CW108" i="105"/>
  <c r="CW107" i="105"/>
  <c r="CW106" i="105"/>
  <c r="CW105" i="105"/>
  <c r="CW104" i="105"/>
  <c r="CW103" i="105"/>
  <c r="CW123" i="105" s="1"/>
  <c r="CW129" i="105" s="1"/>
  <c r="CW99" i="105"/>
  <c r="CW98" i="105"/>
  <c r="CW97" i="105"/>
  <c r="CW96" i="105"/>
  <c r="CW95" i="105"/>
  <c r="CW94" i="105"/>
  <c r="CW93" i="105"/>
  <c r="CW92" i="105"/>
  <c r="CW91" i="105"/>
  <c r="CW90" i="105"/>
  <c r="CW89" i="105"/>
  <c r="CW88" i="105"/>
  <c r="CW87" i="105"/>
  <c r="CW86" i="105"/>
  <c r="CW85" i="105"/>
  <c r="CW84" i="105"/>
  <c r="CW83" i="105"/>
  <c r="CW82" i="105"/>
  <c r="CW81" i="105"/>
  <c r="CW100" i="105" s="1"/>
  <c r="CW128" i="105" s="1"/>
  <c r="CW77" i="105"/>
  <c r="CW76" i="105"/>
  <c r="CW75" i="105"/>
  <c r="CW74" i="105"/>
  <c r="CW73" i="105"/>
  <c r="CW72" i="105"/>
  <c r="CW71" i="105"/>
  <c r="CW70" i="105"/>
  <c r="CW69" i="105"/>
  <c r="CW68" i="105"/>
  <c r="CW67" i="105"/>
  <c r="CW66" i="105"/>
  <c r="CW65" i="105"/>
  <c r="CW64" i="105"/>
  <c r="CW63" i="105"/>
  <c r="CW62" i="105"/>
  <c r="CW61" i="105"/>
  <c r="CW60" i="105"/>
  <c r="CW59" i="105"/>
  <c r="CW58" i="105"/>
  <c r="CW57" i="105"/>
  <c r="CW56" i="105"/>
  <c r="CW55" i="105"/>
  <c r="CW54" i="105"/>
  <c r="CW53" i="105"/>
  <c r="CW51" i="105"/>
  <c r="CW50" i="105"/>
  <c r="CW49" i="105"/>
  <c r="CW48" i="105"/>
  <c r="CW47" i="105"/>
  <c r="CW46" i="105"/>
  <c r="CW45" i="105"/>
  <c r="CW44" i="105"/>
  <c r="CW42" i="105"/>
  <c r="CW41" i="105"/>
  <c r="CW39" i="105"/>
  <c r="CW38" i="105"/>
  <c r="CW37" i="105"/>
  <c r="CW36" i="105"/>
  <c r="CW35" i="105"/>
  <c r="CW34" i="105"/>
  <c r="CW33" i="105"/>
  <c r="CW32" i="105"/>
  <c r="CW31" i="105"/>
  <c r="CW30" i="105"/>
  <c r="CW29" i="105"/>
  <c r="CW27" i="105"/>
  <c r="CW26" i="105"/>
  <c r="CW25" i="105"/>
  <c r="CU21" i="105"/>
  <c r="CO1" i="105"/>
  <c r="CT122" i="105"/>
  <c r="CT121" i="105"/>
  <c r="CT120" i="105"/>
  <c r="CT119" i="105"/>
  <c r="CT118" i="105"/>
  <c r="CT117" i="105"/>
  <c r="CT116" i="105"/>
  <c r="CT115" i="105"/>
  <c r="CT114" i="105"/>
  <c r="CT113" i="105"/>
  <c r="CT112" i="105"/>
  <c r="CT111" i="105"/>
  <c r="CT110" i="105"/>
  <c r="CT109" i="105"/>
  <c r="CT108" i="105"/>
  <c r="CT107" i="105"/>
  <c r="CT106" i="105"/>
  <c r="CT105" i="105"/>
  <c r="CT104" i="105"/>
  <c r="CT103" i="105"/>
  <c r="CT99" i="105"/>
  <c r="CT98" i="105"/>
  <c r="CT97" i="105"/>
  <c r="CT96" i="105"/>
  <c r="CT95" i="105"/>
  <c r="CT94" i="105"/>
  <c r="CT93" i="105"/>
  <c r="CT92" i="105"/>
  <c r="CT91" i="105"/>
  <c r="CT90" i="105"/>
  <c r="CT89" i="105"/>
  <c r="CT88" i="105"/>
  <c r="CT87" i="105"/>
  <c r="CT86" i="105"/>
  <c r="CT85" i="105"/>
  <c r="CT84" i="105"/>
  <c r="CT83" i="105"/>
  <c r="CT82" i="105"/>
  <c r="CT81" i="105"/>
  <c r="CT77" i="105"/>
  <c r="CT76" i="105"/>
  <c r="CT75" i="105"/>
  <c r="CT74" i="105"/>
  <c r="CT73" i="105"/>
  <c r="CT72" i="105"/>
  <c r="CT71" i="105"/>
  <c r="CT70" i="105"/>
  <c r="CT69" i="105"/>
  <c r="CT68" i="105"/>
  <c r="CT67" i="105"/>
  <c r="CT66" i="105"/>
  <c r="CT65" i="105"/>
  <c r="CT64" i="105"/>
  <c r="CT63" i="105"/>
  <c r="CT62" i="105"/>
  <c r="CT61" i="105"/>
  <c r="CT60" i="105"/>
  <c r="CT59" i="105"/>
  <c r="CT58" i="105"/>
  <c r="CT57" i="105"/>
  <c r="CT56" i="105"/>
  <c r="CT55" i="105"/>
  <c r="CT54" i="105"/>
  <c r="CT53" i="105"/>
  <c r="CT51" i="105"/>
  <c r="CT50" i="105"/>
  <c r="CT49" i="105"/>
  <c r="CT48" i="105"/>
  <c r="CT47" i="105"/>
  <c r="CT46" i="105"/>
  <c r="CT45" i="105"/>
  <c r="CT44" i="105"/>
  <c r="CT42" i="105"/>
  <c r="CT41" i="105"/>
  <c r="CT39" i="105"/>
  <c r="CT38" i="105"/>
  <c r="CT37" i="105"/>
  <c r="CT36" i="105"/>
  <c r="CT35" i="105"/>
  <c r="CT34" i="105"/>
  <c r="CT33" i="105"/>
  <c r="CT32" i="105"/>
  <c r="CT31" i="105"/>
  <c r="CT30" i="105"/>
  <c r="CT29" i="105"/>
  <c r="CT27" i="105"/>
  <c r="CT26" i="105"/>
  <c r="CT25" i="105"/>
  <c r="CR21" i="105"/>
  <c r="CL1" i="105"/>
  <c r="CQ122" i="105"/>
  <c r="CQ121" i="105"/>
  <c r="CQ120" i="105"/>
  <c r="CQ119" i="105"/>
  <c r="CQ118" i="105"/>
  <c r="CQ117" i="105"/>
  <c r="CQ116" i="105"/>
  <c r="CQ115" i="105"/>
  <c r="CQ114" i="105"/>
  <c r="CQ113" i="105"/>
  <c r="CQ112" i="105"/>
  <c r="CQ110" i="105"/>
  <c r="CQ107" i="105"/>
  <c r="CQ105" i="105"/>
  <c r="CQ104" i="105"/>
  <c r="CQ103" i="105"/>
  <c r="CQ99" i="105"/>
  <c r="CQ98" i="105"/>
  <c r="CQ97" i="105"/>
  <c r="CQ96" i="105"/>
  <c r="CQ95" i="105"/>
  <c r="CQ94" i="105"/>
  <c r="CQ93" i="105"/>
  <c r="CQ92" i="105"/>
  <c r="CQ91" i="105"/>
  <c r="CQ90" i="105"/>
  <c r="CQ89" i="105"/>
  <c r="CQ88" i="105"/>
  <c r="CQ87" i="105"/>
  <c r="CQ86" i="105"/>
  <c r="CQ85" i="105"/>
  <c r="CQ84" i="105"/>
  <c r="CQ83" i="105"/>
  <c r="CQ82" i="105"/>
  <c r="CQ81" i="105"/>
  <c r="CQ100" i="105" s="1"/>
  <c r="CQ128" i="105" s="1"/>
  <c r="CQ77" i="105"/>
  <c r="CQ76" i="105"/>
  <c r="CQ75" i="105"/>
  <c r="CQ74" i="105"/>
  <c r="CQ73" i="105"/>
  <c r="CQ72" i="105"/>
  <c r="CQ71" i="105"/>
  <c r="CQ70" i="105"/>
  <c r="CQ69" i="105"/>
  <c r="CQ68" i="105"/>
  <c r="CQ67" i="105"/>
  <c r="CQ66" i="105"/>
  <c r="CQ65" i="105"/>
  <c r="CQ64" i="105"/>
  <c r="CQ63" i="105"/>
  <c r="CQ62" i="105"/>
  <c r="CQ61" i="105"/>
  <c r="CQ60" i="105"/>
  <c r="CQ59" i="105"/>
  <c r="CQ58" i="105"/>
  <c r="CQ57" i="105"/>
  <c r="CQ56" i="105"/>
  <c r="CQ55" i="105"/>
  <c r="CQ54" i="105"/>
  <c r="CQ53" i="105"/>
  <c r="CQ51" i="105"/>
  <c r="CQ50" i="105"/>
  <c r="CQ49" i="105"/>
  <c r="CQ48" i="105"/>
  <c r="CQ47" i="105"/>
  <c r="CQ46" i="105"/>
  <c r="CQ45" i="105"/>
  <c r="CQ44" i="105"/>
  <c r="CQ42" i="105"/>
  <c r="CQ41" i="105"/>
  <c r="CQ39" i="105"/>
  <c r="CQ38" i="105"/>
  <c r="CQ37" i="105"/>
  <c r="CQ36" i="105"/>
  <c r="CQ35" i="105"/>
  <c r="CQ34" i="105"/>
  <c r="CQ33" i="105"/>
  <c r="CQ32" i="105"/>
  <c r="CQ31" i="105"/>
  <c r="CQ30" i="105"/>
  <c r="CQ29" i="105"/>
  <c r="CQ27" i="105"/>
  <c r="CQ26" i="105"/>
  <c r="CQ25" i="105"/>
  <c r="CI1" i="105"/>
  <c r="CN122" i="105"/>
  <c r="CN121" i="105"/>
  <c r="CN120" i="105"/>
  <c r="CN119" i="105"/>
  <c r="CN118" i="105"/>
  <c r="CN117" i="105"/>
  <c r="CN116" i="105"/>
  <c r="CN115" i="105"/>
  <c r="CN114" i="105"/>
  <c r="CN113" i="105"/>
  <c r="CN112" i="105"/>
  <c r="CN108" i="105"/>
  <c r="CN107" i="105"/>
  <c r="CN103" i="105"/>
  <c r="CN99" i="105"/>
  <c r="CN98" i="105"/>
  <c r="CN97" i="105"/>
  <c r="CN96" i="105"/>
  <c r="CN95" i="105"/>
  <c r="CN94" i="105"/>
  <c r="CN93" i="105"/>
  <c r="CN92" i="105"/>
  <c r="CN91" i="105"/>
  <c r="CN90" i="105"/>
  <c r="CN89" i="105"/>
  <c r="CN88" i="105"/>
  <c r="CN87" i="105"/>
  <c r="CN86" i="105"/>
  <c r="CN85" i="105"/>
  <c r="CN84" i="105"/>
  <c r="CN83" i="105"/>
  <c r="CN82" i="105"/>
  <c r="CN81" i="105"/>
  <c r="CN77" i="105"/>
  <c r="CN76" i="105"/>
  <c r="CN75" i="105"/>
  <c r="CN74" i="105"/>
  <c r="CN73" i="105"/>
  <c r="CN72" i="105"/>
  <c r="CN71" i="105"/>
  <c r="CN70" i="105"/>
  <c r="CN69" i="105"/>
  <c r="CN68" i="105"/>
  <c r="CN67" i="105"/>
  <c r="CN66" i="105"/>
  <c r="CN65" i="105"/>
  <c r="CN64" i="105"/>
  <c r="CN63" i="105"/>
  <c r="CN62" i="105"/>
  <c r="CN61" i="105"/>
  <c r="CN60" i="105"/>
  <c r="CN59" i="105"/>
  <c r="CN58" i="105"/>
  <c r="CN57" i="105"/>
  <c r="CN56" i="105"/>
  <c r="CN55" i="105"/>
  <c r="CN54" i="105"/>
  <c r="CN53" i="105"/>
  <c r="CN51" i="105"/>
  <c r="CN50" i="105"/>
  <c r="CN49" i="105"/>
  <c r="CN48" i="105"/>
  <c r="CN47" i="105"/>
  <c r="CN46" i="105"/>
  <c r="CN45" i="105"/>
  <c r="CN44" i="105"/>
  <c r="CN42" i="105"/>
  <c r="CN41" i="105"/>
  <c r="CN39" i="105"/>
  <c r="CN38" i="105"/>
  <c r="CN37" i="105"/>
  <c r="CN36" i="105"/>
  <c r="CN35" i="105"/>
  <c r="CN34" i="105"/>
  <c r="CN33" i="105"/>
  <c r="CN31" i="105"/>
  <c r="CN30" i="105"/>
  <c r="CN29" i="105"/>
  <c r="CN28" i="105"/>
  <c r="CN27" i="105"/>
  <c r="CN26" i="105"/>
  <c r="CN25" i="105"/>
  <c r="CF1" i="105"/>
  <c r="CK122" i="105"/>
  <c r="CK121" i="105"/>
  <c r="CK120" i="105"/>
  <c r="CK119" i="105"/>
  <c r="CK118" i="105"/>
  <c r="CK117" i="105"/>
  <c r="CK116" i="105"/>
  <c r="CK115" i="105"/>
  <c r="CK114" i="105"/>
  <c r="CK113" i="105"/>
  <c r="CK112" i="105"/>
  <c r="CK111" i="105"/>
  <c r="CK109" i="105"/>
  <c r="CK105" i="105"/>
  <c r="CK104" i="105"/>
  <c r="CK103" i="105"/>
  <c r="CK99" i="105"/>
  <c r="CK98" i="105"/>
  <c r="CK97" i="105"/>
  <c r="CK96" i="105"/>
  <c r="CK95" i="105"/>
  <c r="CK94" i="105"/>
  <c r="CK93" i="105"/>
  <c r="CK92" i="105"/>
  <c r="CK91" i="105"/>
  <c r="CK90" i="105"/>
  <c r="CK89" i="105"/>
  <c r="CK88" i="105"/>
  <c r="CK87" i="105"/>
  <c r="CK86" i="105"/>
  <c r="CK85" i="105"/>
  <c r="CK84" i="105"/>
  <c r="CK83" i="105"/>
  <c r="CK82" i="105"/>
  <c r="CK81" i="105"/>
  <c r="CK100" i="105" s="1"/>
  <c r="CK128" i="105" s="1"/>
  <c r="CK77" i="105"/>
  <c r="CK76" i="105"/>
  <c r="CK75" i="105"/>
  <c r="CK74" i="105"/>
  <c r="CK73" i="105"/>
  <c r="CK72" i="105"/>
  <c r="CK71" i="105"/>
  <c r="CK70" i="105"/>
  <c r="CK69" i="105"/>
  <c r="CK68" i="105"/>
  <c r="CK67" i="105"/>
  <c r="CK66" i="105"/>
  <c r="CK65" i="105"/>
  <c r="CK64" i="105"/>
  <c r="CK63" i="105"/>
  <c r="CK62" i="105"/>
  <c r="CK61" i="105"/>
  <c r="CK60" i="105"/>
  <c r="CK59" i="105"/>
  <c r="CK58" i="105"/>
  <c r="CK57" i="105"/>
  <c r="CK56" i="105"/>
  <c r="CK55" i="105"/>
  <c r="CK54" i="105"/>
  <c r="CK53" i="105"/>
  <c r="CK51" i="105"/>
  <c r="CK50" i="105"/>
  <c r="CK49" i="105"/>
  <c r="CK48" i="105"/>
  <c r="CK47" i="105"/>
  <c r="CK46" i="105"/>
  <c r="CK45" i="105"/>
  <c r="CK44" i="105"/>
  <c r="CK42" i="105"/>
  <c r="CK41" i="105"/>
  <c r="CK39" i="105"/>
  <c r="CK38" i="105"/>
  <c r="CK37" i="105"/>
  <c r="CK36" i="105"/>
  <c r="CK35" i="105"/>
  <c r="CK34" i="105"/>
  <c r="CK33" i="105"/>
  <c r="CK32" i="105"/>
  <c r="CK31" i="105"/>
  <c r="CK30" i="105"/>
  <c r="CK29" i="105"/>
  <c r="CK27" i="105"/>
  <c r="CK26" i="105"/>
  <c r="CK25" i="105"/>
  <c r="CC1" i="105"/>
  <c r="BZ1" i="105"/>
  <c r="BW1" i="105"/>
  <c r="BT1" i="105"/>
  <c r="BQ1" i="105"/>
  <c r="BN1" i="105"/>
  <c r="CH122" i="105"/>
  <c r="CH121" i="105"/>
  <c r="CH120" i="105"/>
  <c r="CH119" i="105"/>
  <c r="CH118" i="105"/>
  <c r="CH115" i="105"/>
  <c r="CH114" i="105"/>
  <c r="CH113" i="105"/>
  <c r="CH112" i="105"/>
  <c r="CH103" i="105"/>
  <c r="CH99" i="105"/>
  <c r="CH98" i="105"/>
  <c r="CH97" i="105"/>
  <c r="CH96" i="105"/>
  <c r="CH95" i="105"/>
  <c r="CH94" i="105"/>
  <c r="CH93" i="105"/>
  <c r="CH92" i="105"/>
  <c r="CH91" i="105"/>
  <c r="CH90" i="105"/>
  <c r="CH89" i="105"/>
  <c r="CH88" i="105"/>
  <c r="CH87" i="105"/>
  <c r="CH86" i="105"/>
  <c r="CH85" i="105"/>
  <c r="CH84" i="105"/>
  <c r="CH83" i="105"/>
  <c r="CH82" i="105"/>
  <c r="CH81" i="105"/>
  <c r="CH77" i="105"/>
  <c r="CH76" i="105"/>
  <c r="CH75" i="105"/>
  <c r="CH74" i="105"/>
  <c r="CH73" i="105"/>
  <c r="CH72" i="105"/>
  <c r="CH71" i="105"/>
  <c r="CH70" i="105"/>
  <c r="CH69" i="105"/>
  <c r="CH68" i="105"/>
  <c r="CH67" i="105"/>
  <c r="CH66" i="105"/>
  <c r="CH65" i="105"/>
  <c r="CH64" i="105"/>
  <c r="CH63" i="105"/>
  <c r="CH62" i="105"/>
  <c r="CH61" i="105"/>
  <c r="CH60" i="105"/>
  <c r="CH59" i="105"/>
  <c r="CH58" i="105"/>
  <c r="CH57" i="105"/>
  <c r="CH56" i="105"/>
  <c r="CH55" i="105"/>
  <c r="CH54" i="105"/>
  <c r="CH53" i="105"/>
  <c r="CH51" i="105"/>
  <c r="CH50" i="105"/>
  <c r="CH49" i="105"/>
  <c r="CH48" i="105"/>
  <c r="CH47" i="105"/>
  <c r="CH46" i="105"/>
  <c r="CH45" i="105"/>
  <c r="CH44" i="105"/>
  <c r="CH42" i="105"/>
  <c r="CH41" i="105"/>
  <c r="CH39" i="105"/>
  <c r="CH38" i="105"/>
  <c r="CH37" i="105"/>
  <c r="CH36" i="105"/>
  <c r="CH35" i="105"/>
  <c r="CH34" i="105"/>
  <c r="CH33" i="105"/>
  <c r="CH32" i="105"/>
  <c r="CH31" i="105"/>
  <c r="CH30" i="105"/>
  <c r="CH29" i="105"/>
  <c r="CH27" i="105"/>
  <c r="CH26" i="105"/>
  <c r="CH25" i="105"/>
  <c r="CE122" i="105"/>
  <c r="CE121" i="105"/>
  <c r="CE120" i="105"/>
  <c r="CE119" i="105"/>
  <c r="CE118" i="105"/>
  <c r="CE115" i="105"/>
  <c r="CE114" i="105"/>
  <c r="CE113" i="105"/>
  <c r="CE112" i="105"/>
  <c r="CE103" i="105"/>
  <c r="CE99" i="105"/>
  <c r="CE98" i="105"/>
  <c r="CE97" i="105"/>
  <c r="CE96" i="105"/>
  <c r="CE95" i="105"/>
  <c r="CE94" i="105"/>
  <c r="CE93" i="105"/>
  <c r="CE92" i="105"/>
  <c r="CE91" i="105"/>
  <c r="CE90" i="105"/>
  <c r="CE89" i="105"/>
  <c r="CE88" i="105"/>
  <c r="CE87" i="105"/>
  <c r="CE86" i="105"/>
  <c r="CE85" i="105"/>
  <c r="CE84" i="105"/>
  <c r="CE83" i="105"/>
  <c r="CE82" i="105"/>
  <c r="CE81" i="105"/>
  <c r="CE100" i="105" s="1"/>
  <c r="CE128" i="105" s="1"/>
  <c r="CE77" i="105"/>
  <c r="CE76" i="105"/>
  <c r="CE75" i="105"/>
  <c r="CE74" i="105"/>
  <c r="CE73" i="105"/>
  <c r="CE72" i="105"/>
  <c r="CE71" i="105"/>
  <c r="CE70" i="105"/>
  <c r="CE69" i="105"/>
  <c r="CE68" i="105"/>
  <c r="CE67" i="105"/>
  <c r="CE66" i="105"/>
  <c r="CE65" i="105"/>
  <c r="CE64" i="105"/>
  <c r="CE63" i="105"/>
  <c r="CE62" i="105"/>
  <c r="CE61" i="105"/>
  <c r="CE60" i="105"/>
  <c r="CE59" i="105"/>
  <c r="CE58" i="105"/>
  <c r="CE57" i="105"/>
  <c r="CE56" i="105"/>
  <c r="CE55" i="105"/>
  <c r="CE54" i="105"/>
  <c r="CE53" i="105"/>
  <c r="CE51" i="105"/>
  <c r="CE50" i="105"/>
  <c r="CE49" i="105"/>
  <c r="CE48" i="105"/>
  <c r="CE47" i="105"/>
  <c r="CE46" i="105"/>
  <c r="CE45" i="105"/>
  <c r="CE44" i="105"/>
  <c r="CE42" i="105"/>
  <c r="CE41" i="105"/>
  <c r="CE39" i="105"/>
  <c r="CE38" i="105"/>
  <c r="CE37" i="105"/>
  <c r="CE36" i="105"/>
  <c r="CE35" i="105"/>
  <c r="CE34" i="105"/>
  <c r="CE33" i="105"/>
  <c r="CE32" i="105"/>
  <c r="CE31" i="105"/>
  <c r="CE30" i="105"/>
  <c r="CE29" i="105"/>
  <c r="CE27" i="105"/>
  <c r="CE26" i="105"/>
  <c r="CE25" i="105"/>
  <c r="CB122" i="105"/>
  <c r="CB121" i="105"/>
  <c r="CB120" i="105"/>
  <c r="CB119" i="105"/>
  <c r="CB118" i="105"/>
  <c r="CB115" i="105"/>
  <c r="CB114" i="105"/>
  <c r="CB113" i="105"/>
  <c r="CB112" i="105"/>
  <c r="CB108" i="105"/>
  <c r="CB107" i="105"/>
  <c r="CB103" i="105"/>
  <c r="CB99" i="105"/>
  <c r="CB98" i="105"/>
  <c r="CB97" i="105"/>
  <c r="CB96" i="105"/>
  <c r="CB95" i="105"/>
  <c r="CB94" i="105"/>
  <c r="CB93" i="105"/>
  <c r="CB92" i="105"/>
  <c r="CB91" i="105"/>
  <c r="CB90" i="105"/>
  <c r="CB89" i="105"/>
  <c r="CB88" i="105"/>
  <c r="CB87" i="105"/>
  <c r="CB86" i="105"/>
  <c r="CB85" i="105"/>
  <c r="CB84" i="105"/>
  <c r="CB83" i="105"/>
  <c r="CB82" i="105"/>
  <c r="CB81" i="105"/>
  <c r="CB77" i="105"/>
  <c r="CB76" i="105"/>
  <c r="CB75" i="105"/>
  <c r="CB74" i="105"/>
  <c r="CB73" i="105"/>
  <c r="CB72" i="105"/>
  <c r="CB71" i="105"/>
  <c r="CB70" i="105"/>
  <c r="CB69" i="105"/>
  <c r="CB68" i="105"/>
  <c r="CB67" i="105"/>
  <c r="CB66" i="105"/>
  <c r="CB65" i="105"/>
  <c r="CB64" i="105"/>
  <c r="CB63" i="105"/>
  <c r="CB62" i="105"/>
  <c r="CB61" i="105"/>
  <c r="CB60" i="105"/>
  <c r="CB59" i="105"/>
  <c r="CB58" i="105"/>
  <c r="CB57" i="105"/>
  <c r="CB56" i="105"/>
  <c r="CB55" i="105"/>
  <c r="CB54" i="105"/>
  <c r="CB53" i="105"/>
  <c r="CB51" i="105"/>
  <c r="CB50" i="105"/>
  <c r="CB49" i="105"/>
  <c r="CB48" i="105"/>
  <c r="CB47" i="105"/>
  <c r="CB46" i="105"/>
  <c r="CB45" i="105"/>
  <c r="CB44" i="105"/>
  <c r="CB42" i="105"/>
  <c r="CB41" i="105"/>
  <c r="CB39" i="105"/>
  <c r="CB38" i="105"/>
  <c r="CB37" i="105"/>
  <c r="CB36" i="105"/>
  <c r="CB35" i="105"/>
  <c r="CB34" i="105"/>
  <c r="CB33" i="105"/>
  <c r="CB32" i="105"/>
  <c r="CB31" i="105"/>
  <c r="CB30" i="105"/>
  <c r="CB29" i="105"/>
  <c r="CB27" i="105"/>
  <c r="CB26" i="105"/>
  <c r="CB25" i="105"/>
  <c r="BY122" i="105"/>
  <c r="BY121" i="105"/>
  <c r="BY120" i="105"/>
  <c r="BY119" i="105"/>
  <c r="BY118" i="105"/>
  <c r="BY115" i="105"/>
  <c r="BY114" i="105"/>
  <c r="BY113" i="105"/>
  <c r="BY112" i="105"/>
  <c r="BY107" i="105"/>
  <c r="BY103" i="105"/>
  <c r="BY99" i="105"/>
  <c r="BY98" i="105"/>
  <c r="BY97" i="105"/>
  <c r="BY96" i="105"/>
  <c r="BY95" i="105"/>
  <c r="BY94" i="105"/>
  <c r="BY93" i="105"/>
  <c r="BY92" i="105"/>
  <c r="BY91" i="105"/>
  <c r="BY90" i="105"/>
  <c r="BY89" i="105"/>
  <c r="BY88" i="105"/>
  <c r="BY87" i="105"/>
  <c r="BY86" i="105"/>
  <c r="BY85" i="105"/>
  <c r="BY84" i="105"/>
  <c r="BY83" i="105"/>
  <c r="BY82" i="105"/>
  <c r="BY81" i="105"/>
  <c r="BY77" i="105"/>
  <c r="BY76" i="105"/>
  <c r="BY75" i="105"/>
  <c r="BY74" i="105"/>
  <c r="BY73" i="105"/>
  <c r="BY72" i="105"/>
  <c r="BY71" i="105"/>
  <c r="BY70" i="105"/>
  <c r="BY69" i="105"/>
  <c r="BY68" i="105"/>
  <c r="BY67" i="105"/>
  <c r="BY66" i="105"/>
  <c r="BY65" i="105"/>
  <c r="BY64" i="105"/>
  <c r="BY63" i="105"/>
  <c r="BY62" i="105"/>
  <c r="BY61" i="105"/>
  <c r="BY60" i="105"/>
  <c r="BY59" i="105"/>
  <c r="BY58" i="105"/>
  <c r="BY57" i="105"/>
  <c r="BY56" i="105"/>
  <c r="BY55" i="105"/>
  <c r="BY54" i="105"/>
  <c r="BY53" i="105"/>
  <c r="BY51" i="105"/>
  <c r="BY50" i="105"/>
  <c r="BY49" i="105"/>
  <c r="BY48" i="105"/>
  <c r="BY47" i="105"/>
  <c r="BY46" i="105"/>
  <c r="BY45" i="105"/>
  <c r="BY44" i="105"/>
  <c r="BY42" i="105"/>
  <c r="BY41" i="105"/>
  <c r="BY39" i="105"/>
  <c r="BY38" i="105"/>
  <c r="BY37" i="105"/>
  <c r="BY36" i="105"/>
  <c r="BY35" i="105"/>
  <c r="BY34" i="105"/>
  <c r="BY33" i="105"/>
  <c r="BY32" i="105"/>
  <c r="BY31" i="105"/>
  <c r="BY30" i="105"/>
  <c r="BY29" i="105"/>
  <c r="BY27" i="105"/>
  <c r="BY26" i="105"/>
  <c r="BY25" i="105"/>
  <c r="BV122" i="105"/>
  <c r="BV121" i="105"/>
  <c r="BV120" i="105"/>
  <c r="BV119" i="105"/>
  <c r="BV118" i="105"/>
  <c r="BV115" i="105"/>
  <c r="BV114" i="105"/>
  <c r="BV113" i="105"/>
  <c r="BV112" i="105"/>
  <c r="BV111" i="105"/>
  <c r="BV108" i="105"/>
  <c r="BV103" i="105"/>
  <c r="BV99" i="105"/>
  <c r="BV98" i="105"/>
  <c r="BV97" i="105"/>
  <c r="BV96" i="105"/>
  <c r="BV95" i="105"/>
  <c r="BV94" i="105"/>
  <c r="BV93" i="105"/>
  <c r="BV92" i="105"/>
  <c r="BV91" i="105"/>
  <c r="BV90" i="105"/>
  <c r="BV89" i="105"/>
  <c r="BV88" i="105"/>
  <c r="BV87" i="105"/>
  <c r="BV86" i="105"/>
  <c r="BV85" i="105"/>
  <c r="BV84" i="105"/>
  <c r="BV83" i="105"/>
  <c r="BV82" i="105"/>
  <c r="BV81" i="105"/>
  <c r="BV77" i="105"/>
  <c r="BV76" i="105"/>
  <c r="BV75" i="105"/>
  <c r="BV74" i="105"/>
  <c r="BV73" i="105"/>
  <c r="BV72" i="105"/>
  <c r="BV71" i="105"/>
  <c r="BV70" i="105"/>
  <c r="BV69" i="105"/>
  <c r="BV68" i="105"/>
  <c r="BV67" i="105"/>
  <c r="BV66" i="105"/>
  <c r="BV65" i="105"/>
  <c r="BV64" i="105"/>
  <c r="BV63" i="105"/>
  <c r="BV62" i="105"/>
  <c r="BV61" i="105"/>
  <c r="BV60" i="105"/>
  <c r="BV59" i="105"/>
  <c r="BV58" i="105"/>
  <c r="BV57" i="105"/>
  <c r="BV56" i="105"/>
  <c r="BV55" i="105"/>
  <c r="BV54" i="105"/>
  <c r="BV53" i="105"/>
  <c r="BV51" i="105"/>
  <c r="BV50" i="105"/>
  <c r="BV49" i="105"/>
  <c r="BV48" i="105"/>
  <c r="BV47" i="105"/>
  <c r="BV46" i="105"/>
  <c r="BV45" i="105"/>
  <c r="BV44" i="105"/>
  <c r="BV42" i="105"/>
  <c r="BV41" i="105"/>
  <c r="BV39" i="105"/>
  <c r="BV38" i="105"/>
  <c r="BV37" i="105"/>
  <c r="BV36" i="105"/>
  <c r="BV35" i="105"/>
  <c r="BV34" i="105"/>
  <c r="BV33" i="105"/>
  <c r="BV32" i="105"/>
  <c r="BV31" i="105"/>
  <c r="BV30" i="105"/>
  <c r="BV29" i="105"/>
  <c r="BV27" i="105"/>
  <c r="BV26" i="105"/>
  <c r="BV25" i="105"/>
  <c r="BS122" i="105"/>
  <c r="BS121" i="105"/>
  <c r="BS120" i="105"/>
  <c r="BS119" i="105"/>
  <c r="BS118" i="105"/>
  <c r="BS115" i="105"/>
  <c r="BS114" i="105"/>
  <c r="BS113" i="105"/>
  <c r="BS112" i="105"/>
  <c r="BS103" i="105"/>
  <c r="BS99" i="105"/>
  <c r="BS98" i="105"/>
  <c r="BS97" i="105"/>
  <c r="BS96" i="105"/>
  <c r="BS95" i="105"/>
  <c r="BS94" i="105"/>
  <c r="BS93" i="105"/>
  <c r="BS92" i="105"/>
  <c r="BS91" i="105"/>
  <c r="BS90" i="105"/>
  <c r="BS89" i="105"/>
  <c r="BS88" i="105"/>
  <c r="BS87" i="105"/>
  <c r="BS86" i="105"/>
  <c r="BS85" i="105"/>
  <c r="BS84" i="105"/>
  <c r="BS83" i="105"/>
  <c r="BS82" i="105"/>
  <c r="BS81" i="105"/>
  <c r="BS100" i="105" s="1"/>
  <c r="BS128" i="105" s="1"/>
  <c r="BS77" i="105"/>
  <c r="BS76" i="105"/>
  <c r="BS75" i="105"/>
  <c r="BS74" i="105"/>
  <c r="BS73" i="105"/>
  <c r="BS72" i="105"/>
  <c r="BS71" i="105"/>
  <c r="BS70" i="105"/>
  <c r="BS69" i="105"/>
  <c r="BS68" i="105"/>
  <c r="BS67" i="105"/>
  <c r="BS66" i="105"/>
  <c r="BS65" i="105"/>
  <c r="BS64" i="105"/>
  <c r="BS63" i="105"/>
  <c r="BS62" i="105"/>
  <c r="BS61" i="105"/>
  <c r="BS60" i="105"/>
  <c r="BS59" i="105"/>
  <c r="BS58" i="105"/>
  <c r="BS57" i="105"/>
  <c r="BS56" i="105"/>
  <c r="BS55" i="105"/>
  <c r="BS54" i="105"/>
  <c r="BS53" i="105"/>
  <c r="BS51" i="105"/>
  <c r="BS50" i="105"/>
  <c r="BS49" i="105"/>
  <c r="BS48" i="105"/>
  <c r="BS47" i="105"/>
  <c r="BS46" i="105"/>
  <c r="BS45" i="105"/>
  <c r="BS44" i="105"/>
  <c r="BS42" i="105"/>
  <c r="BS41" i="105"/>
  <c r="BS39" i="105"/>
  <c r="BS38" i="105"/>
  <c r="BS37" i="105"/>
  <c r="BS36" i="105"/>
  <c r="BS35" i="105"/>
  <c r="BS34" i="105"/>
  <c r="BS33" i="105"/>
  <c r="BS31" i="105"/>
  <c r="BS30" i="105"/>
  <c r="BS29" i="105"/>
  <c r="BS27" i="105"/>
  <c r="BS26" i="105"/>
  <c r="BS25" i="105"/>
  <c r="BK1" i="105"/>
  <c r="BH1" i="105"/>
  <c r="BE1" i="105"/>
  <c r="BB1" i="105"/>
  <c r="AY1" i="105"/>
  <c r="AV1" i="105"/>
  <c r="AS1" i="105"/>
  <c r="AP1" i="105"/>
  <c r="AM1" i="105"/>
  <c r="AJ1" i="105"/>
  <c r="AG1" i="105"/>
  <c r="AD1" i="105"/>
  <c r="AA1" i="105"/>
  <c r="X1" i="105"/>
  <c r="Y3" i="105" s="1"/>
  <c r="U1" i="105"/>
  <c r="W3" i="105" s="1"/>
  <c r="R1" i="105"/>
  <c r="O1" i="105"/>
  <c r="L1" i="105"/>
  <c r="I1" i="105"/>
  <c r="K3" i="105" s="1"/>
  <c r="F1" i="105"/>
  <c r="BP122" i="105"/>
  <c r="BP121" i="105"/>
  <c r="BP120" i="105"/>
  <c r="BP119" i="105"/>
  <c r="BP118" i="105"/>
  <c r="BP115" i="105"/>
  <c r="BP114" i="105"/>
  <c r="BP113" i="105"/>
  <c r="BP112" i="105"/>
  <c r="BP108" i="105"/>
  <c r="BP103" i="105"/>
  <c r="BP99" i="105"/>
  <c r="BP98" i="105"/>
  <c r="BP97" i="105"/>
  <c r="BP96" i="105"/>
  <c r="BP95" i="105"/>
  <c r="BP94" i="105"/>
  <c r="BP93" i="105"/>
  <c r="BP92" i="105"/>
  <c r="BP91" i="105"/>
  <c r="BP90" i="105"/>
  <c r="BP89" i="105"/>
  <c r="BP88" i="105"/>
  <c r="BP87" i="105"/>
  <c r="BP86" i="105"/>
  <c r="BP85" i="105"/>
  <c r="BP84" i="105"/>
  <c r="BP83" i="105"/>
  <c r="BP82" i="105"/>
  <c r="BP81" i="105"/>
  <c r="BP100" i="105" s="1"/>
  <c r="BP128" i="105" s="1"/>
  <c r="BP77" i="105"/>
  <c r="BP76" i="105"/>
  <c r="BP75" i="105"/>
  <c r="BP74" i="105"/>
  <c r="BP73" i="105"/>
  <c r="BP72" i="105"/>
  <c r="BP71" i="105"/>
  <c r="BP70" i="105"/>
  <c r="BP69" i="105"/>
  <c r="BP68" i="105"/>
  <c r="BP67" i="105"/>
  <c r="BP66" i="105"/>
  <c r="BP65" i="105"/>
  <c r="BP64" i="105"/>
  <c r="BP63" i="105"/>
  <c r="BP62" i="105"/>
  <c r="BP61" i="105"/>
  <c r="BP60" i="105"/>
  <c r="BP59" i="105"/>
  <c r="BP58" i="105"/>
  <c r="BP57" i="105"/>
  <c r="BP56" i="105"/>
  <c r="BP55" i="105"/>
  <c r="BP54" i="105"/>
  <c r="BP53" i="105"/>
  <c r="BP51" i="105"/>
  <c r="BP50" i="105"/>
  <c r="BP49" i="105"/>
  <c r="BP48" i="105"/>
  <c r="BP47" i="105"/>
  <c r="BP46" i="105"/>
  <c r="BP45" i="105"/>
  <c r="BP44" i="105"/>
  <c r="BP42" i="105"/>
  <c r="BP41" i="105"/>
  <c r="BP39" i="105"/>
  <c r="BP38" i="105"/>
  <c r="BP37" i="105"/>
  <c r="BP36" i="105"/>
  <c r="BP35" i="105"/>
  <c r="BP34" i="105"/>
  <c r="BP33" i="105"/>
  <c r="BP31" i="105"/>
  <c r="BP30" i="105"/>
  <c r="BP29" i="105"/>
  <c r="BP27" i="105"/>
  <c r="BP26" i="105"/>
  <c r="BP25" i="105"/>
  <c r="BM122" i="105"/>
  <c r="BM121" i="105"/>
  <c r="BM120" i="105"/>
  <c r="BM119" i="105"/>
  <c r="BM118" i="105"/>
  <c r="BM115" i="105"/>
  <c r="BM114" i="105"/>
  <c r="BM113" i="105"/>
  <c r="BM112" i="105"/>
  <c r="BM103" i="105"/>
  <c r="BM99" i="105"/>
  <c r="BM98" i="105"/>
  <c r="BM97" i="105"/>
  <c r="BM96" i="105"/>
  <c r="BM95" i="105"/>
  <c r="BM94" i="105"/>
  <c r="BM93" i="105"/>
  <c r="BM92" i="105"/>
  <c r="BM91" i="105"/>
  <c r="BM90" i="105"/>
  <c r="BM89" i="105"/>
  <c r="BM88" i="105"/>
  <c r="BM87" i="105"/>
  <c r="BM86" i="105"/>
  <c r="BM85" i="105"/>
  <c r="BM84" i="105"/>
  <c r="BM83" i="105"/>
  <c r="BM82" i="105"/>
  <c r="BM81" i="105"/>
  <c r="BM77" i="105"/>
  <c r="BM76" i="105"/>
  <c r="BM75" i="105"/>
  <c r="BM74" i="105"/>
  <c r="BM73" i="105"/>
  <c r="BM72" i="105"/>
  <c r="BM71" i="105"/>
  <c r="BM70" i="105"/>
  <c r="BM69" i="105"/>
  <c r="BM68" i="105"/>
  <c r="BM67" i="105"/>
  <c r="BM66" i="105"/>
  <c r="BM65" i="105"/>
  <c r="BM64" i="105"/>
  <c r="BM63" i="105"/>
  <c r="BM62" i="105"/>
  <c r="BM61" i="105"/>
  <c r="BM60" i="105"/>
  <c r="BM59" i="105"/>
  <c r="BM58" i="105"/>
  <c r="BM57" i="105"/>
  <c r="BM56" i="105"/>
  <c r="BM55" i="105"/>
  <c r="BM54" i="105"/>
  <c r="BM53" i="105"/>
  <c r="BM51" i="105"/>
  <c r="BM50" i="105"/>
  <c r="BM49" i="105"/>
  <c r="BM48" i="105"/>
  <c r="BM47" i="105"/>
  <c r="BM46" i="105"/>
  <c r="BM45" i="105"/>
  <c r="BM44" i="105"/>
  <c r="BM42" i="105"/>
  <c r="BM41" i="105"/>
  <c r="BM39" i="105"/>
  <c r="BM38" i="105"/>
  <c r="BM37" i="105"/>
  <c r="BM36" i="105"/>
  <c r="BM35" i="105"/>
  <c r="BM34" i="105"/>
  <c r="BM33" i="105"/>
  <c r="BM32" i="105"/>
  <c r="BM31" i="105"/>
  <c r="BM30" i="105"/>
  <c r="BM29" i="105"/>
  <c r="BM27" i="105"/>
  <c r="BM26" i="105"/>
  <c r="BM25" i="105"/>
  <c r="BK21" i="105"/>
  <c r="BJ122" i="105"/>
  <c r="BJ121" i="105"/>
  <c r="BJ120" i="105"/>
  <c r="BJ119" i="105"/>
  <c r="BJ118" i="105"/>
  <c r="BJ115" i="105"/>
  <c r="BJ114" i="105"/>
  <c r="BJ113" i="105"/>
  <c r="BJ112" i="105"/>
  <c r="BJ103" i="105"/>
  <c r="BJ99" i="105"/>
  <c r="BJ98" i="105"/>
  <c r="BJ97" i="105"/>
  <c r="BJ96" i="105"/>
  <c r="BJ95" i="105"/>
  <c r="BJ94" i="105"/>
  <c r="BJ93" i="105"/>
  <c r="BJ92" i="105"/>
  <c r="BJ91" i="105"/>
  <c r="BJ90" i="105"/>
  <c r="BJ89" i="105"/>
  <c r="BJ88" i="105"/>
  <c r="BJ87" i="105"/>
  <c r="BJ86" i="105"/>
  <c r="BJ85" i="105"/>
  <c r="BJ84" i="105"/>
  <c r="BJ83" i="105"/>
  <c r="BJ82" i="105"/>
  <c r="BJ81" i="105"/>
  <c r="BJ100" i="105" s="1"/>
  <c r="BJ128" i="105" s="1"/>
  <c r="BJ77" i="105"/>
  <c r="BJ76" i="105"/>
  <c r="BJ75" i="105"/>
  <c r="BJ74" i="105"/>
  <c r="BJ73" i="105"/>
  <c r="BJ72" i="105"/>
  <c r="BJ71" i="105"/>
  <c r="BJ70" i="105"/>
  <c r="BJ69" i="105"/>
  <c r="BJ68" i="105"/>
  <c r="BJ67" i="105"/>
  <c r="BJ66" i="105"/>
  <c r="BJ65" i="105"/>
  <c r="BJ64" i="105"/>
  <c r="BJ63" i="105"/>
  <c r="BJ62" i="105"/>
  <c r="BJ61" i="105"/>
  <c r="BJ60" i="105"/>
  <c r="BJ59" i="105"/>
  <c r="BJ58" i="105"/>
  <c r="BJ57" i="105"/>
  <c r="BJ56" i="105"/>
  <c r="BJ55" i="105"/>
  <c r="BJ54" i="105"/>
  <c r="BJ53" i="105"/>
  <c r="BJ51" i="105"/>
  <c r="BJ50" i="105"/>
  <c r="BJ49" i="105"/>
  <c r="BJ48" i="105"/>
  <c r="BJ47" i="105"/>
  <c r="BJ46" i="105"/>
  <c r="BJ45" i="105"/>
  <c r="BJ44" i="105"/>
  <c r="BJ42" i="105"/>
  <c r="BJ41" i="105"/>
  <c r="BJ39" i="105"/>
  <c r="BJ38" i="105"/>
  <c r="BJ37" i="105"/>
  <c r="BJ36" i="105"/>
  <c r="BJ35" i="105"/>
  <c r="BJ34" i="105"/>
  <c r="BJ33" i="105"/>
  <c r="BJ32" i="105"/>
  <c r="BJ31" i="105"/>
  <c r="BJ30" i="105"/>
  <c r="BJ29" i="105"/>
  <c r="BJ27" i="105"/>
  <c r="BJ26" i="105"/>
  <c r="BJ25" i="105"/>
  <c r="BH21" i="105"/>
  <c r="BG122" i="105"/>
  <c r="BG121" i="105"/>
  <c r="BG120" i="105"/>
  <c r="BG119" i="105"/>
  <c r="BG118" i="105"/>
  <c r="BG115" i="105"/>
  <c r="BG114" i="105"/>
  <c r="BG113" i="105"/>
  <c r="BG112" i="105"/>
  <c r="BG111" i="105"/>
  <c r="BG110" i="105"/>
  <c r="BG108" i="105"/>
  <c r="BG107" i="105"/>
  <c r="BG106" i="105"/>
  <c r="BG103" i="105"/>
  <c r="BG99" i="105"/>
  <c r="BG98" i="105"/>
  <c r="BG97" i="105"/>
  <c r="BG96" i="105"/>
  <c r="BG95" i="105"/>
  <c r="BG94" i="105"/>
  <c r="BG93" i="105"/>
  <c r="BG92" i="105"/>
  <c r="BG91" i="105"/>
  <c r="BG90" i="105"/>
  <c r="BG89" i="105"/>
  <c r="BG88" i="105"/>
  <c r="BG87" i="105"/>
  <c r="BG86" i="105"/>
  <c r="BG85" i="105"/>
  <c r="BG84" i="105"/>
  <c r="BG83" i="105"/>
  <c r="BG82" i="105"/>
  <c r="BG81" i="105"/>
  <c r="BG77" i="105"/>
  <c r="BG76" i="105"/>
  <c r="BG75" i="105"/>
  <c r="BG74" i="105"/>
  <c r="BG73" i="105"/>
  <c r="BG72" i="105"/>
  <c r="BG71" i="105"/>
  <c r="BG70" i="105"/>
  <c r="BG69" i="105"/>
  <c r="BG68" i="105"/>
  <c r="BG67" i="105"/>
  <c r="BG66" i="105"/>
  <c r="BG65" i="105"/>
  <c r="BG64" i="105"/>
  <c r="BG63" i="105"/>
  <c r="BG62" i="105"/>
  <c r="BG61" i="105"/>
  <c r="BG60" i="105"/>
  <c r="BG59" i="105"/>
  <c r="BG58" i="105"/>
  <c r="BG57" i="105"/>
  <c r="BG56" i="105"/>
  <c r="BG55" i="105"/>
  <c r="BG54" i="105"/>
  <c r="BG53" i="105"/>
  <c r="BG51" i="105"/>
  <c r="BG50" i="105"/>
  <c r="BG49" i="105"/>
  <c r="BG48" i="105"/>
  <c r="BG47" i="105"/>
  <c r="BG46" i="105"/>
  <c r="BG45" i="105"/>
  <c r="BG44" i="105"/>
  <c r="BG42" i="105"/>
  <c r="BG41" i="105"/>
  <c r="BG39" i="105"/>
  <c r="BG38" i="105"/>
  <c r="BG37" i="105"/>
  <c r="BG36" i="105"/>
  <c r="BG35" i="105"/>
  <c r="BG34" i="105"/>
  <c r="BG33" i="105"/>
  <c r="BG32" i="105"/>
  <c r="BG31" i="105"/>
  <c r="BG30" i="105"/>
  <c r="BG29" i="105"/>
  <c r="BG27" i="105"/>
  <c r="BG26" i="105"/>
  <c r="BG25" i="105"/>
  <c r="BE21" i="105"/>
  <c r="BD122" i="105"/>
  <c r="BD121" i="105"/>
  <c r="BD120" i="105"/>
  <c r="BD119" i="105"/>
  <c r="BD118" i="105"/>
  <c r="BD115" i="105"/>
  <c r="BD114" i="105"/>
  <c r="BD113" i="105"/>
  <c r="BD112" i="105"/>
  <c r="BD111" i="105"/>
  <c r="BD110" i="105"/>
  <c r="BD108" i="105"/>
  <c r="BD107" i="105"/>
  <c r="BD106" i="105"/>
  <c r="BD103" i="105"/>
  <c r="BD99" i="105"/>
  <c r="BD98" i="105"/>
  <c r="BD97" i="105"/>
  <c r="BD96" i="105"/>
  <c r="BD95" i="105"/>
  <c r="BD94" i="105"/>
  <c r="BD93" i="105"/>
  <c r="BD92" i="105"/>
  <c r="BD91" i="105"/>
  <c r="BD90" i="105"/>
  <c r="BD89" i="105"/>
  <c r="BD88" i="105"/>
  <c r="BD87" i="105"/>
  <c r="BD86" i="105"/>
  <c r="BD85" i="105"/>
  <c r="BD84" i="105"/>
  <c r="BD83" i="105"/>
  <c r="BD82" i="105"/>
  <c r="BD81" i="105"/>
  <c r="BD100" i="105" s="1"/>
  <c r="BD128" i="105" s="1"/>
  <c r="BD77" i="105"/>
  <c r="BD76" i="105"/>
  <c r="BD75" i="105"/>
  <c r="BD74" i="105"/>
  <c r="BD73" i="105"/>
  <c r="BD72" i="105"/>
  <c r="BD71" i="105"/>
  <c r="BD70" i="105"/>
  <c r="BD69" i="105"/>
  <c r="BD68" i="105"/>
  <c r="BD67" i="105"/>
  <c r="BD66" i="105"/>
  <c r="BD65" i="105"/>
  <c r="BD64" i="105"/>
  <c r="BD63" i="105"/>
  <c r="BD62" i="105"/>
  <c r="BD61" i="105"/>
  <c r="BD60" i="105"/>
  <c r="BD59" i="105"/>
  <c r="BD58" i="105"/>
  <c r="BD57" i="105"/>
  <c r="BD56" i="105"/>
  <c r="BD55" i="105"/>
  <c r="BD54" i="105"/>
  <c r="BD53" i="105"/>
  <c r="BD51" i="105"/>
  <c r="BD50" i="105"/>
  <c r="BD49" i="105"/>
  <c r="BD48" i="105"/>
  <c r="BD47" i="105"/>
  <c r="BD46" i="105"/>
  <c r="BD45" i="105"/>
  <c r="BD44" i="105"/>
  <c r="BD42" i="105"/>
  <c r="BD41" i="105"/>
  <c r="BD39" i="105"/>
  <c r="BD38" i="105"/>
  <c r="BD37" i="105"/>
  <c r="BD36" i="105"/>
  <c r="BD35" i="105"/>
  <c r="BD34" i="105"/>
  <c r="BD33" i="105"/>
  <c r="BD32" i="105"/>
  <c r="BD31" i="105"/>
  <c r="BD30" i="105"/>
  <c r="BD29" i="105"/>
  <c r="BD27" i="105"/>
  <c r="BD26" i="105"/>
  <c r="BD25" i="105"/>
  <c r="BB21" i="105"/>
  <c r="BA122" i="105"/>
  <c r="BA121" i="105"/>
  <c r="BA120" i="105"/>
  <c r="BA119" i="105"/>
  <c r="BA118" i="105"/>
  <c r="BA115" i="105"/>
  <c r="BA114" i="105"/>
  <c r="BA113" i="105"/>
  <c r="BA112" i="105"/>
  <c r="BA111" i="105"/>
  <c r="BA110" i="105"/>
  <c r="BA108" i="105"/>
  <c r="BA107" i="105"/>
  <c r="BA106" i="105"/>
  <c r="BA103" i="105"/>
  <c r="BA99" i="105"/>
  <c r="BA98" i="105"/>
  <c r="BA97" i="105"/>
  <c r="BA96" i="105"/>
  <c r="BA95" i="105"/>
  <c r="BA94" i="105"/>
  <c r="BA93" i="105"/>
  <c r="BA92" i="105"/>
  <c r="BA91" i="105"/>
  <c r="BA90" i="105"/>
  <c r="BA89" i="105"/>
  <c r="BA88" i="105"/>
  <c r="BA87" i="105"/>
  <c r="BA86" i="105"/>
  <c r="BA85" i="105"/>
  <c r="BA84" i="105"/>
  <c r="BA83" i="105"/>
  <c r="BA82" i="105"/>
  <c r="BA81" i="105"/>
  <c r="BA77" i="105"/>
  <c r="BA76" i="105"/>
  <c r="BA75" i="105"/>
  <c r="BA74" i="105"/>
  <c r="BA73" i="105"/>
  <c r="BA72" i="105"/>
  <c r="BA71" i="105"/>
  <c r="BA70" i="105"/>
  <c r="BA69" i="105"/>
  <c r="BA68" i="105"/>
  <c r="BA67" i="105"/>
  <c r="BA66" i="105"/>
  <c r="BA65" i="105"/>
  <c r="BA64" i="105"/>
  <c r="BA63" i="105"/>
  <c r="BA62" i="105"/>
  <c r="BA61" i="105"/>
  <c r="BA60" i="105"/>
  <c r="BA59" i="105"/>
  <c r="BA58" i="105"/>
  <c r="BA57" i="105"/>
  <c r="BA56" i="105"/>
  <c r="BA55" i="105"/>
  <c r="BA54" i="105"/>
  <c r="BA53" i="105"/>
  <c r="BA51" i="105"/>
  <c r="BA50" i="105"/>
  <c r="BA49" i="105"/>
  <c r="BA48" i="105"/>
  <c r="BA47" i="105"/>
  <c r="BA46" i="105"/>
  <c r="BA45" i="105"/>
  <c r="BA44" i="105"/>
  <c r="BA42" i="105"/>
  <c r="BA41" i="105"/>
  <c r="BA39" i="105"/>
  <c r="BA38" i="105"/>
  <c r="BA37" i="105"/>
  <c r="BA36" i="105"/>
  <c r="BA35" i="105"/>
  <c r="BA34" i="105"/>
  <c r="BA33" i="105"/>
  <c r="BA32" i="105"/>
  <c r="BA31" i="105"/>
  <c r="BA30" i="105"/>
  <c r="BA29" i="105"/>
  <c r="BA27" i="105"/>
  <c r="BA26" i="105"/>
  <c r="BA25" i="105"/>
  <c r="AY21" i="105"/>
  <c r="AX122" i="105"/>
  <c r="AX121" i="105"/>
  <c r="AX120" i="105"/>
  <c r="AX119" i="105"/>
  <c r="AX118" i="105"/>
  <c r="AX115" i="105"/>
  <c r="AX114" i="105"/>
  <c r="AX113" i="105"/>
  <c r="AX112" i="105"/>
  <c r="AX111" i="105"/>
  <c r="AX110" i="105"/>
  <c r="AX108" i="105"/>
  <c r="AX107" i="105"/>
  <c r="AX106" i="105"/>
  <c r="AX103" i="105"/>
  <c r="AX99" i="105"/>
  <c r="AX98" i="105"/>
  <c r="AX97" i="105"/>
  <c r="AX96" i="105"/>
  <c r="AX95" i="105"/>
  <c r="AX94" i="105"/>
  <c r="AX93" i="105"/>
  <c r="AX92" i="105"/>
  <c r="AX91" i="105"/>
  <c r="AX90" i="105"/>
  <c r="AX89" i="105"/>
  <c r="AX88" i="105"/>
  <c r="AX87" i="105"/>
  <c r="AX86" i="105"/>
  <c r="AX85" i="105"/>
  <c r="AX84" i="105"/>
  <c r="AX83" i="105"/>
  <c r="AX82" i="105"/>
  <c r="AX81" i="105"/>
  <c r="AX77" i="105"/>
  <c r="AX76" i="105"/>
  <c r="AX75" i="105"/>
  <c r="AX74" i="105"/>
  <c r="AX73" i="105"/>
  <c r="AX72" i="105"/>
  <c r="AX71" i="105"/>
  <c r="AX70" i="105"/>
  <c r="AX69" i="105"/>
  <c r="AX68" i="105"/>
  <c r="AX67" i="105"/>
  <c r="AX66" i="105"/>
  <c r="AX65" i="105"/>
  <c r="AX64" i="105"/>
  <c r="AX63" i="105"/>
  <c r="AX62" i="105"/>
  <c r="AX61" i="105"/>
  <c r="AX60" i="105"/>
  <c r="AX59" i="105"/>
  <c r="AX58" i="105"/>
  <c r="AX57" i="105"/>
  <c r="AX56" i="105"/>
  <c r="AX55" i="105"/>
  <c r="AX54" i="105"/>
  <c r="AX53" i="105"/>
  <c r="AX51" i="105"/>
  <c r="AX50" i="105"/>
  <c r="AX49" i="105"/>
  <c r="AX48" i="105"/>
  <c r="AX47" i="105"/>
  <c r="AX46" i="105"/>
  <c r="AX45" i="105"/>
  <c r="AX44" i="105"/>
  <c r="AX42" i="105"/>
  <c r="AX41" i="105"/>
  <c r="AX39" i="105"/>
  <c r="AX38" i="105"/>
  <c r="AX37" i="105"/>
  <c r="AX36" i="105"/>
  <c r="AX35" i="105"/>
  <c r="AX34" i="105"/>
  <c r="AX33" i="105"/>
  <c r="AX32" i="105"/>
  <c r="AX31" i="105"/>
  <c r="AX30" i="105"/>
  <c r="AX29" i="105"/>
  <c r="AX27" i="105"/>
  <c r="AX26" i="105"/>
  <c r="AX25" i="105"/>
  <c r="AV21" i="105"/>
  <c r="AU122" i="105"/>
  <c r="AU121" i="105"/>
  <c r="AU120" i="105"/>
  <c r="AU119" i="105"/>
  <c r="AU118" i="105"/>
  <c r="AU115" i="105"/>
  <c r="AU114" i="105"/>
  <c r="AU113" i="105"/>
  <c r="AU112" i="105"/>
  <c r="AU111" i="105"/>
  <c r="AU110" i="105"/>
  <c r="AU108" i="105"/>
  <c r="AU107" i="105"/>
  <c r="AU106" i="105"/>
  <c r="AU103" i="105"/>
  <c r="AU99" i="105"/>
  <c r="AU98" i="105"/>
  <c r="AU97" i="105"/>
  <c r="AU96" i="105"/>
  <c r="AU95" i="105"/>
  <c r="AU94" i="105"/>
  <c r="AU93" i="105"/>
  <c r="AU92" i="105"/>
  <c r="AU91" i="105"/>
  <c r="AU90" i="105"/>
  <c r="AU89" i="105"/>
  <c r="AU88" i="105"/>
  <c r="AU87" i="105"/>
  <c r="AU86" i="105"/>
  <c r="AU85" i="105"/>
  <c r="AU84" i="105"/>
  <c r="AU83" i="105"/>
  <c r="AU82" i="105"/>
  <c r="AU81" i="105"/>
  <c r="AU77" i="105"/>
  <c r="AU76" i="105"/>
  <c r="AU75" i="105"/>
  <c r="AU74" i="105"/>
  <c r="AU73" i="105"/>
  <c r="AU72" i="105"/>
  <c r="AU71" i="105"/>
  <c r="AU70" i="105"/>
  <c r="AU69" i="105"/>
  <c r="AU68" i="105"/>
  <c r="AU67" i="105"/>
  <c r="AU66" i="105"/>
  <c r="AU65" i="105"/>
  <c r="AU64" i="105"/>
  <c r="AU63" i="105"/>
  <c r="AU62" i="105"/>
  <c r="AU61" i="105"/>
  <c r="AU60" i="105"/>
  <c r="AU59" i="105"/>
  <c r="AU58" i="105"/>
  <c r="AU57" i="105"/>
  <c r="AU56" i="105"/>
  <c r="AU55" i="105"/>
  <c r="AU54" i="105"/>
  <c r="AU53" i="105"/>
  <c r="AU51" i="105"/>
  <c r="AU50" i="105"/>
  <c r="AU49" i="105"/>
  <c r="AU48" i="105"/>
  <c r="AU47" i="105"/>
  <c r="AU46" i="105"/>
  <c r="AU45" i="105"/>
  <c r="AU44" i="105"/>
  <c r="AU42" i="105"/>
  <c r="AU41" i="105"/>
  <c r="AU39" i="105"/>
  <c r="AU38" i="105"/>
  <c r="AU37" i="105"/>
  <c r="AU36" i="105"/>
  <c r="AU35" i="105"/>
  <c r="AU34" i="105"/>
  <c r="AU33" i="105"/>
  <c r="AU32" i="105"/>
  <c r="AU31" i="105"/>
  <c r="AU30" i="105"/>
  <c r="AU29" i="105"/>
  <c r="AU27" i="105"/>
  <c r="AU26" i="105"/>
  <c r="AU25" i="105"/>
  <c r="AS21" i="105"/>
  <c r="AR122" i="105"/>
  <c r="AR121" i="105"/>
  <c r="AR120" i="105"/>
  <c r="AR119" i="105"/>
  <c r="AR118" i="105"/>
  <c r="AR115" i="105"/>
  <c r="AR114" i="105"/>
  <c r="AR113" i="105"/>
  <c r="AR112" i="105"/>
  <c r="AR111" i="105"/>
  <c r="AR110" i="105"/>
  <c r="AR108" i="105"/>
  <c r="AR107" i="105"/>
  <c r="AR106" i="105"/>
  <c r="AR103" i="105"/>
  <c r="AR99" i="105"/>
  <c r="AR98" i="105"/>
  <c r="AR97" i="105"/>
  <c r="AR96" i="105"/>
  <c r="AR95" i="105"/>
  <c r="AR94" i="105"/>
  <c r="AR93" i="105"/>
  <c r="AR92" i="105"/>
  <c r="AR91" i="105"/>
  <c r="AR90" i="105"/>
  <c r="AR89" i="105"/>
  <c r="AR88" i="105"/>
  <c r="AR87" i="105"/>
  <c r="AR86" i="105"/>
  <c r="AR85" i="105"/>
  <c r="AR84" i="105"/>
  <c r="AR83" i="105"/>
  <c r="AR82" i="105"/>
  <c r="AR81" i="105"/>
  <c r="AR77" i="105"/>
  <c r="AR76" i="105"/>
  <c r="AR75" i="105"/>
  <c r="AR74" i="105"/>
  <c r="AR73" i="105"/>
  <c r="AR72" i="105"/>
  <c r="AR71" i="105"/>
  <c r="AR70" i="105"/>
  <c r="AR69" i="105"/>
  <c r="AR68" i="105"/>
  <c r="AR67" i="105"/>
  <c r="AR66" i="105"/>
  <c r="AR65" i="105"/>
  <c r="AR64" i="105"/>
  <c r="AR63" i="105"/>
  <c r="AR62" i="105"/>
  <c r="AR61" i="105"/>
  <c r="AR60" i="105"/>
  <c r="AR59" i="105"/>
  <c r="AR58" i="105"/>
  <c r="AR57" i="105"/>
  <c r="AR56" i="105"/>
  <c r="AR55" i="105"/>
  <c r="AR54" i="105"/>
  <c r="AR53" i="105"/>
  <c r="AR51" i="105"/>
  <c r="AR50" i="105"/>
  <c r="AR49" i="105"/>
  <c r="AR48" i="105"/>
  <c r="AR47" i="105"/>
  <c r="AR46" i="105"/>
  <c r="AR45" i="105"/>
  <c r="AR44" i="105"/>
  <c r="AR42" i="105"/>
  <c r="AR41" i="105"/>
  <c r="AR39" i="105"/>
  <c r="AR38" i="105"/>
  <c r="AR37" i="105"/>
  <c r="AR36" i="105"/>
  <c r="AR35" i="105"/>
  <c r="AR34" i="105"/>
  <c r="AR33" i="105"/>
  <c r="AR32" i="105"/>
  <c r="AR31" i="105"/>
  <c r="AR30" i="105"/>
  <c r="AR29" i="105"/>
  <c r="AR27" i="105"/>
  <c r="AR26" i="105"/>
  <c r="AR25" i="105"/>
  <c r="AO122" i="105"/>
  <c r="AO121" i="105"/>
  <c r="AO120" i="105"/>
  <c r="AO119" i="105"/>
  <c r="AO118" i="105"/>
  <c r="AO115" i="105"/>
  <c r="AO114" i="105"/>
  <c r="AO113" i="105"/>
  <c r="AO112" i="105"/>
  <c r="AO111" i="105"/>
  <c r="AO110" i="105"/>
  <c r="AO108" i="105"/>
  <c r="AO107" i="105"/>
  <c r="AO106" i="105"/>
  <c r="AO103" i="105"/>
  <c r="AO99" i="105"/>
  <c r="AO98" i="105"/>
  <c r="AO97" i="105"/>
  <c r="AO96" i="105"/>
  <c r="AO95" i="105"/>
  <c r="AO94" i="105"/>
  <c r="AO93" i="105"/>
  <c r="AO92" i="105"/>
  <c r="AO91" i="105"/>
  <c r="AO90" i="105"/>
  <c r="AO89" i="105"/>
  <c r="AO88" i="105"/>
  <c r="AO87" i="105"/>
  <c r="AO86" i="105"/>
  <c r="AO85" i="105"/>
  <c r="AO84" i="105"/>
  <c r="AO83" i="105"/>
  <c r="AO82" i="105"/>
  <c r="AO81" i="105"/>
  <c r="AO100" i="105" s="1"/>
  <c r="AO128" i="105" s="1"/>
  <c r="AO77" i="105"/>
  <c r="AO76" i="105"/>
  <c r="AO75" i="105"/>
  <c r="AO74" i="105"/>
  <c r="AO73" i="105"/>
  <c r="AO72" i="105"/>
  <c r="AO71" i="105"/>
  <c r="AO70" i="105"/>
  <c r="AO69" i="105"/>
  <c r="AO68" i="105"/>
  <c r="AO67" i="105"/>
  <c r="AO66" i="105"/>
  <c r="AO65" i="105"/>
  <c r="AO64" i="105"/>
  <c r="AO63" i="105"/>
  <c r="AO62" i="105"/>
  <c r="AO61" i="105"/>
  <c r="AO60" i="105"/>
  <c r="AO59" i="105"/>
  <c r="AO58" i="105"/>
  <c r="AO57" i="105"/>
  <c r="AO56" i="105"/>
  <c r="AO55" i="105"/>
  <c r="AO54" i="105"/>
  <c r="AO53" i="105"/>
  <c r="AO51" i="105"/>
  <c r="AO50" i="105"/>
  <c r="AO49" i="105"/>
  <c r="AO48" i="105"/>
  <c r="AO47" i="105"/>
  <c r="AO46" i="105"/>
  <c r="AO45" i="105"/>
  <c r="AO44" i="105"/>
  <c r="AO42" i="105"/>
  <c r="AO41" i="105"/>
  <c r="AO39" i="105"/>
  <c r="AO38" i="105"/>
  <c r="AO37" i="105"/>
  <c r="AO36" i="105"/>
  <c r="AO35" i="105"/>
  <c r="AO34" i="105"/>
  <c r="AO33" i="105"/>
  <c r="AO32" i="105"/>
  <c r="AO31" i="105"/>
  <c r="AO30" i="105"/>
  <c r="AO29" i="105"/>
  <c r="AO27" i="105"/>
  <c r="AO26" i="105"/>
  <c r="AO25" i="105"/>
  <c r="AL122" i="105"/>
  <c r="AL121" i="105"/>
  <c r="AL120" i="105"/>
  <c r="AL119" i="105"/>
  <c r="AL118" i="105"/>
  <c r="AL115" i="105"/>
  <c r="AL114" i="105"/>
  <c r="AL113" i="105"/>
  <c r="AL112" i="105"/>
  <c r="AL111" i="105"/>
  <c r="AL110" i="105"/>
  <c r="AL108" i="105"/>
  <c r="AL107" i="105"/>
  <c r="AL106" i="105"/>
  <c r="AL103" i="105"/>
  <c r="AL99" i="105"/>
  <c r="AL98" i="105"/>
  <c r="AL97" i="105"/>
  <c r="AL96" i="105"/>
  <c r="AL95" i="105"/>
  <c r="AL94" i="105"/>
  <c r="AL93" i="105"/>
  <c r="AL92" i="105"/>
  <c r="AL91" i="105"/>
  <c r="AL90" i="105"/>
  <c r="AL89" i="105"/>
  <c r="AL88" i="105"/>
  <c r="AL87" i="105"/>
  <c r="AL86" i="105"/>
  <c r="AL85" i="105"/>
  <c r="AL84" i="105"/>
  <c r="AL83" i="105"/>
  <c r="AL82" i="105"/>
  <c r="AL81" i="105"/>
  <c r="AL77" i="105"/>
  <c r="AL76" i="105"/>
  <c r="AL75" i="105"/>
  <c r="AL74" i="105"/>
  <c r="AL73" i="105"/>
  <c r="AL72" i="105"/>
  <c r="AL71" i="105"/>
  <c r="AL70" i="105"/>
  <c r="AL69" i="105"/>
  <c r="AL68" i="105"/>
  <c r="AL67" i="105"/>
  <c r="AL66" i="105"/>
  <c r="AL65" i="105"/>
  <c r="AL64" i="105"/>
  <c r="AL63" i="105"/>
  <c r="AL62" i="105"/>
  <c r="AL61" i="105"/>
  <c r="AL60" i="105"/>
  <c r="AL59" i="105"/>
  <c r="AL58" i="105"/>
  <c r="AL57" i="105"/>
  <c r="AL56" i="105"/>
  <c r="AL55" i="105"/>
  <c r="AL54" i="105"/>
  <c r="AL53" i="105"/>
  <c r="AL51" i="105"/>
  <c r="AL50" i="105"/>
  <c r="AL49" i="105"/>
  <c r="AL48" i="105"/>
  <c r="AL47" i="105"/>
  <c r="AL46" i="105"/>
  <c r="AL45" i="105"/>
  <c r="AL44" i="105"/>
  <c r="AL42" i="105"/>
  <c r="AL41" i="105"/>
  <c r="AL39" i="105"/>
  <c r="AL38" i="105"/>
  <c r="AL37" i="105"/>
  <c r="AL36" i="105"/>
  <c r="AL35" i="105"/>
  <c r="AL34" i="105"/>
  <c r="AL33" i="105"/>
  <c r="AL32" i="105"/>
  <c r="AL31" i="105"/>
  <c r="AL30" i="105"/>
  <c r="AL29" i="105"/>
  <c r="AL27" i="105"/>
  <c r="AL26" i="105"/>
  <c r="AL25" i="105"/>
  <c r="AI122" i="105"/>
  <c r="AI121" i="105"/>
  <c r="AI120" i="105"/>
  <c r="AI119" i="105"/>
  <c r="AI118" i="105"/>
  <c r="AI115" i="105"/>
  <c r="AI114" i="105"/>
  <c r="AI113" i="105"/>
  <c r="AI112" i="105"/>
  <c r="AI111" i="105"/>
  <c r="AI110" i="105"/>
  <c r="AI108" i="105"/>
  <c r="AI107" i="105"/>
  <c r="AI106" i="105"/>
  <c r="AI103" i="105"/>
  <c r="AI99" i="105"/>
  <c r="AI98" i="105"/>
  <c r="AI97" i="105"/>
  <c r="AI96" i="105"/>
  <c r="AI95" i="105"/>
  <c r="AI94" i="105"/>
  <c r="AI93" i="105"/>
  <c r="AI92" i="105"/>
  <c r="AI91" i="105"/>
  <c r="AI90" i="105"/>
  <c r="AI89" i="105"/>
  <c r="AI88" i="105"/>
  <c r="AI87" i="105"/>
  <c r="AI86" i="105"/>
  <c r="AI85" i="105"/>
  <c r="AI84" i="105"/>
  <c r="AI83" i="105"/>
  <c r="AI82" i="105"/>
  <c r="AI81" i="105"/>
  <c r="AI100" i="105" s="1"/>
  <c r="AI128" i="105" s="1"/>
  <c r="AI77" i="105"/>
  <c r="AI76" i="105"/>
  <c r="AI75" i="105"/>
  <c r="AI74" i="105"/>
  <c r="AI73" i="105"/>
  <c r="AI72" i="105"/>
  <c r="AI71" i="105"/>
  <c r="AI70" i="105"/>
  <c r="AI69" i="105"/>
  <c r="AI68" i="105"/>
  <c r="AI67" i="105"/>
  <c r="AI66" i="105"/>
  <c r="AI65" i="105"/>
  <c r="AI64" i="105"/>
  <c r="AI63" i="105"/>
  <c r="AI62" i="105"/>
  <c r="AI61" i="105"/>
  <c r="AI60" i="105"/>
  <c r="AI59" i="105"/>
  <c r="AI58" i="105"/>
  <c r="AI57" i="105"/>
  <c r="AI56" i="105"/>
  <c r="AI55" i="105"/>
  <c r="AI54" i="105"/>
  <c r="AI53" i="105"/>
  <c r="AI51" i="105"/>
  <c r="AI50" i="105"/>
  <c r="AI49" i="105"/>
  <c r="AI48" i="105"/>
  <c r="AI47" i="105"/>
  <c r="AI46" i="105"/>
  <c r="AI45" i="105"/>
  <c r="AI44" i="105"/>
  <c r="AI42" i="105"/>
  <c r="AI41" i="105"/>
  <c r="AI39" i="105"/>
  <c r="AI38" i="105"/>
  <c r="AI37" i="105"/>
  <c r="AI36" i="105"/>
  <c r="AI35" i="105"/>
  <c r="AI34" i="105"/>
  <c r="AI33" i="105"/>
  <c r="AI32" i="105"/>
  <c r="AI31" i="105"/>
  <c r="AI30" i="105"/>
  <c r="AI29" i="105"/>
  <c r="AI27" i="105"/>
  <c r="AI26" i="105"/>
  <c r="AI25" i="105"/>
  <c r="AF122" i="105"/>
  <c r="AF121" i="105"/>
  <c r="AF120" i="105"/>
  <c r="AF119" i="105"/>
  <c r="AF118" i="105"/>
  <c r="AF115" i="105"/>
  <c r="AF114" i="105"/>
  <c r="AF113" i="105"/>
  <c r="AF112" i="105"/>
  <c r="AF111" i="105"/>
  <c r="AF110" i="105"/>
  <c r="AF108" i="105"/>
  <c r="AF107" i="105"/>
  <c r="AF106" i="105"/>
  <c r="AF103" i="105"/>
  <c r="AF99" i="105"/>
  <c r="AF98" i="105"/>
  <c r="AF97" i="105"/>
  <c r="AF96" i="105"/>
  <c r="AF95" i="105"/>
  <c r="AF94" i="105"/>
  <c r="AF93" i="105"/>
  <c r="AF92" i="105"/>
  <c r="AF91" i="105"/>
  <c r="AF90" i="105"/>
  <c r="AF89" i="105"/>
  <c r="AF88" i="105"/>
  <c r="AF87" i="105"/>
  <c r="AF86" i="105"/>
  <c r="AF85" i="105"/>
  <c r="AF84" i="105"/>
  <c r="AF83" i="105"/>
  <c r="AF82" i="105"/>
  <c r="AF81" i="105"/>
  <c r="AF100" i="105" s="1"/>
  <c r="AF128" i="105" s="1"/>
  <c r="AF77" i="105"/>
  <c r="AF76" i="105"/>
  <c r="AF75" i="105"/>
  <c r="AF74" i="105"/>
  <c r="AF73" i="105"/>
  <c r="AF72" i="105"/>
  <c r="AF71" i="105"/>
  <c r="AF70" i="105"/>
  <c r="AF69" i="105"/>
  <c r="AF68" i="105"/>
  <c r="AF67" i="105"/>
  <c r="AF66" i="105"/>
  <c r="AF65" i="105"/>
  <c r="AF64" i="105"/>
  <c r="AF63" i="105"/>
  <c r="AF62" i="105"/>
  <c r="AF61" i="105"/>
  <c r="AF60" i="105"/>
  <c r="AF59" i="105"/>
  <c r="AF58" i="105"/>
  <c r="AF57" i="105"/>
  <c r="AF56" i="105"/>
  <c r="AF55" i="105"/>
  <c r="AF54" i="105"/>
  <c r="AF53" i="105"/>
  <c r="AF51" i="105"/>
  <c r="AF50" i="105"/>
  <c r="AF49" i="105"/>
  <c r="AF48" i="105"/>
  <c r="AF47" i="105"/>
  <c r="AF46" i="105"/>
  <c r="AF45" i="105"/>
  <c r="AF44" i="105"/>
  <c r="AF42" i="105"/>
  <c r="AF41" i="105"/>
  <c r="AF39" i="105"/>
  <c r="AF38" i="105"/>
  <c r="AF37" i="105"/>
  <c r="AF36" i="105"/>
  <c r="AF35" i="105"/>
  <c r="AF34" i="105"/>
  <c r="AF33" i="105"/>
  <c r="AF32" i="105"/>
  <c r="AF31" i="105"/>
  <c r="AF30" i="105"/>
  <c r="AF29" i="105"/>
  <c r="AF27" i="105"/>
  <c r="AF26" i="105"/>
  <c r="AF25" i="105"/>
  <c r="AC122" i="105"/>
  <c r="AC121" i="105"/>
  <c r="AC120" i="105"/>
  <c r="AC119" i="105"/>
  <c r="AC118" i="105"/>
  <c r="AC115" i="105"/>
  <c r="AC114" i="105"/>
  <c r="AC113" i="105"/>
  <c r="AC112" i="105"/>
  <c r="AC111" i="105"/>
  <c r="AC110" i="105"/>
  <c r="AC108" i="105"/>
  <c r="AC107" i="105"/>
  <c r="AC106" i="105"/>
  <c r="AC103" i="105"/>
  <c r="AC99" i="105"/>
  <c r="AC98" i="105"/>
  <c r="AC97" i="105"/>
  <c r="AC96" i="105"/>
  <c r="AC95" i="105"/>
  <c r="AC94" i="105"/>
  <c r="AC93" i="105"/>
  <c r="AC92" i="105"/>
  <c r="AC91" i="105"/>
  <c r="AC90" i="105"/>
  <c r="AC89" i="105"/>
  <c r="AC88" i="105"/>
  <c r="AC87" i="105"/>
  <c r="AC86" i="105"/>
  <c r="AC85" i="105"/>
  <c r="AC84" i="105"/>
  <c r="AC83" i="105"/>
  <c r="AC82" i="105"/>
  <c r="AC81" i="105"/>
  <c r="AC100" i="105" s="1"/>
  <c r="AC128" i="105" s="1"/>
  <c r="AC77" i="105"/>
  <c r="AC76" i="105"/>
  <c r="AC75" i="105"/>
  <c r="AC74" i="105"/>
  <c r="AC73" i="105"/>
  <c r="AC72" i="105"/>
  <c r="AC71" i="105"/>
  <c r="AC70" i="105"/>
  <c r="AC69" i="105"/>
  <c r="AC68" i="105"/>
  <c r="AC67" i="105"/>
  <c r="AC66" i="105"/>
  <c r="AC65" i="105"/>
  <c r="AC64" i="105"/>
  <c r="AC63" i="105"/>
  <c r="AC62" i="105"/>
  <c r="AC61" i="105"/>
  <c r="AC60" i="105"/>
  <c r="AC59" i="105"/>
  <c r="AC58" i="105"/>
  <c r="AC57" i="105"/>
  <c r="AC56" i="105"/>
  <c r="AC55" i="105"/>
  <c r="AC54" i="105"/>
  <c r="AC53" i="105"/>
  <c r="AC51" i="105"/>
  <c r="AC50" i="105"/>
  <c r="AC49" i="105"/>
  <c r="AC48" i="105"/>
  <c r="AC47" i="105"/>
  <c r="AC46" i="105"/>
  <c r="AC45" i="105"/>
  <c r="AC44" i="105"/>
  <c r="AC42" i="105"/>
  <c r="AC41" i="105"/>
  <c r="AC39" i="105"/>
  <c r="AC38" i="105"/>
  <c r="AC37" i="105"/>
  <c r="AC36" i="105"/>
  <c r="AC35" i="105"/>
  <c r="AC34" i="105"/>
  <c r="AC33" i="105"/>
  <c r="AC32" i="105"/>
  <c r="AC31" i="105"/>
  <c r="AC30" i="105"/>
  <c r="AC29" i="105"/>
  <c r="AC27" i="105"/>
  <c r="AC26" i="105"/>
  <c r="AC25" i="105"/>
  <c r="Z122" i="105"/>
  <c r="Z121" i="105"/>
  <c r="Z120" i="105"/>
  <c r="Z119" i="105"/>
  <c r="Z118" i="105"/>
  <c r="Z115" i="105"/>
  <c r="Z114" i="105"/>
  <c r="Z113" i="105"/>
  <c r="Z112" i="105"/>
  <c r="Z111" i="105"/>
  <c r="Z110" i="105"/>
  <c r="Z108" i="105"/>
  <c r="Z107" i="105"/>
  <c r="Z106" i="105"/>
  <c r="Z103" i="105"/>
  <c r="Z99" i="105"/>
  <c r="Z98" i="105"/>
  <c r="Z97" i="105"/>
  <c r="Z96" i="105"/>
  <c r="Z95" i="105"/>
  <c r="Z94" i="105"/>
  <c r="Z93" i="105"/>
  <c r="Z92" i="105"/>
  <c r="Z91" i="105"/>
  <c r="Z90" i="105"/>
  <c r="Z89" i="105"/>
  <c r="Z88" i="105"/>
  <c r="Z87" i="105"/>
  <c r="Z86" i="105"/>
  <c r="Z85" i="105"/>
  <c r="Z84" i="105"/>
  <c r="Z83" i="105"/>
  <c r="Z82" i="105"/>
  <c r="Z81" i="105"/>
  <c r="Z77" i="105"/>
  <c r="Z76" i="105"/>
  <c r="Z75" i="105"/>
  <c r="Z74" i="105"/>
  <c r="Z73" i="105"/>
  <c r="Z72" i="105"/>
  <c r="Z71" i="105"/>
  <c r="Z70" i="105"/>
  <c r="Z69" i="105"/>
  <c r="Z68" i="105"/>
  <c r="Z67" i="105"/>
  <c r="Z66" i="105"/>
  <c r="Z65" i="105"/>
  <c r="Z64" i="105"/>
  <c r="Z63" i="105"/>
  <c r="Z62" i="105"/>
  <c r="Z61" i="105"/>
  <c r="Z60" i="105"/>
  <c r="Z59" i="105"/>
  <c r="Z58" i="105"/>
  <c r="Z57" i="105"/>
  <c r="Z56" i="105"/>
  <c r="Z55" i="105"/>
  <c r="Z54" i="105"/>
  <c r="Z53" i="105"/>
  <c r="Z51" i="105"/>
  <c r="Z50" i="105"/>
  <c r="Z49" i="105"/>
  <c r="Z48" i="105"/>
  <c r="Z47" i="105"/>
  <c r="Z46" i="105"/>
  <c r="Z45" i="105"/>
  <c r="Z44" i="105"/>
  <c r="Z42" i="105"/>
  <c r="Z41" i="105"/>
  <c r="Z39" i="105"/>
  <c r="Z38" i="105"/>
  <c r="Z37" i="105"/>
  <c r="Z36" i="105"/>
  <c r="Z35" i="105"/>
  <c r="Z34" i="105"/>
  <c r="Z33" i="105"/>
  <c r="Z32" i="105"/>
  <c r="Z31" i="105"/>
  <c r="Z30" i="105"/>
  <c r="Z29" i="105"/>
  <c r="Z28" i="105"/>
  <c r="Z27" i="105"/>
  <c r="Z26" i="105"/>
  <c r="Z25" i="105"/>
  <c r="W122" i="105"/>
  <c r="W121" i="105"/>
  <c r="W120" i="105"/>
  <c r="W119" i="105"/>
  <c r="W118" i="105"/>
  <c r="W115" i="105"/>
  <c r="W114" i="105"/>
  <c r="W113" i="105"/>
  <c r="W112" i="105"/>
  <c r="W111" i="105"/>
  <c r="W110" i="105"/>
  <c r="W108" i="105"/>
  <c r="W107" i="105"/>
  <c r="W106" i="105"/>
  <c r="W103" i="105"/>
  <c r="W99" i="105"/>
  <c r="W98" i="105"/>
  <c r="W97" i="105"/>
  <c r="W96" i="105"/>
  <c r="W95" i="105"/>
  <c r="W94" i="105"/>
  <c r="W93" i="105"/>
  <c r="W92" i="105"/>
  <c r="W91" i="105"/>
  <c r="W90" i="105"/>
  <c r="W89" i="105"/>
  <c r="W88" i="105"/>
  <c r="W87" i="105"/>
  <c r="W86" i="105"/>
  <c r="W85" i="105"/>
  <c r="W84" i="105"/>
  <c r="W83" i="105"/>
  <c r="W82" i="105"/>
  <c r="W81" i="105"/>
  <c r="W77" i="105"/>
  <c r="W76" i="105"/>
  <c r="W75" i="105"/>
  <c r="W74" i="105"/>
  <c r="W73" i="105"/>
  <c r="W72" i="105"/>
  <c r="W71" i="105"/>
  <c r="W70" i="105"/>
  <c r="W69" i="105"/>
  <c r="W68" i="105"/>
  <c r="W67" i="105"/>
  <c r="W66" i="105"/>
  <c r="W65" i="105"/>
  <c r="W64" i="105"/>
  <c r="W63" i="105"/>
  <c r="W62" i="105"/>
  <c r="W61" i="105"/>
  <c r="W60" i="105"/>
  <c r="W59" i="105"/>
  <c r="W58" i="105"/>
  <c r="W57" i="105"/>
  <c r="W56" i="105"/>
  <c r="W55" i="105"/>
  <c r="W54" i="105"/>
  <c r="W53" i="105"/>
  <c r="W51" i="105"/>
  <c r="W50" i="105"/>
  <c r="W49" i="105"/>
  <c r="W48" i="105"/>
  <c r="W47" i="105"/>
  <c r="W46" i="105"/>
  <c r="W45" i="105"/>
  <c r="W44" i="105"/>
  <c r="W42" i="105"/>
  <c r="W41" i="105"/>
  <c r="W39" i="105"/>
  <c r="W38" i="105"/>
  <c r="W37" i="105"/>
  <c r="W36" i="105"/>
  <c r="W35" i="105"/>
  <c r="W34" i="105"/>
  <c r="W33" i="105"/>
  <c r="W32" i="105"/>
  <c r="W31" i="105"/>
  <c r="W30" i="105"/>
  <c r="W29" i="105"/>
  <c r="W27" i="105"/>
  <c r="W26" i="105"/>
  <c r="W25" i="105"/>
  <c r="U21" i="105"/>
  <c r="Q7" i="85"/>
  <c r="E148" i="105"/>
  <c r="E147" i="105"/>
  <c r="E146" i="105"/>
  <c r="E145" i="105"/>
  <c r="E144" i="105"/>
  <c r="E143" i="105"/>
  <c r="E142" i="105"/>
  <c r="E138" i="105"/>
  <c r="E137" i="105"/>
  <c r="E136" i="105"/>
  <c r="E135" i="105"/>
  <c r="E134" i="105"/>
  <c r="E133" i="105"/>
  <c r="E139" i="105" s="1"/>
  <c r="E130" i="105"/>
  <c r="E123" i="105"/>
  <c r="T122" i="105"/>
  <c r="Q122" i="105"/>
  <c r="N122" i="105"/>
  <c r="K122" i="105"/>
  <c r="H122" i="105"/>
  <c r="T121" i="105"/>
  <c r="Q121" i="105"/>
  <c r="N121" i="105"/>
  <c r="K121" i="105"/>
  <c r="H121" i="105"/>
  <c r="T120" i="105"/>
  <c r="Q120" i="105"/>
  <c r="N120" i="105"/>
  <c r="K120" i="105"/>
  <c r="H120" i="105"/>
  <c r="T119" i="105"/>
  <c r="Q119" i="105"/>
  <c r="N119" i="105"/>
  <c r="K119" i="105"/>
  <c r="H119" i="105"/>
  <c r="T118" i="105"/>
  <c r="Q118" i="105"/>
  <c r="N118" i="105"/>
  <c r="K118" i="105"/>
  <c r="H118" i="105"/>
  <c r="T115" i="105"/>
  <c r="Q115" i="105"/>
  <c r="N115" i="105"/>
  <c r="K115" i="105"/>
  <c r="H115" i="105"/>
  <c r="T114" i="105"/>
  <c r="Q114" i="105"/>
  <c r="N114" i="105"/>
  <c r="K114" i="105"/>
  <c r="H114" i="105"/>
  <c r="T113" i="105"/>
  <c r="Q113" i="105"/>
  <c r="N113" i="105"/>
  <c r="K113" i="105"/>
  <c r="H113" i="105"/>
  <c r="T112" i="105"/>
  <c r="Q112" i="105"/>
  <c r="N112" i="105"/>
  <c r="K112" i="105"/>
  <c r="H112" i="105"/>
  <c r="T111" i="105"/>
  <c r="Q111" i="105"/>
  <c r="N111" i="105"/>
  <c r="T110" i="105"/>
  <c r="Q110" i="105"/>
  <c r="N110" i="105"/>
  <c r="T108" i="105"/>
  <c r="Q108" i="105"/>
  <c r="N108" i="105"/>
  <c r="T107" i="105"/>
  <c r="Q107" i="105"/>
  <c r="N107" i="105"/>
  <c r="T106" i="105"/>
  <c r="Q106" i="105"/>
  <c r="N106" i="105"/>
  <c r="T103" i="105"/>
  <c r="Q103" i="105"/>
  <c r="N103" i="105"/>
  <c r="K103" i="105"/>
  <c r="H103" i="105"/>
  <c r="E100" i="105"/>
  <c r="T99" i="105"/>
  <c r="Q99" i="105"/>
  <c r="N99" i="105"/>
  <c r="K99" i="105"/>
  <c r="H99" i="105"/>
  <c r="T98" i="105"/>
  <c r="Q98" i="105"/>
  <c r="N98" i="105"/>
  <c r="K98" i="105"/>
  <c r="H98" i="105"/>
  <c r="T97" i="105"/>
  <c r="Q97" i="105"/>
  <c r="N97" i="105"/>
  <c r="K97" i="105"/>
  <c r="H97" i="105"/>
  <c r="T96" i="105"/>
  <c r="Q96" i="105"/>
  <c r="N96" i="105"/>
  <c r="K96" i="105"/>
  <c r="H96" i="105"/>
  <c r="T95" i="105"/>
  <c r="Q95" i="105"/>
  <c r="N95" i="105"/>
  <c r="K95" i="105"/>
  <c r="H95" i="105"/>
  <c r="T94" i="105"/>
  <c r="Q94" i="105"/>
  <c r="N94" i="105"/>
  <c r="K94" i="105"/>
  <c r="H94" i="105"/>
  <c r="T93" i="105"/>
  <c r="Q93" i="105"/>
  <c r="N93" i="105"/>
  <c r="K93" i="105"/>
  <c r="H93" i="105"/>
  <c r="T92" i="105"/>
  <c r="Q92" i="105"/>
  <c r="N92" i="105"/>
  <c r="K92" i="105"/>
  <c r="H92" i="105"/>
  <c r="T91" i="105"/>
  <c r="Q91" i="105"/>
  <c r="N91" i="105"/>
  <c r="K91" i="105"/>
  <c r="H91" i="105"/>
  <c r="T90" i="105"/>
  <c r="Q90" i="105"/>
  <c r="N90" i="105"/>
  <c r="K90" i="105"/>
  <c r="H90" i="105"/>
  <c r="T89" i="105"/>
  <c r="Q89" i="105"/>
  <c r="N89" i="105"/>
  <c r="K89" i="105"/>
  <c r="H89" i="105"/>
  <c r="T88" i="105"/>
  <c r="Q88" i="105"/>
  <c r="N88" i="105"/>
  <c r="K88" i="105"/>
  <c r="H88" i="105"/>
  <c r="T87" i="105"/>
  <c r="Q87" i="105"/>
  <c r="N87" i="105"/>
  <c r="K87" i="105"/>
  <c r="T86" i="105"/>
  <c r="Q86" i="105"/>
  <c r="N86" i="105"/>
  <c r="K86" i="105"/>
  <c r="H86" i="105"/>
  <c r="T85" i="105"/>
  <c r="Q85" i="105"/>
  <c r="N85" i="105"/>
  <c r="K85" i="105"/>
  <c r="H85" i="105"/>
  <c r="T84" i="105"/>
  <c r="Q84" i="105"/>
  <c r="N84" i="105"/>
  <c r="K84" i="105"/>
  <c r="H84" i="105"/>
  <c r="T83" i="105"/>
  <c r="Q83" i="105"/>
  <c r="N83" i="105"/>
  <c r="K83" i="105"/>
  <c r="H83" i="105"/>
  <c r="T82" i="105"/>
  <c r="Q82" i="105"/>
  <c r="N82" i="105"/>
  <c r="K82" i="105"/>
  <c r="H82" i="105"/>
  <c r="T81" i="105"/>
  <c r="Q81" i="105"/>
  <c r="N81" i="105"/>
  <c r="K81" i="105"/>
  <c r="H81" i="105"/>
  <c r="E78" i="105"/>
  <c r="T77" i="105"/>
  <c r="Q77" i="105"/>
  <c r="N77" i="105"/>
  <c r="K77" i="105"/>
  <c r="H77" i="105"/>
  <c r="T76" i="105"/>
  <c r="Q76" i="105"/>
  <c r="N76" i="105"/>
  <c r="K76" i="105"/>
  <c r="H76" i="105"/>
  <c r="T75" i="105"/>
  <c r="Q75" i="105"/>
  <c r="N75" i="105"/>
  <c r="K75" i="105"/>
  <c r="H75" i="105"/>
  <c r="T74" i="105"/>
  <c r="Q74" i="105"/>
  <c r="N74" i="105"/>
  <c r="K74" i="105"/>
  <c r="H74" i="105"/>
  <c r="T73" i="105"/>
  <c r="Q73" i="105"/>
  <c r="N73" i="105"/>
  <c r="K73" i="105"/>
  <c r="H73" i="105"/>
  <c r="T72" i="105"/>
  <c r="Q72" i="105"/>
  <c r="N72" i="105"/>
  <c r="K72" i="105"/>
  <c r="H72" i="105"/>
  <c r="T71" i="105"/>
  <c r="Q71" i="105"/>
  <c r="N71" i="105"/>
  <c r="K71" i="105"/>
  <c r="H71" i="105"/>
  <c r="T70" i="105"/>
  <c r="Q70" i="105"/>
  <c r="N70" i="105"/>
  <c r="K70" i="105"/>
  <c r="H70" i="105"/>
  <c r="T69" i="105"/>
  <c r="Q69" i="105"/>
  <c r="N69" i="105"/>
  <c r="K69" i="105"/>
  <c r="H69" i="105"/>
  <c r="T68" i="105"/>
  <c r="Q68" i="105"/>
  <c r="N68" i="105"/>
  <c r="K68" i="105"/>
  <c r="H68" i="105"/>
  <c r="T67" i="105"/>
  <c r="Q67" i="105"/>
  <c r="N67" i="105"/>
  <c r="K67" i="105"/>
  <c r="H67" i="105"/>
  <c r="T66" i="105"/>
  <c r="Q66" i="105"/>
  <c r="N66" i="105"/>
  <c r="K66" i="105"/>
  <c r="T65" i="105"/>
  <c r="Q65" i="105"/>
  <c r="N65" i="105"/>
  <c r="K65" i="105"/>
  <c r="H65" i="105"/>
  <c r="T64" i="105"/>
  <c r="Q64" i="105"/>
  <c r="N64" i="105"/>
  <c r="K64" i="105"/>
  <c r="H64" i="105"/>
  <c r="T63" i="105"/>
  <c r="Q63" i="105"/>
  <c r="N63" i="105"/>
  <c r="K63" i="105"/>
  <c r="H63" i="105"/>
  <c r="T62" i="105"/>
  <c r="Q62" i="105"/>
  <c r="N62" i="105"/>
  <c r="K62" i="105"/>
  <c r="H62" i="105"/>
  <c r="T61" i="105"/>
  <c r="Q61" i="105"/>
  <c r="N61" i="105"/>
  <c r="K61" i="105"/>
  <c r="H61" i="105"/>
  <c r="T60" i="105"/>
  <c r="Q60" i="105"/>
  <c r="N60" i="105"/>
  <c r="K60" i="105"/>
  <c r="H60" i="105"/>
  <c r="T59" i="105"/>
  <c r="Q59" i="105"/>
  <c r="N59" i="105"/>
  <c r="K59" i="105"/>
  <c r="H59" i="105"/>
  <c r="T58" i="105"/>
  <c r="Q58" i="105"/>
  <c r="N58" i="105"/>
  <c r="K58" i="105"/>
  <c r="H58" i="105"/>
  <c r="T57" i="105"/>
  <c r="Q57" i="105"/>
  <c r="N57" i="105"/>
  <c r="K57" i="105"/>
  <c r="H57" i="105"/>
  <c r="T56" i="105"/>
  <c r="Q56" i="105"/>
  <c r="N56" i="105"/>
  <c r="K56" i="105"/>
  <c r="H56" i="105"/>
  <c r="T55" i="105"/>
  <c r="Q55" i="105"/>
  <c r="N55" i="105"/>
  <c r="K55" i="105"/>
  <c r="H55" i="105"/>
  <c r="T54" i="105"/>
  <c r="Q54" i="105"/>
  <c r="N54" i="105"/>
  <c r="K54" i="105"/>
  <c r="H54" i="105"/>
  <c r="T53" i="105"/>
  <c r="Q53" i="105"/>
  <c r="N53" i="105"/>
  <c r="K53" i="105"/>
  <c r="H53" i="105"/>
  <c r="T51" i="105"/>
  <c r="Q51" i="105"/>
  <c r="N51" i="105"/>
  <c r="K51" i="105"/>
  <c r="H51" i="105"/>
  <c r="T50" i="105"/>
  <c r="Q50" i="105"/>
  <c r="N50" i="105"/>
  <c r="K50" i="105"/>
  <c r="H50" i="105"/>
  <c r="T49" i="105"/>
  <c r="Q49" i="105"/>
  <c r="N49" i="105"/>
  <c r="K49" i="105"/>
  <c r="H49" i="105"/>
  <c r="T48" i="105"/>
  <c r="Q48" i="105"/>
  <c r="N48" i="105"/>
  <c r="K48" i="105"/>
  <c r="H48" i="105"/>
  <c r="T47" i="105"/>
  <c r="Q47" i="105"/>
  <c r="N47" i="105"/>
  <c r="K47" i="105"/>
  <c r="H47" i="105"/>
  <c r="T46" i="105"/>
  <c r="Q46" i="105"/>
  <c r="N46" i="105"/>
  <c r="K46" i="105"/>
  <c r="H46" i="105"/>
  <c r="T45" i="105"/>
  <c r="Q45" i="105"/>
  <c r="N45" i="105"/>
  <c r="K45" i="105"/>
  <c r="H45" i="105"/>
  <c r="T44" i="105"/>
  <c r="Q44" i="105"/>
  <c r="N44" i="105"/>
  <c r="K44" i="105"/>
  <c r="H44" i="105"/>
  <c r="T42" i="105"/>
  <c r="Q42" i="105"/>
  <c r="N42" i="105"/>
  <c r="K42" i="105"/>
  <c r="H42" i="105"/>
  <c r="T41" i="105"/>
  <c r="Q41" i="105"/>
  <c r="N41" i="105"/>
  <c r="K41" i="105"/>
  <c r="H41" i="105"/>
  <c r="T39" i="105"/>
  <c r="Q39" i="105"/>
  <c r="N39" i="105"/>
  <c r="K39" i="105"/>
  <c r="H39" i="105"/>
  <c r="T38" i="105"/>
  <c r="Q38" i="105"/>
  <c r="N38" i="105"/>
  <c r="K38" i="105"/>
  <c r="H38" i="105"/>
  <c r="T37" i="105"/>
  <c r="Q37" i="105"/>
  <c r="N37" i="105"/>
  <c r="K37" i="105"/>
  <c r="H37" i="105"/>
  <c r="T36" i="105"/>
  <c r="Q36" i="105"/>
  <c r="N36" i="105"/>
  <c r="K36" i="105"/>
  <c r="H36" i="105"/>
  <c r="T35" i="105"/>
  <c r="Q35" i="105"/>
  <c r="N35" i="105"/>
  <c r="K35" i="105"/>
  <c r="H35" i="105"/>
  <c r="T34" i="105"/>
  <c r="Q34" i="105"/>
  <c r="N34" i="105"/>
  <c r="K34" i="105"/>
  <c r="H34" i="105"/>
  <c r="T33" i="105"/>
  <c r="Q33" i="105"/>
  <c r="N33" i="105"/>
  <c r="K33" i="105"/>
  <c r="H33" i="105"/>
  <c r="T32" i="105"/>
  <c r="Q32" i="105"/>
  <c r="N32" i="105"/>
  <c r="K32" i="105"/>
  <c r="H32" i="105"/>
  <c r="T31" i="105"/>
  <c r="Q31" i="105"/>
  <c r="N31" i="105"/>
  <c r="K31" i="105"/>
  <c r="H31" i="105"/>
  <c r="T30" i="105"/>
  <c r="Q30" i="105"/>
  <c r="N30" i="105"/>
  <c r="K30" i="105"/>
  <c r="H30" i="105"/>
  <c r="T29" i="105"/>
  <c r="Q29" i="105"/>
  <c r="N29" i="105"/>
  <c r="K29" i="105"/>
  <c r="H29" i="105"/>
  <c r="T27" i="105"/>
  <c r="Q27" i="105"/>
  <c r="N27" i="105"/>
  <c r="K27" i="105"/>
  <c r="H27" i="105"/>
  <c r="T26" i="105"/>
  <c r="Q26" i="105"/>
  <c r="N26" i="105"/>
  <c r="K26" i="105"/>
  <c r="H26" i="105"/>
  <c r="T25" i="105"/>
  <c r="Q25" i="105"/>
  <c r="N25" i="105"/>
  <c r="K25" i="105"/>
  <c r="H25" i="105"/>
  <c r="Q4" i="85"/>
  <c r="R5" i="85"/>
  <c r="Q13" i="85"/>
  <c r="Q2" i="85"/>
  <c r="Q3" i="85"/>
  <c r="Q6" i="85"/>
  <c r="Q1" i="85"/>
  <c r="D25" i="57"/>
  <c r="D24" i="57"/>
  <c r="D23" i="57"/>
  <c r="I100" i="101" l="1"/>
  <c r="DO106" i="105"/>
  <c r="DL106" i="105"/>
  <c r="DI106" i="105"/>
  <c r="DI123" i="105" s="1"/>
  <c r="DI129" i="105" s="1"/>
  <c r="DF106" i="105"/>
  <c r="CQ123" i="105"/>
  <c r="CQ129" i="105" s="1"/>
  <c r="CN106" i="105"/>
  <c r="CK123" i="105"/>
  <c r="CK129" i="105" s="1"/>
  <c r="CE106" i="105"/>
  <c r="CB106" i="105"/>
  <c r="BV106" i="105"/>
  <c r="BS106" i="105"/>
  <c r="BP106" i="105"/>
  <c r="BM106" i="105"/>
  <c r="BJ106" i="105"/>
  <c r="DM21" i="105"/>
  <c r="DL14" i="105"/>
  <c r="DJ21" i="105"/>
  <c r="DG21" i="105"/>
  <c r="DD21" i="105"/>
  <c r="CL21" i="105"/>
  <c r="CF21" i="105"/>
  <c r="Z78" i="105"/>
  <c r="CC21" i="105"/>
  <c r="BZ21" i="105"/>
  <c r="BT21" i="105"/>
  <c r="BQ21" i="105"/>
  <c r="BN21" i="105"/>
  <c r="CH100" i="105"/>
  <c r="CH128" i="105" s="1"/>
  <c r="BA100" i="105"/>
  <c r="BA128" i="105" s="1"/>
  <c r="AX100" i="105"/>
  <c r="AX128" i="105" s="1"/>
  <c r="AU100" i="105"/>
  <c r="AU128" i="105" s="1"/>
  <c r="AL100" i="105"/>
  <c r="AL128" i="105" s="1"/>
  <c r="CZ123" i="105"/>
  <c r="CZ129" i="105" s="1"/>
  <c r="DL123" i="105"/>
  <c r="DL129" i="105" s="1"/>
  <c r="DL100" i="105"/>
  <c r="DL128" i="105" s="1"/>
  <c r="CT100" i="105"/>
  <c r="CT128" i="105" s="1"/>
  <c r="BY100" i="105"/>
  <c r="BY128" i="105" s="1"/>
  <c r="CN100" i="105"/>
  <c r="CN128" i="105" s="1"/>
  <c r="DI100" i="105"/>
  <c r="DI128" i="105" s="1"/>
  <c r="CT123" i="105"/>
  <c r="CT129" i="105" s="1"/>
  <c r="BV100" i="105"/>
  <c r="BV128" i="105" s="1"/>
  <c r="W100" i="105"/>
  <c r="W128" i="105" s="1"/>
  <c r="BG100" i="105"/>
  <c r="BG128" i="105" s="1"/>
  <c r="DF123" i="105"/>
  <c r="DF129" i="105" s="1"/>
  <c r="L21" i="105"/>
  <c r="I110" i="105"/>
  <c r="I109" i="105"/>
  <c r="K109" i="105" s="1"/>
  <c r="I107" i="105"/>
  <c r="I104" i="105"/>
  <c r="K104" i="105" s="1"/>
  <c r="I111" i="105"/>
  <c r="I108" i="105"/>
  <c r="I106" i="105"/>
  <c r="K106" i="105" s="1"/>
  <c r="F111" i="105"/>
  <c r="F110" i="105"/>
  <c r="F108" i="105"/>
  <c r="H108" i="105" s="1"/>
  <c r="F107" i="105"/>
  <c r="H107" i="105" s="1"/>
  <c r="F105" i="105"/>
  <c r="F104" i="105"/>
  <c r="F109" i="105"/>
  <c r="F106" i="105"/>
  <c r="H106" i="105" s="1"/>
  <c r="H110" i="105"/>
  <c r="K111" i="105"/>
  <c r="K110" i="105"/>
  <c r="K108" i="105"/>
  <c r="K107" i="105"/>
  <c r="H111" i="105"/>
  <c r="I21" i="105"/>
  <c r="F21" i="105"/>
  <c r="DC123" i="105"/>
  <c r="DC129" i="105" s="1"/>
  <c r="DC100" i="105"/>
  <c r="DC128" i="105" s="1"/>
  <c r="CB100" i="105"/>
  <c r="CB128" i="105" s="1"/>
  <c r="BM100" i="105"/>
  <c r="BM128" i="105" s="1"/>
  <c r="DO109" i="105"/>
  <c r="CN109" i="105"/>
  <c r="DO105" i="105"/>
  <c r="CN105" i="105"/>
  <c r="DO104" i="105"/>
  <c r="CN104" i="105"/>
  <c r="CN123" i="105" s="1"/>
  <c r="CN129" i="105" s="1"/>
  <c r="DO52" i="105"/>
  <c r="DC52" i="105"/>
  <c r="CT52" i="105"/>
  <c r="DL52" i="105"/>
  <c r="CW52" i="105"/>
  <c r="CZ52" i="105"/>
  <c r="CK52" i="105"/>
  <c r="DI52" i="105"/>
  <c r="CN52" i="105"/>
  <c r="DF52" i="105"/>
  <c r="CQ52" i="105"/>
  <c r="DO43" i="105"/>
  <c r="CN43" i="105"/>
  <c r="DI43" i="105"/>
  <c r="DL43" i="105"/>
  <c r="CK43" i="105"/>
  <c r="DF43" i="105"/>
  <c r="CZ43" i="105"/>
  <c r="DC43" i="105"/>
  <c r="CW43" i="105"/>
  <c r="CT43" i="105"/>
  <c r="CQ43" i="105"/>
  <c r="DO40" i="105"/>
  <c r="DL40" i="105"/>
  <c r="CT40" i="105"/>
  <c r="DC40" i="105"/>
  <c r="CZ40" i="105"/>
  <c r="CW40" i="105"/>
  <c r="DF40" i="105"/>
  <c r="DI40" i="105"/>
  <c r="CQ40" i="105"/>
  <c r="CN40" i="105"/>
  <c r="CK40" i="105"/>
  <c r="CZ24" i="105"/>
  <c r="CZ78" i="105" s="1"/>
  <c r="CZ127" i="105" s="1"/>
  <c r="DC24" i="105"/>
  <c r="CT24" i="105"/>
  <c r="CT78" i="105" s="1"/>
  <c r="CT127" i="105" s="1"/>
  <c r="DF24" i="105"/>
  <c r="DF78" i="105" s="1"/>
  <c r="DF127" i="105" s="1"/>
  <c r="CQ24" i="105"/>
  <c r="DI24" i="105"/>
  <c r="DO24" i="105"/>
  <c r="CN24" i="105"/>
  <c r="DL24" i="105"/>
  <c r="CW24" i="105"/>
  <c r="CK24" i="105"/>
  <c r="DM2" i="105"/>
  <c r="DO3" i="105"/>
  <c r="DN3" i="105"/>
  <c r="DL3" i="105"/>
  <c r="DJ2" i="105"/>
  <c r="DK3" i="105"/>
  <c r="DG2" i="105"/>
  <c r="DH3" i="105"/>
  <c r="DI3" i="105"/>
  <c r="DD2" i="105"/>
  <c r="DF3" i="105"/>
  <c r="DE3" i="105"/>
  <c r="DC3" i="105"/>
  <c r="DA2" i="105"/>
  <c r="DB3" i="105"/>
  <c r="CX2" i="105"/>
  <c r="CZ3" i="105"/>
  <c r="CY3" i="105"/>
  <c r="CV3" i="105"/>
  <c r="CW3" i="105"/>
  <c r="CU2" i="105"/>
  <c r="CR2" i="105"/>
  <c r="CS3" i="105"/>
  <c r="CT3" i="105"/>
  <c r="CQ3" i="105"/>
  <c r="CO2" i="105"/>
  <c r="CP3" i="105"/>
  <c r="CL2" i="105"/>
  <c r="CN3" i="105"/>
  <c r="CM3" i="105"/>
  <c r="CJ3" i="105"/>
  <c r="CI2" i="105"/>
  <c r="CK3" i="105"/>
  <c r="Z100" i="105"/>
  <c r="Z128" i="105" s="1"/>
  <c r="AR100" i="105"/>
  <c r="AR128" i="105" s="1"/>
  <c r="E149" i="105"/>
  <c r="CH117" i="105"/>
  <c r="BS117" i="105"/>
  <c r="AF117" i="105"/>
  <c r="BJ117" i="105"/>
  <c r="BY117" i="105"/>
  <c r="AO117" i="105"/>
  <c r="AR117" i="105"/>
  <c r="BG117" i="105"/>
  <c r="BV117" i="105"/>
  <c r="CE117" i="105"/>
  <c r="AI117" i="105"/>
  <c r="BP117" i="105"/>
  <c r="Z117" i="105"/>
  <c r="AL117" i="105"/>
  <c r="BA117" i="105"/>
  <c r="BM117" i="105"/>
  <c r="AC117" i="105"/>
  <c r="BD117" i="105"/>
  <c r="CB117" i="105"/>
  <c r="AX117" i="105"/>
  <c r="AU117" i="105"/>
  <c r="W117" i="105"/>
  <c r="CH116" i="105"/>
  <c r="AI116" i="105"/>
  <c r="BS116" i="105"/>
  <c r="AL116" i="105"/>
  <c r="AO116" i="105"/>
  <c r="BM116" i="105"/>
  <c r="BJ116" i="105"/>
  <c r="BG116" i="105"/>
  <c r="CE116" i="105"/>
  <c r="W116" i="105"/>
  <c r="BA116" i="105"/>
  <c r="AX116" i="105"/>
  <c r="BD116" i="105"/>
  <c r="AC116" i="105"/>
  <c r="CB116" i="105"/>
  <c r="AF116" i="105"/>
  <c r="BY116" i="105"/>
  <c r="AU116" i="105"/>
  <c r="BP116" i="105"/>
  <c r="Z116" i="105"/>
  <c r="BV116" i="105"/>
  <c r="AR116" i="105"/>
  <c r="CH109" i="105"/>
  <c r="BV109" i="105"/>
  <c r="BD109" i="105"/>
  <c r="AI109" i="105"/>
  <c r="AO109" i="105"/>
  <c r="Z109" i="105"/>
  <c r="BM109" i="105"/>
  <c r="AR109" i="105"/>
  <c r="AC109" i="105"/>
  <c r="W109" i="105"/>
  <c r="BY109" i="105"/>
  <c r="BS109" i="105"/>
  <c r="BJ109" i="105"/>
  <c r="BA109" i="105"/>
  <c r="AF109" i="105"/>
  <c r="CE109" i="105"/>
  <c r="AU109" i="105"/>
  <c r="BP109" i="105"/>
  <c r="AX109" i="105"/>
  <c r="BG109" i="105"/>
  <c r="AL109" i="105"/>
  <c r="CB109" i="105"/>
  <c r="BY105" i="105"/>
  <c r="CH105" i="105"/>
  <c r="W105" i="105"/>
  <c r="AL105" i="105"/>
  <c r="Z105" i="105"/>
  <c r="BJ105" i="105"/>
  <c r="CE105" i="105"/>
  <c r="BD105" i="105"/>
  <c r="AI105" i="105"/>
  <c r="AO105" i="105"/>
  <c r="CB105" i="105"/>
  <c r="BV105" i="105"/>
  <c r="AC105" i="105"/>
  <c r="BM105" i="105"/>
  <c r="BG105" i="105"/>
  <c r="BA105" i="105"/>
  <c r="AX105" i="105"/>
  <c r="BS105" i="105"/>
  <c r="BP105" i="105"/>
  <c r="AR105" i="105"/>
  <c r="AF105" i="105"/>
  <c r="AU105" i="105"/>
  <c r="CE104" i="105"/>
  <c r="CB104" i="105"/>
  <c r="BY104" i="105"/>
  <c r="BV104" i="105"/>
  <c r="BS104" i="105"/>
  <c r="BP104" i="105"/>
  <c r="BM104" i="105"/>
  <c r="BJ104" i="105"/>
  <c r="BG104" i="105"/>
  <c r="BD104" i="105"/>
  <c r="Z104" i="105"/>
  <c r="AU104" i="105"/>
  <c r="BA104" i="105"/>
  <c r="AX104" i="105"/>
  <c r="W104" i="105"/>
  <c r="AR104" i="105"/>
  <c r="AO104" i="105"/>
  <c r="AL104" i="105"/>
  <c r="AI104" i="105"/>
  <c r="AC104" i="105"/>
  <c r="AF104" i="105"/>
  <c r="CH104" i="105"/>
  <c r="AL52" i="105"/>
  <c r="AC52" i="105"/>
  <c r="CE52" i="105"/>
  <c r="BP52" i="105"/>
  <c r="BJ52" i="105"/>
  <c r="BG52" i="105"/>
  <c r="AO52" i="105"/>
  <c r="AX52" i="105"/>
  <c r="AI52" i="105"/>
  <c r="AU52" i="105"/>
  <c r="BY52" i="105"/>
  <c r="BS52" i="105"/>
  <c r="BM52" i="105"/>
  <c r="AR52" i="105"/>
  <c r="BV52" i="105"/>
  <c r="BA52" i="105"/>
  <c r="CB52" i="105"/>
  <c r="BD52" i="105"/>
  <c r="AF52" i="105"/>
  <c r="Z52" i="105"/>
  <c r="W52" i="105"/>
  <c r="CH52" i="105"/>
  <c r="W43" i="105"/>
  <c r="AI43" i="105"/>
  <c r="BA43" i="105"/>
  <c r="BM43" i="105"/>
  <c r="BD43" i="105"/>
  <c r="BY43" i="105"/>
  <c r="AX43" i="105"/>
  <c r="AR43" i="105"/>
  <c r="BV43" i="105"/>
  <c r="Z43" i="105"/>
  <c r="BG43" i="105"/>
  <c r="AL43" i="105"/>
  <c r="BP43" i="105"/>
  <c r="AO43" i="105"/>
  <c r="BJ43" i="105"/>
  <c r="AC43" i="105"/>
  <c r="AF43" i="105"/>
  <c r="CB43" i="105"/>
  <c r="CH43" i="105"/>
  <c r="AU43" i="105"/>
  <c r="BS43" i="105"/>
  <c r="CE43" i="105"/>
  <c r="AU40" i="105"/>
  <c r="AL40" i="105"/>
  <c r="BV40" i="105"/>
  <c r="BY40" i="105"/>
  <c r="AI40" i="105"/>
  <c r="BA40" i="105"/>
  <c r="BG40" i="105"/>
  <c r="AX40" i="105"/>
  <c r="BJ40" i="105"/>
  <c r="BD40" i="105"/>
  <c r="AF40" i="105"/>
  <c r="CE40" i="105"/>
  <c r="BM40" i="105"/>
  <c r="CB40" i="105"/>
  <c r="AC40" i="105"/>
  <c r="CH40" i="105"/>
  <c r="AR40" i="105"/>
  <c r="Z40" i="105"/>
  <c r="BP40" i="105"/>
  <c r="W40" i="105"/>
  <c r="AO40" i="105"/>
  <c r="BS40" i="105"/>
  <c r="BA24" i="105"/>
  <c r="BV24" i="105"/>
  <c r="BS24" i="105"/>
  <c r="CE24" i="105"/>
  <c r="AO24" i="105"/>
  <c r="BP24" i="105"/>
  <c r="AR24" i="105"/>
  <c r="BY24" i="105"/>
  <c r="AF24" i="105"/>
  <c r="Z24" i="105"/>
  <c r="CB24" i="105"/>
  <c r="BD24" i="105"/>
  <c r="BM24" i="105"/>
  <c r="AC24" i="105"/>
  <c r="CH24" i="105"/>
  <c r="AU24" i="105"/>
  <c r="W24" i="105"/>
  <c r="AX24" i="105"/>
  <c r="BJ24" i="105"/>
  <c r="BG24" i="105"/>
  <c r="AL24" i="105"/>
  <c r="AI24" i="105"/>
  <c r="CF2" i="105"/>
  <c r="CH3" i="105"/>
  <c r="CG3" i="105"/>
  <c r="CD3" i="105"/>
  <c r="CC2" i="105"/>
  <c r="CE3" i="105"/>
  <c r="BZ2" i="105"/>
  <c r="CA3" i="105"/>
  <c r="CB3" i="105"/>
  <c r="BY3" i="105"/>
  <c r="BW2" i="105"/>
  <c r="BX3" i="105"/>
  <c r="BR3" i="105"/>
  <c r="BS3" i="105"/>
  <c r="BQ2" i="105"/>
  <c r="BO3" i="105"/>
  <c r="BP3" i="105"/>
  <c r="BN2" i="105"/>
  <c r="BM3" i="105"/>
  <c r="BL3" i="105"/>
  <c r="BK2" i="105"/>
  <c r="BH2" i="105"/>
  <c r="BI3" i="105"/>
  <c r="BJ3" i="105"/>
  <c r="BG3" i="105"/>
  <c r="BE2" i="105"/>
  <c r="BF3" i="105"/>
  <c r="BD3" i="105"/>
  <c r="BC3" i="105"/>
  <c r="BB2" i="105"/>
  <c r="BA3" i="105"/>
  <c r="AZ3" i="105"/>
  <c r="AY2" i="105"/>
  <c r="AW3" i="105"/>
  <c r="AX3" i="105"/>
  <c r="AV2" i="105"/>
  <c r="AU3" i="105"/>
  <c r="AT3" i="105"/>
  <c r="AS2" i="105"/>
  <c r="AP2" i="105"/>
  <c r="AQ3" i="105"/>
  <c r="AR3" i="105"/>
  <c r="AO3" i="105"/>
  <c r="AN3" i="105"/>
  <c r="AM2" i="105"/>
  <c r="AK3" i="105"/>
  <c r="AL3" i="105"/>
  <c r="AJ2" i="105"/>
  <c r="AH3" i="105"/>
  <c r="AI3" i="105"/>
  <c r="AG2" i="105"/>
  <c r="AF3" i="105"/>
  <c r="AE3" i="105"/>
  <c r="AD2" i="105"/>
  <c r="AA2" i="105"/>
  <c r="AB3" i="105"/>
  <c r="AC3" i="105"/>
  <c r="Z3" i="105"/>
  <c r="X2" i="105"/>
  <c r="V3" i="105"/>
  <c r="U2" i="105"/>
  <c r="T3" i="105"/>
  <c r="R2" i="105"/>
  <c r="S3" i="105"/>
  <c r="O2" i="105"/>
  <c r="Q3" i="105"/>
  <c r="P3" i="105"/>
  <c r="N3" i="105"/>
  <c r="M3" i="105"/>
  <c r="L2" i="105"/>
  <c r="J3" i="105"/>
  <c r="I2" i="105"/>
  <c r="H3" i="105"/>
  <c r="G3" i="105"/>
  <c r="F2" i="105"/>
  <c r="T100" i="105"/>
  <c r="T128" i="105" s="1"/>
  <c r="Q100" i="105"/>
  <c r="Q128" i="105" s="1"/>
  <c r="N100" i="105"/>
  <c r="N128" i="105" s="1"/>
  <c r="H105" i="105"/>
  <c r="H104" i="105"/>
  <c r="H87" i="105"/>
  <c r="H40" i="105"/>
  <c r="T24" i="105"/>
  <c r="Q24" i="105"/>
  <c r="N24" i="105"/>
  <c r="K24" i="105"/>
  <c r="H24" i="105"/>
  <c r="T40" i="105"/>
  <c r="Q40" i="105"/>
  <c r="N40" i="105"/>
  <c r="K40" i="105"/>
  <c r="T43" i="105"/>
  <c r="Q43" i="105"/>
  <c r="N43" i="105"/>
  <c r="K43" i="105"/>
  <c r="H43" i="105"/>
  <c r="T52" i="105"/>
  <c r="Q52" i="105"/>
  <c r="N52" i="105"/>
  <c r="K52" i="105"/>
  <c r="H52" i="105"/>
  <c r="H66" i="105"/>
  <c r="K100" i="105"/>
  <c r="K128" i="105" s="1"/>
  <c r="T104" i="105"/>
  <c r="Q104" i="105"/>
  <c r="N104" i="105"/>
  <c r="T105" i="105"/>
  <c r="Q105" i="105"/>
  <c r="N105" i="105"/>
  <c r="K105" i="105"/>
  <c r="T109" i="105"/>
  <c r="Q109" i="105"/>
  <c r="N109" i="105"/>
  <c r="H109" i="105"/>
  <c r="T116" i="105"/>
  <c r="Q116" i="105"/>
  <c r="N116" i="105"/>
  <c r="K116" i="105"/>
  <c r="H116" i="105"/>
  <c r="T117" i="105"/>
  <c r="Q117" i="105"/>
  <c r="N117" i="105"/>
  <c r="K117" i="105"/>
  <c r="H117" i="105"/>
  <c r="P5" i="85"/>
  <c r="D24" i="26"/>
  <c r="F5" i="26" s="1"/>
  <c r="DO123" i="105" l="1"/>
  <c r="DO129" i="105" s="1"/>
  <c r="CQ78" i="105"/>
  <c r="CQ127" i="105" s="1"/>
  <c r="DI78" i="105"/>
  <c r="DI127" i="105" s="1"/>
  <c r="DO78" i="105"/>
  <c r="DO127" i="105" s="1"/>
  <c r="DC78" i="105"/>
  <c r="DC127" i="105" s="1"/>
  <c r="H100" i="105"/>
  <c r="H128" i="105" s="1"/>
  <c r="CN78" i="105"/>
  <c r="CN127" i="105" s="1"/>
  <c r="DL78" i="105"/>
  <c r="DL127" i="105" s="1"/>
  <c r="CW78" i="105"/>
  <c r="CW127" i="105" s="1"/>
  <c r="CK78" i="105"/>
  <c r="CK127" i="105" s="1"/>
  <c r="CE123" i="105"/>
  <c r="CE129" i="105" s="1"/>
  <c r="CB123" i="105"/>
  <c r="CB129" i="105" s="1"/>
  <c r="BY123" i="105"/>
  <c r="BY129" i="105" s="1"/>
  <c r="BV123" i="105"/>
  <c r="BV129" i="105" s="1"/>
  <c r="BS123" i="105"/>
  <c r="BS129" i="105" s="1"/>
  <c r="BP123" i="105"/>
  <c r="BP129" i="105" s="1"/>
  <c r="BM123" i="105"/>
  <c r="BM129" i="105" s="1"/>
  <c r="BJ123" i="105"/>
  <c r="BJ129" i="105" s="1"/>
  <c r="BG123" i="105"/>
  <c r="BG129" i="105" s="1"/>
  <c r="BD123" i="105"/>
  <c r="BD129" i="105" s="1"/>
  <c r="Z123" i="105"/>
  <c r="Z129" i="105" s="1"/>
  <c r="AU123" i="105"/>
  <c r="AU129" i="105" s="1"/>
  <c r="BA123" i="105"/>
  <c r="BA129" i="105" s="1"/>
  <c r="AX123" i="105"/>
  <c r="AX129" i="105" s="1"/>
  <c r="W123" i="105"/>
  <c r="W129" i="105" s="1"/>
  <c r="AR123" i="105"/>
  <c r="AR129" i="105" s="1"/>
  <c r="AO123" i="105"/>
  <c r="AO129" i="105" s="1"/>
  <c r="AL123" i="105"/>
  <c r="AL129" i="105" s="1"/>
  <c r="AI123" i="105"/>
  <c r="AI129" i="105" s="1"/>
  <c r="AC123" i="105"/>
  <c r="AC129" i="105" s="1"/>
  <c r="AF123" i="105"/>
  <c r="AF129" i="105" s="1"/>
  <c r="CH123" i="105"/>
  <c r="CH129" i="105" s="1"/>
  <c r="BA78" i="105"/>
  <c r="BA127" i="105" s="1"/>
  <c r="BV78" i="105"/>
  <c r="BV127" i="105" s="1"/>
  <c r="BS78" i="105"/>
  <c r="BS127" i="105" s="1"/>
  <c r="CE78" i="105"/>
  <c r="CE127" i="105" s="1"/>
  <c r="AO78" i="105"/>
  <c r="AO127" i="105" s="1"/>
  <c r="BP78" i="105"/>
  <c r="BP127" i="105" s="1"/>
  <c r="AR78" i="105"/>
  <c r="AR127" i="105" s="1"/>
  <c r="BY78" i="105"/>
  <c r="BY127" i="105" s="1"/>
  <c r="AF78" i="105"/>
  <c r="AF127" i="105" s="1"/>
  <c r="Z127" i="105"/>
  <c r="CB78" i="105"/>
  <c r="CB127" i="105" s="1"/>
  <c r="BD78" i="105"/>
  <c r="BD127" i="105" s="1"/>
  <c r="BM78" i="105"/>
  <c r="BM127" i="105" s="1"/>
  <c r="AC78" i="105"/>
  <c r="AC127" i="105" s="1"/>
  <c r="CH78" i="105"/>
  <c r="CH127" i="105" s="1"/>
  <c r="AU78" i="105"/>
  <c r="AU127" i="105" s="1"/>
  <c r="W78" i="105"/>
  <c r="W127" i="105" s="1"/>
  <c r="AX78" i="105"/>
  <c r="AX127" i="105" s="1"/>
  <c r="BJ78" i="105"/>
  <c r="BJ127" i="105" s="1"/>
  <c r="BG78" i="105"/>
  <c r="BG127" i="105" s="1"/>
  <c r="AL78" i="105"/>
  <c r="AL127" i="105" s="1"/>
  <c r="AI78" i="105"/>
  <c r="AI127" i="105" s="1"/>
  <c r="H123" i="105"/>
  <c r="H129" i="105" s="1"/>
  <c r="K123" i="105"/>
  <c r="K129" i="105" s="1"/>
  <c r="N123" i="105"/>
  <c r="N129" i="105" s="1"/>
  <c r="Q123" i="105"/>
  <c r="Q129" i="105" s="1"/>
  <c r="T123" i="105"/>
  <c r="T129" i="105" s="1"/>
  <c r="K78" i="105"/>
  <c r="K127" i="105" s="1"/>
  <c r="N78" i="105"/>
  <c r="N127" i="105" s="1"/>
  <c r="Q78" i="105"/>
  <c r="Q127" i="105" s="1"/>
  <c r="T78" i="105"/>
  <c r="T127" i="105" s="1"/>
  <c r="F4" i="26"/>
  <c r="F18" i="28"/>
  <c r="F19" i="28"/>
  <c r="F20" i="28"/>
  <c r="C18" i="28" l="1"/>
  <c r="D17" i="28"/>
  <c r="F6" i="28"/>
  <c r="D56" i="104"/>
  <c r="H53" i="104"/>
  <c r="H51" i="104"/>
  <c r="H49" i="104"/>
  <c r="H47" i="104"/>
  <c r="H45" i="104"/>
  <c r="H43" i="104"/>
  <c r="H41" i="104"/>
  <c r="H39" i="104"/>
  <c r="H37" i="104"/>
  <c r="H35" i="104"/>
  <c r="AL33" i="104"/>
  <c r="AO33" i="104" s="1"/>
  <c r="AX33" i="104" s="1"/>
  <c r="AK33" i="104"/>
  <c r="AQ33" i="104" s="1"/>
  <c r="H33" i="104"/>
  <c r="AL32" i="104"/>
  <c r="AO32" i="104" s="1"/>
  <c r="AX32" i="104" s="1"/>
  <c r="AK32" i="104"/>
  <c r="AW32" i="104" s="1"/>
  <c r="AL31" i="104"/>
  <c r="AO31" i="104" s="1"/>
  <c r="AX31" i="104" s="1"/>
  <c r="AK31" i="104"/>
  <c r="AQ31" i="104" s="1"/>
  <c r="H31" i="104"/>
  <c r="AL30" i="104"/>
  <c r="AO30" i="104" s="1"/>
  <c r="AX30" i="104" s="1"/>
  <c r="AK30" i="104"/>
  <c r="AQ30" i="104" s="1"/>
  <c r="AL29" i="104"/>
  <c r="AO29" i="104" s="1"/>
  <c r="AX29" i="104" s="1"/>
  <c r="AK29" i="104"/>
  <c r="AW29" i="104" s="1"/>
  <c r="I29" i="104"/>
  <c r="I43" i="104" s="1"/>
  <c r="H29" i="104"/>
  <c r="AW28" i="104"/>
  <c r="AQ28" i="104"/>
  <c r="AL28" i="104"/>
  <c r="AO28" i="104" s="1"/>
  <c r="AX28" i="104" s="1"/>
  <c r="AK28" i="104"/>
  <c r="AT28" i="104" s="1"/>
  <c r="AL27" i="104"/>
  <c r="AO27" i="104" s="1"/>
  <c r="AX27" i="104" s="1"/>
  <c r="AK27" i="104"/>
  <c r="AW27" i="104" s="1"/>
  <c r="H27" i="104"/>
  <c r="AL26" i="104"/>
  <c r="AN26" i="104" s="1"/>
  <c r="AU26" i="104" s="1"/>
  <c r="AK26" i="104"/>
  <c r="AT26" i="104" s="1"/>
  <c r="AL25" i="104"/>
  <c r="AM25" i="104" s="1"/>
  <c r="AR25" i="104" s="1"/>
  <c r="AK25" i="104"/>
  <c r="AW25" i="104" s="1"/>
  <c r="AL24" i="104"/>
  <c r="AO24" i="104" s="1"/>
  <c r="AX24" i="104" s="1"/>
  <c r="AK24" i="104"/>
  <c r="AQ24" i="104" s="1"/>
  <c r="AL23" i="104"/>
  <c r="AM23" i="104" s="1"/>
  <c r="AR23" i="104" s="1"/>
  <c r="AK23" i="104"/>
  <c r="AT23" i="104" s="1"/>
  <c r="AL22" i="104"/>
  <c r="AN22" i="104" s="1"/>
  <c r="AU22" i="104" s="1"/>
  <c r="AK22" i="104"/>
  <c r="AW22" i="104" s="1"/>
  <c r="AL21" i="104"/>
  <c r="AN21" i="104" s="1"/>
  <c r="AU21" i="104" s="1"/>
  <c r="AK21" i="104"/>
  <c r="AT21" i="104" s="1"/>
  <c r="AL20" i="104"/>
  <c r="AO20" i="104" s="1"/>
  <c r="AX20" i="104" s="1"/>
  <c r="AK20" i="104"/>
  <c r="AW20" i="104" s="1"/>
  <c r="AX19" i="104"/>
  <c r="AU19" i="104"/>
  <c r="AR19" i="104"/>
  <c r="AK19" i="104"/>
  <c r="AQ19" i="104" s="1"/>
  <c r="AQ20" i="104" l="1"/>
  <c r="AT31" i="104"/>
  <c r="AT19" i="104"/>
  <c r="AT20" i="104"/>
  <c r="AT24" i="104"/>
  <c r="AW19" i="104"/>
  <c r="AT32" i="104"/>
  <c r="AN20" i="104"/>
  <c r="AU20" i="104" s="1"/>
  <c r="AQ23" i="104"/>
  <c r="AT25" i="104"/>
  <c r="AQ27" i="104"/>
  <c r="AT27" i="104"/>
  <c r="AT30" i="104"/>
  <c r="AM32" i="104"/>
  <c r="AR32" i="104" s="1"/>
  <c r="AW30" i="104"/>
  <c r="AN32" i="104"/>
  <c r="AU32" i="104" s="1"/>
  <c r="AN23" i="104"/>
  <c r="AU23" i="104" s="1"/>
  <c r="AQ25" i="104"/>
  <c r="AM30" i="104"/>
  <c r="AR30" i="104" s="1"/>
  <c r="AW23" i="104"/>
  <c r="AT33" i="104"/>
  <c r="AM20" i="104"/>
  <c r="AR20" i="104" s="1"/>
  <c r="AQ22" i="104"/>
  <c r="AQ26" i="104"/>
  <c r="AQ29" i="104"/>
  <c r="AT22" i="104"/>
  <c r="AW26" i="104"/>
  <c r="AT29" i="104"/>
  <c r="AQ32" i="104"/>
  <c r="AO23" i="104"/>
  <c r="AX23" i="104" s="1"/>
  <c r="AM28" i="104"/>
  <c r="AR28" i="104" s="1"/>
  <c r="AN30" i="104"/>
  <c r="AU30" i="104" s="1"/>
  <c r="AO22" i="104"/>
  <c r="AX22" i="104" s="1"/>
  <c r="AN25" i="104"/>
  <c r="AU25" i="104" s="1"/>
  <c r="AN28" i="104"/>
  <c r="AU28" i="104" s="1"/>
  <c r="AO25" i="104"/>
  <c r="AX25" i="104" s="1"/>
  <c r="AM26" i="104"/>
  <c r="AR26" i="104" s="1"/>
  <c r="AM21" i="104"/>
  <c r="AR21" i="104" s="1"/>
  <c r="AM24" i="104"/>
  <c r="AR24" i="104" s="1"/>
  <c r="AO26" i="104"/>
  <c r="AX26" i="104" s="1"/>
  <c r="AW31" i="104"/>
  <c r="AM33" i="104"/>
  <c r="AR33" i="104" s="1"/>
  <c r="AO21" i="104"/>
  <c r="AX21" i="104" s="1"/>
  <c r="AN24" i="104"/>
  <c r="AU24" i="104" s="1"/>
  <c r="AM31" i="104"/>
  <c r="AR31" i="104" s="1"/>
  <c r="AN33" i="104"/>
  <c r="AU33" i="104" s="1"/>
  <c r="AQ21" i="104"/>
  <c r="AM22" i="104"/>
  <c r="AR22" i="104" s="1"/>
  <c r="AM27" i="104"/>
  <c r="AR27" i="104" s="1"/>
  <c r="AM29" i="104"/>
  <c r="AR29" i="104" s="1"/>
  <c r="AN31" i="104"/>
  <c r="AU31" i="104" s="1"/>
  <c r="AW24" i="104"/>
  <c r="AW33" i="104"/>
  <c r="AN27" i="104"/>
  <c r="AU27" i="104" s="1"/>
  <c r="AN29" i="104"/>
  <c r="AU29" i="104" s="1"/>
  <c r="AW21" i="104"/>
  <c r="E148" i="101" l="1"/>
  <c r="E147" i="101"/>
  <c r="E146" i="101"/>
  <c r="E145" i="101"/>
  <c r="E144" i="101"/>
  <c r="E143" i="101"/>
  <c r="E142" i="101"/>
  <c r="E138" i="101"/>
  <c r="E137" i="101"/>
  <c r="E136" i="101"/>
  <c r="E134" i="101"/>
  <c r="E133" i="101"/>
  <c r="E130" i="101"/>
  <c r="E123" i="101"/>
  <c r="E100" i="101"/>
  <c r="E78" i="101"/>
  <c r="H21" i="101"/>
  <c r="G21" i="101"/>
  <c r="E149" i="101" l="1"/>
  <c r="E135" i="101" l="1"/>
  <c r="E139" i="101" s="1"/>
  <c r="H5" i="93" l="1"/>
  <c r="H4" i="93"/>
  <c r="H3" i="93"/>
  <c r="H24" i="93"/>
  <c r="H19" i="93"/>
  <c r="H14" i="93"/>
  <c r="H9" i="93"/>
  <c r="G72" i="92"/>
  <c r="G73" i="92"/>
  <c r="G71" i="92"/>
  <c r="G70" i="92"/>
  <c r="G80" i="92"/>
  <c r="G74" i="92"/>
  <c r="G69" i="92"/>
  <c r="G68" i="92"/>
  <c r="G67" i="92"/>
  <c r="G66" i="92"/>
  <c r="G79" i="92"/>
  <c r="G78" i="92"/>
  <c r="G77" i="92"/>
  <c r="G76" i="92"/>
  <c r="G75" i="92"/>
  <c r="G56" i="92"/>
  <c r="G55" i="92"/>
  <c r="G54" i="92"/>
  <c r="G53" i="92"/>
  <c r="G52" i="92"/>
  <c r="G51" i="92"/>
  <c r="G50" i="92"/>
  <c r="G63" i="92"/>
  <c r="G62" i="92"/>
  <c r="G61" i="92"/>
  <c r="G60" i="92"/>
  <c r="G59" i="92"/>
  <c r="G58" i="92"/>
  <c r="G57" i="92"/>
  <c r="G44" i="92"/>
  <c r="G43" i="92"/>
  <c r="G46" i="92"/>
  <c r="G45" i="92"/>
  <c r="G48" i="92"/>
  <c r="G47" i="92"/>
  <c r="G64" i="92"/>
  <c r="G49" i="92"/>
  <c r="G65" i="92"/>
  <c r="G32" i="92"/>
  <c r="G31" i="92"/>
  <c r="G30" i="92"/>
  <c r="G29" i="92"/>
  <c r="G28" i="92"/>
  <c r="G27" i="92"/>
  <c r="G38" i="92"/>
  <c r="G37" i="92"/>
  <c r="G36" i="92"/>
  <c r="G35" i="92"/>
  <c r="G34" i="92"/>
  <c r="G33" i="92"/>
  <c r="G81" i="92"/>
  <c r="G42" i="92"/>
  <c r="G41" i="92"/>
  <c r="G40" i="92"/>
  <c r="G39" i="92"/>
  <c r="G26" i="92"/>
  <c r="G25" i="92"/>
  <c r="G24" i="92"/>
  <c r="G23" i="92"/>
  <c r="G22" i="92"/>
  <c r="G21" i="92"/>
  <c r="G20" i="92"/>
  <c r="G19" i="92"/>
  <c r="G18" i="92"/>
  <c r="G17" i="92"/>
  <c r="G16" i="92"/>
  <c r="G15" i="92"/>
  <c r="G14" i="92"/>
  <c r="G13" i="92"/>
  <c r="G12" i="92"/>
  <c r="G11" i="92"/>
  <c r="G10" i="92"/>
  <c r="G9" i="92"/>
  <c r="G8" i="92"/>
  <c r="G7" i="92"/>
  <c r="G6" i="92"/>
  <c r="G5" i="92"/>
  <c r="G4" i="92"/>
  <c r="E22" i="28"/>
  <c r="F17" i="28"/>
  <c r="F16" i="28"/>
  <c r="F15" i="28"/>
  <c r="F14" i="28"/>
  <c r="F13" i="28"/>
  <c r="F12" i="28"/>
  <c r="F11" i="28"/>
  <c r="F10" i="28"/>
  <c r="F9" i="28"/>
  <c r="F8" i="28"/>
  <c r="F7" i="28"/>
  <c r="F5" i="28"/>
  <c r="F4" i="28"/>
  <c r="H6" i="93" l="1"/>
  <c r="G82" i="92"/>
  <c r="F22" i="28"/>
  <c r="D5" i="57" l="1"/>
  <c r="I127" i="101" l="1"/>
  <c r="J8" i="104" s="1"/>
  <c r="D31" i="23" l="1"/>
  <c r="D27" i="23"/>
  <c r="D16" i="23"/>
  <c r="D6" i="23"/>
  <c r="W4" i="23"/>
  <c r="AA10" i="23"/>
  <c r="AB10" i="23" s="1"/>
  <c r="AA15" i="23"/>
  <c r="AB15" i="23" s="1"/>
  <c r="D16" i="57"/>
  <c r="D3" i="57" s="1"/>
  <c r="D27" i="57"/>
  <c r="D33" i="23" l="1"/>
  <c r="D3" i="23" s="1"/>
  <c r="D18" i="57"/>
  <c r="E18" i="26"/>
  <c r="G7" i="26" s="1"/>
  <c r="H7" i="26" s="1"/>
  <c r="I7" i="26" s="1"/>
  <c r="Y9" i="23"/>
  <c r="AA9" i="23" s="1"/>
  <c r="AB9" i="23" s="1"/>
  <c r="Y13" i="23"/>
  <c r="Y12" i="23"/>
  <c r="AA12" i="23" s="1"/>
  <c r="AB12" i="23" s="1"/>
  <c r="Y11" i="23"/>
  <c r="AA11" i="23" s="1"/>
  <c r="AB11" i="23" s="1"/>
  <c r="Y8" i="23"/>
  <c r="AA8" i="23" s="1"/>
  <c r="AB8" i="23" s="1"/>
  <c r="AA13" i="23"/>
  <c r="AB13" i="23" s="1"/>
  <c r="Y7" i="23"/>
  <c r="AA7" i="23" s="1"/>
  <c r="AB7" i="23" s="1"/>
  <c r="Y14" i="23"/>
  <c r="AA14" i="23" s="1"/>
  <c r="AB14" i="23" s="1"/>
  <c r="Y15" i="23"/>
  <c r="Y10" i="23"/>
  <c r="H11" i="105" l="1"/>
  <c r="W11" i="105"/>
  <c r="Z11" i="105"/>
  <c r="K11" i="105"/>
  <c r="N11" i="105"/>
  <c r="Q11" i="105"/>
  <c r="T11" i="105"/>
  <c r="AC11" i="105"/>
  <c r="AF11" i="105"/>
  <c r="AI11" i="105"/>
  <c r="AL11" i="105"/>
  <c r="AO11" i="105"/>
  <c r="AR11" i="105"/>
  <c r="AU11" i="105"/>
  <c r="AX11" i="105"/>
  <c r="BA11" i="105"/>
  <c r="BD11" i="105"/>
  <c r="BG11" i="105"/>
  <c r="BJ11" i="105"/>
  <c r="BM11" i="105"/>
  <c r="BP11" i="105"/>
  <c r="BS11" i="105"/>
  <c r="BV11" i="105"/>
  <c r="BY11" i="105"/>
  <c r="G6" i="26"/>
  <c r="H6" i="26" s="1"/>
  <c r="I6" i="26" s="1"/>
  <c r="G16" i="26"/>
  <c r="H16" i="26" s="1"/>
  <c r="I16" i="26" s="1"/>
  <c r="G3" i="26"/>
  <c r="H3" i="26" s="1"/>
  <c r="G11" i="26"/>
  <c r="H11" i="26" s="1"/>
  <c r="I11" i="26" s="1"/>
  <c r="G8" i="26"/>
  <c r="H8" i="26" s="1"/>
  <c r="I8" i="26" s="1"/>
  <c r="E12" i="105" s="1"/>
  <c r="G10" i="26"/>
  <c r="H10" i="26" s="1"/>
  <c r="I10" i="26" s="1"/>
  <c r="G15" i="26"/>
  <c r="H15" i="26" s="1"/>
  <c r="I15" i="26" s="1"/>
  <c r="G9" i="26"/>
  <c r="H9" i="26" s="1"/>
  <c r="I9" i="26" s="1"/>
  <c r="G5" i="26"/>
  <c r="H5" i="26" s="1"/>
  <c r="I5" i="26" s="1"/>
  <c r="G4" i="26"/>
  <c r="H4" i="26" s="1"/>
  <c r="I4" i="26" s="1"/>
  <c r="I128" i="101"/>
  <c r="N8" i="104" s="1"/>
  <c r="Z18" i="105" l="1"/>
  <c r="T18" i="105"/>
  <c r="W18" i="105"/>
  <c r="Q18" i="105"/>
  <c r="N18" i="105"/>
  <c r="BY18" i="105"/>
  <c r="BV18" i="105"/>
  <c r="BS18" i="105"/>
  <c r="BP18" i="105"/>
  <c r="BM18" i="105"/>
  <c r="BJ18" i="105"/>
  <c r="BG18" i="105"/>
  <c r="BD18" i="105"/>
  <c r="AX18" i="105"/>
  <c r="BA18" i="105"/>
  <c r="AU18" i="105"/>
  <c r="AR18" i="105"/>
  <c r="AO18" i="105"/>
  <c r="AL18" i="105"/>
  <c r="AI18" i="105"/>
  <c r="AF18" i="105"/>
  <c r="AC18" i="105"/>
  <c r="H18" i="105"/>
  <c r="K18" i="105"/>
  <c r="H20" i="105"/>
  <c r="Q20" i="105"/>
  <c r="T20" i="105"/>
  <c r="N20" i="105"/>
  <c r="W20" i="105"/>
  <c r="K20" i="105"/>
  <c r="BY20" i="105"/>
  <c r="BV20" i="105"/>
  <c r="BS20" i="105"/>
  <c r="BP20" i="105"/>
  <c r="BM20" i="105"/>
  <c r="BJ20" i="105"/>
  <c r="BG20" i="105"/>
  <c r="BD20" i="105"/>
  <c r="BA20" i="105"/>
  <c r="AX20" i="105"/>
  <c r="AU20" i="105"/>
  <c r="AR20" i="105"/>
  <c r="AO20" i="105"/>
  <c r="AL20" i="105"/>
  <c r="AI20" i="105"/>
  <c r="AF20" i="105"/>
  <c r="AC20" i="105"/>
  <c r="Z20" i="105"/>
  <c r="Q19" i="105"/>
  <c r="AC19" i="105"/>
  <c r="AO19" i="105"/>
  <c r="AX19" i="105"/>
  <c r="BJ19" i="105"/>
  <c r="BP19" i="105"/>
  <c r="Z19" i="105"/>
  <c r="AL19" i="105"/>
  <c r="AU19" i="105"/>
  <c r="BD19" i="105"/>
  <c r="T19" i="105"/>
  <c r="BS19" i="105"/>
  <c r="BY19" i="105"/>
  <c r="N19" i="105"/>
  <c r="K19" i="105"/>
  <c r="W19" i="105"/>
  <c r="AF19" i="105"/>
  <c r="AR19" i="105"/>
  <c r="BA19" i="105"/>
  <c r="BG19" i="105"/>
  <c r="BM19" i="105"/>
  <c r="BV19" i="105"/>
  <c r="AI19" i="105"/>
  <c r="H19" i="105"/>
  <c r="I3" i="26"/>
  <c r="E7" i="105" s="1"/>
  <c r="DL8" i="105" l="1"/>
  <c r="DC8" i="105"/>
  <c r="CZ8" i="105"/>
  <c r="DF8" i="105"/>
  <c r="CN8" i="105"/>
  <c r="DO8" i="105"/>
  <c r="CK8" i="105"/>
  <c r="DI8" i="105"/>
  <c r="CQ8" i="105"/>
  <c r="CW8" i="105"/>
  <c r="CT8" i="105"/>
  <c r="CK9" i="105"/>
  <c r="CW9" i="105"/>
  <c r="DF9" i="105"/>
  <c r="DO9" i="105"/>
  <c r="DC9" i="105"/>
  <c r="DL9" i="105"/>
  <c r="CT9" i="105"/>
  <c r="CZ9" i="105"/>
  <c r="CQ9" i="105"/>
  <c r="DI9" i="105"/>
  <c r="CN9" i="105"/>
  <c r="BJ8" i="105"/>
  <c r="BS8" i="105"/>
  <c r="BM8" i="105"/>
  <c r="AU8" i="105"/>
  <c r="AL8" i="105"/>
  <c r="CH8" i="105"/>
  <c r="Z8" i="105"/>
  <c r="AR8" i="105"/>
  <c r="AO8" i="105"/>
  <c r="AI8" i="105"/>
  <c r="BV8" i="105"/>
  <c r="CE8" i="105"/>
  <c r="BP8" i="105"/>
  <c r="BA8" i="105"/>
  <c r="BY8" i="105"/>
  <c r="W8" i="105"/>
  <c r="BD8" i="105"/>
  <c r="CB8" i="105"/>
  <c r="BG8" i="105"/>
  <c r="AX8" i="105"/>
  <c r="AF8" i="105"/>
  <c r="AC8" i="105"/>
  <c r="AC10" i="105"/>
  <c r="BJ10" i="105"/>
  <c r="BP10" i="105"/>
  <c r="AU10" i="105"/>
  <c r="AX10" i="105"/>
  <c r="AR10" i="105"/>
  <c r="AO10" i="105"/>
  <c r="AL10" i="105"/>
  <c r="AI10" i="105"/>
  <c r="AF10" i="105"/>
  <c r="Z10" i="105"/>
  <c r="W10" i="105"/>
  <c r="BS10" i="105"/>
  <c r="BY10" i="105"/>
  <c r="BA10" i="105"/>
  <c r="BM10" i="105"/>
  <c r="BG10" i="105"/>
  <c r="BD10" i="105"/>
  <c r="BV10" i="105"/>
  <c r="W13" i="105"/>
  <c r="BY13" i="105"/>
  <c r="Z13" i="105"/>
  <c r="AC13" i="105"/>
  <c r="BV13" i="105"/>
  <c r="AU13" i="105"/>
  <c r="BJ13" i="105"/>
  <c r="AR13" i="105"/>
  <c r="BS13" i="105"/>
  <c r="AO13" i="105"/>
  <c r="AF13" i="105"/>
  <c r="AL13" i="105"/>
  <c r="BP13" i="105"/>
  <c r="AX13" i="105"/>
  <c r="BG13" i="105"/>
  <c r="BD13" i="105"/>
  <c r="BA13" i="105"/>
  <c r="BM13" i="105"/>
  <c r="AI13" i="105"/>
  <c r="BD9" i="105"/>
  <c r="BY9" i="105"/>
  <c r="BV9" i="105"/>
  <c r="AX9" i="105"/>
  <c r="BS9" i="105"/>
  <c r="AU9" i="105"/>
  <c r="BM9" i="105"/>
  <c r="BJ9" i="105"/>
  <c r="BA9" i="105"/>
  <c r="Z9" i="105"/>
  <c r="BP9" i="105"/>
  <c r="BG9" i="105"/>
  <c r="AO9" i="105"/>
  <c r="AL9" i="105"/>
  <c r="AC9" i="105"/>
  <c r="AI9" i="105"/>
  <c r="CH9" i="105"/>
  <c r="CE9" i="105"/>
  <c r="AR9" i="105"/>
  <c r="CB9" i="105"/>
  <c r="W9" i="105"/>
  <c r="AF9" i="105"/>
  <c r="BS12" i="105"/>
  <c r="AL12" i="105"/>
  <c r="BA12" i="105"/>
  <c r="BV12" i="105"/>
  <c r="AR12" i="105"/>
  <c r="BM12" i="105"/>
  <c r="Z12" i="105"/>
  <c r="BY12" i="105"/>
  <c r="BG12" i="105"/>
  <c r="W12" i="105"/>
  <c r="BD12" i="105"/>
  <c r="AI12" i="105"/>
  <c r="AF12" i="105"/>
  <c r="BJ12" i="105"/>
  <c r="AU12" i="105"/>
  <c r="AC12" i="105"/>
  <c r="AO12" i="105"/>
  <c r="AX12" i="105"/>
  <c r="BP12" i="105"/>
  <c r="BJ15" i="105"/>
  <c r="BG15" i="105"/>
  <c r="AC15" i="105"/>
  <c r="W15" i="105"/>
  <c r="BD15" i="105"/>
  <c r="BA15" i="105"/>
  <c r="AX15" i="105"/>
  <c r="AI15" i="105"/>
  <c r="Z15" i="105"/>
  <c r="AU15" i="105"/>
  <c r="AR15" i="105"/>
  <c r="AF15" i="105"/>
  <c r="AO15" i="105"/>
  <c r="BY15" i="105"/>
  <c r="AL15" i="105"/>
  <c r="BV15" i="105"/>
  <c r="BS15" i="105"/>
  <c r="BP15" i="105"/>
  <c r="BM15" i="105"/>
  <c r="W14" i="105"/>
  <c r="AX14" i="105"/>
  <c r="AI14" i="105"/>
  <c r="AO14" i="105"/>
  <c r="BG14" i="105"/>
  <c r="BA14" i="105"/>
  <c r="AF14" i="105"/>
  <c r="AU14" i="105"/>
  <c r="AL14" i="105"/>
  <c r="BJ14" i="105"/>
  <c r="BM14" i="105"/>
  <c r="AC14" i="105"/>
  <c r="BY14" i="105"/>
  <c r="Z14" i="105"/>
  <c r="BP14" i="105"/>
  <c r="BD14" i="105"/>
  <c r="AR14" i="105"/>
  <c r="BS14" i="105"/>
  <c r="BV14" i="105"/>
  <c r="T14" i="105"/>
  <c r="Q14" i="105"/>
  <c r="N14" i="105"/>
  <c r="H14" i="105"/>
  <c r="K14" i="105"/>
  <c r="T15" i="105"/>
  <c r="Q15" i="105"/>
  <c r="N15" i="105"/>
  <c r="H15" i="105"/>
  <c r="K15" i="105"/>
  <c r="T12" i="105"/>
  <c r="Q12" i="105"/>
  <c r="N12" i="105"/>
  <c r="K12" i="105"/>
  <c r="H12" i="105"/>
  <c r="T9" i="105"/>
  <c r="Q9" i="105"/>
  <c r="N9" i="105"/>
  <c r="H9" i="105"/>
  <c r="K9" i="105"/>
  <c r="T13" i="105"/>
  <c r="Q13" i="105"/>
  <c r="N13" i="105"/>
  <c r="H13" i="105"/>
  <c r="K13" i="105"/>
  <c r="N10" i="105"/>
  <c r="H10" i="105"/>
  <c r="K10" i="105"/>
  <c r="Q10" i="105"/>
  <c r="T10" i="105"/>
  <c r="T8" i="105"/>
  <c r="Q8" i="105"/>
  <c r="N8" i="105"/>
  <c r="H8" i="105"/>
  <c r="K8" i="105"/>
  <c r="I123" i="101"/>
  <c r="I129" i="101" s="1"/>
  <c r="P8" i="104" s="1"/>
  <c r="DO7" i="105" l="1"/>
  <c r="DO21" i="105" s="1"/>
  <c r="DO126" i="105" s="1"/>
  <c r="DO130" i="105" s="1"/>
  <c r="DL7" i="105"/>
  <c r="DL21" i="105" s="1"/>
  <c r="DL126" i="105" s="1"/>
  <c r="DL130" i="105" s="1"/>
  <c r="DI7" i="105"/>
  <c r="DI21" i="105" s="1"/>
  <c r="DI126" i="105" s="1"/>
  <c r="DF7" i="105"/>
  <c r="DF21" i="105" s="1"/>
  <c r="DF126" i="105" s="1"/>
  <c r="DF130" i="105" s="1"/>
  <c r="DC7" i="105"/>
  <c r="DC21" i="105" s="1"/>
  <c r="DC126" i="105" s="1"/>
  <c r="CZ7" i="105"/>
  <c r="CZ21" i="105" s="1"/>
  <c r="CZ126" i="105" s="1"/>
  <c r="CW7" i="105"/>
  <c r="CW21" i="105" s="1"/>
  <c r="CW126" i="105" s="1"/>
  <c r="CW130" i="105" s="1"/>
  <c r="CT7" i="105"/>
  <c r="CT21" i="105" s="1"/>
  <c r="CT126" i="105" s="1"/>
  <c r="CT130" i="105" s="1"/>
  <c r="CQ7" i="105"/>
  <c r="CQ21" i="105" s="1"/>
  <c r="CQ126" i="105" s="1"/>
  <c r="CN7" i="105"/>
  <c r="CN21" i="105" s="1"/>
  <c r="CN126" i="105" s="1"/>
  <c r="CK7" i="105"/>
  <c r="CK21" i="105" s="1"/>
  <c r="CK126" i="105" s="1"/>
  <c r="CK130" i="105" s="1"/>
  <c r="CH7" i="105"/>
  <c r="CH21" i="105" s="1"/>
  <c r="CH126" i="105" s="1"/>
  <c r="CE7" i="105"/>
  <c r="CE21" i="105" s="1"/>
  <c r="CE126" i="105" s="1"/>
  <c r="CB7" i="105"/>
  <c r="CB21" i="105" s="1"/>
  <c r="CB126" i="105" s="1"/>
  <c r="BY7" i="105"/>
  <c r="BY21" i="105" s="1"/>
  <c r="BY126" i="105" s="1"/>
  <c r="BV7" i="105"/>
  <c r="BV21" i="105" s="1"/>
  <c r="BV126" i="105" s="1"/>
  <c r="BV130" i="105" s="1"/>
  <c r="BS7" i="105"/>
  <c r="BS21" i="105" s="1"/>
  <c r="BS126" i="105" s="1"/>
  <c r="BP7" i="105"/>
  <c r="BP21" i="105" s="1"/>
  <c r="BP126" i="105" s="1"/>
  <c r="BP130" i="105" s="1"/>
  <c r="BM7" i="105"/>
  <c r="BM21" i="105" s="1"/>
  <c r="BM126" i="105" s="1"/>
  <c r="BJ7" i="105"/>
  <c r="BJ21" i="105" s="1"/>
  <c r="BJ126" i="105" s="1"/>
  <c r="BG7" i="105"/>
  <c r="BG21" i="105" s="1"/>
  <c r="BG126" i="105" s="1"/>
  <c r="W7" i="105"/>
  <c r="W21" i="105" s="1"/>
  <c r="W126" i="105" s="1"/>
  <c r="BD7" i="105"/>
  <c r="BD21" i="105" s="1"/>
  <c r="BD126" i="105" s="1"/>
  <c r="BA7" i="105"/>
  <c r="BA21" i="105" s="1"/>
  <c r="BA126" i="105" s="1"/>
  <c r="BA130" i="105" s="1"/>
  <c r="AX7" i="105"/>
  <c r="AX21" i="105" s="1"/>
  <c r="AX126" i="105" s="1"/>
  <c r="AC7" i="105"/>
  <c r="AC21" i="105" s="1"/>
  <c r="AC126" i="105" s="1"/>
  <c r="AC130" i="105" s="1"/>
  <c r="AU7" i="105"/>
  <c r="AU21" i="105" s="1"/>
  <c r="AU126" i="105" s="1"/>
  <c r="AU130" i="105" s="1"/>
  <c r="AR7" i="105"/>
  <c r="AR21" i="105" s="1"/>
  <c r="AR126" i="105" s="1"/>
  <c r="AO7" i="105"/>
  <c r="AO21" i="105" s="1"/>
  <c r="AO126" i="105" s="1"/>
  <c r="AL7" i="105"/>
  <c r="AL21" i="105" s="1"/>
  <c r="AL126" i="105" s="1"/>
  <c r="AI7" i="105"/>
  <c r="AI21" i="105" s="1"/>
  <c r="AI126" i="105" s="1"/>
  <c r="AF7" i="105"/>
  <c r="AF21" i="105" s="1"/>
  <c r="AF126" i="105" s="1"/>
  <c r="AF130" i="105" s="1"/>
  <c r="Z7" i="105"/>
  <c r="Z21" i="105" s="1"/>
  <c r="Z126" i="105" s="1"/>
  <c r="T7" i="105"/>
  <c r="T21" i="105" s="1"/>
  <c r="T126" i="105" s="1"/>
  <c r="Q7" i="105"/>
  <c r="Q21" i="105" s="1"/>
  <c r="Q126" i="105" s="1"/>
  <c r="N7" i="105"/>
  <c r="N21" i="105" s="1"/>
  <c r="N126" i="105" s="1"/>
  <c r="H7" i="105"/>
  <c r="H21" i="105" s="1"/>
  <c r="K7" i="105"/>
  <c r="K21" i="105" l="1"/>
  <c r="K126" i="105" s="1"/>
  <c r="H126" i="105"/>
  <c r="DN126" i="105"/>
  <c r="DN128" i="105"/>
  <c r="DN127" i="105"/>
  <c r="DN129" i="105"/>
  <c r="DO134" i="105"/>
  <c r="DO135" i="105"/>
  <c r="DO133" i="105"/>
  <c r="DO136" i="105"/>
  <c r="DO137" i="105"/>
  <c r="DK126" i="105"/>
  <c r="DK127" i="105"/>
  <c r="DK128" i="105"/>
  <c r="DK129" i="105"/>
  <c r="DL133" i="105"/>
  <c r="DL134" i="105"/>
  <c r="DL135" i="105"/>
  <c r="DL136" i="105"/>
  <c r="DL137" i="105"/>
  <c r="DI130" i="105"/>
  <c r="DH126" i="105" s="1"/>
  <c r="DE126" i="105"/>
  <c r="DE127" i="105"/>
  <c r="DE129" i="105"/>
  <c r="DF134" i="105"/>
  <c r="DF136" i="105"/>
  <c r="DE128" i="105"/>
  <c r="DF133" i="105"/>
  <c r="DF135" i="105"/>
  <c r="DF137" i="105"/>
  <c r="DC130" i="105"/>
  <c r="DB126" i="105" s="1"/>
  <c r="CZ130" i="105"/>
  <c r="CY126" i="105" s="1"/>
  <c r="CV126" i="105"/>
  <c r="CV128" i="105"/>
  <c r="CV129" i="105"/>
  <c r="CW135" i="105"/>
  <c r="CW134" i="105"/>
  <c r="CW137" i="105"/>
  <c r="CW133" i="105"/>
  <c r="CW136" i="105"/>
  <c r="CV127" i="105"/>
  <c r="CT135" i="105"/>
  <c r="CT133" i="105"/>
  <c r="CT137" i="105"/>
  <c r="CT136" i="105"/>
  <c r="CT134" i="105"/>
  <c r="CS129" i="105"/>
  <c r="CS127" i="105"/>
  <c r="CS128" i="105"/>
  <c r="CS126" i="105"/>
  <c r="CS130" i="105" s="1"/>
  <c r="CQ130" i="105"/>
  <c r="CP126" i="105" s="1"/>
  <c r="CN130" i="105"/>
  <c r="CM126" i="105" s="1"/>
  <c r="CJ126" i="105"/>
  <c r="CJ127" i="105"/>
  <c r="CJ129" i="105"/>
  <c r="CK136" i="105"/>
  <c r="CK137" i="105"/>
  <c r="CJ128" i="105"/>
  <c r="CK133" i="105"/>
  <c r="CK134" i="105"/>
  <c r="CK135" i="105"/>
  <c r="CH130" i="105"/>
  <c r="CG126" i="105" s="1"/>
  <c r="CE130" i="105"/>
  <c r="CD126" i="105" s="1"/>
  <c r="CB130" i="105"/>
  <c r="CA126" i="105" s="1"/>
  <c r="BY130" i="105"/>
  <c r="BX126" i="105" s="1"/>
  <c r="BU126" i="105"/>
  <c r="BV137" i="105"/>
  <c r="BV134" i="105"/>
  <c r="BV133" i="105"/>
  <c r="BU128" i="105"/>
  <c r="BU127" i="105"/>
  <c r="BV135" i="105"/>
  <c r="BU129" i="105"/>
  <c r="BV136" i="105"/>
  <c r="BS130" i="105"/>
  <c r="BR126" i="105" s="1"/>
  <c r="BO126" i="105"/>
  <c r="BO129" i="105"/>
  <c r="BO128" i="105"/>
  <c r="BP136" i="105"/>
  <c r="BP135" i="105"/>
  <c r="BP134" i="105"/>
  <c r="BP133" i="105"/>
  <c r="BO127" i="105"/>
  <c r="BP137" i="105"/>
  <c r="BM130" i="105"/>
  <c r="BL126" i="105" s="1"/>
  <c r="BJ130" i="105"/>
  <c r="BI126" i="105" s="1"/>
  <c r="BG130" i="105"/>
  <c r="BF126" i="105" s="1"/>
  <c r="W130" i="105"/>
  <c r="V126" i="105" s="1"/>
  <c r="BD130" i="105"/>
  <c r="BC126" i="105" s="1"/>
  <c r="AZ126" i="105"/>
  <c r="AZ128" i="105"/>
  <c r="BA134" i="105"/>
  <c r="BA135" i="105"/>
  <c r="BA136" i="105"/>
  <c r="BA137" i="105"/>
  <c r="BA133" i="105"/>
  <c r="AZ129" i="105"/>
  <c r="AZ127" i="105"/>
  <c r="AX130" i="105"/>
  <c r="AW126" i="105" s="1"/>
  <c r="AB126" i="105"/>
  <c r="AB128" i="105"/>
  <c r="AC134" i="105"/>
  <c r="AC136" i="105"/>
  <c r="AC133" i="105"/>
  <c r="AC135" i="105"/>
  <c r="AC137" i="105"/>
  <c r="AB129" i="105"/>
  <c r="AB127" i="105"/>
  <c r="AT126" i="105"/>
  <c r="AT128" i="105"/>
  <c r="AU135" i="105"/>
  <c r="AU136" i="105"/>
  <c r="AU134" i="105"/>
  <c r="AU137" i="105"/>
  <c r="AU133" i="105"/>
  <c r="AT129" i="105"/>
  <c r="AT127" i="105"/>
  <c r="AR130" i="105"/>
  <c r="AQ126" i="105" s="1"/>
  <c r="AO130" i="105"/>
  <c r="AN126" i="105" s="1"/>
  <c r="AL130" i="105"/>
  <c r="AK126" i="105" s="1"/>
  <c r="AI130" i="105"/>
  <c r="AH126" i="105" s="1"/>
  <c r="AE126" i="105"/>
  <c r="AE128" i="105"/>
  <c r="AF134" i="105"/>
  <c r="AF135" i="105"/>
  <c r="AF133" i="105"/>
  <c r="AF136" i="105"/>
  <c r="AF137" i="105"/>
  <c r="AE129" i="105"/>
  <c r="AE127" i="105"/>
  <c r="Z130" i="105"/>
  <c r="Y126" i="105" s="1"/>
  <c r="N130" i="105"/>
  <c r="M126" i="105" s="1"/>
  <c r="Q130" i="105"/>
  <c r="P126" i="105" s="1"/>
  <c r="T130" i="105"/>
  <c r="S126" i="105" s="1"/>
  <c r="AZ139" i="105" l="1"/>
  <c r="BA150" i="105" s="1"/>
  <c r="CV139" i="105"/>
  <c r="CW150" i="105" s="1"/>
  <c r="DK139" i="105"/>
  <c r="DL150" i="105" s="1"/>
  <c r="DN139" i="105"/>
  <c r="DO150" i="105" s="1"/>
  <c r="DI135" i="105"/>
  <c r="DI133" i="105"/>
  <c r="DI137" i="105"/>
  <c r="DI136" i="105"/>
  <c r="DI134" i="105"/>
  <c r="DH129" i="105"/>
  <c r="DH128" i="105"/>
  <c r="DH127" i="105"/>
  <c r="DC136" i="105"/>
  <c r="DC134" i="105"/>
  <c r="DC133" i="105"/>
  <c r="DC137" i="105"/>
  <c r="DC135" i="105"/>
  <c r="DB129" i="105"/>
  <c r="DB128" i="105"/>
  <c r="DB127" i="105"/>
  <c r="CZ137" i="105"/>
  <c r="CZ136" i="105"/>
  <c r="CZ135" i="105"/>
  <c r="CZ134" i="105"/>
  <c r="CZ133" i="105"/>
  <c r="CY129" i="105"/>
  <c r="CY128" i="105"/>
  <c r="CY127" i="105"/>
  <c r="CQ137" i="105"/>
  <c r="CQ135" i="105"/>
  <c r="CP129" i="105"/>
  <c r="CP128" i="105"/>
  <c r="CP127" i="105"/>
  <c r="CQ136" i="105"/>
  <c r="CQ134" i="105"/>
  <c r="CQ133" i="105"/>
  <c r="CM127" i="105"/>
  <c r="CM128" i="105"/>
  <c r="CM129" i="105"/>
  <c r="CN136" i="105"/>
  <c r="CN134" i="105"/>
  <c r="CN137" i="105"/>
  <c r="CN133" i="105"/>
  <c r="CN135" i="105"/>
  <c r="DN130" i="105"/>
  <c r="DE130" i="105"/>
  <c r="DE139" i="105"/>
  <c r="DF150" i="105" s="1"/>
  <c r="CV130" i="105"/>
  <c r="CS139" i="105"/>
  <c r="CT150" i="105" s="1"/>
  <c r="CJ130" i="105"/>
  <c r="CJ139" i="105"/>
  <c r="CK150" i="105" s="1"/>
  <c r="DK130" i="105"/>
  <c r="AE139" i="105"/>
  <c r="AF150" i="105" s="1"/>
  <c r="AZ130" i="105"/>
  <c r="AT139" i="105"/>
  <c r="AU150" i="105" s="1"/>
  <c r="CH135" i="105"/>
  <c r="CH137" i="105"/>
  <c r="CH136" i="105"/>
  <c r="CG127" i="105"/>
  <c r="CH133" i="105"/>
  <c r="CH134" i="105"/>
  <c r="CG129" i="105"/>
  <c r="CG128" i="105"/>
  <c r="CE133" i="105"/>
  <c r="CD127" i="105"/>
  <c r="CE137" i="105"/>
  <c r="CE134" i="105"/>
  <c r="CD129" i="105"/>
  <c r="CE136" i="105"/>
  <c r="CE135" i="105"/>
  <c r="CD128" i="105"/>
  <c r="CB137" i="105"/>
  <c r="CA128" i="105"/>
  <c r="CB135" i="105"/>
  <c r="CA129" i="105"/>
  <c r="CB133" i="105"/>
  <c r="CB134" i="105"/>
  <c r="CA127" i="105"/>
  <c r="CB136" i="105"/>
  <c r="BY137" i="105"/>
  <c r="BY135" i="105"/>
  <c r="BX129" i="105"/>
  <c r="BX128" i="105"/>
  <c r="BY136" i="105"/>
  <c r="BY134" i="105"/>
  <c r="BY133" i="105"/>
  <c r="BX127" i="105"/>
  <c r="BU139" i="105"/>
  <c r="BV150" i="105" s="1"/>
  <c r="BS136" i="105"/>
  <c r="BS135" i="105"/>
  <c r="BR128" i="105"/>
  <c r="BS137" i="105"/>
  <c r="BS133" i="105"/>
  <c r="BS134" i="105"/>
  <c r="BR129" i="105"/>
  <c r="BR127" i="105"/>
  <c r="BO139" i="105"/>
  <c r="BP150" i="105" s="1"/>
  <c r="BM135" i="105"/>
  <c r="BL128" i="105"/>
  <c r="BL129" i="105"/>
  <c r="BM137" i="105"/>
  <c r="BM134" i="105"/>
  <c r="BM136" i="105"/>
  <c r="BL127" i="105"/>
  <c r="BM133" i="105"/>
  <c r="BI127" i="105"/>
  <c r="BI129" i="105"/>
  <c r="BJ136" i="105"/>
  <c r="BJ133" i="105"/>
  <c r="BJ134" i="105"/>
  <c r="BJ137" i="105"/>
  <c r="BJ135" i="105"/>
  <c r="BI128" i="105"/>
  <c r="BF127" i="105"/>
  <c r="BF129" i="105"/>
  <c r="BG137" i="105"/>
  <c r="BG134" i="105"/>
  <c r="BG133" i="105"/>
  <c r="BG136" i="105"/>
  <c r="BG135" i="105"/>
  <c r="BF128" i="105"/>
  <c r="V127" i="105"/>
  <c r="V129" i="105"/>
  <c r="W137" i="105"/>
  <c r="W136" i="105"/>
  <c r="W135" i="105"/>
  <c r="W134" i="105"/>
  <c r="W133" i="105"/>
  <c r="V128" i="105"/>
  <c r="BC127" i="105"/>
  <c r="BC129" i="105"/>
  <c r="BD137" i="105"/>
  <c r="BD135" i="105"/>
  <c r="BD133" i="105"/>
  <c r="BD136" i="105"/>
  <c r="BD134" i="105"/>
  <c r="BC128" i="105"/>
  <c r="AW127" i="105"/>
  <c r="AW128" i="105"/>
  <c r="AW129" i="105"/>
  <c r="AX133" i="105"/>
  <c r="AX134" i="105"/>
  <c r="AX135" i="105"/>
  <c r="AX136" i="105"/>
  <c r="AX137" i="105"/>
  <c r="AB139" i="105"/>
  <c r="AC150" i="105" s="1"/>
  <c r="AQ127" i="105"/>
  <c r="AQ129" i="105"/>
  <c r="AR137" i="105"/>
  <c r="AR136" i="105"/>
  <c r="AR135" i="105"/>
  <c r="AR134" i="105"/>
  <c r="AR133" i="105"/>
  <c r="AQ128" i="105"/>
  <c r="AN127" i="105"/>
  <c r="AN129" i="105"/>
  <c r="AO136" i="105"/>
  <c r="AO133" i="105"/>
  <c r="AO137" i="105"/>
  <c r="AO135" i="105"/>
  <c r="AO134" i="105"/>
  <c r="AN128" i="105"/>
  <c r="AK127" i="105"/>
  <c r="AK129" i="105"/>
  <c r="AL134" i="105"/>
  <c r="AL136" i="105"/>
  <c r="AL135" i="105"/>
  <c r="AL137" i="105"/>
  <c r="AL133" i="105"/>
  <c r="AK128" i="105"/>
  <c r="AH127" i="105"/>
  <c r="AH129" i="105"/>
  <c r="AI133" i="105"/>
  <c r="AI137" i="105"/>
  <c r="AI136" i="105"/>
  <c r="AI135" i="105"/>
  <c r="AI134" i="105"/>
  <c r="AH128" i="105"/>
  <c r="Y127" i="105"/>
  <c r="Y129" i="105"/>
  <c r="Z135" i="105"/>
  <c r="Z136" i="105"/>
  <c r="Z133" i="105"/>
  <c r="Z134" i="105"/>
  <c r="Z137" i="105"/>
  <c r="Y128" i="105"/>
  <c r="BU130" i="105"/>
  <c r="BO130" i="105"/>
  <c r="AB130" i="105"/>
  <c r="AT130" i="105"/>
  <c r="AE130" i="105"/>
  <c r="T137" i="105"/>
  <c r="T136" i="105"/>
  <c r="T135" i="105"/>
  <c r="T134" i="105"/>
  <c r="T133" i="105"/>
  <c r="S128" i="105"/>
  <c r="S127" i="105"/>
  <c r="S129" i="105"/>
  <c r="Q137" i="105"/>
  <c r="Q136" i="105"/>
  <c r="Q135" i="105"/>
  <c r="Q134" i="105"/>
  <c r="Q133" i="105"/>
  <c r="P128" i="105"/>
  <c r="P127" i="105"/>
  <c r="P129" i="105"/>
  <c r="N137" i="105"/>
  <c r="N136" i="105"/>
  <c r="N135" i="105"/>
  <c r="N134" i="105"/>
  <c r="N133" i="105"/>
  <c r="M128" i="105"/>
  <c r="M127" i="105"/>
  <c r="M129" i="105"/>
  <c r="K130" i="105"/>
  <c r="J126" i="105" s="1"/>
  <c r="DH130" i="105" l="1"/>
  <c r="CY130" i="105"/>
  <c r="CP130" i="105"/>
  <c r="CD139" i="105"/>
  <c r="CE150" i="105" s="1"/>
  <c r="BA143" i="105"/>
  <c r="BA138" i="105"/>
  <c r="BA139" i="105" s="1"/>
  <c r="AY140" i="105" s="1"/>
  <c r="BA151" i="105"/>
  <c r="BA149" i="105"/>
  <c r="BA146" i="105"/>
  <c r="BA145" i="105"/>
  <c r="BA142" i="105"/>
  <c r="AZ1" i="105"/>
  <c r="AY150" i="105"/>
  <c r="BA147" i="105"/>
  <c r="BA144" i="105"/>
  <c r="DL149" i="105"/>
  <c r="DL144" i="105"/>
  <c r="DL142" i="105"/>
  <c r="DL138" i="105"/>
  <c r="DL139" i="105" s="1"/>
  <c r="DJ140" i="105" s="1"/>
  <c r="DL151" i="105"/>
  <c r="DL147" i="105"/>
  <c r="DK1" i="105"/>
  <c r="BR130" i="105"/>
  <c r="DJ150" i="105"/>
  <c r="DL145" i="105"/>
  <c r="DL143" i="105"/>
  <c r="DL146" i="105"/>
  <c r="CW143" i="105"/>
  <c r="CW142" i="105"/>
  <c r="CW138" i="105"/>
  <c r="CW139" i="105" s="1"/>
  <c r="CU140" i="105" s="1"/>
  <c r="CW147" i="105"/>
  <c r="CV1" i="105"/>
  <c r="CW151" i="105"/>
  <c r="CW149" i="105"/>
  <c r="CU150" i="105"/>
  <c r="CW144" i="105"/>
  <c r="CW145" i="105"/>
  <c r="CW146" i="105"/>
  <c r="AF151" i="105"/>
  <c r="AE1" i="105"/>
  <c r="AF138" i="105"/>
  <c r="AF139" i="105" s="1"/>
  <c r="AD140" i="105" s="1"/>
  <c r="AF143" i="105"/>
  <c r="AF144" i="105"/>
  <c r="AD150" i="105"/>
  <c r="AF146" i="105"/>
  <c r="AF147" i="105"/>
  <c r="AF149" i="105"/>
  <c r="AF142" i="105"/>
  <c r="AF145" i="105"/>
  <c r="CA130" i="105"/>
  <c r="DB139" i="105"/>
  <c r="DC150" i="105" s="1"/>
  <c r="DO146" i="105"/>
  <c r="DO144" i="105"/>
  <c r="DO149" i="105"/>
  <c r="DO145" i="105"/>
  <c r="DO142" i="105"/>
  <c r="DN1" i="105"/>
  <c r="DM150" i="105"/>
  <c r="DO147" i="105"/>
  <c r="DO143" i="105"/>
  <c r="DO138" i="105"/>
  <c r="DO139" i="105" s="1"/>
  <c r="DM140" i="105" s="1"/>
  <c r="DO151" i="105"/>
  <c r="CY139" i="105"/>
  <c r="CZ150" i="105" s="1"/>
  <c r="CP139" i="105"/>
  <c r="CQ150" i="105" s="1"/>
  <c r="CM139" i="105"/>
  <c r="CN150" i="105" s="1"/>
  <c r="DF142" i="105"/>
  <c r="DF143" i="105"/>
  <c r="DF144" i="105"/>
  <c r="DF146" i="105"/>
  <c r="DF149" i="105"/>
  <c r="DF151" i="105"/>
  <c r="DE1" i="105"/>
  <c r="DF138" i="105"/>
  <c r="DF139" i="105" s="1"/>
  <c r="DD140" i="105" s="1"/>
  <c r="DF145" i="105"/>
  <c r="DF147" i="105"/>
  <c r="DD150" i="105"/>
  <c r="CT142" i="105"/>
  <c r="CT143" i="105"/>
  <c r="CT144" i="105"/>
  <c r="CT145" i="105"/>
  <c r="CT146" i="105"/>
  <c r="CT147" i="105"/>
  <c r="CT149" i="105"/>
  <c r="CT151" i="105"/>
  <c r="CS1" i="105"/>
  <c r="CT138" i="105"/>
  <c r="CT139" i="105" s="1"/>
  <c r="CR140" i="105" s="1"/>
  <c r="CR150" i="105"/>
  <c r="CK144" i="105"/>
  <c r="CK149" i="105"/>
  <c r="CJ1" i="105"/>
  <c r="CK143" i="105"/>
  <c r="CK145" i="105"/>
  <c r="CI150" i="105"/>
  <c r="CK138" i="105"/>
  <c r="CK139" i="105" s="1"/>
  <c r="CI140" i="105" s="1"/>
  <c r="CK142" i="105"/>
  <c r="CK147" i="105"/>
  <c r="CK151" i="105"/>
  <c r="CK146" i="105"/>
  <c r="DB130" i="105"/>
  <c r="CM130" i="105"/>
  <c r="DH139" i="105"/>
  <c r="DI150" i="105" s="1"/>
  <c r="BL130" i="105"/>
  <c r="AW139" i="105"/>
  <c r="AX150" i="105" s="1"/>
  <c r="AW130" i="105"/>
  <c r="AU145" i="105"/>
  <c r="AU149" i="105"/>
  <c r="AU147" i="105"/>
  <c r="AU142" i="105"/>
  <c r="AU138" i="105"/>
  <c r="AU139" i="105" s="1"/>
  <c r="AS140" i="105" s="1"/>
  <c r="AU151" i="105"/>
  <c r="AU144" i="105"/>
  <c r="AU143" i="105"/>
  <c r="AT1" i="105"/>
  <c r="AS150" i="105"/>
  <c r="AU146" i="105"/>
  <c r="CG139" i="105"/>
  <c r="CH150" i="105" s="1"/>
  <c r="BV145" i="105"/>
  <c r="BV142" i="105"/>
  <c r="BV151" i="105"/>
  <c r="BV144" i="105"/>
  <c r="BU1" i="105"/>
  <c r="BT150" i="105"/>
  <c r="BV143" i="105"/>
  <c r="BV147" i="105"/>
  <c r="BV138" i="105"/>
  <c r="BV139" i="105" s="1"/>
  <c r="BT140" i="105" s="1"/>
  <c r="BV149" i="105"/>
  <c r="BV146" i="105"/>
  <c r="BR139" i="105"/>
  <c r="BS150" i="105" s="1"/>
  <c r="BP149" i="105"/>
  <c r="BP146" i="105"/>
  <c r="BP143" i="105"/>
  <c r="BP151" i="105"/>
  <c r="BP147" i="105"/>
  <c r="BP145" i="105"/>
  <c r="BP142" i="105"/>
  <c r="BO1" i="105"/>
  <c r="BP138" i="105"/>
  <c r="BP139" i="105" s="1"/>
  <c r="BN140" i="105" s="1"/>
  <c r="BP144" i="105"/>
  <c r="BN150" i="105"/>
  <c r="BC139" i="105"/>
  <c r="BD150" i="105" s="1"/>
  <c r="AC138" i="105"/>
  <c r="AC139" i="105" s="1"/>
  <c r="AA140" i="105" s="1"/>
  <c r="AC143" i="105"/>
  <c r="AC147" i="105"/>
  <c r="AC151" i="105"/>
  <c r="AC145" i="105"/>
  <c r="AB1" i="105"/>
  <c r="AC146" i="105"/>
  <c r="AC142" i="105"/>
  <c r="AC144" i="105"/>
  <c r="AA150" i="105"/>
  <c r="AC149" i="105"/>
  <c r="AQ139" i="105"/>
  <c r="AR150" i="105" s="1"/>
  <c r="CG130" i="105"/>
  <c r="CD130" i="105"/>
  <c r="CA139" i="105"/>
  <c r="CB150" i="105" s="1"/>
  <c r="BI139" i="105"/>
  <c r="BJ150" i="105" s="1"/>
  <c r="BF139" i="105"/>
  <c r="BG150" i="105" s="1"/>
  <c r="V130" i="105"/>
  <c r="BX139" i="105"/>
  <c r="BY150" i="105" s="1"/>
  <c r="BX130" i="105"/>
  <c r="BL139" i="105"/>
  <c r="BM150" i="105" s="1"/>
  <c r="BI130" i="105"/>
  <c r="AQ130" i="105"/>
  <c r="AN130" i="105"/>
  <c r="AN139" i="105"/>
  <c r="AO150" i="105" s="1"/>
  <c r="AK130" i="105"/>
  <c r="AK139" i="105"/>
  <c r="AL150" i="105" s="1"/>
  <c r="AH139" i="105"/>
  <c r="AI150" i="105" s="1"/>
  <c r="Y139" i="105"/>
  <c r="Z150" i="105" s="1"/>
  <c r="AH130" i="105"/>
  <c r="Y130" i="105"/>
  <c r="BF130" i="105"/>
  <c r="V139" i="105"/>
  <c r="W150" i="105" s="1"/>
  <c r="BC130" i="105"/>
  <c r="I126" i="101"/>
  <c r="K137" i="105"/>
  <c r="K136" i="105"/>
  <c r="K135" i="105"/>
  <c r="K134" i="105"/>
  <c r="K133" i="105"/>
  <c r="J128" i="105"/>
  <c r="J127" i="105"/>
  <c r="J129" i="105"/>
  <c r="M130" i="105"/>
  <c r="M139" i="105"/>
  <c r="N150" i="105" s="1"/>
  <c r="P130" i="105"/>
  <c r="P139" i="105"/>
  <c r="Q150" i="105" s="1"/>
  <c r="S130" i="105"/>
  <c r="S139" i="105"/>
  <c r="T150" i="105" s="1"/>
  <c r="CC150" i="105" l="1"/>
  <c r="CE147" i="105"/>
  <c r="CE144" i="105"/>
  <c r="CE142" i="105"/>
  <c r="CD1" i="105"/>
  <c r="CE151" i="105"/>
  <c r="CE149" i="105"/>
  <c r="CE146" i="105"/>
  <c r="CE145" i="105"/>
  <c r="CE143" i="105"/>
  <c r="CE138" i="105"/>
  <c r="CE139" i="105" s="1"/>
  <c r="CC140" i="105" s="1"/>
  <c r="DC145" i="105"/>
  <c r="DC143" i="105"/>
  <c r="DC149" i="105"/>
  <c r="DB1" i="105"/>
  <c r="DC151" i="105"/>
  <c r="DC144" i="105"/>
  <c r="DC138" i="105"/>
  <c r="DC139" i="105" s="1"/>
  <c r="DA140" i="105" s="1"/>
  <c r="DC147" i="105"/>
  <c r="DC142" i="105"/>
  <c r="DA150" i="105"/>
  <c r="DC146" i="105"/>
  <c r="CX150" i="105"/>
  <c r="CZ144" i="105"/>
  <c r="CY1" i="105"/>
  <c r="CZ149" i="105"/>
  <c r="CZ142" i="105"/>
  <c r="CZ147" i="105"/>
  <c r="CZ143" i="105"/>
  <c r="CZ138" i="105"/>
  <c r="CZ139" i="105" s="1"/>
  <c r="CX140" i="105" s="1"/>
  <c r="CZ151" i="105"/>
  <c r="CZ146" i="105"/>
  <c r="CZ145" i="105"/>
  <c r="CO150" i="105"/>
  <c r="CQ147" i="105"/>
  <c r="CQ144" i="105"/>
  <c r="CQ142" i="105"/>
  <c r="CQ138" i="105"/>
  <c r="CQ139" i="105" s="1"/>
  <c r="CO140" i="105" s="1"/>
  <c r="CQ151" i="105"/>
  <c r="CQ149" i="105"/>
  <c r="CQ146" i="105"/>
  <c r="CQ145" i="105"/>
  <c r="CQ143" i="105"/>
  <c r="CP1" i="105"/>
  <c r="CN149" i="105"/>
  <c r="CN146" i="105"/>
  <c r="CN144" i="105"/>
  <c r="CN143" i="105"/>
  <c r="CN142" i="105"/>
  <c r="CM1" i="105"/>
  <c r="CL150" i="105"/>
  <c r="CN147" i="105"/>
  <c r="CN145" i="105"/>
  <c r="CN138" i="105"/>
  <c r="CN139" i="105" s="1"/>
  <c r="CL140" i="105" s="1"/>
  <c r="CN151" i="105"/>
  <c r="DI144" i="105"/>
  <c r="DI145" i="105"/>
  <c r="DI149" i="105"/>
  <c r="DI147" i="105"/>
  <c r="DG150" i="105"/>
  <c r="DI138" i="105"/>
  <c r="DI139" i="105" s="1"/>
  <c r="DG140" i="105" s="1"/>
  <c r="DI143" i="105"/>
  <c r="DI146" i="105"/>
  <c r="DI151" i="105"/>
  <c r="DH1" i="105"/>
  <c r="DI142" i="105"/>
  <c r="AV150" i="105"/>
  <c r="AX146" i="105"/>
  <c r="AX145" i="105"/>
  <c r="AX142" i="105"/>
  <c r="AX151" i="105"/>
  <c r="AX149" i="105"/>
  <c r="AX147" i="105"/>
  <c r="AX144" i="105"/>
  <c r="AX143" i="105"/>
  <c r="AW1" i="105"/>
  <c r="AX138" i="105"/>
  <c r="AX139" i="105" s="1"/>
  <c r="AV140" i="105" s="1"/>
  <c r="CH149" i="105"/>
  <c r="CH145" i="105"/>
  <c r="CH144" i="105"/>
  <c r="CH142" i="105"/>
  <c r="CG1" i="105"/>
  <c r="CH151" i="105"/>
  <c r="CH146" i="105"/>
  <c r="CH143" i="105"/>
  <c r="CH147" i="105"/>
  <c r="CF150" i="105"/>
  <c r="CH138" i="105"/>
  <c r="CH139" i="105" s="1"/>
  <c r="CF140" i="105" s="1"/>
  <c r="BS144" i="105"/>
  <c r="BS145" i="105"/>
  <c r="BS151" i="105"/>
  <c r="BS149" i="105"/>
  <c r="BQ150" i="105"/>
  <c r="BS142" i="105"/>
  <c r="BS143" i="105"/>
  <c r="BS146" i="105"/>
  <c r="BS138" i="105"/>
  <c r="BS139" i="105" s="1"/>
  <c r="BQ140" i="105" s="1"/>
  <c r="BR1" i="105"/>
  <c r="BS147" i="105"/>
  <c r="BD146" i="105"/>
  <c r="BD143" i="105"/>
  <c r="BB150" i="105"/>
  <c r="BD145" i="105"/>
  <c r="BD142" i="105"/>
  <c r="BC1" i="105"/>
  <c r="BD151" i="105"/>
  <c r="BD149" i="105"/>
  <c r="BD147" i="105"/>
  <c r="BD144" i="105"/>
  <c r="BD138" i="105"/>
  <c r="BD139" i="105" s="1"/>
  <c r="BB140" i="105" s="1"/>
  <c r="AP150" i="105"/>
  <c r="AR146" i="105"/>
  <c r="AR143" i="105"/>
  <c r="AR138" i="105"/>
  <c r="AR139" i="105" s="1"/>
  <c r="AP140" i="105" s="1"/>
  <c r="AR151" i="105"/>
  <c r="AR149" i="105"/>
  <c r="AR147" i="105"/>
  <c r="AR142" i="105"/>
  <c r="AQ1" i="105"/>
  <c r="AR144" i="105"/>
  <c r="AR145" i="105"/>
  <c r="CB143" i="105"/>
  <c r="CB146" i="105"/>
  <c r="CB138" i="105"/>
  <c r="CB139" i="105" s="1"/>
  <c r="BZ140" i="105" s="1"/>
  <c r="CB142" i="105"/>
  <c r="CB149" i="105"/>
  <c r="CB147" i="105"/>
  <c r="BZ150" i="105"/>
  <c r="CA1" i="105"/>
  <c r="CB151" i="105"/>
  <c r="CB145" i="105"/>
  <c r="CB144" i="105"/>
  <c r="BJ146" i="105"/>
  <c r="BJ149" i="105"/>
  <c r="BJ147" i="105"/>
  <c r="BH150" i="105"/>
  <c r="BJ143" i="105"/>
  <c r="BJ145" i="105"/>
  <c r="BJ151" i="105"/>
  <c r="BI1" i="105"/>
  <c r="BJ138" i="105"/>
  <c r="BJ139" i="105" s="1"/>
  <c r="BH140" i="105" s="1"/>
  <c r="BJ142" i="105"/>
  <c r="BJ144" i="105"/>
  <c r="BG138" i="105"/>
  <c r="BG139" i="105" s="1"/>
  <c r="BE140" i="105" s="1"/>
  <c r="BG142" i="105"/>
  <c r="BG144" i="105"/>
  <c r="BE150" i="105"/>
  <c r="BG143" i="105"/>
  <c r="BG147" i="105"/>
  <c r="BG149" i="105"/>
  <c r="BG146" i="105"/>
  <c r="BG151" i="105"/>
  <c r="BF1" i="105"/>
  <c r="BG145" i="105"/>
  <c r="BY143" i="105"/>
  <c r="BY146" i="105"/>
  <c r="BY151" i="105"/>
  <c r="BY142" i="105"/>
  <c r="BY145" i="105"/>
  <c r="BW150" i="105"/>
  <c r="BY138" i="105"/>
  <c r="BY139" i="105" s="1"/>
  <c r="BW140" i="105" s="1"/>
  <c r="BY144" i="105"/>
  <c r="BY149" i="105"/>
  <c r="BX1" i="105"/>
  <c r="BY147" i="105"/>
  <c r="BM138" i="105"/>
  <c r="BM139" i="105" s="1"/>
  <c r="BK140" i="105" s="1"/>
  <c r="BM142" i="105"/>
  <c r="BM151" i="105"/>
  <c r="BM143" i="105"/>
  <c r="BM144" i="105"/>
  <c r="BM147" i="105"/>
  <c r="BL1" i="105"/>
  <c r="BM146" i="105"/>
  <c r="BK150" i="105"/>
  <c r="BM149" i="105"/>
  <c r="BM145" i="105"/>
  <c r="AO147" i="105"/>
  <c r="AO146" i="105"/>
  <c r="AN1" i="105"/>
  <c r="AO142" i="105"/>
  <c r="AO144" i="105"/>
  <c r="AM150" i="105"/>
  <c r="AO143" i="105"/>
  <c r="AO149" i="105"/>
  <c r="AO138" i="105"/>
  <c r="AO139" i="105" s="1"/>
  <c r="AM140" i="105" s="1"/>
  <c r="AO145" i="105"/>
  <c r="AO151" i="105"/>
  <c r="AL147" i="105"/>
  <c r="AL138" i="105"/>
  <c r="AL139" i="105" s="1"/>
  <c r="AJ140" i="105" s="1"/>
  <c r="AL142" i="105"/>
  <c r="AL149" i="105"/>
  <c r="AJ150" i="105"/>
  <c r="AL151" i="105"/>
  <c r="AL145" i="105"/>
  <c r="AL144" i="105"/>
  <c r="AK1" i="105"/>
  <c r="AL143" i="105"/>
  <c r="AL146" i="105"/>
  <c r="AI142" i="105"/>
  <c r="AI146" i="105"/>
  <c r="AI149" i="105"/>
  <c r="AI138" i="105"/>
  <c r="AI139" i="105" s="1"/>
  <c r="AG140" i="105" s="1"/>
  <c r="AI144" i="105"/>
  <c r="AI147" i="105"/>
  <c r="AI151" i="105"/>
  <c r="AI143" i="105"/>
  <c r="AG150" i="105"/>
  <c r="AH1" i="105"/>
  <c r="AI145" i="105"/>
  <c r="Z138" i="105"/>
  <c r="Z139" i="105" s="1"/>
  <c r="X140" i="105" s="1"/>
  <c r="Z146" i="105"/>
  <c r="Z142" i="105"/>
  <c r="Z143" i="105"/>
  <c r="Y1" i="105"/>
  <c r="Z151" i="105"/>
  <c r="Z145" i="105"/>
  <c r="Z147" i="105"/>
  <c r="Z149" i="105"/>
  <c r="Z144" i="105"/>
  <c r="X150" i="105"/>
  <c r="V1" i="105"/>
  <c r="W146" i="105"/>
  <c r="W151" i="105"/>
  <c r="W142" i="105"/>
  <c r="W147" i="105"/>
  <c r="U150" i="105"/>
  <c r="W143" i="105"/>
  <c r="W138" i="105"/>
  <c r="W139" i="105" s="1"/>
  <c r="U140" i="105" s="1"/>
  <c r="W144" i="105"/>
  <c r="W145" i="105"/>
  <c r="W149" i="105"/>
  <c r="T151" i="105"/>
  <c r="R150" i="105"/>
  <c r="T149" i="105"/>
  <c r="T147" i="105"/>
  <c r="T146" i="105"/>
  <c r="T145" i="105"/>
  <c r="T144" i="105"/>
  <c r="T143" i="105"/>
  <c r="T142" i="105"/>
  <c r="T138" i="105"/>
  <c r="T139" i="105" s="1"/>
  <c r="R140" i="105" s="1"/>
  <c r="S1" i="105"/>
  <c r="Q151" i="105"/>
  <c r="O150" i="105"/>
  <c r="Q149" i="105"/>
  <c r="Q147" i="105"/>
  <c r="Q146" i="105"/>
  <c r="Q145" i="105"/>
  <c r="Q144" i="105"/>
  <c r="Q143" i="105"/>
  <c r="Q142" i="105"/>
  <c r="Q138" i="105"/>
  <c r="Q139" i="105" s="1"/>
  <c r="O140" i="105" s="1"/>
  <c r="P1" i="105"/>
  <c r="N151" i="105"/>
  <c r="L150" i="105"/>
  <c r="N149" i="105"/>
  <c r="N147" i="105"/>
  <c r="N146" i="105"/>
  <c r="N145" i="105"/>
  <c r="N144" i="105"/>
  <c r="N143" i="105"/>
  <c r="N142" i="105"/>
  <c r="N138" i="105"/>
  <c r="N139" i="105" s="1"/>
  <c r="L140" i="105" s="1"/>
  <c r="M1" i="105"/>
  <c r="J130" i="105"/>
  <c r="J139" i="105"/>
  <c r="K150" i="105" s="1"/>
  <c r="I130" i="101"/>
  <c r="G8" i="104"/>
  <c r="R8" i="104" s="1"/>
  <c r="H126" i="101" l="1"/>
  <c r="J8" i="101"/>
  <c r="J10" i="101"/>
  <c r="J12" i="101"/>
  <c r="J13" i="101"/>
  <c r="J16" i="101"/>
  <c r="J18" i="101"/>
  <c r="J20" i="101"/>
  <c r="J9" i="101"/>
  <c r="J11" i="101"/>
  <c r="J14" i="101"/>
  <c r="J15" i="101"/>
  <c r="J17" i="101"/>
  <c r="J19" i="101"/>
  <c r="J7" i="101"/>
  <c r="K151" i="105"/>
  <c r="I150" i="105"/>
  <c r="K149" i="105"/>
  <c r="K147" i="105"/>
  <c r="K146" i="105"/>
  <c r="K145" i="105"/>
  <c r="K144" i="105"/>
  <c r="K143" i="105"/>
  <c r="K142" i="105"/>
  <c r="K138" i="105"/>
  <c r="K139" i="105" s="1"/>
  <c r="I140" i="105" s="1"/>
  <c r="J1" i="105"/>
  <c r="J110" i="101"/>
  <c r="J89" i="101"/>
  <c r="J40" i="101"/>
  <c r="J55" i="101"/>
  <c r="J111" i="101"/>
  <c r="J63" i="101"/>
  <c r="J30" i="101"/>
  <c r="J67" i="101"/>
  <c r="J106" i="101"/>
  <c r="J109" i="101"/>
  <c r="J62" i="101"/>
  <c r="J35" i="101"/>
  <c r="J31" i="101"/>
  <c r="J44" i="101"/>
  <c r="J108" i="101"/>
  <c r="J53" i="101"/>
  <c r="I133" i="101"/>
  <c r="J41" i="101"/>
  <c r="J116" i="101"/>
  <c r="J75" i="101"/>
  <c r="J25" i="101"/>
  <c r="J33" i="101"/>
  <c r="J29" i="101"/>
  <c r="J117" i="101"/>
  <c r="J94" i="101"/>
  <c r="J74" i="101"/>
  <c r="J59" i="101"/>
  <c r="J70" i="101"/>
  <c r="J57" i="101"/>
  <c r="J95" i="101"/>
  <c r="J28" i="101"/>
  <c r="J52" i="101"/>
  <c r="J119" i="101"/>
  <c r="J72" i="101"/>
  <c r="J49" i="101"/>
  <c r="J68" i="101"/>
  <c r="J65" i="101"/>
  <c r="H127" i="101"/>
  <c r="J87" i="101"/>
  <c r="J122" i="101"/>
  <c r="J85" i="101"/>
  <c r="J105" i="101"/>
  <c r="J26" i="101"/>
  <c r="J84" i="101"/>
  <c r="J96" i="101"/>
  <c r="J56" i="101"/>
  <c r="J77" i="101"/>
  <c r="J39" i="101"/>
  <c r="J60" i="101"/>
  <c r="J66" i="101"/>
  <c r="J54" i="101"/>
  <c r="J37" i="101"/>
  <c r="J46" i="101"/>
  <c r="J98" i="101"/>
  <c r="I136" i="101"/>
  <c r="J76" i="101"/>
  <c r="J24" i="101"/>
  <c r="J113" i="101"/>
  <c r="I134" i="101"/>
  <c r="J58" i="101"/>
  <c r="J61" i="101"/>
  <c r="H128" i="101"/>
  <c r="J114" i="101"/>
  <c r="J81" i="101"/>
  <c r="J86" i="101"/>
  <c r="I137" i="101"/>
  <c r="J112" i="101"/>
  <c r="J88" i="101"/>
  <c r="J69" i="101"/>
  <c r="J38" i="101"/>
  <c r="J73" i="101"/>
  <c r="J43" i="101"/>
  <c r="J103" i="101"/>
  <c r="J42" i="101"/>
  <c r="J91" i="101"/>
  <c r="J90" i="101"/>
  <c r="J83" i="101"/>
  <c r="J120" i="101"/>
  <c r="J47" i="101"/>
  <c r="J99" i="101"/>
  <c r="J71" i="101"/>
  <c r="J45" i="101"/>
  <c r="J121" i="101"/>
  <c r="J50" i="101"/>
  <c r="J107" i="101"/>
  <c r="J92" i="101"/>
  <c r="J34" i="101"/>
  <c r="J51" i="101"/>
  <c r="J93" i="101"/>
  <c r="J48" i="101"/>
  <c r="J97" i="101"/>
  <c r="I135" i="101"/>
  <c r="H129" i="101"/>
  <c r="J64" i="101"/>
  <c r="J32" i="101"/>
  <c r="J115" i="101"/>
  <c r="J36" i="101"/>
  <c r="J27" i="101"/>
  <c r="J104" i="101"/>
  <c r="J82" i="101"/>
  <c r="J118" i="101"/>
  <c r="H130" i="101" l="1"/>
  <c r="H139" i="101"/>
  <c r="I150" i="101" s="1"/>
  <c r="I145" i="101" s="1"/>
  <c r="I146" i="101" l="1"/>
  <c r="I151" i="101"/>
  <c r="T8" i="104" s="1"/>
  <c r="C8" i="104" s="1"/>
  <c r="I144" i="101"/>
  <c r="I149" i="101"/>
  <c r="I138" i="101"/>
  <c r="I139" i="101" s="1"/>
  <c r="G140" i="101" s="1"/>
  <c r="I143" i="101"/>
  <c r="I147" i="101"/>
  <c r="I142" i="101"/>
  <c r="BU3" i="105" l="1"/>
  <c r="BT2" i="105"/>
  <c r="BV3" i="105"/>
  <c r="DS21" i="105" l="1"/>
  <c r="DS126" i="105" s="1"/>
  <c r="DS100" i="105"/>
  <c r="DS128" i="105" s="1"/>
  <c r="DS123" i="105"/>
  <c r="DS129" i="105" s="1"/>
  <c r="H28" i="105" l="1"/>
  <c r="H78" i="105"/>
  <c r="H127" i="105" s="1"/>
  <c r="H130" i="105" l="1"/>
  <c r="G127" i="105"/>
  <c r="DS78" i="105"/>
  <c r="DS127" i="105" s="1"/>
  <c r="H133" i="105" l="1"/>
  <c r="G129" i="105"/>
  <c r="G128" i="105"/>
  <c r="H134" i="105"/>
  <c r="H135" i="105"/>
  <c r="H136" i="105"/>
  <c r="H137" i="105"/>
  <c r="G126" i="105"/>
  <c r="G130" i="105" s="1"/>
  <c r="DR127" i="105"/>
  <c r="G139" i="105" l="1"/>
  <c r="H150" i="105" s="1"/>
  <c r="DT28" i="105"/>
  <c r="DT65" i="105"/>
  <c r="DT70" i="105"/>
  <c r="DT118" i="105"/>
  <c r="DT36" i="105"/>
  <c r="DT93" i="105"/>
  <c r="DT108" i="105"/>
  <c r="DS137" i="105"/>
  <c r="DT20" i="105"/>
  <c r="DT24" i="105"/>
  <c r="DT81" i="105"/>
  <c r="DT7" i="105"/>
  <c r="DT61" i="105"/>
  <c r="DT9" i="105"/>
  <c r="DT120" i="105"/>
  <c r="DT95" i="105"/>
  <c r="DT39" i="105"/>
  <c r="DT109" i="105"/>
  <c r="DS135" i="105"/>
  <c r="DT17" i="105"/>
  <c r="DR129" i="105"/>
  <c r="DT35" i="105"/>
  <c r="DT56" i="105"/>
  <c r="DT13" i="105"/>
  <c r="DT15" i="105"/>
  <c r="DT96" i="105"/>
  <c r="DT29" i="105"/>
  <c r="DT26" i="105"/>
  <c r="DT92" i="105"/>
  <c r="DT98" i="105"/>
  <c r="DT110" i="105"/>
  <c r="DT42" i="105"/>
  <c r="DT52" i="105"/>
  <c r="DT99" i="105"/>
  <c r="DT94" i="105"/>
  <c r="DT117" i="105"/>
  <c r="DT32" i="105"/>
  <c r="DT67" i="105"/>
  <c r="DT69" i="105"/>
  <c r="DT113" i="105"/>
  <c r="DT66" i="105"/>
  <c r="DT40" i="105"/>
  <c r="DT14" i="105"/>
  <c r="DT12" i="105"/>
  <c r="DT41" i="105"/>
  <c r="DT25" i="105"/>
  <c r="DT105" i="105"/>
  <c r="DT58" i="105"/>
  <c r="DT48" i="105"/>
  <c r="DT63" i="105"/>
  <c r="DT116" i="105"/>
  <c r="DT27" i="105"/>
  <c r="DT34" i="105"/>
  <c r="DT68" i="105"/>
  <c r="DT45" i="105"/>
  <c r="DT47" i="105"/>
  <c r="DT53" i="105"/>
  <c r="DT59" i="105"/>
  <c r="DT33" i="105"/>
  <c r="DT57" i="105"/>
  <c r="DT122" i="105"/>
  <c r="DT72" i="105"/>
  <c r="DT112" i="105"/>
  <c r="DS133" i="105"/>
  <c r="DT16" i="105"/>
  <c r="DT19" i="105"/>
  <c r="DR128" i="105"/>
  <c r="DT103" i="105"/>
  <c r="DT49" i="105"/>
  <c r="DT76" i="105"/>
  <c r="DT111" i="105"/>
  <c r="DT115" i="105"/>
  <c r="DT10" i="105"/>
  <c r="DT8" i="105"/>
  <c r="DT121" i="105"/>
  <c r="DT38" i="105"/>
  <c r="DT104" i="105"/>
  <c r="DT119" i="105"/>
  <c r="DT54" i="105"/>
  <c r="DT64" i="105"/>
  <c r="DT74" i="105"/>
  <c r="DT83" i="105"/>
  <c r="DT84" i="105"/>
  <c r="DT85" i="105"/>
  <c r="DT86" i="105"/>
  <c r="DT88" i="105"/>
  <c r="DT89" i="105"/>
  <c r="DT30" i="105"/>
  <c r="DT37" i="105"/>
  <c r="DT50" i="105"/>
  <c r="DT55" i="105"/>
  <c r="DT62" i="105"/>
  <c r="DT77" i="105"/>
  <c r="DT90" i="105"/>
  <c r="DT97" i="105"/>
  <c r="DT51" i="105"/>
  <c r="DT73" i="105"/>
  <c r="DT31" i="105"/>
  <c r="DT60" i="105"/>
  <c r="DT75" i="105"/>
  <c r="DT91" i="105"/>
  <c r="DT87" i="105"/>
  <c r="DT46" i="105"/>
  <c r="DT82" i="105"/>
  <c r="DT44" i="105"/>
  <c r="DT71" i="105"/>
  <c r="DT114" i="105"/>
  <c r="DT43" i="105"/>
  <c r="DT107" i="105"/>
  <c r="DS134" i="105"/>
  <c r="DT106" i="105"/>
  <c r="DS136" i="105"/>
  <c r="DR126" i="105"/>
  <c r="DT18" i="105"/>
  <c r="DT11" i="105"/>
  <c r="H138" i="105" l="1"/>
  <c r="H139" i="105" s="1"/>
  <c r="F140" i="105" s="1"/>
  <c r="G1" i="105"/>
  <c r="H142" i="105"/>
  <c r="H143" i="105"/>
  <c r="H144" i="105"/>
  <c r="H145" i="105"/>
  <c r="H146" i="105"/>
  <c r="H147" i="105"/>
  <c r="H149" i="105"/>
  <c r="F150" i="105"/>
  <c r="F8" i="85" s="1"/>
  <c r="G8" i="85" s="1"/>
  <c r="H151" i="105"/>
  <c r="DR139" i="105"/>
  <c r="DS150" i="105" s="1"/>
  <c r="DR130" i="105"/>
  <c r="F14" i="85" l="1"/>
  <c r="G14" i="85" s="1"/>
  <c r="F11" i="85"/>
  <c r="G11" i="85" s="1"/>
  <c r="F15" i="85"/>
  <c r="G15" i="85" s="1"/>
  <c r="F50" i="85"/>
  <c r="G50" i="85" s="1"/>
  <c r="F20" i="85"/>
  <c r="G20" i="85" s="1"/>
  <c r="F9" i="85"/>
  <c r="G9" i="85" s="1"/>
  <c r="F19" i="85"/>
  <c r="G19" i="85" s="1"/>
  <c r="L6" i="85" s="1"/>
  <c r="R6" i="85" s="1"/>
  <c r="F10" i="85"/>
  <c r="G10" i="85" s="1"/>
  <c r="F27" i="85"/>
  <c r="G27" i="85" s="1"/>
  <c r="F45" i="85"/>
  <c r="G45" i="85" s="1"/>
  <c r="F16" i="85"/>
  <c r="G16" i="85" s="1"/>
  <c r="F30" i="85"/>
  <c r="G30" i="85" s="1"/>
  <c r="F51" i="85"/>
  <c r="G51" i="85" s="1"/>
  <c r="F34" i="85"/>
  <c r="G34" i="85" s="1"/>
  <c r="F12" i="85"/>
  <c r="G12" i="85" s="1"/>
  <c r="F24" i="85"/>
  <c r="G24" i="85" s="1"/>
  <c r="F53" i="85"/>
  <c r="G53" i="85" s="1"/>
  <c r="F46" i="85"/>
  <c r="G46" i="85" s="1"/>
  <c r="F23" i="85"/>
  <c r="G23" i="85" s="1"/>
  <c r="F40" i="85"/>
  <c r="G40" i="85" s="1"/>
  <c r="F31" i="85"/>
  <c r="G31" i="85" s="1"/>
  <c r="F35" i="85"/>
  <c r="G35" i="85" s="1"/>
  <c r="F25" i="85"/>
  <c r="G25" i="85" s="1"/>
  <c r="F42" i="85"/>
  <c r="G42" i="85" s="1"/>
  <c r="F47" i="85"/>
  <c r="G47" i="85" s="1"/>
  <c r="F28" i="85"/>
  <c r="G28" i="85" s="1"/>
  <c r="F38" i="85"/>
  <c r="G38" i="85" s="1"/>
  <c r="F26" i="85"/>
  <c r="G26" i="85" s="1"/>
  <c r="F17" i="85"/>
  <c r="G17" i="85" s="1"/>
  <c r="F33" i="85"/>
  <c r="G33" i="85" s="1"/>
  <c r="F54" i="85"/>
  <c r="G54" i="85" s="1"/>
  <c r="F18" i="85"/>
  <c r="G18" i="85" s="1"/>
  <c r="F48" i="85"/>
  <c r="G48" i="85" s="1"/>
  <c r="F39" i="85"/>
  <c r="G39" i="85" s="1"/>
  <c r="F32" i="85"/>
  <c r="G32" i="85" s="1"/>
  <c r="F37" i="85"/>
  <c r="G37" i="85" s="1"/>
  <c r="F41" i="85"/>
  <c r="G41" i="85" s="1"/>
  <c r="DS147" i="105"/>
  <c r="DS143" i="105"/>
  <c r="DS146" i="105"/>
  <c r="DS144" i="105"/>
  <c r="DS151" i="105"/>
  <c r="DS145" i="105"/>
  <c r="DS142" i="105"/>
  <c r="DS138" i="105"/>
  <c r="DS139" i="105" s="1"/>
  <c r="DQ140" i="105" s="1"/>
  <c r="DS149" i="105"/>
  <c r="L1" i="85" l="1"/>
  <c r="R1" i="85" s="1"/>
  <c r="G13" i="85"/>
  <c r="G29" i="85"/>
  <c r="L3" i="85"/>
  <c r="R3" i="85" s="1"/>
  <c r="L2" i="85"/>
  <c r="R2" i="85" s="1"/>
  <c r="G22" i="85"/>
  <c r="L4" i="85"/>
  <c r="R4" i="85" s="1"/>
  <c r="G36" i="85"/>
  <c r="G44" i="85"/>
  <c r="G52" i="85"/>
  <c r="G49" i="85"/>
  <c r="G7" i="85"/>
  <c r="L13" i="85"/>
  <c r="R13" i="85" s="1"/>
  <c r="L7" i="85"/>
  <c r="R7" i="85" s="1"/>
  <c r="G21" i="85" l="1"/>
  <c r="G43" i="85"/>
  <c r="G55" i="85" l="1"/>
  <c r="H19" i="85" l="1"/>
  <c r="H14" i="85"/>
  <c r="H15" i="85"/>
  <c r="H8" i="85"/>
  <c r="B1" i="101"/>
  <c r="H1" i="85"/>
  <c r="B1" i="105"/>
  <c r="K2" i="26"/>
  <c r="AB2" i="57"/>
  <c r="H11" i="85"/>
  <c r="H50" i="85"/>
  <c r="H9" i="85"/>
  <c r="H10" i="85"/>
  <c r="H27" i="85"/>
  <c r="H45" i="85"/>
  <c r="H16" i="85"/>
  <c r="H30" i="85"/>
  <c r="H51" i="85"/>
  <c r="H34" i="85"/>
  <c r="H24" i="85"/>
  <c r="H53" i="85"/>
  <c r="H46" i="85"/>
  <c r="H23" i="85"/>
  <c r="H40" i="85"/>
  <c r="H31" i="85"/>
  <c r="H35" i="85"/>
  <c r="H25" i="85"/>
  <c r="H42" i="85"/>
  <c r="H47" i="85"/>
  <c r="H28" i="85"/>
  <c r="H38" i="85"/>
  <c r="H26" i="85"/>
  <c r="H17" i="85"/>
  <c r="H33" i="85"/>
  <c r="H54" i="85"/>
  <c r="H18" i="85"/>
  <c r="H48" i="85"/>
  <c r="H39" i="85"/>
  <c r="H32" i="85"/>
  <c r="H37" i="85"/>
  <c r="H41" i="85"/>
  <c r="H12" i="85"/>
  <c r="H20" i="85"/>
  <c r="O1" i="85" l="1"/>
  <c r="P1" i="85" s="1"/>
  <c r="O2" i="85"/>
  <c r="P2" i="85" s="1"/>
  <c r="O6" i="85"/>
  <c r="P6" i="85" s="1"/>
  <c r="M2" i="85"/>
  <c r="O7" i="85"/>
  <c r="P7" i="85" s="1"/>
  <c r="O4" i="85"/>
  <c r="P4" i="85" s="1"/>
  <c r="O3" i="85"/>
  <c r="P3" i="85" s="1"/>
  <c r="O13" i="85"/>
  <c r="P13" i="85" s="1"/>
  <c r="M3" i="85"/>
  <c r="M7" i="85"/>
  <c r="M6" i="85"/>
  <c r="M13" i="85"/>
  <c r="M4" i="85"/>
  <c r="M1" i="8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7" authorId="0" shapeId="0" xr:uid="{00000000-0006-0000-2300-000001000000}">
      <text>
        <r>
          <rPr>
            <b/>
            <sz val="8"/>
            <color indexed="8"/>
            <rFont val="Tahoma"/>
            <family val="2"/>
          </rPr>
          <t xml:space="preserve">Lei nº 7.78777 de 30/06/89, publicada no D.O.U em 03/07/89.
</t>
        </r>
      </text>
    </comment>
    <comment ref="D7" authorId="0" shapeId="0" xr:uid="{00000000-0006-0000-2300-000002000000}">
      <text>
        <r>
          <rPr>
            <b/>
            <sz val="8"/>
            <color indexed="10"/>
            <rFont val="Tahoma"/>
            <family val="2"/>
          </rPr>
          <t>Para recuperar a fórmula, copie e cole das linhas sequenciais.</t>
        </r>
      </text>
    </comment>
    <comment ref="B8" authorId="0" shapeId="0" xr:uid="{00000000-0006-0000-2300-000003000000}">
      <text>
        <r>
          <rPr>
            <b/>
            <sz val="8"/>
            <color indexed="8"/>
            <rFont val="Tahoma"/>
            <family val="2"/>
          </rPr>
          <t xml:space="preserve">Artigos 439,449,477 a 486, 497 e 502 da C.L.T e Decreto nº 59.820 de 20/12/66.
</t>
        </r>
      </text>
    </comment>
    <comment ref="D8" authorId="0" shapeId="0" xr:uid="{00000000-0006-0000-2300-000004000000}">
      <text>
        <r>
          <rPr>
            <b/>
            <sz val="8"/>
            <color indexed="10"/>
            <rFont val="Tahoma"/>
            <family val="2"/>
          </rPr>
          <t>Para recuperar a fórmula, copie e cole das linhas sequenciais.</t>
        </r>
      </text>
    </comment>
    <comment ref="B9" authorId="0" shapeId="0" xr:uid="{00000000-0006-0000-2300-000005000000}">
      <text>
        <r>
          <rPr>
            <b/>
            <sz val="8"/>
            <color indexed="8"/>
            <rFont val="Tahoma"/>
            <family val="2"/>
          </rPr>
          <t>Decreto nº 60.446 de 14/05/67.</t>
        </r>
      </text>
    </comment>
    <comment ref="D9" authorId="0" shapeId="0" xr:uid="{00000000-0006-0000-2300-000006000000}">
      <text>
        <r>
          <rPr>
            <b/>
            <sz val="8"/>
            <color indexed="10"/>
            <rFont val="Tahoma"/>
            <family val="2"/>
          </rPr>
          <t>Para recuperar a fórmula, copie e cole das linhas sequenciais.</t>
        </r>
      </text>
    </comment>
    <comment ref="B10" authorId="0" shapeId="0" xr:uid="{00000000-0006-0000-2300-000007000000}">
      <text>
        <r>
          <rPr>
            <b/>
            <sz val="8"/>
            <color indexed="8"/>
            <rFont val="Tahoma"/>
            <family val="2"/>
          </rPr>
          <t>Decreto nº 60.446 de 14/05/67.
Empresas com mais de 500 empregados - incluir adicional SENAI  de 0,20.</t>
        </r>
      </text>
    </comment>
    <comment ref="D10" authorId="0" shapeId="0" xr:uid="{00000000-0006-0000-2300-000008000000}">
      <text>
        <r>
          <rPr>
            <b/>
            <sz val="8"/>
            <color indexed="10"/>
            <rFont val="Tahoma"/>
            <family val="2"/>
          </rPr>
          <t>Para recuperar a fórmula, copie e cole das linhas sequenciais.</t>
        </r>
      </text>
    </comment>
    <comment ref="B11" authorId="0" shapeId="0" xr:uid="{00000000-0006-0000-2300-000009000000}">
      <text>
        <r>
          <rPr>
            <b/>
            <sz val="8"/>
            <color indexed="8"/>
            <rFont val="Tahoma"/>
            <family val="2"/>
          </rPr>
          <t>Decreto nº 60.446 de 14/05/67.</t>
        </r>
      </text>
    </comment>
    <comment ref="D11" authorId="0" shapeId="0" xr:uid="{00000000-0006-0000-2300-00000A000000}">
      <text>
        <r>
          <rPr>
            <b/>
            <sz val="8"/>
            <color indexed="10"/>
            <rFont val="Tahoma"/>
            <family val="2"/>
          </rPr>
          <t>Para recuperar a fórmula, copie e cole das linhas sequenciais.</t>
        </r>
      </text>
    </comment>
    <comment ref="B12" authorId="0" shapeId="0" xr:uid="{00000000-0006-0000-2300-00000B000000}">
      <text>
        <r>
          <rPr>
            <b/>
            <sz val="8"/>
            <color indexed="8"/>
            <rFont val="Tahoma"/>
            <family val="2"/>
          </rPr>
          <t>Decreto nº 60.446 de 14/05/67.</t>
        </r>
      </text>
    </comment>
    <comment ref="D12" authorId="0" shapeId="0" xr:uid="{00000000-0006-0000-2300-00000C000000}">
      <text>
        <r>
          <rPr>
            <b/>
            <sz val="8"/>
            <color indexed="10"/>
            <rFont val="Tahoma"/>
            <family val="2"/>
          </rPr>
          <t>Para recuperar a fórmula, copie e cole das linhas sequenciais.</t>
        </r>
      </text>
    </comment>
    <comment ref="B13" authorId="0" shapeId="0" xr:uid="{00000000-0006-0000-2300-00000D000000}">
      <text>
        <r>
          <rPr>
            <b/>
            <sz val="8"/>
            <color indexed="8"/>
            <rFont val="Tahoma"/>
            <family val="2"/>
          </rPr>
          <t>Varia conforme o risco do local em que o empregado trabalha : 1%, para risco leve, de 2%, para risco médio, e de 3% de risco grave. O grau de risco e conforme o mapeamento de risco onde os trabalhos serão executados. 
RAT - variável. Considerar o risco para cada empresa.</t>
        </r>
      </text>
    </comment>
    <comment ref="D13" authorId="0" shapeId="0" xr:uid="{00000000-0006-0000-2300-00000E000000}">
      <text>
        <r>
          <rPr>
            <b/>
            <sz val="8"/>
            <color indexed="10"/>
            <rFont val="Tahoma"/>
            <family val="2"/>
          </rPr>
          <t>Para recuperar a fórmula, copie e cole das linhas sequenciais.</t>
        </r>
      </text>
    </comment>
    <comment ref="B14" authorId="0" shapeId="0" xr:uid="{00000000-0006-0000-2300-00000F000000}">
      <text>
        <r>
          <rPr>
            <b/>
            <sz val="8"/>
            <color indexed="8"/>
            <rFont val="Tahoma"/>
            <family val="2"/>
          </rPr>
          <t>Decreto nº 60.446 de 14/05/67.</t>
        </r>
      </text>
    </comment>
    <comment ref="D14" authorId="0" shapeId="0" xr:uid="{00000000-0006-0000-2300-000010000000}">
      <text>
        <r>
          <rPr>
            <b/>
            <sz val="8"/>
            <color indexed="10"/>
            <rFont val="Tahoma"/>
            <family val="2"/>
          </rPr>
          <t>Para recuperar a fórmula, copie e cole das linhas sequenciais.</t>
        </r>
      </text>
    </comment>
    <comment ref="B15" authorId="0" shapeId="0" xr:uid="{00000000-0006-0000-2300-000011000000}">
      <text>
        <r>
          <rPr>
            <b/>
            <sz val="8"/>
            <color indexed="8"/>
            <rFont val="Tahoma"/>
            <family val="2"/>
          </rPr>
          <t>Art.577 CLT.Este encargo é pago ao sindicato da construcao civil, portando não existe em outras atividades que não seja a construção civil.Aplicável em algumas localidades.</t>
        </r>
      </text>
    </comment>
    <comment ref="D15" authorId="0" shapeId="0" xr:uid="{00000000-0006-0000-2300-000012000000}">
      <text>
        <r>
          <rPr>
            <b/>
            <sz val="8"/>
            <color indexed="10"/>
            <rFont val="Tahoma"/>
            <family val="2"/>
          </rPr>
          <t>Para recuperar a fórmula, copie e cole das linhas sequenciais.</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DC434F9-58BA-4FB1-A0D4-668E0D9118D9}" keepAlive="1" name="Consulta - CamScanner 12-07-2022 14 50 pdf" description="Conexão com a consulta 'CamScanner 12-07-2022 14 50 pdf' na pasta de trabalho." type="5" refreshedVersion="0" background="1" saveData="1">
    <dbPr connection="Provider=Microsoft.Mashup.OleDb.1;Data Source=$Workbook$;Location=&quot;CamScanner 12-07-2022 14 50 pdf&quot;;Extended Properties=&quot;&quot;" command="SELECT * FROM [CamScanner 12-07-2022 14 50 pdf]"/>
  </connection>
</connections>
</file>

<file path=xl/sharedStrings.xml><?xml version="1.0" encoding="utf-8"?>
<sst xmlns="http://schemas.openxmlformats.org/spreadsheetml/2006/main" count="1805" uniqueCount="692">
  <si>
    <t>ANÁLISE DE RISCO</t>
  </si>
  <si>
    <t>PRO-009-25</t>
  </si>
  <si>
    <t>DATA:</t>
  </si>
  <si>
    <t>1ª ETAPA - ANÁLISE PRELIMINAR DE RISCO</t>
  </si>
  <si>
    <t>Nome do Contrato:</t>
  </si>
  <si>
    <t xml:space="preserve">CSS00206 - RDC 4598275 - CONTRATAÇÃO DE SERVIÇO PARA MONTAGEM E SERVIÇOS ELETROMECÂNICOS -  SUBSTITUIÇÃO DA TALHA ELÉTRICA 161-TL-01 </t>
  </si>
  <si>
    <t>Dono do Risco:</t>
  </si>
  <si>
    <t>WELLINGTON DE SOUZA</t>
  </si>
  <si>
    <t>Cliente:</t>
  </si>
  <si>
    <t>ALUMAR</t>
  </si>
  <si>
    <t>Missão do Contrato:</t>
  </si>
  <si>
    <t>Prazo (dias):</t>
  </si>
  <si>
    <t>Prazo pgto
(dd):</t>
  </si>
  <si>
    <t>Local:</t>
  </si>
  <si>
    <t>SÃO LUÍS (MA)</t>
  </si>
  <si>
    <t>ESTIMATIVA FINANCEIRAS</t>
  </si>
  <si>
    <t>Valor Estimado</t>
  </si>
  <si>
    <t>Nr. De Pessoas</t>
  </si>
  <si>
    <t>Custo M.obra</t>
  </si>
  <si>
    <t>Custo
Equipam.</t>
  </si>
  <si>
    <t>Custo
Consumiveis</t>
  </si>
  <si>
    <t>Outros</t>
  </si>
  <si>
    <t>Custo Total</t>
  </si>
  <si>
    <t>K</t>
  </si>
  <si>
    <t>OBSERVAÇÕES</t>
  </si>
  <si>
    <t>1 - A OBRA OCORRERÁ NA ÁREA DO PRÉDIO 161Z
2 - O ESCOPO SERÁ IMPRETERIVELMENTE A TROCA DA TALHA ELÉTRICA, COM AQUISIÇÃO DE CABOS E ACESSÓRIOS
3 - A MOBILIZAÇÃO OCORRERÁ COM A EQUIPE COMPOSTA POR ENGENHEIRO ELETRICISTA, ELETRICISTA DE FORÇA E CONTROLE E AUXILIAR.</t>
  </si>
  <si>
    <t>2ª ETAPA - ANÁLISE DE RISCO</t>
  </si>
  <si>
    <t>Riscos a Verificar</t>
  </si>
  <si>
    <t>Criterio de Avaliação do Nivel do Risco</t>
  </si>
  <si>
    <t>Nota</t>
  </si>
  <si>
    <t>Probabilidade</t>
  </si>
  <si>
    <t>NR</t>
  </si>
  <si>
    <t>Probabilidade do Risco Acontecer</t>
  </si>
  <si>
    <t>QUASE CERTO</t>
  </si>
  <si>
    <t>Risco Alto</t>
  </si>
  <si>
    <t>Alto</t>
  </si>
  <si>
    <t>GRÁFICO</t>
  </si>
  <si>
    <t>VERMELHO</t>
  </si>
  <si>
    <t>AMARELO</t>
  </si>
  <si>
    <t>VERDE</t>
  </si>
  <si>
    <t>1 a 2,5</t>
  </si>
  <si>
    <t>Nivel</t>
  </si>
  <si>
    <t>Vermelho</t>
  </si>
  <si>
    <t>Amarelo</t>
  </si>
  <si>
    <t>Verde</t>
  </si>
  <si>
    <t>MUITO PROVÁVEL</t>
  </si>
  <si>
    <t>2,6 a 4,9</t>
  </si>
  <si>
    <t>PROVÁVEL</t>
  </si>
  <si>
    <t>Médio</t>
  </si>
  <si>
    <t>5 a 7,4</t>
  </si>
  <si>
    <t>POUCO PROVÁVEL</t>
  </si>
  <si>
    <t>7,5 a 8,5</t>
  </si>
  <si>
    <t>IMPROVÁVEL</t>
  </si>
  <si>
    <t>Baixo</t>
  </si>
  <si>
    <t>8,6 a 9,3</t>
  </si>
  <si>
    <t>RARO</t>
  </si>
  <si>
    <t>9,4 a 10</t>
  </si>
  <si>
    <t>Quanto maior a probabilidade do risco, menor a Nota atribuída e vice versa.</t>
  </si>
  <si>
    <t>Risco Médio</t>
  </si>
  <si>
    <t>Tipo de Riscos</t>
  </si>
  <si>
    <t>Peso da
Consequencia</t>
  </si>
  <si>
    <t>Nivel de Risco</t>
  </si>
  <si>
    <t>Yeld</t>
  </si>
  <si>
    <t>1-FINANCEIRO (Fluxo de caixa)</t>
  </si>
  <si>
    <t xml:space="preserve">Observações gerais a serem contempladas na APR </t>
  </si>
  <si>
    <t>2-CALOTE (SERASA)</t>
  </si>
  <si>
    <t>3-NIVEL DE COMPLEXIDADE</t>
  </si>
  <si>
    <t>Risco Baixo</t>
  </si>
  <si>
    <t>4-CAPACIDADE TÉCNICA</t>
  </si>
  <si>
    <t>5-SSMA</t>
  </si>
  <si>
    <t>6-RISCO DE NÃO ACONTECER</t>
  </si>
  <si>
    <t>7-DISPONIBILIDADE DE RECURSOS (Mercado)</t>
  </si>
  <si>
    <t>8-COMPETITIVIDADE (Concorrentes)</t>
  </si>
  <si>
    <t>Nível de Risco:</t>
  </si>
  <si>
    <t>9-HH PARADO/EQUIPAMENTO</t>
  </si>
  <si>
    <t>10-LOGISTICA</t>
  </si>
  <si>
    <t>11-NOTIFICAÇÕES E MULTAS</t>
  </si>
  <si>
    <t>12-PRAZO DE ELABORAÇÃO PROPOSTA</t>
  </si>
  <si>
    <t>13-PRAZO DE EXECUÇÃO</t>
  </si>
  <si>
    <t>14-LEILÃO</t>
  </si>
  <si>
    <t>Nota 1 - Os Níveis de Risco considerados Médios e Altos (amarelo e vermelho) deverão ser contemplados na ARC (Análise de Risco do Contrato).</t>
  </si>
  <si>
    <t>Nota 2 - Yeld é o indicador qualitativo da oportunidade do contrato no que diz respeito ao risco, varia entre 1 e 10.</t>
  </si>
  <si>
    <t>Nota 3 - Yeld menor ou igual a 5, o processo será declinado, para Yeld &gt; 5 e &lt; 8,5, deverá ser elaborada Análise de Risco do Contrato com ações para mitigar os riscos</t>
  </si>
  <si>
    <t>APROVADO</t>
  </si>
  <si>
    <t>(Fazer a APR)</t>
  </si>
  <si>
    <t>Comercial</t>
  </si>
  <si>
    <t>Dono do Risco</t>
  </si>
  <si>
    <t>REPROVADO</t>
  </si>
  <si>
    <t>Trabalhar esse formulário junto com a APR</t>
  </si>
  <si>
    <t>(Declinar do Processo)</t>
  </si>
  <si>
    <t xml:space="preserve">Este formulario deve ser utilizado como ferramenta de decisão de continuidade em processos de contratação. </t>
  </si>
  <si>
    <t>Rev. 03</t>
  </si>
  <si>
    <t>Marcio Lopes</t>
  </si>
  <si>
    <t>CHECK</t>
  </si>
  <si>
    <t>A - Mão de Obra + Encargos</t>
  </si>
  <si>
    <t>Cód.</t>
  </si>
  <si>
    <t>Discriminação</t>
  </si>
  <si>
    <t>Unid</t>
  </si>
  <si>
    <t>P.Unit</t>
  </si>
  <si>
    <t>Quant</t>
  </si>
  <si>
    <t>F.utiliz</t>
  </si>
  <si>
    <t>Custo</t>
  </si>
  <si>
    <t>A - Custo Total de Mão de Obra:</t>
  </si>
  <si>
    <t>B – Equipamentos e Ferramentas</t>
  </si>
  <si>
    <t>B - Custo Total de Equipamentos e Ferramentas:</t>
  </si>
  <si>
    <t>C – Materiais</t>
  </si>
  <si>
    <t>C - Custo Total de Materiais:</t>
  </si>
  <si>
    <t>D – Outros</t>
  </si>
  <si>
    <t>D - Custo Total de Outros:</t>
  </si>
  <si>
    <t>Item</t>
  </si>
  <si>
    <t xml:space="preserve"> CUSTOS</t>
  </si>
  <si>
    <t>%</t>
  </si>
  <si>
    <t>$</t>
  </si>
  <si>
    <t>A</t>
  </si>
  <si>
    <t>Mão de Obra</t>
  </si>
  <si>
    <t>B</t>
  </si>
  <si>
    <t>Equipamentos</t>
  </si>
  <si>
    <t>C</t>
  </si>
  <si>
    <t>Materiais</t>
  </si>
  <si>
    <t>D</t>
  </si>
  <si>
    <t xml:space="preserve">Subtotal: </t>
  </si>
  <si>
    <t xml:space="preserve"> BDI</t>
  </si>
  <si>
    <t>Taxa</t>
  </si>
  <si>
    <t>Administração Local</t>
  </si>
  <si>
    <t>Administração Central</t>
  </si>
  <si>
    <t>Custo financ. capital giro</t>
  </si>
  <si>
    <t>Risco do empreendimento</t>
  </si>
  <si>
    <t>Lucro</t>
  </si>
  <si>
    <t>Subtotal:</t>
  </si>
  <si>
    <t>TRIBUTOS</t>
  </si>
  <si>
    <t>ISS</t>
  </si>
  <si>
    <t>COFINS</t>
  </si>
  <si>
    <t>PIS</t>
  </si>
  <si>
    <t>CSLL</t>
  </si>
  <si>
    <t>IRPJ</t>
  </si>
  <si>
    <t>IRPJ Adicional  10%</t>
  </si>
  <si>
    <t>Simples Nacional</t>
  </si>
  <si>
    <t>Subtotal</t>
  </si>
  <si>
    <t>PREÇO</t>
  </si>
  <si>
    <t xml:space="preserve">            PROJETA CONSULTORIA E SERVIÇOS LTDA</t>
  </si>
  <si>
    <t>MOBILIZAÇÃO</t>
  </si>
  <si>
    <t xml:space="preserve">          PROPOSTA COMERCIAL</t>
  </si>
  <si>
    <t>CLIENTE:</t>
  </si>
  <si>
    <t>FORNECIMENTO DE MATERIAL</t>
  </si>
  <si>
    <t xml:space="preserve">           PLANILHA DE QUANTIDADES E PREÇOS</t>
  </si>
  <si>
    <t>DESMONTAGEM</t>
  </si>
  <si>
    <t>OBJETO:</t>
  </si>
  <si>
    <t>MONTAGEM</t>
  </si>
  <si>
    <t>ITEM</t>
  </si>
  <si>
    <t>DESCRIÇÃO</t>
  </si>
  <si>
    <t>UNID.</t>
  </si>
  <si>
    <t>QUANT.</t>
  </si>
  <si>
    <t>P.UNITARIO</t>
  </si>
  <si>
    <t>P.TOTAL</t>
  </si>
  <si>
    <t>COMISSIONAMENTO</t>
  </si>
  <si>
    <t>CPU
1</t>
  </si>
  <si>
    <t>GERAL</t>
  </si>
  <si>
    <t>DATA BOOK E ENTREGA FINAL E DESMOBILIZAÇÃO</t>
  </si>
  <si>
    <t>1.1</t>
  </si>
  <si>
    <t xml:space="preserve">Mobilização </t>
  </si>
  <si>
    <t>VB</t>
  </si>
  <si>
    <t>DIVISÃO</t>
  </si>
  <si>
    <t>IDEAL</t>
  </si>
  <si>
    <t>MELHOR CENÁRIO</t>
  </si>
  <si>
    <t>1.2</t>
  </si>
  <si>
    <t>Desmobilização</t>
  </si>
  <si>
    <t>1.3</t>
  </si>
  <si>
    <t>Canteiro de Obras</t>
  </si>
  <si>
    <t>1.4</t>
  </si>
  <si>
    <t xml:space="preserve">Comissionamento e Start Up </t>
  </si>
  <si>
    <t>1.5</t>
  </si>
  <si>
    <t>Databook</t>
  </si>
  <si>
    <t>CPU
2</t>
  </si>
  <si>
    <t>ELÉTRICA</t>
  </si>
  <si>
    <t>2.1</t>
  </si>
  <si>
    <t>FORNECIMENTO</t>
  </si>
  <si>
    <t>Cabo múltiplo de energia (tetrapolar), condutores flexíveis de cobre (classe 5), classe 
de tensão de 0.6/1kV, isolamento de PVC 70ºC, nas cores preto, vermelho e azul e 
verde, condutor flexível de cobre nú, capa externa de PVC na cor laranja, retardante à 
chama, imune a radiação ultravioleta, Seção 1x4/c # 10.0mm².</t>
  </si>
  <si>
    <t>M</t>
  </si>
  <si>
    <t>Chave seccionadora 30A TYPE 3R/4/12 CLAS S H 600V, NCM:8536.50.90 CF:5102 
MR:ROCKWELL</t>
  </si>
  <si>
    <t>UND</t>
  </si>
  <si>
    <t>Terminal olhal de cobre à compressão #10mm² com furo M8, TM-10-8 da Intelli ou 
similar.</t>
  </si>
  <si>
    <t>Fusível NH Sitor Ultra Rápido Gr 32A 1000V 100Ka T-0, Indicador Frontal 3NE4 101 
da Siemens ou similar</t>
  </si>
  <si>
    <t>Base para Fusível NH Sitor Ultra Rápido Gr 32A 1000V 100Ka, T-0 tipo: 3NH3 230-
0RC da Siemens ou similar</t>
  </si>
  <si>
    <t>Miscelâneas</t>
  </si>
  <si>
    <t>CPU
3</t>
  </si>
  <si>
    <t>2.2</t>
  </si>
  <si>
    <t>SERVIÇO (DESMONTAGEM)</t>
  </si>
  <si>
    <t>Desmontagem do Cabo de Alimentação do Quadro de Distribuição QD-161T-11 até a 
Chave Seccionadora 440V no Campo</t>
  </si>
  <si>
    <t xml:space="preserve">Desmontagem da Caixa da Chave Seccionadora 440V no Campo </t>
  </si>
  <si>
    <t xml:space="preserve">Desmontagem da Cortina de Cabos Existente com Trole no Campo </t>
  </si>
  <si>
    <t>Desmontagem da Talha Elétrica 1 Tonelada no Campo</t>
  </si>
  <si>
    <t>Desmontagem dos Componentes Internos do Quadro de distribuição QD-161T-11</t>
  </si>
  <si>
    <t>Desmontagem do Suporte Existente da Chave Seccionadora no Campo</t>
  </si>
  <si>
    <t>2.3</t>
  </si>
  <si>
    <t>SERVIÇO (MONTAGEM)</t>
  </si>
  <si>
    <t>Montagem dos Componentes Internos do Quadro de distribuição QD-161T-11</t>
  </si>
  <si>
    <t>Montagem do Cabo de Alimentação do Quadro de Distribuição QD-161T-11 até a 
Chave Seccionadora 440V no Campo</t>
  </si>
  <si>
    <t>Montagem do Suporte Existente da Chave Seccionadora no Campo</t>
  </si>
  <si>
    <t>Montagem da Caixa da Chave Seccionadora no Campo</t>
  </si>
  <si>
    <t>Montagem da Talha Elétrica 1 Tonelada do Tipo CTX– Konecranes</t>
  </si>
  <si>
    <t>Montagem da Cortina de Cabos Completo Tipo Festoon com Troles Arrastador</t>
  </si>
  <si>
    <t xml:space="preserve">TOTAL GERAL   </t>
  </si>
  <si>
    <r>
      <rPr>
        <b/>
        <sz val="9"/>
        <rFont val="Rubik"/>
      </rPr>
      <t xml:space="preserve">NOTA: </t>
    </r>
    <r>
      <rPr>
        <sz val="9"/>
        <rFont val="Rubik"/>
      </rPr>
      <t xml:space="preserve">
1 - A base de cáculo para retenção do INSS pela contratante  é somente sobre a parcela mão de obra que corresponde a XX% dos custos, por se tratar de um serviço que inclui equipamentos e materiais conforme IN 971/2009;
2 - A presente proposta prever a dedução de valor de material, para apuração da base de cálculo do INSS conforme instrução normativa de cada municipio;
3 - INSS e o ISS deverão ser sobre a parcela de mão de obra.</t>
    </r>
  </si>
  <si>
    <t>PREMISSAS:</t>
  </si>
  <si>
    <t>LISTA DE DESVIOS:</t>
  </si>
  <si>
    <t>CPU</t>
  </si>
  <si>
    <t>Composição de Preços Unitários</t>
  </si>
  <si>
    <t>diárias</t>
  </si>
  <si>
    <t>hh</t>
  </si>
  <si>
    <t>E01</t>
  </si>
  <si>
    <t>E02</t>
  </si>
  <si>
    <t>E03</t>
  </si>
  <si>
    <t>E04</t>
  </si>
  <si>
    <t>E05</t>
  </si>
  <si>
    <t>Vb/mês</t>
  </si>
  <si>
    <t>E06</t>
  </si>
  <si>
    <t>E07</t>
  </si>
  <si>
    <t>E08</t>
  </si>
  <si>
    <t>E09</t>
  </si>
  <si>
    <t>E10</t>
  </si>
  <si>
    <t>E11</t>
  </si>
  <si>
    <t>E12</t>
  </si>
  <si>
    <t>E13</t>
  </si>
  <si>
    <t>E14</t>
  </si>
  <si>
    <t>E15</t>
  </si>
  <si>
    <t>E16</t>
  </si>
  <si>
    <t>E17</t>
  </si>
  <si>
    <t>EPIs</t>
  </si>
  <si>
    <t>E18</t>
  </si>
  <si>
    <t>und</t>
  </si>
  <si>
    <t>E19</t>
  </si>
  <si>
    <t>E20</t>
  </si>
  <si>
    <t>E21</t>
  </si>
  <si>
    <t>E22</t>
  </si>
  <si>
    <t>E23</t>
  </si>
  <si>
    <t>E24</t>
  </si>
  <si>
    <t>Garrafa térmica 12 L</t>
  </si>
  <si>
    <t>E25</t>
  </si>
  <si>
    <t>E26</t>
  </si>
  <si>
    <t>E27</t>
  </si>
  <si>
    <t>E28</t>
  </si>
  <si>
    <t>E29</t>
  </si>
  <si>
    <t>E30</t>
  </si>
  <si>
    <t>E31</t>
  </si>
  <si>
    <t>E32</t>
  </si>
  <si>
    <t>E33</t>
  </si>
  <si>
    <t>E34</t>
  </si>
  <si>
    <t>E35</t>
  </si>
  <si>
    <t>E36</t>
  </si>
  <si>
    <t>E37</t>
  </si>
  <si>
    <t>E38</t>
  </si>
  <si>
    <t>E39</t>
  </si>
  <si>
    <t>E40</t>
  </si>
  <si>
    <t>E41</t>
  </si>
  <si>
    <t>E42</t>
  </si>
  <si>
    <t>E43</t>
  </si>
  <si>
    <t>E44</t>
  </si>
  <si>
    <t>E45</t>
  </si>
  <si>
    <t>E46</t>
  </si>
  <si>
    <t>E47</t>
  </si>
  <si>
    <t>E48</t>
  </si>
  <si>
    <t>E49</t>
  </si>
  <si>
    <t>E50</t>
  </si>
  <si>
    <t>E51</t>
  </si>
  <si>
    <t>E52</t>
  </si>
  <si>
    <t>E53</t>
  </si>
  <si>
    <t>E54</t>
  </si>
  <si>
    <t>M01</t>
  </si>
  <si>
    <t>M02</t>
  </si>
  <si>
    <t>M03</t>
  </si>
  <si>
    <t>M04</t>
  </si>
  <si>
    <t>M05</t>
  </si>
  <si>
    <t>M06</t>
  </si>
  <si>
    <t>Vb</t>
  </si>
  <si>
    <t>M07</t>
  </si>
  <si>
    <t>Água mineral</t>
  </si>
  <si>
    <t>L</t>
  </si>
  <si>
    <t>M08</t>
  </si>
  <si>
    <t>Gelo branco seco</t>
  </si>
  <si>
    <t>Pct</t>
  </si>
  <si>
    <t>M09</t>
  </si>
  <si>
    <t>M11</t>
  </si>
  <si>
    <t>M12</t>
  </si>
  <si>
    <t>M13</t>
  </si>
  <si>
    <t>M14</t>
  </si>
  <si>
    <t>M15</t>
  </si>
  <si>
    <t>M16</t>
  </si>
  <si>
    <t>M17</t>
  </si>
  <si>
    <t>M18</t>
  </si>
  <si>
    <t>M19</t>
  </si>
  <si>
    <t>M20</t>
  </si>
  <si>
    <t>O01</t>
  </si>
  <si>
    <t>ART</t>
  </si>
  <si>
    <t>O02</t>
  </si>
  <si>
    <t>O03</t>
  </si>
  <si>
    <t>Treinamentos</t>
  </si>
  <si>
    <t>O04</t>
  </si>
  <si>
    <t>O05</t>
  </si>
  <si>
    <t>O06</t>
  </si>
  <si>
    <t>O07</t>
  </si>
  <si>
    <t>O08</t>
  </si>
  <si>
    <t>O09</t>
  </si>
  <si>
    <t>O10</t>
  </si>
  <si>
    <t>O11</t>
  </si>
  <si>
    <t>O12</t>
  </si>
  <si>
    <t>O13</t>
  </si>
  <si>
    <t>O14</t>
  </si>
  <si>
    <t>O15</t>
  </si>
  <si>
    <t>O16</t>
  </si>
  <si>
    <t>O17</t>
  </si>
  <si>
    <t>O18</t>
  </si>
  <si>
    <t>O19</t>
  </si>
  <si>
    <t>O20</t>
  </si>
  <si>
    <t>COMPOSIÇÃO DO CUSTO SALARIOS POR FUNÇÃO (MOD)</t>
  </si>
  <si>
    <t>QQP</t>
  </si>
  <si>
    <t>Função</t>
  </si>
  <si>
    <t>Escolaridade</t>
  </si>
  <si>
    <t>A1) Salário sem encargos</t>
  </si>
  <si>
    <t>A2) Adicional Periculosidade</t>
  </si>
  <si>
    <t>Encargos</t>
  </si>
  <si>
    <t>Por mês</t>
  </si>
  <si>
    <t>Em HH</t>
  </si>
  <si>
    <t>P01</t>
  </si>
  <si>
    <t>Técnico SSMA</t>
  </si>
  <si>
    <t>Médio/Técnico</t>
  </si>
  <si>
    <t>P02</t>
  </si>
  <si>
    <t>Eletricista de força e controle</t>
  </si>
  <si>
    <t>P03</t>
  </si>
  <si>
    <t>Ajudante de elétrica</t>
  </si>
  <si>
    <t>Fundamental</t>
  </si>
  <si>
    <t>P04</t>
  </si>
  <si>
    <t>Engenheiro eletricista</t>
  </si>
  <si>
    <t>Superior</t>
  </si>
  <si>
    <t>P05</t>
  </si>
  <si>
    <t>P06</t>
  </si>
  <si>
    <t>Alpinista industrial (Montador de andaime)</t>
  </si>
  <si>
    <t>P07</t>
  </si>
  <si>
    <t>P08</t>
  </si>
  <si>
    <t>Servente/Auxiliar de obras</t>
  </si>
  <si>
    <t>Encargos Sociais</t>
  </si>
  <si>
    <t>REAJUSTE SALARIAL 2025</t>
  </si>
  <si>
    <t>SALÁRIO MÍNIMO 2024</t>
  </si>
  <si>
    <t>SALÁRIO MÍNIMO 2025</t>
  </si>
  <si>
    <t>REAJUSTE</t>
  </si>
  <si>
    <t>EPI</t>
  </si>
  <si>
    <t>Vida Útil (mês)</t>
  </si>
  <si>
    <t>Preço Compra</t>
  </si>
  <si>
    <t>OBRAS</t>
  </si>
  <si>
    <t>Qnt.</t>
  </si>
  <si>
    <t>Custo/Mês</t>
  </si>
  <si>
    <t xml:space="preserve">Capacete </t>
  </si>
  <si>
    <t>Carneira e jugular</t>
  </si>
  <si>
    <t>Óculos Amplavisão</t>
  </si>
  <si>
    <t>Óculos impacto</t>
  </si>
  <si>
    <t>Abafador ruido tipo concha - MSA</t>
  </si>
  <si>
    <t>Protetor facial - MSA</t>
  </si>
  <si>
    <t>Luvas de Poliamida</t>
  </si>
  <si>
    <t>Luvas de Vaqueta</t>
  </si>
  <si>
    <t xml:space="preserve">Respirador </t>
  </si>
  <si>
    <t>Bota de segurança manobreiro</t>
  </si>
  <si>
    <t>Camisa com Proteção Quimica Manga Longa de Brim</t>
  </si>
  <si>
    <t>Calça de Brim</t>
  </si>
  <si>
    <t>Perneira</t>
  </si>
  <si>
    <t>Cinta de segurança com talabarte</t>
  </si>
  <si>
    <t>Pretor solar 30fps 2 litros</t>
  </si>
  <si>
    <t>Avental</t>
  </si>
  <si>
    <t>Mascara de solda carbografite</t>
  </si>
  <si>
    <t>TOTAL</t>
  </si>
  <si>
    <t>TREINAMENTOS</t>
  </si>
  <si>
    <t>TREINAMENTO</t>
  </si>
  <si>
    <t>EMPRESA</t>
  </si>
  <si>
    <t>MATRIZ</t>
  </si>
  <si>
    <t>CUSTO</t>
  </si>
  <si>
    <t>Total</t>
  </si>
  <si>
    <t>ÉTICA + VÍDEO INCLUSÃO/DIVERSIDADE (NEW)</t>
  </si>
  <si>
    <t>INTEGRAÇÃO PARA NOVOS FUNCIONÁRIOS</t>
  </si>
  <si>
    <t>EHS INTRODUTÓRIO</t>
  </si>
  <si>
    <t>EMERGÊNCIA</t>
  </si>
  <si>
    <t>MEIO AMBIENTE</t>
  </si>
  <si>
    <t>PREVENÇÃO DE FSI - GERENCIAMENTO DE RISCOS CRÍTICOS (CRM)</t>
  </si>
  <si>
    <t>CRÍTICOS: EQUIPAMENTOS MÓVEIS/VEÍCULOS</t>
  </si>
  <si>
    <t>CRÍTICOS: LIBERAÇÃO DE ENERGIA INESPERADA</t>
  </si>
  <si>
    <t>CRÍTICOS: PREVENÇÃO DE QUEDAS/QUEDAS DE OBJETO</t>
  </si>
  <si>
    <t>CRÍTICOS: ESPAÇO CONFINADO</t>
  </si>
  <si>
    <t>CRÍTICOS: IÇAMENTO DE CARGA</t>
  </si>
  <si>
    <t>CRÍTICOS: CONTATO COM ELETRICIDADE</t>
  </si>
  <si>
    <t>CRÍTICOS: PROTEÇÃO DE MÁQUINAS</t>
  </si>
  <si>
    <t>PRODUTOS QUÍMICOS</t>
  </si>
  <si>
    <t>CRÍTICOS: METAL LÍQUIDO</t>
  </si>
  <si>
    <t>POT STEP IN</t>
  </si>
  <si>
    <t>CRÍTICOS: PREVENÇÃO DE QUEIMADURAS QUÍMICAS</t>
  </si>
  <si>
    <t>HIGIENE OCUPACIONAL (CONSERVAÇÃO AUDITIVA/PROTEÇÃO RESPIRATÓRIA)</t>
  </si>
  <si>
    <t>PROGRAMAS DE SAÚDE OCUPACIONAL</t>
  </si>
  <si>
    <t>DESEMPENHO HUMANO - MÓDULO EMPREGADOS</t>
  </si>
  <si>
    <t>POLÍTICA GLOBAL DE BARRAGENS</t>
  </si>
  <si>
    <t>RECICLAGEM OBRIGATÓRIA ANUAL</t>
  </si>
  <si>
    <t>POLÍTICA GLOBAL DE BARRAGENS (APENAS ARB)</t>
  </si>
  <si>
    <t>BÁSICO DE ESPAÇO CONFINADO:VIGIA (OBSERVADOR) E EXECUTANTE</t>
  </si>
  <si>
    <t>NR 33 ESPAÇO CONFINADO</t>
  </si>
  <si>
    <t>RECICLAGEM DE EXECUTANTE E VIGIA DE ESPAÇO CONFINADO</t>
  </si>
  <si>
    <t>NR 33 ESPAÇO CONFINADO - RECICLAGEM</t>
  </si>
  <si>
    <t>NR 33 - SEGURANÇA E SAÚDE NOS TRABALHOS EM ESPAÇOS CONFINADOS - SUPERVISOR DE ENTRADA (MÓDULO COMPLEMENTAR) PARTE I</t>
  </si>
  <si>
    <t>SUPERVISOR DE ENTRADA EM ESPAÇOS CONFINADOS</t>
  </si>
  <si>
    <t>NR 33 - SEGURANÇA E SAÚDE NOS TRABALHOS EM ESPAÇOS CONFINADOS - SUPERVISOR DE ENTRADA (MÓDULO COMPLEMENTAR) PARTE II</t>
  </si>
  <si>
    <t>OPERAÇÃO DOS EQUIPAMENTOS DE ESPAÇO CONFINADO</t>
  </si>
  <si>
    <t>PROTEÇÃO DE MÁQUINAS</t>
  </si>
  <si>
    <t>CONSERVAÇÃO AUDITIVA</t>
  </si>
  <si>
    <t>PROTEÇÃO RESPIRATÓRIA</t>
  </si>
  <si>
    <t>ETIQUETAMENTO, BLOQUEIO, TESTE E VERIFICAÇÃO - EBTV</t>
  </si>
  <si>
    <t>TRABALHO A QUENTE</t>
  </si>
  <si>
    <t>OPERAÇÃO DE RESGATES</t>
  </si>
  <si>
    <t>PREVENÇÃO DE QUEDAS</t>
  </si>
  <si>
    <t>AUTORIZADO NA NORMA 32.60</t>
  </si>
  <si>
    <t>RECICLAGEM DE SUPERVISOR DE ENTRADA EM ESPAÇO CONFINADO</t>
  </si>
  <si>
    <t>SUPERVISOR DE ENTRADA EM ESPAÇOS CONFINADOS - RECICLAGEM</t>
  </si>
  <si>
    <t>PREVENÇÃO DE QUEDAS / NR 35</t>
  </si>
  <si>
    <t>NR 35 - TRABALHO EM ALTURA</t>
  </si>
  <si>
    <t>USO E INSPEÇÃO DE CINTO DE SEGURANÇA</t>
  </si>
  <si>
    <t>RECICLAGEM PREVENÇÃO DE QUEDAS / NR 35</t>
  </si>
  <si>
    <t>NR 35 - TRABALHO EM ALTURA - RECICLAGEM</t>
  </si>
  <si>
    <t>NR 20 CURSO AVANÇADO I (2,5 dias)</t>
  </si>
  <si>
    <t>NR 20</t>
  </si>
  <si>
    <t>NR 20 CURSO DE INICIACAO SOBRE INFLAMAVEIS E COMBUSTIVEIS – 3 HORAS</t>
  </si>
  <si>
    <t>NR 20 CURSO BASICO – 4 HORAS</t>
  </si>
  <si>
    <t>NR 20 CURSO BASICO – 6 HORAS</t>
  </si>
  <si>
    <t>NR 20 CURSO INTERMEDIARIO – 12 HORAS</t>
  </si>
  <si>
    <t>NR 20 CURSO INTERMEDIARIO – 14 HORAS</t>
  </si>
  <si>
    <t>RECICLAGEM DE NR 20 BASICO – 4 HORAS</t>
  </si>
  <si>
    <t>NR 20 - RECICLAGEM</t>
  </si>
  <si>
    <t>RECICLAGEM DE NR 20 INTERMEDIARIO – 4 HORAS</t>
  </si>
  <si>
    <t>RECICLAGEM DE NR 20 AVANCADO I – 4 HORAS</t>
  </si>
  <si>
    <t>BÁSICO DE QUALIFICADO NA NORMA 32.60, 32.69, 32.70 &amp; NR-10</t>
  </si>
  <si>
    <t>NR 10 - SEG. EM ELETRICIDADE</t>
  </si>
  <si>
    <t>QUALIFICADO NA NORMA 32.60, 32.69, 32.70 &amp; NR-10 (MÓDULO COMPACTO)</t>
  </si>
  <si>
    <t xml:space="preserve"> NORMA 32.60, 32.69, 32.70 &amp; NR-10 AUTORIZADO</t>
  </si>
  <si>
    <t>RECICLAGEM DO QUALIFICADO NA NORMA 32.60, 32.69, 32.70 &amp; NR-10</t>
  </si>
  <si>
    <t>NR 10 - SEG. EM ELETRICIDADE - RECICLAGEM</t>
  </si>
  <si>
    <t>ISOLAMENTO DE ÁREA</t>
  </si>
  <si>
    <t>DIVERSOS</t>
  </si>
  <si>
    <t>ANÁLISE DE RISCO OPERACIONAL - ARO (8 HORAS)</t>
  </si>
  <si>
    <t>ANÁLISE DE RISCO OPERACIONAL - ARO (4 HORAS)</t>
  </si>
  <si>
    <t>PROCESSO DE INVESTIGAÇÃO DE INCIDENTES - TRABALHO/AMBIENTAL</t>
  </si>
  <si>
    <t>ERGONOMIA PARA TRABALHOS EM TERMINAIS DE VÍDEO</t>
  </si>
  <si>
    <t>CIPA - COMISSÃO INTERNA DE PREVENÇÃO DE ACIDENTES</t>
  </si>
  <si>
    <t>TREINAMENTO DE RAC E NR</t>
  </si>
  <si>
    <t>VALE</t>
  </si>
  <si>
    <t>RACs  E  NRs</t>
  </si>
  <si>
    <t>EXAMES  /  DOCUMENTAÇÕES SESMT</t>
  </si>
  <si>
    <t>TABELA DE EXAMES</t>
  </si>
  <si>
    <t>DESCRIÇÃO EXAME</t>
  </si>
  <si>
    <t>QNT.</t>
  </si>
  <si>
    <t>EXAME</t>
  </si>
  <si>
    <t>VALOR</t>
  </si>
  <si>
    <t>ADMISSIONAL</t>
  </si>
  <si>
    <t>ACUIDADE VISUAL</t>
  </si>
  <si>
    <t>PERIÓDICO</t>
  </si>
  <si>
    <t>ATESTADO DE APTIDAO FISICA</t>
  </si>
  <si>
    <t>DEMISSIONAL</t>
  </si>
  <si>
    <t>ATESTADO PNE</t>
  </si>
  <si>
    <t>TOTAL GERAL</t>
  </si>
  <si>
    <t>AUDIOMETRIA TONAL</t>
  </si>
  <si>
    <t>AUDIOMETRIA TONAL E VOCAL</t>
  </si>
  <si>
    <t>DOCUMENTAÇÕES SESMT - (PCMSO - PGR - PCA - PPR)</t>
  </si>
  <si>
    <t>CAMPIMETRIA COMPUTADORIZADA</t>
  </si>
  <si>
    <t>Contrato Quantidade de 0 a 10 Funcionários</t>
  </si>
  <si>
    <t>CLINICO ANAMNESE DIRIGIDA/EXAME FISICO E MENTAL</t>
  </si>
  <si>
    <t>PCMSO</t>
  </si>
  <si>
    <t>COLESTEROL TOTAL E FRAÇÕES</t>
  </si>
  <si>
    <t>PGR</t>
  </si>
  <si>
    <t>CONSULTA COM ENDOCRINOLOGISTA</t>
  </si>
  <si>
    <t>PCA</t>
  </si>
  <si>
    <t>CONSULTA COM OFTALMOLOGISTA COM POTENCIAL ACUIDADE</t>
  </si>
  <si>
    <t>PPR</t>
  </si>
  <si>
    <t>CONSULTA OFTALMOLOGICA -POTENCIAL ACUIDADE VISUAL</t>
  </si>
  <si>
    <t>Contrato Quantidade de 11 a 30 Funcionários</t>
  </si>
  <si>
    <t>ELETROCARDIOGRAMA</t>
  </si>
  <si>
    <t>ELETROENCEFALOGRAMA</t>
  </si>
  <si>
    <t>ESPIROMETRIA</t>
  </si>
  <si>
    <t>EXAME CLINICO</t>
  </si>
  <si>
    <t>FATOR RH</t>
  </si>
  <si>
    <t>Contrato Quantidade de 31 a 50 Funcionários</t>
  </si>
  <si>
    <t>FICHA RAC</t>
  </si>
  <si>
    <t>GAMA GT</t>
  </si>
  <si>
    <t>GLICEMIA</t>
  </si>
  <si>
    <t>GLICEMIA EM JEJUM</t>
  </si>
  <si>
    <t>GRUPO SANGUINEO</t>
  </si>
  <si>
    <t>Contrato Quantidade de 51 a 100 Funcionários</t>
  </si>
  <si>
    <t>HEMOGLOBINA GLICADA</t>
  </si>
  <si>
    <t>HEMOGLOBINA GLICOSADA</t>
  </si>
  <si>
    <t>HEMOGRAMA COMPLETO</t>
  </si>
  <si>
    <t>LIPIDOGRAMA</t>
  </si>
  <si>
    <t>MANGANES URINARIO</t>
  </si>
  <si>
    <t>PSA LIVRE (ANTIGENO PROSTATICO ESPECIFICO)</t>
  </si>
  <si>
    <t>PSA TOTAL (ANTIGENO PROSTATICO ESPECIFICO)</t>
  </si>
  <si>
    <t>RX DA MAO DIREITA</t>
  </si>
  <si>
    <t>RX DO PE DIREITO</t>
  </si>
  <si>
    <t>RX DO TORAX</t>
  </si>
  <si>
    <t>RX DO TORAX OIT 2000</t>
  </si>
  <si>
    <t>RX DO TORAX PADRÃO OIT</t>
  </si>
  <si>
    <t>TESTE ERGOMETRICO</t>
  </si>
  <si>
    <t>TGO</t>
  </si>
  <si>
    <t>TGP</t>
  </si>
  <si>
    <t>TOXICOLÓGICO</t>
  </si>
  <si>
    <t>URINA</t>
  </si>
  <si>
    <t>BDI</t>
  </si>
  <si>
    <t>LUCRO</t>
  </si>
  <si>
    <t>DESPESAS INDIRETAS</t>
  </si>
  <si>
    <t>ADMINISTRAÇÃO CENTRAL</t>
  </si>
  <si>
    <t>Custos relacionados com a manutenção da sede da empresa para dar suporte técnico, administrativo e financeiro a todas aos contratos que estejam sendo executadas .Incluem-se entre os gastos com administração central: aluguel do escritório central, manutenção da edificação da sede da empresa, compra de material de expediente para o escritório central, despesas com aquisição de editais e elaboração de propostas comerciais, prolabore e representação da diretoria, despesas com atividades administrativo-financeiras (manutenção da secretaria da sede da empresa e de setores de contabilidade, de recursos humanos, de compras, de finanças e de cobranças), dentre outros. O valor da taxa de administração central decorre do rateio das despesas administrativas do escritório central por todas os contratos que a empresa esteja executando no período, e varia de acordo com a complexidade  e com a estrutura da empresa. Pessupõe-se a estrutura necessária para execução de atividades específicas de direção geral da empresa como um todo, de forma que sejam alcançados os objetivos empresariais .</t>
  </si>
  <si>
    <t>ADMINISTRAÇÃO LOCAL</t>
  </si>
  <si>
    <t>Custos relacionados ao contrato mas que não estão contemplados nas planilhas de custos diretos, como por exemplo, custos com reuniões de preposto ou diretoria em atendimento ao contrato, Custos complanejamento dos serviços do contrato, custo com Gestão de documentação do contrato, Controle tecnologico, Custos ligados `a melhoria e qualidade de processos, coordenação e distribuição de recursos do contrato, programas de melhorias continuas da qualidade do contrato, Gestão de Partes interessadas, Gestão da Comunicação, dentre outros. O valor da taxa de Administração Local decorre do rateio das despesas indiretas administrativas/operacionais por todas os contratos que a empresa esteja executando no período, e varia de acordo com a complexidade  e com a estrutura da Empresa.</t>
  </si>
  <si>
    <t>CUSTO FINANCEIRO CAPITAL DE GIRO</t>
  </si>
  <si>
    <t>Despesas financeiras são gastos relacionados à perda monetária decorrente da defasagem entre a data do efetivo desembolso e a data da receita correspondente, o contratado precisa lançar mão de recursos próprios para executar etapas que só serão pagas futuramente, o que gera despesas de investimento de capital. Para que esse capital de giro possa ser remunerado, é instituída a despesa financeira. Para estipulação do valor a ser cobrado como despesa financeira, pressupõe-se o custo de oportunidade do capital, ou seja, deve-se apurar qual seria o seu rendimento se o capital de giro tivesse sido aplicado no mercado financeiro</t>
  </si>
  <si>
    <t>2.4</t>
  </si>
  <si>
    <t>RISCO DO EMPREENDIMENTO</t>
  </si>
  <si>
    <t>Imprevistos contratuais. Há ainda a possibilidade de se causar, involuntariamente, danos corporais e materiais a terceiros. Apesar do seguro, no caso deste ser contemplado como custo direto, vale ressaltar que: Há imprevistos não cobertos pelo seguro. A cobertura restringe-se a danos que sejam classificados como acidentais, por serem súbitos e/ou imprevisíveis, obtem-se, em uma só apólice, extensa com uma gama de coberturas (incêndio, alagamento, desmoronamento, responsabilidade civil, roubo, etc). Cabe salientar, quanto aos custos que representam tais seguros, que suas taxas (percentuais a serem aplicados sobre a importância segurada da obra) variam de acordo com as características de cada obra. Consideram-se como imprevistos ou riscos os seguintes acontecimentos, dentre outros, cuja ocorrência prejudica o andamento dos serviços e independe da atuação prévia do executor da obra: fenômenos naturais; perdas de eficiência de mão-de-obra; perdas excessivas de material (por quebras ou retrabalhos) ; manutenções e/ou aferições de equipamentos não previstas; barganha do patrocinador em regras do contrato; regras de reajustes inferiores ao custo de oportunidade economico; greves.</t>
  </si>
  <si>
    <t>2.5</t>
  </si>
  <si>
    <t>OUTROS</t>
  </si>
  <si>
    <t>Outras despesas indiretas especificas do contrato, quando houver.</t>
  </si>
  <si>
    <t>TOTAL BDI</t>
  </si>
  <si>
    <t>ENVIAR DIPJ - DECLARAÇÃO DE INFORMAÇÕES ECONÔMICO-FISCAIS DA PESSOA JURÍDICA</t>
  </si>
  <si>
    <t>IRPJ ADICIONAL DE 10%</t>
  </si>
  <si>
    <t>SIMPLES NACIONAL</t>
  </si>
  <si>
    <t>TOTAL TRIBUTOS</t>
  </si>
  <si>
    <t>ENCARGOS SOCIAIS</t>
  </si>
  <si>
    <t xml:space="preserve"> - Empresa optante pelo Simples Nacional ?</t>
  </si>
  <si>
    <t>NÃO</t>
  </si>
  <si>
    <t>FALSO</t>
  </si>
  <si>
    <t>Os percentuais abaixo são orientativos, caso sua empresa aplique outros favor justificar. Acompanhe a legislação (vide comentários).</t>
  </si>
  <si>
    <t>ENCARGOS SOCIAIS BÁSICOS</t>
  </si>
  <si>
    <t>A.1</t>
  </si>
  <si>
    <t>INSS</t>
  </si>
  <si>
    <t>Justifique % diferenciado:</t>
  </si>
  <si>
    <t>A.2</t>
  </si>
  <si>
    <t>FGTS</t>
  </si>
  <si>
    <t>A.3</t>
  </si>
  <si>
    <t>SESI / SESC</t>
  </si>
  <si>
    <t>A.4</t>
  </si>
  <si>
    <t>SENAI / SENAC</t>
  </si>
  <si>
    <t>x</t>
  </si>
  <si>
    <t>A.5</t>
  </si>
  <si>
    <t>INCRA</t>
  </si>
  <si>
    <t>A.6</t>
  </si>
  <si>
    <t>SALÁRIO EDUCAÇÃO</t>
  </si>
  <si>
    <t>A.7</t>
  </si>
  <si>
    <t>SEGURO ACIDENTE/RAT</t>
  </si>
  <si>
    <t>A.8</t>
  </si>
  <si>
    <t>SEBRAE</t>
  </si>
  <si>
    <t>A.9</t>
  </si>
  <si>
    <t>SECONCI</t>
  </si>
  <si>
    <t>ENCARGOS QUE RECEBEM INCIDÊNCIA DE "A"</t>
  </si>
  <si>
    <t xml:space="preserve"> - Mão de Obra Tipo:</t>
  </si>
  <si>
    <t>B.1</t>
  </si>
  <si>
    <t>FÉRIAS + 1/3 FÉRIAS (separar férias e abono)</t>
  </si>
  <si>
    <t>B.2</t>
  </si>
  <si>
    <t>13º  SALÁRIO</t>
  </si>
  <si>
    <t>B.3</t>
  </si>
  <si>
    <t xml:space="preserve">ENCARGOS SOBRE 13º E FÉRIAS </t>
  </si>
  <si>
    <t>Conforme informação de nossa contabilidade</t>
  </si>
  <si>
    <t>B.4</t>
  </si>
  <si>
    <t>FERIADOS / DIAS NÃO TRABALHADOS</t>
  </si>
  <si>
    <t>Não aplicável para regime mensalista</t>
  </si>
  <si>
    <t>Obrigatoriamente não aplicável para MENSALISTAS.</t>
  </si>
  <si>
    <t>B.5</t>
  </si>
  <si>
    <t>LICENÇA PATERNIDADE</t>
  </si>
  <si>
    <t>B.6</t>
  </si>
  <si>
    <t>IDENIZAÇÃO DO FGTS</t>
  </si>
  <si>
    <t>B.7</t>
  </si>
  <si>
    <t>AVISO PRÉVIO TRABALHADO</t>
  </si>
  <si>
    <t>B.8</t>
  </si>
  <si>
    <t>AUXÍLIO ENFERMIDADE</t>
  </si>
  <si>
    <t>B.9</t>
  </si>
  <si>
    <t>REPOUSO SEMANAL REMUNERADO</t>
  </si>
  <si>
    <t>ENCARGOS QUE NÃO RECEBEM INCIDÊNCIA DE "A"</t>
  </si>
  <si>
    <t>C.1</t>
  </si>
  <si>
    <t>PROVISÃO PARA RESCISÃO SEM JUSTA CAUSA</t>
  </si>
  <si>
    <t>Art. 7º, XXI, CF/88, 477, 487 e ss, CLT</t>
  </si>
  <si>
    <t>C.2</t>
  </si>
  <si>
    <t>AVISO PRÉVIO INDENIZADO</t>
  </si>
  <si>
    <t xml:space="preserve">O artigo 487 CLT, inciso II – determina aviso prévio de 30 dias </t>
  </si>
  <si>
    <t>C.3</t>
  </si>
  <si>
    <t>INDENIZAÇÃO ADICIONAL</t>
  </si>
  <si>
    <t>Art. 9º da Lei 7.238, de 1984</t>
  </si>
  <si>
    <t xml:space="preserve"> TAXA DE REINCIDÊNCIA 
(Incidência do % do Grupo A sobre o % do Grupo B)</t>
  </si>
  <si>
    <t>D.1</t>
  </si>
  <si>
    <t>INDENIZAÇÃO ADICONAL</t>
  </si>
  <si>
    <t>E</t>
  </si>
  <si>
    <t xml:space="preserve">TOTAL  = "A" + "B" + "C" + "D" </t>
  </si>
  <si>
    <t>ENGENHARIA/DOCUMENTOS</t>
  </si>
  <si>
    <t>Levantamento de Campo</t>
  </si>
  <si>
    <t>Topografia</t>
  </si>
  <si>
    <t>Memorial de Cálculo</t>
  </si>
  <si>
    <t>Lista de Desenhos e Documentos (LDD)</t>
  </si>
  <si>
    <t>Especificação Técnica dos Perfis</t>
  </si>
  <si>
    <t>Planilha de Quantidades (PQ)</t>
  </si>
  <si>
    <t xml:space="preserve"> As-Built</t>
  </si>
  <si>
    <t>3.1</t>
  </si>
  <si>
    <t>3.1.1</t>
  </si>
  <si>
    <t>3.1.2</t>
  </si>
  <si>
    <t>3.1.3</t>
  </si>
  <si>
    <t>3.1.4</t>
  </si>
  <si>
    <t>3.1.5</t>
  </si>
  <si>
    <t>3.1.6</t>
  </si>
  <si>
    <t>3.2</t>
  </si>
  <si>
    <t>3.2.1</t>
  </si>
  <si>
    <t>3.2.2</t>
  </si>
  <si>
    <t>3.2.3</t>
  </si>
  <si>
    <t>3.2.4</t>
  </si>
  <si>
    <t>3.2.5</t>
  </si>
  <si>
    <t>3.2.6</t>
  </si>
  <si>
    <t>3.3</t>
  </si>
  <si>
    <t>3.3.1</t>
  </si>
  <si>
    <t>3.3.2</t>
  </si>
  <si>
    <t>3.3.3</t>
  </si>
  <si>
    <t>3.3.4</t>
  </si>
  <si>
    <t>3.3.5</t>
  </si>
  <si>
    <t>3.3.6</t>
  </si>
  <si>
    <t>CPU
5</t>
  </si>
  <si>
    <t>2.6</t>
  </si>
  <si>
    <t>2.7</t>
  </si>
  <si>
    <t>CPU
4</t>
  </si>
  <si>
    <t>REV. 1</t>
  </si>
  <si>
    <t xml:space="preserve">CSS00206 - RDC 4598275 - CONTRATAÇÃO DE SERVIÇO PARA MONTAGEM E SERVIÇOS ELETROMECÂNICOS - SUBSTITUIÇÃO DA TALHA ELÉTRICA 161-TL-01 </t>
  </si>
  <si>
    <t>ESTRUTURAS METÁLICAS</t>
  </si>
  <si>
    <t>4.1</t>
  </si>
  <si>
    <t>Fornecimento de perfis metálicos leve (&lt; 25kg/m)</t>
  </si>
  <si>
    <t>Fornecimento de perfis metálicos médio (&gt; 25kg/m &lt; 80kg/m)</t>
  </si>
  <si>
    <t>Fornecimento de perfis metálicos médio pesado (&gt; 80kg/m)</t>
  </si>
  <si>
    <t>4.1.1</t>
  </si>
  <si>
    <t>4.1.2</t>
  </si>
  <si>
    <t>4.1.3</t>
  </si>
  <si>
    <t>4.1.4</t>
  </si>
  <si>
    <t>4.2</t>
  </si>
  <si>
    <t xml:space="preserve"> SERVIÇO (DESMONTAGEM)</t>
  </si>
  <si>
    <t>Desmontagem da monovia existente</t>
  </si>
  <si>
    <t>4.2.1</t>
  </si>
  <si>
    <t xml:space="preserve">Desmontagem das estruturas transversais de apoio </t>
  </si>
  <si>
    <t>4.2.2</t>
  </si>
  <si>
    <t>4.3</t>
  </si>
  <si>
    <t>Montagem da monovia existente</t>
  </si>
  <si>
    <t>Montagem das estruturas transversais de apoio</t>
  </si>
  <si>
    <t>4.3.1</t>
  </si>
  <si>
    <t>4.3.2</t>
  </si>
  <si>
    <t>Exames médicos</t>
  </si>
  <si>
    <t>Plano de saúde</t>
  </si>
  <si>
    <t>Cesta básica</t>
  </si>
  <si>
    <t>Seguro profissional</t>
  </si>
  <si>
    <t>Alimentação - Café da manhã</t>
  </si>
  <si>
    <t>Alimentação - Almoço</t>
  </si>
  <si>
    <t>Ferramentas para mão de obra</t>
  </si>
  <si>
    <t>Combustível G/D</t>
  </si>
  <si>
    <t>Gelo seco</t>
  </si>
  <si>
    <t>pct</t>
  </si>
  <si>
    <t>Garrafa térmica</t>
  </si>
  <si>
    <t>P09</t>
  </si>
  <si>
    <t>Supervisor de obras</t>
  </si>
  <si>
    <t>Montador de estruturas metálicas</t>
  </si>
  <si>
    <t>P10</t>
  </si>
  <si>
    <t>Sinaleiro de rigger</t>
  </si>
  <si>
    <t>P11</t>
  </si>
  <si>
    <t>Encarregado de elétrica ou andaimes</t>
  </si>
  <si>
    <t>Conteiner escritório</t>
  </si>
  <si>
    <t>Banheiro químico</t>
  </si>
  <si>
    <t>Tenda lonada 6 x 6 m, piramidal - AQUISIÇÃO</t>
  </si>
  <si>
    <t>Mobiliário (Cadeiras e mesas plásticas)</t>
  </si>
  <si>
    <t>Veículo de Locação - Fiat Ducato Minibus Luxo 2025 - 16 lugares</t>
  </si>
  <si>
    <t>P12</t>
  </si>
  <si>
    <t>Engenheiro mecânico - Especialista em estruturas metálicas</t>
  </si>
  <si>
    <t>Topógrafo</t>
  </si>
  <si>
    <t>Auxiliar de topografia</t>
  </si>
  <si>
    <t>P13</t>
  </si>
  <si>
    <t>P14</t>
  </si>
  <si>
    <t>Nível DSZ automático com bolha</t>
  </si>
  <si>
    <t>Vb/Mês</t>
  </si>
  <si>
    <t>Estação total Kit GD2i-8</t>
  </si>
  <si>
    <t>Receptor GNSS RTKCHC i50</t>
  </si>
  <si>
    <t>Estaca de madeira</t>
  </si>
  <si>
    <t>Piquete de madeira</t>
  </si>
  <si>
    <t>Tinta - 18L</t>
  </si>
  <si>
    <t>Marcador Industrial</t>
  </si>
  <si>
    <t>Projetista (Cadista)</t>
  </si>
  <si>
    <t>Cabo múltiplo de energia (tetrapolar), condutores flexíveis de cobre (classe 5), classe de tensão de 0.6/1kV, isolamento de PVC 70ºC - Seção 1x4/c # 10.0mm².</t>
  </si>
  <si>
    <t>Estrutura metálica leve</t>
  </si>
  <si>
    <t>ton</t>
  </si>
  <si>
    <t>Estrutura metálica média</t>
  </si>
  <si>
    <t>Estrutura metálica pesada</t>
  </si>
  <si>
    <t>Plano de rigging</t>
  </si>
  <si>
    <t>Diária</t>
  </si>
  <si>
    <t>Guindaste c/operador 30 ton</t>
  </si>
  <si>
    <t>diária</t>
  </si>
  <si>
    <t>Linha de vida</t>
  </si>
  <si>
    <t>VEÍCULO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</si>
</sst>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2">
    <numFmt numFmtId="44" formatCode="_-&quot;R$&quot;\ * #,##0.00_-;\-&quot;R$&quot;\ * #,##0.00_-;_-&quot;R$&quot;\ * &quot;-&quot;??_-;_-@_-"/>
    <numFmt numFmtId="43" formatCode="_-* #,##0.00_-;\-* #,##0.00_-;_-* &quot;-&quot;??_-;_-@_-"/>
    <numFmt numFmtId="164" formatCode="_-&quot;R$&quot;* #,##0.00_-;\-&quot;R$&quot;* #,##0.00_-;_-&quot;R$&quot;* &quot;-&quot;??_-;_-@_-"/>
    <numFmt numFmtId="165" formatCode="_(* #,##0.00_);_(* \(#,##0.00\);_(* &quot;-&quot;??_);_(@_)"/>
    <numFmt numFmtId="166" formatCode="_(&quot;R$ &quot;* #,##0.00_);_(&quot;R$ &quot;* \(#,##0.00\);_(&quot;R$ &quot;* &quot;-&quot;??_);_(@_)"/>
    <numFmt numFmtId="167" formatCode="0.0%"/>
    <numFmt numFmtId="168" formatCode="\ 0\ &quot;Hh&quot;"/>
    <numFmt numFmtId="169" formatCode="0.000"/>
    <numFmt numFmtId="170" formatCode="_-* #,##0.00_-;\-* #,##0.00_-;_-* \-??_-;_-@_-"/>
    <numFmt numFmtId="171" formatCode="#\,##0."/>
    <numFmt numFmtId="172" formatCode="_(&quot;R$ &quot;* #,##0.00_);_(&quot;R$ &quot;* \(#,##0.00\);_(&quot;R$ &quot;* \-??_);_(@_)"/>
    <numFmt numFmtId="173" formatCode="_-&quot;R$ &quot;* #,##0.00_-;&quot;-R$ &quot;* #,##0.00_-;_-&quot;R$ &quot;* \-??_-;_-@_-"/>
    <numFmt numFmtId="174" formatCode="\$#."/>
    <numFmt numFmtId="175" formatCode="\$#,##0\ ;\(\$#,##0\)"/>
    <numFmt numFmtId="176" formatCode="\$#,##0\ ;&quot;($&quot;#,##0\)"/>
    <numFmt numFmtId="177" formatCode="#,"/>
    <numFmt numFmtId="178" formatCode="_([$€-2]* #,##0.00_);_([$€-2]* \(#,##0.00\);_([$€-2]* &quot;-&quot;??_)"/>
    <numFmt numFmtId="179" formatCode="_([$€]* #,##0.00_);_([$€]* \(#,##0.00\);_([$€]* &quot;-&quot;??_);_(@_)"/>
    <numFmt numFmtId="180" formatCode="_([$€]* #,##0.00_);_([$€]* \(#,##0.00\);_([$€]* \-??_);_(@_)"/>
    <numFmt numFmtId="181" formatCode="_([$€-2]* #,##0.00_);_([$€-2]* \(#,##0.00\);_([$€-2]* \-??_)"/>
    <numFmt numFmtId="182" formatCode="#.00"/>
    <numFmt numFmtId="183" formatCode="#,#00"/>
    <numFmt numFmtId="184" formatCode="&quot;R$ &quot;#,##0_);\(&quot;R$ &quot;#,##0\)"/>
    <numFmt numFmtId="185" formatCode="&quot;R$ &quot;#,##0_);&quot;(R$ &quot;#,##0\)"/>
    <numFmt numFmtId="186" formatCode="_(&quot;R$&quot;* #,##0.00_);_(&quot;R$&quot;* \(#,##0.00\);_(&quot;R$&quot;* &quot;-&quot;??_);_(@_)"/>
    <numFmt numFmtId="187" formatCode="_(&quot;R$&quot;* #,##0.00_);_(&quot;R$&quot;* \(#,##0.00\);_(&quot;R$&quot;* \-??_);_(@_)"/>
    <numFmt numFmtId="188" formatCode="_(&quot;Cr$&quot;* #,##0.00_);_(&quot;Cr$&quot;* \(#,##0.00\);_(&quot;Cr$&quot;* &quot;-&quot;??_);_(@_)"/>
    <numFmt numFmtId="189" formatCode="_(&quot;Cr$&quot;* #,##0.00_);_(&quot;Cr$&quot;* \(#,##0.00\);_(&quot;Cr$&quot;* \-??_);_(@_)"/>
    <numFmt numFmtId="190" formatCode="General_)"/>
    <numFmt numFmtId="191" formatCode="%#,#00"/>
    <numFmt numFmtId="192" formatCode="#.##000"/>
    <numFmt numFmtId="193" formatCode="00"/>
    <numFmt numFmtId="194" formatCode="_(* #,##0.00_);_(* \(#,##0.00\);_(* \-??_);_(@_)"/>
    <numFmt numFmtId="195" formatCode="&quot;R$ &quot;#,##0.00_);[Red]\(&quot;R$ &quot;#,##0.00\)"/>
    <numFmt numFmtId="196" formatCode="&quot;R$ &quot;#,##0.00_);[Red]&quot;(R$ &quot;#,##0.00\)"/>
    <numFmt numFmtId="197" formatCode="_(* #,##0_);_(* \(#,##0\);_(* &quot;-&quot;_);_(@_)"/>
    <numFmt numFmtId="198" formatCode="_(* #,##0.000_);_(* \(#,##0.000\);_(* \-??_);_(@_)"/>
    <numFmt numFmtId="199" formatCode="#,##0_ ;\-#,##0\ "/>
    <numFmt numFmtId="200" formatCode="[h]:mm:ss;@"/>
    <numFmt numFmtId="201" formatCode="_(* #,##0.0000_);_(* \(#,##0.0000\);_(* &quot;-&quot;??_);_(@_)"/>
    <numFmt numFmtId="202" formatCode="&quot;Cr$&quot;#,##0.00_);[Red]\(&quot;Cr$&quot;#,##0.00\)"/>
    <numFmt numFmtId="203" formatCode="&quot;R$&quot;\ #,##0.00"/>
  </numFmts>
  <fonts count="159">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10"/>
      <name val="Arial"/>
      <family val="2"/>
    </font>
    <font>
      <sz val="10"/>
      <name val="Arial"/>
      <family val="2"/>
    </font>
    <font>
      <sz val="9"/>
      <name val="Arial"/>
      <family val="2"/>
    </font>
    <font>
      <sz val="10"/>
      <color indexed="10"/>
      <name val="Arial"/>
      <family val="2"/>
    </font>
    <font>
      <sz val="10"/>
      <color indexed="8"/>
      <name val="Arial"/>
      <family val="2"/>
    </font>
    <font>
      <sz val="10"/>
      <name val="Arial"/>
      <family val="2"/>
    </font>
    <font>
      <sz val="11"/>
      <color indexed="8"/>
      <name val="Calibri"/>
      <family val="2"/>
    </font>
    <font>
      <sz val="11"/>
      <color indexed="9"/>
      <name val="Calibri"/>
      <family val="2"/>
    </font>
    <font>
      <sz val="11"/>
      <color indexed="20"/>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sz val="1"/>
      <color indexed="8"/>
      <name val="Courier"/>
      <family val="3"/>
    </font>
    <font>
      <sz val="12"/>
      <color indexed="24"/>
      <name val="System"/>
      <family val="2"/>
    </font>
    <font>
      <sz val="1"/>
      <color indexed="8"/>
      <name val="Courier New"/>
      <family val="3"/>
    </font>
    <font>
      <sz val="1"/>
      <color indexed="16"/>
      <name val="Courier"/>
      <family val="3"/>
    </font>
    <font>
      <sz val="1"/>
      <color indexed="16"/>
      <name val="Courier New"/>
      <family val="3"/>
    </font>
    <font>
      <sz val="11"/>
      <color indexed="62"/>
      <name val="Calibri"/>
      <family val="2"/>
    </font>
    <font>
      <sz val="10"/>
      <name val="Helv"/>
    </font>
    <font>
      <i/>
      <sz val="11"/>
      <color indexed="23"/>
      <name val="Calibri"/>
      <family val="2"/>
    </font>
    <font>
      <sz val="18"/>
      <color indexed="24"/>
      <name val="System"/>
      <family val="2"/>
    </font>
    <font>
      <sz val="10"/>
      <color indexed="24"/>
      <name val="System"/>
      <family val="2"/>
    </font>
    <font>
      <b/>
      <sz val="11"/>
      <color indexed="56"/>
      <name val="Calibri"/>
      <family val="2"/>
    </font>
    <font>
      <u/>
      <sz val="10"/>
      <color indexed="12"/>
      <name val="Arial"/>
      <family val="2"/>
    </font>
    <font>
      <sz val="10"/>
      <name val="Courier"/>
      <family val="3"/>
    </font>
    <font>
      <sz val="10"/>
      <name val="Courier New"/>
      <family val="3"/>
    </font>
    <font>
      <sz val="10"/>
      <name val="Times New Roman"/>
      <family val="1"/>
    </font>
    <font>
      <sz val="11"/>
      <color indexed="60"/>
      <name val="Calibri"/>
      <family val="2"/>
    </font>
    <font>
      <sz val="12"/>
      <name val="Times New Roman"/>
      <family val="1"/>
    </font>
    <font>
      <sz val="12"/>
      <color indexed="8"/>
      <name val="Calibri"/>
      <family val="2"/>
    </font>
    <font>
      <sz val="10"/>
      <name val="MS Sans Serif"/>
      <family val="2"/>
    </font>
    <font>
      <sz val="12"/>
      <color indexed="8"/>
      <name val="Arial"/>
      <family val="2"/>
    </font>
    <font>
      <sz val="8"/>
      <name val="Times New Roman"/>
      <family val="1"/>
    </font>
    <font>
      <b/>
      <sz val="11"/>
      <color indexed="63"/>
      <name val="Calibri"/>
      <family val="2"/>
    </font>
    <font>
      <b/>
      <sz val="8"/>
      <name val="Times New Roman"/>
      <family val="1"/>
    </font>
    <font>
      <sz val="1"/>
      <color indexed="18"/>
      <name val="Courier"/>
      <family val="3"/>
    </font>
    <font>
      <sz val="1"/>
      <color indexed="18"/>
      <name val="Courier New"/>
      <family val="3"/>
    </font>
    <font>
      <sz val="6"/>
      <color indexed="8"/>
      <name val="Times New Roman"/>
      <family val="1"/>
    </font>
    <font>
      <sz val="11"/>
      <color indexed="10"/>
      <name val="Calibri"/>
      <family val="2"/>
    </font>
    <font>
      <b/>
      <sz val="18"/>
      <color indexed="56"/>
      <name val="Cambria"/>
      <family val="2"/>
    </font>
    <font>
      <b/>
      <sz val="15"/>
      <color indexed="62"/>
      <name val="Calibri"/>
      <family val="2"/>
    </font>
    <font>
      <b/>
      <sz val="15"/>
      <color indexed="56"/>
      <name val="Calibri"/>
      <family val="2"/>
    </font>
    <font>
      <b/>
      <sz val="13"/>
      <color indexed="56"/>
      <name val="Calibri"/>
      <family val="2"/>
    </font>
    <font>
      <b/>
      <sz val="1"/>
      <color indexed="16"/>
      <name val="Courier"/>
      <family val="3"/>
    </font>
    <font>
      <b/>
      <sz val="1"/>
      <color indexed="8"/>
      <name val="Courier"/>
      <family val="3"/>
    </font>
    <font>
      <b/>
      <sz val="1"/>
      <color indexed="8"/>
      <name val="Courier New"/>
      <family val="3"/>
    </font>
    <font>
      <b/>
      <sz val="1"/>
      <color indexed="16"/>
      <name val="Courier New"/>
      <family val="3"/>
    </font>
    <font>
      <b/>
      <sz val="11"/>
      <color indexed="8"/>
      <name val="Calibri"/>
      <family val="2"/>
    </font>
    <font>
      <b/>
      <sz val="8"/>
      <color indexed="8"/>
      <name val="Tahoma"/>
      <family val="2"/>
    </font>
    <font>
      <b/>
      <sz val="8"/>
      <color indexed="10"/>
      <name val="Tahoma"/>
      <family val="2"/>
    </font>
    <font>
      <u/>
      <sz val="10"/>
      <color theme="10"/>
      <name val="Arial"/>
      <family val="2"/>
    </font>
    <font>
      <u/>
      <sz val="10"/>
      <color theme="11"/>
      <name val="Arial"/>
      <family val="2"/>
    </font>
    <font>
      <sz val="11"/>
      <color theme="1"/>
      <name val="Arial1"/>
    </font>
    <font>
      <sz val="10"/>
      <name val="MS Sans Serif"/>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3"/>
      <name val="Cambria"/>
      <family val="2"/>
      <scheme val="major"/>
    </font>
    <font>
      <sz val="11"/>
      <color rgb="FF9C6500"/>
      <name val="Calibri"/>
      <family val="2"/>
      <scheme val="minor"/>
    </font>
    <font>
      <sz val="8"/>
      <name val="Arial"/>
      <family val="2"/>
    </font>
    <font>
      <sz val="11"/>
      <name val="Montserrat"/>
    </font>
    <font>
      <b/>
      <sz val="12"/>
      <color theme="0"/>
      <name val="Montserrat"/>
    </font>
    <font>
      <b/>
      <sz val="14"/>
      <color theme="0"/>
      <name val="Montserrat"/>
    </font>
    <font>
      <b/>
      <sz val="12"/>
      <name val="Montserrat"/>
    </font>
    <font>
      <b/>
      <sz val="11"/>
      <name val="Montserrat"/>
    </font>
    <font>
      <sz val="10"/>
      <name val="Montserrat"/>
    </font>
    <font>
      <b/>
      <sz val="14"/>
      <name val="Montserrat"/>
    </font>
    <font>
      <sz val="12"/>
      <name val="Montserrat"/>
    </font>
    <font>
      <b/>
      <sz val="16"/>
      <name val="Montserrat"/>
    </font>
    <font>
      <sz val="11"/>
      <color theme="1"/>
      <name val="Montserrat"/>
    </font>
    <font>
      <sz val="10"/>
      <color theme="1"/>
      <name val="Arial"/>
      <family val="2"/>
    </font>
    <font>
      <sz val="11"/>
      <color rgb="FF000000"/>
      <name val="Calibri"/>
      <family val="2"/>
      <charset val="204"/>
    </font>
    <font>
      <sz val="12"/>
      <color theme="1"/>
      <name val="Rubik"/>
    </font>
    <font>
      <sz val="8"/>
      <name val="Rubik"/>
    </font>
    <font>
      <b/>
      <sz val="14"/>
      <name val="Rubik"/>
    </font>
    <font>
      <sz val="8"/>
      <color theme="1"/>
      <name val="Rubik"/>
    </font>
    <font>
      <b/>
      <sz val="12"/>
      <name val="Rubik"/>
    </font>
    <font>
      <b/>
      <sz val="12"/>
      <color rgb="FFEAEAEA"/>
      <name val="Rubik"/>
    </font>
    <font>
      <b/>
      <sz val="10"/>
      <color theme="1"/>
      <name val="Rubik"/>
    </font>
    <font>
      <b/>
      <sz val="11"/>
      <color theme="1"/>
      <name val="Rubik"/>
    </font>
    <font>
      <b/>
      <sz val="12"/>
      <color theme="1"/>
      <name val="Rubik"/>
    </font>
    <font>
      <sz val="11"/>
      <name val="Rubik"/>
    </font>
    <font>
      <b/>
      <sz val="12"/>
      <color rgb="FFAF1B1B"/>
      <name val="Rubik"/>
    </font>
    <font>
      <sz val="9"/>
      <name val="Rubik"/>
    </font>
    <font>
      <b/>
      <sz val="15"/>
      <name val="Rubik"/>
    </font>
    <font>
      <sz val="12"/>
      <name val="Rubik"/>
    </font>
    <font>
      <b/>
      <sz val="11"/>
      <name val="Rubik"/>
    </font>
    <font>
      <b/>
      <sz val="10"/>
      <name val="Rubik"/>
    </font>
    <font>
      <b/>
      <sz val="16"/>
      <color theme="0"/>
      <name val="Rubik"/>
    </font>
    <font>
      <sz val="10"/>
      <name val="Rubik"/>
    </font>
    <font>
      <b/>
      <sz val="11"/>
      <color theme="0"/>
      <name val="Rubik"/>
    </font>
    <font>
      <sz val="11"/>
      <color theme="0"/>
      <name val="Rubik"/>
    </font>
    <font>
      <sz val="10"/>
      <color theme="0"/>
      <name val="Rubik"/>
    </font>
    <font>
      <sz val="12"/>
      <color theme="0"/>
      <name val="Rubik"/>
    </font>
    <font>
      <b/>
      <sz val="11"/>
      <color rgb="FFAF1B1B"/>
      <name val="Rubik"/>
    </font>
    <font>
      <sz val="12"/>
      <color rgb="FFAF1B1B"/>
      <name val="Rubik"/>
    </font>
    <font>
      <sz val="11"/>
      <color theme="1"/>
      <name val="Rubik"/>
    </font>
    <font>
      <b/>
      <sz val="14"/>
      <color rgb="FFEAEAEA"/>
      <name val="Rubik"/>
    </font>
    <font>
      <sz val="9"/>
      <color theme="1"/>
      <name val="Rubik"/>
    </font>
    <font>
      <b/>
      <sz val="16"/>
      <color theme="1"/>
      <name val="Rubik"/>
    </font>
    <font>
      <b/>
      <sz val="14"/>
      <color theme="1"/>
      <name val="Rubik"/>
    </font>
    <font>
      <sz val="10"/>
      <color theme="1"/>
      <name val="Rubik"/>
    </font>
    <font>
      <b/>
      <sz val="10"/>
      <color theme="0"/>
      <name val="Rubik"/>
    </font>
    <font>
      <b/>
      <sz val="12"/>
      <color theme="0"/>
      <name val="Rubik"/>
    </font>
    <font>
      <b/>
      <sz val="18"/>
      <color theme="1"/>
      <name val="Rubik"/>
    </font>
    <font>
      <b/>
      <sz val="48"/>
      <color theme="1"/>
      <name val="Rubik"/>
    </font>
    <font>
      <sz val="36"/>
      <color theme="1"/>
      <name val="Rubik"/>
    </font>
    <font>
      <b/>
      <sz val="26"/>
      <color theme="1"/>
      <name val="Rubik"/>
    </font>
    <font>
      <b/>
      <sz val="22"/>
      <color theme="1"/>
      <name val="Rubik"/>
    </font>
    <font>
      <sz val="16"/>
      <color theme="1"/>
      <name val="Rubik"/>
    </font>
    <font>
      <b/>
      <sz val="20"/>
      <color rgb="FFEAEAEA"/>
      <name val="Rubik"/>
    </font>
    <font>
      <b/>
      <sz val="9"/>
      <name val="Rubik"/>
    </font>
    <font>
      <b/>
      <sz val="11"/>
      <color rgb="FFEAEAEA"/>
      <name val="Montserrat"/>
    </font>
    <font>
      <b/>
      <sz val="16"/>
      <name val="Rubik"/>
    </font>
    <font>
      <b/>
      <sz val="10"/>
      <color rgb="FFFF0000"/>
      <name val="Rubik"/>
    </font>
    <font>
      <b/>
      <sz val="11"/>
      <color rgb="FFEAEAEA"/>
      <name val="Rubik"/>
    </font>
    <font>
      <sz val="11"/>
      <color rgb="FFFF0000"/>
      <name val="Rubik"/>
    </font>
    <font>
      <b/>
      <sz val="12"/>
      <color rgb="FFEAEAEA"/>
      <name val="Montserrat"/>
    </font>
    <font>
      <sz val="10"/>
      <color indexed="10"/>
      <name val="Rubik"/>
    </font>
    <font>
      <sz val="6"/>
      <color indexed="10"/>
      <name val="Rubik"/>
    </font>
    <font>
      <b/>
      <sz val="10"/>
      <color indexed="10"/>
      <name val="Rubik"/>
    </font>
    <font>
      <sz val="11"/>
      <color indexed="10"/>
      <name val="Rubik"/>
    </font>
    <font>
      <sz val="8"/>
      <color indexed="10"/>
      <name val="Rubik"/>
    </font>
    <font>
      <b/>
      <sz val="11"/>
      <color rgb="FFFF0000"/>
      <name val="Rubik"/>
    </font>
    <font>
      <b/>
      <sz val="26"/>
      <name val="Rubik"/>
    </font>
    <font>
      <b/>
      <sz val="18"/>
      <name val="Rubik"/>
    </font>
    <font>
      <b/>
      <sz val="14"/>
      <color theme="0"/>
      <name val="Rubik"/>
    </font>
    <font>
      <sz val="10"/>
      <color rgb="FF000000"/>
      <name val="Arial"/>
      <family val="2"/>
    </font>
    <font>
      <b/>
      <u/>
      <sz val="10"/>
      <color rgb="FFC00000"/>
      <name val="Arial"/>
      <family val="2"/>
    </font>
  </fonts>
  <fills count="111">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indexed="31"/>
      </patternFill>
    </fill>
    <fill>
      <patternFill patternType="solid">
        <fgColor indexed="31"/>
        <bgColor indexed="22"/>
      </patternFill>
    </fill>
    <fill>
      <patternFill patternType="solid">
        <fgColor indexed="45"/>
      </patternFill>
    </fill>
    <fill>
      <patternFill patternType="solid">
        <fgColor indexed="45"/>
        <bgColor indexed="29"/>
      </patternFill>
    </fill>
    <fill>
      <patternFill patternType="solid">
        <fgColor indexed="42"/>
      </patternFill>
    </fill>
    <fill>
      <patternFill patternType="solid">
        <fgColor indexed="42"/>
        <bgColor indexed="41"/>
      </patternFill>
    </fill>
    <fill>
      <patternFill patternType="solid">
        <fgColor indexed="46"/>
      </patternFill>
    </fill>
    <fill>
      <patternFill patternType="solid">
        <fgColor indexed="46"/>
        <bgColor indexed="24"/>
      </patternFill>
    </fill>
    <fill>
      <patternFill patternType="solid">
        <fgColor indexed="27"/>
      </patternFill>
    </fill>
    <fill>
      <patternFill patternType="solid">
        <fgColor indexed="27"/>
        <bgColor indexed="41"/>
      </patternFill>
    </fill>
    <fill>
      <patternFill patternType="solid">
        <fgColor indexed="47"/>
      </patternFill>
    </fill>
    <fill>
      <patternFill patternType="solid">
        <fgColor indexed="47"/>
        <bgColor indexed="22"/>
      </patternFill>
    </fill>
    <fill>
      <patternFill patternType="solid">
        <fgColor indexed="44"/>
      </patternFill>
    </fill>
    <fill>
      <patternFill patternType="solid">
        <fgColor indexed="44"/>
        <bgColor indexed="31"/>
      </patternFill>
    </fill>
    <fill>
      <patternFill patternType="solid">
        <fgColor indexed="29"/>
      </patternFill>
    </fill>
    <fill>
      <patternFill patternType="solid">
        <fgColor indexed="29"/>
        <bgColor indexed="45"/>
      </patternFill>
    </fill>
    <fill>
      <patternFill patternType="solid">
        <fgColor indexed="11"/>
      </patternFill>
    </fill>
    <fill>
      <patternFill patternType="solid">
        <fgColor indexed="11"/>
        <bgColor indexed="49"/>
      </patternFill>
    </fill>
    <fill>
      <patternFill patternType="solid">
        <fgColor indexed="51"/>
      </patternFill>
    </fill>
    <fill>
      <patternFill patternType="solid">
        <fgColor indexed="51"/>
        <bgColor indexed="13"/>
      </patternFill>
    </fill>
    <fill>
      <patternFill patternType="solid">
        <fgColor indexed="30"/>
      </patternFill>
    </fill>
    <fill>
      <patternFill patternType="solid">
        <fgColor indexed="30"/>
        <bgColor indexed="21"/>
      </patternFill>
    </fill>
    <fill>
      <patternFill patternType="solid">
        <fgColor indexed="36"/>
      </patternFill>
    </fill>
    <fill>
      <patternFill patternType="solid">
        <fgColor indexed="20"/>
        <bgColor indexed="36"/>
      </patternFill>
    </fill>
    <fill>
      <patternFill patternType="solid">
        <fgColor indexed="49"/>
      </patternFill>
    </fill>
    <fill>
      <patternFill patternType="solid">
        <fgColor indexed="49"/>
        <bgColor indexed="40"/>
      </patternFill>
    </fill>
    <fill>
      <patternFill patternType="solid">
        <fgColor indexed="52"/>
      </patternFill>
    </fill>
    <fill>
      <patternFill patternType="solid">
        <fgColor indexed="52"/>
        <bgColor indexed="51"/>
      </patternFill>
    </fill>
    <fill>
      <patternFill patternType="solid">
        <fgColor indexed="62"/>
      </patternFill>
    </fill>
    <fill>
      <patternFill patternType="solid">
        <fgColor indexed="62"/>
        <bgColor indexed="56"/>
      </patternFill>
    </fill>
    <fill>
      <patternFill patternType="solid">
        <fgColor indexed="10"/>
      </patternFill>
    </fill>
    <fill>
      <patternFill patternType="solid">
        <fgColor indexed="10"/>
        <bgColor indexed="60"/>
      </patternFill>
    </fill>
    <fill>
      <patternFill patternType="solid">
        <fgColor indexed="57"/>
      </patternFill>
    </fill>
    <fill>
      <patternFill patternType="solid">
        <fgColor indexed="57"/>
        <bgColor indexed="21"/>
      </patternFill>
    </fill>
    <fill>
      <patternFill patternType="solid">
        <fgColor indexed="53"/>
      </patternFill>
    </fill>
    <fill>
      <patternFill patternType="solid">
        <fgColor indexed="53"/>
        <bgColor indexed="52"/>
      </patternFill>
    </fill>
    <fill>
      <patternFill patternType="solid">
        <fgColor indexed="22"/>
      </patternFill>
    </fill>
    <fill>
      <patternFill patternType="solid">
        <fgColor indexed="22"/>
        <bgColor indexed="31"/>
      </patternFill>
    </fill>
    <fill>
      <patternFill patternType="solid">
        <fgColor indexed="55"/>
      </patternFill>
    </fill>
    <fill>
      <patternFill patternType="solid">
        <fgColor indexed="55"/>
        <bgColor indexed="23"/>
      </patternFill>
    </fill>
    <fill>
      <patternFill patternType="gray125">
        <fgColor indexed="11"/>
      </patternFill>
    </fill>
    <fill>
      <patternFill patternType="solid">
        <fgColor indexed="41"/>
        <bgColor indexed="42"/>
      </patternFill>
    </fill>
    <fill>
      <patternFill patternType="solid">
        <fgColor indexed="15"/>
        <bgColor indexed="64"/>
      </patternFill>
    </fill>
    <fill>
      <patternFill patternType="solid">
        <fgColor indexed="15"/>
        <bgColor indexed="35"/>
      </patternFill>
    </fill>
    <fill>
      <patternFill patternType="solid">
        <fgColor indexed="43"/>
      </patternFill>
    </fill>
    <fill>
      <patternFill patternType="solid">
        <fgColor indexed="43"/>
        <bgColor indexed="26"/>
      </patternFill>
    </fill>
    <fill>
      <patternFill patternType="solid">
        <fgColor indexed="26"/>
      </patternFill>
    </fill>
    <fill>
      <patternFill patternType="solid">
        <fgColor indexed="26"/>
        <bgColor indexed="9"/>
      </patternFill>
    </fill>
    <fill>
      <patternFill patternType="solid">
        <fgColor theme="0" tint="-0.249977111117893"/>
        <bgColor indexed="64"/>
      </patternFill>
    </fill>
    <fill>
      <patternFill patternType="solid">
        <fgColor indexed="13"/>
        <bgColor indexed="51"/>
      </patternFill>
    </fill>
    <fill>
      <patternFill patternType="solid">
        <fgColor indexed="10"/>
        <bgColor indexed="37"/>
      </patternFill>
    </fill>
    <fill>
      <patternFill patternType="solid">
        <fgColor indexed="9"/>
        <bgColor indexed="26"/>
      </patternFill>
    </fill>
    <fill>
      <patternFill patternType="solid">
        <fgColor theme="0"/>
        <bgColor indexed="38"/>
      </patternFill>
    </fill>
    <fill>
      <patternFill patternType="solid">
        <fgColor theme="0"/>
        <bgColor indexed="26"/>
      </patternFill>
    </fill>
    <fill>
      <patternFill patternType="solid">
        <fgColor theme="0"/>
        <bgColor indexed="41"/>
      </patternFill>
    </fill>
    <fill>
      <patternFill patternType="solid">
        <fgColor rgb="FFFFFF00"/>
        <bgColor indexed="64"/>
      </patternFill>
    </fill>
    <fill>
      <patternFill patternType="solid">
        <fgColor theme="0"/>
        <bgColor indexed="37"/>
      </patternFill>
    </fill>
    <fill>
      <patternFill patternType="solid">
        <fgColor rgb="FFFF0000"/>
        <bgColor indexed="64"/>
      </patternFill>
    </fill>
    <fill>
      <patternFill patternType="solid">
        <fgColor theme="0"/>
        <bgColor rgb="FF000000"/>
      </patternFill>
    </fill>
    <fill>
      <patternFill patternType="solid">
        <fgColor rgb="FFFFC0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34998626667073579"/>
        <bgColor indexed="64"/>
      </patternFill>
    </fill>
    <fill>
      <patternFill patternType="solid">
        <fgColor rgb="FFFF5050"/>
        <bgColor indexed="64"/>
      </patternFill>
    </fill>
    <fill>
      <patternFill patternType="solid">
        <fgColor theme="1" tint="0.499984740745262"/>
        <bgColor indexed="64"/>
      </patternFill>
    </fill>
    <fill>
      <patternFill patternType="solid">
        <fgColor rgb="FFAF1B1B"/>
        <bgColor indexed="64"/>
      </patternFill>
    </fill>
    <fill>
      <patternFill patternType="solid">
        <fgColor rgb="FFAF1B1B"/>
        <bgColor rgb="FF000000"/>
      </patternFill>
    </fill>
    <fill>
      <patternFill patternType="solid">
        <fgColor rgb="FFEAEAEA"/>
        <bgColor indexed="64"/>
      </patternFill>
    </fill>
    <fill>
      <patternFill patternType="solid">
        <fgColor rgb="FFEAEAEA"/>
        <bgColor rgb="FF000000"/>
      </patternFill>
    </fill>
    <fill>
      <patternFill patternType="solid">
        <fgColor rgb="FF008000"/>
        <bgColor indexed="64"/>
      </patternFill>
    </fill>
    <fill>
      <patternFill patternType="solid">
        <fgColor theme="1"/>
        <bgColor indexed="64"/>
      </patternFill>
    </fill>
    <fill>
      <patternFill patternType="solid">
        <fgColor rgb="FF00B050"/>
        <bgColor indexed="64"/>
      </patternFill>
    </fill>
    <fill>
      <patternFill patternType="solid">
        <fgColor rgb="FFAF1B1B"/>
        <bgColor indexed="38"/>
      </patternFill>
    </fill>
    <fill>
      <patternFill patternType="solid">
        <fgColor rgb="FFAF1B1B"/>
        <bgColor indexed="26"/>
      </patternFill>
    </fill>
    <fill>
      <patternFill patternType="solid">
        <fgColor rgb="FFEAEAEA"/>
        <bgColor indexed="41"/>
      </patternFill>
    </fill>
    <fill>
      <patternFill patternType="solid">
        <fgColor rgb="FFEAEAEA"/>
        <bgColor indexed="26"/>
      </patternFill>
    </fill>
    <fill>
      <patternFill patternType="solid">
        <fgColor rgb="FFEAEAEA"/>
        <bgColor indexed="38"/>
      </patternFill>
    </fill>
    <fill>
      <patternFill patternType="solid">
        <fgColor theme="6" tint="0.59999389629810485"/>
        <bgColor indexed="64"/>
      </patternFill>
    </fill>
  </fills>
  <borders count="167">
    <border>
      <left/>
      <right/>
      <top/>
      <bottom/>
      <diagonal/>
    </border>
    <border>
      <left style="thin">
        <color auto="1"/>
      </left>
      <right/>
      <top/>
      <bottom style="thin">
        <color auto="1"/>
      </bottom>
      <diagonal/>
    </border>
    <border>
      <left style="thin">
        <color auto="1"/>
      </left>
      <right/>
      <top/>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top style="hair">
        <color auto="1"/>
      </top>
      <bottom style="hair">
        <color auto="1"/>
      </bottom>
      <diagonal/>
    </border>
    <border>
      <left/>
      <right style="thin">
        <color auto="1"/>
      </right>
      <top style="hair">
        <color auto="1"/>
      </top>
      <bottom style="hair">
        <color auto="1"/>
      </bottom>
      <diagonal/>
    </border>
    <border>
      <left/>
      <right/>
      <top style="hair">
        <color auto="1"/>
      </top>
      <bottom style="hair">
        <color auto="1"/>
      </bottom>
      <diagonal/>
    </border>
    <border>
      <left style="thin">
        <color auto="1"/>
      </left>
      <right/>
      <top style="hair">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style="thin">
        <color auto="1"/>
      </left>
      <right style="thin">
        <color auto="1"/>
      </right>
      <top/>
      <bottom style="thin">
        <color auto="1"/>
      </bottom>
      <diagonal/>
    </border>
    <border>
      <left style="medium">
        <color auto="1"/>
      </left>
      <right/>
      <top style="medium">
        <color auto="1"/>
      </top>
      <bottom/>
      <diagonal/>
    </border>
    <border>
      <left/>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medium">
        <color auto="1"/>
      </left>
      <right style="medium">
        <color auto="1"/>
      </right>
      <top style="double">
        <color auto="1"/>
      </top>
      <bottom/>
      <diagonal/>
    </border>
    <border>
      <left/>
      <right/>
      <top/>
      <bottom style="medium">
        <color indexed="30"/>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double">
        <color auto="1"/>
      </left>
      <right style="thin">
        <color auto="1"/>
      </right>
      <top style="double">
        <color auto="1"/>
      </top>
      <bottom/>
      <diagonal/>
    </border>
    <border>
      <left/>
      <right/>
      <top/>
      <bottom style="thick">
        <color indexed="49"/>
      </bottom>
      <diagonal/>
    </border>
    <border>
      <left/>
      <right/>
      <top/>
      <bottom style="thick">
        <color indexed="62"/>
      </bottom>
      <diagonal/>
    </border>
    <border>
      <left/>
      <right/>
      <top/>
      <bottom style="thick">
        <color indexed="22"/>
      </bottom>
      <diagonal/>
    </border>
    <border>
      <left/>
      <right/>
      <top style="thin">
        <color indexed="62"/>
      </top>
      <bottom style="double">
        <color indexed="62"/>
      </bottom>
      <diagonal/>
    </border>
    <border>
      <left/>
      <right/>
      <top style="thin">
        <color auto="1"/>
      </top>
      <bottom style="double">
        <color auto="1"/>
      </bottom>
      <diagonal/>
    </border>
    <border>
      <left/>
      <right/>
      <top style="thin">
        <color indexed="8"/>
      </top>
      <bottom style="double">
        <color indexed="8"/>
      </bottom>
      <diagonal/>
    </border>
    <border>
      <left style="medium">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style="medium">
        <color auto="1"/>
      </left>
      <right style="thin">
        <color auto="1"/>
      </right>
      <top style="hair">
        <color auto="1"/>
      </top>
      <bottom style="thin">
        <color auto="1"/>
      </bottom>
      <diagonal/>
    </border>
    <border>
      <left style="thin">
        <color auto="1"/>
      </left>
      <right style="medium">
        <color auto="1"/>
      </right>
      <top style="hair">
        <color auto="1"/>
      </top>
      <bottom style="thin">
        <color auto="1"/>
      </bottom>
      <diagonal/>
    </border>
    <border>
      <left style="medium">
        <color auto="1"/>
      </left>
      <right style="thin">
        <color auto="1"/>
      </right>
      <top/>
      <bottom style="hair">
        <color auto="1"/>
      </bottom>
      <diagonal/>
    </border>
    <border>
      <left style="medium">
        <color auto="1"/>
      </left>
      <right style="thin">
        <color auto="1"/>
      </right>
      <top style="medium">
        <color auto="1"/>
      </top>
      <bottom style="hair">
        <color auto="1"/>
      </bottom>
      <diagonal/>
    </border>
    <border>
      <left style="thin">
        <color auto="1"/>
      </left>
      <right style="thin">
        <color auto="1"/>
      </right>
      <top style="medium">
        <color auto="1"/>
      </top>
      <bottom style="hair">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medium">
        <color auto="1"/>
      </left>
      <right style="thin">
        <color auto="1"/>
      </right>
      <top style="hair">
        <color auto="1"/>
      </top>
      <bottom/>
      <diagonal/>
    </border>
    <border>
      <left style="thin">
        <color auto="1"/>
      </left>
      <right style="medium">
        <color auto="1"/>
      </right>
      <top style="hair">
        <color auto="1"/>
      </top>
      <bottom/>
      <diagonal/>
    </border>
    <border>
      <left style="thin">
        <color auto="1"/>
      </left>
      <right/>
      <top style="medium">
        <color auto="1"/>
      </top>
      <bottom style="hair">
        <color auto="1"/>
      </bottom>
      <diagonal/>
    </border>
    <border>
      <left style="thin">
        <color auto="1"/>
      </left>
      <right/>
      <top/>
      <bottom style="hair">
        <color auto="1"/>
      </bottom>
      <diagonal/>
    </border>
    <border>
      <left style="thin">
        <color auto="1"/>
      </left>
      <right/>
      <top style="hair">
        <color auto="1"/>
      </top>
      <bottom/>
      <diagonal/>
    </border>
    <border>
      <left/>
      <right/>
      <top style="hair">
        <color auto="1"/>
      </top>
      <bottom/>
      <diagonal/>
    </border>
    <border>
      <left/>
      <right style="thin">
        <color auto="1"/>
      </right>
      <top style="hair">
        <color auto="1"/>
      </top>
      <bottom/>
      <diagonal/>
    </border>
    <border>
      <left/>
      <right style="thin">
        <color auto="1"/>
      </right>
      <top/>
      <bottom style="thin">
        <color auto="1"/>
      </bottom>
      <diagonal/>
    </border>
    <border>
      <left style="thick">
        <color theme="0"/>
      </left>
      <right style="thick">
        <color theme="0"/>
      </right>
      <top style="thick">
        <color theme="0"/>
      </top>
      <bottom style="thick">
        <color theme="0"/>
      </bottom>
      <diagonal/>
    </border>
    <border>
      <left style="thick">
        <color theme="0"/>
      </left>
      <right/>
      <top style="thick">
        <color theme="0"/>
      </top>
      <bottom/>
      <diagonal/>
    </border>
    <border>
      <left style="thick">
        <color theme="0"/>
      </left>
      <right/>
      <top style="thick">
        <color theme="0"/>
      </top>
      <bottom style="thick">
        <color theme="0"/>
      </bottom>
      <diagonal/>
    </border>
    <border>
      <left/>
      <right/>
      <top style="thick">
        <color theme="0"/>
      </top>
      <bottom style="thick">
        <color theme="0"/>
      </bottom>
      <diagonal/>
    </border>
    <border>
      <left/>
      <right style="thick">
        <color theme="0"/>
      </right>
      <top/>
      <bottom/>
      <diagonal/>
    </border>
    <border>
      <left/>
      <right style="thick">
        <color theme="0"/>
      </right>
      <top/>
      <bottom style="thick">
        <color theme="0"/>
      </bottom>
      <diagonal/>
    </border>
    <border>
      <left style="medium">
        <color auto="1"/>
      </left>
      <right/>
      <top/>
      <bottom style="hair">
        <color auto="1"/>
      </bottom>
      <diagonal/>
    </border>
    <border>
      <left style="medium">
        <color auto="1"/>
      </left>
      <right style="hair">
        <color auto="1"/>
      </right>
      <top style="medium">
        <color indexed="64"/>
      </top>
      <bottom style="medium">
        <color indexed="64"/>
      </bottom>
      <diagonal/>
    </border>
    <border>
      <left style="hair">
        <color auto="1"/>
      </left>
      <right style="hair">
        <color auto="1"/>
      </right>
      <top style="medium">
        <color indexed="64"/>
      </top>
      <bottom style="medium">
        <color indexed="64"/>
      </bottom>
      <diagonal/>
    </border>
    <border>
      <left style="hair">
        <color auto="1"/>
      </left>
      <right style="medium">
        <color auto="1"/>
      </right>
      <top style="medium">
        <color indexed="64"/>
      </top>
      <bottom style="medium">
        <color indexed="64"/>
      </bottom>
      <diagonal/>
    </border>
    <border>
      <left/>
      <right/>
      <top style="thick">
        <color theme="0"/>
      </top>
      <bottom/>
      <diagonal/>
    </border>
    <border>
      <left style="dashed">
        <color theme="0"/>
      </left>
      <right style="dashed">
        <color theme="0"/>
      </right>
      <top style="dashed">
        <color theme="0"/>
      </top>
      <bottom style="dashed">
        <color theme="0"/>
      </bottom>
      <diagonal/>
    </border>
    <border>
      <left style="thin">
        <color indexed="64"/>
      </left>
      <right style="thin">
        <color indexed="64"/>
      </right>
      <top style="thin">
        <color indexed="64"/>
      </top>
      <bottom style="thin">
        <color indexed="64"/>
      </bottom>
      <diagonal/>
    </border>
    <border>
      <left style="thin">
        <color auto="1"/>
      </left>
      <right style="medium">
        <color auto="1"/>
      </right>
      <top/>
      <bottom style="hair">
        <color auto="1"/>
      </bottom>
      <diagonal/>
    </border>
    <border>
      <left style="thin">
        <color auto="1"/>
      </left>
      <right/>
      <top style="medium">
        <color auto="1"/>
      </top>
      <bottom/>
      <diagonal/>
    </border>
    <border>
      <left style="thin">
        <color auto="1"/>
      </left>
      <right style="thin">
        <color auto="1"/>
      </right>
      <top style="hair">
        <color auto="1"/>
      </top>
      <bottom/>
      <diagonal/>
    </border>
    <border>
      <left/>
      <right/>
      <top/>
      <bottom style="thick">
        <color theme="0"/>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auto="1"/>
      </top>
      <bottom style="double">
        <color auto="1"/>
      </bottom>
      <diagonal/>
    </border>
    <border>
      <left/>
      <right/>
      <top style="thin">
        <color indexed="8"/>
      </top>
      <bottom style="double">
        <color indexed="8"/>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auto="1"/>
      </top>
      <bottom style="double">
        <color auto="1"/>
      </bottom>
      <diagonal/>
    </border>
    <border>
      <left/>
      <right/>
      <top style="thin">
        <color indexed="8"/>
      </top>
      <bottom style="double">
        <color indexed="8"/>
      </bottom>
      <diagonal/>
    </border>
    <border>
      <left style="thin">
        <color auto="1"/>
      </left>
      <right style="medium">
        <color indexed="64"/>
      </right>
      <top style="medium">
        <color auto="1"/>
      </top>
      <bottom style="hair">
        <color auto="1"/>
      </bottom>
      <diagonal/>
    </border>
    <border>
      <left/>
      <right/>
      <top/>
      <bottom style="thin">
        <color auto="1"/>
      </bottom>
      <diagonal/>
    </border>
    <border>
      <left/>
      <right style="thin">
        <color auto="1"/>
      </right>
      <top/>
      <bottom/>
      <diagonal/>
    </border>
    <border>
      <left style="thin">
        <color indexed="64"/>
      </left>
      <right style="thin">
        <color indexed="64"/>
      </right>
      <top style="thin">
        <color indexed="64"/>
      </top>
      <bottom style="thin">
        <color indexed="64"/>
      </bottom>
      <diagonal/>
    </border>
    <border>
      <left style="medium">
        <color auto="1"/>
      </left>
      <right style="thin">
        <color auto="1"/>
      </right>
      <top style="hair">
        <color auto="1"/>
      </top>
      <bottom style="medium">
        <color auto="1"/>
      </bottom>
      <diagonal/>
    </border>
    <border>
      <left style="thin">
        <color auto="1"/>
      </left>
      <right style="thin">
        <color auto="1"/>
      </right>
      <top style="hair">
        <color auto="1"/>
      </top>
      <bottom style="medium">
        <color auto="1"/>
      </bottom>
      <diagonal/>
    </border>
    <border>
      <left style="thin">
        <color auto="1"/>
      </left>
      <right/>
      <top style="hair">
        <color auto="1"/>
      </top>
      <bottom style="medium">
        <color auto="1"/>
      </bottom>
      <diagonal/>
    </border>
    <border>
      <left style="thin">
        <color auto="1"/>
      </left>
      <right style="medium">
        <color auto="1"/>
      </right>
      <top style="hair">
        <color auto="1"/>
      </top>
      <bottom style="medium">
        <color auto="1"/>
      </bottom>
      <diagonal/>
    </border>
    <border>
      <left style="thin">
        <color auto="1"/>
      </left>
      <right/>
      <top style="thin">
        <color auto="1"/>
      </top>
      <bottom/>
      <diagonal/>
    </border>
    <border>
      <left style="thin">
        <color auto="1"/>
      </left>
      <right style="thin">
        <color auto="1"/>
      </right>
      <top style="medium">
        <color auto="1"/>
      </top>
      <bottom/>
      <diagonal/>
    </border>
    <border>
      <left/>
      <right style="thin">
        <color auto="1"/>
      </right>
      <top style="medium">
        <color auto="1"/>
      </top>
      <bottom/>
      <diagonal/>
    </border>
    <border>
      <left style="medium">
        <color auto="1"/>
      </left>
      <right/>
      <top/>
      <bottom style="medium">
        <color indexed="64"/>
      </bottom>
      <diagonal/>
    </border>
    <border>
      <left style="thin">
        <color indexed="64"/>
      </left>
      <right style="thin">
        <color indexed="64"/>
      </right>
      <top/>
      <bottom style="medium">
        <color indexed="64"/>
      </bottom>
      <diagonal/>
    </border>
    <border>
      <left/>
      <right style="thin">
        <color auto="1"/>
      </right>
      <top/>
      <bottom style="medium">
        <color indexed="64"/>
      </bottom>
      <diagonal/>
    </border>
    <border>
      <left style="thin">
        <color auto="1"/>
      </left>
      <right style="medium">
        <color indexed="64"/>
      </right>
      <top/>
      <bottom style="medium">
        <color indexed="64"/>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auto="1"/>
      </top>
      <bottom style="double">
        <color auto="1"/>
      </bottom>
      <diagonal/>
    </border>
    <border>
      <left/>
      <right/>
      <top style="thin">
        <color indexed="8"/>
      </top>
      <bottom style="double">
        <color indexed="8"/>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ck">
        <color theme="0"/>
      </left>
      <right/>
      <top/>
      <bottom style="thick">
        <color theme="0"/>
      </bottom>
      <diagonal/>
    </border>
    <border>
      <left/>
      <right/>
      <top style="thin">
        <color auto="1"/>
      </top>
      <bottom/>
      <diagonal/>
    </border>
    <border>
      <left/>
      <right style="thin">
        <color auto="1"/>
      </right>
      <top style="thin">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right style="dashed">
        <color theme="0"/>
      </right>
      <top style="thin">
        <color auto="1"/>
      </top>
      <bottom/>
      <diagonal/>
    </border>
    <border>
      <left style="thin">
        <color auto="1"/>
      </left>
      <right/>
      <top style="thin">
        <color auto="1"/>
      </top>
      <bottom style="hair">
        <color auto="1"/>
      </bottom>
      <diagonal/>
    </border>
    <border>
      <left/>
      <right/>
      <top style="thin">
        <color auto="1"/>
      </top>
      <bottom style="hair">
        <color auto="1"/>
      </bottom>
      <diagonal/>
    </border>
    <border>
      <left style="thin">
        <color indexed="64"/>
      </left>
      <right style="thin">
        <color indexed="64"/>
      </right>
      <top style="thin">
        <color auto="1"/>
      </top>
      <bottom style="hair">
        <color auto="1"/>
      </bottom>
      <diagonal/>
    </border>
    <border>
      <left style="medium">
        <color auto="1"/>
      </left>
      <right style="thin">
        <color auto="1"/>
      </right>
      <top/>
      <bottom/>
      <diagonal/>
    </border>
    <border>
      <left style="medium">
        <color auto="1"/>
      </left>
      <right/>
      <top style="medium">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style="medium">
        <color indexed="64"/>
      </right>
      <top style="thin">
        <color auto="1"/>
      </top>
      <bottom style="thin">
        <color auto="1"/>
      </bottom>
      <diagonal/>
    </border>
    <border>
      <left style="thin">
        <color auto="1"/>
      </left>
      <right style="thin">
        <color auto="1"/>
      </right>
      <top style="thin">
        <color auto="1"/>
      </top>
      <bottom style="medium">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indexed="64"/>
      </left>
      <right/>
      <top style="thin">
        <color auto="1"/>
      </top>
      <bottom/>
      <diagonal/>
    </border>
    <border>
      <left/>
      <right style="medium">
        <color indexed="64"/>
      </right>
      <top style="thin">
        <color indexed="64"/>
      </top>
      <bottom/>
      <diagonal/>
    </border>
    <border>
      <left style="medium">
        <color indexed="64"/>
      </left>
      <right/>
      <top/>
      <bottom style="thin">
        <color auto="1"/>
      </bottom>
      <diagonal/>
    </border>
    <border>
      <left/>
      <right style="medium">
        <color indexed="64"/>
      </right>
      <top/>
      <bottom style="thin">
        <color auto="1"/>
      </bottom>
      <diagonal/>
    </border>
    <border>
      <left style="hair">
        <color indexed="64"/>
      </left>
      <right/>
      <top style="thin">
        <color indexed="64"/>
      </top>
      <bottom/>
      <diagonal/>
    </border>
    <border>
      <left style="hair">
        <color indexed="64"/>
      </left>
      <right/>
      <top/>
      <bottom/>
      <diagonal/>
    </border>
    <border>
      <left style="hair">
        <color indexed="64"/>
      </left>
      <right/>
      <top/>
      <bottom style="thin">
        <color auto="1"/>
      </bottom>
      <diagonal/>
    </border>
    <border>
      <left/>
      <right/>
      <top style="thin">
        <color auto="1"/>
      </top>
      <bottom style="thin">
        <color auto="1"/>
      </bottom>
      <diagonal/>
    </border>
    <border>
      <left/>
      <right style="medium">
        <color indexed="64"/>
      </right>
      <top style="thin">
        <color auto="1"/>
      </top>
      <bottom style="medium">
        <color indexed="64"/>
      </bottom>
      <diagonal/>
    </border>
    <border>
      <left style="thin">
        <color auto="1"/>
      </left>
      <right/>
      <top style="thin">
        <color auto="1"/>
      </top>
      <bottom style="medium">
        <color auto="1"/>
      </bottom>
      <diagonal/>
    </border>
    <border>
      <left/>
      <right style="thin">
        <color auto="1"/>
      </right>
      <top style="thin">
        <color auto="1"/>
      </top>
      <bottom style="medium">
        <color indexed="64"/>
      </bottom>
      <diagonal/>
    </border>
    <border>
      <left style="medium">
        <color auto="1"/>
      </left>
      <right style="thin">
        <color auto="1"/>
      </right>
      <top style="thin">
        <color auto="1"/>
      </top>
      <bottom style="hair">
        <color auto="1"/>
      </bottom>
      <diagonal/>
    </border>
    <border>
      <left style="thin">
        <color auto="1"/>
      </left>
      <right style="medium">
        <color auto="1"/>
      </right>
      <top style="thin">
        <color auto="1"/>
      </top>
      <bottom style="hair">
        <color auto="1"/>
      </bottom>
      <diagonal/>
    </border>
    <border>
      <left style="medium">
        <color auto="1"/>
      </left>
      <right style="thin">
        <color auto="1"/>
      </right>
      <top style="thin">
        <color auto="1"/>
      </top>
      <bottom style="thin">
        <color auto="1"/>
      </bottom>
      <diagonal/>
    </border>
    <border>
      <left/>
      <right style="thin">
        <color auto="1"/>
      </right>
      <top style="thin">
        <color auto="1"/>
      </top>
      <bottom style="hair">
        <color auto="1"/>
      </bottom>
      <diagonal/>
    </border>
    <border>
      <left style="thin">
        <color auto="1"/>
      </left>
      <right style="medium">
        <color indexed="64"/>
      </right>
      <top style="thin">
        <color auto="1"/>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auto="1"/>
      </left>
      <right/>
      <top style="thin">
        <color auto="1"/>
      </top>
      <bottom style="medium">
        <color auto="1"/>
      </bottom>
      <diagonal/>
    </border>
    <border>
      <left/>
      <right/>
      <top style="thin">
        <color auto="1"/>
      </top>
      <bottom style="medium">
        <color auto="1"/>
      </bottom>
      <diagonal/>
    </border>
    <border>
      <left style="medium">
        <color indexed="64"/>
      </left>
      <right style="thin">
        <color auto="1"/>
      </right>
      <top style="thin">
        <color auto="1"/>
      </top>
      <bottom style="medium">
        <color indexed="64"/>
      </bottom>
      <diagonal/>
    </border>
    <border>
      <left style="medium">
        <color auto="1"/>
      </left>
      <right style="thin">
        <color auto="1"/>
      </right>
      <top style="thin">
        <color auto="1"/>
      </top>
      <bottom/>
      <diagonal/>
    </border>
  </borders>
  <cellStyleXfs count="1163">
    <xf numFmtId="0" fontId="0" fillId="0" borderId="0"/>
    <xf numFmtId="9"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165" fontId="19" fillId="0" borderId="0" applyFont="0" applyFill="0" applyBorder="0" applyAlignment="0" applyProtection="0"/>
    <xf numFmtId="9" fontId="19" fillId="0" borderId="0" applyFont="0" applyFill="0" applyBorder="0" applyAlignment="0" applyProtection="0"/>
    <xf numFmtId="0" fontId="15" fillId="0" borderId="0"/>
    <xf numFmtId="9" fontId="16" fillId="0" borderId="0" applyFont="0" applyFill="0" applyBorder="0" applyAlignment="0" applyProtection="0"/>
    <xf numFmtId="44" fontId="23" fillId="0" borderId="0" applyFont="0" applyFill="0" applyBorder="0" applyAlignment="0" applyProtection="0"/>
    <xf numFmtId="0" fontId="22" fillId="0" borderId="0" applyNumberFormat="0" applyFill="0" applyBorder="0" applyAlignment="0" applyProtection="0"/>
    <xf numFmtId="0" fontId="14" fillId="0" borderId="0"/>
    <xf numFmtId="44" fontId="14" fillId="0" borderId="0" applyFont="0" applyFill="0" applyBorder="0" applyAlignment="0" applyProtection="0"/>
    <xf numFmtId="0" fontId="22" fillId="0" borderId="0" applyNumberFormat="0" applyFill="0" applyBorder="0" applyAlignment="0" applyProtection="0"/>
    <xf numFmtId="0" fontId="16" fillId="0" borderId="0"/>
    <xf numFmtId="0" fontId="16" fillId="0" borderId="0"/>
    <xf numFmtId="0" fontId="24" fillId="4" borderId="0" applyNumberFormat="0" applyBorder="0" applyAlignment="0" applyProtection="0"/>
    <xf numFmtId="0" fontId="24" fillId="5" borderId="0" applyNumberFormat="0" applyBorder="0" applyAlignment="0" applyProtection="0"/>
    <xf numFmtId="0" fontId="24" fillId="6" borderId="0" applyNumberFormat="0" applyBorder="0" applyAlignment="0" applyProtection="0"/>
    <xf numFmtId="0" fontId="24" fillId="7" borderId="0" applyNumberFormat="0" applyBorder="0" applyAlignment="0" applyProtection="0"/>
    <xf numFmtId="0" fontId="24" fillId="8"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11" borderId="0" applyNumberFormat="0" applyBorder="0" applyAlignment="0" applyProtection="0"/>
    <xf numFmtId="0" fontId="24" fillId="12"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0" fontId="24" fillId="15" borderId="0" applyNumberFormat="0" applyBorder="0" applyAlignment="0" applyProtection="0"/>
    <xf numFmtId="0" fontId="24" fillId="4" borderId="0" applyNumberFormat="0" applyBorder="0" applyAlignment="0" applyProtection="0"/>
    <xf numFmtId="0" fontId="24" fillId="5" borderId="0" applyNumberFormat="0" applyBorder="0" applyAlignment="0" applyProtection="0"/>
    <xf numFmtId="0" fontId="24" fillId="6" borderId="0" applyNumberFormat="0" applyBorder="0" applyAlignment="0" applyProtection="0"/>
    <xf numFmtId="0" fontId="24" fillId="7" borderId="0" applyNumberFormat="0" applyBorder="0" applyAlignment="0" applyProtection="0"/>
    <xf numFmtId="0" fontId="24" fillId="8"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11" borderId="0" applyNumberFormat="0" applyBorder="0" applyAlignment="0" applyProtection="0"/>
    <xf numFmtId="0" fontId="24" fillId="12"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0" fontId="24" fillId="15" borderId="0" applyNumberFormat="0" applyBorder="0" applyAlignment="0" applyProtection="0"/>
    <xf numFmtId="0" fontId="24" fillId="16" borderId="0" applyNumberFormat="0" applyBorder="0" applyAlignment="0" applyProtection="0"/>
    <xf numFmtId="0" fontId="24" fillId="17" borderId="0" applyNumberFormat="0" applyBorder="0" applyAlignment="0" applyProtection="0"/>
    <xf numFmtId="0" fontId="24" fillId="18" borderId="0" applyNumberFormat="0" applyBorder="0" applyAlignment="0" applyProtection="0"/>
    <xf numFmtId="0" fontId="24" fillId="19" borderId="0" applyNumberFormat="0" applyBorder="0" applyAlignment="0" applyProtection="0"/>
    <xf numFmtId="0" fontId="24" fillId="20" borderId="0" applyNumberFormat="0" applyBorder="0" applyAlignment="0" applyProtection="0"/>
    <xf numFmtId="0" fontId="24" fillId="21" borderId="0" applyNumberFormat="0" applyBorder="0" applyAlignment="0" applyProtection="0"/>
    <xf numFmtId="0" fontId="24" fillId="10" borderId="0" applyNumberFormat="0" applyBorder="0" applyAlignment="0" applyProtection="0"/>
    <xf numFmtId="0" fontId="24" fillId="11" borderId="0" applyNumberFormat="0" applyBorder="0" applyAlignment="0" applyProtection="0"/>
    <xf numFmtId="0" fontId="24" fillId="16" borderId="0" applyNumberFormat="0" applyBorder="0" applyAlignment="0" applyProtection="0"/>
    <xf numFmtId="0" fontId="24" fillId="17" borderId="0" applyNumberFormat="0" applyBorder="0" applyAlignment="0" applyProtection="0"/>
    <xf numFmtId="0" fontId="24" fillId="22" borderId="0" applyNumberFormat="0" applyBorder="0" applyAlignment="0" applyProtection="0"/>
    <xf numFmtId="0" fontId="24" fillId="23" borderId="0" applyNumberFormat="0" applyBorder="0" applyAlignment="0" applyProtection="0"/>
    <xf numFmtId="0" fontId="24" fillId="16" borderId="0" applyNumberFormat="0" applyBorder="0" applyAlignment="0" applyProtection="0"/>
    <xf numFmtId="0" fontId="24" fillId="17" borderId="0" applyNumberFormat="0" applyBorder="0" applyAlignment="0" applyProtection="0"/>
    <xf numFmtId="0" fontId="24" fillId="18" borderId="0" applyNumberFormat="0" applyBorder="0" applyAlignment="0" applyProtection="0"/>
    <xf numFmtId="0" fontId="24" fillId="19" borderId="0" applyNumberFormat="0" applyBorder="0" applyAlignment="0" applyProtection="0"/>
    <xf numFmtId="0" fontId="24" fillId="20" borderId="0" applyNumberFormat="0" applyBorder="0" applyAlignment="0" applyProtection="0"/>
    <xf numFmtId="0" fontId="24" fillId="21" borderId="0" applyNumberFormat="0" applyBorder="0" applyAlignment="0" applyProtection="0"/>
    <xf numFmtId="0" fontId="24" fillId="10" borderId="0" applyNumberFormat="0" applyBorder="0" applyAlignment="0" applyProtection="0"/>
    <xf numFmtId="0" fontId="24" fillId="11" borderId="0" applyNumberFormat="0" applyBorder="0" applyAlignment="0" applyProtection="0"/>
    <xf numFmtId="0" fontId="24" fillId="16" borderId="0" applyNumberFormat="0" applyBorder="0" applyAlignment="0" applyProtection="0"/>
    <xf numFmtId="0" fontId="24" fillId="17" borderId="0" applyNumberFormat="0" applyBorder="0" applyAlignment="0" applyProtection="0"/>
    <xf numFmtId="0" fontId="24" fillId="22" borderId="0" applyNumberFormat="0" applyBorder="0" applyAlignment="0" applyProtection="0"/>
    <xf numFmtId="0" fontId="24" fillId="23" borderId="0" applyNumberFormat="0" applyBorder="0" applyAlignment="0" applyProtection="0"/>
    <xf numFmtId="0" fontId="25" fillId="24" borderId="0" applyNumberFormat="0" applyBorder="0" applyAlignment="0" applyProtection="0"/>
    <xf numFmtId="0" fontId="25" fillId="25" borderId="0" applyNumberFormat="0" applyBorder="0" applyAlignment="0" applyProtection="0"/>
    <xf numFmtId="0" fontId="25" fillId="18" borderId="0" applyNumberFormat="0" applyBorder="0" applyAlignment="0" applyProtection="0"/>
    <xf numFmtId="0" fontId="25" fillId="19" borderId="0" applyNumberFormat="0" applyBorder="0" applyAlignment="0" applyProtection="0"/>
    <xf numFmtId="0" fontId="25" fillId="20" borderId="0" applyNumberFormat="0" applyBorder="0" applyAlignment="0" applyProtection="0"/>
    <xf numFmtId="0" fontId="25" fillId="21" borderId="0" applyNumberFormat="0" applyBorder="0" applyAlignment="0" applyProtection="0"/>
    <xf numFmtId="0" fontId="25" fillId="26" borderId="0" applyNumberFormat="0" applyBorder="0" applyAlignment="0" applyProtection="0"/>
    <xf numFmtId="0" fontId="25"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25" fillId="30" borderId="0" applyNumberFormat="0" applyBorder="0" applyAlignment="0" applyProtection="0"/>
    <xf numFmtId="0" fontId="25" fillId="31" borderId="0" applyNumberFormat="0" applyBorder="0" applyAlignment="0" applyProtection="0"/>
    <xf numFmtId="0" fontId="25" fillId="24" borderId="0" applyNumberFormat="0" applyBorder="0" applyAlignment="0" applyProtection="0"/>
    <xf numFmtId="0" fontId="25" fillId="25" borderId="0" applyNumberFormat="0" applyBorder="0" applyAlignment="0" applyProtection="0"/>
    <xf numFmtId="0" fontId="25" fillId="18" borderId="0" applyNumberFormat="0" applyBorder="0" applyAlignment="0" applyProtection="0"/>
    <xf numFmtId="0" fontId="25" fillId="19" borderId="0" applyNumberFormat="0" applyBorder="0" applyAlignment="0" applyProtection="0"/>
    <xf numFmtId="0" fontId="25" fillId="20" borderId="0" applyNumberFormat="0" applyBorder="0" applyAlignment="0" applyProtection="0"/>
    <xf numFmtId="0" fontId="25" fillId="21" borderId="0" applyNumberFormat="0" applyBorder="0" applyAlignment="0" applyProtection="0"/>
    <xf numFmtId="0" fontId="25" fillId="26" borderId="0" applyNumberFormat="0" applyBorder="0" applyAlignment="0" applyProtection="0"/>
    <xf numFmtId="0" fontId="25"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25" fillId="30" borderId="0" applyNumberFormat="0" applyBorder="0" applyAlignment="0" applyProtection="0"/>
    <xf numFmtId="0" fontId="25"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25" fillId="34" borderId="0" applyNumberFormat="0" applyBorder="0" applyAlignment="0" applyProtection="0"/>
    <xf numFmtId="0" fontId="25"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25" fillId="26" borderId="0" applyNumberFormat="0" applyBorder="0" applyAlignment="0" applyProtection="0"/>
    <xf numFmtId="0" fontId="25"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25" fillId="38" borderId="0" applyNumberFormat="0" applyBorder="0" applyAlignment="0" applyProtection="0"/>
    <xf numFmtId="0" fontId="25" fillId="39" borderId="0" applyNumberFormat="0" applyBorder="0" applyAlignment="0" applyProtection="0"/>
    <xf numFmtId="0" fontId="26" fillId="6" borderId="0" applyNumberFormat="0" applyBorder="0" applyAlignment="0" applyProtection="0"/>
    <xf numFmtId="0" fontId="26" fillId="7" borderId="0" applyNumberFormat="0" applyBorder="0" applyAlignment="0" applyProtection="0"/>
    <xf numFmtId="37" fontId="17" fillId="0" borderId="0" applyFill="0" applyBorder="0">
      <alignment horizontal="left"/>
    </xf>
    <xf numFmtId="0" fontId="27" fillId="8" borderId="0" applyNumberFormat="0" applyBorder="0" applyAlignment="0" applyProtection="0"/>
    <xf numFmtId="0" fontId="27" fillId="9" borderId="0" applyNumberFormat="0" applyBorder="0" applyAlignment="0" applyProtection="0"/>
    <xf numFmtId="0" fontId="28" fillId="40" borderId="28" applyNumberFormat="0" applyAlignment="0" applyProtection="0"/>
    <xf numFmtId="0" fontId="28" fillId="41" borderId="28" applyNumberFormat="0" applyAlignment="0" applyProtection="0"/>
    <xf numFmtId="0" fontId="28" fillId="40" borderId="28" applyNumberFormat="0" applyAlignment="0" applyProtection="0"/>
    <xf numFmtId="0" fontId="28" fillId="41" borderId="28" applyNumberFormat="0" applyAlignment="0" applyProtection="0"/>
    <xf numFmtId="0" fontId="16" fillId="0" borderId="0"/>
    <xf numFmtId="0" fontId="29" fillId="42" borderId="29" applyNumberFormat="0" applyAlignment="0" applyProtection="0"/>
    <xf numFmtId="0" fontId="29" fillId="43" borderId="29" applyNumberFormat="0" applyAlignment="0" applyProtection="0"/>
    <xf numFmtId="0" fontId="30" fillId="0" borderId="30" applyNumberFormat="0" applyFill="0" applyAlignment="0" applyProtection="0"/>
    <xf numFmtId="0" fontId="29" fillId="42" borderId="29" applyNumberFormat="0" applyAlignment="0" applyProtection="0"/>
    <xf numFmtId="0" fontId="29" fillId="43" borderId="29" applyNumberFormat="0" applyAlignment="0" applyProtection="0"/>
    <xf numFmtId="43" fontId="24" fillId="0" borderId="0" applyFont="0" applyFill="0" applyBorder="0" applyAlignment="0" applyProtection="0"/>
    <xf numFmtId="170" fontId="16" fillId="0" borderId="0" applyFill="0" applyBorder="0" applyAlignment="0" applyProtection="0"/>
    <xf numFmtId="171" fontId="31" fillId="0" borderId="0">
      <protection locked="0"/>
    </xf>
    <xf numFmtId="3" fontId="32" fillId="0" borderId="0" applyFont="0" applyFill="0" applyBorder="0" applyAlignment="0" applyProtection="0"/>
    <xf numFmtId="3" fontId="16" fillId="0" borderId="0" applyFill="0" applyBorder="0" applyAlignment="0" applyProtection="0"/>
    <xf numFmtId="171" fontId="33" fillId="0" borderId="0">
      <protection locked="0"/>
    </xf>
    <xf numFmtId="166" fontId="16" fillId="0" borderId="0" applyFont="0" applyFill="0" applyBorder="0" applyAlignment="0" applyProtection="0"/>
    <xf numFmtId="166" fontId="16" fillId="0" borderId="0" applyFont="0" applyFill="0" applyBorder="0" applyAlignment="0" applyProtection="0"/>
    <xf numFmtId="172" fontId="16" fillId="0" borderId="0" applyFill="0" applyBorder="0" applyAlignment="0" applyProtection="0"/>
    <xf numFmtId="172" fontId="16" fillId="0" borderId="0" applyFill="0" applyBorder="0" applyAlignment="0" applyProtection="0"/>
    <xf numFmtId="44" fontId="24" fillId="0" borderId="0" applyFont="0" applyFill="0" applyBorder="0" applyAlignment="0" applyProtection="0"/>
    <xf numFmtId="173" fontId="16" fillId="0" borderId="0" applyFill="0" applyBorder="0" applyAlignment="0" applyProtection="0"/>
    <xf numFmtId="174" fontId="31" fillId="0" borderId="0">
      <protection locked="0"/>
    </xf>
    <xf numFmtId="175" fontId="32" fillId="0" borderId="0" applyFont="0" applyFill="0" applyBorder="0" applyAlignment="0" applyProtection="0"/>
    <xf numFmtId="176" fontId="16" fillId="0" borderId="0" applyFill="0" applyBorder="0" applyAlignment="0" applyProtection="0"/>
    <xf numFmtId="174" fontId="33" fillId="0" borderId="0">
      <protection locked="0"/>
    </xf>
    <xf numFmtId="177" fontId="34" fillId="0" borderId="0">
      <protection locked="0"/>
    </xf>
    <xf numFmtId="0" fontId="31" fillId="0" borderId="0">
      <protection locked="0"/>
    </xf>
    <xf numFmtId="0" fontId="33" fillId="0" borderId="0">
      <protection locked="0"/>
    </xf>
    <xf numFmtId="177" fontId="35" fillId="0" borderId="0">
      <protection locked="0"/>
    </xf>
    <xf numFmtId="0" fontId="31" fillId="0" borderId="0">
      <protection locked="0"/>
    </xf>
    <xf numFmtId="0" fontId="32" fillId="0" borderId="0" applyFont="0" applyFill="0" applyBorder="0" applyAlignment="0" applyProtection="0"/>
    <xf numFmtId="0" fontId="16" fillId="0" borderId="0" applyFill="0" applyBorder="0" applyAlignment="0" applyProtection="0"/>
    <xf numFmtId="0" fontId="33" fillId="0" borderId="0">
      <protection locked="0"/>
    </xf>
    <xf numFmtId="0" fontId="25" fillId="32" borderId="0" applyNumberFormat="0" applyBorder="0" applyAlignment="0" applyProtection="0"/>
    <xf numFmtId="0" fontId="25" fillId="33" borderId="0" applyNumberFormat="0" applyBorder="0" applyAlignment="0" applyProtection="0"/>
    <xf numFmtId="0" fontId="25" fillId="34" borderId="0" applyNumberFormat="0" applyBorder="0" applyAlignment="0" applyProtection="0"/>
    <xf numFmtId="0" fontId="25"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25" fillId="26" borderId="0" applyNumberFormat="0" applyBorder="0" applyAlignment="0" applyProtection="0"/>
    <xf numFmtId="0" fontId="25"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25" fillId="38" borderId="0" applyNumberFormat="0" applyBorder="0" applyAlignment="0" applyProtection="0"/>
    <xf numFmtId="0" fontId="25" fillId="39" borderId="0" applyNumberFormat="0" applyBorder="0" applyAlignment="0" applyProtection="0"/>
    <xf numFmtId="0" fontId="36" fillId="14" borderId="28" applyNumberFormat="0" applyAlignment="0" applyProtection="0"/>
    <xf numFmtId="0" fontId="36" fillId="15" borderId="28" applyNumberFormat="0" applyAlignment="0" applyProtection="0"/>
    <xf numFmtId="0" fontId="18" fillId="1" borderId="31" applyFont="0" applyFill="0" applyBorder="0" applyAlignment="0">
      <alignment horizontal="center" vertical="center"/>
    </xf>
    <xf numFmtId="0" fontId="16" fillId="0" borderId="0" applyFill="0" applyBorder="0" applyAlignment="0"/>
    <xf numFmtId="0" fontId="16" fillId="0" borderId="0"/>
    <xf numFmtId="0" fontId="16" fillId="0" borderId="0"/>
    <xf numFmtId="0" fontId="37" fillId="0" borderId="0"/>
    <xf numFmtId="178" fontId="16" fillId="0" borderId="0" applyFont="0" applyFill="0" applyBorder="0" applyAlignment="0" applyProtection="0"/>
    <xf numFmtId="179" fontId="16" fillId="0" borderId="0" applyFont="0" applyFill="0" applyBorder="0" applyAlignment="0" applyProtection="0"/>
    <xf numFmtId="180" fontId="16" fillId="0" borderId="0" applyFill="0" applyBorder="0" applyAlignment="0" applyProtection="0"/>
    <xf numFmtId="181" fontId="16" fillId="0" borderId="0" applyFill="0" applyBorder="0" applyAlignment="0" applyProtection="0"/>
    <xf numFmtId="0" fontId="16" fillId="0" borderId="0"/>
    <xf numFmtId="0" fontId="38" fillId="0" borderId="0" applyNumberFormat="0" applyFill="0" applyBorder="0" applyAlignment="0" applyProtection="0"/>
    <xf numFmtId="182" fontId="31" fillId="0" borderId="0">
      <protection locked="0"/>
    </xf>
    <xf numFmtId="2" fontId="32" fillId="0" borderId="0" applyFont="0" applyFill="0" applyBorder="0" applyAlignment="0" applyProtection="0"/>
    <xf numFmtId="2" fontId="16" fillId="0" borderId="0" applyFill="0" applyBorder="0" applyAlignment="0" applyProtection="0"/>
    <xf numFmtId="182" fontId="33" fillId="0" borderId="0">
      <protection locked="0"/>
    </xf>
    <xf numFmtId="177" fontId="34" fillId="0" borderId="0">
      <protection locked="0"/>
    </xf>
    <xf numFmtId="183" fontId="31" fillId="0" borderId="0">
      <protection locked="0"/>
    </xf>
    <xf numFmtId="183" fontId="33" fillId="0" borderId="0">
      <protection locked="0"/>
    </xf>
    <xf numFmtId="177" fontId="35" fillId="0" borderId="0">
      <protection locked="0"/>
    </xf>
    <xf numFmtId="0" fontId="27" fillId="8" borderId="0" applyNumberFormat="0" applyBorder="0" applyAlignment="0" applyProtection="0"/>
    <xf numFmtId="0" fontId="27" fillId="9" borderId="0" applyNumberFormat="0" applyBorder="0" applyAlignment="0" applyProtection="0"/>
    <xf numFmtId="0" fontId="31" fillId="0" borderId="0">
      <protection locked="0"/>
    </xf>
    <xf numFmtId="0" fontId="39" fillId="0" borderId="0" applyNumberFormat="0" applyFill="0" applyBorder="0" applyAlignment="0" applyProtection="0"/>
    <xf numFmtId="0" fontId="33" fillId="0" borderId="0">
      <protection locked="0"/>
    </xf>
    <xf numFmtId="0" fontId="31" fillId="0" borderId="0">
      <protection locked="0"/>
    </xf>
    <xf numFmtId="0" fontId="40" fillId="0" borderId="0" applyNumberFormat="0" applyFill="0" applyBorder="0" applyAlignment="0" applyProtection="0"/>
    <xf numFmtId="0" fontId="33" fillId="0" borderId="0">
      <protection locked="0"/>
    </xf>
    <xf numFmtId="0" fontId="41" fillId="0" borderId="32" applyNumberFormat="0" applyFill="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26" fillId="6" borderId="0" applyNumberFormat="0" applyBorder="0" applyAlignment="0" applyProtection="0"/>
    <xf numFmtId="0" fontId="26" fillId="7" borderId="0" applyNumberFormat="0" applyBorder="0" applyAlignment="0" applyProtection="0"/>
    <xf numFmtId="0" fontId="43" fillId="0" borderId="0"/>
    <xf numFmtId="0" fontId="44" fillId="0" borderId="0"/>
    <xf numFmtId="0" fontId="36" fillId="14" borderId="28" applyNumberFormat="0" applyAlignment="0" applyProtection="0"/>
    <xf numFmtId="0" fontId="36" fillId="15" borderId="28" applyNumberFormat="0" applyAlignment="0" applyProtection="0"/>
    <xf numFmtId="0" fontId="16" fillId="0" borderId="0"/>
    <xf numFmtId="169" fontId="17" fillId="44" borderId="0" applyFont="0" applyBorder="0">
      <alignment horizontal="right"/>
    </xf>
    <xf numFmtId="169" fontId="16" fillId="45" borderId="0" applyBorder="0">
      <alignment horizontal="right"/>
    </xf>
    <xf numFmtId="0" fontId="30" fillId="0" borderId="30" applyNumberFormat="0" applyFill="0" applyAlignment="0" applyProtection="0"/>
    <xf numFmtId="0" fontId="16" fillId="0" borderId="0">
      <alignment horizontal="centerContinuous" vertical="justify"/>
    </xf>
    <xf numFmtId="0" fontId="16" fillId="0" borderId="0">
      <alignment horizontal="center" vertical="top" wrapText="1"/>
    </xf>
    <xf numFmtId="0" fontId="18" fillId="46" borderId="0">
      <alignment horizontal="left" vertical="top" wrapText="1"/>
    </xf>
    <xf numFmtId="0" fontId="18" fillId="47" borderId="0">
      <alignment horizontal="left" vertical="top" wrapText="1"/>
    </xf>
    <xf numFmtId="43" fontId="16" fillId="0" borderId="0" applyFont="0" applyFill="0" applyBorder="0" applyAlignment="0" applyProtection="0"/>
    <xf numFmtId="184" fontId="45" fillId="0" borderId="0" applyFont="0" applyFill="0" applyBorder="0" applyAlignment="0" applyProtection="0"/>
    <xf numFmtId="185" fontId="16" fillId="0" borderId="0" applyFill="0" applyBorder="0" applyAlignment="0" applyProtection="0"/>
    <xf numFmtId="186" fontId="16" fillId="0" borderId="0" applyFont="0" applyFill="0" applyBorder="0" applyAlignment="0" applyProtection="0"/>
    <xf numFmtId="187" fontId="16" fillId="0" borderId="0" applyFill="0" applyBorder="0" applyAlignment="0" applyProtection="0"/>
    <xf numFmtId="166" fontId="16" fillId="0" borderId="0" applyFont="0" applyFill="0" applyBorder="0" applyAlignment="0" applyProtection="0"/>
    <xf numFmtId="166" fontId="16" fillId="0" borderId="0" applyFont="0" applyFill="0" applyBorder="0" applyAlignment="0" applyProtection="0"/>
    <xf numFmtId="166" fontId="16" fillId="0" borderId="0" applyFont="0" applyFill="0" applyBorder="0" applyAlignment="0" applyProtection="0"/>
    <xf numFmtId="44" fontId="16" fillId="0" borderId="0" applyFill="0" applyBorder="0" applyAlignment="0" applyProtection="0"/>
    <xf numFmtId="44" fontId="16" fillId="0" borderId="0" applyFill="0" applyBorder="0" applyAlignment="0" applyProtection="0"/>
    <xf numFmtId="166" fontId="16" fillId="0" borderId="0" applyFont="0" applyFill="0" applyBorder="0" applyAlignment="0" applyProtection="0"/>
    <xf numFmtId="166" fontId="16" fillId="0" borderId="0" applyFont="0" applyFill="0" applyBorder="0" applyAlignment="0" applyProtection="0"/>
    <xf numFmtId="166" fontId="16" fillId="0" borderId="0" applyFont="0" applyFill="0" applyBorder="0" applyAlignment="0" applyProtection="0"/>
    <xf numFmtId="172" fontId="16" fillId="0" borderId="0" applyFill="0" applyBorder="0" applyAlignment="0" applyProtection="0"/>
    <xf numFmtId="166" fontId="16" fillId="0" borderId="0" applyFont="0" applyFill="0" applyBorder="0" applyAlignment="0" applyProtection="0"/>
    <xf numFmtId="172" fontId="16" fillId="0" borderId="0" applyFill="0" applyBorder="0" applyAlignment="0" applyProtection="0"/>
    <xf numFmtId="172" fontId="16" fillId="0" borderId="0" applyFill="0" applyBorder="0" applyAlignment="0" applyProtection="0"/>
    <xf numFmtId="167" fontId="16" fillId="0" borderId="0" applyFont="0" applyFill="0" applyBorder="0" applyAlignment="0" applyProtection="0"/>
    <xf numFmtId="167" fontId="16" fillId="0" borderId="0" applyFill="0" applyBorder="0" applyAlignment="0" applyProtection="0"/>
    <xf numFmtId="172" fontId="24" fillId="0" borderId="0" applyFill="0" applyBorder="0" applyAlignment="0" applyProtection="0"/>
    <xf numFmtId="172" fontId="16" fillId="0" borderId="0" applyFill="0" applyBorder="0" applyAlignment="0" applyProtection="0"/>
    <xf numFmtId="186" fontId="16" fillId="0" borderId="0" applyFont="0" applyFill="0" applyBorder="0" applyAlignment="0" applyProtection="0"/>
    <xf numFmtId="166" fontId="16" fillId="0" borderId="0" applyFont="0" applyFill="0" applyBorder="0" applyAlignment="0" applyProtection="0"/>
    <xf numFmtId="172" fontId="16" fillId="0" borderId="0" applyFill="0" applyBorder="0" applyAlignment="0" applyProtection="0"/>
    <xf numFmtId="166" fontId="16" fillId="0" borderId="0" applyFont="0" applyFill="0" applyBorder="0" applyAlignment="0" applyProtection="0"/>
    <xf numFmtId="172" fontId="24" fillId="0" borderId="0" applyFill="0" applyBorder="0" applyAlignment="0" applyProtection="0"/>
    <xf numFmtId="172" fontId="24" fillId="0" borderId="0" applyFill="0" applyBorder="0" applyAlignment="0" applyProtection="0"/>
    <xf numFmtId="172" fontId="16" fillId="0" borderId="0" applyFill="0" applyBorder="0" applyAlignment="0" applyProtection="0"/>
    <xf numFmtId="172" fontId="24" fillId="0" borderId="0" applyFill="0" applyBorder="0" applyAlignment="0" applyProtection="0"/>
    <xf numFmtId="186" fontId="16" fillId="0" borderId="0" applyFont="0" applyFill="0" applyBorder="0" applyAlignment="0" applyProtection="0"/>
    <xf numFmtId="172" fontId="24" fillId="0" borderId="0" applyFill="0" applyBorder="0" applyAlignment="0" applyProtection="0"/>
    <xf numFmtId="187" fontId="16" fillId="0" borderId="0" applyFill="0" applyBorder="0" applyAlignment="0" applyProtection="0"/>
    <xf numFmtId="166" fontId="16" fillId="0" borderId="0" applyFont="0" applyFill="0" applyBorder="0" applyAlignment="0" applyProtection="0"/>
    <xf numFmtId="172" fontId="16" fillId="0" borderId="0" applyFill="0" applyBorder="0" applyAlignment="0" applyProtection="0"/>
    <xf numFmtId="186" fontId="16" fillId="0" borderId="0" applyFont="0" applyFill="0" applyBorder="0" applyAlignment="0" applyProtection="0"/>
    <xf numFmtId="187" fontId="16" fillId="0" borderId="0" applyFill="0" applyBorder="0" applyAlignment="0" applyProtection="0"/>
    <xf numFmtId="186" fontId="16" fillId="0" borderId="0" applyFont="0" applyFill="0" applyBorder="0" applyAlignment="0" applyProtection="0"/>
    <xf numFmtId="187" fontId="16" fillId="0" borderId="0" applyFill="0" applyBorder="0" applyAlignment="0" applyProtection="0"/>
    <xf numFmtId="186" fontId="16" fillId="0" borderId="0" applyFont="0" applyFill="0" applyBorder="0" applyAlignment="0" applyProtection="0"/>
    <xf numFmtId="187" fontId="16" fillId="0" borderId="0" applyFill="0" applyBorder="0" applyAlignment="0" applyProtection="0"/>
    <xf numFmtId="188" fontId="16" fillId="0" borderId="0" applyFont="0" applyFill="0" applyBorder="0" applyAlignment="0" applyProtection="0"/>
    <xf numFmtId="189" fontId="16" fillId="0" borderId="0" applyFill="0" applyBorder="0" applyAlignment="0" applyProtection="0"/>
    <xf numFmtId="0" fontId="46" fillId="48" borderId="0" applyNumberFormat="0" applyBorder="0" applyAlignment="0" applyProtection="0"/>
    <xf numFmtId="0" fontId="46" fillId="49" borderId="0" applyNumberFormat="0" applyBorder="0" applyAlignment="0" applyProtection="0"/>
    <xf numFmtId="0" fontId="46" fillId="48" borderId="0" applyNumberFormat="0" applyBorder="0" applyAlignment="0" applyProtection="0"/>
    <xf numFmtId="0" fontId="46" fillId="49" borderId="0" applyNumberFormat="0" applyBorder="0" applyAlignment="0" applyProtection="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16" fillId="0" borderId="0"/>
    <xf numFmtId="0" fontId="16" fillId="0" borderId="0"/>
    <xf numFmtId="0" fontId="16" fillId="0" borderId="0"/>
    <xf numFmtId="0" fontId="16" fillId="0" borderId="0"/>
    <xf numFmtId="0" fontId="16" fillId="0" borderId="0"/>
    <xf numFmtId="0" fontId="13" fillId="0" borderId="0"/>
    <xf numFmtId="0" fontId="24" fillId="0" borderId="0"/>
    <xf numFmtId="0" fontId="13" fillId="0" borderId="0"/>
    <xf numFmtId="0" fontId="24" fillId="0" borderId="0"/>
    <xf numFmtId="0" fontId="13" fillId="0" borderId="0"/>
    <xf numFmtId="0" fontId="24" fillId="0" borderId="0"/>
    <xf numFmtId="0" fontId="13" fillId="0" borderId="0"/>
    <xf numFmtId="0" fontId="24" fillId="0" borderId="0"/>
    <xf numFmtId="0" fontId="13" fillId="0" borderId="0"/>
    <xf numFmtId="0" fontId="24" fillId="0" borderId="0"/>
    <xf numFmtId="0" fontId="13" fillId="0" borderId="0"/>
    <xf numFmtId="0" fontId="24" fillId="0" borderId="0"/>
    <xf numFmtId="0" fontId="13" fillId="0" borderId="0"/>
    <xf numFmtId="0" fontId="24" fillId="0" borderId="0"/>
    <xf numFmtId="0" fontId="13" fillId="0" borderId="0"/>
    <xf numFmtId="0" fontId="24" fillId="0" borderId="0"/>
    <xf numFmtId="0" fontId="16" fillId="0" borderId="0"/>
    <xf numFmtId="0" fontId="48" fillId="0" borderId="0"/>
    <xf numFmtId="0" fontId="48" fillId="0" borderId="0"/>
    <xf numFmtId="0" fontId="48" fillId="0" borderId="0"/>
    <xf numFmtId="0" fontId="16" fillId="0" borderId="0"/>
    <xf numFmtId="0" fontId="48" fillId="0" borderId="0"/>
    <xf numFmtId="0" fontId="48" fillId="0" borderId="0"/>
    <xf numFmtId="0" fontId="45" fillId="0" borderId="0"/>
    <xf numFmtId="0" fontId="16" fillId="0" borderId="0"/>
    <xf numFmtId="0" fontId="24" fillId="0" borderId="0"/>
    <xf numFmtId="0" fontId="45" fillId="0" borderId="0"/>
    <xf numFmtId="0" fontId="16" fillId="0" borderId="0"/>
    <xf numFmtId="0" fontId="16" fillId="0" borderId="0"/>
    <xf numFmtId="0" fontId="16" fillId="0" borderId="0"/>
    <xf numFmtId="0" fontId="16" fillId="0" borderId="0"/>
    <xf numFmtId="0" fontId="16" fillId="0" borderId="0"/>
    <xf numFmtId="0" fontId="16" fillId="0" borderId="0"/>
    <xf numFmtId="0" fontId="45" fillId="0" borderId="0"/>
    <xf numFmtId="0" fontId="45" fillId="0" borderId="0"/>
    <xf numFmtId="0" fontId="13" fillId="0" borderId="0"/>
    <xf numFmtId="0" fontId="45" fillId="0" borderId="0"/>
    <xf numFmtId="0" fontId="45" fillId="0" borderId="0"/>
    <xf numFmtId="0" fontId="13" fillId="0" borderId="0"/>
    <xf numFmtId="0" fontId="45" fillId="0" borderId="0"/>
    <xf numFmtId="0" fontId="45" fillId="0" borderId="0"/>
    <xf numFmtId="0" fontId="13" fillId="0" borderId="0"/>
    <xf numFmtId="0" fontId="16" fillId="0" borderId="0"/>
    <xf numFmtId="0" fontId="13" fillId="0" borderId="0"/>
    <xf numFmtId="0" fontId="13" fillId="0" borderId="0"/>
    <xf numFmtId="0" fontId="13" fillId="0" borderId="0"/>
    <xf numFmtId="0" fontId="16" fillId="0" borderId="0"/>
    <xf numFmtId="0" fontId="45" fillId="0" borderId="0"/>
    <xf numFmtId="0" fontId="24" fillId="0" borderId="0"/>
    <xf numFmtId="0" fontId="45" fillId="0" borderId="0"/>
    <xf numFmtId="0" fontId="24" fillId="0" borderId="0"/>
    <xf numFmtId="0" fontId="13" fillId="0" borderId="0"/>
    <xf numFmtId="0" fontId="13" fillId="0" borderId="0"/>
    <xf numFmtId="0" fontId="13" fillId="0" borderId="0"/>
    <xf numFmtId="0" fontId="13"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0" fillId="0" borderId="0"/>
    <xf numFmtId="0" fontId="16" fillId="0" borderId="0"/>
    <xf numFmtId="0" fontId="49" fillId="0" borderId="0"/>
    <xf numFmtId="0" fontId="24" fillId="0" borderId="0"/>
    <xf numFmtId="0" fontId="50" fillId="0" borderId="0"/>
    <xf numFmtId="0" fontId="13" fillId="0" borderId="0"/>
    <xf numFmtId="0" fontId="24" fillId="0" borderId="0"/>
    <xf numFmtId="0" fontId="16" fillId="0" borderId="0"/>
    <xf numFmtId="0" fontId="13" fillId="0" borderId="0"/>
    <xf numFmtId="0" fontId="24" fillId="0" borderId="0"/>
    <xf numFmtId="0" fontId="16" fillId="0" borderId="0"/>
    <xf numFmtId="190" fontId="51" fillId="0" borderId="9">
      <alignment horizontal="center"/>
    </xf>
    <xf numFmtId="190" fontId="51" fillId="0" borderId="33">
      <alignment horizontal="center"/>
    </xf>
    <xf numFmtId="0" fontId="16" fillId="50" borderId="34" applyNumberFormat="0" applyFont="0" applyAlignment="0" applyProtection="0"/>
    <xf numFmtId="0" fontId="16" fillId="50" borderId="34" applyNumberFormat="0" applyFont="0" applyAlignment="0" applyProtection="0"/>
    <xf numFmtId="0" fontId="16" fillId="51" borderId="34" applyNumberFormat="0" applyAlignment="0" applyProtection="0"/>
    <xf numFmtId="0" fontId="16" fillId="51" borderId="34" applyNumberFormat="0" applyAlignment="0" applyProtection="0"/>
    <xf numFmtId="0" fontId="16" fillId="50" borderId="34" applyNumberFormat="0" applyFont="0" applyAlignment="0" applyProtection="0"/>
    <xf numFmtId="0" fontId="16" fillId="51" borderId="34" applyNumberFormat="0" applyAlignment="0" applyProtection="0"/>
    <xf numFmtId="0" fontId="52" fillId="40" borderId="35" applyNumberFormat="0" applyAlignment="0" applyProtection="0"/>
    <xf numFmtId="0" fontId="52" fillId="41" borderId="35" applyNumberFormat="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ill="0" applyBorder="0" applyAlignment="0" applyProtection="0"/>
    <xf numFmtId="9" fontId="16" fillId="0" borderId="0" applyFill="0" applyBorder="0" applyAlignment="0" applyProtection="0"/>
    <xf numFmtId="177" fontId="34" fillId="0" borderId="0">
      <protection locked="0"/>
    </xf>
    <xf numFmtId="191" fontId="31" fillId="0" borderId="0">
      <protection locked="0"/>
    </xf>
    <xf numFmtId="191" fontId="33" fillId="0" borderId="0">
      <protection locked="0"/>
    </xf>
    <xf numFmtId="177" fontId="35" fillId="0" borderId="0">
      <protection locked="0"/>
    </xf>
    <xf numFmtId="0" fontId="53" fillId="0" borderId="36" applyNumberFormat="0" applyFont="0" applyBorder="0" applyAlignment="0"/>
    <xf numFmtId="0" fontId="16" fillId="0" borderId="0" applyNumberFormat="0" applyBorder="0" applyAlignment="0"/>
    <xf numFmtId="177" fontId="34" fillId="0" borderId="0">
      <protection locked="0"/>
    </xf>
    <xf numFmtId="192" fontId="31" fillId="0" borderId="0">
      <protection locked="0"/>
    </xf>
    <xf numFmtId="192" fontId="33" fillId="0" borderId="0">
      <protection locked="0"/>
    </xf>
    <xf numFmtId="177" fontId="35" fillId="0" borderId="0">
      <protection locked="0"/>
    </xf>
    <xf numFmtId="9" fontId="16" fillId="0" borderId="0" applyFont="0" applyFill="0" applyBorder="0" applyAlignment="0" applyProtection="0"/>
    <xf numFmtId="9" fontId="16" fillId="0" borderId="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3" fillId="0" borderId="0" applyFont="0" applyFill="0" applyBorder="0" applyAlignment="0" applyProtection="0"/>
    <xf numFmtId="9" fontId="16" fillId="0" borderId="0" applyFill="0" applyBorder="0" applyAlignment="0" applyProtection="0"/>
    <xf numFmtId="9" fontId="16"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16" fillId="0" borderId="0" applyFill="0" applyBorder="0" applyAlignment="0" applyProtection="0"/>
    <xf numFmtId="9" fontId="48" fillId="0" borderId="0" applyFont="0" applyFill="0" applyBorder="0" applyAlignment="0" applyProtection="0"/>
    <xf numFmtId="9" fontId="16" fillId="0" borderId="0" applyFill="0" applyBorder="0" applyAlignment="0" applyProtection="0"/>
    <xf numFmtId="9" fontId="16" fillId="0" borderId="0" applyFont="0" applyFill="0" applyBorder="0" applyAlignment="0" applyProtection="0"/>
    <xf numFmtId="9" fontId="16" fillId="0" borderId="0" applyFill="0" applyBorder="0" applyAlignment="0" applyProtection="0"/>
    <xf numFmtId="9" fontId="16" fillId="0" borderId="0" applyFill="0" applyBorder="0" applyAlignment="0" applyProtection="0"/>
    <xf numFmtId="9" fontId="48" fillId="0" borderId="0" applyFont="0" applyFill="0" applyBorder="0" applyAlignment="0" applyProtection="0"/>
    <xf numFmtId="9" fontId="16" fillId="0" borderId="0" applyFill="0" applyBorder="0" applyAlignment="0" applyProtection="0"/>
    <xf numFmtId="9" fontId="48" fillId="0" borderId="0" applyFont="0" applyFill="0" applyBorder="0" applyAlignment="0" applyProtection="0"/>
    <xf numFmtId="9" fontId="16" fillId="0" borderId="0" applyFill="0" applyBorder="0" applyAlignment="0" applyProtection="0"/>
    <xf numFmtId="9" fontId="24" fillId="0" borderId="0" applyFont="0" applyFill="0" applyBorder="0" applyAlignment="0" applyProtection="0"/>
    <xf numFmtId="9" fontId="16" fillId="0" borderId="0" applyFill="0" applyBorder="0" applyAlignment="0" applyProtection="0"/>
    <xf numFmtId="9" fontId="16" fillId="0" borderId="0" applyFill="0" applyBorder="0" applyAlignment="0" applyProtection="0"/>
    <xf numFmtId="9" fontId="16" fillId="0" borderId="0" applyFont="0" applyFill="0" applyBorder="0" applyAlignment="0" applyProtection="0"/>
    <xf numFmtId="9" fontId="16" fillId="0" borderId="0" applyFill="0" applyBorder="0" applyAlignment="0" applyProtection="0"/>
    <xf numFmtId="9" fontId="16" fillId="0" borderId="0" applyFont="0" applyFill="0" applyBorder="0" applyAlignment="0" applyProtection="0"/>
    <xf numFmtId="9" fontId="16" fillId="0" borderId="0" applyFill="0" applyBorder="0" applyAlignment="0" applyProtection="0"/>
    <xf numFmtId="9" fontId="16" fillId="0" borderId="0" applyFont="0" applyFill="0" applyBorder="0" applyAlignment="0" applyProtection="0"/>
    <xf numFmtId="9" fontId="16" fillId="0" borderId="0" applyFill="0" applyBorder="0" applyAlignment="0" applyProtection="0"/>
    <xf numFmtId="9" fontId="16" fillId="0" borderId="0" applyFont="0" applyFill="0" applyBorder="0" applyAlignment="0" applyProtection="0"/>
    <xf numFmtId="9" fontId="16" fillId="0" borderId="0" applyFill="0" applyBorder="0" applyAlignment="0" applyProtection="0"/>
    <xf numFmtId="9" fontId="16" fillId="0" borderId="0" applyFill="0" applyBorder="0" applyAlignment="0" applyProtection="0"/>
    <xf numFmtId="9" fontId="16" fillId="0" borderId="0" applyFont="0" applyFill="0" applyBorder="0" applyAlignment="0" applyProtection="0"/>
    <xf numFmtId="9" fontId="24" fillId="0" borderId="0" applyFont="0" applyFill="0" applyBorder="0" applyAlignment="0" applyProtection="0"/>
    <xf numFmtId="9" fontId="16" fillId="0" borderId="0" applyFill="0" applyBorder="0" applyAlignment="0" applyProtection="0"/>
    <xf numFmtId="9" fontId="16" fillId="0" borderId="0" applyFont="0" applyFill="0" applyBorder="0" applyAlignment="0" applyProtection="0"/>
    <xf numFmtId="9" fontId="16" fillId="0" borderId="0" applyFill="0" applyBorder="0" applyAlignment="0" applyProtection="0"/>
    <xf numFmtId="9" fontId="16" fillId="0" borderId="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ill="0" applyBorder="0" applyAlignment="0" applyProtection="0"/>
    <xf numFmtId="9" fontId="16" fillId="0" borderId="0" applyFill="0" applyBorder="0" applyAlignment="0" applyProtection="0"/>
    <xf numFmtId="9" fontId="13" fillId="0" borderId="0" applyFont="0" applyFill="0" applyBorder="0" applyAlignment="0" applyProtection="0"/>
    <xf numFmtId="9" fontId="16" fillId="0" borderId="0" applyFont="0" applyFill="0" applyBorder="0" applyAlignment="0" applyProtection="0"/>
    <xf numFmtId="9" fontId="16" fillId="0" borderId="0" applyFill="0" applyBorder="0" applyAlignment="0" applyProtection="0"/>
    <xf numFmtId="9" fontId="24" fillId="0" borderId="0" applyFont="0" applyFill="0" applyBorder="0" applyAlignment="0" applyProtection="0"/>
    <xf numFmtId="9" fontId="16" fillId="0" borderId="0" applyFill="0" applyBorder="0" applyAlignment="0" applyProtection="0"/>
    <xf numFmtId="9" fontId="16" fillId="0" borderId="0" applyFill="0" applyBorder="0" applyAlignment="0" applyProtection="0"/>
    <xf numFmtId="9" fontId="16" fillId="0" borderId="0" applyFont="0" applyFill="0" applyBorder="0" applyAlignment="0" applyProtection="0"/>
    <xf numFmtId="9" fontId="16" fillId="0" borderId="0" applyFill="0" applyBorder="0" applyAlignment="0" applyProtection="0"/>
    <xf numFmtId="9" fontId="16" fillId="0" borderId="0" applyFont="0" applyFill="0" applyBorder="0" applyAlignment="0" applyProtection="0"/>
    <xf numFmtId="9" fontId="16" fillId="0" borderId="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ill="0" applyBorder="0" applyAlignment="0" applyProtection="0"/>
    <xf numFmtId="9" fontId="16" fillId="0" borderId="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ill="0" applyBorder="0" applyAlignment="0" applyProtection="0"/>
    <xf numFmtId="9" fontId="16" fillId="0" borderId="0" applyFill="0" applyBorder="0" applyAlignment="0" applyProtection="0"/>
    <xf numFmtId="193" fontId="17" fillId="0" borderId="0" applyFill="0" applyBorder="0">
      <alignment horizontal="center"/>
    </xf>
    <xf numFmtId="37" fontId="17" fillId="0" borderId="0">
      <alignment horizontal="right"/>
      <protection locked="0"/>
    </xf>
    <xf numFmtId="9" fontId="17" fillId="0" borderId="0" applyFont="0" applyBorder="0">
      <alignment horizontal="right"/>
      <protection locked="0"/>
    </xf>
    <xf numFmtId="9" fontId="16" fillId="0" borderId="0" applyBorder="0">
      <alignment horizontal="right"/>
      <protection locked="0"/>
    </xf>
    <xf numFmtId="167" fontId="17" fillId="0" borderId="0" applyFill="0" applyBorder="0">
      <alignment horizontal="right"/>
      <protection locked="0"/>
    </xf>
    <xf numFmtId="0" fontId="52" fillId="40" borderId="35" applyNumberFormat="0" applyAlignment="0" applyProtection="0"/>
    <xf numFmtId="0" fontId="52" fillId="41" borderId="35" applyNumberFormat="0" applyAlignment="0" applyProtection="0"/>
    <xf numFmtId="38" fontId="49" fillId="0" borderId="0" applyFont="0" applyFill="0" applyBorder="0" applyAlignment="0" applyProtection="0"/>
    <xf numFmtId="38" fontId="16" fillId="0" borderId="0" applyFill="0" applyBorder="0" applyAlignment="0" applyProtection="0"/>
    <xf numFmtId="177" fontId="54" fillId="0" borderId="0">
      <protection locked="0"/>
    </xf>
    <xf numFmtId="177" fontId="55" fillId="0" borderId="0">
      <protection locked="0"/>
    </xf>
    <xf numFmtId="165" fontId="16" fillId="0" borderId="0" applyFont="0" applyFill="0" applyBorder="0" applyAlignment="0" applyProtection="0"/>
    <xf numFmtId="165" fontId="16" fillId="0" borderId="0" applyFont="0" applyFill="0" applyBorder="0" applyAlignment="0" applyProtection="0"/>
    <xf numFmtId="194" fontId="16" fillId="0" borderId="0" applyFill="0" applyBorder="0" applyAlignment="0" applyProtection="0"/>
    <xf numFmtId="194" fontId="16" fillId="0" borderId="0" applyFill="0" applyBorder="0" applyAlignment="0" applyProtection="0"/>
    <xf numFmtId="165" fontId="16" fillId="0" borderId="0" applyFont="0" applyFill="0" applyBorder="0" applyAlignment="0" applyProtection="0"/>
    <xf numFmtId="194" fontId="56" fillId="0" borderId="0" applyFont="0" applyFill="0" applyBorder="0" applyAlignment="0" applyProtection="0"/>
    <xf numFmtId="165" fontId="16" fillId="0" borderId="0" applyFont="0" applyFill="0" applyBorder="0" applyAlignment="0" applyProtection="0"/>
    <xf numFmtId="194" fontId="16" fillId="0" borderId="0" applyFill="0" applyBorder="0" applyAlignment="0" applyProtection="0"/>
    <xf numFmtId="194" fontId="24" fillId="0" borderId="0" applyFill="0" applyBorder="0" applyAlignment="0" applyProtection="0"/>
    <xf numFmtId="194" fontId="16" fillId="0" borderId="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94" fontId="16" fillId="0" borderId="0" applyFill="0" applyBorder="0" applyAlignment="0" applyProtection="0"/>
    <xf numFmtId="167" fontId="16" fillId="0" borderId="0" applyFont="0" applyFill="0" applyBorder="0" applyAlignment="0" applyProtection="0"/>
    <xf numFmtId="167" fontId="16" fillId="0" borderId="0" applyFill="0" applyBorder="0" applyAlignment="0" applyProtection="0"/>
    <xf numFmtId="195" fontId="45" fillId="0" borderId="0" applyFont="0" applyFill="0" applyBorder="0" applyAlignment="0" applyProtection="0"/>
    <xf numFmtId="196" fontId="16" fillId="0" borderId="0" applyFill="0" applyBorder="0" applyAlignment="0" applyProtection="0"/>
    <xf numFmtId="195" fontId="45" fillId="0" borderId="0" applyFont="0" applyFill="0" applyBorder="0" applyAlignment="0" applyProtection="0"/>
    <xf numFmtId="196" fontId="16" fillId="0" borderId="0" applyFill="0" applyBorder="0" applyAlignment="0" applyProtection="0"/>
    <xf numFmtId="194" fontId="16" fillId="0" borderId="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48" fillId="0" borderId="0" applyFont="0" applyFill="0" applyBorder="0" applyAlignment="0" applyProtection="0"/>
    <xf numFmtId="165" fontId="48" fillId="0" borderId="0" applyFont="0" applyFill="0" applyBorder="0" applyAlignment="0" applyProtection="0"/>
    <xf numFmtId="194" fontId="16" fillId="0" borderId="0" applyFill="0" applyBorder="0" applyAlignment="0" applyProtection="0"/>
    <xf numFmtId="165" fontId="48" fillId="0" borderId="0" applyFont="0" applyFill="0" applyBorder="0" applyAlignment="0" applyProtection="0"/>
    <xf numFmtId="194" fontId="16" fillId="0" borderId="0" applyFill="0" applyBorder="0" applyAlignment="0" applyProtection="0"/>
    <xf numFmtId="194" fontId="16" fillId="0" borderId="0" applyFill="0" applyBorder="0" applyAlignment="0" applyProtection="0"/>
    <xf numFmtId="165" fontId="48" fillId="0" borderId="0" applyFont="0" applyFill="0" applyBorder="0" applyAlignment="0" applyProtection="0"/>
    <xf numFmtId="194" fontId="16" fillId="0" borderId="0" applyFill="0" applyBorder="0" applyAlignment="0" applyProtection="0"/>
    <xf numFmtId="165" fontId="48" fillId="0" borderId="0" applyFont="0" applyFill="0" applyBorder="0" applyAlignment="0" applyProtection="0"/>
    <xf numFmtId="194" fontId="16" fillId="0" borderId="0" applyFill="0" applyBorder="0" applyAlignment="0" applyProtection="0"/>
    <xf numFmtId="194" fontId="24" fillId="0" borderId="0" applyFill="0" applyBorder="0" applyAlignment="0" applyProtection="0"/>
    <xf numFmtId="194" fontId="16" fillId="0" borderId="0" applyFill="0" applyBorder="0" applyAlignment="0" applyProtection="0"/>
    <xf numFmtId="167" fontId="16" fillId="0" borderId="0" applyFont="0" applyFill="0" applyBorder="0" applyAlignment="0" applyProtection="0"/>
    <xf numFmtId="167" fontId="16" fillId="0" borderId="0" applyFill="0" applyBorder="0" applyAlignment="0" applyProtection="0"/>
    <xf numFmtId="165" fontId="16" fillId="0" borderId="0" applyFont="0" applyFill="0" applyBorder="0" applyAlignment="0" applyProtection="0"/>
    <xf numFmtId="194" fontId="16" fillId="0" borderId="0" applyFill="0" applyBorder="0" applyAlignment="0" applyProtection="0"/>
    <xf numFmtId="194" fontId="24" fillId="0" borderId="0" applyFill="0" applyBorder="0" applyAlignment="0" applyProtection="0"/>
    <xf numFmtId="194" fontId="16" fillId="0" borderId="0" applyFill="0" applyBorder="0" applyAlignment="0" applyProtection="0"/>
    <xf numFmtId="0" fontId="16" fillId="0" borderId="0" applyFill="0" applyBorder="0" applyAlignment="0" applyProtection="0"/>
    <xf numFmtId="165" fontId="24" fillId="0" borderId="0" applyFont="0" applyFill="0" applyBorder="0" applyAlignment="0" applyProtection="0"/>
    <xf numFmtId="165" fontId="24" fillId="0" borderId="0" applyFont="0" applyFill="0" applyBorder="0" applyAlignment="0" applyProtection="0"/>
    <xf numFmtId="194" fontId="16" fillId="0" borderId="0" applyFill="0" applyBorder="0" applyAlignment="0" applyProtection="0"/>
    <xf numFmtId="167" fontId="16" fillId="0" borderId="0" applyFont="0" applyFill="0" applyBorder="0" applyAlignment="0" applyProtection="0"/>
    <xf numFmtId="167" fontId="16" fillId="0" borderId="0" applyFill="0" applyBorder="0" applyAlignment="0" applyProtection="0"/>
    <xf numFmtId="194" fontId="24" fillId="0" borderId="0" applyFill="0" applyBorder="0" applyAlignment="0" applyProtection="0"/>
    <xf numFmtId="194" fontId="16" fillId="0" borderId="0" applyFill="0" applyBorder="0" applyAlignment="0" applyProtection="0"/>
    <xf numFmtId="165" fontId="16" fillId="0" borderId="0" applyFont="0" applyFill="0" applyBorder="0" applyAlignment="0" applyProtection="0"/>
    <xf numFmtId="194" fontId="24" fillId="0" borderId="0" applyFill="0" applyBorder="0" applyAlignment="0" applyProtection="0"/>
    <xf numFmtId="194" fontId="16" fillId="0" borderId="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94" fontId="16" fillId="0" borderId="0" applyFill="0" applyBorder="0" applyAlignment="0" applyProtection="0"/>
    <xf numFmtId="167" fontId="16" fillId="0" borderId="0" applyFont="0" applyFill="0" applyBorder="0" applyAlignment="0" applyProtection="0"/>
    <xf numFmtId="167" fontId="16" fillId="0" borderId="0" applyFill="0" applyBorder="0" applyAlignment="0" applyProtection="0"/>
    <xf numFmtId="194" fontId="16" fillId="0" borderId="0" applyFill="0" applyBorder="0" applyAlignment="0" applyProtection="0"/>
    <xf numFmtId="194" fontId="16" fillId="0" borderId="0" applyFont="0" applyFill="0" applyBorder="0" applyAlignment="0" applyProtection="0"/>
    <xf numFmtId="194" fontId="16" fillId="0" borderId="0" applyFill="0" applyBorder="0" applyAlignment="0" applyProtection="0"/>
    <xf numFmtId="194" fontId="16" fillId="0" borderId="0" applyFont="0" applyFill="0" applyBorder="0" applyAlignment="0" applyProtection="0"/>
    <xf numFmtId="194" fontId="16" fillId="0" borderId="0" applyFill="0" applyBorder="0" applyAlignment="0" applyProtection="0"/>
    <xf numFmtId="165" fontId="16" fillId="0" borderId="0" applyFont="0" applyFill="0" applyBorder="0" applyAlignment="0" applyProtection="0"/>
    <xf numFmtId="194" fontId="16" fillId="0" borderId="0" applyFill="0" applyBorder="0" applyAlignment="0" applyProtection="0"/>
    <xf numFmtId="197" fontId="45" fillId="0" borderId="0" applyFont="0" applyFill="0" applyBorder="0" applyAlignment="0" applyProtection="0"/>
    <xf numFmtId="0" fontId="16" fillId="0" borderId="0"/>
    <xf numFmtId="37" fontId="17" fillId="0" borderId="0" applyFill="0" applyBorder="0">
      <alignment horizontal="right"/>
      <protection locked="0"/>
    </xf>
    <xf numFmtId="0" fontId="57" fillId="0" borderId="0" applyNumberFormat="0" applyFill="0" applyBorder="0" applyAlignment="0" applyProtection="0"/>
    <xf numFmtId="0" fontId="38" fillId="0" borderId="0" applyNumberFormat="0" applyFill="0" applyBorder="0" applyAlignment="0" applyProtection="0"/>
    <xf numFmtId="0" fontId="58" fillId="0" borderId="0" applyNumberFormat="0" applyFill="0" applyBorder="0" applyAlignment="0" applyProtection="0"/>
    <xf numFmtId="0" fontId="59" fillId="0" borderId="37" applyNumberFormat="0" applyFill="0" applyAlignment="0" applyProtection="0"/>
    <xf numFmtId="0" fontId="60" fillId="0" borderId="38" applyNumberFormat="0" applyFill="0" applyAlignment="0" applyProtection="0"/>
    <xf numFmtId="0" fontId="61" fillId="0" borderId="39" applyNumberFormat="0" applyFill="0" applyAlignment="0" applyProtection="0"/>
    <xf numFmtId="0" fontId="41" fillId="0" borderId="32" applyNumberFormat="0" applyFill="0" applyAlignment="0" applyProtection="0"/>
    <xf numFmtId="0" fontId="41" fillId="0" borderId="0" applyNumberFormat="0" applyFill="0" applyBorder="0" applyAlignment="0" applyProtection="0"/>
    <xf numFmtId="0" fontId="58" fillId="0" borderId="0" applyNumberFormat="0" applyFill="0" applyBorder="0" applyAlignment="0" applyProtection="0"/>
    <xf numFmtId="177" fontId="62" fillId="0" borderId="0">
      <protection locked="0"/>
    </xf>
    <xf numFmtId="177" fontId="63" fillId="0" borderId="0">
      <protection locked="0"/>
    </xf>
    <xf numFmtId="177" fontId="64" fillId="0" borderId="0">
      <protection locked="0"/>
    </xf>
    <xf numFmtId="177" fontId="65" fillId="0" borderId="0">
      <protection locked="0"/>
    </xf>
    <xf numFmtId="177" fontId="62" fillId="0" borderId="0">
      <protection locked="0"/>
    </xf>
    <xf numFmtId="177" fontId="63" fillId="0" borderId="0">
      <protection locked="0"/>
    </xf>
    <xf numFmtId="177" fontId="64" fillId="0" borderId="0">
      <protection locked="0"/>
    </xf>
    <xf numFmtId="177" fontId="65" fillId="0" borderId="0">
      <protection locked="0"/>
    </xf>
    <xf numFmtId="0" fontId="66" fillId="0" borderId="40" applyNumberFormat="0" applyFill="0" applyAlignment="0" applyProtection="0"/>
    <xf numFmtId="177" fontId="31" fillId="0" borderId="41">
      <protection locked="0"/>
    </xf>
    <xf numFmtId="177" fontId="33" fillId="0" borderId="42">
      <protection locked="0"/>
    </xf>
    <xf numFmtId="165" fontId="16" fillId="0" borderId="0" applyFont="0" applyFill="0" applyBorder="0" applyAlignment="0" applyProtection="0"/>
    <xf numFmtId="165" fontId="16" fillId="0" borderId="0" applyFont="0" applyFill="0" applyBorder="0" applyAlignment="0" applyProtection="0"/>
    <xf numFmtId="194" fontId="16" fillId="0" borderId="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94" fontId="16" fillId="0" borderId="0" applyFill="0" applyBorder="0" applyAlignment="0" applyProtection="0"/>
    <xf numFmtId="43" fontId="13" fillId="0" borderId="0" applyFont="0" applyFill="0" applyBorder="0" applyAlignment="0" applyProtection="0"/>
    <xf numFmtId="165" fontId="16" fillId="0" borderId="0" applyFont="0" applyFill="0" applyBorder="0" applyAlignment="0" applyProtection="0"/>
    <xf numFmtId="194" fontId="16" fillId="0" borderId="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94" fontId="16" fillId="0" borderId="0" applyFill="0" applyBorder="0" applyAlignment="0" applyProtection="0"/>
    <xf numFmtId="165" fontId="16" fillId="0" borderId="0" applyFont="0" applyFill="0" applyBorder="0" applyAlignment="0" applyProtection="0"/>
    <xf numFmtId="194" fontId="16" fillId="0" borderId="0" applyFill="0" applyBorder="0" applyAlignment="0" applyProtection="0"/>
    <xf numFmtId="194" fontId="16" fillId="0" borderId="0" applyFill="0" applyBorder="0" applyAlignment="0" applyProtection="0"/>
    <xf numFmtId="165" fontId="16" fillId="0" borderId="0" applyFont="0" applyFill="0" applyBorder="0" applyAlignment="0" applyProtection="0"/>
    <xf numFmtId="194" fontId="16" fillId="0" borderId="0" applyFill="0" applyBorder="0" applyAlignment="0" applyProtection="0"/>
    <xf numFmtId="43" fontId="16" fillId="0" borderId="0" applyFont="0" applyFill="0" applyBorder="0" applyAlignment="0" applyProtection="0"/>
    <xf numFmtId="170" fontId="16" fillId="0" borderId="0" applyFill="0" applyBorder="0" applyAlignment="0" applyProtection="0"/>
    <xf numFmtId="165" fontId="45"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94" fontId="16" fillId="0" borderId="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94" fontId="16" fillId="0" borderId="0" applyFill="0" applyBorder="0" applyAlignment="0" applyProtection="0"/>
    <xf numFmtId="165" fontId="16" fillId="0" borderId="0" applyFont="0" applyFill="0" applyBorder="0" applyAlignment="0" applyProtection="0"/>
    <xf numFmtId="194" fontId="16" fillId="0" borderId="0" applyFill="0" applyBorder="0" applyAlignment="0" applyProtection="0"/>
    <xf numFmtId="194" fontId="16" fillId="0" borderId="0" applyFill="0" applyBorder="0" applyAlignment="0" applyProtection="0"/>
    <xf numFmtId="165" fontId="13" fillId="0" borderId="0" applyFont="0" applyFill="0" applyBorder="0" applyAlignment="0" applyProtection="0"/>
    <xf numFmtId="165" fontId="16" fillId="0" borderId="0" applyFont="0" applyFill="0" applyBorder="0" applyAlignment="0" applyProtection="0"/>
    <xf numFmtId="194" fontId="16" fillId="0" borderId="0" applyFill="0" applyBorder="0" applyAlignment="0" applyProtection="0"/>
    <xf numFmtId="194" fontId="16" fillId="0" borderId="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94" fontId="16" fillId="0" borderId="0" applyFill="0" applyBorder="0" applyAlignment="0" applyProtection="0"/>
    <xf numFmtId="194" fontId="16" fillId="0" borderId="0" applyFill="0" applyBorder="0" applyAlignment="0" applyProtection="0"/>
    <xf numFmtId="165" fontId="45" fillId="0" borderId="0" applyFont="0" applyFill="0" applyBorder="0" applyAlignment="0" applyProtection="0"/>
    <xf numFmtId="165" fontId="45" fillId="0" borderId="0" applyFont="0" applyFill="0" applyBorder="0" applyAlignment="0" applyProtection="0"/>
    <xf numFmtId="194" fontId="16" fillId="0" borderId="0" applyFill="0" applyBorder="0" applyAlignment="0" applyProtection="0"/>
    <xf numFmtId="194" fontId="16" fillId="0" borderId="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94" fontId="16" fillId="0" borderId="0" applyFill="0" applyBorder="0" applyAlignment="0" applyProtection="0"/>
    <xf numFmtId="194" fontId="16" fillId="0" borderId="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94" fontId="16" fillId="0" borderId="0" applyFill="0" applyBorder="0" applyAlignment="0" applyProtection="0"/>
    <xf numFmtId="194" fontId="16" fillId="0" borderId="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94" fontId="16" fillId="0" borderId="0" applyFill="0" applyBorder="0" applyAlignment="0" applyProtection="0"/>
    <xf numFmtId="0" fontId="57" fillId="0" borderId="0" applyNumberFormat="0" applyFill="0" applyBorder="0" applyAlignment="0" applyProtection="0"/>
    <xf numFmtId="0" fontId="12" fillId="0" borderId="0"/>
    <xf numFmtId="0" fontId="69" fillId="0" borderId="0" applyNumberFormat="0" applyFill="0" applyBorder="0" applyAlignment="0" applyProtection="0"/>
    <xf numFmtId="0" fontId="70" fillId="0" borderId="0" applyNumberFormat="0" applyFill="0" applyBorder="0" applyAlignment="0" applyProtection="0"/>
    <xf numFmtId="194" fontId="16" fillId="0" borderId="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16" fillId="0" borderId="0">
      <alignment vertical="top"/>
    </xf>
    <xf numFmtId="44" fontId="16" fillId="0" borderId="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44" fontId="16" fillId="0" borderId="0" applyFont="0" applyFill="0" applyBorder="0" applyAlignment="0" applyProtection="0"/>
    <xf numFmtId="0" fontId="71" fillId="0" borderId="0"/>
    <xf numFmtId="43" fontId="71" fillId="0" borderId="0" applyFont="0" applyFill="0" applyBorder="0" applyAlignment="0" applyProtection="0"/>
    <xf numFmtId="0" fontId="11" fillId="0" borderId="0"/>
    <xf numFmtId="43" fontId="11" fillId="0" borderId="0" applyFont="0" applyFill="0" applyBorder="0" applyAlignment="0" applyProtection="0"/>
    <xf numFmtId="164" fontId="11" fillId="0" borderId="0" applyFont="0" applyFill="0" applyBorder="0" applyAlignment="0" applyProtection="0"/>
    <xf numFmtId="166" fontId="24" fillId="0" borderId="0" applyFont="0" applyFill="0" applyBorder="0" applyAlignment="0" applyProtection="0"/>
    <xf numFmtId="43" fontId="11" fillId="0" borderId="0" applyFont="0" applyFill="0" applyBorder="0" applyAlignment="0" applyProtection="0"/>
    <xf numFmtId="44" fontId="11" fillId="0" borderId="0" applyFont="0" applyFill="0" applyBorder="0" applyAlignment="0" applyProtection="0"/>
    <xf numFmtId="0" fontId="10" fillId="0" borderId="0"/>
    <xf numFmtId="0" fontId="72" fillId="0" borderId="0"/>
    <xf numFmtId="0" fontId="9" fillId="0" borderId="0"/>
    <xf numFmtId="43" fontId="72" fillId="0" borderId="0" applyFont="0" applyFill="0" applyBorder="0" applyAlignment="0" applyProtection="0"/>
    <xf numFmtId="0" fontId="72" fillId="0" borderId="0"/>
    <xf numFmtId="0" fontId="72" fillId="0" borderId="0"/>
    <xf numFmtId="0" fontId="16" fillId="0" borderId="0" applyNumberFormat="0" applyFill="0" applyBorder="0" applyAlignment="0" applyProtection="0"/>
    <xf numFmtId="0" fontId="45" fillId="0" borderId="0"/>
    <xf numFmtId="40" fontId="49" fillId="0" borderId="0" applyFont="0" applyFill="0" applyBorder="0" applyAlignment="0" applyProtection="0"/>
    <xf numFmtId="0" fontId="16" fillId="0" borderId="0"/>
    <xf numFmtId="0" fontId="72" fillId="0" borderId="0"/>
    <xf numFmtId="0" fontId="8" fillId="0" borderId="0"/>
    <xf numFmtId="0" fontId="8" fillId="0" borderId="0"/>
    <xf numFmtId="0" fontId="8" fillId="0" borderId="0"/>
    <xf numFmtId="0" fontId="8" fillId="0" borderId="0"/>
    <xf numFmtId="0" fontId="8" fillId="0" borderId="0"/>
    <xf numFmtId="0" fontId="8" fillId="0" borderId="0"/>
    <xf numFmtId="0" fontId="73" fillId="0" borderId="77" applyNumberFormat="0" applyFill="0" applyAlignment="0" applyProtection="0"/>
    <xf numFmtId="0" fontId="74" fillId="0" borderId="78" applyNumberFormat="0" applyFill="0" applyAlignment="0" applyProtection="0"/>
    <xf numFmtId="0" fontId="75" fillId="0" borderId="79" applyNumberFormat="0" applyFill="0" applyAlignment="0" applyProtection="0"/>
    <xf numFmtId="0" fontId="75" fillId="0" borderId="0" applyNumberFormat="0" applyFill="0" applyBorder="0" applyAlignment="0" applyProtection="0"/>
    <xf numFmtId="0" fontId="76" fillId="64" borderId="0" applyNumberFormat="0" applyBorder="0" applyAlignment="0" applyProtection="0"/>
    <xf numFmtId="0" fontId="77" fillId="65" borderId="0" applyNumberFormat="0" applyBorder="0" applyAlignment="0" applyProtection="0"/>
    <xf numFmtId="0" fontId="78" fillId="67" borderId="80" applyNumberFormat="0" applyAlignment="0" applyProtection="0"/>
    <xf numFmtId="0" fontId="79" fillId="68" borderId="81" applyNumberFormat="0" applyAlignment="0" applyProtection="0"/>
    <xf numFmtId="0" fontId="80" fillId="68" borderId="80" applyNumberFormat="0" applyAlignment="0" applyProtection="0"/>
    <xf numFmtId="0" fontId="81" fillId="0" borderId="82" applyNumberFormat="0" applyFill="0" applyAlignment="0" applyProtection="0"/>
    <xf numFmtId="0" fontId="82" fillId="69" borderId="83" applyNumberFormat="0" applyAlignment="0" applyProtection="0"/>
    <xf numFmtId="0" fontId="83" fillId="0" borderId="0" applyNumberFormat="0" applyFill="0" applyBorder="0" applyAlignment="0" applyProtection="0"/>
    <xf numFmtId="0" fontId="84" fillId="0" borderId="0" applyNumberFormat="0" applyFill="0" applyBorder="0" applyAlignment="0" applyProtection="0"/>
    <xf numFmtId="0" fontId="85" fillId="0" borderId="85" applyNumberFormat="0" applyFill="0" applyAlignment="0" applyProtection="0"/>
    <xf numFmtId="0" fontId="86" fillId="71" borderId="0" applyNumberFormat="0" applyBorder="0" applyAlignment="0" applyProtection="0"/>
    <xf numFmtId="0" fontId="7" fillId="72" borderId="0" applyNumberFormat="0" applyBorder="0" applyAlignment="0" applyProtection="0"/>
    <xf numFmtId="0" fontId="7" fillId="73" borderId="0" applyNumberFormat="0" applyBorder="0" applyAlignment="0" applyProtection="0"/>
    <xf numFmtId="0" fontId="86" fillId="75" borderId="0" applyNumberFormat="0" applyBorder="0" applyAlignment="0" applyProtection="0"/>
    <xf numFmtId="0" fontId="7" fillId="76" borderId="0" applyNumberFormat="0" applyBorder="0" applyAlignment="0" applyProtection="0"/>
    <xf numFmtId="0" fontId="7" fillId="77" borderId="0" applyNumberFormat="0" applyBorder="0" applyAlignment="0" applyProtection="0"/>
    <xf numFmtId="0" fontId="86" fillId="79" borderId="0" applyNumberFormat="0" applyBorder="0" applyAlignment="0" applyProtection="0"/>
    <xf numFmtId="0" fontId="7" fillId="80" borderId="0" applyNumberFormat="0" applyBorder="0" applyAlignment="0" applyProtection="0"/>
    <xf numFmtId="0" fontId="7" fillId="81" borderId="0" applyNumberFormat="0" applyBorder="0" applyAlignment="0" applyProtection="0"/>
    <xf numFmtId="0" fontId="86" fillId="83" borderId="0" applyNumberFormat="0" applyBorder="0" applyAlignment="0" applyProtection="0"/>
    <xf numFmtId="0" fontId="7" fillId="84" borderId="0" applyNumberFormat="0" applyBorder="0" applyAlignment="0" applyProtection="0"/>
    <xf numFmtId="0" fontId="7" fillId="85" borderId="0" applyNumberFormat="0" applyBorder="0" applyAlignment="0" applyProtection="0"/>
    <xf numFmtId="0" fontId="86" fillId="87" borderId="0" applyNumberFormat="0" applyBorder="0" applyAlignment="0" applyProtection="0"/>
    <xf numFmtId="0" fontId="7" fillId="88" borderId="0" applyNumberFormat="0" applyBorder="0" applyAlignment="0" applyProtection="0"/>
    <xf numFmtId="0" fontId="7" fillId="89" borderId="0" applyNumberFormat="0" applyBorder="0" applyAlignment="0" applyProtection="0"/>
    <xf numFmtId="0" fontId="86" fillId="91" borderId="0" applyNumberFormat="0" applyBorder="0" applyAlignment="0" applyProtection="0"/>
    <xf numFmtId="0" fontId="7" fillId="92" borderId="0" applyNumberFormat="0" applyBorder="0" applyAlignment="0" applyProtection="0"/>
    <xf numFmtId="0" fontId="7" fillId="93" borderId="0" applyNumberFormat="0" applyBorder="0" applyAlignment="0" applyProtection="0"/>
    <xf numFmtId="0" fontId="16" fillId="0" borderId="0"/>
    <xf numFmtId="0" fontId="7" fillId="0" borderId="0"/>
    <xf numFmtId="44" fontId="16" fillId="0" borderId="0" applyFont="0" applyFill="0" applyBorder="0" applyAlignment="0" applyProtection="0"/>
    <xf numFmtId="0" fontId="16" fillId="51" borderId="96" applyNumberFormat="0" applyAlignment="0" applyProtection="0"/>
    <xf numFmtId="0" fontId="7" fillId="0" borderId="0"/>
    <xf numFmtId="44" fontId="7" fillId="0" borderId="0" applyFont="0" applyFill="0" applyBorder="0" applyAlignment="0" applyProtection="0"/>
    <xf numFmtId="0" fontId="28" fillId="40" borderId="94" applyNumberFormat="0" applyAlignment="0" applyProtection="0"/>
    <xf numFmtId="0" fontId="28" fillId="41" borderId="94" applyNumberFormat="0" applyAlignment="0" applyProtection="0"/>
    <xf numFmtId="0" fontId="28" fillId="41" borderId="94" applyNumberFormat="0" applyAlignment="0" applyProtection="0"/>
    <xf numFmtId="0" fontId="36" fillId="14" borderId="94" applyNumberFormat="0" applyAlignment="0" applyProtection="0"/>
    <xf numFmtId="0" fontId="28" fillId="40" borderId="86" applyNumberFormat="0" applyAlignment="0" applyProtection="0"/>
    <xf numFmtId="0" fontId="28" fillId="41" borderId="86" applyNumberFormat="0" applyAlignment="0" applyProtection="0"/>
    <xf numFmtId="0" fontId="28" fillId="40" borderId="86" applyNumberFormat="0" applyAlignment="0" applyProtection="0"/>
    <xf numFmtId="0" fontId="28" fillId="41" borderId="86" applyNumberFormat="0" applyAlignment="0" applyProtection="0"/>
    <xf numFmtId="0" fontId="36" fillId="14" borderId="94" applyNumberFormat="0" applyAlignment="0" applyProtection="0"/>
    <xf numFmtId="43" fontId="24" fillId="0" borderId="0" applyFont="0" applyFill="0" applyBorder="0" applyAlignment="0" applyProtection="0"/>
    <xf numFmtId="44" fontId="24" fillId="0" borderId="0" applyFont="0" applyFill="0" applyBorder="0" applyAlignment="0" applyProtection="0"/>
    <xf numFmtId="0" fontId="36" fillId="14" borderId="86" applyNumberFormat="0" applyAlignment="0" applyProtection="0"/>
    <xf numFmtId="0" fontId="36" fillId="15" borderId="86" applyNumberFormat="0" applyAlignment="0" applyProtection="0"/>
    <xf numFmtId="0" fontId="41" fillId="0" borderId="87" applyNumberFormat="0" applyFill="0" applyAlignment="0" applyProtection="0"/>
    <xf numFmtId="0" fontId="36" fillId="14" borderId="86" applyNumberFormat="0" applyAlignment="0" applyProtection="0"/>
    <xf numFmtId="0" fontId="36" fillId="15" borderId="86" applyNumberFormat="0" applyAlignment="0" applyProtection="0"/>
    <xf numFmtId="44" fontId="16" fillId="0" borderId="0" applyFont="0" applyFill="0" applyBorder="0" applyAlignment="0" applyProtection="0"/>
    <xf numFmtId="44" fontId="16" fillId="0" borderId="0" applyFill="0" applyBorder="0" applyAlignment="0" applyProtection="0"/>
    <xf numFmtId="44" fontId="16" fillId="0" borderId="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0" fontId="7" fillId="0" borderId="0"/>
    <xf numFmtId="0" fontId="7" fillId="0" borderId="0"/>
    <xf numFmtId="0" fontId="7" fillId="0" borderId="0"/>
    <xf numFmtId="190" fontId="51" fillId="0" borderId="95">
      <alignment horizontal="center"/>
    </xf>
    <xf numFmtId="0" fontId="7" fillId="0" borderId="0"/>
    <xf numFmtId="0" fontId="16" fillId="50" borderId="96" applyNumberFormat="0" applyFont="0" applyAlignment="0" applyProtection="0"/>
    <xf numFmtId="0" fontId="7" fillId="0" borderId="0"/>
    <xf numFmtId="0" fontId="16" fillId="50" borderId="96" applyNumberFormat="0" applyFont="0" applyAlignment="0" applyProtection="0"/>
    <xf numFmtId="0" fontId="7" fillId="0" borderId="0"/>
    <xf numFmtId="0" fontId="16" fillId="51" borderId="96" applyNumberFormat="0" applyAlignment="0" applyProtection="0"/>
    <xf numFmtId="0" fontId="7" fillId="0" borderId="0"/>
    <xf numFmtId="0" fontId="16" fillId="51" borderId="96" applyNumberFormat="0" applyAlignment="0" applyProtection="0"/>
    <xf numFmtId="0" fontId="7" fillId="0" borderId="0"/>
    <xf numFmtId="0" fontId="16" fillId="50" borderId="96" applyNumberFormat="0" applyFont="0" applyAlignment="0" applyProtection="0"/>
    <xf numFmtId="0" fontId="52" fillId="40" borderId="97" applyNumberFormat="0" applyAlignment="0" applyProtection="0"/>
    <xf numFmtId="0" fontId="52" fillId="41" borderId="97" applyNumberFormat="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90" fontId="51" fillId="0" borderId="72">
      <alignment horizontal="center"/>
    </xf>
    <xf numFmtId="190" fontId="51" fillId="0" borderId="88">
      <alignment horizontal="center"/>
    </xf>
    <xf numFmtId="0" fontId="16" fillId="50" borderId="89" applyNumberFormat="0" applyFont="0" applyAlignment="0" applyProtection="0"/>
    <xf numFmtId="0" fontId="16" fillId="50" borderId="89" applyNumberFormat="0" applyFont="0" applyAlignment="0" applyProtection="0"/>
    <xf numFmtId="0" fontId="16" fillId="51" borderId="89" applyNumberFormat="0" applyAlignment="0" applyProtection="0"/>
    <xf numFmtId="0" fontId="16" fillId="51" borderId="89" applyNumberFormat="0" applyAlignment="0" applyProtection="0"/>
    <xf numFmtId="0" fontId="16" fillId="50" borderId="89" applyNumberFormat="0" applyFont="0" applyAlignment="0" applyProtection="0"/>
    <xf numFmtId="0" fontId="16" fillId="51" borderId="89" applyNumberFormat="0" applyAlignment="0" applyProtection="0"/>
    <xf numFmtId="0" fontId="52" fillId="40" borderId="90" applyNumberFormat="0" applyAlignment="0" applyProtection="0"/>
    <xf numFmtId="0" fontId="52" fillId="41" borderId="90" applyNumberFormat="0" applyAlignment="0" applyProtection="0"/>
    <xf numFmtId="0" fontId="52" fillId="40" borderId="97" applyNumberFormat="0" applyAlignment="0" applyProtection="0"/>
    <xf numFmtId="9" fontId="7" fillId="0" borderId="0" applyFont="0" applyFill="0" applyBorder="0" applyAlignment="0" applyProtection="0"/>
    <xf numFmtId="0" fontId="52" fillId="41" borderId="97" applyNumberFormat="0" applyAlignment="0" applyProtection="0"/>
    <xf numFmtId="9" fontId="7" fillId="0" borderId="0" applyFont="0" applyFill="0" applyBorder="0" applyAlignment="0" applyProtection="0"/>
    <xf numFmtId="0" fontId="52" fillId="40" borderId="90" applyNumberFormat="0" applyAlignment="0" applyProtection="0"/>
    <xf numFmtId="0" fontId="52" fillId="41" borderId="90" applyNumberFormat="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0" fontId="66" fillId="0" borderId="98" applyNumberFormat="0" applyFill="0" applyAlignment="0" applyProtection="0"/>
    <xf numFmtId="177" fontId="31" fillId="0" borderId="99">
      <protection locked="0"/>
    </xf>
    <xf numFmtId="177" fontId="33" fillId="0" borderId="100">
      <protection locked="0"/>
    </xf>
    <xf numFmtId="43" fontId="16"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0" fontId="41" fillId="0" borderId="87" applyNumberFormat="0" applyFill="0" applyAlignment="0" applyProtection="0"/>
    <xf numFmtId="0" fontId="66" fillId="0" borderId="91" applyNumberFormat="0" applyFill="0" applyAlignment="0" applyProtection="0"/>
    <xf numFmtId="177" fontId="31" fillId="0" borderId="92">
      <protection locked="0"/>
    </xf>
    <xf numFmtId="177" fontId="33" fillId="0" borderId="93">
      <protection locked="0"/>
    </xf>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7"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45"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7"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0" fontId="7" fillId="0" borderId="0"/>
    <xf numFmtId="44" fontId="16" fillId="0" borderId="0" applyBorder="0" applyAlignment="0" applyProtection="0"/>
    <xf numFmtId="44" fontId="16" fillId="0" borderId="0" applyFont="0" applyFill="0" applyBorder="0" applyAlignment="0" applyProtection="0"/>
    <xf numFmtId="0" fontId="36" fillId="15" borderId="94" applyNumberFormat="0" applyAlignment="0" applyProtection="0"/>
    <xf numFmtId="0" fontId="16" fillId="0" borderId="0"/>
    <xf numFmtId="44" fontId="16" fillId="0" borderId="0" applyFont="0" applyFill="0" applyBorder="0" applyAlignment="0" applyProtection="0"/>
    <xf numFmtId="43" fontId="71" fillId="0" borderId="0" applyFont="0" applyFill="0" applyBorder="0" applyAlignment="0" applyProtection="0"/>
    <xf numFmtId="0" fontId="36" fillId="15" borderId="94" applyNumberFormat="0" applyAlignment="0" applyProtection="0"/>
    <xf numFmtId="0" fontId="28" fillId="40" borderId="94" applyNumberFormat="0" applyAlignment="0" applyProtection="0"/>
    <xf numFmtId="0" fontId="7" fillId="0" borderId="0"/>
    <xf numFmtId="0" fontId="25" fillId="34" borderId="0" applyNumberFormat="0" applyBorder="0" applyAlignment="0" applyProtection="0"/>
    <xf numFmtId="0" fontId="7" fillId="0" borderId="0"/>
    <xf numFmtId="0" fontId="49" fillId="0" borderId="0"/>
    <xf numFmtId="0" fontId="49" fillId="0" borderId="0"/>
    <xf numFmtId="0" fontId="49" fillId="0" borderId="0" applyProtection="0"/>
    <xf numFmtId="0" fontId="49" fillId="0" borderId="0" applyProtection="0"/>
    <xf numFmtId="40" fontId="49" fillId="0" borderId="0" applyFont="0" applyFill="0" applyBorder="0" applyAlignment="0" applyProtection="0"/>
    <xf numFmtId="43" fontId="16" fillId="0" borderId="0" applyFont="0" applyFill="0" applyBorder="0" applyAlignment="0" applyProtection="0"/>
    <xf numFmtId="0" fontId="49" fillId="0" borderId="0" applyProtection="0"/>
    <xf numFmtId="0" fontId="16" fillId="0" borderId="0"/>
    <xf numFmtId="0" fontId="49" fillId="0" borderId="0"/>
    <xf numFmtId="0" fontId="49" fillId="0" borderId="0" applyProtection="0"/>
    <xf numFmtId="43" fontId="16" fillId="0" borderId="0" applyFont="0" applyFill="0" applyBorder="0" applyAlignment="0" applyProtection="0"/>
    <xf numFmtId="0" fontId="49" fillId="0" borderId="0" applyProtection="0"/>
    <xf numFmtId="0" fontId="87" fillId="0" borderId="0" applyNumberFormat="0" applyFill="0" applyBorder="0" applyAlignment="0" applyProtection="0"/>
    <xf numFmtId="0" fontId="88" fillId="66" borderId="0" applyNumberFormat="0" applyBorder="0" applyAlignment="0" applyProtection="0"/>
    <xf numFmtId="0" fontId="7" fillId="70" borderId="84" applyNumberFormat="0" applyFont="0" applyAlignment="0" applyProtection="0"/>
    <xf numFmtId="0" fontId="86" fillId="74" borderId="0" applyNumberFormat="0" applyBorder="0" applyAlignment="0" applyProtection="0"/>
    <xf numFmtId="0" fontId="86" fillId="78" borderId="0" applyNumberFormat="0" applyBorder="0" applyAlignment="0" applyProtection="0"/>
    <xf numFmtId="0" fontId="86" fillId="82" borderId="0" applyNumberFormat="0" applyBorder="0" applyAlignment="0" applyProtection="0"/>
    <xf numFmtId="0" fontId="86" fillId="86" borderId="0" applyNumberFormat="0" applyBorder="0" applyAlignment="0" applyProtection="0"/>
    <xf numFmtId="0" fontId="86" fillId="90" borderId="0" applyNumberFormat="0" applyBorder="0" applyAlignment="0" applyProtection="0"/>
    <xf numFmtId="0" fontId="86" fillId="94" borderId="0" applyNumberFormat="0" applyBorder="0" applyAlignment="0" applyProtection="0"/>
    <xf numFmtId="202" fontId="49"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16" fillId="0" borderId="0" applyFont="0" applyFill="0" applyBorder="0" applyAlignment="0" applyProtection="0"/>
    <xf numFmtId="0" fontId="16" fillId="0" borderId="0"/>
    <xf numFmtId="0" fontId="7" fillId="0" borderId="0"/>
    <xf numFmtId="0" fontId="16" fillId="0" borderId="0"/>
    <xf numFmtId="43" fontId="7" fillId="0" borderId="0" applyFont="0" applyFill="0" applyBorder="0" applyAlignment="0" applyProtection="0"/>
    <xf numFmtId="43" fontId="7" fillId="0" borderId="0" applyFont="0" applyFill="0" applyBorder="0" applyAlignment="0" applyProtection="0"/>
    <xf numFmtId="0" fontId="6" fillId="0" borderId="0"/>
    <xf numFmtId="43" fontId="6" fillId="0" borderId="0" applyFont="0" applyFill="0" applyBorder="0" applyAlignment="0" applyProtection="0"/>
    <xf numFmtId="9" fontId="6" fillId="0" borderId="0" applyFont="0" applyFill="0" applyBorder="0" applyAlignment="0" applyProtection="0"/>
    <xf numFmtId="0" fontId="21" fillId="0" borderId="0"/>
    <xf numFmtId="165" fontId="21" fillId="0" borderId="0" applyFont="0" applyFill="0" applyBorder="0" applyAlignment="0" applyProtection="0"/>
    <xf numFmtId="0" fontId="5" fillId="0" borderId="0"/>
    <xf numFmtId="43" fontId="5" fillId="0" borderId="0" applyFont="0" applyFill="0" applyBorder="0" applyAlignment="0" applyProtection="0"/>
    <xf numFmtId="9" fontId="5" fillId="0" borderId="0" applyFont="0" applyFill="0" applyBorder="0" applyAlignment="0" applyProtection="0"/>
    <xf numFmtId="0" fontId="4" fillId="0" borderId="0"/>
    <xf numFmtId="43" fontId="45" fillId="0" borderId="0" applyFont="0" applyFill="0" applyBorder="0" applyAlignment="0" applyProtection="0"/>
    <xf numFmtId="0" fontId="16" fillId="0" borderId="0"/>
    <xf numFmtId="0" fontId="16" fillId="0" borderId="0"/>
    <xf numFmtId="165" fontId="45" fillId="0" borderId="0" applyFont="0" applyFill="0" applyBorder="0" applyAlignment="0" applyProtection="0"/>
    <xf numFmtId="0" fontId="100" fillId="0" borderId="0"/>
    <xf numFmtId="0" fontId="100" fillId="0" borderId="0"/>
    <xf numFmtId="9" fontId="45" fillId="0" borderId="0" applyFont="0" applyFill="0" applyBorder="0" applyAlignment="0" applyProtection="0"/>
    <xf numFmtId="0" fontId="69" fillId="0" borderId="0" applyNumberFormat="0" applyFill="0" applyBorder="0" applyAlignment="0" applyProtection="0"/>
    <xf numFmtId="0" fontId="16" fillId="0" borderId="0"/>
    <xf numFmtId="0" fontId="3" fillId="0" borderId="0"/>
    <xf numFmtId="44" fontId="16" fillId="0" borderId="0" applyFont="0" applyFill="0" applyBorder="0" applyAlignment="0" applyProtection="0"/>
    <xf numFmtId="0" fontId="3" fillId="0" borderId="0"/>
    <xf numFmtId="44" fontId="3" fillId="0" borderId="0" applyFont="0" applyFill="0" applyBorder="0" applyAlignment="0" applyProtection="0"/>
    <xf numFmtId="0" fontId="28" fillId="40" borderId="116" applyNumberFormat="0" applyAlignment="0" applyProtection="0"/>
    <xf numFmtId="0" fontId="28" fillId="41" borderId="116" applyNumberFormat="0" applyAlignment="0" applyProtection="0"/>
    <xf numFmtId="0" fontId="28" fillId="40" borderId="116" applyNumberFormat="0" applyAlignment="0" applyProtection="0"/>
    <xf numFmtId="0" fontId="28" fillId="41" borderId="116" applyNumberFormat="0" applyAlignment="0" applyProtection="0"/>
    <xf numFmtId="43" fontId="24" fillId="0" borderId="0" applyFont="0" applyFill="0" applyBorder="0" applyAlignment="0" applyProtection="0"/>
    <xf numFmtId="44" fontId="24" fillId="0" borderId="0" applyFont="0" applyFill="0" applyBorder="0" applyAlignment="0" applyProtection="0"/>
    <xf numFmtId="0" fontId="36" fillId="14" borderId="116" applyNumberFormat="0" applyAlignment="0" applyProtection="0"/>
    <xf numFmtId="0" fontId="36" fillId="15" borderId="116" applyNumberFormat="0" applyAlignment="0" applyProtection="0"/>
    <xf numFmtId="0" fontId="36" fillId="14" borderId="116" applyNumberFormat="0" applyAlignment="0" applyProtection="0"/>
    <xf numFmtId="0" fontId="36" fillId="15" borderId="116" applyNumberFormat="0" applyAlignment="0" applyProtection="0"/>
    <xf numFmtId="44" fontId="16" fillId="0" borderId="0" applyFill="0" applyBorder="0" applyAlignment="0" applyProtection="0"/>
    <xf numFmtId="44" fontId="16" fillId="0" borderId="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90" fontId="51" fillId="0" borderId="104">
      <alignment horizontal="center"/>
    </xf>
    <xf numFmtId="190" fontId="51" fillId="0" borderId="117">
      <alignment horizontal="center"/>
    </xf>
    <xf numFmtId="0" fontId="16" fillId="50" borderId="118" applyNumberFormat="0" applyFont="0" applyAlignment="0" applyProtection="0"/>
    <xf numFmtId="0" fontId="16" fillId="50" borderId="118" applyNumberFormat="0" applyFont="0" applyAlignment="0" applyProtection="0"/>
    <xf numFmtId="0" fontId="16" fillId="51" borderId="118" applyNumberFormat="0" applyAlignment="0" applyProtection="0"/>
    <xf numFmtId="0" fontId="16" fillId="51" borderId="118" applyNumberFormat="0" applyAlignment="0" applyProtection="0"/>
    <xf numFmtId="0" fontId="16" fillId="50" borderId="118" applyNumberFormat="0" applyFont="0" applyAlignment="0" applyProtection="0"/>
    <xf numFmtId="0" fontId="16" fillId="51" borderId="118" applyNumberFormat="0" applyAlignment="0" applyProtection="0"/>
    <xf numFmtId="0" fontId="52" fillId="40" borderId="119" applyNumberFormat="0" applyAlignment="0" applyProtection="0"/>
    <xf numFmtId="0" fontId="52" fillId="41" borderId="119" applyNumberFormat="0" applyAlignment="0" applyProtection="0"/>
    <xf numFmtId="9" fontId="3" fillId="0" borderId="0" applyFont="0" applyFill="0" applyBorder="0" applyAlignment="0" applyProtection="0"/>
    <xf numFmtId="9" fontId="3" fillId="0" borderId="0" applyFont="0" applyFill="0" applyBorder="0" applyAlignment="0" applyProtection="0"/>
    <xf numFmtId="0" fontId="52" fillId="40" borderId="119" applyNumberFormat="0" applyAlignment="0" applyProtection="0"/>
    <xf numFmtId="0" fontId="52" fillId="41" borderId="119" applyNumberFormat="0" applyAlignment="0" applyProtection="0"/>
    <xf numFmtId="0" fontId="66" fillId="0" borderId="120" applyNumberFormat="0" applyFill="0" applyAlignment="0" applyProtection="0"/>
    <xf numFmtId="177" fontId="31" fillId="0" borderId="121">
      <protection locked="0"/>
    </xf>
    <xf numFmtId="177" fontId="33" fillId="0" borderId="122">
      <protection locked="0"/>
    </xf>
    <xf numFmtId="43" fontId="3" fillId="0" borderId="0" applyFont="0" applyFill="0" applyBorder="0" applyAlignment="0" applyProtection="0"/>
    <xf numFmtId="43" fontId="16" fillId="0" borderId="0" applyFont="0" applyFill="0" applyBorder="0" applyAlignment="0" applyProtection="0"/>
    <xf numFmtId="43" fontId="3" fillId="0" borderId="0" applyFont="0" applyFill="0" applyBorder="0" applyAlignment="0" applyProtection="0"/>
    <xf numFmtId="0" fontId="3" fillId="0" borderId="0"/>
    <xf numFmtId="44" fontId="16" fillId="0" borderId="0" applyBorder="0" applyAlignment="0" applyProtection="0"/>
    <xf numFmtId="44" fontId="16" fillId="0" borderId="0" applyFont="0" applyFill="0" applyBorder="0" applyAlignment="0" applyProtection="0"/>
    <xf numFmtId="43" fontId="71" fillId="0" borderId="0" applyFont="0" applyFill="0" applyBorder="0" applyAlignment="0" applyProtection="0"/>
    <xf numFmtId="0" fontId="3" fillId="0" borderId="0"/>
    <xf numFmtId="43" fontId="3" fillId="0" borderId="0" applyFont="0" applyFill="0" applyBorder="0" applyAlignment="0" applyProtection="0"/>
    <xf numFmtId="164" fontId="3" fillId="0" borderId="0" applyFont="0" applyFill="0" applyBorder="0" applyAlignment="0" applyProtection="0"/>
    <xf numFmtId="43" fontId="3" fillId="0" borderId="0" applyFont="0" applyFill="0" applyBorder="0" applyAlignment="0" applyProtection="0"/>
    <xf numFmtId="44" fontId="3" fillId="0" borderId="0" applyFont="0" applyFill="0" applyBorder="0" applyAlignment="0" applyProtection="0"/>
    <xf numFmtId="0" fontId="3" fillId="0" borderId="0"/>
    <xf numFmtId="0" fontId="3" fillId="0" borderId="0"/>
    <xf numFmtId="43" fontId="72"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69" fillId="0" borderId="0" applyNumberFormat="0" applyFill="0" applyBorder="0" applyAlignment="0" applyProtection="0"/>
    <xf numFmtId="0" fontId="3" fillId="72" borderId="0" applyNumberFormat="0" applyBorder="0" applyAlignment="0" applyProtection="0"/>
    <xf numFmtId="0" fontId="3" fillId="73" borderId="0" applyNumberFormat="0" applyBorder="0" applyAlignment="0" applyProtection="0"/>
    <xf numFmtId="0" fontId="3" fillId="76" borderId="0" applyNumberFormat="0" applyBorder="0" applyAlignment="0" applyProtection="0"/>
    <xf numFmtId="0" fontId="3" fillId="77" borderId="0" applyNumberFormat="0" applyBorder="0" applyAlignment="0" applyProtection="0"/>
    <xf numFmtId="0" fontId="3" fillId="80" borderId="0" applyNumberFormat="0" applyBorder="0" applyAlignment="0" applyProtection="0"/>
    <xf numFmtId="0" fontId="3" fillId="81" borderId="0" applyNumberFormat="0" applyBorder="0" applyAlignment="0" applyProtection="0"/>
    <xf numFmtId="0" fontId="3" fillId="84" borderId="0" applyNumberFormat="0" applyBorder="0" applyAlignment="0" applyProtection="0"/>
    <xf numFmtId="0" fontId="3" fillId="85" borderId="0" applyNumberFormat="0" applyBorder="0" applyAlignment="0" applyProtection="0"/>
    <xf numFmtId="0" fontId="3" fillId="88" borderId="0" applyNumberFormat="0" applyBorder="0" applyAlignment="0" applyProtection="0"/>
    <xf numFmtId="0" fontId="3" fillId="89" borderId="0" applyNumberFormat="0" applyBorder="0" applyAlignment="0" applyProtection="0"/>
    <xf numFmtId="0" fontId="3" fillId="92" borderId="0" applyNumberFormat="0" applyBorder="0" applyAlignment="0" applyProtection="0"/>
    <xf numFmtId="0" fontId="3" fillId="93" borderId="0" applyNumberFormat="0" applyBorder="0" applyAlignment="0" applyProtection="0"/>
    <xf numFmtId="0" fontId="3" fillId="0" borderId="0"/>
    <xf numFmtId="44" fontId="16" fillId="0" borderId="0" applyFont="0" applyFill="0" applyBorder="0" applyAlignment="0" applyProtection="0"/>
    <xf numFmtId="0" fontId="16" fillId="51" borderId="118" applyNumberFormat="0" applyAlignment="0" applyProtection="0"/>
    <xf numFmtId="0" fontId="3" fillId="0" borderId="0"/>
    <xf numFmtId="44" fontId="3" fillId="0" borderId="0" applyFont="0" applyFill="0" applyBorder="0" applyAlignment="0" applyProtection="0"/>
    <xf numFmtId="0" fontId="28" fillId="40" borderId="116" applyNumberFormat="0" applyAlignment="0" applyProtection="0"/>
    <xf numFmtId="0" fontId="28" fillId="41" borderId="116" applyNumberFormat="0" applyAlignment="0" applyProtection="0"/>
    <xf numFmtId="0" fontId="28" fillId="41" borderId="116" applyNumberFormat="0" applyAlignment="0" applyProtection="0"/>
    <xf numFmtId="0" fontId="36" fillId="14" borderId="116" applyNumberFormat="0" applyAlignment="0" applyProtection="0"/>
    <xf numFmtId="0" fontId="28" fillId="40" borderId="116" applyNumberFormat="0" applyAlignment="0" applyProtection="0"/>
    <xf numFmtId="0" fontId="28" fillId="41" borderId="116" applyNumberFormat="0" applyAlignment="0" applyProtection="0"/>
    <xf numFmtId="0" fontId="28" fillId="40" borderId="116" applyNumberFormat="0" applyAlignment="0" applyProtection="0"/>
    <xf numFmtId="0" fontId="28" fillId="41" borderId="116" applyNumberFormat="0" applyAlignment="0" applyProtection="0"/>
    <xf numFmtId="0" fontId="36" fillId="14" borderId="116" applyNumberFormat="0" applyAlignment="0" applyProtection="0"/>
    <xf numFmtId="43" fontId="24" fillId="0" borderId="0" applyFont="0" applyFill="0" applyBorder="0" applyAlignment="0" applyProtection="0"/>
    <xf numFmtId="44" fontId="24" fillId="0" borderId="0" applyFont="0" applyFill="0" applyBorder="0" applyAlignment="0" applyProtection="0"/>
    <xf numFmtId="0" fontId="36" fillId="14" borderId="116" applyNumberFormat="0" applyAlignment="0" applyProtection="0"/>
    <xf numFmtId="0" fontId="36" fillId="15" borderId="116" applyNumberFormat="0" applyAlignment="0" applyProtection="0"/>
    <xf numFmtId="0" fontId="41" fillId="0" borderId="32" applyNumberFormat="0" applyFill="0" applyAlignment="0" applyProtection="0"/>
    <xf numFmtId="0" fontId="36" fillId="14" borderId="116" applyNumberFormat="0" applyAlignment="0" applyProtection="0"/>
    <xf numFmtId="0" fontId="36" fillId="15" borderId="116" applyNumberFormat="0" applyAlignment="0" applyProtection="0"/>
    <xf numFmtId="44" fontId="16" fillId="0" borderId="0" applyFont="0" applyFill="0" applyBorder="0" applyAlignment="0" applyProtection="0"/>
    <xf numFmtId="44" fontId="16" fillId="0" borderId="0" applyFill="0" applyBorder="0" applyAlignment="0" applyProtection="0"/>
    <xf numFmtId="44" fontId="16" fillId="0" borderId="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0" fontId="3" fillId="0" borderId="0"/>
    <xf numFmtId="0" fontId="3" fillId="0" borderId="0"/>
    <xf numFmtId="0" fontId="3" fillId="0" borderId="0"/>
    <xf numFmtId="190" fontId="51" fillId="0" borderId="117">
      <alignment horizontal="center"/>
    </xf>
    <xf numFmtId="0" fontId="3" fillId="0" borderId="0"/>
    <xf numFmtId="0" fontId="16" fillId="50" borderId="118" applyNumberFormat="0" applyFont="0" applyAlignment="0" applyProtection="0"/>
    <xf numFmtId="0" fontId="3" fillId="0" borderId="0"/>
    <xf numFmtId="0" fontId="16" fillId="50" borderId="118" applyNumberFormat="0" applyFont="0" applyAlignment="0" applyProtection="0"/>
    <xf numFmtId="0" fontId="3" fillId="0" borderId="0"/>
    <xf numFmtId="0" fontId="16" fillId="51" borderId="118" applyNumberFormat="0" applyAlignment="0" applyProtection="0"/>
    <xf numFmtId="0" fontId="3" fillId="0" borderId="0"/>
    <xf numFmtId="0" fontId="16" fillId="51" borderId="118" applyNumberFormat="0" applyAlignment="0" applyProtection="0"/>
    <xf numFmtId="0" fontId="3" fillId="0" borderId="0"/>
    <xf numFmtId="0" fontId="16" fillId="50" borderId="118" applyNumberFormat="0" applyFont="0" applyAlignment="0" applyProtection="0"/>
    <xf numFmtId="0" fontId="52" fillId="40" borderId="119" applyNumberFormat="0" applyAlignment="0" applyProtection="0"/>
    <xf numFmtId="0" fontId="52" fillId="41" borderId="119" applyNumberFormat="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90" fontId="51" fillId="0" borderId="104">
      <alignment horizontal="center"/>
    </xf>
    <xf numFmtId="190" fontId="51" fillId="0" borderId="117">
      <alignment horizontal="center"/>
    </xf>
    <xf numFmtId="0" fontId="16" fillId="50" borderId="118" applyNumberFormat="0" applyFont="0" applyAlignment="0" applyProtection="0"/>
    <xf numFmtId="0" fontId="16" fillId="50" borderId="118" applyNumberFormat="0" applyFont="0" applyAlignment="0" applyProtection="0"/>
    <xf numFmtId="0" fontId="16" fillId="51" borderId="118" applyNumberFormat="0" applyAlignment="0" applyProtection="0"/>
    <xf numFmtId="0" fontId="16" fillId="51" borderId="118" applyNumberFormat="0" applyAlignment="0" applyProtection="0"/>
    <xf numFmtId="0" fontId="16" fillId="50" borderId="118" applyNumberFormat="0" applyFont="0" applyAlignment="0" applyProtection="0"/>
    <xf numFmtId="0" fontId="16" fillId="51" borderId="118" applyNumberFormat="0" applyAlignment="0" applyProtection="0"/>
    <xf numFmtId="0" fontId="52" fillId="40" borderId="119" applyNumberFormat="0" applyAlignment="0" applyProtection="0"/>
    <xf numFmtId="0" fontId="52" fillId="41" borderId="119" applyNumberFormat="0" applyAlignment="0" applyProtection="0"/>
    <xf numFmtId="0" fontId="52" fillId="40" borderId="119" applyNumberFormat="0" applyAlignment="0" applyProtection="0"/>
    <xf numFmtId="9" fontId="3" fillId="0" borderId="0" applyFont="0" applyFill="0" applyBorder="0" applyAlignment="0" applyProtection="0"/>
    <xf numFmtId="0" fontId="52" fillId="41" borderId="119" applyNumberFormat="0" applyAlignment="0" applyProtection="0"/>
    <xf numFmtId="9" fontId="3" fillId="0" borderId="0" applyFont="0" applyFill="0" applyBorder="0" applyAlignment="0" applyProtection="0"/>
    <xf numFmtId="0" fontId="52" fillId="40" borderId="119" applyNumberFormat="0" applyAlignment="0" applyProtection="0"/>
    <xf numFmtId="0" fontId="52" fillId="41" borderId="119" applyNumberFormat="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0" fontId="66" fillId="0" borderId="120" applyNumberFormat="0" applyFill="0" applyAlignment="0" applyProtection="0"/>
    <xf numFmtId="177" fontId="31" fillId="0" borderId="121">
      <protection locked="0"/>
    </xf>
    <xf numFmtId="177" fontId="33" fillId="0" borderId="122">
      <protection locked="0"/>
    </xf>
    <xf numFmtId="43" fontId="16"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0" fontId="41" fillId="0" borderId="32" applyNumberFormat="0" applyFill="0" applyAlignment="0" applyProtection="0"/>
    <xf numFmtId="0" fontId="66" fillId="0" borderId="120" applyNumberFormat="0" applyFill="0" applyAlignment="0" applyProtection="0"/>
    <xf numFmtId="177" fontId="31" fillId="0" borderId="121">
      <protection locked="0"/>
    </xf>
    <xf numFmtId="177" fontId="33" fillId="0" borderId="122">
      <protection locked="0"/>
    </xf>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3"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45"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3"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0" fontId="3" fillId="0" borderId="0"/>
    <xf numFmtId="44" fontId="16" fillId="0" borderId="0" applyBorder="0" applyAlignment="0" applyProtection="0"/>
    <xf numFmtId="44" fontId="16" fillId="0" borderId="0" applyFont="0" applyFill="0" applyBorder="0" applyAlignment="0" applyProtection="0"/>
    <xf numFmtId="0" fontId="36" fillId="15" borderId="116" applyNumberFormat="0" applyAlignment="0" applyProtection="0"/>
    <xf numFmtId="44" fontId="16" fillId="0" borderId="0" applyFont="0" applyFill="0" applyBorder="0" applyAlignment="0" applyProtection="0"/>
    <xf numFmtId="43" fontId="71" fillId="0" borderId="0" applyFont="0" applyFill="0" applyBorder="0" applyAlignment="0" applyProtection="0"/>
    <xf numFmtId="0" fontId="36" fillId="15" borderId="116" applyNumberFormat="0" applyAlignment="0" applyProtection="0"/>
    <xf numFmtId="0" fontId="28" fillId="40" borderId="116" applyNumberFormat="0" applyAlignment="0" applyProtection="0"/>
    <xf numFmtId="0" fontId="3" fillId="0" borderId="0"/>
    <xf numFmtId="0" fontId="3" fillId="0" borderId="0"/>
    <xf numFmtId="43" fontId="16" fillId="0" borderId="0" applyFont="0" applyFill="0" applyBorder="0" applyAlignment="0" applyProtection="0"/>
    <xf numFmtId="43" fontId="16" fillId="0" borderId="0" applyFont="0" applyFill="0" applyBorder="0" applyAlignment="0" applyProtection="0"/>
    <xf numFmtId="0" fontId="3" fillId="70" borderId="84" applyNumberFormat="0" applyFont="0" applyAlignment="0" applyProtection="0"/>
    <xf numFmtId="43" fontId="16" fillId="0" borderId="0" applyFont="0" applyFill="0" applyBorder="0" applyAlignment="0" applyProtection="0"/>
    <xf numFmtId="43" fontId="16"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16" fillId="0" borderId="0" applyFont="0" applyFill="0" applyBorder="0" applyAlignment="0" applyProtection="0"/>
    <xf numFmtId="0" fontId="3" fillId="0" borderId="0"/>
    <xf numFmtId="43" fontId="3"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9" fontId="3" fillId="0" borderId="0" applyFont="0" applyFill="0" applyBorder="0" applyAlignment="0" applyProtection="0"/>
    <xf numFmtId="0" fontId="101" fillId="0" borderId="0"/>
    <xf numFmtId="43" fontId="101"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cellStyleXfs>
  <cellXfs count="799">
    <xf numFmtId="0" fontId="0" fillId="0" borderId="0" xfId="0"/>
    <xf numFmtId="0" fontId="95" fillId="0" borderId="0" xfId="251" applyFont="1"/>
    <xf numFmtId="0" fontId="95" fillId="0" borderId="0" xfId="251" applyFont="1" applyAlignment="1">
      <alignment vertical="center"/>
    </xf>
    <xf numFmtId="0" fontId="95" fillId="0" borderId="0" xfId="251" applyFont="1" applyAlignment="1">
      <alignment horizontal="left" vertical="center"/>
    </xf>
    <xf numFmtId="164" fontId="95" fillId="0" borderId="0" xfId="251" applyNumberFormat="1" applyFont="1" applyAlignment="1">
      <alignment vertical="center"/>
    </xf>
    <xf numFmtId="0" fontId="90" fillId="0" borderId="0" xfId="251" applyFont="1" applyAlignment="1">
      <alignment vertical="center"/>
    </xf>
    <xf numFmtId="165" fontId="90" fillId="0" borderId="11" xfId="2" applyFont="1" applyBorder="1" applyAlignment="1">
      <alignment horizontal="center" vertical="center"/>
    </xf>
    <xf numFmtId="165" fontId="90" fillId="0" borderId="44" xfId="2" applyFont="1" applyBorder="1" applyAlignment="1">
      <alignment horizontal="center" vertical="center"/>
    </xf>
    <xf numFmtId="165" fontId="90" fillId="0" borderId="106" xfId="2" applyFont="1" applyBorder="1" applyAlignment="1">
      <alignment horizontal="center" vertical="center"/>
    </xf>
    <xf numFmtId="165" fontId="90" fillId="0" borderId="108" xfId="2" applyFont="1" applyBorder="1" applyAlignment="1">
      <alignment horizontal="center" vertical="center"/>
    </xf>
    <xf numFmtId="0" fontId="97" fillId="0" borderId="48" xfId="4" applyFont="1" applyBorder="1" applyAlignment="1">
      <alignment horizontal="left" vertical="center"/>
    </xf>
    <xf numFmtId="165" fontId="97" fillId="0" borderId="49" xfId="2" applyFont="1" applyBorder="1" applyAlignment="1">
      <alignment horizontal="center" vertical="center"/>
    </xf>
    <xf numFmtId="165" fontId="97" fillId="0" borderId="54" xfId="2" applyFont="1" applyBorder="1" applyAlignment="1">
      <alignment horizontal="center" vertical="center"/>
    </xf>
    <xf numFmtId="165" fontId="97" fillId="0" borderId="101" xfId="2" applyFont="1" applyBorder="1" applyAlignment="1">
      <alignment horizontal="center" vertical="center"/>
    </xf>
    <xf numFmtId="0" fontId="97" fillId="0" borderId="43" xfId="4" applyFont="1" applyBorder="1" applyAlignment="1">
      <alignment horizontal="left" vertical="center"/>
    </xf>
    <xf numFmtId="165" fontId="97" fillId="0" borderId="11" xfId="2" applyFont="1" applyBorder="1" applyAlignment="1">
      <alignment horizontal="center" vertical="center"/>
    </xf>
    <xf numFmtId="165" fontId="97" fillId="0" borderId="5" xfId="2" applyFont="1" applyBorder="1" applyAlignment="1">
      <alignment horizontal="center" vertical="center"/>
    </xf>
    <xf numFmtId="165" fontId="97" fillId="0" borderId="44" xfId="2" applyFont="1" applyBorder="1" applyAlignment="1">
      <alignment horizontal="center" vertical="center"/>
    </xf>
    <xf numFmtId="0" fontId="97" fillId="0" borderId="105" xfId="4" applyFont="1" applyBorder="1" applyAlignment="1">
      <alignment horizontal="left" vertical="center"/>
    </xf>
    <xf numFmtId="165" fontId="97" fillId="0" borderId="106" xfId="2" applyFont="1" applyBorder="1" applyAlignment="1">
      <alignment horizontal="center" vertical="center"/>
    </xf>
    <xf numFmtId="165" fontId="97" fillId="0" borderId="107" xfId="2" applyFont="1" applyBorder="1" applyAlignment="1">
      <alignment horizontal="center" vertical="center"/>
    </xf>
    <xf numFmtId="165" fontId="97" fillId="0" borderId="108" xfId="2" applyFont="1" applyBorder="1" applyAlignment="1">
      <alignment horizontal="center" vertical="center"/>
    </xf>
    <xf numFmtId="199" fontId="93" fillId="0" borderId="50" xfId="9" applyNumberFormat="1" applyFont="1" applyFill="1" applyBorder="1" applyAlignment="1">
      <alignment horizontal="center" vertical="center"/>
    </xf>
    <xf numFmtId="165" fontId="93" fillId="59" borderId="26" xfId="2" applyFont="1" applyFill="1" applyBorder="1" applyAlignment="1">
      <alignment horizontal="center" vertical="center"/>
    </xf>
    <xf numFmtId="1" fontId="97" fillId="3" borderId="48" xfId="2" applyNumberFormat="1" applyFont="1" applyFill="1" applyBorder="1" applyAlignment="1">
      <alignment horizontal="center" vertical="center"/>
    </xf>
    <xf numFmtId="1" fontId="97" fillId="3" borderId="43" xfId="2" applyNumberFormat="1" applyFont="1" applyFill="1" applyBorder="1" applyAlignment="1">
      <alignment horizontal="center" vertical="center"/>
    </xf>
    <xf numFmtId="1" fontId="97" fillId="3" borderId="105" xfId="2" applyNumberFormat="1" applyFont="1" applyFill="1" applyBorder="1" applyAlignment="1">
      <alignment horizontal="center" vertical="center"/>
    </xf>
    <xf numFmtId="0" fontId="95" fillId="0" borderId="0" xfId="251" applyFont="1" applyAlignment="1">
      <alignment horizontal="center" vertical="center"/>
    </xf>
    <xf numFmtId="0" fontId="95" fillId="0" borderId="49" xfId="4" applyFont="1" applyBorder="1" applyAlignment="1">
      <alignment horizontal="center" vertical="center"/>
    </xf>
    <xf numFmtId="165" fontId="95" fillId="0" borderId="54" xfId="2" applyFont="1" applyBorder="1" applyAlignment="1">
      <alignment horizontal="center" vertical="center"/>
    </xf>
    <xf numFmtId="1" fontId="95" fillId="3" borderId="48" xfId="2" applyNumberFormat="1" applyFont="1" applyFill="1" applyBorder="1" applyAlignment="1">
      <alignment horizontal="center" vertical="center"/>
    </xf>
    <xf numFmtId="165" fontId="95" fillId="0" borderId="101" xfId="2" applyFont="1" applyBorder="1" applyAlignment="1">
      <alignment horizontal="center" vertical="center"/>
    </xf>
    <xf numFmtId="0" fontId="95" fillId="0" borderId="11" xfId="4" applyFont="1" applyBorder="1" applyAlignment="1">
      <alignment horizontal="center" vertical="center"/>
    </xf>
    <xf numFmtId="165" fontId="95" fillId="0" borderId="5" xfId="2" applyFont="1" applyBorder="1" applyAlignment="1">
      <alignment horizontal="center" vertical="center"/>
    </xf>
    <xf numFmtId="1" fontId="95" fillId="3" borderId="43" xfId="2" applyNumberFormat="1" applyFont="1" applyFill="1" applyBorder="1" applyAlignment="1">
      <alignment horizontal="center" vertical="center"/>
    </xf>
    <xf numFmtId="165" fontId="95" fillId="0" borderId="44" xfId="2" applyFont="1" applyBorder="1" applyAlignment="1">
      <alignment horizontal="center" vertical="center"/>
    </xf>
    <xf numFmtId="0" fontId="95" fillId="0" borderId="106" xfId="4" applyFont="1" applyBorder="1" applyAlignment="1">
      <alignment horizontal="center" vertical="center"/>
    </xf>
    <xf numFmtId="165" fontId="95" fillId="0" borderId="107" xfId="2" applyFont="1" applyBorder="1" applyAlignment="1">
      <alignment horizontal="center" vertical="center"/>
    </xf>
    <xf numFmtId="1" fontId="95" fillId="3" borderId="105" xfId="2" applyNumberFormat="1" applyFont="1" applyFill="1" applyBorder="1" applyAlignment="1">
      <alignment horizontal="center" vertical="center"/>
    </xf>
    <xf numFmtId="165" fontId="95" fillId="0" borderId="108" xfId="2" applyFont="1" applyBorder="1" applyAlignment="1">
      <alignment horizontal="center" vertical="center"/>
    </xf>
    <xf numFmtId="165" fontId="94" fillId="0" borderId="16" xfId="2" applyFont="1" applyFill="1" applyBorder="1" applyAlignment="1">
      <alignment horizontal="center" vertical="center"/>
    </xf>
    <xf numFmtId="165" fontId="94" fillId="59" borderId="18" xfId="2" applyFont="1" applyFill="1" applyBorder="1" applyAlignment="1">
      <alignment horizontal="center" vertical="center"/>
    </xf>
    <xf numFmtId="0" fontId="95" fillId="0" borderId="48" xfId="4" applyFont="1" applyBorder="1" applyAlignment="1">
      <alignment horizontal="left" vertical="center" wrapText="1"/>
    </xf>
    <xf numFmtId="0" fontId="95" fillId="0" borderId="43" xfId="4" applyFont="1" applyBorder="1" applyAlignment="1">
      <alignment horizontal="left" vertical="center" wrapText="1"/>
    </xf>
    <xf numFmtId="0" fontId="95" fillId="0" borderId="105" xfId="4" applyFont="1" applyBorder="1" applyAlignment="1">
      <alignment horizontal="left" vertical="center" wrapText="1"/>
    </xf>
    <xf numFmtId="4" fontId="93" fillId="59" borderId="26" xfId="0" applyNumberFormat="1" applyFont="1" applyFill="1" applyBorder="1" applyAlignment="1">
      <alignment vertical="center"/>
    </xf>
    <xf numFmtId="0" fontId="99" fillId="0" borderId="47" xfId="0" applyFont="1" applyBorder="1" applyAlignment="1">
      <alignment vertical="center"/>
    </xf>
    <xf numFmtId="165" fontId="90" fillId="0" borderId="10" xfId="2" applyFont="1" applyFill="1" applyBorder="1" applyAlignment="1">
      <alignment horizontal="center" vertical="center"/>
    </xf>
    <xf numFmtId="165" fontId="90" fillId="0" borderId="10" xfId="2" applyFont="1" applyBorder="1" applyAlignment="1">
      <alignment horizontal="center" vertical="center"/>
    </xf>
    <xf numFmtId="165" fontId="90" fillId="0" borderId="73" xfId="2" applyFont="1" applyBorder="1" applyAlignment="1">
      <alignment horizontal="center" vertical="center"/>
    </xf>
    <xf numFmtId="0" fontId="99" fillId="0" borderId="43" xfId="0" applyFont="1" applyBorder="1" applyAlignment="1">
      <alignment vertical="center"/>
    </xf>
    <xf numFmtId="165" fontId="90" fillId="0" borderId="11" xfId="2" applyFont="1" applyFill="1" applyBorder="1" applyAlignment="1">
      <alignment horizontal="center" vertical="center"/>
    </xf>
    <xf numFmtId="0" fontId="99" fillId="0" borderId="105" xfId="0" applyFont="1" applyBorder="1" applyAlignment="1">
      <alignment vertical="center"/>
    </xf>
    <xf numFmtId="165" fontId="90" fillId="0" borderId="106" xfId="2" applyFont="1" applyFill="1" applyBorder="1" applyAlignment="1">
      <alignment horizontal="center" vertical="center"/>
    </xf>
    <xf numFmtId="0" fontId="103" fillId="100" borderId="0" xfId="251" applyFont="1" applyFill="1"/>
    <xf numFmtId="10" fontId="102" fillId="0" borderId="0" xfId="251" applyNumberFormat="1" applyFont="1" applyAlignment="1">
      <alignment horizontal="left" vertical="center"/>
    </xf>
    <xf numFmtId="0" fontId="105" fillId="0" borderId="0" xfId="251" applyFont="1" applyAlignment="1">
      <alignment horizontal="center"/>
    </xf>
    <xf numFmtId="0" fontId="106" fillId="100" borderId="62" xfId="251" applyFont="1" applyFill="1" applyBorder="1" applyAlignment="1">
      <alignment horizontal="right" vertical="center"/>
    </xf>
    <xf numFmtId="0" fontId="103" fillId="100" borderId="76" xfId="251" applyFont="1" applyFill="1" applyBorder="1"/>
    <xf numFmtId="0" fontId="106" fillId="100" borderId="60" xfId="251" applyFont="1" applyFill="1" applyBorder="1" applyAlignment="1">
      <alignment horizontal="center" vertical="center" wrapText="1"/>
    </xf>
    <xf numFmtId="14" fontId="106" fillId="100" borderId="63" xfId="251" applyNumberFormat="1" applyFont="1" applyFill="1" applyBorder="1" applyAlignment="1">
      <alignment horizontal="left" vertical="center"/>
    </xf>
    <xf numFmtId="0" fontId="107" fillId="99" borderId="70" xfId="251" applyFont="1" applyFill="1" applyBorder="1" applyAlignment="1">
      <alignment horizontal="center" vertical="center" wrapText="1"/>
    </xf>
    <xf numFmtId="0" fontId="102" fillId="0" borderId="0" xfId="251" applyFont="1" applyAlignment="1">
      <alignment horizontal="left" vertical="center"/>
    </xf>
    <xf numFmtId="0" fontId="105" fillId="0" borderId="0" xfId="251" applyFont="1" applyAlignment="1">
      <alignment horizontal="center" vertical="center"/>
    </xf>
    <xf numFmtId="0" fontId="108" fillId="62" borderId="0" xfId="251" applyFont="1" applyFill="1" applyAlignment="1">
      <alignment horizontal="center" vertical="center" wrapText="1"/>
    </xf>
    <xf numFmtId="0" fontId="109" fillId="62" borderId="0" xfId="251" applyFont="1" applyFill="1" applyAlignment="1">
      <alignment horizontal="left" vertical="center" wrapText="1"/>
    </xf>
    <xf numFmtId="10" fontId="110" fillId="0" borderId="0" xfId="251" applyNumberFormat="1" applyFont="1" applyAlignment="1">
      <alignment horizontal="left" vertical="center" wrapText="1"/>
    </xf>
    <xf numFmtId="0" fontId="105" fillId="0" borderId="0" xfId="251" applyFont="1" applyAlignment="1" applyProtection="1">
      <alignment horizontal="center"/>
      <protection locked="0"/>
    </xf>
    <xf numFmtId="10" fontId="102" fillId="0" borderId="71" xfId="1" applyNumberFormat="1" applyFont="1" applyFill="1" applyBorder="1" applyAlignment="1">
      <alignment horizontal="left" vertical="center" wrapText="1"/>
    </xf>
    <xf numFmtId="0" fontId="102" fillId="0" borderId="0" xfId="251" applyFont="1" applyAlignment="1">
      <alignment horizontal="center" vertical="center"/>
    </xf>
    <xf numFmtId="0" fontId="102" fillId="0" borderId="124" xfId="251" quotePrefix="1" applyFont="1" applyBorder="1" applyAlignment="1">
      <alignment horizontal="center" vertical="center"/>
    </xf>
    <xf numFmtId="44" fontId="102" fillId="0" borderId="124" xfId="753" applyFont="1" applyBorder="1" applyAlignment="1">
      <alignment horizontal="justify" vertical="center" wrapText="1"/>
    </xf>
    <xf numFmtId="10" fontId="102" fillId="0" borderId="0" xfId="1" applyNumberFormat="1" applyFont="1" applyFill="1" applyBorder="1" applyAlignment="1">
      <alignment horizontal="left" vertical="center" wrapText="1"/>
    </xf>
    <xf numFmtId="0" fontId="112" fillId="100" borderId="124" xfId="251" quotePrefix="1" applyFont="1" applyFill="1" applyBorder="1" applyAlignment="1">
      <alignment horizontal="center" vertical="center"/>
    </xf>
    <xf numFmtId="3" fontId="112" fillId="100" borderId="124" xfId="251" applyNumberFormat="1" applyFont="1" applyFill="1" applyBorder="1" applyAlignment="1">
      <alignment horizontal="center" vertical="center" wrapText="1"/>
    </xf>
    <xf numFmtId="0" fontId="112" fillId="100" borderId="124" xfId="251" applyFont="1" applyFill="1" applyBorder="1" applyAlignment="1">
      <alignment horizontal="center" vertical="center"/>
    </xf>
    <xf numFmtId="4" fontId="112" fillId="100" borderId="124" xfId="251" applyNumberFormat="1" applyFont="1" applyFill="1" applyBorder="1" applyAlignment="1">
      <alignment horizontal="center" vertical="center"/>
    </xf>
    <xf numFmtId="166" fontId="112" fillId="100" borderId="124" xfId="251" applyNumberFormat="1" applyFont="1" applyFill="1" applyBorder="1" applyAlignment="1">
      <alignment horizontal="center" vertical="center" wrapText="1"/>
    </xf>
    <xf numFmtId="0" fontId="110" fillId="100" borderId="124" xfId="251" quotePrefix="1" applyFont="1" applyFill="1" applyBorder="1" applyAlignment="1">
      <alignment horizontal="center" vertical="center"/>
    </xf>
    <xf numFmtId="3" fontId="110" fillId="100" borderId="124" xfId="251" applyNumberFormat="1" applyFont="1" applyFill="1" applyBorder="1" applyAlignment="1">
      <alignment horizontal="center" vertical="center" wrapText="1"/>
    </xf>
    <xf numFmtId="165" fontId="110" fillId="100" borderId="124" xfId="2" applyFont="1" applyFill="1" applyBorder="1" applyAlignment="1" applyProtection="1">
      <alignment horizontal="center" vertical="center"/>
    </xf>
    <xf numFmtId="165" fontId="110" fillId="100" borderId="124" xfId="2" applyFont="1" applyFill="1" applyBorder="1" applyAlignment="1">
      <alignment horizontal="justify" vertical="center" wrapText="1"/>
    </xf>
    <xf numFmtId="44" fontId="110" fillId="100" borderId="124" xfId="753" applyFont="1" applyFill="1" applyBorder="1" applyAlignment="1">
      <alignment horizontal="justify" vertical="center" wrapText="1"/>
    </xf>
    <xf numFmtId="0" fontId="106" fillId="0" borderId="19" xfId="0" applyFont="1" applyBorder="1" applyAlignment="1">
      <alignment horizontal="center" vertical="center"/>
    </xf>
    <xf numFmtId="2" fontId="111" fillId="0" borderId="0" xfId="0" applyNumberFormat="1" applyFont="1" applyAlignment="1">
      <alignment horizontal="center" vertical="center"/>
    </xf>
    <xf numFmtId="0" fontId="115" fillId="0" borderId="0" xfId="0" applyFont="1" applyAlignment="1">
      <alignment horizontal="center" vertical="center"/>
    </xf>
    <xf numFmtId="0" fontId="111" fillId="0" borderId="0" xfId="0" applyFont="1" applyAlignment="1">
      <alignment horizontal="center" vertical="center"/>
    </xf>
    <xf numFmtId="165" fontId="117" fillId="2" borderId="0" xfId="0" applyNumberFormat="1" applyFont="1" applyFill="1" applyAlignment="1">
      <alignment horizontal="center" vertical="center"/>
    </xf>
    <xf numFmtId="0" fontId="119" fillId="0" borderId="0" xfId="0" applyFont="1" applyAlignment="1">
      <alignment horizontal="center" vertical="center"/>
    </xf>
    <xf numFmtId="3" fontId="116" fillId="2" borderId="15" xfId="0" applyNumberFormat="1" applyFont="1" applyFill="1" applyBorder="1" applyAlignment="1">
      <alignment vertical="center" wrapText="1"/>
    </xf>
    <xf numFmtId="3" fontId="116" fillId="2" borderId="15" xfId="0" applyNumberFormat="1" applyFont="1" applyFill="1" applyBorder="1" applyAlignment="1">
      <alignment horizontal="right" vertical="center" wrapText="1"/>
    </xf>
    <xf numFmtId="4" fontId="116" fillId="2" borderId="0" xfId="0" applyNumberFormat="1" applyFont="1" applyFill="1" applyAlignment="1">
      <alignment horizontal="left" vertical="center" wrapText="1"/>
    </xf>
    <xf numFmtId="165" fontId="119" fillId="2" borderId="0" xfId="0" applyNumberFormat="1" applyFont="1" applyFill="1" applyAlignment="1">
      <alignment horizontal="center" vertical="center"/>
    </xf>
    <xf numFmtId="3" fontId="117" fillId="2" borderId="0" xfId="0" applyNumberFormat="1" applyFont="1" applyFill="1" applyAlignment="1">
      <alignment horizontal="center" vertical="center" wrapText="1"/>
    </xf>
    <xf numFmtId="3" fontId="117" fillId="2" borderId="0" xfId="0" applyNumberFormat="1" applyFont="1" applyFill="1" applyAlignment="1">
      <alignment vertical="center" wrapText="1"/>
    </xf>
    <xf numFmtId="0" fontId="119" fillId="63" borderId="0" xfId="0" applyFont="1" applyFill="1" applyAlignment="1">
      <alignment vertical="center" wrapText="1"/>
    </xf>
    <xf numFmtId="0" fontId="119" fillId="0" borderId="0" xfId="0" applyFont="1" applyAlignment="1">
      <alignment vertical="center" wrapText="1"/>
    </xf>
    <xf numFmtId="3" fontId="117" fillId="2" borderId="0" xfId="0" applyNumberFormat="1" applyFont="1" applyFill="1" applyAlignment="1">
      <alignment horizontal="right" vertical="center" wrapText="1"/>
    </xf>
    <xf numFmtId="0" fontId="117" fillId="2" borderId="0" xfId="0" applyFont="1" applyFill="1" applyAlignment="1">
      <alignment horizontal="right" vertical="center" wrapText="1"/>
    </xf>
    <xf numFmtId="0" fontId="119" fillId="2" borderId="0" xfId="2" applyNumberFormat="1" applyFont="1" applyFill="1" applyBorder="1" applyAlignment="1">
      <alignment horizontal="center" vertical="center"/>
    </xf>
    <xf numFmtId="165" fontId="116" fillId="2" borderId="0" xfId="0" applyNumberFormat="1" applyFont="1" applyFill="1" applyAlignment="1">
      <alignment horizontal="center" vertical="center"/>
    </xf>
    <xf numFmtId="20" fontId="115" fillId="0" borderId="0" xfId="0" applyNumberFormat="1" applyFont="1" applyAlignment="1">
      <alignment horizontal="center" vertical="center"/>
    </xf>
    <xf numFmtId="20" fontId="116" fillId="0" borderId="0" xfId="0" applyNumberFormat="1" applyFont="1" applyAlignment="1">
      <alignment horizontal="center" vertical="center"/>
    </xf>
    <xf numFmtId="0" fontId="116" fillId="0" borderId="0" xfId="0" applyFont="1" applyAlignment="1">
      <alignment horizontal="center" vertical="center"/>
    </xf>
    <xf numFmtId="165" fontId="111" fillId="2" borderId="66" xfId="0" applyNumberFormat="1" applyFont="1" applyFill="1" applyBorder="1" applyAlignment="1">
      <alignment horizontal="center" vertical="center"/>
    </xf>
    <xf numFmtId="165" fontId="111" fillId="2" borderId="10" xfId="0" applyNumberFormat="1" applyFont="1" applyFill="1" applyBorder="1" applyAlignment="1">
      <alignment horizontal="center" vertical="center" shrinkToFit="1"/>
    </xf>
    <xf numFmtId="165" fontId="111" fillId="2" borderId="55" xfId="0" applyNumberFormat="1" applyFont="1" applyFill="1" applyBorder="1" applyAlignment="1">
      <alignment horizontal="center" vertical="center"/>
    </xf>
    <xf numFmtId="165" fontId="111" fillId="0" borderId="47" xfId="0" applyNumberFormat="1" applyFont="1" applyBorder="1" applyAlignment="1">
      <alignment horizontal="center" vertical="center"/>
    </xf>
    <xf numFmtId="165" fontId="111" fillId="0" borderId="10" xfId="0" applyNumberFormat="1" applyFont="1" applyBorder="1" applyAlignment="1">
      <alignment horizontal="center" vertical="center"/>
    </xf>
    <xf numFmtId="165" fontId="111" fillId="0" borderId="44" xfId="0" applyNumberFormat="1" applyFont="1" applyBorder="1" applyAlignment="1">
      <alignment horizontal="center" vertical="center"/>
    </xf>
    <xf numFmtId="165" fontId="120" fillId="96" borderId="47" xfId="0" applyNumberFormat="1" applyFont="1" applyFill="1" applyBorder="1" applyAlignment="1">
      <alignment horizontal="center" vertical="center"/>
    </xf>
    <xf numFmtId="165" fontId="120" fillId="96" borderId="10" xfId="0" applyNumberFormat="1" applyFont="1" applyFill="1" applyBorder="1" applyAlignment="1">
      <alignment horizontal="center" vertical="center"/>
    </xf>
    <xf numFmtId="43" fontId="120" fillId="96" borderId="73" xfId="0" applyNumberFormat="1" applyFont="1" applyFill="1" applyBorder="1" applyAlignment="1">
      <alignment horizontal="center" vertical="center"/>
    </xf>
    <xf numFmtId="10" fontId="115" fillId="0" borderId="0" xfId="1" applyNumberFormat="1" applyFont="1" applyAlignment="1">
      <alignment horizontal="left" vertical="center"/>
    </xf>
    <xf numFmtId="20" fontId="111" fillId="0" borderId="0" xfId="0" applyNumberFormat="1" applyFont="1" applyAlignment="1">
      <alignment horizontal="center" vertical="center"/>
    </xf>
    <xf numFmtId="165" fontId="111" fillId="2" borderId="11" xfId="0" applyNumberFormat="1" applyFont="1" applyFill="1" applyBorder="1" applyAlignment="1">
      <alignment horizontal="center" vertical="center" shrinkToFit="1"/>
    </xf>
    <xf numFmtId="165" fontId="111" fillId="0" borderId="11" xfId="0" applyNumberFormat="1" applyFont="1" applyBorder="1" applyAlignment="1">
      <alignment horizontal="center" vertical="center"/>
    </xf>
    <xf numFmtId="165" fontId="111" fillId="2" borderId="0" xfId="0" applyNumberFormat="1" applyFont="1" applyFill="1" applyAlignment="1">
      <alignment horizontal="center" vertical="center"/>
    </xf>
    <xf numFmtId="200" fontId="111" fillId="0" borderId="0" xfId="0" applyNumberFormat="1" applyFont="1" applyAlignment="1">
      <alignment horizontal="center" vertical="center"/>
    </xf>
    <xf numFmtId="165" fontId="111" fillId="0" borderId="43" xfId="0" applyNumberFormat="1" applyFont="1" applyBorder="1" applyAlignment="1">
      <alignment horizontal="center" vertical="center"/>
    </xf>
    <xf numFmtId="165" fontId="111" fillId="0" borderId="0" xfId="0" applyNumberFormat="1" applyFont="1" applyAlignment="1">
      <alignment vertical="center"/>
    </xf>
    <xf numFmtId="165" fontId="116" fillId="0" borderId="0" xfId="0" applyNumberFormat="1" applyFont="1" applyAlignment="1">
      <alignment vertical="center"/>
    </xf>
    <xf numFmtId="165" fontId="111" fillId="2" borderId="47" xfId="0" applyNumberFormat="1" applyFont="1" applyFill="1" applyBorder="1" applyAlignment="1">
      <alignment horizontal="center" vertical="center"/>
    </xf>
    <xf numFmtId="194" fontId="111" fillId="0" borderId="11" xfId="0" applyNumberFormat="1" applyFont="1" applyBorder="1" applyAlignment="1">
      <alignment horizontal="left" vertical="center" wrapText="1"/>
    </xf>
    <xf numFmtId="165" fontId="111" fillId="2" borderId="6" xfId="0" applyNumberFormat="1" applyFont="1" applyFill="1" applyBorder="1" applyAlignment="1">
      <alignment horizontal="center" vertical="center" shrinkToFit="1"/>
    </xf>
    <xf numFmtId="165" fontId="111" fillId="0" borderId="5" xfId="0" applyNumberFormat="1" applyFont="1" applyBorder="1" applyAlignment="1">
      <alignment horizontal="left" vertical="center" shrinkToFit="1"/>
    </xf>
    <xf numFmtId="165" fontId="111" fillId="0" borderId="0" xfId="0" applyNumberFormat="1" applyFont="1" applyAlignment="1">
      <alignment horizontal="center" vertical="center"/>
    </xf>
    <xf numFmtId="165" fontId="111" fillId="0" borderId="6" xfId="0" applyNumberFormat="1" applyFont="1" applyBorder="1" applyAlignment="1">
      <alignment horizontal="center" vertical="center" shrinkToFit="1"/>
    </xf>
    <xf numFmtId="165" fontId="111" fillId="0" borderId="11" xfId="0" applyNumberFormat="1" applyFont="1" applyBorder="1" applyAlignment="1">
      <alignment vertical="center" wrapText="1" shrinkToFit="1"/>
    </xf>
    <xf numFmtId="165" fontId="111" fillId="0" borderId="11" xfId="0" applyNumberFormat="1" applyFont="1" applyBorder="1" applyAlignment="1">
      <alignment horizontal="center" vertical="center" shrinkToFit="1"/>
    </xf>
    <xf numFmtId="165" fontId="111" fillId="0" borderId="5" xfId="0" applyNumberFormat="1" applyFont="1" applyBorder="1" applyAlignment="1">
      <alignment vertical="center" shrinkToFit="1"/>
    </xf>
    <xf numFmtId="165" fontId="111" fillId="0" borderId="11" xfId="0" applyNumberFormat="1" applyFont="1" applyBorder="1" applyAlignment="1">
      <alignment horizontal="left" vertical="center" wrapText="1" shrinkToFit="1"/>
    </xf>
    <xf numFmtId="165" fontId="111" fillId="0" borderId="53" xfId="0" applyNumberFormat="1" applyFont="1" applyBorder="1" applyAlignment="1">
      <alignment horizontal="center" vertical="center"/>
    </xf>
    <xf numFmtId="165" fontId="117" fillId="0" borderId="19" xfId="0" applyNumberFormat="1" applyFont="1" applyBorder="1" applyAlignment="1">
      <alignment horizontal="center" vertical="center"/>
    </xf>
    <xf numFmtId="165" fontId="117" fillId="0" borderId="19" xfId="0" applyNumberFormat="1" applyFont="1" applyBorder="1" applyAlignment="1">
      <alignment vertical="center"/>
    </xf>
    <xf numFmtId="165" fontId="111" fillId="0" borderId="5" xfId="0" applyNumberFormat="1" applyFont="1" applyBorder="1" applyAlignment="1">
      <alignment vertical="center"/>
    </xf>
    <xf numFmtId="165" fontId="111" fillId="0" borderId="7" xfId="0" applyNumberFormat="1" applyFont="1" applyBorder="1" applyAlignment="1">
      <alignment vertical="center"/>
    </xf>
    <xf numFmtId="10" fontId="111" fillId="0" borderId="5" xfId="0" applyNumberFormat="1" applyFont="1" applyBorder="1" applyAlignment="1">
      <alignment horizontal="center" vertical="center"/>
    </xf>
    <xf numFmtId="10" fontId="111" fillId="0" borderId="43" xfId="1" applyNumberFormat="1" applyFont="1" applyFill="1" applyBorder="1" applyAlignment="1">
      <alignment horizontal="center" vertical="center"/>
    </xf>
    <xf numFmtId="10" fontId="111" fillId="0" borderId="11" xfId="1" applyNumberFormat="1" applyFont="1" applyFill="1" applyBorder="1" applyAlignment="1">
      <alignment horizontal="right" vertical="center"/>
    </xf>
    <xf numFmtId="10" fontId="116" fillId="0" borderId="43" xfId="1" applyNumberFormat="1" applyFont="1" applyFill="1" applyBorder="1" applyAlignment="1">
      <alignment horizontal="center" vertical="center"/>
    </xf>
    <xf numFmtId="10" fontId="116" fillId="0" borderId="11" xfId="1" applyNumberFormat="1" applyFont="1" applyFill="1" applyBorder="1" applyAlignment="1">
      <alignment horizontal="right" vertical="center"/>
    </xf>
    <xf numFmtId="165" fontId="116" fillId="0" borderId="44" xfId="0" applyNumberFormat="1" applyFont="1" applyBorder="1" applyAlignment="1">
      <alignment horizontal="center" vertical="center"/>
    </xf>
    <xf numFmtId="165" fontId="111" fillId="0" borderId="45" xfId="0" applyNumberFormat="1" applyFont="1" applyBorder="1" applyAlignment="1">
      <alignment horizontal="center" vertical="center"/>
    </xf>
    <xf numFmtId="165" fontId="111" fillId="0" borderId="8" xfId="0" applyNumberFormat="1" applyFont="1" applyBorder="1" applyAlignment="1">
      <alignment vertical="center"/>
    </xf>
    <xf numFmtId="165" fontId="111" fillId="0" borderId="3" xfId="0" applyNumberFormat="1" applyFont="1" applyBorder="1" applyAlignment="1">
      <alignment vertical="center"/>
    </xf>
    <xf numFmtId="10" fontId="111" fillId="0" borderId="8" xfId="0" applyNumberFormat="1" applyFont="1" applyBorder="1" applyAlignment="1">
      <alignment horizontal="center" vertical="center"/>
    </xf>
    <xf numFmtId="10" fontId="111" fillId="0" borderId="45" xfId="1" applyNumberFormat="1" applyFont="1" applyFill="1" applyBorder="1" applyAlignment="1">
      <alignment horizontal="center" vertical="center"/>
    </xf>
    <xf numFmtId="10" fontId="111" fillId="0" borderId="12" xfId="1" applyNumberFormat="1" applyFont="1" applyFill="1" applyBorder="1" applyAlignment="1">
      <alignment horizontal="right" vertical="center"/>
    </xf>
    <xf numFmtId="165" fontId="111" fillId="0" borderId="46" xfId="0" applyNumberFormat="1" applyFont="1" applyBorder="1" applyAlignment="1">
      <alignment horizontal="center" vertical="center"/>
    </xf>
    <xf numFmtId="10" fontId="116" fillId="0" borderId="45" xfId="1" applyNumberFormat="1" applyFont="1" applyFill="1" applyBorder="1" applyAlignment="1">
      <alignment horizontal="center" vertical="center"/>
    </xf>
    <xf numFmtId="10" fontId="116" fillId="0" borderId="12" xfId="1" applyNumberFormat="1" applyFont="1" applyFill="1" applyBorder="1" applyAlignment="1">
      <alignment horizontal="right" vertical="center"/>
    </xf>
    <xf numFmtId="165" fontId="116" fillId="0" borderId="46" xfId="0" applyNumberFormat="1" applyFont="1" applyBorder="1" applyAlignment="1">
      <alignment horizontal="center" vertical="center"/>
    </xf>
    <xf numFmtId="165" fontId="111" fillId="2" borderId="43" xfId="0" applyNumberFormat="1" applyFont="1" applyFill="1" applyBorder="1" applyAlignment="1">
      <alignment horizontal="center" vertical="center"/>
    </xf>
    <xf numFmtId="165" fontId="111" fillId="2" borderId="5" xfId="0" applyNumberFormat="1" applyFont="1" applyFill="1" applyBorder="1" applyAlignment="1">
      <alignment vertical="center"/>
    </xf>
    <xf numFmtId="165" fontId="111" fillId="2" borderId="7" xfId="0" applyNumberFormat="1" applyFont="1" applyFill="1" applyBorder="1" applyAlignment="1">
      <alignment vertical="center"/>
    </xf>
    <xf numFmtId="10" fontId="111" fillId="2" borderId="5" xfId="1" applyNumberFormat="1" applyFont="1" applyFill="1" applyBorder="1" applyAlignment="1">
      <alignment horizontal="center" vertical="center"/>
    </xf>
    <xf numFmtId="4" fontId="111" fillId="2" borderId="43" xfId="1" applyNumberFormat="1" applyFont="1" applyFill="1" applyBorder="1" applyAlignment="1">
      <alignment horizontal="center" vertical="center"/>
    </xf>
    <xf numFmtId="4" fontId="111" fillId="2" borderId="6" xfId="1" applyNumberFormat="1" applyFont="1" applyFill="1" applyBorder="1" applyAlignment="1">
      <alignment horizontal="center" vertical="center"/>
    </xf>
    <xf numFmtId="165" fontId="111" fillId="2" borderId="44" xfId="0" applyNumberFormat="1" applyFont="1" applyFill="1" applyBorder="1" applyAlignment="1">
      <alignment horizontal="center" vertical="center"/>
    </xf>
    <xf numFmtId="4" fontId="116" fillId="2" borderId="43" xfId="1" applyNumberFormat="1" applyFont="1" applyFill="1" applyBorder="1" applyAlignment="1">
      <alignment horizontal="center" vertical="center"/>
    </xf>
    <xf numFmtId="4" fontId="116" fillId="2" borderId="11" xfId="1" applyNumberFormat="1" applyFont="1" applyFill="1" applyBorder="1" applyAlignment="1">
      <alignment horizontal="center" vertical="center"/>
    </xf>
    <xf numFmtId="165" fontId="116" fillId="2" borderId="44" xfId="0" applyNumberFormat="1" applyFont="1" applyFill="1" applyBorder="1" applyAlignment="1">
      <alignment horizontal="center" vertical="center"/>
    </xf>
    <xf numFmtId="165" fontId="111" fillId="2" borderId="56" xfId="0" applyNumberFormat="1" applyFont="1" applyFill="1" applyBorder="1" applyAlignment="1">
      <alignment vertical="center"/>
    </xf>
    <xf numFmtId="165" fontId="111" fillId="2" borderId="57" xfId="0" applyNumberFormat="1" applyFont="1" applyFill="1" applyBorder="1" applyAlignment="1">
      <alignment vertical="center"/>
    </xf>
    <xf numFmtId="4" fontId="111" fillId="2" borderId="52" xfId="1" applyNumberFormat="1" applyFont="1" applyFill="1" applyBorder="1" applyAlignment="1">
      <alignment horizontal="center" vertical="center"/>
    </xf>
    <xf numFmtId="4" fontId="111" fillId="2" borderId="58" xfId="1" applyNumberFormat="1" applyFont="1" applyFill="1" applyBorder="1" applyAlignment="1">
      <alignment horizontal="center" vertical="center"/>
    </xf>
    <xf numFmtId="165" fontId="111" fillId="2" borderId="53" xfId="0" applyNumberFormat="1" applyFont="1" applyFill="1" applyBorder="1" applyAlignment="1">
      <alignment horizontal="center" vertical="center"/>
    </xf>
    <xf numFmtId="4" fontId="116" fillId="2" borderId="52" xfId="1" applyNumberFormat="1" applyFont="1" applyFill="1" applyBorder="1" applyAlignment="1">
      <alignment horizontal="center" vertical="center"/>
    </xf>
    <xf numFmtId="4" fontId="116" fillId="2" borderId="75" xfId="1" applyNumberFormat="1" applyFont="1" applyFill="1" applyBorder="1" applyAlignment="1">
      <alignment horizontal="center" vertical="center"/>
    </xf>
    <xf numFmtId="165" fontId="116" fillId="2" borderId="53" xfId="0" applyNumberFormat="1" applyFont="1" applyFill="1" applyBorder="1" applyAlignment="1">
      <alignment horizontal="center" vertical="center"/>
    </xf>
    <xf numFmtId="165" fontId="111" fillId="2" borderId="8" xfId="0" applyNumberFormat="1" applyFont="1" applyFill="1" applyBorder="1" applyAlignment="1">
      <alignment vertical="center"/>
    </xf>
    <xf numFmtId="165" fontId="111" fillId="2" borderId="3" xfId="0" applyNumberFormat="1" applyFont="1" applyFill="1" applyBorder="1" applyAlignment="1">
      <alignment vertical="center"/>
    </xf>
    <xf numFmtId="10" fontId="111" fillId="2" borderId="8" xfId="1" applyNumberFormat="1" applyFont="1" applyFill="1" applyBorder="1" applyAlignment="1">
      <alignment horizontal="center" vertical="center"/>
    </xf>
    <xf numFmtId="4" fontId="111" fillId="2" borderId="45" xfId="1" applyNumberFormat="1" applyFont="1" applyFill="1" applyBorder="1" applyAlignment="1">
      <alignment horizontal="center" vertical="center"/>
    </xf>
    <xf numFmtId="4" fontId="111" fillId="2" borderId="4" xfId="1" applyNumberFormat="1" applyFont="1" applyFill="1" applyBorder="1" applyAlignment="1">
      <alignment horizontal="center" vertical="center"/>
    </xf>
    <xf numFmtId="165" fontId="111" fillId="2" borderId="46" xfId="0" applyNumberFormat="1" applyFont="1" applyFill="1" applyBorder="1" applyAlignment="1">
      <alignment horizontal="center" vertical="center"/>
    </xf>
    <xf numFmtId="4" fontId="116" fillId="2" borderId="45" xfId="1" applyNumberFormat="1" applyFont="1" applyFill="1" applyBorder="1" applyAlignment="1">
      <alignment horizontal="center" vertical="center"/>
    </xf>
    <xf numFmtId="4" fontId="116" fillId="2" borderId="12" xfId="1" applyNumberFormat="1" applyFont="1" applyFill="1" applyBorder="1" applyAlignment="1">
      <alignment horizontal="center" vertical="center"/>
    </xf>
    <xf numFmtId="165" fontId="116" fillId="2" borderId="46" xfId="0" applyNumberFormat="1" applyFont="1" applyFill="1" applyBorder="1" applyAlignment="1">
      <alignment horizontal="center" vertical="center"/>
    </xf>
    <xf numFmtId="165" fontId="121" fillId="2" borderId="0" xfId="0" applyNumberFormat="1" applyFont="1" applyFill="1" applyAlignment="1">
      <alignment horizontal="center" vertical="center"/>
    </xf>
    <xf numFmtId="10" fontId="111" fillId="2" borderId="43" xfId="1" applyNumberFormat="1" applyFont="1" applyFill="1" applyBorder="1" applyAlignment="1">
      <alignment horizontal="center" vertical="center"/>
    </xf>
    <xf numFmtId="10" fontId="111" fillId="2" borderId="6" xfId="1" applyNumberFormat="1" applyFont="1" applyFill="1" applyBorder="1" applyAlignment="1">
      <alignment horizontal="center" vertical="center"/>
    </xf>
    <xf numFmtId="10" fontId="116" fillId="2" borderId="43" xfId="1" applyNumberFormat="1" applyFont="1" applyFill="1" applyBorder="1" applyAlignment="1">
      <alignment horizontal="center" vertical="center"/>
    </xf>
    <xf numFmtId="10" fontId="116" fillId="2" borderId="11" xfId="1" applyNumberFormat="1" applyFont="1" applyFill="1" applyBorder="1" applyAlignment="1">
      <alignment horizontal="center" vertical="center"/>
    </xf>
    <xf numFmtId="165" fontId="111" fillId="2" borderId="45" xfId="0" applyNumberFormat="1" applyFont="1" applyFill="1" applyBorder="1" applyAlignment="1">
      <alignment horizontal="center" vertical="center"/>
    </xf>
    <xf numFmtId="10" fontId="111" fillId="2" borderId="45" xfId="1" applyNumberFormat="1" applyFont="1" applyFill="1" applyBorder="1" applyAlignment="1">
      <alignment horizontal="center" vertical="center"/>
    </xf>
    <xf numFmtId="10" fontId="111" fillId="2" borderId="4" xfId="1" applyNumberFormat="1" applyFont="1" applyFill="1" applyBorder="1" applyAlignment="1">
      <alignment horizontal="center" vertical="center"/>
    </xf>
    <xf numFmtId="10" fontId="116" fillId="2" borderId="45" xfId="1" applyNumberFormat="1" applyFont="1" applyFill="1" applyBorder="1" applyAlignment="1">
      <alignment horizontal="center" vertical="center"/>
    </xf>
    <xf numFmtId="10" fontId="116" fillId="2" borderId="12" xfId="1" applyNumberFormat="1" applyFont="1" applyFill="1" applyBorder="1" applyAlignment="1">
      <alignment horizontal="center" vertical="center"/>
    </xf>
    <xf numFmtId="0" fontId="119" fillId="63" borderId="0" xfId="0" applyFont="1" applyFill="1" applyAlignment="1">
      <alignment horizontal="center" vertical="center"/>
    </xf>
    <xf numFmtId="0" fontId="117" fillId="63" borderId="0" xfId="0" applyFont="1" applyFill="1" applyAlignment="1">
      <alignment horizontal="center" vertical="center"/>
    </xf>
    <xf numFmtId="2" fontId="117" fillId="63" borderId="0" xfId="0" applyNumberFormat="1" applyFont="1" applyFill="1" applyAlignment="1">
      <alignment horizontal="center" vertical="center"/>
    </xf>
    <xf numFmtId="0" fontId="115" fillId="63" borderId="0" xfId="0" applyFont="1" applyFill="1" applyAlignment="1">
      <alignment horizontal="center" vertical="center"/>
    </xf>
    <xf numFmtId="0" fontId="122" fillId="0" borderId="0" xfId="0" applyFont="1" applyAlignment="1">
      <alignment horizontal="center" vertical="center"/>
    </xf>
    <xf numFmtId="0" fontId="117" fillId="0" borderId="0" xfId="0" applyFont="1" applyAlignment="1">
      <alignment horizontal="center" vertical="center"/>
    </xf>
    <xf numFmtId="0" fontId="123" fillId="0" borderId="0" xfId="0" applyFont="1" applyAlignment="1">
      <alignment horizontal="center" vertical="center"/>
    </xf>
    <xf numFmtId="165" fontId="124" fillId="100" borderId="25" xfId="0" applyNumberFormat="1" applyFont="1" applyFill="1" applyBorder="1" applyAlignment="1">
      <alignment horizontal="center" vertical="center"/>
    </xf>
    <xf numFmtId="0" fontId="124" fillId="100" borderId="27" xfId="0" applyFont="1" applyFill="1" applyBorder="1" applyAlignment="1">
      <alignment horizontal="center" vertical="center"/>
    </xf>
    <xf numFmtId="165" fontId="124" fillId="100" borderId="27" xfId="0" applyNumberFormat="1" applyFont="1" applyFill="1" applyBorder="1" applyAlignment="1">
      <alignment horizontal="center" vertical="center"/>
    </xf>
    <xf numFmtId="165" fontId="124" fillId="100" borderId="51" xfId="0" applyNumberFormat="1" applyFont="1" applyFill="1" applyBorder="1" applyAlignment="1">
      <alignment horizontal="center" vertical="center"/>
    </xf>
    <xf numFmtId="165" fontId="124" fillId="100" borderId="26" xfId="0" applyNumberFormat="1" applyFont="1" applyFill="1" applyBorder="1" applyAlignment="1">
      <alignment horizontal="center" vertical="center"/>
    </xf>
    <xf numFmtId="165" fontId="116" fillId="100" borderId="67" xfId="0" applyNumberFormat="1" applyFont="1" applyFill="1" applyBorder="1" applyAlignment="1">
      <alignment horizontal="center" vertical="center"/>
    </xf>
    <xf numFmtId="165" fontId="116" fillId="100" borderId="68" xfId="1" applyNumberFormat="1" applyFont="1" applyFill="1" applyBorder="1" applyAlignment="1">
      <alignment horizontal="center" vertical="center"/>
    </xf>
    <xf numFmtId="165" fontId="116" fillId="100" borderId="69" xfId="0" applyNumberFormat="1" applyFont="1" applyFill="1" applyBorder="1" applyAlignment="1">
      <alignment horizontal="center" vertical="center"/>
    </xf>
    <xf numFmtId="165" fontId="116" fillId="100" borderId="20" xfId="0" applyNumberFormat="1" applyFont="1" applyFill="1" applyBorder="1" applyAlignment="1">
      <alignment horizontal="center" vertical="center"/>
    </xf>
    <xf numFmtId="165" fontId="116" fillId="100" borderId="23" xfId="0" applyNumberFormat="1" applyFont="1" applyFill="1" applyBorder="1" applyAlignment="1">
      <alignment vertical="center"/>
    </xf>
    <xf numFmtId="165" fontId="116" fillId="100" borderId="21" xfId="0" applyNumberFormat="1" applyFont="1" applyFill="1" applyBorder="1" applyAlignment="1">
      <alignment horizontal="center" vertical="center"/>
    </xf>
    <xf numFmtId="165" fontId="116" fillId="100" borderId="22" xfId="0" applyNumberFormat="1" applyFont="1" applyFill="1" applyBorder="1" applyAlignment="1">
      <alignment horizontal="center" vertical="center"/>
    </xf>
    <xf numFmtId="165" fontId="106" fillId="2" borderId="2" xfId="2" applyFont="1" applyFill="1" applyBorder="1" applyAlignment="1">
      <alignment horizontal="center"/>
    </xf>
    <xf numFmtId="44" fontId="112" fillId="100" borderId="16" xfId="9" applyFont="1" applyFill="1" applyBorder="1" applyAlignment="1">
      <alignment horizontal="right" vertical="center"/>
    </xf>
    <xf numFmtId="0" fontId="112" fillId="100" borderId="18" xfId="9" applyNumberFormat="1" applyFont="1" applyFill="1" applyBorder="1" applyAlignment="1">
      <alignment horizontal="center" vertical="center"/>
    </xf>
    <xf numFmtId="0" fontId="112" fillId="0" borderId="0" xfId="251" applyFont="1" applyAlignment="1">
      <alignment vertical="center"/>
    </xf>
    <xf numFmtId="165" fontId="111" fillId="0" borderId="0" xfId="0" applyNumberFormat="1" applyFont="1" applyAlignment="1">
      <alignment vertical="center" wrapText="1" shrinkToFit="1"/>
    </xf>
    <xf numFmtId="0" fontId="126" fillId="0" borderId="0" xfId="674" applyFont="1"/>
    <xf numFmtId="0" fontId="126" fillId="0" borderId="0" xfId="674" applyFont="1" applyAlignment="1">
      <alignment horizontal="center" vertical="center"/>
    </xf>
    <xf numFmtId="0" fontId="126" fillId="0" borderId="0" xfId="674" applyFont="1" applyAlignment="1">
      <alignment horizontal="center"/>
    </xf>
    <xf numFmtId="0" fontId="106" fillId="100" borderId="124" xfId="674" applyFont="1" applyFill="1" applyBorder="1" applyAlignment="1">
      <alignment horizontal="center" vertical="center"/>
    </xf>
    <xf numFmtId="0" fontId="115" fillId="0" borderId="0" xfId="674" applyFont="1"/>
    <xf numFmtId="0" fontId="115" fillId="0" borderId="0" xfId="674" applyFont="1" applyAlignment="1">
      <alignment horizontal="center" vertical="center"/>
    </xf>
    <xf numFmtId="0" fontId="115" fillId="0" borderId="0" xfId="674" applyFont="1" applyAlignment="1">
      <alignment horizontal="center"/>
    </xf>
    <xf numFmtId="0" fontId="106" fillId="100" borderId="124" xfId="674" applyFont="1" applyFill="1" applyBorder="1" applyAlignment="1">
      <alignment horizontal="center" vertical="center" wrapText="1"/>
    </xf>
    <xf numFmtId="0" fontId="115" fillId="0" borderId="0" xfId="674" applyFont="1" applyAlignment="1">
      <alignment horizontal="left" vertical="center"/>
    </xf>
    <xf numFmtId="0" fontId="102" fillId="0" borderId="0" xfId="674" applyFont="1" applyAlignment="1">
      <alignment horizontal="left" vertical="center"/>
    </xf>
    <xf numFmtId="0" fontId="102" fillId="0" borderId="0" xfId="674" applyFont="1" applyAlignment="1">
      <alignment horizontal="center" vertical="center"/>
    </xf>
    <xf numFmtId="0" fontId="126" fillId="0" borderId="126" xfId="674" applyFont="1" applyBorder="1"/>
    <xf numFmtId="0" fontId="126" fillId="0" borderId="2" xfId="674" applyFont="1" applyBorder="1"/>
    <xf numFmtId="0" fontId="126" fillId="0" borderId="103" xfId="674" applyFont="1" applyBorder="1"/>
    <xf numFmtId="0" fontId="126" fillId="0" borderId="14" xfId="674" applyFont="1" applyBorder="1"/>
    <xf numFmtId="0" fontId="126" fillId="0" borderId="15" xfId="674" applyFont="1" applyBorder="1" applyAlignment="1">
      <alignment horizontal="center" vertical="center"/>
    </xf>
    <xf numFmtId="0" fontId="126" fillId="0" borderId="15" xfId="674" applyFont="1" applyBorder="1"/>
    <xf numFmtId="0" fontId="126" fillId="0" borderId="15" xfId="674" applyFont="1" applyBorder="1" applyAlignment="1">
      <alignment horizontal="center"/>
    </xf>
    <xf numFmtId="0" fontId="126" fillId="0" borderId="128" xfId="674" applyFont="1" applyBorder="1"/>
    <xf numFmtId="0" fontId="102" fillId="0" borderId="103" xfId="674" applyFont="1" applyBorder="1" applyAlignment="1">
      <alignment horizontal="center" vertical="center"/>
    </xf>
    <xf numFmtId="0" fontId="126" fillId="0" borderId="129" xfId="674" applyFont="1" applyBorder="1"/>
    <xf numFmtId="0" fontId="117" fillId="0" borderId="124" xfId="272" applyFont="1" applyBorder="1" applyAlignment="1">
      <alignment horizontal="center" vertical="center"/>
    </xf>
    <xf numFmtId="0" fontId="117" fillId="0" borderId="124" xfId="272" applyFont="1" applyBorder="1" applyAlignment="1">
      <alignment vertical="center"/>
    </xf>
    <xf numFmtId="0" fontId="119" fillId="0" borderId="0" xfId="272" applyFont="1" applyAlignment="1">
      <alignment vertical="center"/>
    </xf>
    <xf numFmtId="0" fontId="119" fillId="0" borderId="0" xfId="272" applyFont="1" applyAlignment="1">
      <alignment horizontal="center" vertical="center"/>
    </xf>
    <xf numFmtId="0" fontId="126" fillId="0" borderId="130" xfId="674" applyFont="1" applyBorder="1"/>
    <xf numFmtId="0" fontId="119" fillId="0" borderId="124" xfId="272" applyFont="1" applyBorder="1" applyAlignment="1">
      <alignment horizontal="center" vertical="center"/>
    </xf>
    <xf numFmtId="0" fontId="131" fillId="61" borderId="124" xfId="272" applyFont="1" applyFill="1" applyBorder="1" applyAlignment="1">
      <alignment vertical="center"/>
    </xf>
    <xf numFmtId="0" fontId="119" fillId="61" borderId="124" xfId="272" applyFont="1" applyFill="1" applyBorder="1" applyAlignment="1">
      <alignment vertical="center"/>
    </xf>
    <xf numFmtId="0" fontId="132" fillId="61" borderId="124" xfId="272" applyFont="1" applyFill="1" applyBorder="1" applyAlignment="1">
      <alignment horizontal="center" vertical="center"/>
    </xf>
    <xf numFmtId="0" fontId="108" fillId="59" borderId="124" xfId="272" applyFont="1" applyFill="1" applyBorder="1" applyAlignment="1">
      <alignment horizontal="center" vertical="center"/>
    </xf>
    <xf numFmtId="0" fontId="132" fillId="102" borderId="124" xfId="272" applyFont="1" applyFill="1" applyBorder="1" applyAlignment="1">
      <alignment horizontal="center" vertical="center"/>
    </xf>
    <xf numFmtId="0" fontId="119" fillId="0" borderId="124" xfId="272" applyFont="1" applyBorder="1" applyAlignment="1">
      <alignment vertical="center"/>
    </xf>
    <xf numFmtId="43" fontId="119" fillId="0" borderId="124" xfId="272" applyNumberFormat="1" applyFont="1" applyBorder="1" applyAlignment="1">
      <alignment horizontal="center" vertical="center"/>
    </xf>
    <xf numFmtId="0" fontId="131" fillId="59" borderId="124" xfId="272" applyFont="1" applyFill="1" applyBorder="1" applyAlignment="1">
      <alignment vertical="center"/>
    </xf>
    <xf numFmtId="0" fontId="119" fillId="59" borderId="124" xfId="272" applyFont="1" applyFill="1" applyBorder="1" applyAlignment="1">
      <alignment vertical="center"/>
    </xf>
    <xf numFmtId="0" fontId="110" fillId="100" borderId="124" xfId="674" applyFont="1" applyFill="1" applyBorder="1" applyAlignment="1">
      <alignment horizontal="justify" vertical="center" wrapText="1"/>
    </xf>
    <xf numFmtId="0" fontId="126" fillId="0" borderId="1" xfId="674" applyFont="1" applyBorder="1"/>
    <xf numFmtId="0" fontId="126" fillId="0" borderId="102" xfId="674" applyFont="1" applyBorder="1"/>
    <xf numFmtId="0" fontId="126" fillId="0" borderId="0" xfId="674" applyFont="1" applyAlignment="1">
      <alignment horizontal="right" indent="1"/>
    </xf>
    <xf numFmtId="0" fontId="109" fillId="0" borderId="0" xfId="674" applyFont="1"/>
    <xf numFmtId="0" fontId="131" fillId="102" borderId="124" xfId="272" applyFont="1" applyFill="1" applyBorder="1" applyAlignment="1">
      <alignment vertical="center"/>
    </xf>
    <xf numFmtId="0" fontId="119" fillId="102" borderId="124" xfId="272" applyFont="1" applyFill="1" applyBorder="1" applyAlignment="1">
      <alignment vertical="center"/>
    </xf>
    <xf numFmtId="0" fontId="126" fillId="0" borderId="112" xfId="674" applyFont="1" applyBorder="1"/>
    <xf numFmtId="0" fontId="126" fillId="0" borderId="131" xfId="674" applyFont="1" applyBorder="1"/>
    <xf numFmtId="0" fontId="136" fillId="0" borderId="2" xfId="674" applyFont="1" applyBorder="1" applyAlignment="1">
      <alignment horizontal="center" vertical="center"/>
    </xf>
    <xf numFmtId="0" fontId="136" fillId="0" borderId="0" xfId="674" applyFont="1" applyAlignment="1">
      <alignment horizontal="center" vertical="center"/>
    </xf>
    <xf numFmtId="0" fontId="136" fillId="0" borderId="103" xfId="674" applyFont="1" applyBorder="1" applyAlignment="1">
      <alignment horizontal="center" vertical="center"/>
    </xf>
    <xf numFmtId="0" fontId="108" fillId="0" borderId="2" xfId="674" applyFont="1" applyBorder="1" applyAlignment="1">
      <alignment horizontal="center" vertical="center"/>
    </xf>
    <xf numFmtId="0" fontId="108" fillId="0" borderId="0" xfId="674" applyFont="1" applyAlignment="1">
      <alignment horizontal="center" vertical="center"/>
    </xf>
    <xf numFmtId="0" fontId="108" fillId="0" borderId="103" xfId="674" applyFont="1" applyBorder="1" applyAlignment="1">
      <alignment horizontal="center" vertical="center"/>
    </xf>
    <xf numFmtId="0" fontId="138" fillId="0" borderId="2" xfId="674" applyFont="1" applyBorder="1" applyAlignment="1">
      <alignment horizontal="center" vertical="center"/>
    </xf>
    <xf numFmtId="0" fontId="138" fillId="0" borderId="0" xfId="674" applyFont="1" applyAlignment="1">
      <alignment horizontal="center" vertical="center"/>
    </xf>
    <xf numFmtId="0" fontId="138" fillId="0" borderId="103" xfId="674" applyFont="1" applyBorder="1" applyAlignment="1">
      <alignment horizontal="center" vertical="center"/>
    </xf>
    <xf numFmtId="0" fontId="126" fillId="0" borderId="0" xfId="674" applyFont="1" applyAlignment="1">
      <alignment horizontal="right"/>
    </xf>
    <xf numFmtId="43" fontId="126" fillId="0" borderId="126" xfId="675" applyFont="1" applyBorder="1" applyAlignment="1" applyProtection="1">
      <alignment horizontal="center" vertical="center"/>
      <protection locked="0"/>
    </xf>
    <xf numFmtId="0" fontId="126" fillId="0" borderId="102" xfId="674" applyFont="1" applyBorder="1" applyAlignment="1">
      <alignment horizontal="center" vertical="center"/>
    </xf>
    <xf numFmtId="0" fontId="126" fillId="0" borderId="126" xfId="674" applyFont="1" applyBorder="1" applyAlignment="1">
      <alignment horizontal="left" vertical="center"/>
    </xf>
    <xf numFmtId="0" fontId="121" fillId="103" borderId="126" xfId="674" applyFont="1" applyFill="1" applyBorder="1" applyAlignment="1">
      <alignment horizontal="center" vertical="center"/>
    </xf>
    <xf numFmtId="0" fontId="126" fillId="0" borderId="126" xfId="674" applyFont="1" applyBorder="1" applyAlignment="1">
      <alignment horizontal="right" indent="1"/>
    </xf>
    <xf numFmtId="0" fontId="126" fillId="0" borderId="126" xfId="674" applyFont="1" applyBorder="1" applyAlignment="1">
      <alignment horizontal="center" vertical="center"/>
    </xf>
    <xf numFmtId="0" fontId="108" fillId="0" borderId="126" xfId="674" applyFont="1" applyBorder="1" applyAlignment="1">
      <alignment horizontal="center" vertical="center"/>
    </xf>
    <xf numFmtId="0" fontId="126" fillId="0" borderId="126" xfId="674" applyFont="1" applyBorder="1" applyAlignment="1" applyProtection="1">
      <alignment horizontal="center" vertical="top" wrapText="1"/>
      <protection locked="0"/>
    </xf>
    <xf numFmtId="0" fontId="130" fillId="0" borderId="0" xfId="674" applyFont="1" applyAlignment="1">
      <alignment horizontal="center"/>
    </xf>
    <xf numFmtId="0" fontId="129" fillId="0" borderId="124" xfId="674" applyFont="1" applyBorder="1" applyAlignment="1" applyProtection="1">
      <alignment horizontal="center" vertical="center"/>
      <protection locked="0"/>
    </xf>
    <xf numFmtId="0" fontId="128" fillId="0" borderId="0" xfId="674" applyFont="1" applyAlignment="1">
      <alignment vertical="top"/>
    </xf>
    <xf numFmtId="0" fontId="130" fillId="0" borderId="0" xfId="674" applyFont="1" applyAlignment="1">
      <alignment vertical="center"/>
    </xf>
    <xf numFmtId="0" fontId="129" fillId="0" borderId="0" xfId="674" applyFont="1" applyAlignment="1">
      <alignment vertical="center"/>
    </xf>
    <xf numFmtId="0" fontId="139" fillId="0" borderId="0" xfId="674" applyFont="1" applyAlignment="1">
      <alignment horizontal="center" vertical="center"/>
    </xf>
    <xf numFmtId="0" fontId="126" fillId="0" borderId="0" xfId="674" applyFont="1" applyAlignment="1">
      <alignment vertical="center"/>
    </xf>
    <xf numFmtId="2" fontId="117" fillId="0" borderId="0" xfId="0" applyNumberFormat="1" applyFont="1" applyAlignment="1">
      <alignment horizontal="center" vertical="center"/>
    </xf>
    <xf numFmtId="165" fontId="116" fillId="100" borderId="47" xfId="0" applyNumberFormat="1" applyFont="1" applyFill="1" applyBorder="1" applyAlignment="1">
      <alignment horizontal="center" vertical="center"/>
    </xf>
    <xf numFmtId="165" fontId="116" fillId="100" borderId="10" xfId="0" applyNumberFormat="1" applyFont="1" applyFill="1" applyBorder="1" applyAlignment="1">
      <alignment horizontal="center" vertical="center"/>
    </xf>
    <xf numFmtId="43" fontId="116" fillId="100" borderId="73" xfId="0" applyNumberFormat="1" applyFont="1" applyFill="1" applyBorder="1" applyAlignment="1">
      <alignment horizontal="center" vertical="center"/>
    </xf>
    <xf numFmtId="165" fontId="116" fillId="100" borderId="43" xfId="0" applyNumberFormat="1" applyFont="1" applyFill="1" applyBorder="1" applyAlignment="1">
      <alignment horizontal="left" vertical="center" indent="1"/>
    </xf>
    <xf numFmtId="201" fontId="116" fillId="100" borderId="11" xfId="0" applyNumberFormat="1" applyFont="1" applyFill="1" applyBorder="1" applyAlignment="1">
      <alignment horizontal="left" vertical="center"/>
    </xf>
    <xf numFmtId="165" fontId="116" fillId="100" borderId="43" xfId="0" applyNumberFormat="1" applyFont="1" applyFill="1" applyBorder="1" applyAlignment="1">
      <alignment horizontal="center" vertical="center"/>
    </xf>
    <xf numFmtId="165" fontId="116" fillId="100" borderId="11" xfId="0" applyNumberFormat="1" applyFont="1" applyFill="1" applyBorder="1" applyAlignment="1">
      <alignment horizontal="center" vertical="center"/>
    </xf>
    <xf numFmtId="165" fontId="116" fillId="100" borderId="52" xfId="0" applyNumberFormat="1" applyFont="1" applyFill="1" applyBorder="1" applyAlignment="1">
      <alignment horizontal="center" vertical="center"/>
    </xf>
    <xf numFmtId="165" fontId="116" fillId="100" borderId="75" xfId="0" applyNumberFormat="1" applyFont="1" applyFill="1" applyBorder="1" applyAlignment="1">
      <alignment horizontal="center" vertical="center"/>
    </xf>
    <xf numFmtId="44" fontId="130" fillId="59" borderId="0" xfId="251" applyNumberFormat="1" applyFont="1" applyFill="1" applyAlignment="1">
      <alignment horizontal="left" vertical="center"/>
    </xf>
    <xf numFmtId="165" fontId="110" fillId="0" borderId="0" xfId="2" applyFont="1" applyAlignment="1">
      <alignment horizontal="left" vertical="center" wrapText="1"/>
    </xf>
    <xf numFmtId="0" fontId="119" fillId="0" borderId="0" xfId="251" applyFont="1"/>
    <xf numFmtId="0" fontId="144" fillId="59" borderId="0" xfId="251" applyFont="1" applyFill="1" applyAlignment="1">
      <alignment horizontal="center" vertical="center"/>
    </xf>
    <xf numFmtId="44" fontId="144" fillId="59" borderId="0" xfId="251" applyNumberFormat="1" applyFont="1" applyFill="1" applyAlignment="1">
      <alignment horizontal="center" vertical="center"/>
    </xf>
    <xf numFmtId="0" fontId="119" fillId="2" borderId="0" xfId="251" applyFont="1" applyFill="1"/>
    <xf numFmtId="44" fontId="119" fillId="0" borderId="0" xfId="9" applyFont="1"/>
    <xf numFmtId="9" fontId="119" fillId="0" borderId="0" xfId="1" applyFont="1"/>
    <xf numFmtId="0" fontId="119" fillId="0" borderId="0" xfId="251" applyFont="1" applyAlignment="1">
      <alignment horizontal="center"/>
    </xf>
    <xf numFmtId="0" fontId="147" fillId="98" borderId="14" xfId="251" applyFont="1" applyFill="1" applyBorder="1" applyAlignment="1">
      <alignment horizontal="center" wrapText="1"/>
    </xf>
    <xf numFmtId="0" fontId="147" fillId="98" borderId="110" xfId="251" applyFont="1" applyFill="1" applyBorder="1" applyAlignment="1">
      <alignment horizontal="center" wrapText="1"/>
    </xf>
    <xf numFmtId="0" fontId="147" fillId="98" borderId="111" xfId="251" applyFont="1" applyFill="1" applyBorder="1" applyAlignment="1">
      <alignment horizontal="center" wrapText="1"/>
    </xf>
    <xf numFmtId="0" fontId="147" fillId="98" borderId="74" xfId="251" applyFont="1" applyFill="1" applyBorder="1" applyAlignment="1">
      <alignment horizontal="center" wrapText="1"/>
    </xf>
    <xf numFmtId="0" fontId="147" fillId="98" borderId="112" xfId="251" applyFont="1" applyFill="1" applyBorder="1" applyAlignment="1">
      <alignment vertical="center" wrapText="1"/>
    </xf>
    <xf numFmtId="0" fontId="147" fillId="98" borderId="113" xfId="251" applyFont="1" applyFill="1" applyBorder="1" applyAlignment="1">
      <alignment vertical="center" wrapText="1"/>
    </xf>
    <xf numFmtId="0" fontId="147" fillId="98" borderId="114" xfId="251" applyFont="1" applyFill="1" applyBorder="1" applyAlignment="1">
      <alignment vertical="center" wrapText="1"/>
    </xf>
    <xf numFmtId="0" fontId="147" fillId="98" borderId="115" xfId="251" applyFont="1" applyFill="1" applyBorder="1" applyAlignment="1">
      <alignment vertical="center" wrapText="1"/>
    </xf>
    <xf numFmtId="0" fontId="142" fillId="98" borderId="25" xfId="251" applyFont="1" applyFill="1" applyBorder="1" applyAlignment="1">
      <alignment horizontal="center" vertical="center"/>
    </xf>
    <xf numFmtId="4" fontId="142" fillId="98" borderId="27" xfId="0" applyNumberFormat="1" applyFont="1" applyFill="1" applyBorder="1" applyAlignment="1">
      <alignment horizontal="center" vertical="center"/>
    </xf>
    <xf numFmtId="4" fontId="142" fillId="98" borderId="26" xfId="0" applyNumberFormat="1" applyFont="1" applyFill="1" applyBorder="1" applyAlignment="1">
      <alignment horizontal="center" vertical="center"/>
    </xf>
    <xf numFmtId="10" fontId="115" fillId="56" borderId="0" xfId="358" applyNumberFormat="1" applyFont="1" applyFill="1" applyBorder="1" applyAlignment="1" applyProtection="1">
      <alignment vertical="center"/>
    </xf>
    <xf numFmtId="0" fontId="148" fillId="2" borderId="0" xfId="251" applyFont="1" applyFill="1" applyAlignment="1">
      <alignment horizontal="left" vertical="center"/>
    </xf>
    <xf numFmtId="0" fontId="148" fillId="2" borderId="0" xfId="251" applyFont="1" applyFill="1"/>
    <xf numFmtId="0" fontId="148" fillId="57" borderId="0" xfId="251" applyFont="1" applyFill="1"/>
    <xf numFmtId="0" fontId="148" fillId="55" borderId="0" xfId="251" applyFont="1" applyFill="1"/>
    <xf numFmtId="0" fontId="149" fillId="55" borderId="0" xfId="251" applyFont="1" applyFill="1"/>
    <xf numFmtId="0" fontId="148" fillId="0" borderId="0" xfId="251" applyFont="1"/>
    <xf numFmtId="0" fontId="148" fillId="0" borderId="0" xfId="251" applyFont="1" applyAlignment="1">
      <alignment horizontal="center"/>
    </xf>
    <xf numFmtId="0" fontId="119" fillId="2" borderId="1" xfId="251" applyFont="1" applyFill="1" applyBorder="1" applyAlignment="1">
      <alignment vertical="center" wrapText="1"/>
    </xf>
    <xf numFmtId="0" fontId="119" fillId="2" borderId="102" xfId="251" applyFont="1" applyFill="1" applyBorder="1" applyAlignment="1">
      <alignment horizontal="left" vertical="center" wrapText="1"/>
    </xf>
    <xf numFmtId="0" fontId="119" fillId="2" borderId="1" xfId="251" applyFont="1" applyFill="1" applyBorder="1" applyAlignment="1">
      <alignment horizontal="right" vertical="center"/>
    </xf>
    <xf numFmtId="10" fontId="145" fillId="98" borderId="132" xfId="358" applyNumberFormat="1" applyFont="1" applyFill="1" applyBorder="1" applyAlignment="1" applyProtection="1">
      <alignment horizontal="center" vertical="center"/>
    </xf>
    <xf numFmtId="9" fontId="148" fillId="0" borderId="0" xfId="358" applyFont="1" applyFill="1" applyBorder="1" applyAlignment="1" applyProtection="1">
      <alignment horizontal="left" vertical="center"/>
    </xf>
    <xf numFmtId="0" fontId="148" fillId="55" borderId="0" xfId="251" applyFont="1" applyFill="1" applyAlignment="1">
      <alignment horizontal="center" vertical="center"/>
    </xf>
    <xf numFmtId="198" fontId="148" fillId="57" borderId="0" xfId="522" applyNumberFormat="1" applyFont="1" applyFill="1" applyBorder="1" applyAlignment="1" applyProtection="1"/>
    <xf numFmtId="10" fontId="148" fillId="55" borderId="0" xfId="358" applyNumberFormat="1" applyFont="1" applyFill="1" applyBorder="1" applyAlignment="1" applyProtection="1"/>
    <xf numFmtId="49" fontId="148" fillId="57" borderId="0" xfId="522" applyNumberFormat="1" applyFont="1" applyFill="1" applyBorder="1" applyAlignment="1" applyProtection="1">
      <alignment vertical="center"/>
    </xf>
    <xf numFmtId="0" fontId="148" fillId="57" borderId="0" xfId="251" applyFont="1" applyFill="1" applyAlignment="1">
      <alignment vertical="center"/>
    </xf>
    <xf numFmtId="0" fontId="148" fillId="55" borderId="0" xfId="251" applyFont="1" applyFill="1" applyAlignment="1">
      <alignment vertical="center"/>
    </xf>
    <xf numFmtId="10" fontId="148" fillId="57" borderId="0" xfId="358" applyNumberFormat="1" applyFont="1" applyFill="1" applyBorder="1" applyAlignment="1" applyProtection="1"/>
    <xf numFmtId="0" fontId="148" fillId="60" borderId="0" xfId="251" applyFont="1" applyFill="1" applyAlignment="1">
      <alignment vertical="center" wrapText="1"/>
    </xf>
    <xf numFmtId="0" fontId="119" fillId="2" borderId="0" xfId="251" applyFont="1" applyFill="1" applyAlignment="1">
      <alignment horizontal="left" vertical="center"/>
    </xf>
    <xf numFmtId="0" fontId="119" fillId="0" borderId="0" xfId="251" applyFont="1" applyAlignment="1">
      <alignment horizontal="left" vertical="center"/>
    </xf>
    <xf numFmtId="2" fontId="144" fillId="2" borderId="0" xfId="251" applyNumberFormat="1" applyFont="1" applyFill="1" applyAlignment="1">
      <alignment horizontal="center" vertical="center"/>
    </xf>
    <xf numFmtId="0" fontId="148" fillId="0" borderId="0" xfId="251" applyFont="1" applyAlignment="1">
      <alignment horizontal="left" vertical="center"/>
    </xf>
    <xf numFmtId="0" fontId="116" fillId="63" borderId="0" xfId="251" applyFont="1" applyFill="1" applyAlignment="1">
      <alignment horizontal="center" vertical="center"/>
    </xf>
    <xf numFmtId="0" fontId="151" fillId="0" borderId="0" xfId="251" applyFont="1"/>
    <xf numFmtId="44" fontId="116" fillId="63" borderId="0" xfId="9" applyFont="1" applyFill="1" applyAlignment="1">
      <alignment horizontal="center" vertical="center"/>
    </xf>
    <xf numFmtId="2" fontId="116" fillId="63" borderId="0" xfId="251" applyNumberFormat="1" applyFont="1" applyFill="1" applyAlignment="1">
      <alignment horizontal="center" vertical="center"/>
    </xf>
    <xf numFmtId="10" fontId="117" fillId="58" borderId="132" xfId="358" applyNumberFormat="1" applyFont="1" applyFill="1" applyBorder="1" applyAlignment="1" applyProtection="1">
      <alignment horizontal="center" vertical="center"/>
    </xf>
    <xf numFmtId="0" fontId="152" fillId="0" borderId="0" xfId="251" applyFont="1" applyAlignment="1">
      <alignment vertical="center"/>
    </xf>
    <xf numFmtId="0" fontId="111" fillId="0" borderId="0" xfId="251" applyFont="1"/>
    <xf numFmtId="0" fontId="151" fillId="0" borderId="0" xfId="251" applyFont="1" applyAlignment="1">
      <alignment horizontal="left" vertical="center"/>
    </xf>
    <xf numFmtId="0" fontId="151" fillId="0" borderId="0" xfId="251" applyFont="1" applyAlignment="1">
      <alignment horizontal="center"/>
    </xf>
    <xf numFmtId="0" fontId="111" fillId="0" borderId="0" xfId="251" applyFont="1" applyAlignment="1">
      <alignment vertical="center"/>
    </xf>
    <xf numFmtId="0" fontId="151" fillId="0" borderId="0" xfId="251" applyFont="1" applyAlignment="1">
      <alignment vertical="center"/>
    </xf>
    <xf numFmtId="0" fontId="151" fillId="54" borderId="0" xfId="251" applyFont="1" applyFill="1" applyAlignment="1">
      <alignment vertical="center"/>
    </xf>
    <xf numFmtId="167" fontId="151" fillId="0" borderId="0" xfId="358" applyNumberFormat="1" applyFont="1" applyFill="1" applyBorder="1" applyAlignment="1" applyProtection="1">
      <alignment vertical="center"/>
    </xf>
    <xf numFmtId="9" fontId="151" fillId="0" borderId="0" xfId="358" applyFont="1" applyFill="1" applyBorder="1" applyAlignment="1" applyProtection="1">
      <alignment vertical="center"/>
    </xf>
    <xf numFmtId="0" fontId="146" fillId="0" borderId="0" xfId="251" applyFont="1" applyAlignment="1">
      <alignment vertical="center"/>
    </xf>
    <xf numFmtId="0" fontId="146" fillId="0" borderId="0" xfId="251" applyFont="1" applyAlignment="1">
      <alignment horizontal="left" vertical="center"/>
    </xf>
    <xf numFmtId="0" fontId="153" fillId="54" borderId="0" xfId="251" applyFont="1" applyFill="1" applyAlignment="1">
      <alignment vertical="center"/>
    </xf>
    <xf numFmtId="10" fontId="146" fillId="0" borderId="0" xfId="358" applyNumberFormat="1" applyFont="1" applyFill="1" applyBorder="1" applyAlignment="1" applyProtection="1">
      <alignment vertical="center"/>
    </xf>
    <xf numFmtId="10" fontId="111" fillId="0" borderId="13" xfId="358" applyNumberFormat="1" applyFont="1" applyFill="1" applyBorder="1" applyAlignment="1" applyProtection="1">
      <alignment horizontal="center" vertical="center"/>
    </xf>
    <xf numFmtId="10" fontId="116" fillId="108" borderId="13" xfId="358" applyNumberFormat="1" applyFont="1" applyFill="1" applyBorder="1" applyAlignment="1" applyProtection="1">
      <alignment horizontal="center" vertical="center"/>
    </xf>
    <xf numFmtId="10" fontId="107" fillId="105" borderId="124" xfId="358" applyNumberFormat="1" applyFont="1" applyFill="1" applyBorder="1" applyAlignment="1" applyProtection="1">
      <alignment horizontal="center" vertical="center"/>
    </xf>
    <xf numFmtId="10" fontId="116" fillId="108" borderId="124" xfId="358" applyNumberFormat="1" applyFont="1" applyFill="1" applyBorder="1" applyAlignment="1" applyProtection="1">
      <alignment horizontal="center" vertical="center"/>
    </xf>
    <xf numFmtId="0" fontId="111" fillId="0" borderId="134" xfId="251" applyFont="1" applyBorder="1" applyAlignment="1">
      <alignment horizontal="center" vertical="center"/>
    </xf>
    <xf numFmtId="0" fontId="111" fillId="0" borderId="135" xfId="251" applyFont="1" applyBorder="1" applyAlignment="1">
      <alignment horizontal="left" vertical="center"/>
    </xf>
    <xf numFmtId="10" fontId="111" fillId="0" borderId="136" xfId="358" applyNumberFormat="1" applyFont="1" applyFill="1" applyBorder="1" applyAlignment="1" applyProtection="1">
      <alignment horizontal="center" vertical="center"/>
    </xf>
    <xf numFmtId="0" fontId="111" fillId="0" borderId="5" xfId="251" applyFont="1" applyBorder="1" applyAlignment="1">
      <alignment horizontal="center" vertical="center"/>
    </xf>
    <xf numFmtId="0" fontId="111" fillId="0" borderId="7" xfId="251" applyFont="1" applyBorder="1" applyAlignment="1">
      <alignment horizontal="left" vertical="center"/>
    </xf>
    <xf numFmtId="10" fontId="111" fillId="0" borderId="11" xfId="358" applyNumberFormat="1" applyFont="1" applyFill="1" applyBorder="1" applyAlignment="1" applyProtection="1">
      <alignment horizontal="center" vertical="center"/>
    </xf>
    <xf numFmtId="0" fontId="111" fillId="0" borderId="8" xfId="251" applyFont="1" applyBorder="1" applyAlignment="1">
      <alignment horizontal="center" vertical="center"/>
    </xf>
    <xf numFmtId="0" fontId="111" fillId="0" borderId="3" xfId="251" applyFont="1" applyBorder="1" applyAlignment="1">
      <alignment horizontal="left" vertical="center"/>
    </xf>
    <xf numFmtId="10" fontId="111" fillId="0" borderId="12" xfId="358" applyNumberFormat="1" applyFont="1" applyFill="1" applyBorder="1" applyAlignment="1" applyProtection="1">
      <alignment horizontal="center" vertical="center"/>
    </xf>
    <xf numFmtId="10" fontId="116" fillId="0" borderId="12" xfId="358" applyNumberFormat="1" applyFont="1" applyFill="1" applyBorder="1" applyAlignment="1" applyProtection="1">
      <alignment horizontal="center" vertical="center"/>
    </xf>
    <xf numFmtId="10" fontId="107" fillId="106" borderId="132" xfId="358" applyNumberFormat="1" applyFont="1" applyFill="1" applyBorder="1" applyAlignment="1" applyProtection="1">
      <alignment horizontal="center" vertical="center"/>
    </xf>
    <xf numFmtId="10" fontId="117" fillId="107" borderId="124" xfId="358" applyNumberFormat="1" applyFont="1" applyFill="1" applyBorder="1" applyAlignment="1" applyProtection="1">
      <alignment horizontal="center" vertical="center"/>
    </xf>
    <xf numFmtId="10" fontId="117" fillId="108" borderId="124" xfId="358" applyNumberFormat="1" applyFont="1" applyFill="1" applyBorder="1" applyAlignment="1" applyProtection="1">
      <alignment horizontal="center" vertical="center"/>
    </xf>
    <xf numFmtId="0" fontId="117" fillId="2" borderId="126" xfId="251" applyFont="1" applyFill="1" applyBorder="1" applyAlignment="1">
      <alignment horizontal="left" vertical="center"/>
    </xf>
    <xf numFmtId="10" fontId="117" fillId="100" borderId="124" xfId="358" applyNumberFormat="1" applyFont="1" applyFill="1" applyBorder="1" applyAlignment="1" applyProtection="1">
      <alignment horizontal="center" vertical="center"/>
    </xf>
    <xf numFmtId="0" fontId="119" fillId="107" borderId="127" xfId="251" applyFont="1" applyFill="1" applyBorder="1" applyAlignment="1">
      <alignment horizontal="left" vertical="center"/>
    </xf>
    <xf numFmtId="10" fontId="117" fillId="58" borderId="124" xfId="358" applyNumberFormat="1" applyFont="1" applyFill="1" applyBorder="1" applyAlignment="1" applyProtection="1">
      <alignment horizontal="center" vertical="center"/>
    </xf>
    <xf numFmtId="0" fontId="119" fillId="2" borderId="1" xfId="251" applyFont="1" applyFill="1" applyBorder="1" applyAlignment="1">
      <alignment vertical="center"/>
    </xf>
    <xf numFmtId="0" fontId="119" fillId="2" borderId="102" xfId="251" applyFont="1" applyFill="1" applyBorder="1" applyAlignment="1">
      <alignment vertical="center"/>
    </xf>
    <xf numFmtId="0" fontId="117" fillId="0" borderId="126" xfId="251" applyFont="1" applyBorder="1" applyAlignment="1">
      <alignment horizontal="left" vertical="center"/>
    </xf>
    <xf numFmtId="10" fontId="117" fillId="0" borderId="126" xfId="358" applyNumberFormat="1" applyFont="1" applyFill="1" applyBorder="1" applyAlignment="1" applyProtection="1">
      <alignment horizontal="center" vertical="center"/>
    </xf>
    <xf numFmtId="0" fontId="111" fillId="0" borderId="0" xfId="674" applyFont="1" applyAlignment="1">
      <alignment horizontal="center"/>
    </xf>
    <xf numFmtId="0" fontId="154" fillId="0" borderId="0" xfId="674" applyFont="1" applyAlignment="1">
      <alignment horizontal="center" vertical="center"/>
    </xf>
    <xf numFmtId="0" fontId="104" fillId="0" borderId="0" xfId="674" applyFont="1" applyAlignment="1" applyProtection="1">
      <alignment horizontal="right" vertical="center"/>
      <protection locked="0"/>
    </xf>
    <xf numFmtId="14" fontId="104" fillId="0" borderId="0" xfId="674" applyNumberFormat="1" applyFont="1" applyAlignment="1" applyProtection="1">
      <alignment horizontal="left" vertical="center"/>
      <protection locked="0"/>
    </xf>
    <xf numFmtId="0" fontId="104" fillId="0" borderId="0" xfId="674" applyFont="1" applyAlignment="1" applyProtection="1">
      <alignment horizontal="left" vertical="center"/>
      <protection locked="0"/>
    </xf>
    <xf numFmtId="0" fontId="106" fillId="100" borderId="138" xfId="674" applyFont="1" applyFill="1" applyBorder="1" applyAlignment="1" applyProtection="1">
      <alignment horizontal="center" vertical="center"/>
      <protection locked="0"/>
    </xf>
    <xf numFmtId="0" fontId="106" fillId="100" borderId="21" xfId="674" applyFont="1" applyFill="1" applyBorder="1" applyAlignment="1">
      <alignment horizontal="center" vertical="center"/>
    </xf>
    <xf numFmtId="0" fontId="106" fillId="100" borderId="129" xfId="674" applyFont="1" applyFill="1" applyBorder="1" applyAlignment="1" applyProtection="1">
      <alignment horizontal="center" vertical="center"/>
      <protection locked="0"/>
    </xf>
    <xf numFmtId="0" fontId="110" fillId="0" borderId="143" xfId="674" applyFont="1" applyBorder="1" applyAlignment="1" applyProtection="1">
      <alignment horizontal="center" vertical="center"/>
      <protection locked="0"/>
    </xf>
    <xf numFmtId="4" fontId="110" fillId="0" borderId="143" xfId="674" applyNumberFormat="1" applyFont="1" applyBorder="1" applyAlignment="1" applyProtection="1">
      <alignment horizontal="center" vertical="center"/>
      <protection locked="0"/>
    </xf>
    <xf numFmtId="0" fontId="110" fillId="0" borderId="143" xfId="674" applyFont="1" applyBorder="1" applyAlignment="1" applyProtection="1">
      <alignment horizontal="center" vertical="center" wrapText="1"/>
      <protection locked="0"/>
    </xf>
    <xf numFmtId="3" fontId="110" fillId="0" borderId="143" xfId="674" applyNumberFormat="1" applyFont="1" applyBorder="1" applyAlignment="1" applyProtection="1">
      <alignment horizontal="center" vertical="center"/>
      <protection locked="0"/>
    </xf>
    <xf numFmtId="0" fontId="110" fillId="0" borderId="143" xfId="674" applyFont="1" applyBorder="1" applyAlignment="1">
      <alignment horizontal="center" vertical="center" wrapText="1"/>
    </xf>
    <xf numFmtId="43" fontId="116" fillId="0" borderId="143" xfId="1162" applyFont="1" applyBorder="1" applyAlignment="1" applyProtection="1">
      <alignment horizontal="center" vertical="center"/>
      <protection locked="0"/>
    </xf>
    <xf numFmtId="0" fontId="109" fillId="0" borderId="143" xfId="674" applyFont="1" applyBorder="1" applyAlignment="1">
      <alignment horizontal="center" vertical="center"/>
    </xf>
    <xf numFmtId="10" fontId="109" fillId="0" borderId="143" xfId="369" applyNumberFormat="1" applyFont="1" applyBorder="1" applyAlignment="1" applyProtection="1">
      <alignment horizontal="center" vertical="center"/>
      <protection locked="0"/>
    </xf>
    <xf numFmtId="43" fontId="109" fillId="0" borderId="143" xfId="1162" applyFont="1" applyBorder="1" applyAlignment="1" applyProtection="1">
      <alignment horizontal="center" vertical="center"/>
      <protection locked="0"/>
    </xf>
    <xf numFmtId="0" fontId="126" fillId="0" borderId="146" xfId="674" applyFont="1" applyBorder="1"/>
    <xf numFmtId="0" fontId="130" fillId="2" borderId="137" xfId="674" applyFont="1" applyFill="1" applyBorder="1" applyAlignment="1">
      <alignment vertical="center"/>
    </xf>
    <xf numFmtId="0" fontId="110" fillId="2" borderId="137" xfId="674" applyFont="1" applyFill="1" applyBorder="1" applyAlignment="1">
      <alignment horizontal="center" vertical="center"/>
    </xf>
    <xf numFmtId="0" fontId="108" fillId="2" borderId="137" xfId="674" applyFont="1" applyFill="1" applyBorder="1" applyAlignment="1">
      <alignment vertical="center"/>
    </xf>
    <xf numFmtId="0" fontId="126" fillId="0" borderId="148" xfId="674" applyFont="1" applyBorder="1"/>
    <xf numFmtId="0" fontId="102" fillId="0" borderId="123" xfId="674" applyFont="1" applyBorder="1" applyAlignment="1">
      <alignment horizontal="center" vertical="center"/>
    </xf>
    <xf numFmtId="2" fontId="110" fillId="0" borderId="124" xfId="675" applyNumberFormat="1" applyFont="1" applyBorder="1" applyAlignment="1" applyProtection="1">
      <alignment horizontal="center" vertical="center"/>
      <protection locked="0"/>
    </xf>
    <xf numFmtId="0" fontId="109" fillId="0" borderId="129" xfId="674" applyFont="1" applyBorder="1" applyAlignment="1">
      <alignment horizontal="left" vertical="center"/>
    </xf>
    <xf numFmtId="0" fontId="109" fillId="0" borderId="103" xfId="674" applyFont="1" applyBorder="1" applyAlignment="1">
      <alignment horizontal="left" vertical="center"/>
    </xf>
    <xf numFmtId="0" fontId="126" fillId="0" borderId="19" xfId="674" applyFont="1" applyBorder="1" applyAlignment="1">
      <alignment horizontal="center" vertical="center"/>
    </xf>
    <xf numFmtId="0" fontId="126" fillId="0" borderId="19" xfId="674" applyFont="1" applyBorder="1"/>
    <xf numFmtId="0" fontId="126" fillId="0" borderId="19" xfId="674" applyFont="1" applyBorder="1" applyAlignment="1">
      <alignment horizontal="center"/>
    </xf>
    <xf numFmtId="0" fontId="109" fillId="0" borderId="129" xfId="674" applyFont="1" applyBorder="1" applyAlignment="1">
      <alignment vertical="center"/>
    </xf>
    <xf numFmtId="0" fontId="109" fillId="0" borderId="103" xfId="674" applyFont="1" applyBorder="1" applyAlignment="1">
      <alignment vertical="center"/>
    </xf>
    <xf numFmtId="0" fontId="126" fillId="0" borderId="145" xfId="674" applyFont="1" applyBorder="1" applyAlignment="1">
      <alignment horizontal="left" vertical="center"/>
    </xf>
    <xf numFmtId="0" fontId="126" fillId="0" borderId="146" xfId="674" applyFont="1" applyBorder="1" applyAlignment="1" applyProtection="1">
      <alignment horizontal="center" vertical="top" wrapText="1"/>
      <protection locked="0"/>
    </xf>
    <xf numFmtId="0" fontId="130" fillId="0" borderId="130" xfId="674" applyFont="1" applyBorder="1" applyAlignment="1">
      <alignment horizontal="center"/>
    </xf>
    <xf numFmtId="0" fontId="126" fillId="0" borderId="130" xfId="674" applyFont="1" applyBorder="1" applyAlignment="1">
      <alignment horizontal="right"/>
    </xf>
    <xf numFmtId="0" fontId="128" fillId="0" borderId="129" xfId="674" applyFont="1" applyBorder="1" applyAlignment="1">
      <alignment vertical="top"/>
    </xf>
    <xf numFmtId="0" fontId="126" fillId="0" borderId="19" xfId="674" applyFont="1" applyBorder="1" applyAlignment="1">
      <alignment horizontal="right"/>
    </xf>
    <xf numFmtId="0" fontId="126" fillId="0" borderId="131" xfId="674" applyFont="1" applyBorder="1" applyAlignment="1">
      <alignment horizontal="right"/>
    </xf>
    <xf numFmtId="0" fontId="106" fillId="100" borderId="140" xfId="674" applyFont="1" applyFill="1" applyBorder="1" applyAlignment="1" applyProtection="1">
      <alignment horizontal="right" vertical="center"/>
      <protection locked="0"/>
    </xf>
    <xf numFmtId="0" fontId="97" fillId="0" borderId="52" xfId="4" applyFont="1" applyBorder="1" applyAlignment="1">
      <alignment horizontal="left" vertical="center"/>
    </xf>
    <xf numFmtId="165" fontId="97" fillId="0" borderId="75" xfId="2" applyFont="1" applyBorder="1" applyAlignment="1">
      <alignment horizontal="center" vertical="center"/>
    </xf>
    <xf numFmtId="165" fontId="97" fillId="0" borderId="56" xfId="2" applyFont="1" applyBorder="1" applyAlignment="1">
      <alignment horizontal="center" vertical="center"/>
    </xf>
    <xf numFmtId="1" fontId="97" fillId="3" borderId="52" xfId="2" applyNumberFormat="1" applyFont="1" applyFill="1" applyBorder="1" applyAlignment="1">
      <alignment horizontal="center" vertical="center"/>
    </xf>
    <xf numFmtId="0" fontId="106" fillId="0" borderId="124" xfId="674" applyFont="1" applyBorder="1" applyAlignment="1">
      <alignment horizontal="center" vertical="center"/>
    </xf>
    <xf numFmtId="0" fontId="104" fillId="100" borderId="154" xfId="674" applyFont="1" applyFill="1" applyBorder="1" applyAlignment="1" applyProtection="1">
      <alignment horizontal="right" vertical="center"/>
      <protection locked="0"/>
    </xf>
    <xf numFmtId="3" fontId="102" fillId="2" borderId="124" xfId="251" applyNumberFormat="1" applyFont="1" applyFill="1" applyBorder="1" applyAlignment="1">
      <alignment horizontal="center" vertical="center" wrapText="1"/>
    </xf>
    <xf numFmtId="165" fontId="102" fillId="2" borderId="124" xfId="2" applyFont="1" applyFill="1" applyBorder="1" applyAlignment="1" applyProtection="1">
      <alignment horizontal="center" vertical="center"/>
    </xf>
    <xf numFmtId="0" fontId="145" fillId="98" borderId="124" xfId="251" applyFont="1" applyFill="1" applyBorder="1" applyAlignment="1">
      <alignment horizontal="center" vertical="center" wrapText="1"/>
    </xf>
    <xf numFmtId="165" fontId="111" fillId="0" borderId="124" xfId="2" applyFont="1" applyBorder="1" applyAlignment="1">
      <alignment horizontal="center" vertical="center"/>
    </xf>
    <xf numFmtId="44" fontId="119" fillId="0" borderId="0" xfId="251" applyNumberFormat="1" applyFont="1"/>
    <xf numFmtId="10" fontId="119" fillId="0" borderId="0" xfId="251" applyNumberFormat="1" applyFont="1"/>
    <xf numFmtId="10" fontId="148" fillId="0" borderId="0" xfId="251" applyNumberFormat="1" applyFont="1" applyAlignment="1">
      <alignment horizontal="center" vertical="center"/>
    </xf>
    <xf numFmtId="44" fontId="102" fillId="0" borderId="0" xfId="251" applyNumberFormat="1" applyFont="1" applyAlignment="1">
      <alignment horizontal="left" vertical="center"/>
    </xf>
    <xf numFmtId="0" fontId="134" fillId="0" borderId="0" xfId="251" applyFont="1" applyAlignment="1" applyProtection="1">
      <alignment horizontal="center"/>
      <protection locked="0"/>
    </xf>
    <xf numFmtId="10" fontId="130" fillId="110" borderId="0" xfId="251" applyNumberFormat="1" applyFont="1" applyFill="1" applyAlignment="1">
      <alignment horizontal="center"/>
    </xf>
    <xf numFmtId="203" fontId="130" fillId="110" borderId="0" xfId="251" applyNumberFormat="1" applyFont="1" applyFill="1" applyAlignment="1">
      <alignment horizontal="center"/>
    </xf>
    <xf numFmtId="10" fontId="130" fillId="110" borderId="0" xfId="251" applyNumberFormat="1" applyFont="1" applyFill="1" applyAlignment="1">
      <alignment horizontal="center" vertical="center"/>
    </xf>
    <xf numFmtId="203" fontId="130" fillId="110" borderId="0" xfId="251" applyNumberFormat="1" applyFont="1" applyFill="1" applyAlignment="1">
      <alignment horizontal="center" vertical="center"/>
    </xf>
    <xf numFmtId="10" fontId="130" fillId="110" borderId="0" xfId="251" applyNumberFormat="1" applyFont="1" applyFill="1" applyAlignment="1" applyProtection="1">
      <alignment horizontal="center"/>
      <protection locked="0"/>
    </xf>
    <xf numFmtId="203" fontId="130" fillId="110" borderId="0" xfId="251" applyNumberFormat="1" applyFont="1" applyFill="1" applyAlignment="1" applyProtection="1">
      <alignment horizontal="center"/>
      <protection locked="0"/>
    </xf>
    <xf numFmtId="43" fontId="109" fillId="0" borderId="0" xfId="251" applyNumberFormat="1" applyFont="1" applyAlignment="1">
      <alignment horizontal="center"/>
    </xf>
    <xf numFmtId="44" fontId="156" fillId="103" borderId="0" xfId="251" applyNumberFormat="1" applyFont="1" applyFill="1" applyAlignment="1">
      <alignment horizontal="left" vertical="center"/>
    </xf>
    <xf numFmtId="203" fontId="130" fillId="104" borderId="0" xfId="251" applyNumberFormat="1" applyFont="1" applyFill="1" applyAlignment="1">
      <alignment horizontal="center"/>
    </xf>
    <xf numFmtId="4" fontId="111" fillId="0" borderId="0" xfId="251" applyNumberFormat="1" applyFont="1" applyAlignment="1">
      <alignment horizontal="center" vertical="center"/>
    </xf>
    <xf numFmtId="165" fontId="111" fillId="0" borderId="0" xfId="2" applyFont="1" applyBorder="1" applyAlignment="1">
      <alignment horizontal="center" vertical="center"/>
    </xf>
    <xf numFmtId="165" fontId="111" fillId="0" borderId="13" xfId="2" applyFont="1" applyBorder="1" applyAlignment="1">
      <alignment horizontal="center" vertical="center"/>
    </xf>
    <xf numFmtId="0" fontId="126" fillId="0" borderId="109" xfId="674" applyFont="1" applyBorder="1"/>
    <xf numFmtId="2" fontId="110" fillId="0" borderId="152" xfId="675" applyNumberFormat="1" applyFont="1" applyBorder="1" applyAlignment="1" applyProtection="1">
      <alignment horizontal="center" vertical="center"/>
      <protection locked="0"/>
    </xf>
    <xf numFmtId="0" fontId="111" fillId="2" borderId="19" xfId="0" applyFont="1" applyFill="1" applyBorder="1" applyAlignment="1">
      <alignment horizontal="right" vertical="center" wrapText="1"/>
    </xf>
    <xf numFmtId="165" fontId="111" fillId="0" borderId="156" xfId="0" applyNumberFormat="1" applyFont="1" applyBorder="1" applyAlignment="1">
      <alignment horizontal="center" vertical="center"/>
    </xf>
    <xf numFmtId="165" fontId="111" fillId="0" borderId="134" xfId="0" applyNumberFormat="1" applyFont="1" applyBorder="1" applyAlignment="1">
      <alignment vertical="center"/>
    </xf>
    <xf numFmtId="165" fontId="111" fillId="0" borderId="135" xfId="0" applyNumberFormat="1" applyFont="1" applyBorder="1" applyAlignment="1">
      <alignment vertical="center"/>
    </xf>
    <xf numFmtId="10" fontId="111" fillId="0" borderId="134" xfId="1" applyNumberFormat="1" applyFont="1" applyFill="1" applyBorder="1" applyAlignment="1">
      <alignment horizontal="center" vertical="center"/>
    </xf>
    <xf numFmtId="10" fontId="116" fillId="0" borderId="156" xfId="1" applyNumberFormat="1" applyFont="1" applyFill="1" applyBorder="1" applyAlignment="1">
      <alignment horizontal="center" vertical="center"/>
    </xf>
    <xf numFmtId="10" fontId="116" fillId="0" borderId="136" xfId="1" applyNumberFormat="1" applyFont="1" applyFill="1" applyBorder="1" applyAlignment="1">
      <alignment horizontal="right" vertical="center"/>
    </xf>
    <xf numFmtId="165" fontId="116" fillId="0" borderId="157" xfId="0" applyNumberFormat="1" applyFont="1" applyBorder="1" applyAlignment="1">
      <alignment horizontal="center" vertical="center"/>
    </xf>
    <xf numFmtId="165" fontId="111" fillId="100" borderId="158" xfId="0" applyNumberFormat="1" applyFont="1" applyFill="1" applyBorder="1" applyAlignment="1">
      <alignment horizontal="center" vertical="center"/>
    </xf>
    <xf numFmtId="165" fontId="116" fillId="100" borderId="152" xfId="0" applyNumberFormat="1" applyFont="1" applyFill="1" applyBorder="1" applyAlignment="1">
      <alignment vertical="center"/>
    </xf>
    <xf numFmtId="165" fontId="116" fillId="100" borderId="142" xfId="0" applyNumberFormat="1" applyFont="1" applyFill="1" applyBorder="1" applyAlignment="1">
      <alignment horizontal="center" vertical="center"/>
    </xf>
    <xf numFmtId="165" fontId="111" fillId="0" borderId="140" xfId="0" applyNumberFormat="1" applyFont="1" applyBorder="1" applyAlignment="1">
      <alignment horizontal="center" vertical="center"/>
    </xf>
    <xf numFmtId="165" fontId="116" fillId="100" borderId="158" xfId="0" applyNumberFormat="1" applyFont="1" applyFill="1" applyBorder="1" applyAlignment="1">
      <alignment horizontal="center" vertical="center"/>
    </xf>
    <xf numFmtId="165" fontId="111" fillId="2" borderId="156" xfId="0" applyNumberFormat="1" applyFont="1" applyFill="1" applyBorder="1" applyAlignment="1">
      <alignment horizontal="center" vertical="center"/>
    </xf>
    <xf numFmtId="165" fontId="111" fillId="2" borderId="134" xfId="0" applyNumberFormat="1" applyFont="1" applyFill="1" applyBorder="1" applyAlignment="1">
      <alignment vertical="center"/>
    </xf>
    <xf numFmtId="165" fontId="111" fillId="2" borderId="135" xfId="0" applyNumberFormat="1" applyFont="1" applyFill="1" applyBorder="1" applyAlignment="1">
      <alignment vertical="center"/>
    </xf>
    <xf numFmtId="10" fontId="111" fillId="2" borderId="134" xfId="1" applyNumberFormat="1" applyFont="1" applyFill="1" applyBorder="1" applyAlignment="1">
      <alignment horizontal="center" vertical="center"/>
    </xf>
    <xf numFmtId="4" fontId="116" fillId="2" borderId="156" xfId="1" applyNumberFormat="1" applyFont="1" applyFill="1" applyBorder="1" applyAlignment="1">
      <alignment horizontal="center" vertical="center"/>
    </xf>
    <xf numFmtId="4" fontId="116" fillId="2" borderId="136" xfId="1" applyNumberFormat="1" applyFont="1" applyFill="1" applyBorder="1" applyAlignment="1">
      <alignment horizontal="center" vertical="center"/>
    </xf>
    <xf numFmtId="165" fontId="116" fillId="2" borderId="157" xfId="0" applyNumberFormat="1" applyFont="1" applyFill="1" applyBorder="1" applyAlignment="1">
      <alignment horizontal="center" vertical="center"/>
    </xf>
    <xf numFmtId="4" fontId="116" fillId="100" borderId="142" xfId="1" applyNumberFormat="1" applyFont="1" applyFill="1" applyBorder="1" applyAlignment="1">
      <alignment horizontal="center" vertical="center"/>
    </xf>
    <xf numFmtId="165" fontId="111" fillId="0" borderId="152" xfId="0" applyNumberFormat="1" applyFont="1" applyBorder="1" applyAlignment="1">
      <alignment vertical="center"/>
    </xf>
    <xf numFmtId="0" fontId="111" fillId="0" borderId="152" xfId="0" applyFont="1" applyBorder="1" applyAlignment="1">
      <alignment horizontal="center" vertical="center"/>
    </xf>
    <xf numFmtId="10" fontId="111" fillId="0" borderId="152" xfId="1" applyNumberFormat="1" applyFont="1" applyBorder="1" applyAlignment="1">
      <alignment horizontal="center" vertical="center"/>
    </xf>
    <xf numFmtId="10" fontId="116" fillId="2" borderId="156" xfId="1" applyNumberFormat="1" applyFont="1" applyFill="1" applyBorder="1" applyAlignment="1">
      <alignment horizontal="center" vertical="center"/>
    </xf>
    <xf numFmtId="10" fontId="116" fillId="2" borderId="136" xfId="1" applyNumberFormat="1" applyFont="1" applyFill="1" applyBorder="1" applyAlignment="1">
      <alignment horizontal="center" vertical="center"/>
    </xf>
    <xf numFmtId="10" fontId="116" fillId="100" borderId="158" xfId="1" applyNumberFormat="1" applyFont="1" applyFill="1" applyBorder="1" applyAlignment="1">
      <alignment horizontal="center" vertical="center"/>
    </xf>
    <xf numFmtId="4" fontId="116" fillId="100" borderId="124" xfId="1" applyNumberFormat="1" applyFont="1" applyFill="1" applyBorder="1" applyAlignment="1">
      <alignment horizontal="center" vertical="center"/>
    </xf>
    <xf numFmtId="165" fontId="116" fillId="100" borderId="139" xfId="0" applyNumberFormat="1" applyFont="1" applyFill="1" applyBorder="1" applyAlignment="1">
      <alignment horizontal="center" vertical="center"/>
    </xf>
    <xf numFmtId="165" fontId="112" fillId="100" borderId="142" xfId="0" applyNumberFormat="1" applyFont="1" applyFill="1" applyBorder="1" applyAlignment="1">
      <alignment horizontal="center"/>
    </xf>
    <xf numFmtId="166" fontId="107" fillId="98" borderId="124" xfId="251" applyNumberFormat="1" applyFont="1" applyFill="1" applyBorder="1" applyAlignment="1">
      <alignment horizontal="center" vertical="center" wrapText="1"/>
    </xf>
    <xf numFmtId="10" fontId="107" fillId="98" borderId="124" xfId="251" applyNumberFormat="1" applyFont="1" applyFill="1" applyBorder="1" applyAlignment="1">
      <alignment horizontal="center" vertical="center" wrapText="1"/>
    </xf>
    <xf numFmtId="0" fontId="107" fillId="98" borderId="124" xfId="251" quotePrefix="1" applyFont="1" applyFill="1" applyBorder="1" applyAlignment="1">
      <alignment horizontal="center" vertical="center"/>
    </xf>
    <xf numFmtId="49" fontId="107" fillId="98" borderId="124" xfId="251" applyNumberFormat="1" applyFont="1" applyFill="1" applyBorder="1" applyAlignment="1">
      <alignment horizontal="center" vertical="center" wrapText="1"/>
    </xf>
    <xf numFmtId="3" fontId="107" fillId="98" borderId="124" xfId="251" applyNumberFormat="1" applyFont="1" applyFill="1" applyBorder="1" applyAlignment="1">
      <alignment horizontal="center" vertical="center" wrapText="1"/>
    </xf>
    <xf numFmtId="0" fontId="107" fillId="98" borderId="124" xfId="251" applyFont="1" applyFill="1" applyBorder="1" applyAlignment="1">
      <alignment horizontal="center" vertical="center"/>
    </xf>
    <xf numFmtId="4" fontId="107" fillId="98" borderId="124" xfId="251" applyNumberFormat="1" applyFont="1" applyFill="1" applyBorder="1" applyAlignment="1">
      <alignment horizontal="center" vertical="center"/>
    </xf>
    <xf numFmtId="165" fontId="102" fillId="0" borderId="124" xfId="2" applyFont="1" applyBorder="1" applyAlignment="1">
      <alignment horizontal="justify" vertical="center" wrapText="1"/>
    </xf>
    <xf numFmtId="44" fontId="112" fillId="101" borderId="124" xfId="753" applyFont="1" applyFill="1" applyBorder="1" applyAlignment="1">
      <alignment horizontal="center" vertical="center"/>
    </xf>
    <xf numFmtId="10" fontId="111" fillId="0" borderId="156" xfId="1" applyNumberFormat="1" applyFont="1" applyFill="1" applyBorder="1" applyAlignment="1">
      <alignment horizontal="center" vertical="center"/>
    </xf>
    <xf numFmtId="10" fontId="111" fillId="0" borderId="136" xfId="1" applyNumberFormat="1" applyFont="1" applyFill="1" applyBorder="1" applyAlignment="1">
      <alignment horizontal="right" vertical="center"/>
    </xf>
    <xf numFmtId="165" fontId="111" fillId="0" borderId="157" xfId="0" applyNumberFormat="1" applyFont="1" applyBorder="1" applyAlignment="1">
      <alignment horizontal="center" vertical="center"/>
    </xf>
    <xf numFmtId="165" fontId="116" fillId="100" borderId="124" xfId="0" applyNumberFormat="1" applyFont="1" applyFill="1" applyBorder="1" applyAlignment="1">
      <alignment horizontal="center" vertical="center"/>
    </xf>
    <xf numFmtId="4" fontId="111" fillId="2" borderId="156" xfId="1" applyNumberFormat="1" applyFont="1" applyFill="1" applyBorder="1" applyAlignment="1">
      <alignment horizontal="center" vertical="center"/>
    </xf>
    <xf numFmtId="4" fontId="111" fillId="2" borderId="159" xfId="1" applyNumberFormat="1" applyFont="1" applyFill="1" applyBorder="1" applyAlignment="1">
      <alignment horizontal="center" vertical="center"/>
    </xf>
    <xf numFmtId="165" fontId="111" fillId="2" borderId="157" xfId="0" applyNumberFormat="1" applyFont="1" applyFill="1" applyBorder="1" applyAlignment="1">
      <alignment horizontal="center" vertical="center"/>
    </xf>
    <xf numFmtId="4" fontId="116" fillId="100" borderId="158" xfId="1" applyNumberFormat="1" applyFont="1" applyFill="1" applyBorder="1" applyAlignment="1">
      <alignment horizontal="center" vertical="center"/>
    </xf>
    <xf numFmtId="10" fontId="111" fillId="2" borderId="156" xfId="1" applyNumberFormat="1" applyFont="1" applyFill="1" applyBorder="1" applyAlignment="1">
      <alignment horizontal="center" vertical="center"/>
    </xf>
    <xf numFmtId="10" fontId="111" fillId="2" borderId="159" xfId="1" applyNumberFormat="1" applyFont="1" applyFill="1" applyBorder="1" applyAlignment="1">
      <alignment horizontal="center" vertical="center"/>
    </xf>
    <xf numFmtId="165" fontId="112" fillId="100" borderId="155" xfId="0" applyNumberFormat="1" applyFont="1" applyFill="1" applyBorder="1"/>
    <xf numFmtId="4" fontId="111" fillId="0" borderId="124" xfId="251" applyNumberFormat="1" applyFont="1" applyBorder="1" applyAlignment="1">
      <alignment horizontal="center" vertical="center"/>
    </xf>
    <xf numFmtId="4" fontId="111" fillId="0" borderId="124" xfId="251" applyNumberFormat="1" applyFont="1" applyBorder="1" applyAlignment="1">
      <alignment horizontal="left" vertical="center"/>
    </xf>
    <xf numFmtId="4" fontId="111" fillId="0" borderId="124" xfId="0" applyNumberFormat="1" applyFont="1" applyBorder="1" applyAlignment="1">
      <alignment horizontal="left" vertical="center"/>
    </xf>
    <xf numFmtId="165" fontId="146" fillId="0" borderId="124" xfId="2" applyFont="1" applyBorder="1" applyAlignment="1">
      <alignment horizontal="center" vertical="center"/>
    </xf>
    <xf numFmtId="4" fontId="111" fillId="0" borderId="124" xfId="0" applyNumberFormat="1" applyFont="1" applyBorder="1" applyAlignment="1">
      <alignment horizontal="left" vertical="center" wrapText="1"/>
    </xf>
    <xf numFmtId="10" fontId="145" fillId="98" borderId="124" xfId="8" applyNumberFormat="1" applyFont="1" applyFill="1" applyBorder="1" applyAlignment="1">
      <alignment horizontal="center" vertical="center"/>
    </xf>
    <xf numFmtId="168" fontId="145" fillId="98" borderId="124" xfId="251" applyNumberFormat="1" applyFont="1" applyFill="1" applyBorder="1" applyAlignment="1">
      <alignment horizontal="center" vertical="center"/>
    </xf>
    <xf numFmtId="0" fontId="94" fillId="95" borderId="124" xfId="251" applyFont="1" applyFill="1" applyBorder="1" applyAlignment="1">
      <alignment horizontal="center" vertical="center"/>
    </xf>
    <xf numFmtId="0" fontId="90" fillId="0" borderId="124" xfId="251" applyFont="1" applyBorder="1" applyAlignment="1">
      <alignment horizontal="left" vertical="center"/>
    </xf>
    <xf numFmtId="165" fontId="90" fillId="0" borderId="124" xfId="2" applyFont="1" applyBorder="1" applyAlignment="1">
      <alignment horizontal="center" vertical="center"/>
    </xf>
    <xf numFmtId="165" fontId="93" fillId="0" borderId="124" xfId="2" applyFont="1" applyBorder="1" applyAlignment="1">
      <alignment wrapText="1"/>
    </xf>
    <xf numFmtId="0" fontId="90" fillId="0" borderId="124" xfId="251" applyFont="1" applyBorder="1" applyAlignment="1">
      <alignment horizontal="left" vertical="center" wrapText="1"/>
    </xf>
    <xf numFmtId="165" fontId="90" fillId="0" borderId="124" xfId="2" applyFont="1" applyBorder="1" applyAlignment="1">
      <alignment vertical="center"/>
    </xf>
    <xf numFmtId="165" fontId="93" fillId="0" borderId="124" xfId="2" applyFont="1" applyFill="1" applyBorder="1" applyAlignment="1">
      <alignment wrapText="1"/>
    </xf>
    <xf numFmtId="165" fontId="93" fillId="59" borderId="124" xfId="2" applyFont="1" applyFill="1" applyBorder="1" applyAlignment="1">
      <alignment wrapText="1"/>
    </xf>
    <xf numFmtId="0" fontId="117" fillId="100" borderId="152" xfId="251" applyFont="1" applyFill="1" applyBorder="1" applyAlignment="1">
      <alignment horizontal="left" vertical="center"/>
    </xf>
    <xf numFmtId="0" fontId="119" fillId="2" borderId="109" xfId="251" applyFont="1" applyFill="1" applyBorder="1" applyAlignment="1">
      <alignment horizontal="right" vertical="center"/>
    </xf>
    <xf numFmtId="0" fontId="119" fillId="2" borderId="152" xfId="251" applyFont="1" applyFill="1" applyBorder="1" applyAlignment="1">
      <alignment horizontal="left" vertical="center"/>
    </xf>
    <xf numFmtId="0" fontId="119" fillId="100" borderId="152" xfId="251" applyFont="1" applyFill="1" applyBorder="1" applyAlignment="1">
      <alignment horizontal="left" vertical="center"/>
    </xf>
    <xf numFmtId="0" fontId="116" fillId="109" borderId="152" xfId="251" applyFont="1" applyFill="1" applyBorder="1" applyAlignment="1">
      <alignment vertical="center"/>
    </xf>
    <xf numFmtId="10" fontId="117" fillId="0" borderId="152" xfId="358" applyNumberFormat="1" applyFont="1" applyFill="1" applyBorder="1" applyAlignment="1" applyProtection="1">
      <alignment vertical="distributed" wrapText="1"/>
    </xf>
    <xf numFmtId="0" fontId="116" fillId="109" borderId="152" xfId="251" applyFont="1" applyFill="1" applyBorder="1" applyAlignment="1">
      <alignment horizontal="left" vertical="center"/>
    </xf>
    <xf numFmtId="0" fontId="116" fillId="108" borderId="152" xfId="251" applyFont="1" applyFill="1" applyBorder="1" applyAlignment="1">
      <alignment vertical="center"/>
    </xf>
    <xf numFmtId="0" fontId="116" fillId="109" borderId="152" xfId="251" applyFont="1" applyFill="1" applyBorder="1" applyAlignment="1">
      <alignment horizontal="left" vertical="center" wrapText="1"/>
    </xf>
    <xf numFmtId="0" fontId="111" fillId="0" borderId="152" xfId="251" applyFont="1" applyBorder="1" applyAlignment="1">
      <alignment horizontal="left" vertical="center"/>
    </xf>
    <xf numFmtId="4" fontId="106" fillId="0" borderId="161" xfId="674" applyNumberFormat="1" applyFont="1" applyBorder="1" applyAlignment="1" applyProtection="1">
      <alignment horizontal="center" vertical="center"/>
      <protection locked="0"/>
    </xf>
    <xf numFmtId="0" fontId="106" fillId="100" borderId="162" xfId="674" applyFont="1" applyFill="1" applyBorder="1" applyAlignment="1" applyProtection="1">
      <alignment horizontal="right" vertical="center" wrapText="1"/>
      <protection locked="0"/>
    </xf>
    <xf numFmtId="3" fontId="106" fillId="0" borderId="161" xfId="674" applyNumberFormat="1" applyFont="1" applyBorder="1" applyAlignment="1" applyProtection="1">
      <alignment horizontal="center" vertical="center"/>
      <protection locked="0"/>
    </xf>
    <xf numFmtId="0" fontId="106" fillId="100" borderId="162" xfId="674" applyFont="1" applyFill="1" applyBorder="1" applyAlignment="1">
      <alignment horizontal="right" vertical="center" wrapText="1"/>
    </xf>
    <xf numFmtId="0" fontId="106" fillId="100" borderId="162" xfId="674" applyFont="1" applyFill="1" applyBorder="1" applyAlignment="1">
      <alignment horizontal="right" vertical="center"/>
    </xf>
    <xf numFmtId="0" fontId="106" fillId="100" borderId="162" xfId="674" applyFont="1" applyFill="1" applyBorder="1" applyAlignment="1" applyProtection="1">
      <alignment horizontal="right" vertical="center"/>
      <protection locked="0"/>
    </xf>
    <xf numFmtId="165" fontId="116" fillId="100" borderId="162" xfId="0" applyNumberFormat="1" applyFont="1" applyFill="1" applyBorder="1" applyAlignment="1">
      <alignment vertical="center"/>
    </xf>
    <xf numFmtId="165" fontId="116" fillId="100" borderId="162" xfId="0" applyNumberFormat="1" applyFont="1" applyFill="1" applyBorder="1" applyAlignment="1">
      <alignment horizontal="center" vertical="center"/>
    </xf>
    <xf numFmtId="165" fontId="116" fillId="100" borderId="165" xfId="0" applyNumberFormat="1" applyFont="1" applyFill="1" applyBorder="1" applyAlignment="1">
      <alignment horizontal="center" vertical="center"/>
    </xf>
    <xf numFmtId="165" fontId="116" fillId="100" borderId="160" xfId="0" applyNumberFormat="1" applyFont="1" applyFill="1" applyBorder="1" applyAlignment="1">
      <alignment horizontal="center" vertical="center"/>
    </xf>
    <xf numFmtId="10" fontId="116" fillId="100" borderId="162" xfId="1" applyNumberFormat="1" applyFont="1" applyFill="1" applyBorder="1" applyAlignment="1">
      <alignment horizontal="center" vertical="center"/>
    </xf>
    <xf numFmtId="4" fontId="116" fillId="100" borderId="165" xfId="1" applyNumberFormat="1" applyFont="1" applyFill="1" applyBorder="1" applyAlignment="1">
      <alignment horizontal="center" vertical="center"/>
    </xf>
    <xf numFmtId="165" fontId="125" fillId="100" borderId="163" xfId="0" applyNumberFormat="1" applyFont="1" applyFill="1" applyBorder="1" applyAlignment="1">
      <alignment horizontal="center"/>
    </xf>
    <xf numFmtId="165" fontId="112" fillId="100" borderId="165" xfId="0" applyNumberFormat="1" applyFont="1" applyFill="1" applyBorder="1" applyAlignment="1">
      <alignment horizontal="center"/>
    </xf>
    <xf numFmtId="165" fontId="112" fillId="100" borderId="160" xfId="2" applyFont="1" applyFill="1" applyBorder="1" applyAlignment="1">
      <alignment horizontal="center"/>
    </xf>
    <xf numFmtId="49" fontId="112" fillId="100" borderId="162" xfId="251" applyNumberFormat="1" applyFont="1" applyFill="1" applyBorder="1" applyAlignment="1">
      <alignment horizontal="left" vertical="center" wrapText="1"/>
    </xf>
    <xf numFmtId="0" fontId="115" fillId="0" borderId="162" xfId="251" applyFont="1" applyBorder="1" applyAlignment="1">
      <alignment horizontal="left" vertical="center" wrapText="1"/>
    </xf>
    <xf numFmtId="0" fontId="116" fillId="100" borderId="162" xfId="251" applyFont="1" applyFill="1" applyBorder="1" applyAlignment="1">
      <alignment vertical="center" wrapText="1"/>
    </xf>
    <xf numFmtId="0" fontId="111" fillId="0" borderId="162" xfId="251" applyFont="1" applyBorder="1" applyAlignment="1">
      <alignment vertical="center" wrapText="1"/>
    </xf>
    <xf numFmtId="4" fontId="111" fillId="100" borderId="161" xfId="1" applyNumberFormat="1" applyFont="1" applyFill="1" applyBorder="1" applyAlignment="1">
      <alignment horizontal="center" vertical="center"/>
    </xf>
    <xf numFmtId="4" fontId="116" fillId="100" borderId="161" xfId="1" applyNumberFormat="1" applyFont="1" applyFill="1" applyBorder="1" applyAlignment="1">
      <alignment horizontal="center" vertical="center"/>
    </xf>
    <xf numFmtId="165" fontId="107" fillId="100" borderId="164" xfId="0" applyNumberFormat="1" applyFont="1" applyFill="1" applyBorder="1"/>
    <xf numFmtId="4" fontId="111" fillId="0" borderId="162" xfId="0" applyNumberFormat="1" applyFont="1" applyBorder="1" applyAlignment="1">
      <alignment horizontal="left" vertical="center" wrapText="1"/>
    </xf>
    <xf numFmtId="4" fontId="111" fillId="0" borderId="161" xfId="0" applyNumberFormat="1" applyFont="1" applyBorder="1" applyAlignment="1">
      <alignment horizontal="left" vertical="center"/>
    </xf>
    <xf numFmtId="0" fontId="147" fillId="98" borderId="165" xfId="251" applyFont="1" applyFill="1" applyBorder="1" applyAlignment="1">
      <alignment horizontal="center" vertical="center" wrapText="1"/>
    </xf>
    <xf numFmtId="0" fontId="147" fillId="98" borderId="160" xfId="251" applyFont="1" applyFill="1" applyBorder="1" applyAlignment="1">
      <alignment horizontal="center" vertical="center" wrapText="1"/>
    </xf>
    <xf numFmtId="0" fontId="147" fillId="98" borderId="165" xfId="251" applyFont="1" applyFill="1" applyBorder="1" applyAlignment="1">
      <alignment horizontal="center" vertical="center"/>
    </xf>
    <xf numFmtId="0" fontId="147" fillId="98" borderId="160" xfId="251" applyFont="1" applyFill="1" applyBorder="1" applyAlignment="1">
      <alignment horizontal="center" vertical="center"/>
    </xf>
    <xf numFmtId="0" fontId="117" fillId="100" borderId="162" xfId="251" applyFont="1" applyFill="1" applyBorder="1" applyAlignment="1">
      <alignment horizontal="left" vertical="center"/>
    </xf>
    <xf numFmtId="0" fontId="119" fillId="57" borderId="162" xfId="358" applyNumberFormat="1" applyFont="1" applyFill="1" applyBorder="1" applyAlignment="1" applyProtection="1">
      <alignment horizontal="left" vertical="center"/>
    </xf>
    <xf numFmtId="0" fontId="119" fillId="2" borderId="162" xfId="251" applyFont="1" applyFill="1" applyBorder="1" applyAlignment="1">
      <alignment horizontal="left" vertical="center"/>
    </xf>
    <xf numFmtId="0" fontId="119" fillId="100" borderId="162" xfId="251" applyFont="1" applyFill="1" applyBorder="1" applyAlignment="1">
      <alignment horizontal="left" vertical="center"/>
    </xf>
    <xf numFmtId="0" fontId="116" fillId="109" borderId="162" xfId="251" applyFont="1" applyFill="1" applyBorder="1" applyAlignment="1">
      <alignment vertical="center"/>
    </xf>
    <xf numFmtId="0" fontId="116" fillId="109" borderId="161" xfId="251" applyFont="1" applyFill="1" applyBorder="1" applyAlignment="1">
      <alignment horizontal="left" vertical="center"/>
    </xf>
    <xf numFmtId="10" fontId="117" fillId="0" borderId="162" xfId="358" applyNumberFormat="1" applyFont="1" applyFill="1" applyBorder="1" applyAlignment="1" applyProtection="1">
      <alignment vertical="distributed" wrapText="1"/>
    </xf>
    <xf numFmtId="10" fontId="117" fillId="0" borderId="161" xfId="358" applyNumberFormat="1" applyFont="1" applyFill="1" applyBorder="1" applyAlignment="1" applyProtection="1">
      <alignment vertical="distributed" wrapText="1"/>
    </xf>
    <xf numFmtId="0" fontId="116" fillId="109" borderId="162" xfId="251" applyFont="1" applyFill="1" applyBorder="1" applyAlignment="1">
      <alignment horizontal="center" vertical="center"/>
    </xf>
    <xf numFmtId="0" fontId="116" fillId="108" borderId="162" xfId="251" applyFont="1" applyFill="1" applyBorder="1" applyAlignment="1">
      <alignment vertical="center"/>
    </xf>
    <xf numFmtId="0" fontId="111" fillId="108" borderId="161" xfId="251" applyFont="1" applyFill="1" applyBorder="1" applyAlignment="1">
      <alignment horizontal="left" vertical="center"/>
    </xf>
    <xf numFmtId="0" fontId="111" fillId="0" borderId="162" xfId="251" applyFont="1" applyBorder="1" applyAlignment="1">
      <alignment horizontal="center" vertical="center"/>
    </xf>
    <xf numFmtId="0" fontId="158" fillId="0" borderId="0" xfId="919" applyFont="1" applyBorder="1" applyAlignment="1">
      <alignment horizontal="center" vertical="center" wrapText="1"/>
    </xf>
    <xf numFmtId="165" fontId="106" fillId="2" borderId="0" xfId="2" applyFont="1" applyFill="1" applyBorder="1" applyAlignment="1">
      <alignment horizontal="center"/>
    </xf>
    <xf numFmtId="0" fontId="117" fillId="63" borderId="0" xfId="0" applyFont="1" applyFill="1" applyAlignment="1">
      <alignment vertical="center" wrapText="1"/>
    </xf>
    <xf numFmtId="0" fontId="117" fillId="0" borderId="0" xfId="0" applyFont="1" applyAlignment="1">
      <alignment vertical="center" wrapText="1"/>
    </xf>
    <xf numFmtId="165" fontId="111" fillId="0" borderId="10" xfId="0" applyNumberFormat="1" applyFont="1" applyBorder="1" applyAlignment="1">
      <alignment horizontal="left" vertical="center"/>
    </xf>
    <xf numFmtId="4" fontId="111" fillId="0" borderId="124" xfId="251" applyNumberFormat="1" applyFont="1" applyBorder="1" applyAlignment="1">
      <alignment horizontal="left" vertical="center" wrapText="1"/>
    </xf>
    <xf numFmtId="165" fontId="111" fillId="0" borderId="10" xfId="0" applyNumberFormat="1" applyFont="1" applyBorder="1" applyAlignment="1">
      <alignment horizontal="left" vertical="center" wrapText="1"/>
    </xf>
    <xf numFmtId="0" fontId="106" fillId="0" borderId="21" xfId="674" applyFont="1" applyBorder="1" applyAlignment="1" applyProtection="1">
      <alignment horizontal="center" vertical="center" wrapText="1"/>
      <protection locked="0"/>
    </xf>
    <xf numFmtId="0" fontId="106" fillId="100" borderId="23" xfId="674" applyFont="1" applyFill="1" applyBorder="1" applyAlignment="1">
      <alignment horizontal="center" vertical="center"/>
    </xf>
    <xf numFmtId="0" fontId="106" fillId="100" borderId="24" xfId="674" applyFont="1" applyFill="1" applyBorder="1" applyAlignment="1">
      <alignment horizontal="center" vertical="center"/>
    </xf>
    <xf numFmtId="0" fontId="106" fillId="0" borderId="23" xfId="674" applyFont="1" applyBorder="1" applyAlignment="1">
      <alignment horizontal="center" vertical="center"/>
    </xf>
    <xf numFmtId="0" fontId="106" fillId="0" borderId="24" xfId="674" applyFont="1" applyBorder="1" applyAlignment="1">
      <alignment horizontal="center" vertical="center"/>
    </xf>
    <xf numFmtId="0" fontId="106" fillId="0" borderId="21" xfId="674" applyFont="1" applyBorder="1" applyAlignment="1">
      <alignment horizontal="center" vertical="center"/>
    </xf>
    <xf numFmtId="0" fontId="106" fillId="0" borderId="22" xfId="674" applyFont="1" applyBorder="1" applyAlignment="1">
      <alignment horizontal="center" vertical="center"/>
    </xf>
    <xf numFmtId="0" fontId="106" fillId="100" borderId="140" xfId="674" applyFont="1" applyFill="1" applyBorder="1" applyAlignment="1" applyProtection="1">
      <alignment horizontal="center" vertical="center"/>
      <protection locked="0"/>
    </xf>
    <xf numFmtId="0" fontId="106" fillId="100" borderId="152" xfId="674" applyFont="1" applyFill="1" applyBorder="1" applyAlignment="1" applyProtection="1">
      <alignment horizontal="center" vertical="center"/>
      <protection locked="0"/>
    </xf>
    <xf numFmtId="0" fontId="106" fillId="100" borderId="141" xfId="674" applyFont="1" applyFill="1" applyBorder="1" applyAlignment="1" applyProtection="1">
      <alignment horizontal="center" vertical="center"/>
      <protection locked="0"/>
    </xf>
    <xf numFmtId="0" fontId="111" fillId="100" borderId="14" xfId="674" applyFont="1" applyFill="1" applyBorder="1" applyAlignment="1">
      <alignment horizontal="center"/>
    </xf>
    <xf numFmtId="0" fontId="111" fillId="100" borderId="112" xfId="674" applyFont="1" applyFill="1" applyBorder="1" applyAlignment="1">
      <alignment horizontal="center"/>
    </xf>
    <xf numFmtId="0" fontId="154" fillId="100" borderId="15" xfId="674" applyFont="1" applyFill="1" applyBorder="1" applyAlignment="1">
      <alignment horizontal="center" vertical="center"/>
    </xf>
    <xf numFmtId="0" fontId="154" fillId="100" borderId="19" xfId="674" applyFont="1" applyFill="1" applyBorder="1" applyAlignment="1">
      <alignment horizontal="center" vertical="center"/>
    </xf>
    <xf numFmtId="0" fontId="155" fillId="100" borderId="21" xfId="674" applyFont="1" applyFill="1" applyBorder="1" applyAlignment="1" applyProtection="1">
      <alignment horizontal="center" vertical="center"/>
      <protection locked="0"/>
    </xf>
    <xf numFmtId="0" fontId="155" fillId="100" borderId="22" xfId="674" applyFont="1" applyFill="1" applyBorder="1" applyAlignment="1" applyProtection="1">
      <alignment horizontal="center" vertical="center"/>
      <protection locked="0"/>
    </xf>
    <xf numFmtId="14" fontId="104" fillId="100" borderId="155" xfId="674" applyNumberFormat="1" applyFont="1" applyFill="1" applyBorder="1" applyAlignment="1" applyProtection="1">
      <alignment horizontal="left" vertical="center"/>
      <protection locked="0"/>
    </xf>
    <xf numFmtId="0" fontId="104" fillId="100" borderId="142" xfId="674" applyFont="1" applyFill="1" applyBorder="1" applyAlignment="1" applyProtection="1">
      <alignment horizontal="left" vertical="center"/>
      <protection locked="0"/>
    </xf>
    <xf numFmtId="0" fontId="104" fillId="100" borderId="160" xfId="674" applyFont="1" applyFill="1" applyBorder="1" applyAlignment="1" applyProtection="1">
      <alignment horizontal="left" vertical="center"/>
      <protection locked="0"/>
    </xf>
    <xf numFmtId="0" fontId="127" fillId="98" borderId="16" xfId="674" applyFont="1" applyFill="1" applyBorder="1" applyAlignment="1">
      <alignment horizontal="left" vertical="center"/>
    </xf>
    <xf numFmtId="0" fontId="127" fillId="98" borderId="17" xfId="674" applyFont="1" applyFill="1" applyBorder="1" applyAlignment="1">
      <alignment horizontal="left" vertical="center"/>
    </xf>
    <xf numFmtId="0" fontId="127" fillId="98" borderId="18" xfId="674" applyFont="1" applyFill="1" applyBorder="1" applyAlignment="1">
      <alignment horizontal="left" vertical="center"/>
    </xf>
    <xf numFmtId="0" fontId="129" fillId="100" borderId="145" xfId="674" applyFont="1" applyFill="1" applyBorder="1" applyAlignment="1">
      <alignment horizontal="center" vertical="center"/>
    </xf>
    <xf numFmtId="0" fontId="129" fillId="100" borderId="126" xfId="674" applyFont="1" applyFill="1" applyBorder="1" applyAlignment="1">
      <alignment horizontal="center" vertical="center"/>
    </xf>
    <xf numFmtId="0" fontId="129" fillId="100" borderId="127" xfId="674" applyFont="1" applyFill="1" applyBorder="1" applyAlignment="1">
      <alignment horizontal="center" vertical="center"/>
    </xf>
    <xf numFmtId="0" fontId="129" fillId="100" borderId="147" xfId="674" applyFont="1" applyFill="1" applyBorder="1" applyAlignment="1">
      <alignment horizontal="center" vertical="center"/>
    </xf>
    <xf numFmtId="0" fontId="129" fillId="100" borderId="102" xfId="674" applyFont="1" applyFill="1" applyBorder="1" applyAlignment="1">
      <alignment horizontal="center" vertical="center"/>
    </xf>
    <xf numFmtId="0" fontId="129" fillId="100" borderId="59" xfId="674" applyFont="1" applyFill="1" applyBorder="1" applyAlignment="1">
      <alignment horizontal="center" vertical="center"/>
    </xf>
    <xf numFmtId="0" fontId="106" fillId="0" borderId="124" xfId="674" applyFont="1" applyBorder="1" applyAlignment="1" applyProtection="1">
      <alignment horizontal="center" vertical="center" wrapText="1"/>
      <protection locked="0"/>
    </xf>
    <xf numFmtId="0" fontId="106" fillId="0" borderId="124" xfId="674" applyFont="1" applyBorder="1" applyAlignment="1">
      <alignment horizontal="center" vertical="center" wrapText="1"/>
    </xf>
    <xf numFmtId="0" fontId="106" fillId="0" borderId="139" xfId="674" applyFont="1" applyBorder="1" applyAlignment="1">
      <alignment horizontal="center" vertical="center" wrapText="1"/>
    </xf>
    <xf numFmtId="4" fontId="106" fillId="0" borderId="161" xfId="674" applyNumberFormat="1" applyFont="1" applyBorder="1" applyAlignment="1">
      <alignment horizontal="center" vertical="center"/>
    </xf>
    <xf numFmtId="4" fontId="106" fillId="0" borderId="124" xfId="674" applyNumberFormat="1" applyFont="1" applyBorder="1" applyAlignment="1">
      <alignment horizontal="center" vertical="center"/>
    </xf>
    <xf numFmtId="4" fontId="106" fillId="0" borderId="161" xfId="674" applyNumberFormat="1" applyFont="1" applyBorder="1" applyAlignment="1" applyProtection="1">
      <alignment horizontal="center" vertical="center"/>
      <protection locked="0"/>
    </xf>
    <xf numFmtId="4" fontId="106" fillId="0" borderId="124" xfId="674" applyNumberFormat="1" applyFont="1" applyBorder="1" applyAlignment="1" applyProtection="1">
      <alignment horizontal="center" vertical="center"/>
      <protection locked="0"/>
    </xf>
    <xf numFmtId="2" fontId="106" fillId="0" borderId="161" xfId="674" applyNumberFormat="1" applyFont="1" applyBorder="1" applyAlignment="1" applyProtection="1">
      <alignment horizontal="center" vertical="center"/>
      <protection locked="0"/>
    </xf>
    <xf numFmtId="2" fontId="106" fillId="0" borderId="139" xfId="674" applyNumberFormat="1" applyFont="1" applyBorder="1" applyAlignment="1" applyProtection="1">
      <alignment horizontal="center" vertical="center"/>
      <protection locked="0"/>
    </xf>
    <xf numFmtId="10" fontId="110" fillId="0" borderId="143" xfId="369" applyNumberFormat="1" applyFont="1" applyBorder="1" applyAlignment="1">
      <alignment horizontal="center" vertical="center"/>
    </xf>
    <xf numFmtId="10" fontId="110" fillId="0" borderId="143" xfId="369" applyNumberFormat="1" applyFont="1" applyBorder="1" applyAlignment="1" applyProtection="1">
      <alignment horizontal="center" vertical="center"/>
      <protection locked="0"/>
    </xf>
    <xf numFmtId="0" fontId="110" fillId="0" borderId="143" xfId="674" applyFont="1" applyBorder="1" applyAlignment="1" applyProtection="1">
      <alignment horizontal="center" vertical="center"/>
      <protection locked="0"/>
    </xf>
    <xf numFmtId="0" fontId="126" fillId="0" borderId="138" xfId="674" applyFont="1" applyBorder="1" applyAlignment="1">
      <alignment horizontal="center"/>
    </xf>
    <xf numFmtId="0" fontId="126" fillId="0" borderId="143" xfId="674" applyFont="1" applyBorder="1" applyAlignment="1">
      <alignment horizontal="center"/>
    </xf>
    <xf numFmtId="0" fontId="126" fillId="0" borderId="144" xfId="674" applyFont="1" applyBorder="1" applyAlignment="1">
      <alignment horizontal="center"/>
    </xf>
    <xf numFmtId="0" fontId="106" fillId="0" borderId="163" xfId="674" applyFont="1" applyBorder="1" applyAlignment="1" applyProtection="1">
      <alignment horizontal="left" vertical="center" wrapText="1"/>
      <protection locked="0"/>
    </xf>
    <xf numFmtId="0" fontId="106" fillId="0" borderId="164" xfId="674" applyFont="1" applyBorder="1" applyAlignment="1" applyProtection="1">
      <alignment horizontal="left" vertical="center"/>
      <protection locked="0"/>
    </xf>
    <xf numFmtId="0" fontId="106" fillId="0" borderId="153" xfId="674" applyFont="1" applyBorder="1" applyAlignment="1" applyProtection="1">
      <alignment horizontal="left" vertical="center"/>
      <protection locked="0"/>
    </xf>
    <xf numFmtId="0" fontId="102" fillId="0" borderId="145" xfId="674" applyFont="1" applyBorder="1" applyAlignment="1">
      <alignment horizontal="center" vertical="center"/>
    </xf>
    <xf numFmtId="0" fontId="102" fillId="0" borderId="126" xfId="674" applyFont="1" applyBorder="1" applyAlignment="1">
      <alignment horizontal="center" vertical="center"/>
    </xf>
    <xf numFmtId="0" fontId="102" fillId="0" borderId="127" xfId="674" applyFont="1" applyBorder="1" applyAlignment="1">
      <alignment horizontal="center" vertical="center"/>
    </xf>
    <xf numFmtId="0" fontId="130" fillId="100" borderId="162" xfId="674" applyFont="1" applyFill="1" applyBorder="1" applyAlignment="1">
      <alignment horizontal="center" vertical="center"/>
    </xf>
    <xf numFmtId="0" fontId="130" fillId="100" borderId="152" xfId="674" applyFont="1" applyFill="1" applyBorder="1" applyAlignment="1">
      <alignment horizontal="center" vertical="center"/>
    </xf>
    <xf numFmtId="0" fontId="130" fillId="100" borderId="161" xfId="674" applyFont="1" applyFill="1" applyBorder="1" applyAlignment="1">
      <alignment horizontal="center" vertical="center"/>
    </xf>
    <xf numFmtId="0" fontId="109" fillId="100" borderId="162" xfId="674" applyFont="1" applyFill="1" applyBorder="1" applyAlignment="1">
      <alignment horizontal="center" vertical="center"/>
    </xf>
    <xf numFmtId="0" fontId="109" fillId="100" borderId="161" xfId="674" applyFont="1" applyFill="1" applyBorder="1" applyAlignment="1">
      <alignment horizontal="center" vertical="center"/>
    </xf>
    <xf numFmtId="0" fontId="110" fillId="100" borderId="162" xfId="674" applyFont="1" applyFill="1" applyBorder="1" applyAlignment="1">
      <alignment horizontal="center" vertical="center"/>
    </xf>
    <xf numFmtId="0" fontId="110" fillId="100" borderId="161" xfId="674" applyFont="1" applyFill="1" applyBorder="1" applyAlignment="1">
      <alignment horizontal="center" vertical="center"/>
    </xf>
    <xf numFmtId="0" fontId="110" fillId="100" borderId="124" xfId="674" applyFont="1" applyFill="1" applyBorder="1" applyAlignment="1">
      <alignment horizontal="center" vertical="center"/>
    </xf>
    <xf numFmtId="0" fontId="132" fillId="61" borderId="124" xfId="272" applyFont="1" applyFill="1" applyBorder="1" applyAlignment="1">
      <alignment horizontal="center" vertical="center"/>
    </xf>
    <xf numFmtId="0" fontId="108" fillId="59" borderId="124" xfId="272" applyFont="1" applyFill="1" applyBorder="1" applyAlignment="1">
      <alignment horizontal="center" vertical="center"/>
    </xf>
    <xf numFmtId="0" fontId="132" fillId="102" borderId="124" xfId="272" applyFont="1" applyFill="1" applyBorder="1" applyAlignment="1">
      <alignment horizontal="center" vertical="center"/>
    </xf>
    <xf numFmtId="0" fontId="133" fillId="61" borderId="162" xfId="674" applyFont="1" applyFill="1" applyBorder="1" applyAlignment="1">
      <alignment horizontal="left" vertical="center"/>
    </xf>
    <xf numFmtId="0" fontId="133" fillId="61" borderId="161" xfId="674" applyFont="1" applyFill="1" applyBorder="1" applyAlignment="1">
      <alignment horizontal="left" vertical="center"/>
    </xf>
    <xf numFmtId="0" fontId="133" fillId="61" borderId="162" xfId="674" applyFont="1" applyFill="1" applyBorder="1" applyAlignment="1">
      <alignment horizontal="center" vertical="center"/>
    </xf>
    <xf numFmtId="0" fontId="133" fillId="61" borderId="161" xfId="674" applyFont="1" applyFill="1" applyBorder="1" applyAlignment="1">
      <alignment horizontal="center" vertical="center"/>
    </xf>
    <xf numFmtId="0" fontId="133" fillId="61" borderId="124" xfId="674" applyFont="1" applyFill="1" applyBorder="1" applyAlignment="1">
      <alignment horizontal="center" vertical="center"/>
    </xf>
    <xf numFmtId="0" fontId="117" fillId="3" borderId="124" xfId="272" applyFont="1" applyFill="1" applyBorder="1" applyAlignment="1">
      <alignment horizontal="center" vertical="center"/>
    </xf>
    <xf numFmtId="0" fontId="110" fillId="59" borderId="162" xfId="674" applyFont="1" applyFill="1" applyBorder="1" applyAlignment="1">
      <alignment horizontal="left" vertical="center"/>
    </xf>
    <xf numFmtId="0" fontId="110" fillId="59" borderId="161" xfId="674" applyFont="1" applyFill="1" applyBorder="1" applyAlignment="1">
      <alignment horizontal="left" vertical="center"/>
    </xf>
    <xf numFmtId="0" fontId="110" fillId="59" borderId="162" xfId="674" applyFont="1" applyFill="1" applyBorder="1" applyAlignment="1">
      <alignment horizontal="center" vertical="center"/>
    </xf>
    <xf numFmtId="0" fontId="110" fillId="59" borderId="161" xfId="674" applyFont="1" applyFill="1" applyBorder="1" applyAlignment="1">
      <alignment horizontal="center" vertical="center"/>
    </xf>
    <xf numFmtId="0" fontId="110" fillId="59" borderId="124" xfId="674" applyFont="1" applyFill="1" applyBorder="1" applyAlignment="1">
      <alignment horizontal="center" vertical="center"/>
    </xf>
    <xf numFmtId="0" fontId="133" fillId="102" borderId="162" xfId="674" applyFont="1" applyFill="1" applyBorder="1" applyAlignment="1">
      <alignment horizontal="left" vertical="center"/>
    </xf>
    <xf numFmtId="0" fontId="133" fillId="102" borderId="161" xfId="674" applyFont="1" applyFill="1" applyBorder="1" applyAlignment="1">
      <alignment horizontal="left" vertical="center"/>
    </xf>
    <xf numFmtId="0" fontId="133" fillId="102" borderId="162" xfId="674" applyFont="1" applyFill="1" applyBorder="1" applyAlignment="1">
      <alignment horizontal="center" vertical="center"/>
    </xf>
    <xf numFmtId="0" fontId="133" fillId="102" borderId="161" xfId="674" applyFont="1" applyFill="1" applyBorder="1" applyAlignment="1">
      <alignment horizontal="center" vertical="center"/>
    </xf>
    <xf numFmtId="0" fontId="133" fillId="102" borderId="124" xfId="674" applyFont="1" applyFill="1" applyBorder="1" applyAlignment="1">
      <alignment horizontal="center" vertical="center"/>
    </xf>
    <xf numFmtId="0" fontId="128" fillId="0" borderId="147" xfId="674" applyFont="1" applyBorder="1" applyAlignment="1">
      <alignment horizontal="center" vertical="top"/>
    </xf>
    <xf numFmtId="0" fontId="128" fillId="0" borderId="102" xfId="674" applyFont="1" applyBorder="1" applyAlignment="1">
      <alignment horizontal="center" vertical="top"/>
    </xf>
    <xf numFmtId="0" fontId="128" fillId="0" borderId="59" xfId="674" applyFont="1" applyBorder="1" applyAlignment="1">
      <alignment horizontal="center" vertical="top"/>
    </xf>
    <xf numFmtId="0" fontId="130" fillId="100" borderId="140" xfId="674" applyFont="1" applyFill="1" applyBorder="1" applyAlignment="1">
      <alignment horizontal="center" vertical="center"/>
    </xf>
    <xf numFmtId="0" fontId="130" fillId="100" borderId="124" xfId="674" applyFont="1" applyFill="1" applyBorder="1" applyAlignment="1">
      <alignment horizontal="center" vertical="center"/>
    </xf>
    <xf numFmtId="0" fontId="134" fillId="100" borderId="124" xfId="674" applyFont="1" applyFill="1" applyBorder="1" applyAlignment="1">
      <alignment horizontal="center" vertical="center"/>
    </xf>
    <xf numFmtId="0" fontId="109" fillId="0" borderId="145" xfId="674" applyFont="1" applyBorder="1" applyAlignment="1">
      <alignment horizontal="left" vertical="center"/>
    </xf>
    <xf numFmtId="0" fontId="109" fillId="0" borderId="127" xfId="674" applyFont="1" applyBorder="1" applyAlignment="1">
      <alignment horizontal="left" vertical="center"/>
    </xf>
    <xf numFmtId="0" fontId="130" fillId="100" borderId="162" xfId="674" applyFont="1" applyFill="1" applyBorder="1" applyAlignment="1">
      <alignment horizontal="center"/>
    </xf>
    <xf numFmtId="0" fontId="130" fillId="100" borderId="152" xfId="674" applyFont="1" applyFill="1" applyBorder="1" applyAlignment="1">
      <alignment horizontal="center"/>
    </xf>
    <xf numFmtId="0" fontId="130" fillId="100" borderId="141" xfId="674" applyFont="1" applyFill="1" applyBorder="1" applyAlignment="1">
      <alignment horizontal="center"/>
    </xf>
    <xf numFmtId="0" fontId="126" fillId="0" borderId="109" xfId="674" applyFont="1" applyBorder="1" applyAlignment="1" applyProtection="1">
      <alignment horizontal="left" vertical="top" wrapText="1"/>
      <protection locked="0"/>
    </xf>
    <xf numFmtId="0" fontId="126" fillId="0" borderId="126" xfId="674" applyFont="1" applyBorder="1" applyAlignment="1" applyProtection="1">
      <alignment horizontal="left" vertical="top" wrapText="1"/>
      <protection locked="0"/>
    </xf>
    <xf numFmtId="0" fontId="126" fillId="0" borderId="2" xfId="674" applyFont="1" applyBorder="1" applyAlignment="1" applyProtection="1">
      <alignment horizontal="left" vertical="top" wrapText="1"/>
      <protection locked="0"/>
    </xf>
    <xf numFmtId="0" fontId="126" fillId="0" borderId="0" xfId="674" applyFont="1" applyAlignment="1" applyProtection="1">
      <alignment horizontal="left" vertical="top" wrapText="1"/>
      <protection locked="0"/>
    </xf>
    <xf numFmtId="0" fontId="126" fillId="0" borderId="1" xfId="674" applyFont="1" applyBorder="1" applyAlignment="1" applyProtection="1">
      <alignment horizontal="left" vertical="top" wrapText="1"/>
      <protection locked="0"/>
    </xf>
    <xf numFmtId="0" fontId="126" fillId="0" borderId="102" xfId="674" applyFont="1" applyBorder="1" applyAlignment="1" applyProtection="1">
      <alignment horizontal="left" vertical="top" wrapText="1"/>
      <protection locked="0"/>
    </xf>
    <xf numFmtId="0" fontId="109" fillId="0" borderId="149" xfId="674" applyFont="1" applyBorder="1" applyAlignment="1" applyProtection="1">
      <alignment horizontal="left" vertical="top" wrapText="1"/>
      <protection locked="0"/>
    </xf>
    <xf numFmtId="0" fontId="126" fillId="0" borderId="146" xfId="674" applyFont="1" applyBorder="1" applyAlignment="1" applyProtection="1">
      <alignment horizontal="left" vertical="top" wrapText="1"/>
      <protection locked="0"/>
    </xf>
    <xf numFmtId="0" fontId="126" fillId="0" borderId="150" xfId="674" applyFont="1" applyBorder="1" applyAlignment="1" applyProtection="1">
      <alignment horizontal="left" vertical="top" wrapText="1"/>
      <protection locked="0"/>
    </xf>
    <xf numFmtId="0" fontId="126" fillId="0" borderId="130" xfId="674" applyFont="1" applyBorder="1" applyAlignment="1" applyProtection="1">
      <alignment horizontal="left" vertical="top" wrapText="1"/>
      <protection locked="0"/>
    </xf>
    <xf numFmtId="0" fontId="126" fillId="0" borderId="151" xfId="674" applyFont="1" applyBorder="1" applyAlignment="1" applyProtection="1">
      <alignment horizontal="left" vertical="top" wrapText="1"/>
      <protection locked="0"/>
    </xf>
    <xf numFmtId="0" fontId="126" fillId="0" borderId="148" xfId="674" applyFont="1" applyBorder="1" applyAlignment="1" applyProtection="1">
      <alignment horizontal="left" vertical="top" wrapText="1"/>
      <protection locked="0"/>
    </xf>
    <xf numFmtId="0" fontId="109" fillId="0" borderId="129" xfId="674" applyFont="1" applyBorder="1" applyAlignment="1">
      <alignment horizontal="left" vertical="center"/>
    </xf>
    <xf numFmtId="0" fontId="109" fillId="0" borderId="103" xfId="674" applyFont="1" applyBorder="1" applyAlignment="1">
      <alignment horizontal="left" vertical="center"/>
    </xf>
    <xf numFmtId="0" fontId="135" fillId="0" borderId="2" xfId="674" applyFont="1" applyBorder="1" applyAlignment="1">
      <alignment horizontal="center" vertical="center"/>
    </xf>
    <xf numFmtId="0" fontId="135" fillId="0" borderId="0" xfId="674" applyFont="1" applyAlignment="1">
      <alignment horizontal="center" vertical="center"/>
    </xf>
    <xf numFmtId="0" fontId="135" fillId="0" borderId="103" xfId="674" applyFont="1" applyBorder="1" applyAlignment="1">
      <alignment horizontal="center" vertical="center"/>
    </xf>
    <xf numFmtId="0" fontId="108" fillId="0" borderId="2" xfId="674" applyFont="1" applyBorder="1" applyAlignment="1">
      <alignment horizontal="center"/>
    </xf>
    <xf numFmtId="0" fontId="108" fillId="0" borderId="0" xfId="674" applyFont="1" applyAlignment="1">
      <alignment horizontal="center"/>
    </xf>
    <xf numFmtId="0" fontId="108" fillId="0" borderId="103" xfId="674" applyFont="1" applyBorder="1" applyAlignment="1">
      <alignment horizontal="center"/>
    </xf>
    <xf numFmtId="0" fontId="137" fillId="0" borderId="2" xfId="674" applyFont="1" applyBorder="1" applyAlignment="1">
      <alignment horizontal="center" vertical="center"/>
    </xf>
    <xf numFmtId="0" fontId="137" fillId="0" borderId="0" xfId="674" applyFont="1" applyAlignment="1">
      <alignment horizontal="center" vertical="center"/>
    </xf>
    <xf numFmtId="0" fontId="137" fillId="0" borderId="103" xfId="674" applyFont="1" applyBorder="1" applyAlignment="1">
      <alignment horizontal="center" vertical="center"/>
    </xf>
    <xf numFmtId="0" fontId="116" fillId="0" borderId="129" xfId="674" applyFont="1" applyBorder="1" applyAlignment="1">
      <alignment horizontal="left" vertical="center"/>
    </xf>
    <xf numFmtId="0" fontId="116" fillId="0" borderId="103" xfId="674" applyFont="1" applyBorder="1" applyAlignment="1">
      <alignment horizontal="left" vertical="center"/>
    </xf>
    <xf numFmtId="0" fontId="108" fillId="0" borderId="2" xfId="674" applyFont="1" applyBorder="1" applyAlignment="1">
      <alignment horizontal="center" vertical="center"/>
    </xf>
    <xf numFmtId="0" fontId="108" fillId="0" borderId="0" xfId="674" applyFont="1" applyAlignment="1">
      <alignment horizontal="center" vertical="center"/>
    </xf>
    <xf numFmtId="0" fontId="108" fillId="0" borderId="103" xfId="674" applyFont="1" applyBorder="1" applyAlignment="1">
      <alignment horizontal="center" vertical="center"/>
    </xf>
    <xf numFmtId="0" fontId="126" fillId="0" borderId="126" xfId="674" applyFont="1" applyBorder="1" applyAlignment="1">
      <alignment horizontal="center" vertical="center"/>
    </xf>
    <xf numFmtId="0" fontId="108" fillId="0" borderId="129" xfId="674" applyFont="1" applyBorder="1" applyAlignment="1">
      <alignment horizontal="left" vertical="center"/>
    </xf>
    <xf numFmtId="0" fontId="108" fillId="0" borderId="0" xfId="674" applyFont="1" applyAlignment="1">
      <alignment horizontal="left" vertical="center"/>
    </xf>
    <xf numFmtId="0" fontId="126" fillId="0" borderId="19" xfId="674" applyFont="1" applyBorder="1" applyAlignment="1">
      <alignment horizontal="center" vertical="center"/>
    </xf>
    <xf numFmtId="0" fontId="126" fillId="0" borderId="0" xfId="674" applyFont="1" applyAlignment="1">
      <alignment horizontal="left"/>
    </xf>
    <xf numFmtId="0" fontId="133" fillId="104" borderId="124" xfId="674" applyFont="1" applyFill="1" applyBorder="1" applyAlignment="1">
      <alignment horizontal="center" vertical="center"/>
    </xf>
    <xf numFmtId="0" fontId="126" fillId="0" borderId="0" xfId="674" applyFont="1" applyAlignment="1">
      <alignment horizontal="center" vertical="center"/>
    </xf>
    <xf numFmtId="0" fontId="126" fillId="0" borderId="0" xfId="674" applyFont="1" applyAlignment="1">
      <alignment horizontal="left" vertical="center"/>
    </xf>
    <xf numFmtId="44" fontId="107" fillId="98" borderId="16" xfId="9" applyFont="1" applyFill="1" applyBorder="1" applyAlignment="1">
      <alignment horizontal="center" vertical="center"/>
    </xf>
    <xf numFmtId="44" fontId="107" fillId="98" borderId="18" xfId="9" applyFont="1" applyFill="1" applyBorder="1" applyAlignment="1">
      <alignment horizontal="center" vertical="center"/>
    </xf>
    <xf numFmtId="0" fontId="117" fillId="0" borderId="19" xfId="0" applyFont="1" applyBorder="1" applyAlignment="1">
      <alignment horizontal="center" vertical="center"/>
    </xf>
    <xf numFmtId="0" fontId="106" fillId="100" borderId="16" xfId="0" applyFont="1" applyFill="1" applyBorder="1" applyAlignment="1">
      <alignment horizontal="right" wrapText="1"/>
    </xf>
    <xf numFmtId="0" fontId="106" fillId="100" borderId="17" xfId="0" applyFont="1" applyFill="1" applyBorder="1" applyAlignment="1">
      <alignment horizontal="right" wrapText="1"/>
    </xf>
    <xf numFmtId="0" fontId="106" fillId="100" borderId="18" xfId="0" applyFont="1" applyFill="1" applyBorder="1" applyAlignment="1">
      <alignment horizontal="right" wrapText="1"/>
    </xf>
    <xf numFmtId="0" fontId="140" fillId="98" borderId="16" xfId="0" applyFont="1" applyFill="1" applyBorder="1" applyAlignment="1">
      <alignment horizontal="center" vertical="center" wrapText="1"/>
    </xf>
    <xf numFmtId="0" fontId="140" fillId="98" borderId="17" xfId="0" applyFont="1" applyFill="1" applyBorder="1" applyAlignment="1">
      <alignment horizontal="center" vertical="center" wrapText="1"/>
    </xf>
    <xf numFmtId="0" fontId="140" fillId="98" borderId="18" xfId="0" applyFont="1" applyFill="1" applyBorder="1" applyAlignment="1">
      <alignment horizontal="center" vertical="center" wrapText="1"/>
    </xf>
    <xf numFmtId="0" fontId="116" fillId="0" borderId="0" xfId="0" applyFont="1" applyAlignment="1">
      <alignment horizontal="center" vertical="center"/>
    </xf>
    <xf numFmtId="165" fontId="116" fillId="100" borderId="16" xfId="0" applyNumberFormat="1" applyFont="1" applyFill="1" applyBorder="1" applyAlignment="1">
      <alignment horizontal="right" vertical="center"/>
    </xf>
    <xf numFmtId="165" fontId="116" fillId="100" borderId="17" xfId="0" applyNumberFormat="1" applyFont="1" applyFill="1" applyBorder="1" applyAlignment="1">
      <alignment horizontal="right" vertical="center"/>
    </xf>
    <xf numFmtId="0" fontId="107" fillId="98" borderId="16" xfId="0" applyFont="1" applyFill="1" applyBorder="1" applyAlignment="1">
      <alignment horizontal="left"/>
    </xf>
    <xf numFmtId="0" fontId="107" fillId="98" borderId="17" xfId="0" applyFont="1" applyFill="1" applyBorder="1" applyAlignment="1">
      <alignment horizontal="left"/>
    </xf>
    <xf numFmtId="0" fontId="107" fillId="98" borderId="18" xfId="0" applyFont="1" applyFill="1" applyBorder="1" applyAlignment="1">
      <alignment horizontal="left"/>
    </xf>
    <xf numFmtId="0" fontId="116" fillId="2" borderId="15" xfId="0" applyFont="1" applyFill="1" applyBorder="1" applyAlignment="1">
      <alignment horizontal="right" vertical="center" wrapText="1"/>
    </xf>
    <xf numFmtId="3" fontId="117" fillId="2" borderId="15" xfId="0" applyNumberFormat="1" applyFont="1" applyFill="1" applyBorder="1" applyAlignment="1">
      <alignment horizontal="right" vertical="center" wrapText="1"/>
    </xf>
    <xf numFmtId="0" fontId="117" fillId="2" borderId="15" xfId="0" applyFont="1" applyFill="1" applyBorder="1" applyAlignment="1">
      <alignment horizontal="right" vertical="center" wrapText="1"/>
    </xf>
    <xf numFmtId="0" fontId="117" fillId="0" borderId="0" xfId="0" applyFont="1" applyAlignment="1">
      <alignment horizontal="center" vertical="center" wrapText="1"/>
    </xf>
    <xf numFmtId="165" fontId="116" fillId="100" borderId="23" xfId="0" applyNumberFormat="1" applyFont="1" applyFill="1" applyBorder="1" applyAlignment="1">
      <alignment horizontal="left" vertical="center"/>
    </xf>
    <xf numFmtId="165" fontId="116" fillId="100" borderId="24" xfId="0" applyNumberFormat="1" applyFont="1" applyFill="1" applyBorder="1" applyAlignment="1">
      <alignment horizontal="left" vertical="center"/>
    </xf>
    <xf numFmtId="165" fontId="116" fillId="0" borderId="152" xfId="0" applyNumberFormat="1" applyFont="1" applyBorder="1" applyAlignment="1">
      <alignment horizontal="center" vertical="center"/>
    </xf>
    <xf numFmtId="165" fontId="116" fillId="100" borderId="162" xfId="0" applyNumberFormat="1" applyFont="1" applyFill="1" applyBorder="1" applyAlignment="1">
      <alignment horizontal="left" vertical="center"/>
    </xf>
    <xf numFmtId="165" fontId="116" fillId="100" borderId="161" xfId="0" applyNumberFormat="1" applyFont="1" applyFill="1" applyBorder="1" applyAlignment="1">
      <alignment horizontal="left" vertical="center"/>
    </xf>
    <xf numFmtId="165" fontId="112" fillId="100" borderId="164" xfId="0" applyNumberFormat="1" applyFont="1" applyFill="1" applyBorder="1" applyAlignment="1">
      <alignment horizontal="left"/>
    </xf>
    <xf numFmtId="0" fontId="119" fillId="0" borderId="15" xfId="0" applyFont="1" applyBorder="1" applyAlignment="1">
      <alignment horizontal="center" vertical="center"/>
    </xf>
    <xf numFmtId="165" fontId="116" fillId="0" borderId="0" xfId="0" applyNumberFormat="1" applyFont="1" applyAlignment="1">
      <alignment horizontal="center" vertical="center"/>
    </xf>
    <xf numFmtId="165" fontId="120" fillId="0" borderId="0" xfId="0" applyNumberFormat="1" applyFont="1" applyAlignment="1">
      <alignment horizontal="center" vertical="center"/>
    </xf>
    <xf numFmtId="0" fontId="112" fillId="0" borderId="0" xfId="251" applyFont="1" applyAlignment="1">
      <alignment horizontal="center" vertical="center"/>
    </xf>
    <xf numFmtId="0" fontId="112" fillId="0" borderId="102" xfId="251" applyFont="1" applyBorder="1" applyAlignment="1">
      <alignment horizontal="center" vertical="center"/>
    </xf>
    <xf numFmtId="0" fontId="107" fillId="99" borderId="61" xfId="251" applyFont="1" applyFill="1" applyBorder="1" applyAlignment="1">
      <alignment horizontal="left" vertical="center" wrapText="1"/>
    </xf>
    <xf numFmtId="0" fontId="107" fillId="99" borderId="70" xfId="251" applyFont="1" applyFill="1" applyBorder="1" applyAlignment="1">
      <alignment horizontal="left" vertical="center" wrapText="1"/>
    </xf>
    <xf numFmtId="0" fontId="158" fillId="0" borderId="132" xfId="919" applyFont="1" applyBorder="1" applyAlignment="1">
      <alignment horizontal="center" vertical="center" wrapText="1"/>
    </xf>
    <xf numFmtId="0" fontId="158" fillId="0" borderId="123" xfId="919" applyFont="1" applyBorder="1" applyAlignment="1">
      <alignment horizontal="center" vertical="center" wrapText="1"/>
    </xf>
    <xf numFmtId="0" fontId="158" fillId="0" borderId="13" xfId="919" applyFont="1" applyBorder="1" applyAlignment="1">
      <alignment horizontal="center" vertical="center" wrapText="1"/>
    </xf>
    <xf numFmtId="0" fontId="112" fillId="0" borderId="132" xfId="919" applyFont="1" applyBorder="1" applyAlignment="1">
      <alignment horizontal="center" vertical="center" wrapText="1"/>
    </xf>
    <xf numFmtId="0" fontId="112" fillId="0" borderId="123" xfId="919" applyFont="1" applyBorder="1" applyAlignment="1">
      <alignment horizontal="center" vertical="center" wrapText="1"/>
    </xf>
    <xf numFmtId="0" fontId="112" fillId="0" borderId="13" xfId="919" applyFont="1" applyBorder="1" applyAlignment="1">
      <alignment horizontal="center" vertical="center" wrapText="1"/>
    </xf>
    <xf numFmtId="0" fontId="113" fillId="0" borderId="124" xfId="251" applyFont="1" applyBorder="1" applyAlignment="1">
      <alignment horizontal="left" vertical="center" wrapText="1"/>
    </xf>
    <xf numFmtId="0" fontId="113" fillId="0" borderId="124" xfId="251" applyFont="1" applyBorder="1" applyAlignment="1">
      <alignment horizontal="left" vertical="center"/>
    </xf>
    <xf numFmtId="0" fontId="112" fillId="101" borderId="124" xfId="251" applyFont="1" applyFill="1" applyBorder="1" applyAlignment="1">
      <alignment horizontal="right" vertical="center"/>
    </xf>
    <xf numFmtId="0" fontId="114" fillId="100" borderId="0" xfId="251" applyFont="1" applyFill="1" applyAlignment="1">
      <alignment horizontal="center" vertical="center" wrapText="1"/>
    </xf>
    <xf numFmtId="0" fontId="114" fillId="100" borderId="64" xfId="251" applyFont="1" applyFill="1" applyBorder="1" applyAlignment="1">
      <alignment horizontal="center" vertical="center" wrapText="1"/>
    </xf>
    <xf numFmtId="0" fontId="104" fillId="100" borderId="125" xfId="251" applyFont="1" applyFill="1" applyBorder="1" applyAlignment="1">
      <alignment horizontal="center" vertical="center"/>
    </xf>
    <xf numFmtId="0" fontId="104" fillId="100" borderId="76" xfId="251" applyFont="1" applyFill="1" applyBorder="1" applyAlignment="1">
      <alignment horizontal="center" vertical="center"/>
    </xf>
    <xf numFmtId="0" fontId="114" fillId="100" borderId="76" xfId="251" applyFont="1" applyFill="1" applyBorder="1" applyAlignment="1">
      <alignment horizontal="center" wrapText="1"/>
    </xf>
    <xf numFmtId="0" fontId="114" fillId="100" borderId="65" xfId="251" applyFont="1" applyFill="1" applyBorder="1" applyAlignment="1">
      <alignment horizontal="center" wrapText="1"/>
    </xf>
    <xf numFmtId="0" fontId="106" fillId="100" borderId="63" xfId="251" applyFont="1" applyFill="1" applyBorder="1" applyAlignment="1">
      <alignment horizontal="center" vertical="center"/>
    </xf>
    <xf numFmtId="0" fontId="108" fillId="0" borderId="109" xfId="251" applyFont="1" applyBorder="1" applyAlignment="1">
      <alignment horizontal="left" vertical="center"/>
    </xf>
    <xf numFmtId="0" fontId="108" fillId="0" borderId="126" xfId="251" applyFont="1" applyBorder="1" applyAlignment="1">
      <alignment horizontal="left" vertical="center"/>
    </xf>
    <xf numFmtId="0" fontId="108" fillId="0" borderId="127" xfId="251" applyFont="1" applyBorder="1" applyAlignment="1">
      <alignment horizontal="left" vertical="center"/>
    </xf>
    <xf numFmtId="0" fontId="131" fillId="0" borderId="2" xfId="251" applyFont="1" applyBorder="1" applyAlignment="1">
      <alignment horizontal="left" vertical="center"/>
    </xf>
    <xf numFmtId="0" fontId="131" fillId="0" borderId="0" xfId="251" applyFont="1" applyAlignment="1">
      <alignment horizontal="left" vertical="center"/>
    </xf>
    <xf numFmtId="0" fontId="131" fillId="0" borderId="103" xfId="251" applyFont="1" applyBorder="1" applyAlignment="1">
      <alignment horizontal="left" vertical="center"/>
    </xf>
    <xf numFmtId="0" fontId="105" fillId="0" borderId="126" xfId="251" applyFont="1" applyBorder="1" applyAlignment="1">
      <alignment horizontal="left"/>
    </xf>
    <xf numFmtId="0" fontId="105" fillId="0" borderId="133" xfId="251" applyFont="1" applyBorder="1" applyAlignment="1">
      <alignment horizontal="left"/>
    </xf>
    <xf numFmtId="0" fontId="119" fillId="63" borderId="15" xfId="0" applyFont="1" applyFill="1" applyBorder="1" applyAlignment="1">
      <alignment horizontal="center" vertical="center"/>
    </xf>
    <xf numFmtId="165" fontId="121" fillId="0" borderId="152" xfId="0" applyNumberFormat="1" applyFont="1" applyBorder="1" applyAlignment="1">
      <alignment horizontal="center" vertical="center"/>
    </xf>
    <xf numFmtId="0" fontId="111" fillId="0" borderId="0" xfId="0" applyFont="1" applyAlignment="1">
      <alignment horizontal="center" vertical="center"/>
    </xf>
    <xf numFmtId="0" fontId="116" fillId="100" borderId="16" xfId="0" applyFont="1" applyFill="1" applyBorder="1" applyAlignment="1">
      <alignment horizontal="center" vertical="center" wrapText="1"/>
    </xf>
    <xf numFmtId="0" fontId="116" fillId="100" borderId="17" xfId="0" applyFont="1" applyFill="1" applyBorder="1" applyAlignment="1">
      <alignment horizontal="center" vertical="center" wrapText="1"/>
    </xf>
    <xf numFmtId="0" fontId="116" fillId="100" borderId="18" xfId="0" applyFont="1" applyFill="1" applyBorder="1" applyAlignment="1">
      <alignment horizontal="center" vertical="center" wrapText="1"/>
    </xf>
    <xf numFmtId="0" fontId="118" fillId="61" borderId="16" xfId="0" applyFont="1" applyFill="1" applyBorder="1" applyAlignment="1">
      <alignment horizontal="center" vertical="center" wrapText="1"/>
    </xf>
    <xf numFmtId="0" fontId="118" fillId="61" borderId="17" xfId="0" applyFont="1" applyFill="1" applyBorder="1" applyAlignment="1">
      <alignment horizontal="center" vertical="center" wrapText="1"/>
    </xf>
    <xf numFmtId="0" fontId="118" fillId="61" borderId="18" xfId="0" applyFont="1" applyFill="1" applyBorder="1" applyAlignment="1">
      <alignment horizontal="center" vertical="center" wrapText="1"/>
    </xf>
    <xf numFmtId="165" fontId="124" fillId="100" borderId="19" xfId="2" applyFont="1" applyFill="1" applyBorder="1" applyAlignment="1">
      <alignment horizontal="center" vertical="center"/>
    </xf>
    <xf numFmtId="0" fontId="116" fillId="100" borderId="124" xfId="573" applyFont="1" applyFill="1" applyBorder="1" applyAlignment="1">
      <alignment horizontal="center" vertical="center"/>
    </xf>
    <xf numFmtId="0" fontId="143" fillId="0" borderId="124" xfId="251" applyFont="1" applyBorder="1" applyAlignment="1">
      <alignment horizontal="center" vertical="center"/>
    </xf>
    <xf numFmtId="0" fontId="116" fillId="100" borderId="162" xfId="573" applyFont="1" applyFill="1" applyBorder="1" applyAlignment="1">
      <alignment horizontal="center" vertical="center"/>
    </xf>
    <xf numFmtId="0" fontId="116" fillId="100" borderId="161" xfId="573" applyFont="1" applyFill="1" applyBorder="1" applyAlignment="1">
      <alignment horizontal="center" vertical="center"/>
    </xf>
    <xf numFmtId="0" fontId="92" fillId="97" borderId="16" xfId="4" applyFont="1" applyFill="1" applyBorder="1" applyAlignment="1">
      <alignment horizontal="right" vertical="center"/>
    </xf>
    <xf numFmtId="0" fontId="92" fillId="97" borderId="17" xfId="4" applyFont="1" applyFill="1" applyBorder="1" applyAlignment="1">
      <alignment horizontal="right" vertical="center"/>
    </xf>
    <xf numFmtId="0" fontId="98" fillId="0" borderId="16" xfId="251" applyFont="1" applyBorder="1" applyAlignment="1">
      <alignment horizontal="center" vertical="center" wrapText="1"/>
    </xf>
    <xf numFmtId="0" fontId="98" fillId="0" borderId="17" xfId="251" applyFont="1" applyBorder="1" applyAlignment="1">
      <alignment horizontal="center" vertical="center" wrapText="1"/>
    </xf>
    <xf numFmtId="0" fontId="98" fillId="0" borderId="18" xfId="251" applyFont="1" applyBorder="1" applyAlignment="1">
      <alignment horizontal="center" vertical="center" wrapText="1"/>
    </xf>
    <xf numFmtId="0" fontId="147" fillId="98" borderId="20" xfId="251" applyFont="1" applyFill="1" applyBorder="1" applyAlignment="1">
      <alignment horizontal="center" vertical="center" wrapText="1"/>
    </xf>
    <xf numFmtId="0" fontId="147" fillId="98" borderId="166" xfId="251" applyFont="1" applyFill="1" applyBorder="1" applyAlignment="1">
      <alignment horizontal="center" vertical="center" wrapText="1"/>
    </xf>
    <xf numFmtId="0" fontId="147" fillId="98" borderId="21" xfId="251" applyFont="1" applyFill="1" applyBorder="1" applyAlignment="1">
      <alignment horizontal="center" vertical="center" wrapText="1"/>
    </xf>
    <xf numFmtId="0" fontId="147" fillId="98" borderId="132" xfId="251" applyFont="1" applyFill="1" applyBorder="1" applyAlignment="1">
      <alignment horizontal="center" vertical="center" wrapText="1"/>
    </xf>
    <xf numFmtId="0" fontId="147" fillId="98" borderId="23" xfId="251" applyFont="1" applyFill="1" applyBorder="1" applyAlignment="1">
      <alignment horizontal="center" vertical="center" wrapText="1"/>
    </xf>
    <xf numFmtId="0" fontId="147" fillId="98" borderId="109" xfId="251" applyFont="1" applyFill="1" applyBorder="1" applyAlignment="1">
      <alignment horizontal="center" vertical="center" wrapText="1"/>
    </xf>
    <xf numFmtId="0" fontId="147" fillId="98" borderId="22" xfId="251" applyFont="1" applyFill="1" applyBorder="1" applyAlignment="1">
      <alignment horizontal="center" vertical="center" wrapText="1"/>
    </xf>
    <xf numFmtId="0" fontId="92" fillId="97" borderId="18" xfId="4" applyFont="1" applyFill="1" applyBorder="1" applyAlignment="1">
      <alignment horizontal="right" vertical="center"/>
    </xf>
    <xf numFmtId="0" fontId="147" fillId="98" borderId="124" xfId="251" applyFont="1" applyFill="1" applyBorder="1" applyAlignment="1">
      <alignment horizontal="center" vertical="center"/>
    </xf>
    <xf numFmtId="0" fontId="96" fillId="0" borderId="0" xfId="251" applyFont="1" applyAlignment="1">
      <alignment horizontal="center" vertical="center" wrapText="1"/>
    </xf>
    <xf numFmtId="0" fontId="93" fillId="52" borderId="124" xfId="251" applyFont="1" applyFill="1" applyBorder="1" applyAlignment="1">
      <alignment horizontal="left" wrapText="1"/>
    </xf>
    <xf numFmtId="0" fontId="90" fillId="0" borderId="124" xfId="251" applyFont="1" applyBorder="1" applyAlignment="1">
      <alignment horizontal="left" vertical="center"/>
    </xf>
    <xf numFmtId="0" fontId="91" fillId="97" borderId="16" xfId="0" applyFont="1" applyFill="1" applyBorder="1" applyAlignment="1">
      <alignment horizontal="right" vertical="center"/>
    </xf>
    <xf numFmtId="0" fontId="91" fillId="97" borderId="17" xfId="0" applyFont="1" applyFill="1" applyBorder="1" applyAlignment="1">
      <alignment horizontal="right" vertical="center"/>
    </xf>
    <xf numFmtId="0" fontId="91" fillId="97" borderId="50" xfId="0" applyFont="1" applyFill="1" applyBorder="1" applyAlignment="1">
      <alignment horizontal="right" vertical="center"/>
    </xf>
    <xf numFmtId="0" fontId="148" fillId="57" borderId="0" xfId="251" applyFont="1" applyFill="1" applyAlignment="1">
      <alignment horizontal="center" vertical="center"/>
    </xf>
    <xf numFmtId="0" fontId="150" fillId="2" borderId="0" xfId="251" applyFont="1" applyFill="1" applyAlignment="1">
      <alignment horizontal="center" vertical="center" wrapText="1"/>
    </xf>
    <xf numFmtId="0" fontId="119" fillId="107" borderId="162" xfId="251" applyFont="1" applyFill="1" applyBorder="1" applyAlignment="1">
      <alignment horizontal="center" vertical="center"/>
    </xf>
    <xf numFmtId="0" fontId="119" fillId="107" borderId="152" xfId="251" applyFont="1" applyFill="1" applyBorder="1" applyAlignment="1">
      <alignment horizontal="center" vertical="center"/>
    </xf>
    <xf numFmtId="10" fontId="115" fillId="0" borderId="0" xfId="358" applyNumberFormat="1" applyFont="1" applyFill="1" applyBorder="1" applyAlignment="1" applyProtection="1">
      <alignment horizontal="center" vertical="center"/>
    </xf>
    <xf numFmtId="10" fontId="127" fillId="105" borderId="109" xfId="358" applyNumberFormat="1" applyFont="1" applyFill="1" applyBorder="1" applyAlignment="1" applyProtection="1">
      <alignment horizontal="center" vertical="center"/>
    </xf>
    <xf numFmtId="10" fontId="127" fillId="105" borderId="126" xfId="358" applyNumberFormat="1" applyFont="1" applyFill="1" applyBorder="1" applyAlignment="1" applyProtection="1">
      <alignment horizontal="center" vertical="center"/>
    </xf>
    <xf numFmtId="10" fontId="145" fillId="98" borderId="109" xfId="358" applyNumberFormat="1" applyFont="1" applyFill="1" applyBorder="1" applyAlignment="1" applyProtection="1">
      <alignment horizontal="center" vertical="center"/>
    </xf>
    <xf numFmtId="10" fontId="145" fillId="98" borderId="126" xfId="358" applyNumberFormat="1" applyFont="1" applyFill="1" applyBorder="1" applyAlignment="1" applyProtection="1">
      <alignment horizontal="center" vertical="center"/>
    </xf>
    <xf numFmtId="10" fontId="117" fillId="58" borderId="132" xfId="358" applyNumberFormat="1" applyFont="1" applyFill="1" applyBorder="1" applyAlignment="1" applyProtection="1">
      <alignment horizontal="center" vertical="center"/>
    </xf>
    <xf numFmtId="10" fontId="117" fillId="58" borderId="13" xfId="358" applyNumberFormat="1" applyFont="1" applyFill="1" applyBorder="1" applyAlignment="1" applyProtection="1">
      <alignment horizontal="center" vertical="center"/>
    </xf>
    <xf numFmtId="0" fontId="151" fillId="53" borderId="0" xfId="251" applyFont="1" applyFill="1" applyAlignment="1">
      <alignment horizontal="center" vertical="center"/>
    </xf>
    <xf numFmtId="10" fontId="127" fillId="105" borderId="124" xfId="358" applyNumberFormat="1" applyFont="1" applyFill="1" applyBorder="1" applyAlignment="1" applyProtection="1">
      <alignment horizontal="center" vertical="center"/>
    </xf>
    <xf numFmtId="165" fontId="105" fillId="0" borderId="0" xfId="251" applyNumberFormat="1" applyFont="1" applyAlignment="1" applyProtection="1">
      <alignment horizontal="center"/>
      <protection locked="0"/>
    </xf>
  </cellXfs>
  <cellStyles count="1163">
    <cellStyle name=" Task]_x000a__x000a_TaskName=Scan At_x000a__x000a_TaskID=3_x000a__x000a_WorkstationName=SmarTone_x000a__x000a_LastExecuted=0_x000a__x000a_LastSt" xfId="14" xr:uid="{00000000-0005-0000-0000-000000000000}"/>
    <cellStyle name=" Task]_x000d__x000a_TaskName=Scan At_x000d__x000a_TaskID=3_x000d__x000a_WorkstationName=SmarTone_x000d__x000a_LastExecuted=0_x000d__x000a_LastSt" xfId="15" xr:uid="{00000000-0005-0000-0000-000001000000}"/>
    <cellStyle name="20% - Accent1" xfId="16" xr:uid="{00000000-0005-0000-0000-000002000000}"/>
    <cellStyle name="20% - Accent1 2" xfId="17" xr:uid="{00000000-0005-0000-0000-000003000000}"/>
    <cellStyle name="20% - Accent2" xfId="18" xr:uid="{00000000-0005-0000-0000-000004000000}"/>
    <cellStyle name="20% - Accent2 2" xfId="19" xr:uid="{00000000-0005-0000-0000-000005000000}"/>
    <cellStyle name="20% - Accent3" xfId="20" xr:uid="{00000000-0005-0000-0000-000006000000}"/>
    <cellStyle name="20% - Accent3 2" xfId="21" xr:uid="{00000000-0005-0000-0000-000007000000}"/>
    <cellStyle name="20% - Accent4" xfId="22" xr:uid="{00000000-0005-0000-0000-000008000000}"/>
    <cellStyle name="20% - Accent4 2" xfId="23" xr:uid="{00000000-0005-0000-0000-000009000000}"/>
    <cellStyle name="20% - Accent5" xfId="24" xr:uid="{00000000-0005-0000-0000-00000A000000}"/>
    <cellStyle name="20% - Accent5 2" xfId="25" xr:uid="{00000000-0005-0000-0000-00000B000000}"/>
    <cellStyle name="20% - Accent6" xfId="26" xr:uid="{00000000-0005-0000-0000-00000C000000}"/>
    <cellStyle name="20% - Accent6 2" xfId="27" xr:uid="{00000000-0005-0000-0000-00000D000000}"/>
    <cellStyle name="20% - Ênfase1" xfId="714" builtinId="30" customBuiltin="1"/>
    <cellStyle name="20% - Ênfase1 2" xfId="28" xr:uid="{00000000-0005-0000-0000-00000E000000}"/>
    <cellStyle name="20% - Ênfase1 2 2" xfId="29" xr:uid="{00000000-0005-0000-0000-00000F000000}"/>
    <cellStyle name="20% - Ênfase1 3" xfId="996" xr:uid="{167CE951-6C58-4E3D-9F7C-41A4121618B7}"/>
    <cellStyle name="20% - Ênfase2" xfId="717" builtinId="34" customBuiltin="1"/>
    <cellStyle name="20% - Ênfase2 2" xfId="30" xr:uid="{00000000-0005-0000-0000-000010000000}"/>
    <cellStyle name="20% - Ênfase2 2 2" xfId="31" xr:uid="{00000000-0005-0000-0000-000011000000}"/>
    <cellStyle name="20% - Ênfase2 3" xfId="998" xr:uid="{51F8F085-0AB5-4AFC-B584-5A997A9A7ED8}"/>
    <cellStyle name="20% - Ênfase3" xfId="720" builtinId="38" customBuiltin="1"/>
    <cellStyle name="20% - Ênfase3 2" xfId="32" xr:uid="{00000000-0005-0000-0000-000012000000}"/>
    <cellStyle name="20% - Ênfase3 2 2" xfId="33" xr:uid="{00000000-0005-0000-0000-000013000000}"/>
    <cellStyle name="20% - Ênfase3 3" xfId="1000" xr:uid="{13A49957-7579-42F9-82D0-4142AEFA8866}"/>
    <cellStyle name="20% - Ênfase4" xfId="723" builtinId="42" customBuiltin="1"/>
    <cellStyle name="20% - Ênfase4 2" xfId="34" xr:uid="{00000000-0005-0000-0000-000014000000}"/>
    <cellStyle name="20% - Ênfase4 2 2" xfId="35" xr:uid="{00000000-0005-0000-0000-000015000000}"/>
    <cellStyle name="20% - Ênfase4 3" xfId="1002" xr:uid="{E9C80346-1417-4BDF-8936-AE6EFAD081D3}"/>
    <cellStyle name="20% - Ênfase5" xfId="726" builtinId="46" customBuiltin="1"/>
    <cellStyle name="20% - Ênfase5 2" xfId="36" xr:uid="{00000000-0005-0000-0000-000016000000}"/>
    <cellStyle name="20% - Ênfase5 2 2" xfId="37" xr:uid="{00000000-0005-0000-0000-000017000000}"/>
    <cellStyle name="20% - Ênfase5 3" xfId="1004" xr:uid="{904F7872-9AC6-46D8-8537-6C6805B0C4C4}"/>
    <cellStyle name="20% - Ênfase6" xfId="729" builtinId="50" customBuiltin="1"/>
    <cellStyle name="20% - Ênfase6 2" xfId="38" xr:uid="{00000000-0005-0000-0000-000018000000}"/>
    <cellStyle name="20% - Ênfase6 2 2" xfId="39" xr:uid="{00000000-0005-0000-0000-000019000000}"/>
    <cellStyle name="20% - Ênfase6 3" xfId="1006" xr:uid="{A5AE4828-0D3A-4CA4-BD8F-CA4EB74E3504}"/>
    <cellStyle name="40% - Accent1" xfId="40" xr:uid="{00000000-0005-0000-0000-00001A000000}"/>
    <cellStyle name="40% - Accent1 2" xfId="41" xr:uid="{00000000-0005-0000-0000-00001B000000}"/>
    <cellStyle name="40% - Accent2" xfId="42" xr:uid="{00000000-0005-0000-0000-00001C000000}"/>
    <cellStyle name="40% - Accent2 2" xfId="43" xr:uid="{00000000-0005-0000-0000-00001D000000}"/>
    <cellStyle name="40% - Accent3" xfId="44" xr:uid="{00000000-0005-0000-0000-00001E000000}"/>
    <cellStyle name="40% - Accent3 2" xfId="45" xr:uid="{00000000-0005-0000-0000-00001F000000}"/>
    <cellStyle name="40% - Accent4" xfId="46" xr:uid="{00000000-0005-0000-0000-000020000000}"/>
    <cellStyle name="40% - Accent4 2" xfId="47" xr:uid="{00000000-0005-0000-0000-000021000000}"/>
    <cellStyle name="40% - Accent5" xfId="48" xr:uid="{00000000-0005-0000-0000-000022000000}"/>
    <cellStyle name="40% - Accent5 2" xfId="49" xr:uid="{00000000-0005-0000-0000-000023000000}"/>
    <cellStyle name="40% - Accent6" xfId="50" xr:uid="{00000000-0005-0000-0000-000024000000}"/>
    <cellStyle name="40% - Accent6 2" xfId="51" xr:uid="{00000000-0005-0000-0000-000025000000}"/>
    <cellStyle name="40% - Ênfase1" xfId="715" builtinId="31" customBuiltin="1"/>
    <cellStyle name="40% - Ênfase1 2" xfId="52" xr:uid="{00000000-0005-0000-0000-000026000000}"/>
    <cellStyle name="40% - Ênfase1 2 2" xfId="53" xr:uid="{00000000-0005-0000-0000-000027000000}"/>
    <cellStyle name="40% - Ênfase1 3" xfId="997" xr:uid="{17F4827B-CBE9-43D5-9583-D5C98C1A189E}"/>
    <cellStyle name="40% - Ênfase2" xfId="718" builtinId="35" customBuiltin="1"/>
    <cellStyle name="40% - Ênfase2 2" xfId="54" xr:uid="{00000000-0005-0000-0000-000028000000}"/>
    <cellStyle name="40% - Ênfase2 2 2" xfId="55" xr:uid="{00000000-0005-0000-0000-000029000000}"/>
    <cellStyle name="40% - Ênfase2 3" xfId="999" xr:uid="{A7061D96-2C3F-4E90-95CE-003A0C94B8DD}"/>
    <cellStyle name="40% - Ênfase3" xfId="721" builtinId="39" customBuiltin="1"/>
    <cellStyle name="40% - Ênfase3 2" xfId="56" xr:uid="{00000000-0005-0000-0000-00002A000000}"/>
    <cellStyle name="40% - Ênfase3 2 2" xfId="57" xr:uid="{00000000-0005-0000-0000-00002B000000}"/>
    <cellStyle name="40% - Ênfase3 3" xfId="1001" xr:uid="{59DFE837-8BE5-4C04-B5AB-66A4362D93EE}"/>
    <cellStyle name="40% - Ênfase4" xfId="724" builtinId="43" customBuiltin="1"/>
    <cellStyle name="40% - Ênfase4 2" xfId="58" xr:uid="{00000000-0005-0000-0000-00002C000000}"/>
    <cellStyle name="40% - Ênfase4 2 2" xfId="59" xr:uid="{00000000-0005-0000-0000-00002D000000}"/>
    <cellStyle name="40% - Ênfase4 3" xfId="1003" xr:uid="{76324EE7-3F44-41FE-9410-9034B5B03702}"/>
    <cellStyle name="40% - Ênfase5" xfId="727" builtinId="47" customBuiltin="1"/>
    <cellStyle name="40% - Ênfase5 2" xfId="60" xr:uid="{00000000-0005-0000-0000-00002E000000}"/>
    <cellStyle name="40% - Ênfase5 2 2" xfId="61" xr:uid="{00000000-0005-0000-0000-00002F000000}"/>
    <cellStyle name="40% - Ênfase5 3" xfId="1005" xr:uid="{98891407-0E5D-441C-AF72-E40996D4E050}"/>
    <cellStyle name="40% - Ênfase6" xfId="730" builtinId="51" customBuiltin="1"/>
    <cellStyle name="40% - Ênfase6 2" xfId="62" xr:uid="{00000000-0005-0000-0000-000030000000}"/>
    <cellStyle name="40% - Ênfase6 2 2" xfId="63" xr:uid="{00000000-0005-0000-0000-000031000000}"/>
    <cellStyle name="40% - Ênfase6 3" xfId="1007" xr:uid="{7117AC3D-0174-48D1-9B4E-CAECC984A188}"/>
    <cellStyle name="60% - Accent1" xfId="64" xr:uid="{00000000-0005-0000-0000-000032000000}"/>
    <cellStyle name="60% - Accent1 2" xfId="65" xr:uid="{00000000-0005-0000-0000-000033000000}"/>
    <cellStyle name="60% - Accent2" xfId="66" xr:uid="{00000000-0005-0000-0000-000034000000}"/>
    <cellStyle name="60% - Accent2 2" xfId="67" xr:uid="{00000000-0005-0000-0000-000035000000}"/>
    <cellStyle name="60% - Accent3" xfId="68" xr:uid="{00000000-0005-0000-0000-000036000000}"/>
    <cellStyle name="60% - Accent3 2" xfId="69" xr:uid="{00000000-0005-0000-0000-000037000000}"/>
    <cellStyle name="60% - Accent4" xfId="70" xr:uid="{00000000-0005-0000-0000-000038000000}"/>
    <cellStyle name="60% - Accent4 2" xfId="71" xr:uid="{00000000-0005-0000-0000-000039000000}"/>
    <cellStyle name="60% - Accent5" xfId="72" xr:uid="{00000000-0005-0000-0000-00003A000000}"/>
    <cellStyle name="60% - Accent5 2" xfId="73" xr:uid="{00000000-0005-0000-0000-00003B000000}"/>
    <cellStyle name="60% - Accent6" xfId="74" xr:uid="{00000000-0005-0000-0000-00003C000000}"/>
    <cellStyle name="60% - Accent6 2" xfId="75" xr:uid="{00000000-0005-0000-0000-00003D000000}"/>
    <cellStyle name="60% - Ênfase1 2" xfId="76" xr:uid="{00000000-0005-0000-0000-00003E000000}"/>
    <cellStyle name="60% - Ênfase1 2 2" xfId="77" xr:uid="{00000000-0005-0000-0000-00003F000000}"/>
    <cellStyle name="60% - Ênfase1 3" xfId="886" xr:uid="{AC2ED281-47B9-475E-A1F7-11095A2C4E57}"/>
    <cellStyle name="60% - Ênfase2 2" xfId="78" xr:uid="{00000000-0005-0000-0000-000040000000}"/>
    <cellStyle name="60% - Ênfase2 2 2" xfId="79" xr:uid="{00000000-0005-0000-0000-000041000000}"/>
    <cellStyle name="60% - Ênfase2 3" xfId="887" xr:uid="{958DB651-DF5F-4268-A890-7DB3694BA792}"/>
    <cellStyle name="60% - Ênfase3 2" xfId="80" xr:uid="{00000000-0005-0000-0000-000042000000}"/>
    <cellStyle name="60% - Ênfase3 2 2" xfId="81" xr:uid="{00000000-0005-0000-0000-000043000000}"/>
    <cellStyle name="60% - Ênfase3 3" xfId="888" xr:uid="{60BB62F5-CB50-4ACA-A276-4864151A427E}"/>
    <cellStyle name="60% - Ênfase4 2" xfId="82" xr:uid="{00000000-0005-0000-0000-000044000000}"/>
    <cellStyle name="60% - Ênfase4 2 2" xfId="83" xr:uid="{00000000-0005-0000-0000-000045000000}"/>
    <cellStyle name="60% - Ênfase4 3" xfId="889" xr:uid="{2C1334F6-8EFD-4A52-A086-3992389DE76F}"/>
    <cellStyle name="60% - Ênfase5 2" xfId="84" xr:uid="{00000000-0005-0000-0000-000046000000}"/>
    <cellStyle name="60% - Ênfase5 2 2" xfId="85" xr:uid="{00000000-0005-0000-0000-000047000000}"/>
    <cellStyle name="60% - Ênfase5 3" xfId="890" xr:uid="{7B518189-73CB-479F-8662-C6AAD83EC945}"/>
    <cellStyle name="60% - Ênfase6 2" xfId="86" xr:uid="{00000000-0005-0000-0000-000048000000}"/>
    <cellStyle name="60% - Ênfase6 2 2" xfId="87" xr:uid="{00000000-0005-0000-0000-000049000000}"/>
    <cellStyle name="60% - Ênfase6 3" xfId="891" xr:uid="{8E115144-B8E6-4C73-8522-B9E7E5243C6D}"/>
    <cellStyle name="Accent1" xfId="88" xr:uid="{00000000-0005-0000-0000-00004A000000}"/>
    <cellStyle name="Accent1 2" xfId="89" xr:uid="{00000000-0005-0000-0000-00004B000000}"/>
    <cellStyle name="Accent2" xfId="90" xr:uid="{00000000-0005-0000-0000-00004C000000}"/>
    <cellStyle name="Accent2 2" xfId="91" xr:uid="{00000000-0005-0000-0000-00004D000000}"/>
    <cellStyle name="Accent3" xfId="92" xr:uid="{00000000-0005-0000-0000-00004E000000}"/>
    <cellStyle name="Accent3 2" xfId="93" xr:uid="{00000000-0005-0000-0000-00004F000000}"/>
    <cellStyle name="Accent4" xfId="94" xr:uid="{00000000-0005-0000-0000-000050000000}"/>
    <cellStyle name="Accent4 2" xfId="95" xr:uid="{00000000-0005-0000-0000-000051000000}"/>
    <cellStyle name="Accent5" xfId="96" xr:uid="{00000000-0005-0000-0000-000052000000}"/>
    <cellStyle name="Accent5 2" xfId="97" xr:uid="{00000000-0005-0000-0000-000053000000}"/>
    <cellStyle name="Accent6" xfId="98" xr:uid="{00000000-0005-0000-0000-000054000000}"/>
    <cellStyle name="Accent6 2" xfId="99" xr:uid="{00000000-0005-0000-0000-000055000000}"/>
    <cellStyle name="Bad" xfId="100" xr:uid="{00000000-0005-0000-0000-000056000000}"/>
    <cellStyle name="Bad 2" xfId="101" xr:uid="{00000000-0005-0000-0000-000057000000}"/>
    <cellStyle name="Beschreibung" xfId="102" xr:uid="{00000000-0005-0000-0000-000058000000}"/>
    <cellStyle name="Bom" xfId="703" builtinId="26" customBuiltin="1"/>
    <cellStyle name="Bom 2" xfId="103" xr:uid="{00000000-0005-0000-0000-000059000000}"/>
    <cellStyle name="Bom 2 2" xfId="104" xr:uid="{00000000-0005-0000-0000-00005A000000}"/>
    <cellStyle name="Calculation" xfId="105" xr:uid="{00000000-0005-0000-0000-00005B000000}"/>
    <cellStyle name="Calculation 2" xfId="106" xr:uid="{00000000-0005-0000-0000-00005C000000}"/>
    <cellStyle name="Calculation 2 2" xfId="742" xr:uid="{F30E2466-0236-4D81-8E22-9B11EFADC2CB}"/>
    <cellStyle name="Calculation 2 2 2" xfId="1018" xr:uid="{7A43C8BF-9ABC-43D9-85BA-7375A763EEA3}"/>
    <cellStyle name="Calculation 2 3" xfId="738" xr:uid="{AD696D42-0117-4A7B-9DE2-756C6F00DDE3}"/>
    <cellStyle name="Calculation 2 3 2" xfId="1014" xr:uid="{E34CF6C6-C185-4667-8E85-DD4C7F100C13}"/>
    <cellStyle name="Calculation 2 4" xfId="926" xr:uid="{BE3DEFB5-FA1E-493A-83F1-7EF4567D0DDD}"/>
    <cellStyle name="Calculation 3" xfId="741" xr:uid="{37A18E81-D603-4C2A-A8D4-7FCEAD85ECCF}"/>
    <cellStyle name="Calculation 3 2" xfId="1017" xr:uid="{CFD42E17-B85E-4FC2-BF01-D607761AE0B4}"/>
    <cellStyle name="Calculation 4" xfId="737" xr:uid="{A08A603B-69D4-4AE2-A52E-7784B60A99A3}"/>
    <cellStyle name="Calculation 4 2" xfId="1013" xr:uid="{721188FE-C587-48CC-A339-840741093F7B}"/>
    <cellStyle name="Calculation 5" xfId="925" xr:uid="{61CE0A84-9A92-4446-A128-084DB81BA1CC}"/>
    <cellStyle name="Cálculo" xfId="707" builtinId="22" customBuiltin="1"/>
    <cellStyle name="Cálculo 2" xfId="107" xr:uid="{00000000-0005-0000-0000-00005D000000}"/>
    <cellStyle name="Cálculo 2 2" xfId="108" xr:uid="{00000000-0005-0000-0000-00005E000000}"/>
    <cellStyle name="Cálculo 2 2 2" xfId="744" xr:uid="{D3E5E9A7-5AC6-4EC7-8261-FB5A9115A3E3}"/>
    <cellStyle name="Cálculo 2 2 2 2" xfId="1020" xr:uid="{C51F58BA-A4AC-439A-A15C-BB5C5AB3A0AF}"/>
    <cellStyle name="Cálculo 2 2 3" xfId="739" xr:uid="{2909E606-E92C-4BE6-896B-4FE76ECF94D0}"/>
    <cellStyle name="Cálculo 2 2 3 2" xfId="1015" xr:uid="{CD12D07F-54D9-4343-A947-6D22AEF7F055}"/>
    <cellStyle name="Cálculo 2 2 4" xfId="928" xr:uid="{8D2B5A26-33B1-4FE1-9C8B-CE30A2AFE190}"/>
    <cellStyle name="Cálculo 2 3" xfId="743" xr:uid="{0C148D37-6DC5-4C01-B8DB-97DAF5F470BE}"/>
    <cellStyle name="Cálculo 2 3 2" xfId="1019" xr:uid="{2853C9AB-FC33-425F-BDFF-A3E436844042}"/>
    <cellStyle name="Cálculo 2 4" xfId="867" xr:uid="{2552467C-174E-4675-8B2D-B25CE509779F}"/>
    <cellStyle name="Cálculo 2 4 2" xfId="1142" xr:uid="{D5CB01B4-1897-4B79-8062-5F63444B913F}"/>
    <cellStyle name="Cálculo 2 5" xfId="927" xr:uid="{122EAB77-CD79-4242-8B5F-D3B6AB5F8CC2}"/>
    <cellStyle name="Cancel" xfId="109" xr:uid="{00000000-0005-0000-0000-00005F000000}"/>
    <cellStyle name="Cancel 2" xfId="900" xr:uid="{B442F96C-2E89-493B-898D-6CD6B6BA1A5D}"/>
    <cellStyle name="Célula de Verificação" xfId="709" builtinId="23" customBuiltin="1"/>
    <cellStyle name="Célula de Verificação 2" xfId="110" xr:uid="{00000000-0005-0000-0000-000060000000}"/>
    <cellStyle name="Célula de Verificação 2 2" xfId="111" xr:uid="{00000000-0005-0000-0000-000061000000}"/>
    <cellStyle name="Célula Vinculada" xfId="708" builtinId="24" customBuiltin="1"/>
    <cellStyle name="Célula Vinculada 2" xfId="112" xr:uid="{00000000-0005-0000-0000-000062000000}"/>
    <cellStyle name="Check Cell" xfId="113" xr:uid="{00000000-0005-0000-0000-000063000000}"/>
    <cellStyle name="Check Cell 2" xfId="114" xr:uid="{00000000-0005-0000-0000-000064000000}"/>
    <cellStyle name="Comma 2" xfId="115" xr:uid="{00000000-0005-0000-0000-000065000000}"/>
    <cellStyle name="Comma 2 2" xfId="116" xr:uid="{00000000-0005-0000-0000-000066000000}"/>
    <cellStyle name="Comma 2 3" xfId="690" xr:uid="{17EAD4E9-9653-4C55-9609-27CECA57A447}"/>
    <cellStyle name="Comma 2 4" xfId="746" xr:uid="{4DFBD5F8-1926-4A66-B626-868AEAC43178}"/>
    <cellStyle name="Comma 2 4 2" xfId="1022" xr:uid="{B3EE94BD-CD15-445B-9DA0-CCC9A58C8464}"/>
    <cellStyle name="Comma 2 5" xfId="929" xr:uid="{EB8B927D-CDDB-44D1-8FFB-56C0771EC80A}"/>
    <cellStyle name="Comma0" xfId="117" xr:uid="{00000000-0005-0000-0000-000067000000}"/>
    <cellStyle name="Comma0 2" xfId="118" xr:uid="{00000000-0005-0000-0000-000068000000}"/>
    <cellStyle name="Comma0 2 2" xfId="119" xr:uid="{00000000-0005-0000-0000-000069000000}"/>
    <cellStyle name="Comma0 3" xfId="120" xr:uid="{00000000-0005-0000-0000-00006A000000}"/>
    <cellStyle name="Currency 2" xfId="121" xr:uid="{00000000-0005-0000-0000-00006B000000}"/>
    <cellStyle name="Currency 2 2" xfId="122" xr:uid="{00000000-0005-0000-0000-00006C000000}"/>
    <cellStyle name="Currency 2 2 2" xfId="123" xr:uid="{00000000-0005-0000-0000-00006D000000}"/>
    <cellStyle name="Currency 2 3" xfId="124" xr:uid="{00000000-0005-0000-0000-00006E000000}"/>
    <cellStyle name="Currency 3" xfId="125" xr:uid="{00000000-0005-0000-0000-00006F000000}"/>
    <cellStyle name="Currency 3 2" xfId="126" xr:uid="{00000000-0005-0000-0000-000070000000}"/>
    <cellStyle name="Currency 3 3" xfId="747" xr:uid="{211DC695-AD05-47AC-A2CC-C8AA67E5496D}"/>
    <cellStyle name="Currency 3 3 2" xfId="1023" xr:uid="{3DAD25EF-7D60-46E9-A554-0A52A635950A}"/>
    <cellStyle name="Currency 3 4" xfId="930" xr:uid="{E535C73F-5302-4541-9BB6-D1610184801E}"/>
    <cellStyle name="Currency0" xfId="127" xr:uid="{00000000-0005-0000-0000-000071000000}"/>
    <cellStyle name="Currency0 2" xfId="128" xr:uid="{00000000-0005-0000-0000-000072000000}"/>
    <cellStyle name="Currency0 2 2" xfId="129" xr:uid="{00000000-0005-0000-0000-000073000000}"/>
    <cellStyle name="Currency0 3" xfId="130" xr:uid="{00000000-0005-0000-0000-000074000000}"/>
    <cellStyle name="Data" xfId="131" xr:uid="{00000000-0005-0000-0000-000075000000}"/>
    <cellStyle name="Data 2" xfId="132" xr:uid="{00000000-0005-0000-0000-000076000000}"/>
    <cellStyle name="Data 2 2" xfId="133" xr:uid="{00000000-0005-0000-0000-000077000000}"/>
    <cellStyle name="Data 3" xfId="134" xr:uid="{00000000-0005-0000-0000-000078000000}"/>
    <cellStyle name="Date" xfId="135" xr:uid="{00000000-0005-0000-0000-000079000000}"/>
    <cellStyle name="Date 2" xfId="136" xr:uid="{00000000-0005-0000-0000-00007A000000}"/>
    <cellStyle name="Date 2 2" xfId="137" xr:uid="{00000000-0005-0000-0000-00007B000000}"/>
    <cellStyle name="Date 3" xfId="138" xr:uid="{00000000-0005-0000-0000-00007C000000}"/>
    <cellStyle name="Ênfase1" xfId="713" builtinId="29" customBuiltin="1"/>
    <cellStyle name="Ênfase1 2" xfId="139" xr:uid="{00000000-0005-0000-0000-00007D000000}"/>
    <cellStyle name="Ênfase1 2 2" xfId="140" xr:uid="{00000000-0005-0000-0000-00007E000000}"/>
    <cellStyle name="Ênfase2" xfId="716" builtinId="33" customBuiltin="1"/>
    <cellStyle name="Ênfase2 2" xfId="141" xr:uid="{00000000-0005-0000-0000-00007F000000}"/>
    <cellStyle name="Ênfase2 2 2" xfId="142" xr:uid="{00000000-0005-0000-0000-000080000000}"/>
    <cellStyle name="Ênfase3" xfId="719" builtinId="37" customBuiltin="1"/>
    <cellStyle name="Ênfase3 2" xfId="143" xr:uid="{00000000-0005-0000-0000-000081000000}"/>
    <cellStyle name="Ênfase3 2 2" xfId="144" xr:uid="{00000000-0005-0000-0000-000082000000}"/>
    <cellStyle name="Ênfase4" xfId="722" builtinId="41" customBuiltin="1"/>
    <cellStyle name="Ênfase4 2" xfId="145" xr:uid="{00000000-0005-0000-0000-000083000000}"/>
    <cellStyle name="Ênfase4 2 2" xfId="146" xr:uid="{00000000-0005-0000-0000-000084000000}"/>
    <cellStyle name="Ênfase5" xfId="725" builtinId="45" customBuiltin="1"/>
    <cellStyle name="Ênfase5 2" xfId="147" xr:uid="{00000000-0005-0000-0000-000085000000}"/>
    <cellStyle name="Ênfase5 2 2" xfId="148" xr:uid="{00000000-0005-0000-0000-000086000000}"/>
    <cellStyle name="Ênfase6" xfId="728" builtinId="49" customBuiltin="1"/>
    <cellStyle name="Ênfase6 2" xfId="149" xr:uid="{00000000-0005-0000-0000-000087000000}"/>
    <cellStyle name="Ênfase6 2 2" xfId="150" xr:uid="{00000000-0005-0000-0000-000088000000}"/>
    <cellStyle name="Ênfase6 2 3" xfId="869" xr:uid="{CF3712A4-861A-4836-A782-3AA32B23CF74}"/>
    <cellStyle name="Entrada" xfId="705" builtinId="20" customBuiltin="1"/>
    <cellStyle name="Entrada 2" xfId="151" xr:uid="{00000000-0005-0000-0000-000089000000}"/>
    <cellStyle name="Entrada 2 2" xfId="152" xr:uid="{00000000-0005-0000-0000-00008A000000}"/>
    <cellStyle name="Entrada 2 2 2" xfId="749" xr:uid="{1A91669F-52C0-4693-B3C7-5CB7DD000B2C}"/>
    <cellStyle name="Entrada 2 2 2 2" xfId="1025" xr:uid="{6B5362AB-A54B-451D-84CD-01CD0155645D}"/>
    <cellStyle name="Entrada 2 2 3" xfId="862" xr:uid="{80332748-E27B-4D34-81AD-14A73AA60874}"/>
    <cellStyle name="Entrada 2 2 3 2" xfId="1138" xr:uid="{1CA123CB-03A6-465C-A0DB-D355A13E2A81}"/>
    <cellStyle name="Entrada 2 2 4" xfId="932" xr:uid="{FE5A20DE-D55F-414E-8C8F-F761DCFB6E29}"/>
    <cellStyle name="Entrada 2 3" xfId="748" xr:uid="{DEE1F772-A4D1-4043-A9EA-EA3C2383A22D}"/>
    <cellStyle name="Entrada 2 3 2" xfId="1024" xr:uid="{781B920B-35F1-4B0F-B74E-974F6779AF45}"/>
    <cellStyle name="Entrada 2 4" xfId="740" xr:uid="{9186AE13-B609-4773-BBCC-17C15B400957}"/>
    <cellStyle name="Entrada 2 4 2" xfId="1016" xr:uid="{5F721C42-1209-4952-9035-FD37B7E7B7E6}"/>
    <cellStyle name="Entrada 2 5" xfId="931" xr:uid="{8870E6B4-C20B-4CC8-8869-4D2B70C43D15}"/>
    <cellStyle name="ESPECM" xfId="153" xr:uid="{00000000-0005-0000-0000-00008B000000}"/>
    <cellStyle name="ESPECM 2" xfId="154" xr:uid="{00000000-0005-0000-0000-00008C000000}"/>
    <cellStyle name="Estilo 1" xfId="155" xr:uid="{00000000-0005-0000-0000-00008D000000}"/>
    <cellStyle name="Estilo 1 2" xfId="156" xr:uid="{00000000-0005-0000-0000-00008E000000}"/>
    <cellStyle name="Estilo 1 3" xfId="157" xr:uid="{00000000-0005-0000-0000-00008F000000}"/>
    <cellStyle name="Euro" xfId="158" xr:uid="{00000000-0005-0000-0000-000090000000}"/>
    <cellStyle name="Euro 2" xfId="159" xr:uid="{00000000-0005-0000-0000-000091000000}"/>
    <cellStyle name="Euro 2 2" xfId="160" xr:uid="{00000000-0005-0000-0000-000092000000}"/>
    <cellStyle name="Euro 3" xfId="161" xr:uid="{00000000-0005-0000-0000-000093000000}"/>
    <cellStyle name="Excel Built-in Normal" xfId="162" xr:uid="{00000000-0005-0000-0000-000094000000}"/>
    <cellStyle name="Explanatory Text" xfId="163" xr:uid="{00000000-0005-0000-0000-000095000000}"/>
    <cellStyle name="Fixed" xfId="164" xr:uid="{00000000-0005-0000-0000-000096000000}"/>
    <cellStyle name="Fixed 2" xfId="165" xr:uid="{00000000-0005-0000-0000-000097000000}"/>
    <cellStyle name="Fixed 2 2" xfId="166" xr:uid="{00000000-0005-0000-0000-000098000000}"/>
    <cellStyle name="Fixed 3" xfId="167" xr:uid="{00000000-0005-0000-0000-000099000000}"/>
    <cellStyle name="Fixo" xfId="168" xr:uid="{00000000-0005-0000-0000-00009A000000}"/>
    <cellStyle name="Fixo 2" xfId="169" xr:uid="{00000000-0005-0000-0000-00009B000000}"/>
    <cellStyle name="Fixo 2 2" xfId="170" xr:uid="{00000000-0005-0000-0000-00009C000000}"/>
    <cellStyle name="Fixo 3" xfId="171" xr:uid="{00000000-0005-0000-0000-00009D000000}"/>
    <cellStyle name="Good" xfId="172" xr:uid="{00000000-0005-0000-0000-00009E000000}"/>
    <cellStyle name="Good 2" xfId="173" xr:uid="{00000000-0005-0000-0000-00009F000000}"/>
    <cellStyle name="Heading 1" xfId="174" xr:uid="{00000000-0005-0000-0000-0000A0000000}"/>
    <cellStyle name="Heading 1 2" xfId="175" xr:uid="{00000000-0005-0000-0000-0000A1000000}"/>
    <cellStyle name="Heading 1 3" xfId="176" xr:uid="{00000000-0005-0000-0000-0000A2000000}"/>
    <cellStyle name="Heading 2" xfId="177" xr:uid="{00000000-0005-0000-0000-0000A3000000}"/>
    <cellStyle name="Heading 2 2" xfId="178" xr:uid="{00000000-0005-0000-0000-0000A4000000}"/>
    <cellStyle name="Heading 2 3" xfId="179" xr:uid="{00000000-0005-0000-0000-0000A5000000}"/>
    <cellStyle name="Heading 3" xfId="180" xr:uid="{00000000-0005-0000-0000-0000A6000000}"/>
    <cellStyle name="Heading 3 2" xfId="750" xr:uid="{DEC971AA-356C-4E10-A929-D25A3FB6D2B8}"/>
    <cellStyle name="Heading 3 2 2" xfId="1026" xr:uid="{99A09776-D88C-43DD-813A-5971D0616502}"/>
    <cellStyle name="Heading 4" xfId="181" xr:uid="{00000000-0005-0000-0000-0000A7000000}"/>
    <cellStyle name="Hiperlink" xfId="603" builtinId="8" hidden="1"/>
    <cellStyle name="Hiperlink" xfId="607" builtinId="8" hidden="1"/>
    <cellStyle name="Hiperlink" xfId="609" builtinId="8" hidden="1"/>
    <cellStyle name="Hiperlink" xfId="583" builtinId="8" hidden="1"/>
    <cellStyle name="Hiperlink" xfId="585" builtinId="8" hidden="1"/>
    <cellStyle name="Hiperlink" xfId="587" builtinId="8" hidden="1"/>
    <cellStyle name="Hiperlink" xfId="589" builtinId="8" hidden="1"/>
    <cellStyle name="Hiperlink" xfId="579" builtinId="8" hidden="1"/>
    <cellStyle name="Hiperlink" xfId="577" builtinId="8" hidden="1"/>
    <cellStyle name="Hiperlink" xfId="574" builtinId="8" hidden="1"/>
    <cellStyle name="Hiperlink" xfId="581" builtinId="8" hidden="1"/>
    <cellStyle name="Hiperlink" xfId="605" builtinId="8" hidden="1"/>
    <cellStyle name="Hiperlink" xfId="621" builtinId="8" hidden="1"/>
    <cellStyle name="Hiperlink" xfId="623" builtinId="8" hidden="1"/>
    <cellStyle name="Hiperlink" xfId="625" builtinId="8" hidden="1"/>
    <cellStyle name="Hiperlink" xfId="627" builtinId="8" hidden="1"/>
    <cellStyle name="Hiperlink" xfId="629" builtinId="8" hidden="1"/>
    <cellStyle name="Hiperlink" xfId="631" builtinId="8" hidden="1"/>
    <cellStyle name="Hiperlink" xfId="633" builtinId="8" hidden="1"/>
    <cellStyle name="Hiperlink" xfId="637" builtinId="8" hidden="1"/>
    <cellStyle name="Hiperlink" xfId="639" builtinId="8" hidden="1"/>
    <cellStyle name="Hiperlink" xfId="641" builtinId="8" hidden="1"/>
    <cellStyle name="Hiperlink" xfId="643" builtinId="8" hidden="1"/>
    <cellStyle name="Hiperlink" xfId="645" builtinId="8" hidden="1"/>
    <cellStyle name="Hiperlink" xfId="635" builtinId="8" hidden="1"/>
    <cellStyle name="Hiperlink" xfId="591" builtinId="8" hidden="1"/>
    <cellStyle name="Hiperlink" xfId="593" builtinId="8" hidden="1"/>
    <cellStyle name="Hiperlink" xfId="595" builtinId="8" hidden="1"/>
    <cellStyle name="Hiperlink" xfId="597" builtinId="8" hidden="1"/>
    <cellStyle name="Hiperlink" xfId="599" builtinId="8" hidden="1"/>
    <cellStyle name="Hiperlink" xfId="647" builtinId="8" hidden="1"/>
    <cellStyle name="Hiperlink" xfId="669" builtinId="8" hidden="1"/>
    <cellStyle name="Hiperlink" xfId="671" builtinId="8" hidden="1"/>
    <cellStyle name="Hiperlink" xfId="667" builtinId="8" hidden="1"/>
    <cellStyle name="Hiperlink" xfId="651" builtinId="8" hidden="1"/>
    <cellStyle name="Hiperlink" xfId="611" builtinId="8" hidden="1"/>
    <cellStyle name="Hiperlink" xfId="613" builtinId="8" hidden="1"/>
    <cellStyle name="Hiperlink" xfId="615" builtinId="8" hidden="1"/>
    <cellStyle name="Hiperlink" xfId="617" builtinId="8" hidden="1"/>
    <cellStyle name="Hiperlink" xfId="619" builtinId="8" hidden="1"/>
    <cellStyle name="Hiperlink" xfId="659" builtinId="8" hidden="1"/>
    <cellStyle name="Hiperlink" xfId="661" builtinId="8" hidden="1"/>
    <cellStyle name="Hiperlink" xfId="663" builtinId="8" hidden="1"/>
    <cellStyle name="Hiperlink" xfId="665" builtinId="8" hidden="1"/>
    <cellStyle name="Hiperlink" xfId="655" builtinId="8" hidden="1"/>
    <cellStyle name="Hiperlink" xfId="657" builtinId="8" hidden="1"/>
    <cellStyle name="Hiperlink" xfId="653" builtinId="8" hidden="1"/>
    <cellStyle name="Hiperlink" xfId="649" builtinId="8" hidden="1"/>
    <cellStyle name="Hiperlink" xfId="919" builtinId="8"/>
    <cellStyle name="Hiperlink 2" xfId="995" xr:uid="{8A7CA96F-C344-446E-AD21-A94EDC163CC0}"/>
    <cellStyle name="Hiperlink Visitado" xfId="580" builtinId="9" hidden="1"/>
    <cellStyle name="Hiperlink Visitado" xfId="582" builtinId="9" hidden="1"/>
    <cellStyle name="Hiperlink Visitado" xfId="578" builtinId="9" hidden="1"/>
    <cellStyle name="Hiperlink Visitado" xfId="575" builtinId="9" hidden="1"/>
    <cellStyle name="Hiperlink Visitado" xfId="592" builtinId="9" hidden="1"/>
    <cellStyle name="Hiperlink Visitado" xfId="650" builtinId="9" hidden="1"/>
    <cellStyle name="Hiperlink Visitado" xfId="652" builtinId="9" hidden="1"/>
    <cellStyle name="Hiperlink Visitado" xfId="654" builtinId="9" hidden="1"/>
    <cellStyle name="Hiperlink Visitado" xfId="656" builtinId="9" hidden="1"/>
    <cellStyle name="Hiperlink Visitado" xfId="658" builtinId="9" hidden="1"/>
    <cellStyle name="Hiperlink Visitado" xfId="660" builtinId="9" hidden="1"/>
    <cellStyle name="Hiperlink Visitado" xfId="662" builtinId="9" hidden="1"/>
    <cellStyle name="Hiperlink Visitado" xfId="594" builtinId="9" hidden="1"/>
    <cellStyle name="Hiperlink Visitado" xfId="596" builtinId="9" hidden="1"/>
    <cellStyle name="Hiperlink Visitado" xfId="600" builtinId="9" hidden="1"/>
    <cellStyle name="Hiperlink Visitado" xfId="604" builtinId="9" hidden="1"/>
    <cellStyle name="Hiperlink Visitado" xfId="606" builtinId="9" hidden="1"/>
    <cellStyle name="Hiperlink Visitado" xfId="608" builtinId="9" hidden="1"/>
    <cellStyle name="Hiperlink Visitado" xfId="610" builtinId="9" hidden="1"/>
    <cellStyle name="Hiperlink Visitado" xfId="612" builtinId="9" hidden="1"/>
    <cellStyle name="Hiperlink Visitado" xfId="614" builtinId="9" hidden="1"/>
    <cellStyle name="Hiperlink Visitado" xfId="616" builtinId="9" hidden="1"/>
    <cellStyle name="Hiperlink Visitado" xfId="598" builtinId="9" hidden="1"/>
    <cellStyle name="Hiperlink Visitado" xfId="584" builtinId="9" hidden="1"/>
    <cellStyle name="Hiperlink Visitado" xfId="586" builtinId="9" hidden="1"/>
    <cellStyle name="Hiperlink Visitado" xfId="588" builtinId="9" hidden="1"/>
    <cellStyle name="Hiperlink Visitado" xfId="590" builtinId="9" hidden="1"/>
    <cellStyle name="Hiperlink Visitado" xfId="632" builtinId="9" hidden="1"/>
    <cellStyle name="Hiperlink Visitado" xfId="626" builtinId="9" hidden="1"/>
    <cellStyle name="Hiperlink Visitado" xfId="628" builtinId="9" hidden="1"/>
    <cellStyle name="Hiperlink Visitado" xfId="634" builtinId="9" hidden="1"/>
    <cellStyle name="Hiperlink Visitado" xfId="636" builtinId="9" hidden="1"/>
    <cellStyle name="Hiperlink Visitado" xfId="638" builtinId="9" hidden="1"/>
    <cellStyle name="Hiperlink Visitado" xfId="640" builtinId="9" hidden="1"/>
    <cellStyle name="Hiperlink Visitado" xfId="642" builtinId="9" hidden="1"/>
    <cellStyle name="Hiperlink Visitado" xfId="644" builtinId="9" hidden="1"/>
    <cellStyle name="Hiperlink Visitado" xfId="646" builtinId="9" hidden="1"/>
    <cellStyle name="Hiperlink Visitado" xfId="648" builtinId="9" hidden="1"/>
    <cellStyle name="Hiperlink Visitado" xfId="630" builtinId="9" hidden="1"/>
    <cellStyle name="Hiperlink Visitado" xfId="664" builtinId="9" hidden="1"/>
    <cellStyle name="Hiperlink Visitado" xfId="618" builtinId="9" hidden="1"/>
    <cellStyle name="Hiperlink Visitado" xfId="620" builtinId="9" hidden="1"/>
    <cellStyle name="Hiperlink Visitado" xfId="622" builtinId="9" hidden="1"/>
    <cellStyle name="Hiperlink Visitado" xfId="624" builtinId="9" hidden="1"/>
    <cellStyle name="Hiperlink Visitado" xfId="670" builtinId="9" hidden="1"/>
    <cellStyle name="Hiperlink Visitado" xfId="672" builtinId="9" hidden="1"/>
    <cellStyle name="Hiperlink Visitado" xfId="668" builtinId="9" hidden="1"/>
    <cellStyle name="Hiperlink Visitado" xfId="666" builtinId="9" hidden="1"/>
    <cellStyle name="Hyperlink 2" xfId="182" xr:uid="{00000000-0005-0000-0000-000008010000}"/>
    <cellStyle name="Incorreto 2" xfId="183" xr:uid="{00000000-0005-0000-0000-000009010000}"/>
    <cellStyle name="Incorreto 2 2" xfId="184" xr:uid="{00000000-0005-0000-0000-00000A010000}"/>
    <cellStyle name="Indefinido" xfId="185" xr:uid="{00000000-0005-0000-0000-00000B010000}"/>
    <cellStyle name="Indefinido 2" xfId="186" xr:uid="{00000000-0005-0000-0000-00000C010000}"/>
    <cellStyle name="Input" xfId="187" xr:uid="{00000000-0005-0000-0000-00000D010000}"/>
    <cellStyle name="Input 2" xfId="188" xr:uid="{00000000-0005-0000-0000-00000E010000}"/>
    <cellStyle name="Input 2 2" xfId="752" xr:uid="{4CF486BA-C8D6-45DA-8B34-02A99F330D00}"/>
    <cellStyle name="Input 2 2 2" xfId="1028" xr:uid="{55F8897A-8BC2-4A69-9999-4E6D59F05741}"/>
    <cellStyle name="Input 2 3" xfId="866" xr:uid="{677C17AC-2F8A-4A4D-83A3-DC283A25B71D}"/>
    <cellStyle name="Input 2 3 2" xfId="1141" xr:uid="{73BAA3B7-94DB-4176-9960-EE5DD251FDB9}"/>
    <cellStyle name="Input 2 4" xfId="934" xr:uid="{AF6FAD2F-F123-4C64-9363-76719BD4A7BD}"/>
    <cellStyle name="Input 3" xfId="751" xr:uid="{1FC8AEEE-D3A9-4167-88BE-9B69F92E8D3E}"/>
    <cellStyle name="Input 3 2" xfId="1027" xr:uid="{ECD95A0E-84A0-48D7-9822-99FC9197D61A}"/>
    <cellStyle name="Input 4" xfId="745" xr:uid="{A8C10DA7-1830-4895-8F8D-10FF26C07A98}"/>
    <cellStyle name="Input 4 2" xfId="1021" xr:uid="{204DEB54-346A-4D9D-A305-312D71EFDBEA}"/>
    <cellStyle name="Input 5" xfId="933" xr:uid="{E96F2207-8016-45CC-806A-11FFA3171D8B}"/>
    <cellStyle name="Kostnadskalkyl" xfId="189" xr:uid="{00000000-0005-0000-0000-00000F010000}"/>
    <cellStyle name="Kurs" xfId="190" xr:uid="{00000000-0005-0000-0000-000010010000}"/>
    <cellStyle name="Kurs 2" xfId="191" xr:uid="{00000000-0005-0000-0000-000011010000}"/>
    <cellStyle name="Linked Cell" xfId="192" xr:uid="{00000000-0005-0000-0000-000012010000}"/>
    <cellStyle name="material" xfId="193" xr:uid="{00000000-0005-0000-0000-000013010000}"/>
    <cellStyle name="material 2" xfId="194" xr:uid="{00000000-0005-0000-0000-000014010000}"/>
    <cellStyle name="mendes" xfId="195" xr:uid="{00000000-0005-0000-0000-000015010000}"/>
    <cellStyle name="mendes 2" xfId="196" xr:uid="{00000000-0005-0000-0000-000016010000}"/>
    <cellStyle name="Millares_Tunel prospección - partidas" xfId="197" xr:uid="{00000000-0005-0000-0000-000017010000}"/>
    <cellStyle name="Moeda" xfId="9" builtinId="4"/>
    <cellStyle name="Moeda [0] 2" xfId="198" xr:uid="{00000000-0005-0000-0000-000019010000}"/>
    <cellStyle name="Moeda [0] 2 2" xfId="199" xr:uid="{00000000-0005-0000-0000-00001A010000}"/>
    <cellStyle name="Moeda 10" xfId="200" xr:uid="{00000000-0005-0000-0000-00001B010000}"/>
    <cellStyle name="Moeda 10 2" xfId="201" xr:uid="{00000000-0005-0000-0000-00001C010000}"/>
    <cellStyle name="Moeda 10 3" xfId="753" xr:uid="{5AC2B7CF-6FC6-4977-8954-2F516281530C}"/>
    <cellStyle name="Moeda 10 3 2" xfId="1029" xr:uid="{0F557D67-9364-4942-92C2-2EAA7AD44048}"/>
    <cellStyle name="Moeda 11" xfId="202" xr:uid="{00000000-0005-0000-0000-00001D010000}"/>
    <cellStyle name="Moeda 11 2" xfId="203" xr:uid="{00000000-0005-0000-0000-00001E010000}"/>
    <cellStyle name="Moeda 12" xfId="204" xr:uid="{00000000-0005-0000-0000-00001F010000}"/>
    <cellStyle name="Moeda 12 2" xfId="679" xr:uid="{C5799379-1DFC-4CDA-9D7B-AF51663DEC32}"/>
    <cellStyle name="Moeda 13" xfId="205" xr:uid="{00000000-0005-0000-0000-000020010000}"/>
    <cellStyle name="Moeda 13 2" xfId="754" xr:uid="{3EC4BC85-5882-4ED2-BCF4-50FD649CB998}"/>
    <cellStyle name="Moeda 13 2 2" xfId="1030" xr:uid="{1B002777-20D1-42E7-A021-00F7E548F2C0}"/>
    <cellStyle name="Moeda 13 3" xfId="935" xr:uid="{0C943B2F-25C2-4F84-B818-ACC296F98C1F}"/>
    <cellStyle name="Moeda 14" xfId="206" xr:uid="{00000000-0005-0000-0000-000021010000}"/>
    <cellStyle name="Moeda 14 2" xfId="755" xr:uid="{47F0FCA1-7B6A-40AC-98BE-F0EAA9D275DA}"/>
    <cellStyle name="Moeda 14 2 2" xfId="1031" xr:uid="{50FDE0BD-489D-486A-9F9F-2B375BA69C04}"/>
    <cellStyle name="Moeda 14 3" xfId="936" xr:uid="{449DDB27-6952-43BF-96C5-AED10D21C979}"/>
    <cellStyle name="Moeda 15" xfId="207" xr:uid="{00000000-0005-0000-0000-000022010000}"/>
    <cellStyle name="Moeda 16" xfId="602" xr:uid="{00000000-0005-0000-0000-000023010000}"/>
    <cellStyle name="Moeda 16 2" xfId="860" xr:uid="{956E079B-50B2-40F1-BB95-6B7452438C98}"/>
    <cellStyle name="Moeda 16 2 2" xfId="1136" xr:uid="{0920184A-7997-4753-88C2-EC6B0C24AB30}"/>
    <cellStyle name="Moeda 16 3" xfId="978" xr:uid="{98C6CC91-15EA-4B40-A128-EBC982B5724F}"/>
    <cellStyle name="Moeda 17" xfId="673" xr:uid="{00000000-0005-0000-0000-000024010000}"/>
    <cellStyle name="Moeda 17 2" xfId="864" xr:uid="{85EB00F4-448A-4D2B-BD8F-BE8C12FC8DBD}"/>
    <cellStyle name="Moeda 17 2 2" xfId="1139" xr:uid="{7F411931-72D4-45D2-8BAA-068DB4E3BE77}"/>
    <cellStyle name="Moeda 17 3" xfId="979" xr:uid="{FF7C9780-A84D-4738-911F-591206DA701C}"/>
    <cellStyle name="Moeda 18" xfId="681" xr:uid="{B2653789-C594-451E-B590-CC686B766B6B}"/>
    <cellStyle name="Moeda 18 2" xfId="895" xr:uid="{4AD5ED19-7349-4840-9ECE-586BC1A3DED3}"/>
    <cellStyle name="Moeda 18 2 2" xfId="1150" xr:uid="{EA02DE6A-C118-4B25-8364-9B5F87FEE063}"/>
    <cellStyle name="Moeda 18 3" xfId="985" xr:uid="{F9B980B8-F7A1-4251-BF2B-F8D6A27E2976}"/>
    <cellStyle name="Moeda 19" xfId="896" xr:uid="{51EF6870-686F-4BF3-BF89-1706C3F14923}"/>
    <cellStyle name="Moeda 19 2" xfId="1151" xr:uid="{7FD6DD22-8235-4AD1-A27D-9588C9E3B35A}"/>
    <cellStyle name="Moeda 2" xfId="12" xr:uid="{00000000-0005-0000-0000-000025010000}"/>
    <cellStyle name="Moeda 2 2" xfId="208" xr:uid="{00000000-0005-0000-0000-000026010000}"/>
    <cellStyle name="Moeda 2 2 2" xfId="209" xr:uid="{00000000-0005-0000-0000-000027010000}"/>
    <cellStyle name="Moeda 2 2 2 2" xfId="210" xr:uid="{00000000-0005-0000-0000-000028010000}"/>
    <cellStyle name="Moeda 2 2 3" xfId="211" xr:uid="{00000000-0005-0000-0000-000029010000}"/>
    <cellStyle name="Moeda 2 2 3 2" xfId="212" xr:uid="{00000000-0005-0000-0000-00002A010000}"/>
    <cellStyle name="Moeda 2 2 4" xfId="213" xr:uid="{00000000-0005-0000-0000-00002B010000}"/>
    <cellStyle name="Moeda 2 3" xfId="214" xr:uid="{00000000-0005-0000-0000-00002C010000}"/>
    <cellStyle name="Moeda 2 3 2" xfId="215" xr:uid="{00000000-0005-0000-0000-00002D010000}"/>
    <cellStyle name="Moeda 2 4" xfId="216" xr:uid="{00000000-0005-0000-0000-00002E010000}"/>
    <cellStyle name="Moeda 2 5" xfId="217" xr:uid="{00000000-0005-0000-0000-00002F010000}"/>
    <cellStyle name="Moeda 2 6" xfId="678" xr:uid="{DB129D95-71E3-4A36-9751-9AAEE182F24C}"/>
    <cellStyle name="Moeda 2 6 2" xfId="892" xr:uid="{3DF36C3A-79AD-4052-9D5D-EEA4CF4B3964}"/>
    <cellStyle name="Moeda 2 6 3" xfId="983" xr:uid="{D6C487E6-086C-4A5F-ADAD-BF8623C23064}"/>
    <cellStyle name="Moeda 2 7" xfId="736" xr:uid="{92899767-2DF4-4B81-85B9-F2468E1C3F7A}"/>
    <cellStyle name="Moeda 2 7 2" xfId="1012" xr:uid="{85960A9E-4C21-48E5-8A79-52CBC6345C18}"/>
    <cellStyle name="Moeda 2 8" xfId="924" xr:uid="{EC2E409B-18C9-4C64-9A17-42895B6B25D0}"/>
    <cellStyle name="Moeda 2_LY-0101-001111-011 Revisao B - QQP e Anexos SDC 1586065" xfId="218" xr:uid="{00000000-0005-0000-0000-000030010000}"/>
    <cellStyle name="Moeda 20" xfId="733" xr:uid="{45D8BE0A-4691-4152-AD09-F61EEAAC221C}"/>
    <cellStyle name="Moeda 20 2" xfId="1009" xr:uid="{6B68B790-D7B2-4B62-A62B-E7F27B151572}"/>
    <cellStyle name="Moeda 21" xfId="861" xr:uid="{9F5A7D0D-F48E-495D-AB02-893F5ECEBFCC}"/>
    <cellStyle name="Moeda 21 2" xfId="1137" xr:uid="{77270A70-9527-4EB5-B1B7-2B057B382812}"/>
    <cellStyle name="Moeda 22" xfId="897" xr:uid="{9595AA63-1ADF-4388-81D8-C43629117892}"/>
    <cellStyle name="Moeda 22 2" xfId="1152" xr:uid="{94933546-1271-464B-B1DC-0B77AB4F4485}"/>
    <cellStyle name="Moeda 23" xfId="922" xr:uid="{E5C329AB-40FA-46B2-8FC8-63C453319C3C}"/>
    <cellStyle name="Moeda 3" xfId="219" xr:uid="{00000000-0005-0000-0000-000031010000}"/>
    <cellStyle name="Moeda 3 2" xfId="220" xr:uid="{00000000-0005-0000-0000-000032010000}"/>
    <cellStyle name="Moeda 4" xfId="221" xr:uid="{00000000-0005-0000-0000-000033010000}"/>
    <cellStyle name="Moeda 4 2" xfId="222" xr:uid="{00000000-0005-0000-0000-000034010000}"/>
    <cellStyle name="Moeda 4 3" xfId="223" xr:uid="{00000000-0005-0000-0000-000035010000}"/>
    <cellStyle name="Moeda 4 4" xfId="224" xr:uid="{00000000-0005-0000-0000-000036010000}"/>
    <cellStyle name="Moeda 4_QQP TERRAPLENAGEM PAVIMENTAÇÃO DIOC REV.02" xfId="225" xr:uid="{00000000-0005-0000-0000-000037010000}"/>
    <cellStyle name="Moeda 5" xfId="226" xr:uid="{00000000-0005-0000-0000-000038010000}"/>
    <cellStyle name="Moeda 5 2" xfId="227" xr:uid="{00000000-0005-0000-0000-000039010000}"/>
    <cellStyle name="Moeda 5 3" xfId="228" xr:uid="{00000000-0005-0000-0000-00003A010000}"/>
    <cellStyle name="Moeda 5 4" xfId="756" xr:uid="{60E64AA8-E5FC-4C7D-8A2F-20669EEF5439}"/>
    <cellStyle name="Moeda 5 4 2" xfId="1032" xr:uid="{036B28FC-ED5D-43C9-B17F-748995F8F6A1}"/>
    <cellStyle name="Moeda 6" xfId="229" xr:uid="{00000000-0005-0000-0000-00003B010000}"/>
    <cellStyle name="Moeda 6 2" xfId="230" xr:uid="{00000000-0005-0000-0000-00003C010000}"/>
    <cellStyle name="Moeda 7" xfId="231" xr:uid="{00000000-0005-0000-0000-00003D010000}"/>
    <cellStyle name="Moeda 7 2" xfId="232" xr:uid="{00000000-0005-0000-0000-00003E010000}"/>
    <cellStyle name="Moeda 7 3" xfId="757" xr:uid="{959529EA-8162-435A-9DB5-0B9C896B571B}"/>
    <cellStyle name="Moeda 7 3 2" xfId="1033" xr:uid="{E7172EC6-6A6D-4FFD-9117-C0132BBC7D22}"/>
    <cellStyle name="Moeda 8" xfId="233" xr:uid="{00000000-0005-0000-0000-00003F010000}"/>
    <cellStyle name="Moeda 8 2" xfId="234" xr:uid="{00000000-0005-0000-0000-000040010000}"/>
    <cellStyle name="Moeda 8 3" xfId="758" xr:uid="{10330D1E-118F-47A9-8661-EA168364D7D9}"/>
    <cellStyle name="Moeda 8 3 2" xfId="1034" xr:uid="{024EF0BD-AB74-463D-BBFD-A185F5A2439B}"/>
    <cellStyle name="Moeda 9" xfId="235" xr:uid="{00000000-0005-0000-0000-000041010000}"/>
    <cellStyle name="Moeda 9 2" xfId="236" xr:uid="{00000000-0005-0000-0000-000042010000}"/>
    <cellStyle name="Moeda 9 3" xfId="759" xr:uid="{F2B8CCB3-8318-4C1A-B5C7-4A90AD5D11EA}"/>
    <cellStyle name="Moeda 9 3 2" xfId="1035" xr:uid="{959FB363-A3A3-4EF6-BFB1-1C64C39AC6D1}"/>
    <cellStyle name="mpenho" xfId="237" xr:uid="{00000000-0005-0000-0000-000043010000}"/>
    <cellStyle name="mpenho 2" xfId="238" xr:uid="{00000000-0005-0000-0000-000044010000}"/>
    <cellStyle name="Neutra 2" xfId="239" xr:uid="{00000000-0005-0000-0000-000045010000}"/>
    <cellStyle name="Neutra 2 2" xfId="240" xr:uid="{00000000-0005-0000-0000-000046010000}"/>
    <cellStyle name="Neutral" xfId="241" xr:uid="{00000000-0005-0000-0000-000047010000}"/>
    <cellStyle name="Neutral 2" xfId="242" xr:uid="{00000000-0005-0000-0000-000048010000}"/>
    <cellStyle name="Neutro 2" xfId="884" xr:uid="{FA536C18-4CD7-439B-8B5C-A8E7EB272074}"/>
    <cellStyle name="Normal" xfId="0" builtinId="0"/>
    <cellStyle name="Normal - Estilo1" xfId="243" xr:uid="{00000000-0005-0000-0000-00004A010000}"/>
    <cellStyle name="Normal - Estilo2" xfId="244" xr:uid="{00000000-0005-0000-0000-00004B010000}"/>
    <cellStyle name="Normal - Estilo3" xfId="245" xr:uid="{00000000-0005-0000-0000-00004C010000}"/>
    <cellStyle name="Normal - Estilo4" xfId="246" xr:uid="{00000000-0005-0000-0000-00004D010000}"/>
    <cellStyle name="Normal - Estilo5" xfId="247" xr:uid="{00000000-0005-0000-0000-00004E010000}"/>
    <cellStyle name="Normal - Estilo6" xfId="248" xr:uid="{00000000-0005-0000-0000-00004F010000}"/>
    <cellStyle name="Normal - Estilo7" xfId="249" xr:uid="{00000000-0005-0000-0000-000050010000}"/>
    <cellStyle name="Normal - Estilo8" xfId="250" xr:uid="{00000000-0005-0000-0000-000051010000}"/>
    <cellStyle name="Normal 10" xfId="251" xr:uid="{00000000-0005-0000-0000-000052010000}"/>
    <cellStyle name="Normal 10 2 2 5" xfId="914" xr:uid="{491B8E5B-2335-4264-A212-22C640961EFB}"/>
    <cellStyle name="Normal 11" xfId="252" xr:uid="{00000000-0005-0000-0000-000053010000}"/>
    <cellStyle name="Normal 11 2" xfId="253" xr:uid="{00000000-0005-0000-0000-000054010000}"/>
    <cellStyle name="Normal 11 2 2" xfId="254" xr:uid="{00000000-0005-0000-0000-000055010000}"/>
    <cellStyle name="Normal 11 2 3" xfId="255" xr:uid="{00000000-0005-0000-0000-000056010000}"/>
    <cellStyle name="Normal 12" xfId="256" xr:uid="{00000000-0005-0000-0000-000057010000}"/>
    <cellStyle name="Normal 12 2" xfId="257" xr:uid="{00000000-0005-0000-0000-000058010000}"/>
    <cellStyle name="Normal 12 3" xfId="760" xr:uid="{5A1C5193-6D73-43AF-BB87-2A13F5CAD48B}"/>
    <cellStyle name="Normal 12 3 2" xfId="1036" xr:uid="{67CE4DAF-0C10-4A22-B429-93CB8BF5734D}"/>
    <cellStyle name="Normal 12 4" xfId="937" xr:uid="{AA0699FC-03CE-4288-8CE4-E7B93F4E1364}"/>
    <cellStyle name="Normal 13" xfId="258" xr:uid="{00000000-0005-0000-0000-000059010000}"/>
    <cellStyle name="Normal 13 2" xfId="259" xr:uid="{00000000-0005-0000-0000-00005A010000}"/>
    <cellStyle name="Normal 13 3" xfId="601" xr:uid="{00000000-0005-0000-0000-00005B010000}"/>
    <cellStyle name="Normal 13 4" xfId="689" xr:uid="{2CA417DD-9731-41AD-BE09-48B180D6DC0F}"/>
    <cellStyle name="Normal 13 5" xfId="761" xr:uid="{AE665DA7-10FB-4E96-9BB4-06F2B70E15CB}"/>
    <cellStyle name="Normal 13 5 2" xfId="1037" xr:uid="{317558E5-965F-404E-902E-31F3883C8762}"/>
    <cellStyle name="Normal 13 6" xfId="938" xr:uid="{3C3BB0D7-7A45-4B83-AC1C-D806E6C2DFDB}"/>
    <cellStyle name="Normal 14" xfId="260" xr:uid="{00000000-0005-0000-0000-00005C010000}"/>
    <cellStyle name="Normal 14 2" xfId="261" xr:uid="{00000000-0005-0000-0000-00005D010000}"/>
    <cellStyle name="Normal 14 3" xfId="762" xr:uid="{1110812D-0DE9-4625-8A49-68764905F766}"/>
    <cellStyle name="Normal 14 3 2" xfId="1038" xr:uid="{4B677F67-06CD-49CE-B604-91C9ECB14815}"/>
    <cellStyle name="Normal 14 4" xfId="939" xr:uid="{9CCDABB5-447C-433B-BD24-2DAB2FF5091E}"/>
    <cellStyle name="Normal 15" xfId="262" xr:uid="{00000000-0005-0000-0000-00005E010000}"/>
    <cellStyle name="Normal 15 2" xfId="263" xr:uid="{00000000-0005-0000-0000-00005F010000}"/>
    <cellStyle name="Normal 15 3" xfId="764" xr:uid="{FADBA9DA-4768-4249-A596-A905522272EE}"/>
    <cellStyle name="Normal 15 3 2" xfId="1040" xr:uid="{4F3ADA8F-F9AB-4E4A-953C-D33441E5F64B}"/>
    <cellStyle name="Normal 15 4" xfId="940" xr:uid="{E2AC1476-70AD-4C4D-9CB1-3F3725325CB7}"/>
    <cellStyle name="Normal 16" xfId="264" xr:uid="{00000000-0005-0000-0000-000060010000}"/>
    <cellStyle name="Normal 16 2" xfId="265" xr:uid="{00000000-0005-0000-0000-000061010000}"/>
    <cellStyle name="Normal 16 3" xfId="766" xr:uid="{65DEBA3F-466A-4ADB-AF0C-3C370BB85EB6}"/>
    <cellStyle name="Normal 16 3 2" xfId="1042" xr:uid="{9D808050-2488-45D7-A886-9A68F04FD398}"/>
    <cellStyle name="Normal 16 4" xfId="941" xr:uid="{23FCDC6F-5EA7-4DE4-B880-134D7CA7C1CE}"/>
    <cellStyle name="Normal 17" xfId="266" xr:uid="{00000000-0005-0000-0000-000062010000}"/>
    <cellStyle name="Normal 17 2" xfId="267" xr:uid="{00000000-0005-0000-0000-000063010000}"/>
    <cellStyle name="Normal 17 3" xfId="768" xr:uid="{580E17FA-EB72-4A86-86CC-2A1C11E735A1}"/>
    <cellStyle name="Normal 17 3 2" xfId="1044" xr:uid="{A1BDD225-11BF-4808-A6C0-BB9EAA66DAFA}"/>
    <cellStyle name="Normal 17 4" xfId="942" xr:uid="{A581C4F0-74F8-4353-B264-7B8159BBB63A}"/>
    <cellStyle name="Normal 18" xfId="268" xr:uid="{00000000-0005-0000-0000-000064010000}"/>
    <cellStyle name="Normal 18 2" xfId="269" xr:uid="{00000000-0005-0000-0000-000065010000}"/>
    <cellStyle name="Normal 18 3" xfId="770" xr:uid="{90DCBF17-53DF-4D6A-AB88-7FB78E69CD76}"/>
    <cellStyle name="Normal 18 3 2" xfId="1046" xr:uid="{9809ADD7-9507-48D7-98E0-085365DF884B}"/>
    <cellStyle name="Normal 18 4" xfId="943" xr:uid="{E944EA8A-0C2E-40E7-BBEE-4475B4BE90E3}"/>
    <cellStyle name="Normal 19" xfId="270" xr:uid="{00000000-0005-0000-0000-000066010000}"/>
    <cellStyle name="Normal 19 2" xfId="271" xr:uid="{00000000-0005-0000-0000-000067010000}"/>
    <cellStyle name="Normal 19 3" xfId="772" xr:uid="{1BB4F370-94CC-462F-825C-436B2FB90CC0}"/>
    <cellStyle name="Normal 19 3 2" xfId="1048" xr:uid="{1156169D-F136-4A16-8468-AE58A918B337}"/>
    <cellStyle name="Normal 19 4" xfId="944" xr:uid="{BFC57A6F-8E3A-4B0D-ADDF-CE79196E5FAD}"/>
    <cellStyle name="Normal 2" xfId="10" xr:uid="{00000000-0005-0000-0000-000068010000}"/>
    <cellStyle name="Normal 2 2" xfId="272" xr:uid="{00000000-0005-0000-0000-000069010000}"/>
    <cellStyle name="Normal 2 2 2" xfId="273" xr:uid="{00000000-0005-0000-0000-00006A010000}"/>
    <cellStyle name="Normal 2 2 2 2" xfId="274" xr:uid="{00000000-0005-0000-0000-00006B010000}"/>
    <cellStyle name="Normal 2 2 2 3" xfId="275" xr:uid="{00000000-0005-0000-0000-00006C010000}"/>
    <cellStyle name="Normal 2 2 2 4" xfId="276" xr:uid="{00000000-0005-0000-0000-00006D010000}"/>
    <cellStyle name="Normal 2 2 3" xfId="277" xr:uid="{00000000-0005-0000-0000-00006E010000}"/>
    <cellStyle name="Normal 2 2 4" xfId="278" xr:uid="{00000000-0005-0000-0000-00006F010000}"/>
    <cellStyle name="Normal 2 2 5" xfId="279" xr:uid="{00000000-0005-0000-0000-000070010000}"/>
    <cellStyle name="Normal 2 3" xfId="4" xr:uid="{00000000-0005-0000-0000-000071010000}"/>
    <cellStyle name="Normal 2 3 2" xfId="684" xr:uid="{62B30266-71CE-4437-A6B0-5AA0911839E5}"/>
    <cellStyle name="Normal 2 3 2 2" xfId="697" xr:uid="{B0D6B2E3-E9D2-4267-A277-C834B2676256}"/>
    <cellStyle name="Normal 2 3 2 2 2" xfId="993" xr:uid="{059975F9-D6DC-4787-B898-AD03A9630211}"/>
    <cellStyle name="Normal 2 3 2 3" xfId="987" xr:uid="{541FD3D6-04C8-4AC1-9FAF-93E6D782A8F7}"/>
    <cellStyle name="Normal 2 3 3" xfId="694" xr:uid="{82B49461-047B-4009-A4F6-32AA75F19FD5}"/>
    <cellStyle name="Normal 2 3 3 2" xfId="990" xr:uid="{D616B44E-49A6-4ED7-AE89-88B20D833D3D}"/>
    <cellStyle name="Normal 2 4" xfId="280" xr:uid="{00000000-0005-0000-0000-000072010000}"/>
    <cellStyle name="Normal 2 4 2" xfId="698" xr:uid="{0B574039-9C47-4278-AC36-4458559403A9}"/>
    <cellStyle name="Normal 2 4 2 2" xfId="994" xr:uid="{D9971400-8D46-4182-8D5F-EBC86BAEA389}"/>
    <cellStyle name="Normal 2 4 3" xfId="695" xr:uid="{C4B3015A-0F8C-4196-B8AA-D20D04D72CDC}"/>
    <cellStyle name="Normal 2 4 3 2" xfId="991" xr:uid="{94EC5F9F-E78F-44DA-B30E-A7C33EC5C4E2}"/>
    <cellStyle name="Normal 2 47" xfId="911" xr:uid="{7F9FB260-C983-46B1-8E8C-330E58A2BF7A}"/>
    <cellStyle name="Normal 2 5" xfId="281" xr:uid="{00000000-0005-0000-0000-000073010000}"/>
    <cellStyle name="Normal 2 6" xfId="282" xr:uid="{00000000-0005-0000-0000-000074010000}"/>
    <cellStyle name="Normal 2 7" xfId="283" xr:uid="{00000000-0005-0000-0000-000075010000}"/>
    <cellStyle name="Normal 2 8" xfId="687" xr:uid="{9BCF1910-DFB0-4FF4-A456-FD2DDE9736A1}"/>
    <cellStyle name="Normal 2 8 2" xfId="870" xr:uid="{59089F81-DE45-44F4-A2D8-E84154153EC0}"/>
    <cellStyle name="Normal 2 8 2 2" xfId="1144" xr:uid="{9BA3974F-4623-414C-BB2D-532DD7B5FF36}"/>
    <cellStyle name="Normal 2_13aMedicao(1)" xfId="284" xr:uid="{00000000-0005-0000-0000-000076010000}"/>
    <cellStyle name="Normal 20" xfId="285" xr:uid="{00000000-0005-0000-0000-000077010000}"/>
    <cellStyle name="Normal 21" xfId="286" xr:uid="{00000000-0005-0000-0000-000078010000}"/>
    <cellStyle name="Normal 22" xfId="287" xr:uid="{00000000-0005-0000-0000-000079010000}"/>
    <cellStyle name="Normal 23" xfId="288" xr:uid="{00000000-0005-0000-0000-00007A010000}"/>
    <cellStyle name="Normal 24" xfId="289" xr:uid="{00000000-0005-0000-0000-00007B010000}"/>
    <cellStyle name="Normal 24 2" xfId="290" xr:uid="{00000000-0005-0000-0000-00007C010000}"/>
    <cellStyle name="Normal 24 3" xfId="291" xr:uid="{00000000-0005-0000-0000-00007D010000}"/>
    <cellStyle name="Normal 24 3 2" xfId="776" xr:uid="{648C365B-1873-46EB-84FB-99AF2E1199E4}"/>
    <cellStyle name="Normal 24 3 2 2" xfId="1052" xr:uid="{394F8EE3-A5A3-441A-92E3-5DB050EC6755}"/>
    <cellStyle name="Normal 24 3 3" xfId="945" xr:uid="{F31B0BB4-973D-4E33-A508-BCEAC60E985F}"/>
    <cellStyle name="Normal 25" xfId="292" xr:uid="{00000000-0005-0000-0000-00007E010000}"/>
    <cellStyle name="Normal 25 2" xfId="293" xr:uid="{00000000-0005-0000-0000-00007F010000}"/>
    <cellStyle name="Normal 25 3" xfId="294" xr:uid="{00000000-0005-0000-0000-000080010000}"/>
    <cellStyle name="Normal 25 3 2" xfId="777" xr:uid="{C23402C7-BD36-4B60-9154-E23D229B4F0F}"/>
    <cellStyle name="Normal 25 3 2 2" xfId="1053" xr:uid="{931B90DE-B487-4260-ABE2-DA920564DFD7}"/>
    <cellStyle name="Normal 25 3 3" xfId="946" xr:uid="{B379C313-920E-4284-8897-ED9783925B8D}"/>
    <cellStyle name="Normal 26" xfId="295" xr:uid="{00000000-0005-0000-0000-000081010000}"/>
    <cellStyle name="Normal 26 2" xfId="296" xr:uid="{00000000-0005-0000-0000-000082010000}"/>
    <cellStyle name="Normal 26 3" xfId="297" xr:uid="{00000000-0005-0000-0000-000083010000}"/>
    <cellStyle name="Normal 26 3 2" xfId="778" xr:uid="{C5B48665-900D-4F8A-915D-6835CE198A09}"/>
    <cellStyle name="Normal 26 3 2 2" xfId="1054" xr:uid="{1B8051A5-2C75-45C7-8F22-88F93A795791}"/>
    <cellStyle name="Normal 26 3 3" xfId="947" xr:uid="{0ECB34E7-670B-4F23-98A2-27D246780365}"/>
    <cellStyle name="Normal 27" xfId="298" xr:uid="{00000000-0005-0000-0000-000084010000}"/>
    <cellStyle name="Normal 27 2" xfId="299" xr:uid="{00000000-0005-0000-0000-000085010000}"/>
    <cellStyle name="Normal 27 2 2" xfId="779" xr:uid="{18289D8E-96AB-4AD0-AB96-A4C13DAA9225}"/>
    <cellStyle name="Normal 27 2 2 2" xfId="1055" xr:uid="{1726DA20-4D37-431F-A4CB-C8BCC4362D3D}"/>
    <cellStyle name="Normal 27 2 3" xfId="948" xr:uid="{0CA1327D-FA40-417D-9F06-FA2EB459A080}"/>
    <cellStyle name="Normal 28" xfId="300" xr:uid="{00000000-0005-0000-0000-000086010000}"/>
    <cellStyle name="Normal 28 2" xfId="780" xr:uid="{A28C10FA-E63C-458F-BF25-C2E83CCECA43}"/>
    <cellStyle name="Normal 28 2 2" xfId="1056" xr:uid="{BC4E4681-EED4-400F-8B46-7FDA65CACE9B}"/>
    <cellStyle name="Normal 28 3" xfId="949" xr:uid="{B47ACF84-937F-440A-97EA-77CDDCCC1383}"/>
    <cellStyle name="Normal 29" xfId="301" xr:uid="{00000000-0005-0000-0000-000087010000}"/>
    <cellStyle name="Normal 29 2" xfId="781" xr:uid="{CD51C76A-D7C0-4313-B6D1-331191FA6079}"/>
    <cellStyle name="Normal 29 2 2" xfId="1057" xr:uid="{5003E544-67E1-4EAD-AD28-58EA9BD3E5CE}"/>
    <cellStyle name="Normal 29 3" xfId="950" xr:uid="{ED06A987-9BBD-40AA-9F78-7E53AABE6BCB}"/>
    <cellStyle name="Normal 3" xfId="13" xr:uid="{00000000-0005-0000-0000-000088010000}"/>
    <cellStyle name="Normal 3 2" xfId="302" xr:uid="{00000000-0005-0000-0000-000089010000}"/>
    <cellStyle name="Normal 3 2 2" xfId="303" xr:uid="{00000000-0005-0000-0000-00008A010000}"/>
    <cellStyle name="Normal 3 2 3" xfId="696" xr:uid="{605789BC-2525-40AA-AC88-7834666FCAFC}"/>
    <cellStyle name="Normal 3 2 3 10" xfId="913" xr:uid="{181813DD-E00B-4259-877F-B329AE1B24BF}"/>
    <cellStyle name="Normal 3 2 3 2" xfId="879" xr:uid="{1EFD867C-C310-4B48-84BD-7A4DEBC3F9C8}"/>
    <cellStyle name="Normal 3 2 3 3" xfId="992" xr:uid="{122AE0C2-584F-49ED-A694-3AA87EEEDD1B}"/>
    <cellStyle name="Normal 3 3" xfId="304" xr:uid="{00000000-0005-0000-0000-00008B010000}"/>
    <cellStyle name="Normal 3 4" xfId="305" xr:uid="{00000000-0005-0000-0000-00008C010000}"/>
    <cellStyle name="Normal 3 5" xfId="693" xr:uid="{877DA25E-E7E8-45C7-8B68-8CBF1D473758}"/>
    <cellStyle name="Normal 3 5 2" xfId="871" xr:uid="{01E5E0E3-8644-4F94-869C-75E35301B6DE}"/>
    <cellStyle name="Normal 3 5 3" xfId="989" xr:uid="{5B34CD9F-4C08-4741-8477-B4E5285DF5F5}"/>
    <cellStyle name="Normal 3_13aMedicao(1)" xfId="306" xr:uid="{00000000-0005-0000-0000-00008D010000}"/>
    <cellStyle name="Normal 30" xfId="307" xr:uid="{00000000-0005-0000-0000-00008E010000}"/>
    <cellStyle name="Normal 30 2" xfId="782" xr:uid="{D726E047-81D3-46F8-B850-FBF20A1E95FB}"/>
    <cellStyle name="Normal 30 2 2" xfId="1058" xr:uid="{9835BAD2-A2DE-482D-911F-0FB6A378ED42}"/>
    <cellStyle name="Normal 30 3" xfId="951" xr:uid="{453E4B62-781D-435A-BB34-3B7661F12650}"/>
    <cellStyle name="Normal 31" xfId="308" xr:uid="{00000000-0005-0000-0000-00008F010000}"/>
    <cellStyle name="Normal 31 2" xfId="783" xr:uid="{29E0F02C-EEC9-4024-A880-79398A567F8F}"/>
    <cellStyle name="Normal 31 2 2" xfId="1059" xr:uid="{7CBCB3FC-0A0F-409E-9D08-288C95D1AA5F}"/>
    <cellStyle name="Normal 31 3" xfId="952" xr:uid="{0C1EF70C-61F0-41C2-91C8-DFD167E91CE6}"/>
    <cellStyle name="Normal 32" xfId="309" xr:uid="{00000000-0005-0000-0000-000090010000}"/>
    <cellStyle name="Normal 32 2" xfId="784" xr:uid="{85C2FF7F-EEAB-420B-BF7D-1F8F1E262F87}"/>
    <cellStyle name="Normal 32 2 2" xfId="1060" xr:uid="{7BF1A9D8-F450-424C-BE0D-4BD5C733310A}"/>
    <cellStyle name="Normal 32 3" xfId="953" xr:uid="{5B7AE158-3889-4F29-A332-8C0756656641}"/>
    <cellStyle name="Normal 33" xfId="310" xr:uid="{00000000-0005-0000-0000-000091010000}"/>
    <cellStyle name="Normal 33 2" xfId="785" xr:uid="{8F3BF6B6-1EE3-4E63-972C-E1B232DCDCA5}"/>
    <cellStyle name="Normal 33 2 2" xfId="1061" xr:uid="{B5E6475B-B4C7-4970-937B-AB23656CBBF1}"/>
    <cellStyle name="Normal 33 3" xfId="954" xr:uid="{E858B4CE-CEA0-421D-AB18-5D3436EA5DE5}"/>
    <cellStyle name="Normal 34" xfId="311" xr:uid="{00000000-0005-0000-0000-000092010000}"/>
    <cellStyle name="Normal 35" xfId="312" xr:uid="{00000000-0005-0000-0000-000093010000}"/>
    <cellStyle name="Normal 36" xfId="313" xr:uid="{00000000-0005-0000-0000-000094010000}"/>
    <cellStyle name="Normal 37" xfId="314" xr:uid="{00000000-0005-0000-0000-000095010000}"/>
    <cellStyle name="Normal 38" xfId="315" xr:uid="{00000000-0005-0000-0000-000096010000}"/>
    <cellStyle name="Normal 39" xfId="316" xr:uid="{00000000-0005-0000-0000-000097010000}"/>
    <cellStyle name="Normal 4" xfId="11" xr:uid="{00000000-0005-0000-0000-000098010000}"/>
    <cellStyle name="Normal 4 2" xfId="317" xr:uid="{00000000-0005-0000-0000-000099010000}"/>
    <cellStyle name="Normal 4 3" xfId="872" xr:uid="{2F4CB919-F6CA-419E-B073-BEBA2DC676E6}"/>
    <cellStyle name="Normal 4 4" xfId="735" xr:uid="{425E7D61-5966-43B1-8157-FFE2A758C11B}"/>
    <cellStyle name="Normal 4 4 2" xfId="1011" xr:uid="{BB508409-DB4D-479B-A66B-E80EA0C8AE33}"/>
    <cellStyle name="Normal 4 5" xfId="923" xr:uid="{4C96746B-1292-4FB6-9E7A-9A872DA32D3F}"/>
    <cellStyle name="Normal 4_ORÇAME ROBERTO TEXEIRA" xfId="318" xr:uid="{00000000-0005-0000-0000-00009A010000}"/>
    <cellStyle name="Normal 40" xfId="319" xr:uid="{00000000-0005-0000-0000-00009B010000}"/>
    <cellStyle name="Normal 41" xfId="320" xr:uid="{00000000-0005-0000-0000-00009C010000}"/>
    <cellStyle name="Normal 42" xfId="674" xr:uid="{33308216-5153-4473-8BBF-94DC5C2673D9}"/>
    <cellStyle name="Normal 43" xfId="676" xr:uid="{D2551F80-6A2E-4C6C-9D88-B9EA52A913F3}"/>
    <cellStyle name="Normal 43 2" xfId="868" xr:uid="{4F251DCC-E09C-4B75-91CB-E1B9120594C8}"/>
    <cellStyle name="Normal 43 2 2" xfId="1143" xr:uid="{2C9EE916-6E9A-47BD-AB3F-1983EC51CE86}"/>
    <cellStyle name="Normal 43 3" xfId="981" xr:uid="{4BDFF03A-8B62-4DC0-8FA4-8D0FE57376F4}"/>
    <cellStyle name="Normal 44" xfId="682" xr:uid="{03B141A1-1C79-4852-B62E-5F0F1458B138}"/>
    <cellStyle name="Normal 44 2" xfId="986" xr:uid="{1E68C225-62EC-41AA-A9A1-5E1853713EC1}"/>
    <cellStyle name="Normal 45" xfId="683" xr:uid="{95221ABE-9FE9-434E-B8BF-FB2DA892FF0E}"/>
    <cellStyle name="Normal 46" xfId="686" xr:uid="{807E04F3-B991-4587-8F2C-60F6523C6AAB}"/>
    <cellStyle name="Normal 47" xfId="731" xr:uid="{D99D7BA9-FEFF-44FF-8DD5-FAE51522CE55}"/>
    <cellStyle name="Normal 48" xfId="863" xr:uid="{984BAB59-D1C1-45BB-9D2C-CA68EDBC8809}"/>
    <cellStyle name="Normal 489" xfId="899" xr:uid="{216441FC-4FD7-43C7-AE62-76E62039A2E4}"/>
    <cellStyle name="Normal 489 2" xfId="1153" xr:uid="{1A1B939B-04D4-44BD-97D7-89F49E36CA91}"/>
    <cellStyle name="Normal 49" xfId="898" xr:uid="{8BA46141-D947-4A41-AB18-8F91E60C47F6}"/>
    <cellStyle name="Normal 5" xfId="321" xr:uid="{00000000-0005-0000-0000-00009D010000}"/>
    <cellStyle name="Normal 5 2" xfId="322" xr:uid="{00000000-0005-0000-0000-00009E010000}"/>
    <cellStyle name="Normal 5 3" xfId="323" xr:uid="{00000000-0005-0000-0000-00009F010000}"/>
    <cellStyle name="Normal 5 4" xfId="873" xr:uid="{618AA3DB-FA11-47A5-9E3E-500DFF0DA86A}"/>
    <cellStyle name="Normal 50" xfId="903" xr:uid="{87584867-E56A-4FA0-97D2-8BB4DFACA174}"/>
    <cellStyle name="Normal 50 2" xfId="1156" xr:uid="{D3D510EA-D97D-4D69-9083-1AD4F49F1BCA}"/>
    <cellStyle name="Normal 51" xfId="906" xr:uid="{4592C2C2-31FE-42B1-9D0D-566609D79CE0}"/>
    <cellStyle name="Normal 51 2" xfId="1159" xr:uid="{68BEA8DB-ABD8-49CA-80BE-CDB75C21D6A2}"/>
    <cellStyle name="Normal 52" xfId="908" xr:uid="{BE167186-1255-41C2-879D-BC52C480A3BC}"/>
    <cellStyle name="Normal 53" xfId="920" xr:uid="{5C545DB4-CD8F-41FA-A345-EEFD1C41CE25}"/>
    <cellStyle name="Normal 6" xfId="7" xr:uid="{00000000-0005-0000-0000-0000A0010000}"/>
    <cellStyle name="Normal 6 2" xfId="324" xr:uid="{00000000-0005-0000-0000-0000A1010000}"/>
    <cellStyle name="Normal 6 2 2" xfId="878" xr:uid="{7FA0E87E-91A4-470E-A377-318C490A532D}"/>
    <cellStyle name="Normal 6 3" xfId="3" xr:uid="{00000000-0005-0000-0000-0000A2010000}"/>
    <cellStyle name="Normal 6 4" xfId="325" xr:uid="{00000000-0005-0000-0000-0000A3010000}"/>
    <cellStyle name="Normal 6 5" xfId="573" xr:uid="{00000000-0005-0000-0000-0000A4010000}"/>
    <cellStyle name="Normal 6 5 2" xfId="859" xr:uid="{8B3D2E0A-6E5F-4A5B-B06E-12B69F36F0D5}"/>
    <cellStyle name="Normal 6 5 2 2" xfId="1135" xr:uid="{089F24CF-24B9-4E87-918C-704DD3BF953E}"/>
    <cellStyle name="Normal 6 5 3" xfId="977" xr:uid="{52C3979C-8550-4775-AF6B-4B1193F13B32}"/>
    <cellStyle name="Normal 6 6" xfId="732" xr:uid="{5A89C888-FED6-4478-82A0-91D2821193D9}"/>
    <cellStyle name="Normal 6 6 2" xfId="1008" xr:uid="{C2F665D9-0FEB-43A6-AECF-432072819CD5}"/>
    <cellStyle name="Normal 6 7" xfId="921" xr:uid="{08D3E11E-3E1A-4D4D-A45F-D1E21B3B86C8}"/>
    <cellStyle name="Normal 7" xfId="326" xr:uid="{00000000-0005-0000-0000-0000A5010000}"/>
    <cellStyle name="Normal 7 2" xfId="691" xr:uid="{EF25C0C6-025F-4819-BFC4-C0C12CAD0040}"/>
    <cellStyle name="Normal 7 2 2" xfId="880" xr:uid="{34FBF6B0-7F5F-4D2D-B019-894375B892E4}"/>
    <cellStyle name="Normal 7 3" xfId="874" xr:uid="{60A0EB91-0AA7-471B-9E71-1D8C51C778E4}"/>
    <cellStyle name="Normal 8" xfId="327" xr:uid="{00000000-0005-0000-0000-0000A6010000}"/>
    <cellStyle name="Normal 8 2" xfId="328" xr:uid="{00000000-0005-0000-0000-0000A7010000}"/>
    <cellStyle name="Normal 8 2 2" xfId="882" xr:uid="{141F69CE-981E-408D-80A9-321AFB6EBB1C}"/>
    <cellStyle name="Normal 8 2 3" xfId="916" xr:uid="{E199D183-EDC0-42A4-B54C-EB8FEAEA6EC6}"/>
    <cellStyle name="Normal 8 3" xfId="329" xr:uid="{00000000-0005-0000-0000-0000A8010000}"/>
    <cellStyle name="Normal 8 4" xfId="692" xr:uid="{D18FBB6E-3A99-4112-9140-B214CA93C0CA}"/>
    <cellStyle name="Normal 8 4 2" xfId="877" xr:uid="{39AA6693-307B-4DB4-9845-BBB1E76080FA}"/>
    <cellStyle name="Normal 8 5" xfId="786" xr:uid="{9AA3AED1-F13A-41AF-A02F-30B45F4DEFFE}"/>
    <cellStyle name="Normal 8 5 2" xfId="1062" xr:uid="{267D633D-9E1E-46CF-9A52-D517C64F435E}"/>
    <cellStyle name="Normal 8 6" xfId="955" xr:uid="{583351A1-F6B5-4E87-9069-B9E09EC2949E}"/>
    <cellStyle name="Normal 9" xfId="330" xr:uid="{00000000-0005-0000-0000-0000A9010000}"/>
    <cellStyle name="Normal 9 2" xfId="331" xr:uid="{00000000-0005-0000-0000-0000AA010000}"/>
    <cellStyle name="Normal 9 3" xfId="787" xr:uid="{CFAECCDA-568A-48ED-9085-DC189DA942B3}"/>
    <cellStyle name="Normal 9 3 2" xfId="1063" xr:uid="{477A4319-BB15-4204-9F05-99665D9A7DE6}"/>
    <cellStyle name="Normal 9 4" xfId="956" xr:uid="{B087B818-A0EF-46BC-8717-941C240164FA}"/>
    <cellStyle name="normal plan 1 (2)" xfId="332" xr:uid="{00000000-0005-0000-0000-0000AB010000}"/>
    <cellStyle name="Normal1" xfId="333" xr:uid="{00000000-0005-0000-0000-0000AC010000}"/>
    <cellStyle name="Normal1 2" xfId="334" xr:uid="{00000000-0005-0000-0000-0000AD010000}"/>
    <cellStyle name="Normal1 2 2" xfId="789" xr:uid="{630155D7-557D-41EB-A049-58CE45E1F781}"/>
    <cellStyle name="Normal1 2 2 2" xfId="1065" xr:uid="{164E57D5-6010-4CB5-8484-D709A584D59E}"/>
    <cellStyle name="Normal1 2 3" xfId="763" xr:uid="{EE842296-2A07-4F5C-BF99-6F0C3F3A9C56}"/>
    <cellStyle name="Normal1 2 3 2" xfId="1039" xr:uid="{B347C3C2-9B7E-4A3D-9E40-64A75F1701D8}"/>
    <cellStyle name="Normal1 2 4" xfId="958" xr:uid="{A1A590EC-FFE3-499D-B7E2-A976701510BC}"/>
    <cellStyle name="Normal1 3" xfId="788" xr:uid="{D3AEAAE6-79B4-4044-B759-52B6698721E9}"/>
    <cellStyle name="Normal1 3 2" xfId="1064" xr:uid="{F8842932-B447-4754-9874-24D4C46D5D5C}"/>
    <cellStyle name="Normal1 4" xfId="957" xr:uid="{7CE98266-D3BB-42E7-B35D-EC69CB960BF5}"/>
    <cellStyle name="Nota 2" xfId="335" xr:uid="{00000000-0005-0000-0000-0000AE010000}"/>
    <cellStyle name="Nota 2 2" xfId="336" xr:uid="{00000000-0005-0000-0000-0000AF010000}"/>
    <cellStyle name="Nota 2 2 2" xfId="337" xr:uid="{00000000-0005-0000-0000-0000B0010000}"/>
    <cellStyle name="Nota 2 2 2 2" xfId="792" xr:uid="{D303496B-76C2-4A26-BC29-FD56AF8D5DFC}"/>
    <cellStyle name="Nota 2 2 2 2 2" xfId="1068" xr:uid="{B0E7D2EC-A201-461B-ACF2-16C3192792A3}"/>
    <cellStyle name="Nota 2 2 2 3" xfId="769" xr:uid="{D7D87A86-6005-42CC-AD55-2E23C4ACF300}"/>
    <cellStyle name="Nota 2 2 2 3 2" xfId="1045" xr:uid="{186C8C88-48C2-4C7F-AE7D-B5CDD529D45F}"/>
    <cellStyle name="Nota 2 2 2 4" xfId="961" xr:uid="{23738114-13FE-4E42-8948-AE3DCC701B8D}"/>
    <cellStyle name="Nota 2 2 3" xfId="791" xr:uid="{F141D278-91BD-45EB-8BFA-70D4503A4ED6}"/>
    <cellStyle name="Nota 2 2 3 2" xfId="1067" xr:uid="{FE2C9F04-9121-4650-9C35-070AD9F8AB0C}"/>
    <cellStyle name="Nota 2 2 4" xfId="767" xr:uid="{80A55149-2947-4725-A241-FEE6F56C6648}"/>
    <cellStyle name="Nota 2 2 4 2" xfId="1043" xr:uid="{6717BD57-1A9D-4291-A724-6DE623A3C90E}"/>
    <cellStyle name="Nota 2 2 5" xfId="960" xr:uid="{3B923A25-CE13-4620-9F90-EFBBC70BB1AE}"/>
    <cellStyle name="Nota 2 3" xfId="338" xr:uid="{00000000-0005-0000-0000-0000B1010000}"/>
    <cellStyle name="Nota 2 3 2" xfId="793" xr:uid="{086549D8-810D-48A5-9029-D8E8E9E76AEA}"/>
    <cellStyle name="Nota 2 3 2 2" xfId="1069" xr:uid="{DB9CEE2F-ABE4-475D-804C-92A89A843FDF}"/>
    <cellStyle name="Nota 2 3 3" xfId="771" xr:uid="{885D2FD1-0632-478A-BA79-6BB0291239EF}"/>
    <cellStyle name="Nota 2 3 3 2" xfId="1047" xr:uid="{F0E69EE4-3522-465F-88D6-CA957E5B6BD2}"/>
    <cellStyle name="Nota 2 3 4" xfId="962" xr:uid="{7B219C8B-2772-4E74-B38E-647125A9E50C}"/>
    <cellStyle name="Nota 2 4" xfId="790" xr:uid="{260AC151-67D5-496C-9DE4-8188F5D1CCF1}"/>
    <cellStyle name="Nota 2 4 2" xfId="1066" xr:uid="{83F8B27B-34B3-4666-99EC-7D7C4FE6ADE0}"/>
    <cellStyle name="Nota 2 5" xfId="765" xr:uid="{387AE98E-DF00-49C3-A029-FB5623E7673E}"/>
    <cellStyle name="Nota 2 5 2" xfId="1041" xr:uid="{E763983A-0B84-4152-92F7-3DAF927BA996}"/>
    <cellStyle name="Nota 2 6" xfId="959" xr:uid="{AE168544-6367-4375-91EA-146BEB755759}"/>
    <cellStyle name="Nota 3" xfId="885" xr:uid="{EEDAFF46-A241-48DD-9B24-34901D3120FF}"/>
    <cellStyle name="Nota 3 2" xfId="1147" xr:uid="{E079AC78-C5EB-4BDB-992F-B0843D2E3204}"/>
    <cellStyle name="Note" xfId="339" xr:uid="{00000000-0005-0000-0000-0000B2010000}"/>
    <cellStyle name="Note 2" xfId="340" xr:uid="{00000000-0005-0000-0000-0000B3010000}"/>
    <cellStyle name="Note 2 2" xfId="795" xr:uid="{D80DCAF3-1797-4FD6-A3A9-15A1D33A92F0}"/>
    <cellStyle name="Note 2 2 2" xfId="1071" xr:uid="{273508D1-D3D6-4EB9-BB2D-972077CA287E}"/>
    <cellStyle name="Note 2 3" xfId="734" xr:uid="{E8C43FAF-0C03-4325-B139-6EC164E60B41}"/>
    <cellStyle name="Note 2 3 2" xfId="1010" xr:uid="{7298B9D0-3542-42C7-BFC7-1E055E588C25}"/>
    <cellStyle name="Note 2 4" xfId="964" xr:uid="{0B352621-11CC-4117-BED7-90C94BD436E1}"/>
    <cellStyle name="Note 3" xfId="794" xr:uid="{15A4803F-1795-4DD3-BB23-6ACF5EAF7613}"/>
    <cellStyle name="Note 3 2" xfId="1070" xr:uid="{31FEB72C-2510-42BC-BC5B-3EED35EAE4B3}"/>
    <cellStyle name="Note 4" xfId="773" xr:uid="{67340D93-83F6-412C-A7C6-FBC0D76E4A8F}"/>
    <cellStyle name="Note 4 2" xfId="1049" xr:uid="{4CA421A4-285B-4606-AB94-1486A80EDC2D}"/>
    <cellStyle name="Note 5" xfId="963" xr:uid="{AB2958F9-2BD8-4401-AEB3-5946C1239F38}"/>
    <cellStyle name="Output" xfId="341" xr:uid="{00000000-0005-0000-0000-0000B4010000}"/>
    <cellStyle name="Output 2" xfId="342" xr:uid="{00000000-0005-0000-0000-0000B5010000}"/>
    <cellStyle name="Output 2 2" xfId="797" xr:uid="{A536F051-CB1D-42DC-9C43-A559C23A25F2}"/>
    <cellStyle name="Output 2 2 2" xfId="1073" xr:uid="{9FD0F2BA-CD01-4F6D-AD60-DF0940B9AF2E}"/>
    <cellStyle name="Output 2 3" xfId="775" xr:uid="{4E7BF595-0348-40F9-B8F9-D4170C660D49}"/>
    <cellStyle name="Output 2 3 2" xfId="1051" xr:uid="{45516D97-39F4-440F-BC42-3EEFA775944D}"/>
    <cellStyle name="Output 2 4" xfId="966" xr:uid="{A9AF7626-D825-4E63-9744-4EBA2FCC5E55}"/>
    <cellStyle name="Output 3" xfId="796" xr:uid="{D9D074C4-9722-46D4-90C7-AD14D9DDF61E}"/>
    <cellStyle name="Output 3 2" xfId="1072" xr:uid="{9B6D87CD-B6B8-4EDA-97AD-CB60F7E0D3C1}"/>
    <cellStyle name="Output 4" xfId="774" xr:uid="{C330F444-5873-4C3E-91AE-B2F771FD2B54}"/>
    <cellStyle name="Output 4 2" xfId="1050" xr:uid="{7330ACFE-3C93-4267-8901-2EB03A0BE0CA}"/>
    <cellStyle name="Output 5" xfId="965" xr:uid="{1CE3DB35-4EA9-4A81-9CC3-1D9AF699BCC8}"/>
    <cellStyle name="Percent 2" xfId="343" xr:uid="{00000000-0005-0000-0000-0000B6010000}"/>
    <cellStyle name="Percent 2 2" xfId="344" xr:uid="{00000000-0005-0000-0000-0000B7010000}"/>
    <cellStyle name="Percent 2 2 2" xfId="345" xr:uid="{00000000-0005-0000-0000-0000B8010000}"/>
    <cellStyle name="Percent 2 3" xfId="346" xr:uid="{00000000-0005-0000-0000-0000B9010000}"/>
    <cellStyle name="Percentual" xfId="347" xr:uid="{00000000-0005-0000-0000-0000BA010000}"/>
    <cellStyle name="Percentual 2" xfId="348" xr:uid="{00000000-0005-0000-0000-0000BB010000}"/>
    <cellStyle name="Percentual 2 2" xfId="349" xr:uid="{00000000-0005-0000-0000-0000BC010000}"/>
    <cellStyle name="Percentual 3" xfId="350" xr:uid="{00000000-0005-0000-0000-0000BD010000}"/>
    <cellStyle name="planilhas" xfId="351" xr:uid="{00000000-0005-0000-0000-0000BE010000}"/>
    <cellStyle name="planilhas 2" xfId="352" xr:uid="{00000000-0005-0000-0000-0000BF010000}"/>
    <cellStyle name="Ponto" xfId="353" xr:uid="{00000000-0005-0000-0000-0000C0010000}"/>
    <cellStyle name="Ponto 2" xfId="354" xr:uid="{00000000-0005-0000-0000-0000C1010000}"/>
    <cellStyle name="Ponto 2 2" xfId="355" xr:uid="{00000000-0005-0000-0000-0000C2010000}"/>
    <cellStyle name="Ponto 3" xfId="356" xr:uid="{00000000-0005-0000-0000-0000C3010000}"/>
    <cellStyle name="Porcentagem" xfId="1" builtinId="5"/>
    <cellStyle name="Porcentagem 10" xfId="357" xr:uid="{00000000-0005-0000-0000-0000C5010000}"/>
    <cellStyle name="Porcentagem 10 2" xfId="358" xr:uid="{00000000-0005-0000-0000-0000C6010000}"/>
    <cellStyle name="Porcentagem 11" xfId="359" xr:uid="{00000000-0005-0000-0000-0000C7010000}"/>
    <cellStyle name="Porcentagem 11 2" xfId="360" xr:uid="{00000000-0005-0000-0000-0000C8010000}"/>
    <cellStyle name="Porcentagem 11 3" xfId="361" xr:uid="{00000000-0005-0000-0000-0000C9010000}"/>
    <cellStyle name="Porcentagem 12" xfId="362" xr:uid="{00000000-0005-0000-0000-0000CA010000}"/>
    <cellStyle name="Porcentagem 12 2" xfId="363" xr:uid="{00000000-0005-0000-0000-0000CB010000}"/>
    <cellStyle name="Porcentagem 12 3" xfId="364" xr:uid="{00000000-0005-0000-0000-0000CC010000}"/>
    <cellStyle name="Porcentagem 13" xfId="365" xr:uid="{00000000-0005-0000-0000-0000CD010000}"/>
    <cellStyle name="Porcentagem 13 2" xfId="366" xr:uid="{00000000-0005-0000-0000-0000CE010000}"/>
    <cellStyle name="Porcentagem 13 3" xfId="367" xr:uid="{00000000-0005-0000-0000-0000CF010000}"/>
    <cellStyle name="Porcentagem 13 3 2" xfId="799" xr:uid="{DA81695C-424D-49A8-A4A9-667FA4FAECB6}"/>
    <cellStyle name="Porcentagem 13 3 2 2" xfId="1075" xr:uid="{AD9F52C9-A584-454C-B92F-1D48C064FA5A}"/>
    <cellStyle name="Porcentagem 13 3 3" xfId="967" xr:uid="{15055D81-624C-40C2-8116-43E794FAE0AA}"/>
    <cellStyle name="Porcentagem 14" xfId="368" xr:uid="{00000000-0005-0000-0000-0000D0010000}"/>
    <cellStyle name="Porcentagem 15" xfId="8" xr:uid="{00000000-0005-0000-0000-0000D1010000}"/>
    <cellStyle name="Porcentagem 16" xfId="905" xr:uid="{8E5A23DF-4253-4C99-A39E-59881AFBA382}"/>
    <cellStyle name="Porcentagem 16 2" xfId="918" xr:uid="{EA5EBC90-DE79-469A-87CA-6EDE760DA5DF}"/>
    <cellStyle name="Porcentagem 16 3" xfId="1158" xr:uid="{A3DFF47D-D261-4FE4-9753-7F6F8287E9F1}"/>
    <cellStyle name="Porcentagem 17" xfId="910" xr:uid="{B8FA1D9B-FF6E-4858-9F76-03356F5F78AC}"/>
    <cellStyle name="Porcentagem 2" xfId="6" xr:uid="{00000000-0005-0000-0000-0000D2010000}"/>
    <cellStyle name="Porcentagem 2 2" xfId="369" xr:uid="{00000000-0005-0000-0000-0000D3010000}"/>
    <cellStyle name="Porcentagem 2 2 2" xfId="370" xr:uid="{00000000-0005-0000-0000-0000D4010000}"/>
    <cellStyle name="Porcentagem 2 2 2 2" xfId="371" xr:uid="{00000000-0005-0000-0000-0000D5010000}"/>
    <cellStyle name="Porcentagem 2 2 2 2 2" xfId="372" xr:uid="{00000000-0005-0000-0000-0000D6010000}"/>
    <cellStyle name="Porcentagem 2 2 2 3" xfId="373" xr:uid="{00000000-0005-0000-0000-0000D7010000}"/>
    <cellStyle name="Porcentagem 2 2 2 3 2" xfId="374" xr:uid="{00000000-0005-0000-0000-0000D8010000}"/>
    <cellStyle name="Porcentagem 2 2 2 4" xfId="375" xr:uid="{00000000-0005-0000-0000-0000D9010000}"/>
    <cellStyle name="Porcentagem 2 2 2 4 2" xfId="376" xr:uid="{00000000-0005-0000-0000-0000DA010000}"/>
    <cellStyle name="Porcentagem 2 2 2 5" xfId="377" xr:uid="{00000000-0005-0000-0000-0000DB010000}"/>
    <cellStyle name="Porcentagem 2 2 3" xfId="378" xr:uid="{00000000-0005-0000-0000-0000DC010000}"/>
    <cellStyle name="Porcentagem 2 2 3 2" xfId="379" xr:uid="{00000000-0005-0000-0000-0000DD010000}"/>
    <cellStyle name="Porcentagem 2 2 4" xfId="380" xr:uid="{00000000-0005-0000-0000-0000DE010000}"/>
    <cellStyle name="Porcentagem 2 2 4 2" xfId="381" xr:uid="{00000000-0005-0000-0000-0000DF010000}"/>
    <cellStyle name="Porcentagem 2 2 5" xfId="382" xr:uid="{00000000-0005-0000-0000-0000E0010000}"/>
    <cellStyle name="Porcentagem 2 2 5 2" xfId="383" xr:uid="{00000000-0005-0000-0000-0000E1010000}"/>
    <cellStyle name="Porcentagem 2 2 6" xfId="384" xr:uid="{00000000-0005-0000-0000-0000E2010000}"/>
    <cellStyle name="Porcentagem 2 3" xfId="385" xr:uid="{00000000-0005-0000-0000-0000E3010000}"/>
    <cellStyle name="Porcentagem 2 3 2" xfId="386" xr:uid="{00000000-0005-0000-0000-0000E4010000}"/>
    <cellStyle name="Porcentagem 2 4" xfId="387" xr:uid="{00000000-0005-0000-0000-0000E5010000}"/>
    <cellStyle name="Porcentagem 2 4 2" xfId="388" xr:uid="{00000000-0005-0000-0000-0000E6010000}"/>
    <cellStyle name="Porcentagem 2 5" xfId="389" xr:uid="{00000000-0005-0000-0000-0000E7010000}"/>
    <cellStyle name="Porcentagem 2 5 2" xfId="390" xr:uid="{00000000-0005-0000-0000-0000E8010000}"/>
    <cellStyle name="Porcentagem 2 6" xfId="391" xr:uid="{00000000-0005-0000-0000-0000E9010000}"/>
    <cellStyle name="Porcentagem 2 6 2" xfId="392" xr:uid="{00000000-0005-0000-0000-0000EA010000}"/>
    <cellStyle name="Porcentagem 2 7" xfId="393" xr:uid="{00000000-0005-0000-0000-0000EB010000}"/>
    <cellStyle name="Porcentagem 3" xfId="394" xr:uid="{00000000-0005-0000-0000-0000EC010000}"/>
    <cellStyle name="Porcentagem 3 2" xfId="395" xr:uid="{00000000-0005-0000-0000-0000ED010000}"/>
    <cellStyle name="Porcentagem 3 2 2" xfId="396" xr:uid="{00000000-0005-0000-0000-0000EE010000}"/>
    <cellStyle name="Porcentagem 3 3" xfId="397" xr:uid="{00000000-0005-0000-0000-0000EF010000}"/>
    <cellStyle name="Porcentagem 3 3 2" xfId="398" xr:uid="{00000000-0005-0000-0000-0000F0010000}"/>
    <cellStyle name="Porcentagem 3 4" xfId="399" xr:uid="{00000000-0005-0000-0000-0000F1010000}"/>
    <cellStyle name="Porcentagem 4" xfId="400" xr:uid="{00000000-0005-0000-0000-0000F2010000}"/>
    <cellStyle name="Porcentagem 4 2" xfId="401" xr:uid="{00000000-0005-0000-0000-0000F3010000}"/>
    <cellStyle name="Porcentagem 4 2 2" xfId="402" xr:uid="{00000000-0005-0000-0000-0000F4010000}"/>
    <cellStyle name="Porcentagem 4 3" xfId="403" xr:uid="{00000000-0005-0000-0000-0000F5010000}"/>
    <cellStyle name="Porcentagem 5" xfId="404" xr:uid="{00000000-0005-0000-0000-0000F6010000}"/>
    <cellStyle name="Porcentagem 5 2" xfId="405" xr:uid="{00000000-0005-0000-0000-0000F7010000}"/>
    <cellStyle name="Porcentagem 5 2 2" xfId="406" xr:uid="{00000000-0005-0000-0000-0000F8010000}"/>
    <cellStyle name="Porcentagem 5 3" xfId="407" xr:uid="{00000000-0005-0000-0000-0000F9010000}"/>
    <cellStyle name="Porcentagem 5 3 2" xfId="408" xr:uid="{00000000-0005-0000-0000-0000FA010000}"/>
    <cellStyle name="Porcentagem 5 4" xfId="409" xr:uid="{00000000-0005-0000-0000-0000FB010000}"/>
    <cellStyle name="Porcentagem 5 5" xfId="801" xr:uid="{BC377BD8-2EE1-4EDE-B136-B4F6B93A92F6}"/>
    <cellStyle name="Porcentagem 5 5 2" xfId="1077" xr:uid="{6F287BF9-A2C2-49E0-88B1-46F6C864873E}"/>
    <cellStyle name="Porcentagem 5 6" xfId="968" xr:uid="{9A4E2884-1C3D-463C-9C32-E8BD66E6AB37}"/>
    <cellStyle name="Porcentagem 6" xfId="410" xr:uid="{00000000-0005-0000-0000-0000FC010000}"/>
    <cellStyle name="Porcentagem 6 2" xfId="411" xr:uid="{00000000-0005-0000-0000-0000FD010000}"/>
    <cellStyle name="Porcentagem 7" xfId="412" xr:uid="{00000000-0005-0000-0000-0000FE010000}"/>
    <cellStyle name="Porcentagem 7 2" xfId="413" xr:uid="{00000000-0005-0000-0000-0000FF010000}"/>
    <cellStyle name="Porcentagem 8" xfId="414" xr:uid="{00000000-0005-0000-0000-000000020000}"/>
    <cellStyle name="Porcentagem 8 2" xfId="415" xr:uid="{00000000-0005-0000-0000-000001020000}"/>
    <cellStyle name="Porcentagem 8 2 2" xfId="416" xr:uid="{00000000-0005-0000-0000-000002020000}"/>
    <cellStyle name="Porcentagem 8 3" xfId="417" xr:uid="{00000000-0005-0000-0000-000003020000}"/>
    <cellStyle name="Porcentagem 9" xfId="418" xr:uid="{00000000-0005-0000-0000-000004020000}"/>
    <cellStyle name="Porcentagem 9 2" xfId="419" xr:uid="{00000000-0005-0000-0000-000005020000}"/>
    <cellStyle name="Porcentagem 9 2 2" xfId="420" xr:uid="{00000000-0005-0000-0000-000006020000}"/>
    <cellStyle name="Porcentagem 9 3" xfId="421" xr:uid="{00000000-0005-0000-0000-000007020000}"/>
    <cellStyle name="Pos" xfId="422" xr:uid="{00000000-0005-0000-0000-000008020000}"/>
    <cellStyle name="Preis" xfId="423" xr:uid="{00000000-0005-0000-0000-000009020000}"/>
    <cellStyle name="Prozent0" xfId="424" xr:uid="{00000000-0005-0000-0000-00000A020000}"/>
    <cellStyle name="Prozent0 2" xfId="425" xr:uid="{00000000-0005-0000-0000-00000B020000}"/>
    <cellStyle name="Prozent1" xfId="426" xr:uid="{00000000-0005-0000-0000-00000C020000}"/>
    <cellStyle name="RowLevel_2 2" xfId="688" xr:uid="{ADA6E6B6-30AC-482D-AFF2-1B2100BDDBE8}"/>
    <cellStyle name="Ruim" xfId="704" builtinId="27" customBuiltin="1"/>
    <cellStyle name="Saída" xfId="706" builtinId="21" customBuiltin="1"/>
    <cellStyle name="Saída 2" xfId="427" xr:uid="{00000000-0005-0000-0000-00000D020000}"/>
    <cellStyle name="Saída 2 2" xfId="428" xr:uid="{00000000-0005-0000-0000-00000E020000}"/>
    <cellStyle name="Saída 2 2 2" xfId="803" xr:uid="{54E3D0F2-CE8F-4906-BF67-69BC827D36D6}"/>
    <cellStyle name="Saída 2 2 2 2" xfId="1079" xr:uid="{B9CD3491-CBFF-4719-8234-467290D13E00}"/>
    <cellStyle name="Saída 2 2 3" xfId="800" xr:uid="{FCC5C968-4C3B-45DD-B10A-A9F6E24023D7}"/>
    <cellStyle name="Saída 2 2 3 2" xfId="1076" xr:uid="{F757BD85-29F4-4555-9E3F-AC2A46988817}"/>
    <cellStyle name="Saída 2 2 4" xfId="970" xr:uid="{AC1654E0-05F7-4189-9F9A-823A1DDB05DC}"/>
    <cellStyle name="Saída 2 3" xfId="802" xr:uid="{ED2DE3AF-181F-425B-80EE-56ED35A1915C}"/>
    <cellStyle name="Saída 2 3 2" xfId="1078" xr:uid="{9AFDF161-0D21-4D4E-AD74-42FAD3F0F749}"/>
    <cellStyle name="Saída 2 4" xfId="798" xr:uid="{739DAD6F-EA86-4A78-BCCA-D62ECEE17D4D}"/>
    <cellStyle name="Saída 2 4 2" xfId="1074" xr:uid="{76019CE7-807F-449B-A76C-66B92B8F7738}"/>
    <cellStyle name="Saída 2 5" xfId="969" xr:uid="{791AE644-B6A7-4829-9DAB-D035D728D482}"/>
    <cellStyle name="Sep. milhar [0]" xfId="429" xr:uid="{00000000-0005-0000-0000-00000F020000}"/>
    <cellStyle name="Sep. milhar [0] 2" xfId="430" xr:uid="{00000000-0005-0000-0000-000010020000}"/>
    <cellStyle name="Separador de m" xfId="431" xr:uid="{00000000-0005-0000-0000-000011020000}"/>
    <cellStyle name="Separador de m 2" xfId="432" xr:uid="{00000000-0005-0000-0000-000012020000}"/>
    <cellStyle name="Separador de milhares 10" xfId="433" xr:uid="{00000000-0005-0000-0000-000013020000}"/>
    <cellStyle name="Separador de milhares 10 2" xfId="434" xr:uid="{00000000-0005-0000-0000-000014020000}"/>
    <cellStyle name="Separador de milhares 10 2 2" xfId="435" xr:uid="{00000000-0005-0000-0000-000015020000}"/>
    <cellStyle name="Separador de milhares 10 2 3" xfId="805" xr:uid="{4E8CB43B-D89C-4808-8D45-7CF2A7252DD9}"/>
    <cellStyle name="Separador de milhares 10 2 3 2" xfId="1081" xr:uid="{8B1D0613-A08F-4B34-B4E2-5400D48DB269}"/>
    <cellStyle name="Separador de milhares 10 3" xfId="436" xr:uid="{00000000-0005-0000-0000-000016020000}"/>
    <cellStyle name="Separador de milhares 10 4" xfId="804" xr:uid="{F0792126-D236-4837-886A-83AA635AC6E9}"/>
    <cellStyle name="Separador de milhares 10 4 2" xfId="1080" xr:uid="{5C6D6412-86D1-45AE-8622-FF3D11F0A705}"/>
    <cellStyle name="Separador de milhares 2" xfId="437" xr:uid="{00000000-0005-0000-0000-000017020000}"/>
    <cellStyle name="Separador de milhares 2 2" xfId="438" xr:uid="{00000000-0005-0000-0000-000018020000}"/>
    <cellStyle name="Separador de milhares 2 2 2" xfId="439" xr:uid="{00000000-0005-0000-0000-000019020000}"/>
    <cellStyle name="Separador de milhares 2 2 2 2" xfId="440" xr:uid="{00000000-0005-0000-0000-00001A020000}"/>
    <cellStyle name="Separador de milhares 2 2 2 3" xfId="807" xr:uid="{C5476998-8212-4289-94C0-25BD9DBF8338}"/>
    <cellStyle name="Separador de milhares 2 2 2 3 2" xfId="1083" xr:uid="{60E4F795-7CD1-4195-A000-3C822F355D13}"/>
    <cellStyle name="Separador de milhares 2 2 3" xfId="441" xr:uid="{00000000-0005-0000-0000-00001B020000}"/>
    <cellStyle name="Separador de milhares 2 2 4" xfId="442" xr:uid="{00000000-0005-0000-0000-00001C020000}"/>
    <cellStyle name="Separador de milhares 2 2_LY-0101-001111-011 Revisao B - QQP e Anexos SDC 1586065" xfId="443" xr:uid="{00000000-0005-0000-0000-00001D020000}"/>
    <cellStyle name="Separador de milhares 2 3" xfId="444" xr:uid="{00000000-0005-0000-0000-00001E020000}"/>
    <cellStyle name="Separador de milhares 2 3 2" xfId="445" xr:uid="{00000000-0005-0000-0000-00001F020000}"/>
    <cellStyle name="Separador de milhares 2 3 3" xfId="808" xr:uid="{E16D46EC-8BAF-4A44-ABC2-F7DE80972BE9}"/>
    <cellStyle name="Separador de milhares 2 3 3 2" xfId="1084" xr:uid="{BF077218-A6ED-4EE6-BC19-6C5B5C9A54D2}"/>
    <cellStyle name="Separador de milhares 2 4" xfId="446" xr:uid="{00000000-0005-0000-0000-000020020000}"/>
    <cellStyle name="Separador de milhares 2 4 2" xfId="447" xr:uid="{00000000-0005-0000-0000-000021020000}"/>
    <cellStyle name="Separador de milhares 2 5" xfId="448" xr:uid="{00000000-0005-0000-0000-000022020000}"/>
    <cellStyle name="Separador de milhares 2 5 2" xfId="449" xr:uid="{00000000-0005-0000-0000-000023020000}"/>
    <cellStyle name="Separador de milhares 2 6" xfId="450" xr:uid="{00000000-0005-0000-0000-000024020000}"/>
    <cellStyle name="Separador de milhares 2 6 2" xfId="451" xr:uid="{00000000-0005-0000-0000-000025020000}"/>
    <cellStyle name="Separador de milhares 2 7" xfId="452" xr:uid="{00000000-0005-0000-0000-000026020000}"/>
    <cellStyle name="Separador de milhares 2 8" xfId="806" xr:uid="{6FBABF60-BF83-407C-9E76-6234AEE5AD2F}"/>
    <cellStyle name="Separador de milhares 2 8 2" xfId="1082" xr:uid="{55DB019F-6DB8-4CF1-A13D-FD978B75FFAC}"/>
    <cellStyle name="Separador de milhares 2_13aMedicao(1)" xfId="453" xr:uid="{00000000-0005-0000-0000-000027020000}"/>
    <cellStyle name="Separador de milhares 3" xfId="454" xr:uid="{00000000-0005-0000-0000-000028020000}"/>
    <cellStyle name="Separador de milhares 3 2" xfId="455" xr:uid="{00000000-0005-0000-0000-000029020000}"/>
    <cellStyle name="Separador de milhares 3 2 2" xfId="456" xr:uid="{00000000-0005-0000-0000-00002A020000}"/>
    <cellStyle name="Separador de milhares 3 2 2 2" xfId="457" xr:uid="{00000000-0005-0000-0000-00002B020000}"/>
    <cellStyle name="Separador de milhares 3 2 2 2 2" xfId="458" xr:uid="{00000000-0005-0000-0000-00002C020000}"/>
    <cellStyle name="Separador de milhares 3 2 2 2 3" xfId="812" xr:uid="{4F5C8229-C4CE-4B0D-86E7-F586655B17AE}"/>
    <cellStyle name="Separador de milhares 3 2 2 2 3 2" xfId="1088" xr:uid="{17092DA9-A324-4440-9806-E1E449CDF673}"/>
    <cellStyle name="Separador de milhares 3 2 2 3" xfId="459" xr:uid="{00000000-0005-0000-0000-00002D020000}"/>
    <cellStyle name="Separador de milhares 3 2 2 3 2" xfId="460" xr:uid="{00000000-0005-0000-0000-00002E020000}"/>
    <cellStyle name="Separador de milhares 3 2 2 3 3" xfId="813" xr:uid="{AF49F818-277F-4C60-BF40-3BCACA6FEEAA}"/>
    <cellStyle name="Separador de milhares 3 2 2 3 3 2" xfId="1089" xr:uid="{794958A4-C98C-46CF-9BFF-D5BD140D6BDD}"/>
    <cellStyle name="Separador de milhares 3 2 2 4" xfId="461" xr:uid="{00000000-0005-0000-0000-00002F020000}"/>
    <cellStyle name="Separador de milhares 3 2 2 5" xfId="811" xr:uid="{FB09C6CB-5A10-4C76-B92F-DC028E047259}"/>
    <cellStyle name="Separador de milhares 3 2 2 5 2" xfId="1087" xr:uid="{CF309F85-0086-4F38-A531-D9C962B339D9}"/>
    <cellStyle name="Separador de milhares 3 2 3" xfId="462" xr:uid="{00000000-0005-0000-0000-000030020000}"/>
    <cellStyle name="Separador de milhares 3 2 3 2" xfId="463" xr:uid="{00000000-0005-0000-0000-000031020000}"/>
    <cellStyle name="Separador de milhares 3 2 3 3" xfId="814" xr:uid="{32A0F686-5D7B-4525-A2AA-541E2DF2538C}"/>
    <cellStyle name="Separador de milhares 3 2 3 3 2" xfId="1090" xr:uid="{EEC28487-DA76-4BBB-98BD-E7739457F55C}"/>
    <cellStyle name="Separador de milhares 3 2 4" xfId="464" xr:uid="{00000000-0005-0000-0000-000032020000}"/>
    <cellStyle name="Separador de milhares 3 2 4 2" xfId="465" xr:uid="{00000000-0005-0000-0000-000033020000}"/>
    <cellStyle name="Separador de milhares 3 2 4 3" xfId="815" xr:uid="{FC1721CF-E45D-468D-B202-69E82FB4B6D4}"/>
    <cellStyle name="Separador de milhares 3 2 4 3 2" xfId="1091" xr:uid="{BBAC75F9-2E37-4F7E-B446-96D391CE6135}"/>
    <cellStyle name="Separador de milhares 3 2 5" xfId="466" xr:uid="{00000000-0005-0000-0000-000034020000}"/>
    <cellStyle name="Separador de milhares 3 2 6" xfId="467" xr:uid="{00000000-0005-0000-0000-000035020000}"/>
    <cellStyle name="Separador de milhares 3 2 7" xfId="810" xr:uid="{313289E4-F250-44AB-9EEB-EE43E47661D7}"/>
    <cellStyle name="Separador de milhares 3 2 7 2" xfId="1086" xr:uid="{8B69AF87-1D0B-430B-95E4-68E52248C848}"/>
    <cellStyle name="Separador de milhares 3 3" xfId="468" xr:uid="{00000000-0005-0000-0000-000036020000}"/>
    <cellStyle name="Separador de milhares 3 3 2" xfId="469" xr:uid="{00000000-0005-0000-0000-000037020000}"/>
    <cellStyle name="Separador de milhares 3 4" xfId="470" xr:uid="{00000000-0005-0000-0000-000038020000}"/>
    <cellStyle name="Separador de milhares 3 4 2" xfId="471" xr:uid="{00000000-0005-0000-0000-000039020000}"/>
    <cellStyle name="Separador de milhares 3 4 3" xfId="819" xr:uid="{9FEEF772-78A9-4B36-8DAF-AC7851964727}"/>
    <cellStyle name="Separador de milhares 3 4 3 2" xfId="1095" xr:uid="{C602ED3E-9862-41A0-9A97-D2BAB18A5ED7}"/>
    <cellStyle name="Separador de milhares 3 5" xfId="472" xr:uid="{00000000-0005-0000-0000-00003A020000}"/>
    <cellStyle name="Separador de milhares 3 6" xfId="473" xr:uid="{00000000-0005-0000-0000-00003B020000}"/>
    <cellStyle name="Separador de milhares 3 7" xfId="809" xr:uid="{B409E9C0-DD3F-4215-9DB1-E0C8F9CE31F8}"/>
    <cellStyle name="Separador de milhares 3 7 2" xfId="1085" xr:uid="{BBA749E5-405F-4A35-B781-5D0C79B1C9DF}"/>
    <cellStyle name="Separador de milhares 3_1 medição" xfId="474" xr:uid="{00000000-0005-0000-0000-00003C020000}"/>
    <cellStyle name="Separador de milhares 4" xfId="475" xr:uid="{00000000-0005-0000-0000-00003D020000}"/>
    <cellStyle name="Separador de milhares 4 2" xfId="476" xr:uid="{00000000-0005-0000-0000-00003E020000}"/>
    <cellStyle name="Separador de milhares 4 2 2" xfId="477" xr:uid="{00000000-0005-0000-0000-00003F020000}"/>
    <cellStyle name="Separador de milhares 4 2 3" xfId="821" xr:uid="{40F14FAA-2602-4443-9BA3-B0419D935E80}"/>
    <cellStyle name="Separador de milhares 4 2 3 2" xfId="1097" xr:uid="{D6AF353C-B426-45D8-9A75-97DE367320AB}"/>
    <cellStyle name="Separador de milhares 4 3" xfId="478" xr:uid="{00000000-0005-0000-0000-000040020000}"/>
    <cellStyle name="Separador de milhares 4 3 2" xfId="479" xr:uid="{00000000-0005-0000-0000-000041020000}"/>
    <cellStyle name="Separador de milhares 4 4" xfId="480" xr:uid="{00000000-0005-0000-0000-000042020000}"/>
    <cellStyle name="Separador de milhares 4 5" xfId="481" xr:uid="{00000000-0005-0000-0000-000043020000}"/>
    <cellStyle name="Separador de milhares 4 6" xfId="820" xr:uid="{DF1A1BE1-F097-4AF3-A5CC-FE3B4C1BD7CD}"/>
    <cellStyle name="Separador de milhares 4 6 2" xfId="1096" xr:uid="{1D05B2C5-4A3A-4DEB-8CA1-E21A7F2A6C54}"/>
    <cellStyle name="Separador de milhares 5" xfId="482" xr:uid="{00000000-0005-0000-0000-000044020000}"/>
    <cellStyle name="Separador de milhares 5 2" xfId="483" xr:uid="{00000000-0005-0000-0000-000045020000}"/>
    <cellStyle name="Separador de milhares 5 3" xfId="484" xr:uid="{00000000-0005-0000-0000-000046020000}"/>
    <cellStyle name="Separador de milhares 5 4" xfId="822" xr:uid="{1A40ADE2-5880-4FC6-AA6B-C56DC080C67D}"/>
    <cellStyle name="Separador de milhares 5 4 2" xfId="1098" xr:uid="{F99C8CBD-696F-45A3-B84B-5842003FF549}"/>
    <cellStyle name="Separador de milhares 6" xfId="485" xr:uid="{00000000-0005-0000-0000-000047020000}"/>
    <cellStyle name="Separador de milhares 6 2" xfId="486" xr:uid="{00000000-0005-0000-0000-000048020000}"/>
    <cellStyle name="Separador de milhares 6 2 2" xfId="487" xr:uid="{00000000-0005-0000-0000-000049020000}"/>
    <cellStyle name="Separador de milhares 6 2 3" xfId="824" xr:uid="{A5A6B5B9-9EEA-46E1-87BB-529FF8B7317A}"/>
    <cellStyle name="Separador de milhares 6 2 3 2" xfId="1100" xr:uid="{ED811C36-2605-4263-9731-D93F4AF9F3CF}"/>
    <cellStyle name="Separador de milhares 6 3" xfId="488" xr:uid="{00000000-0005-0000-0000-00004A020000}"/>
    <cellStyle name="Separador de milhares 6 3 2" xfId="489" xr:uid="{00000000-0005-0000-0000-00004B020000}"/>
    <cellStyle name="Separador de milhares 6 4" xfId="490" xr:uid="{00000000-0005-0000-0000-00004C020000}"/>
    <cellStyle name="Separador de milhares 6 5" xfId="823" xr:uid="{011C6FBE-ACF7-4ABD-9BAC-8D5FE306348C}"/>
    <cellStyle name="Separador de milhares 6 5 2" xfId="1099" xr:uid="{17B41CD6-8DC5-429E-A271-99E3C083853B}"/>
    <cellStyle name="Separador de milhares 7" xfId="491" xr:uid="{00000000-0005-0000-0000-00004D020000}"/>
    <cellStyle name="Separador de milhares 7 2" xfId="492" xr:uid="{00000000-0005-0000-0000-00004E020000}"/>
    <cellStyle name="Separador de milhares 8" xfId="493" xr:uid="{00000000-0005-0000-0000-00004F020000}"/>
    <cellStyle name="Separador de milhares 8 2" xfId="494" xr:uid="{00000000-0005-0000-0000-000050020000}"/>
    <cellStyle name="Separador de milhares 9" xfId="495" xr:uid="{00000000-0005-0000-0000-000051020000}"/>
    <cellStyle name="Separador de milhares 9 2" xfId="496" xr:uid="{00000000-0005-0000-0000-000052020000}"/>
    <cellStyle name="Separador de milhares 9 3" xfId="825" xr:uid="{7B63B6B3-F111-4481-8F7C-31EDD36AE3AD}"/>
    <cellStyle name="Separador de milhares 9 3 2" xfId="1101" xr:uid="{07037D3A-BD0D-4009-A16E-7EA3DCD206D5}"/>
    <cellStyle name="Sepavador de milhares [0]_Pasta2" xfId="497" xr:uid="{00000000-0005-0000-0000-000053020000}"/>
    <cellStyle name="Standard_Bearbeitung" xfId="498" xr:uid="{00000000-0005-0000-0000-000054020000}"/>
    <cellStyle name="Stück" xfId="499" xr:uid="{00000000-0005-0000-0000-000055020000}"/>
    <cellStyle name="Texto de Aviso" xfId="710" builtinId="11" customBuiltin="1"/>
    <cellStyle name="Texto de Aviso 2" xfId="500" xr:uid="{00000000-0005-0000-0000-000056020000}"/>
    <cellStyle name="Texto Explicativo" xfId="711" builtinId="53" customBuiltin="1"/>
    <cellStyle name="Texto Explicativo 2" xfId="501" xr:uid="{00000000-0005-0000-0000-000057020000}"/>
    <cellStyle name="Title" xfId="502" xr:uid="{00000000-0005-0000-0000-000058020000}"/>
    <cellStyle name="Título 1" xfId="699" builtinId="16" customBuiltin="1"/>
    <cellStyle name="Título 1 1" xfId="503" xr:uid="{00000000-0005-0000-0000-000059020000}"/>
    <cellStyle name="Título 1 2" xfId="504" xr:uid="{00000000-0005-0000-0000-00005A020000}"/>
    <cellStyle name="Título 2" xfId="700" builtinId="17" customBuiltin="1"/>
    <cellStyle name="Título 2 2" xfId="505" xr:uid="{00000000-0005-0000-0000-00005B020000}"/>
    <cellStyle name="Título 3" xfId="701" builtinId="18" customBuiltin="1"/>
    <cellStyle name="Título 3 2" xfId="506" xr:uid="{00000000-0005-0000-0000-00005C020000}"/>
    <cellStyle name="Título 3 2 2" xfId="826" xr:uid="{87D9FE69-4014-4D50-B0C1-30C0D7510207}"/>
    <cellStyle name="Título 3 2 2 2" xfId="1102" xr:uid="{BF776CF0-F483-45C8-8C85-DD3264F1AC9D}"/>
    <cellStyle name="Título 4" xfId="702" builtinId="19" customBuiltin="1"/>
    <cellStyle name="Título 4 2" xfId="507" xr:uid="{00000000-0005-0000-0000-00005D020000}"/>
    <cellStyle name="Título 5" xfId="508" xr:uid="{00000000-0005-0000-0000-00005E020000}"/>
    <cellStyle name="Título 6" xfId="883" xr:uid="{B09701DF-A873-4002-825F-83E5CFCDFD7A}"/>
    <cellStyle name="Titulo1" xfId="509" xr:uid="{00000000-0005-0000-0000-00005F020000}"/>
    <cellStyle name="Titulo1 2" xfId="510" xr:uid="{00000000-0005-0000-0000-000060020000}"/>
    <cellStyle name="Titulo1 2 2" xfId="511" xr:uid="{00000000-0005-0000-0000-000061020000}"/>
    <cellStyle name="Titulo1 3" xfId="512" xr:uid="{00000000-0005-0000-0000-000062020000}"/>
    <cellStyle name="Titulo2" xfId="513" xr:uid="{00000000-0005-0000-0000-000063020000}"/>
    <cellStyle name="Titulo2 2" xfId="514" xr:uid="{00000000-0005-0000-0000-000064020000}"/>
    <cellStyle name="Titulo2 2 2" xfId="515" xr:uid="{00000000-0005-0000-0000-000065020000}"/>
    <cellStyle name="Titulo2 3" xfId="516" xr:uid="{00000000-0005-0000-0000-000066020000}"/>
    <cellStyle name="Total" xfId="712" builtinId="25" customBuiltin="1"/>
    <cellStyle name="Total 2" xfId="517" xr:uid="{00000000-0005-0000-0000-000067020000}"/>
    <cellStyle name="Total 2 2" xfId="827" xr:uid="{6B42D9D5-A6C4-4B4C-BD99-E42DE59F304F}"/>
    <cellStyle name="Total 2 2 2" xfId="1103" xr:uid="{102BBB7F-7DCE-49B3-A347-208B81C79B0F}"/>
    <cellStyle name="Total 2 3" xfId="816" xr:uid="{929B3F63-3FC7-4B75-9AB7-0C740746E2A2}"/>
    <cellStyle name="Total 2 3 2" xfId="1092" xr:uid="{5F492FB3-BF1B-4A26-A1AB-94EFF399C521}"/>
    <cellStyle name="Total 2 4" xfId="971" xr:uid="{643F6837-415F-494A-A5DC-D5446A0D0CF9}"/>
    <cellStyle name="Total 3" xfId="518" xr:uid="{00000000-0005-0000-0000-000068020000}"/>
    <cellStyle name="Total 3 2" xfId="519" xr:uid="{00000000-0005-0000-0000-000069020000}"/>
    <cellStyle name="Total 3 2 2" xfId="829" xr:uid="{E3FFA53E-EF33-458E-93C3-8297CD45AA0D}"/>
    <cellStyle name="Total 3 2 2 2" xfId="1105" xr:uid="{37FE49BC-8B42-4BBC-904A-AECAF61E36DC}"/>
    <cellStyle name="Total 3 2 3" xfId="818" xr:uid="{854F507A-FF79-467D-9C54-771B27EAC5A9}"/>
    <cellStyle name="Total 3 2 3 2" xfId="1094" xr:uid="{3C7D5C61-C48B-4782-A672-1367A2F37957}"/>
    <cellStyle name="Total 3 2 4" xfId="973" xr:uid="{389FCAF6-296B-466A-A12B-6931440E465A}"/>
    <cellStyle name="Total 3 3" xfId="828" xr:uid="{1114D4B6-BB2C-4728-8553-F67865C54A57}"/>
    <cellStyle name="Total 3 3 2" xfId="1104" xr:uid="{BB511A7C-E478-49CD-B284-1CAE05DDFC2D}"/>
    <cellStyle name="Total 3 4" xfId="817" xr:uid="{C001DDDB-DB93-49A3-82BC-BE4B906D3F4C}"/>
    <cellStyle name="Total 3 4 2" xfId="1093" xr:uid="{34E7B745-1EDC-4566-982C-F6A901861472}"/>
    <cellStyle name="Total 3 5" xfId="972" xr:uid="{1CF50B15-C999-4447-9986-02865757CA0A}"/>
    <cellStyle name="Vírgula" xfId="2" builtinId="3"/>
    <cellStyle name="Vírgula 10" xfId="520" xr:uid="{00000000-0005-0000-0000-00006B020000}"/>
    <cellStyle name="Vírgula 10 2" xfId="521" xr:uid="{00000000-0005-0000-0000-00006C020000}"/>
    <cellStyle name="Vírgula 10 2 2" xfId="831" xr:uid="{33925D3F-599C-45B8-AC02-D114E8140666}"/>
    <cellStyle name="Vírgula 10 2 2 2" xfId="1107" xr:uid="{58629F06-A98F-436B-8C82-2C4FA040F3E8}"/>
    <cellStyle name="Vírgula 10 3" xfId="522" xr:uid="{00000000-0005-0000-0000-00006D020000}"/>
    <cellStyle name="Vírgula 10 4" xfId="830" xr:uid="{83A6028B-BC35-4E56-9003-C232B6C1776D}"/>
    <cellStyle name="Vírgula 10 4 2" xfId="1106" xr:uid="{96B42B65-EFCE-42C5-A191-BFB8B37BFD5D}"/>
    <cellStyle name="Vírgula 11" xfId="523" xr:uid="{00000000-0005-0000-0000-00006E020000}"/>
    <cellStyle name="Vírgula 11 2" xfId="524" xr:uid="{00000000-0005-0000-0000-00006F020000}"/>
    <cellStyle name="Vírgula 11 2 2" xfId="833" xr:uid="{4C8DA440-C328-48F5-95F9-60191B0808D8}"/>
    <cellStyle name="Vírgula 11 2 2 2" xfId="1109" xr:uid="{567360DC-357D-4708-9342-58E80AA1AC4E}"/>
    <cellStyle name="Vírgula 11 3" xfId="525" xr:uid="{00000000-0005-0000-0000-000070020000}"/>
    <cellStyle name="Vírgula 11 4" xfId="832" xr:uid="{42A57868-392C-41A1-9F71-ED9801D31CD5}"/>
    <cellStyle name="Vírgula 11 4 2" xfId="1108" xr:uid="{A5F0EDBE-504D-4C7C-A926-7A72ED46C3D3}"/>
    <cellStyle name="Vírgula 12" xfId="526" xr:uid="{00000000-0005-0000-0000-000071020000}"/>
    <cellStyle name="Vírgula 12 2" xfId="834" xr:uid="{2B0A515A-2AA4-419A-9669-29382E9C475A}"/>
    <cellStyle name="Vírgula 12 2 2" xfId="1110" xr:uid="{10C2AD5C-9B37-4978-A78B-264A8830785F}"/>
    <cellStyle name="Vírgula 12 3" xfId="974" xr:uid="{03204544-8ACC-4238-AD42-76A441B7FA6C}"/>
    <cellStyle name="Vírgula 13" xfId="527" xr:uid="{00000000-0005-0000-0000-000072020000}"/>
    <cellStyle name="Vírgula 13 2" xfId="835" xr:uid="{CDAB102C-9E76-465D-BD5C-8FD21BFD6788}"/>
    <cellStyle name="Vírgula 13 2 2" xfId="902" xr:uid="{97A828F4-D556-4B6E-99DF-573B77E749F8}"/>
    <cellStyle name="Vírgula 13 2 2 2" xfId="1155" xr:uid="{10554AA7-E250-46C2-A60C-E86EBEF7407F}"/>
    <cellStyle name="Vírgula 13 2 3" xfId="1111" xr:uid="{B91D6914-A8CE-4387-9BB6-6D2AE421E669}"/>
    <cellStyle name="Vírgula 14" xfId="528" xr:uid="{00000000-0005-0000-0000-000073020000}"/>
    <cellStyle name="Vírgula 14 2" xfId="901" xr:uid="{D9F63937-604E-432A-ABCE-0C2A100E575B}"/>
    <cellStyle name="Vírgula 14 2 2" xfId="1154" xr:uid="{5836B6D4-E555-4707-9F95-D84EE6B611F4}"/>
    <cellStyle name="Vírgula 15" xfId="576" xr:uid="{00000000-0005-0000-0000-000074020000}"/>
    <cellStyle name="Vírgula 16" xfId="675" xr:uid="{34D9F43B-EFF0-454E-904B-68FBC9A6F546}"/>
    <cellStyle name="Vírgula 16 2" xfId="865" xr:uid="{F1CBF6B7-E8C9-4E44-AF34-9432205BD8C1}"/>
    <cellStyle name="Vírgula 16 2 2" xfId="1140" xr:uid="{429D66D2-3EE7-4318-A1E7-54456C0930D0}"/>
    <cellStyle name="Vírgula 16 3" xfId="980" xr:uid="{9F6D9285-ACDC-4304-B454-96DEC0F77573}"/>
    <cellStyle name="Vírgula 17" xfId="677" xr:uid="{8E68946E-92EE-454D-A8BA-FB2A35F25FE7}"/>
    <cellStyle name="Vírgula 17 2" xfId="982" xr:uid="{2FD2FCA4-45ED-4EF9-88D0-C04ADC64319C}"/>
    <cellStyle name="Vírgula 18" xfId="685" xr:uid="{9F067CE3-2F37-40E1-A3CD-E2D69EADA067}"/>
    <cellStyle name="Vírgula 18 2" xfId="912" xr:uid="{BD5CA20B-1021-481B-89F5-13D21DAEAB2B}"/>
    <cellStyle name="Vírgula 18 3" xfId="988" xr:uid="{93FB9BE5-DD9B-46B3-93C1-83350ABAD7CE}"/>
    <cellStyle name="Vírgula 19" xfId="904" xr:uid="{7A9E06F2-A028-4BF9-8177-E0E1B955FEF8}"/>
    <cellStyle name="Vírgula 19 2" xfId="1157" xr:uid="{950276E9-104B-47A4-87F3-F6D2AE5991FB}"/>
    <cellStyle name="Vírgula 2" xfId="5" xr:uid="{00000000-0005-0000-0000-000075020000}"/>
    <cellStyle name="Vírgula 2 2" xfId="529" xr:uid="{00000000-0005-0000-0000-000076020000}"/>
    <cellStyle name="Vírgula 2 2 2" xfId="530" xr:uid="{00000000-0005-0000-0000-000077020000}"/>
    <cellStyle name="Vírgula 2 2 2 2" xfId="531" xr:uid="{00000000-0005-0000-0000-000078020000}"/>
    <cellStyle name="Vírgula 2 2 2 3" xfId="837" xr:uid="{5C88C693-9FC8-4AC8-8662-074210D5E92C}"/>
    <cellStyle name="Vírgula 2 2 2 3 2" xfId="1113" xr:uid="{8780DA4D-F822-4CA8-A098-5A61170FBC2F}"/>
    <cellStyle name="Vírgula 2 2 3" xfId="532" xr:uid="{00000000-0005-0000-0000-000079020000}"/>
    <cellStyle name="Vírgula 2 2 3 2" xfId="533" xr:uid="{00000000-0005-0000-0000-00007A020000}"/>
    <cellStyle name="Vírgula 2 2 3 3" xfId="838" xr:uid="{346E7AA3-4124-4BE8-BFA2-C8AAA63AE123}"/>
    <cellStyle name="Vírgula 2 2 3 3 2" xfId="1114" xr:uid="{1F33B6CD-BCB9-464C-AEDD-F9E19526F958}"/>
    <cellStyle name="Vírgula 2 2 4" xfId="534" xr:uid="{00000000-0005-0000-0000-00007B020000}"/>
    <cellStyle name="Vírgula 2 2 5" xfId="836" xr:uid="{153E2CFB-3478-428F-9450-A8F8CBA79966}"/>
    <cellStyle name="Vírgula 2 2 5 2" xfId="1112" xr:uid="{95192E46-37FD-4106-A1FC-47DA9CD9DDA0}"/>
    <cellStyle name="Vírgula 2 3" xfId="535" xr:uid="{00000000-0005-0000-0000-00007C020000}"/>
    <cellStyle name="Vírgula 2 3 2" xfId="536" xr:uid="{00000000-0005-0000-0000-00007D020000}"/>
    <cellStyle name="Vírgula 2 3 3" xfId="839" xr:uid="{387CA3D2-C3B5-4EC6-BD10-9E19D410BCBA}"/>
    <cellStyle name="Vírgula 2 3 3 2" xfId="1115" xr:uid="{C1F2EF46-7E0D-463B-873D-FF17DAE816C6}"/>
    <cellStyle name="Vírgula 2 4" xfId="537" xr:uid="{00000000-0005-0000-0000-00007E020000}"/>
    <cellStyle name="Vírgula 2 4 2" xfId="538" xr:uid="{00000000-0005-0000-0000-00007F020000}"/>
    <cellStyle name="Vírgula 2 4 3" xfId="840" xr:uid="{7D08DB3B-D7FE-4540-A460-64FC3EC5D4AC}"/>
    <cellStyle name="Vírgula 2 4 3 2" xfId="1116" xr:uid="{E69C021B-F261-41D4-9AC9-5A2038DF5912}"/>
    <cellStyle name="Vírgula 2 4 4" xfId="975" xr:uid="{ECD7AF0F-9939-4EAF-A641-7BF3FF3EBAC4}"/>
    <cellStyle name="Vírgula 2 5" xfId="539" xr:uid="{00000000-0005-0000-0000-000080020000}"/>
    <cellStyle name="Vírgula 2 5 2" xfId="540" xr:uid="{00000000-0005-0000-0000-000081020000}"/>
    <cellStyle name="Vírgula 2 5 2 2" xfId="842" xr:uid="{06EB6551-78DB-48BE-B350-CA4DB1CB1FC0}"/>
    <cellStyle name="Vírgula 2 5 2 2 2" xfId="1118" xr:uid="{41515CA3-06ED-47D7-A01A-62647EDE7EAE}"/>
    <cellStyle name="Vírgula 2 5 3" xfId="841" xr:uid="{A11E7522-A487-4858-9B4F-9E11A0A0183C}"/>
    <cellStyle name="Vírgula 2 5 3 2" xfId="1117" xr:uid="{A637259B-3D3F-4ABC-BE25-0111E69FCBB5}"/>
    <cellStyle name="Vírgula 2 6" xfId="541" xr:uid="{00000000-0005-0000-0000-000082020000}"/>
    <cellStyle name="Vírgula 2 6 2" xfId="843" xr:uid="{AF8EDB99-BD63-412D-A4EE-AC8EA823A439}"/>
    <cellStyle name="Vírgula 2 6 2 2" xfId="1119" xr:uid="{3122BD04-82B2-4E47-BA14-3CDD6A6A7603}"/>
    <cellStyle name="Vírgula 2 7" xfId="542" xr:uid="{00000000-0005-0000-0000-000083020000}"/>
    <cellStyle name="Vírgula 2 8" xfId="680" xr:uid="{04DE6663-9A0F-4765-A598-9BE7271D136A}"/>
    <cellStyle name="Vírgula 2 8 2" xfId="875" xr:uid="{6ACBFA19-FC25-4B9C-9385-D28587A46093}"/>
    <cellStyle name="Vírgula 2 8 3" xfId="984" xr:uid="{DC84CD8C-47F4-4864-9321-A93FAACF90D5}"/>
    <cellStyle name="Vírgula 20" xfId="907" xr:uid="{EDE3C50B-E4E1-4778-B56B-CC9AD4C1FE66}"/>
    <cellStyle name="Vírgula 20 2" xfId="1160" xr:uid="{1736B8CD-6FB8-4E83-AF75-FE8F9EEDF15D}"/>
    <cellStyle name="Vírgula 21" xfId="909" xr:uid="{09B735AA-1883-4120-8913-21CF35F8D571}"/>
    <cellStyle name="Vírgula 22" xfId="1161" xr:uid="{0A5BBC4E-4F2B-47A3-8D0D-576B21ACADE1}"/>
    <cellStyle name="Vírgula 24" xfId="1162" xr:uid="{292A7875-C31E-42FA-BB9D-D69D0A7BE662}"/>
    <cellStyle name="Vírgula 3" xfId="543" xr:uid="{00000000-0005-0000-0000-000084020000}"/>
    <cellStyle name="Vírgula 3 2" xfId="544" xr:uid="{00000000-0005-0000-0000-000085020000}"/>
    <cellStyle name="Vírgula 3 2 2" xfId="545" xr:uid="{00000000-0005-0000-0000-000086020000}"/>
    <cellStyle name="Vírgula 3 2 2 2" xfId="894" xr:uid="{1AD98CFC-C775-4D18-B97C-47ACF167924F}"/>
    <cellStyle name="Vírgula 3 2 2 2 2" xfId="1149" xr:uid="{2B11EDC4-0308-482B-8A19-CCF9293238A6}"/>
    <cellStyle name="Vírgula 3 2 3" xfId="881" xr:uid="{715AE9F6-3BE8-4308-81A8-3033F9B89474}"/>
    <cellStyle name="Vírgula 3 2 3 2" xfId="1146" xr:uid="{74E5433E-8726-46EC-9BCA-ABE4B0ED0E0F}"/>
    <cellStyle name="Vírgula 3 2 4" xfId="845" xr:uid="{62DB29A0-CB39-4A7C-966B-52BCCF704679}"/>
    <cellStyle name="Vírgula 3 2 4 2" xfId="1121" xr:uid="{66290CB0-96F7-4099-9AEA-E6295571B638}"/>
    <cellStyle name="Vírgula 3 3" xfId="546" xr:uid="{00000000-0005-0000-0000-000087020000}"/>
    <cellStyle name="Vírgula 3 3 2" xfId="547" xr:uid="{00000000-0005-0000-0000-000088020000}"/>
    <cellStyle name="Vírgula 3 3 3" xfId="893" xr:uid="{F59911BF-7A75-4087-9A45-E6F49481B9CA}"/>
    <cellStyle name="Vírgula 3 3 3 2" xfId="1148" xr:uid="{8F7D8B50-14E1-44DC-8EB8-9235824CD486}"/>
    <cellStyle name="Vírgula 3 3 4" xfId="846" xr:uid="{FBB81299-5335-492A-AA3E-ADADC0D03A77}"/>
    <cellStyle name="Vírgula 3 3 4 2" xfId="1122" xr:uid="{3626B3FC-745F-4689-93B7-5C82D71567FB}"/>
    <cellStyle name="Vírgula 3 4" xfId="548" xr:uid="{00000000-0005-0000-0000-000089020000}"/>
    <cellStyle name="Vírgula 3 5" xfId="876" xr:uid="{E4030365-E8AB-4784-90D1-FA2F98917331}"/>
    <cellStyle name="Vírgula 3 5 2" xfId="1145" xr:uid="{42C912AB-F1A9-46B5-BFAF-02624BC6B20D}"/>
    <cellStyle name="Vírgula 3 6" xfId="844" xr:uid="{0CC2AE34-1B4E-4D27-8CC1-893141E6FC62}"/>
    <cellStyle name="Vírgula 3 6 2" xfId="1120" xr:uid="{2A17A7EA-B84E-4FEA-87B0-936590E080A9}"/>
    <cellStyle name="Vírgula 4" xfId="549" xr:uid="{00000000-0005-0000-0000-00008A020000}"/>
    <cellStyle name="Vírgula 4 2" xfId="550" xr:uid="{00000000-0005-0000-0000-00008B020000}"/>
    <cellStyle name="Vírgula 4 2 2" xfId="551" xr:uid="{00000000-0005-0000-0000-00008C020000}"/>
    <cellStyle name="Vírgula 4 2 3" xfId="848" xr:uid="{9DB46EAD-9FC5-463F-B282-E041FED490A8}"/>
    <cellStyle name="Vírgula 4 2 3 2" xfId="1124" xr:uid="{3FF08CEA-B203-4376-A692-3DE769D0CC9F}"/>
    <cellStyle name="Vírgula 4 3" xfId="552" xr:uid="{00000000-0005-0000-0000-00008D020000}"/>
    <cellStyle name="Vírgula 4 4" xfId="847" xr:uid="{5379B432-1660-427C-AC41-8F2C9F1107F6}"/>
    <cellStyle name="Vírgula 4 4 2" xfId="1123" xr:uid="{524A91D5-BAF1-47CC-BAD5-201FD218A99C}"/>
    <cellStyle name="Vírgula 4 5" xfId="976" xr:uid="{05622549-F5AC-4E38-8371-70F81C3CFF84}"/>
    <cellStyle name="Vírgula 5" xfId="553" xr:uid="{00000000-0005-0000-0000-00008E020000}"/>
    <cellStyle name="Vírgula 5 2" xfId="554" xr:uid="{00000000-0005-0000-0000-00008F020000}"/>
    <cellStyle name="Vírgula 5 2 2" xfId="555" xr:uid="{00000000-0005-0000-0000-000090020000}"/>
    <cellStyle name="Vírgula 5 2 3" xfId="850" xr:uid="{D25DDD45-4992-434A-BB0F-3FF4EFC66A99}"/>
    <cellStyle name="Vírgula 5 2 3 2" xfId="1126" xr:uid="{0609C326-8678-47A1-BC4F-47827B3F6A1F}"/>
    <cellStyle name="Vírgula 5 3" xfId="556" xr:uid="{00000000-0005-0000-0000-000091020000}"/>
    <cellStyle name="Vírgula 5 4" xfId="849" xr:uid="{3F9BA237-312D-41D7-9B83-67A8EF200BC5}"/>
    <cellStyle name="Vírgula 5 4 2" xfId="1125" xr:uid="{F40797FA-1E11-44BC-BD4F-A77F29939BDE}"/>
    <cellStyle name="Vírgula 6" xfId="557" xr:uid="{00000000-0005-0000-0000-000092020000}"/>
    <cellStyle name="Vírgula 6 2" xfId="558" xr:uid="{00000000-0005-0000-0000-000093020000}"/>
    <cellStyle name="Vírgula 6 2 2" xfId="559" xr:uid="{00000000-0005-0000-0000-000094020000}"/>
    <cellStyle name="Vírgula 6 2 3" xfId="852" xr:uid="{65F9D480-BB05-4674-B928-B15119611D63}"/>
    <cellStyle name="Vírgula 6 2 3 2" xfId="917" xr:uid="{100599F3-D404-4111-A53E-A7F022452A8E}"/>
    <cellStyle name="Vírgula 6 2 3 3" xfId="1128" xr:uid="{64642F19-F01E-4CF0-9053-9DB3C0A4BD6B}"/>
    <cellStyle name="Vírgula 6 3" xfId="560" xr:uid="{00000000-0005-0000-0000-000095020000}"/>
    <cellStyle name="Vírgula 6 4" xfId="851" xr:uid="{6F98E3BF-F75B-4B56-8A09-6C16B700D018}"/>
    <cellStyle name="Vírgula 6 4 2" xfId="915" xr:uid="{5652B2B2-5F83-4071-9CB9-AD71D3050CD7}"/>
    <cellStyle name="Vírgula 6 4 3" xfId="1127" xr:uid="{94295C21-6579-46E6-8E6C-C0B0318356D1}"/>
    <cellStyle name="Vírgula 7" xfId="561" xr:uid="{00000000-0005-0000-0000-000096020000}"/>
    <cellStyle name="Vírgula 7 2" xfId="562" xr:uid="{00000000-0005-0000-0000-000097020000}"/>
    <cellStyle name="Vírgula 7 2 2" xfId="563" xr:uid="{00000000-0005-0000-0000-000098020000}"/>
    <cellStyle name="Vírgula 7 2 3" xfId="854" xr:uid="{9113710D-3118-429C-8E7D-B54B5224446B}"/>
    <cellStyle name="Vírgula 7 2 3 2" xfId="1130" xr:uid="{60612A42-8F7D-4A68-B1E2-4EF7EE3C915F}"/>
    <cellStyle name="Vírgula 7 3" xfId="564" xr:uid="{00000000-0005-0000-0000-000099020000}"/>
    <cellStyle name="Vírgula 7 4" xfId="853" xr:uid="{865C949D-95B6-40E3-AB95-E18882FC140B}"/>
    <cellStyle name="Vírgula 7 4 2" xfId="1129" xr:uid="{2CCBF5A8-717F-4C82-BEA1-3EB774ABE874}"/>
    <cellStyle name="Vírgula 8" xfId="565" xr:uid="{00000000-0005-0000-0000-00009A020000}"/>
    <cellStyle name="Vírgula 8 2" xfId="566" xr:uid="{00000000-0005-0000-0000-00009B020000}"/>
    <cellStyle name="Vírgula 8 2 2" xfId="567" xr:uid="{00000000-0005-0000-0000-00009C020000}"/>
    <cellStyle name="Vírgula 8 2 3" xfId="856" xr:uid="{8C0AFE7D-599F-4E74-BFEE-85D9F08D7B82}"/>
    <cellStyle name="Vírgula 8 2 3 2" xfId="1132" xr:uid="{192BDCA8-9E07-46ED-8A0C-199548D09B41}"/>
    <cellStyle name="Vírgula 8 3" xfId="568" xr:uid="{00000000-0005-0000-0000-00009D020000}"/>
    <cellStyle name="Vírgula 8 4" xfId="855" xr:uid="{DB71C3ED-5C3B-404C-AB31-6F881AF3BB2A}"/>
    <cellStyle name="Vírgula 8 4 2" xfId="1131" xr:uid="{5C673908-44E3-4E18-BD34-056CCF59FFB3}"/>
    <cellStyle name="Vírgula 9" xfId="569" xr:uid="{00000000-0005-0000-0000-00009E020000}"/>
    <cellStyle name="Vírgula 9 2" xfId="570" xr:uid="{00000000-0005-0000-0000-00009F020000}"/>
    <cellStyle name="Vírgula 9 2 2" xfId="858" xr:uid="{ECC0567B-94BD-4E34-A536-F2A5EEB84A15}"/>
    <cellStyle name="Vírgula 9 2 2 2" xfId="1134" xr:uid="{D202E331-F06D-4BEF-B306-E7689062C91A}"/>
    <cellStyle name="Vírgula 9 3" xfId="571" xr:uid="{00000000-0005-0000-0000-0000A0020000}"/>
    <cellStyle name="Vírgula 9 4" xfId="857" xr:uid="{5EF2CC08-AA33-4915-9BC3-9CC5B69C57E0}"/>
    <cellStyle name="Vírgula 9 4 2" xfId="1133" xr:uid="{E465E0E2-38BC-44FF-A130-D3CE01EF0CB9}"/>
    <cellStyle name="Warning Text" xfId="572" xr:uid="{00000000-0005-0000-0000-0000A1020000}"/>
  </cellStyles>
  <dxfs count="94">
    <dxf>
      <font>
        <b val="0"/>
        <condense val="0"/>
        <extend val="0"/>
        <color indexed="9"/>
      </font>
      <fill>
        <patternFill patternType="solid">
          <fgColor indexed="26"/>
          <bgColor indexed="9"/>
        </patternFill>
      </fill>
    </dxf>
    <dxf>
      <font>
        <b val="0"/>
        <condense val="0"/>
        <extend val="0"/>
        <color indexed="9"/>
      </font>
      <fill>
        <patternFill patternType="solid">
          <fgColor indexed="26"/>
          <bgColor indexed="9"/>
        </patternFill>
      </fill>
    </dxf>
    <dxf>
      <font>
        <b val="0"/>
        <i val="0"/>
        <strike val="0"/>
        <condense val="0"/>
        <extend val="0"/>
        <u val="none"/>
        <color indexed="0"/>
      </font>
      <fill>
        <patternFill patternType="solid">
          <fgColor indexed="23"/>
          <bgColor indexed="54"/>
        </patternFill>
      </fill>
    </dxf>
    <dxf>
      <fill>
        <patternFill patternType="solid">
          <fgColor indexed="26"/>
          <bgColor indexed="9"/>
        </patternFill>
      </fill>
    </dxf>
    <dxf>
      <font>
        <b val="0"/>
        <i val="0"/>
        <strike val="0"/>
        <condense val="0"/>
        <extend val="0"/>
        <u val="none"/>
        <color indexed="0"/>
      </font>
      <fill>
        <patternFill patternType="solid">
          <fgColor indexed="23"/>
          <bgColor indexed="54"/>
        </patternFill>
      </fill>
    </dxf>
    <dxf>
      <font>
        <b val="0"/>
        <i val="0"/>
        <strike val="0"/>
        <condense val="0"/>
        <extend val="0"/>
        <u val="none"/>
        <color indexed="0"/>
      </font>
      <fill>
        <patternFill patternType="solid">
          <fgColor indexed="23"/>
          <bgColor indexed="54"/>
        </patternFill>
      </fill>
    </dxf>
    <dxf>
      <fill>
        <patternFill patternType="solid">
          <fgColor indexed="23"/>
          <bgColor indexed="54"/>
        </patternFill>
      </fill>
    </dxf>
    <dxf>
      <font>
        <b/>
        <i val="0"/>
        <color theme="0"/>
      </font>
      <fill>
        <patternFill>
          <bgColor rgb="FF00B050"/>
        </patternFill>
      </fill>
    </dxf>
    <dxf>
      <font>
        <b/>
        <i val="0"/>
      </font>
      <fill>
        <patternFill>
          <bgColor rgb="FFFFFF00"/>
        </patternFill>
      </fill>
    </dxf>
    <dxf>
      <font>
        <b/>
        <i val="0"/>
        <color theme="0"/>
      </font>
      <fill>
        <patternFill>
          <bgColor rgb="FFFF0000"/>
        </patternFill>
      </fill>
    </dxf>
    <dxf>
      <font>
        <b/>
        <i val="0"/>
        <color theme="0"/>
      </font>
      <fill>
        <patternFill>
          <bgColor rgb="FF00B050"/>
        </patternFill>
      </fill>
    </dxf>
    <dxf>
      <font>
        <b/>
        <i val="0"/>
      </font>
      <fill>
        <patternFill>
          <bgColor rgb="FFFFFF00"/>
        </patternFill>
      </fill>
    </dxf>
    <dxf>
      <font>
        <b/>
        <i val="0"/>
        <color theme="0"/>
      </font>
      <fill>
        <patternFill>
          <bgColor rgb="FFFF0000"/>
        </patternFill>
      </fill>
    </dxf>
    <dxf>
      <font>
        <b/>
        <i val="0"/>
        <color theme="0"/>
      </font>
      <fill>
        <patternFill>
          <bgColor rgb="FF00B050"/>
        </patternFill>
      </fill>
    </dxf>
    <dxf>
      <font>
        <b/>
        <i val="0"/>
      </font>
      <fill>
        <patternFill>
          <bgColor rgb="FFFFFF00"/>
        </patternFill>
      </fill>
    </dxf>
    <dxf>
      <font>
        <b/>
        <i val="0"/>
        <color theme="0"/>
      </font>
      <fill>
        <patternFill>
          <bgColor rgb="FFFF0000"/>
        </patternFill>
      </fill>
    </dxf>
    <dxf>
      <font>
        <b/>
        <i val="0"/>
        <color theme="0"/>
      </font>
      <fill>
        <patternFill>
          <bgColor rgb="FF00B050"/>
        </patternFill>
      </fill>
    </dxf>
    <dxf>
      <font>
        <b/>
        <i val="0"/>
      </font>
      <fill>
        <patternFill>
          <bgColor rgb="FFFFFF00"/>
        </patternFill>
      </fill>
    </dxf>
    <dxf>
      <font>
        <b/>
        <i val="0"/>
        <color theme="0"/>
      </font>
      <fill>
        <patternFill>
          <bgColor rgb="FFFF0000"/>
        </patternFill>
      </fill>
    </dxf>
    <dxf>
      <font>
        <b/>
        <i val="0"/>
        <color theme="0"/>
      </font>
      <fill>
        <patternFill>
          <bgColor rgb="FF00B050"/>
        </patternFill>
      </fill>
    </dxf>
    <dxf>
      <font>
        <b/>
        <i val="0"/>
      </font>
      <fill>
        <patternFill>
          <bgColor rgb="FFFFFF00"/>
        </patternFill>
      </fill>
    </dxf>
    <dxf>
      <font>
        <b/>
        <i val="0"/>
        <color theme="0"/>
      </font>
      <fill>
        <patternFill>
          <bgColor rgb="FFFF0000"/>
        </patternFill>
      </fill>
    </dxf>
    <dxf>
      <fill>
        <patternFill>
          <bgColor rgb="FFFF0000"/>
        </patternFill>
      </fill>
    </dxf>
    <dxf>
      <fill>
        <patternFill>
          <bgColor rgb="FFFFFF00"/>
        </patternFill>
      </fill>
    </dxf>
    <dxf>
      <fill>
        <patternFill>
          <bgColor theme="9" tint="-0.24994659260841701"/>
        </patternFill>
      </fill>
    </dxf>
    <dxf>
      <fill>
        <patternFill>
          <bgColor rgb="FFFF0000"/>
        </patternFill>
      </fill>
    </dxf>
    <dxf>
      <fill>
        <patternFill>
          <bgColor rgb="FFFFFF00"/>
        </patternFill>
      </fill>
    </dxf>
    <dxf>
      <fill>
        <patternFill>
          <bgColor theme="9" tint="-0.24994659260841701"/>
        </patternFill>
      </fill>
    </dxf>
    <dxf>
      <fill>
        <patternFill>
          <bgColor rgb="FFFF0000"/>
        </patternFill>
      </fill>
    </dxf>
    <dxf>
      <fill>
        <patternFill>
          <bgColor rgb="FFFFFF00"/>
        </patternFill>
      </fill>
    </dxf>
    <dxf>
      <fill>
        <patternFill>
          <bgColor theme="9" tint="-0.24994659260841701"/>
        </patternFill>
      </fill>
    </dxf>
    <dxf>
      <font>
        <b/>
        <i val="0"/>
        <color theme="0"/>
      </font>
      <fill>
        <patternFill>
          <bgColor rgb="FFFF0000"/>
        </patternFill>
      </fill>
    </dxf>
    <dxf>
      <font>
        <b/>
        <i val="0"/>
      </font>
      <fill>
        <patternFill>
          <bgColor rgb="FFFFFF00"/>
        </patternFill>
      </fill>
    </dxf>
    <dxf>
      <font>
        <b/>
        <i val="0"/>
        <color theme="0"/>
      </font>
      <fill>
        <patternFill>
          <bgColor rgb="FF02AA2E"/>
        </patternFill>
      </fill>
    </dxf>
    <dxf>
      <fill>
        <patternFill>
          <bgColor rgb="FFFF0000"/>
        </patternFill>
      </fill>
    </dxf>
    <dxf>
      <fill>
        <patternFill>
          <bgColor rgb="FFFFFF00"/>
        </patternFill>
      </fill>
    </dxf>
    <dxf>
      <fill>
        <patternFill>
          <bgColor theme="9" tint="-0.24994659260841701"/>
        </patternFill>
      </fill>
    </dxf>
    <dxf>
      <font>
        <b/>
        <i val="0"/>
        <color theme="0"/>
      </font>
      <fill>
        <patternFill>
          <bgColor rgb="FFFF0000"/>
        </patternFill>
      </fill>
    </dxf>
    <dxf>
      <font>
        <b/>
        <i val="0"/>
      </font>
      <fill>
        <patternFill>
          <bgColor rgb="FFFFFF00"/>
        </patternFill>
      </fill>
    </dxf>
    <dxf>
      <font>
        <b/>
        <i val="0"/>
        <color theme="0"/>
      </font>
      <fill>
        <patternFill>
          <bgColor rgb="FF02AA2E"/>
        </patternFill>
      </fill>
    </dxf>
    <dxf>
      <fill>
        <patternFill>
          <bgColor rgb="FFFF0000"/>
        </patternFill>
      </fill>
    </dxf>
    <dxf>
      <fill>
        <patternFill>
          <bgColor rgb="FFFFFF00"/>
        </patternFill>
      </fill>
    </dxf>
    <dxf>
      <fill>
        <patternFill>
          <bgColor theme="9" tint="-0.24994659260841701"/>
        </patternFill>
      </fill>
    </dxf>
    <dxf>
      <font>
        <b/>
        <i val="0"/>
        <color theme="0"/>
      </font>
      <fill>
        <patternFill>
          <bgColor rgb="FFFF0000"/>
        </patternFill>
      </fill>
    </dxf>
    <dxf>
      <font>
        <b/>
        <i val="0"/>
      </font>
      <fill>
        <patternFill>
          <bgColor rgb="FFFFFF00"/>
        </patternFill>
      </fill>
    </dxf>
    <dxf>
      <font>
        <b/>
        <i val="0"/>
        <color theme="0"/>
      </font>
      <fill>
        <patternFill>
          <bgColor rgb="FF02AA2E"/>
        </patternFill>
      </fill>
    </dxf>
    <dxf>
      <fill>
        <patternFill>
          <bgColor rgb="FFFF0000"/>
        </patternFill>
      </fill>
    </dxf>
    <dxf>
      <fill>
        <patternFill>
          <bgColor rgb="FFFFFF00"/>
        </patternFill>
      </fill>
    </dxf>
    <dxf>
      <fill>
        <patternFill>
          <bgColor theme="9" tint="-0.24994659260841701"/>
        </patternFill>
      </fill>
    </dxf>
    <dxf>
      <font>
        <b/>
        <i val="0"/>
        <color theme="0"/>
      </font>
      <fill>
        <patternFill>
          <bgColor rgb="FFFF0000"/>
        </patternFill>
      </fill>
    </dxf>
    <dxf>
      <font>
        <b/>
        <i val="0"/>
      </font>
      <fill>
        <patternFill>
          <bgColor rgb="FFFFFF00"/>
        </patternFill>
      </fill>
    </dxf>
    <dxf>
      <font>
        <b/>
        <i val="0"/>
        <color theme="0"/>
      </font>
      <fill>
        <patternFill>
          <bgColor rgb="FF02AA2E"/>
        </patternFill>
      </fill>
    </dxf>
    <dxf>
      <fill>
        <patternFill>
          <bgColor rgb="FFFF0000"/>
        </patternFill>
      </fill>
    </dxf>
    <dxf>
      <fill>
        <patternFill>
          <bgColor rgb="FFFFFF00"/>
        </patternFill>
      </fill>
    </dxf>
    <dxf>
      <fill>
        <patternFill>
          <bgColor theme="9" tint="-0.24994659260841701"/>
        </patternFill>
      </fill>
    </dxf>
    <dxf>
      <font>
        <b/>
        <i val="0"/>
        <color theme="0"/>
      </font>
      <fill>
        <patternFill>
          <bgColor rgb="FFFF0000"/>
        </patternFill>
      </fill>
    </dxf>
    <dxf>
      <font>
        <b/>
        <i val="0"/>
      </font>
      <fill>
        <patternFill>
          <bgColor rgb="FFFFFF00"/>
        </patternFill>
      </fill>
    </dxf>
    <dxf>
      <font>
        <b/>
        <i val="0"/>
        <color theme="0"/>
      </font>
      <fill>
        <patternFill>
          <bgColor rgb="FF02AA2E"/>
        </patternFill>
      </fill>
    </dxf>
    <dxf>
      <fill>
        <patternFill>
          <bgColor rgb="FFFF0000"/>
        </patternFill>
      </fill>
    </dxf>
    <dxf>
      <fill>
        <patternFill>
          <bgColor rgb="FFFFFF00"/>
        </patternFill>
      </fill>
    </dxf>
    <dxf>
      <fill>
        <patternFill>
          <bgColor theme="9" tint="-0.24994659260841701"/>
        </patternFill>
      </fill>
    </dxf>
    <dxf>
      <font>
        <b/>
        <i val="0"/>
        <color theme="0"/>
      </font>
      <fill>
        <patternFill>
          <bgColor rgb="FFFF0000"/>
        </patternFill>
      </fill>
    </dxf>
    <dxf>
      <font>
        <b/>
        <i val="0"/>
      </font>
      <fill>
        <patternFill>
          <bgColor rgb="FFFFFF00"/>
        </patternFill>
      </fill>
    </dxf>
    <dxf>
      <font>
        <b/>
        <i val="0"/>
        <color theme="0"/>
      </font>
      <fill>
        <patternFill>
          <bgColor rgb="FF02AA2E"/>
        </patternFill>
      </fill>
    </dxf>
    <dxf>
      <fill>
        <patternFill>
          <bgColor rgb="FFFF0000"/>
        </patternFill>
      </fill>
    </dxf>
    <dxf>
      <fill>
        <patternFill>
          <bgColor rgb="FFFFFF00"/>
        </patternFill>
      </fill>
    </dxf>
    <dxf>
      <fill>
        <patternFill>
          <bgColor theme="9" tint="-0.24994659260841701"/>
        </patternFill>
      </fill>
    </dxf>
    <dxf>
      <font>
        <b/>
        <i val="0"/>
        <color theme="0"/>
      </font>
      <fill>
        <patternFill>
          <bgColor rgb="FFFF0000"/>
        </patternFill>
      </fill>
    </dxf>
    <dxf>
      <font>
        <b/>
        <i val="0"/>
      </font>
      <fill>
        <patternFill>
          <bgColor rgb="FFFFFF00"/>
        </patternFill>
      </fill>
    </dxf>
    <dxf>
      <font>
        <b/>
        <i val="0"/>
        <color theme="0"/>
      </font>
      <fill>
        <patternFill>
          <bgColor rgb="FF02AA2E"/>
        </patternFill>
      </fill>
    </dxf>
    <dxf>
      <fill>
        <patternFill>
          <bgColor rgb="FFFF0000"/>
        </patternFill>
      </fill>
    </dxf>
    <dxf>
      <fill>
        <patternFill>
          <bgColor rgb="FFFFFF00"/>
        </patternFill>
      </fill>
    </dxf>
    <dxf>
      <fill>
        <patternFill>
          <bgColor theme="9" tint="-0.24994659260841701"/>
        </patternFill>
      </fill>
    </dxf>
    <dxf>
      <font>
        <b/>
        <i val="0"/>
        <color theme="0"/>
      </font>
      <fill>
        <patternFill>
          <bgColor rgb="FFFF0000"/>
        </patternFill>
      </fill>
    </dxf>
    <dxf>
      <font>
        <b/>
        <i val="0"/>
      </font>
      <fill>
        <patternFill>
          <bgColor rgb="FFFFFF00"/>
        </patternFill>
      </fill>
    </dxf>
    <dxf>
      <font>
        <b/>
        <i val="0"/>
        <color theme="0"/>
      </font>
      <fill>
        <patternFill>
          <bgColor rgb="FF02AA2E"/>
        </patternFill>
      </fill>
    </dxf>
    <dxf>
      <fill>
        <patternFill>
          <bgColor rgb="FFFF0000"/>
        </patternFill>
      </fill>
    </dxf>
    <dxf>
      <fill>
        <patternFill>
          <bgColor rgb="FFFFFF00"/>
        </patternFill>
      </fill>
    </dxf>
    <dxf>
      <fill>
        <patternFill>
          <bgColor theme="9" tint="-0.24994659260841701"/>
        </patternFill>
      </fill>
    </dxf>
    <dxf>
      <font>
        <b/>
        <i val="0"/>
        <color theme="0"/>
      </font>
      <fill>
        <patternFill>
          <bgColor rgb="FFFF0000"/>
        </patternFill>
      </fill>
    </dxf>
    <dxf>
      <font>
        <b/>
        <i val="0"/>
      </font>
      <fill>
        <patternFill>
          <bgColor rgb="FFFFFF00"/>
        </patternFill>
      </fill>
    </dxf>
    <dxf>
      <font>
        <b/>
        <i val="0"/>
        <color theme="0"/>
      </font>
      <fill>
        <patternFill>
          <bgColor rgb="FF02AA2E"/>
        </patternFill>
      </fill>
    </dxf>
    <dxf>
      <fill>
        <patternFill>
          <bgColor rgb="FFFF0000"/>
        </patternFill>
      </fill>
    </dxf>
    <dxf>
      <fill>
        <patternFill>
          <bgColor rgb="FFFFFF00"/>
        </patternFill>
      </fill>
    </dxf>
    <dxf>
      <fill>
        <patternFill>
          <bgColor theme="9" tint="-0.24994659260841701"/>
        </patternFill>
      </fill>
    </dxf>
    <dxf>
      <font>
        <b/>
        <i val="0"/>
        <color theme="0"/>
      </font>
      <fill>
        <patternFill>
          <bgColor rgb="FFFF0000"/>
        </patternFill>
      </fill>
    </dxf>
    <dxf>
      <font>
        <b/>
        <i val="0"/>
      </font>
      <fill>
        <patternFill>
          <bgColor rgb="FFFFFF00"/>
        </patternFill>
      </fill>
    </dxf>
    <dxf>
      <font>
        <b/>
        <i val="0"/>
        <color theme="0"/>
      </font>
      <fill>
        <patternFill>
          <bgColor rgb="FF02AA2E"/>
        </patternFill>
      </fill>
    </dxf>
    <dxf>
      <fill>
        <patternFill>
          <bgColor rgb="FFFF0000"/>
        </patternFill>
      </fill>
    </dxf>
    <dxf>
      <fill>
        <patternFill>
          <bgColor rgb="FFFFFF00"/>
        </patternFill>
      </fill>
    </dxf>
    <dxf>
      <fill>
        <patternFill>
          <bgColor theme="9" tint="-0.24994659260841701"/>
        </patternFill>
      </fill>
    </dxf>
    <dxf>
      <font>
        <b/>
        <i val="0"/>
        <color theme="0"/>
      </font>
      <fill>
        <patternFill>
          <bgColor rgb="FFFF0000"/>
        </patternFill>
      </fill>
    </dxf>
    <dxf>
      <font>
        <b/>
        <i val="0"/>
      </font>
      <fill>
        <patternFill>
          <bgColor rgb="FFFFFF00"/>
        </patternFill>
      </fill>
    </dxf>
    <dxf>
      <font>
        <b/>
        <i val="0"/>
        <color theme="0"/>
      </font>
      <fill>
        <patternFill>
          <bgColor rgb="FF02AA2E"/>
        </patternFill>
      </fill>
    </dxf>
  </dxfs>
  <tableStyles count="1" defaultTableStyle="TableStyleMedium2" defaultPivotStyle="PivotStyleLight16">
    <tableStyle name="Invisible" pivot="0" table="0" count="0" xr9:uid="{B9EB3ED0-E162-4070-8E88-52CEC67D2CE4}"/>
  </tableStyles>
  <colors>
    <mruColors>
      <color rgb="FFAF1B1B"/>
      <color rgb="FFEAEAEA"/>
      <color rgb="FFA3DCDB"/>
      <color rgb="FFED0505"/>
      <color rgb="FF78B832"/>
      <color rgb="FFCCFFCC"/>
      <color rgb="FFE50505"/>
      <color rgb="FFFFFFCC"/>
      <color rgb="FF87CB3D"/>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1202250503539019E-2"/>
          <c:y val="4.0170620180316335E-2"/>
          <c:w val="0.94804457294083044"/>
          <c:h val="0.84734244174109874"/>
        </c:manualLayout>
      </c:layout>
      <c:bar3DChart>
        <c:barDir val="col"/>
        <c:grouping val="standard"/>
        <c:varyColors val="0"/>
        <c:ser>
          <c:idx val="0"/>
          <c:order val="0"/>
          <c:spPr>
            <a:solidFill>
              <a:srgbClr val="FF0000"/>
            </a:solidFill>
            <a:ln>
              <a:solidFill>
                <a:srgbClr val="EAEAEA"/>
              </a:solidFill>
            </a:ln>
            <a:effectLst/>
            <a:sp3d>
              <a:contourClr>
                <a:srgbClr val="EAEAEA"/>
              </a:contourClr>
            </a:sp3d>
          </c:spPr>
          <c:invertIfNegative val="0"/>
          <c:cat>
            <c:numRef>
              <c:f>APR!$AJ$20:$AJ$33</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cat>
          <c:val>
            <c:numRef>
              <c:f>APR!$AM$20:$AM$33</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0-EC3D-47D4-8BCB-3F0494C83C2B}"/>
            </c:ext>
          </c:extLst>
        </c:ser>
        <c:ser>
          <c:idx val="1"/>
          <c:order val="1"/>
          <c:spPr>
            <a:solidFill>
              <a:srgbClr val="FFFF00"/>
            </a:solidFill>
            <a:ln>
              <a:solidFill>
                <a:srgbClr val="EAEAEA"/>
              </a:solidFill>
            </a:ln>
            <a:effectLst/>
            <a:sp3d>
              <a:contourClr>
                <a:srgbClr val="EAEAEA"/>
              </a:contourClr>
            </a:sp3d>
          </c:spPr>
          <c:invertIfNegative val="0"/>
          <c:cat>
            <c:numRef>
              <c:f>APR!$AJ$20:$AJ$33</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cat>
          <c:val>
            <c:numRef>
              <c:f>APR!$AN$20:$AN$33</c:f>
              <c:numCache>
                <c:formatCode>General</c:formatCode>
                <c:ptCount val="14"/>
                <c:pt idx="0">
                  <c:v>0</c:v>
                </c:pt>
                <c:pt idx="1">
                  <c:v>0</c:v>
                </c:pt>
                <c:pt idx="2">
                  <c:v>7</c:v>
                </c:pt>
                <c:pt idx="3">
                  <c:v>7</c:v>
                </c:pt>
                <c:pt idx="4">
                  <c:v>0</c:v>
                </c:pt>
                <c:pt idx="5">
                  <c:v>0</c:v>
                </c:pt>
                <c:pt idx="6">
                  <c:v>0</c:v>
                </c:pt>
                <c:pt idx="7">
                  <c:v>0</c:v>
                </c:pt>
                <c:pt idx="8">
                  <c:v>8.4</c:v>
                </c:pt>
                <c:pt idx="9">
                  <c:v>7</c:v>
                </c:pt>
                <c:pt idx="10">
                  <c:v>8</c:v>
                </c:pt>
                <c:pt idx="11">
                  <c:v>8</c:v>
                </c:pt>
                <c:pt idx="12">
                  <c:v>0</c:v>
                </c:pt>
                <c:pt idx="13">
                  <c:v>0</c:v>
                </c:pt>
              </c:numCache>
            </c:numRef>
          </c:val>
          <c:extLst>
            <c:ext xmlns:c16="http://schemas.microsoft.com/office/drawing/2014/chart" uri="{C3380CC4-5D6E-409C-BE32-E72D297353CC}">
              <c16:uniqueId val="{00000001-EC3D-47D4-8BCB-3F0494C83C2B}"/>
            </c:ext>
          </c:extLst>
        </c:ser>
        <c:ser>
          <c:idx val="2"/>
          <c:order val="2"/>
          <c:spPr>
            <a:solidFill>
              <a:srgbClr val="02AA2E"/>
            </a:solidFill>
            <a:ln>
              <a:solidFill>
                <a:srgbClr val="EAEAEA"/>
              </a:solidFill>
            </a:ln>
            <a:effectLst/>
            <a:sp3d>
              <a:contourClr>
                <a:srgbClr val="EAEAEA"/>
              </a:contourClr>
            </a:sp3d>
          </c:spPr>
          <c:invertIfNegative val="0"/>
          <c:cat>
            <c:numRef>
              <c:f>APR!$AJ$20:$AJ$33</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cat>
          <c:val>
            <c:numRef>
              <c:f>APR!$AO$20:$AO$33</c:f>
              <c:numCache>
                <c:formatCode>General</c:formatCode>
                <c:ptCount val="14"/>
                <c:pt idx="0">
                  <c:v>8.6</c:v>
                </c:pt>
                <c:pt idx="1">
                  <c:v>8.6</c:v>
                </c:pt>
                <c:pt idx="2">
                  <c:v>0</c:v>
                </c:pt>
                <c:pt idx="3">
                  <c:v>0</c:v>
                </c:pt>
                <c:pt idx="4">
                  <c:v>8.9</c:v>
                </c:pt>
                <c:pt idx="5">
                  <c:v>8.6</c:v>
                </c:pt>
                <c:pt idx="6">
                  <c:v>8.9</c:v>
                </c:pt>
                <c:pt idx="7">
                  <c:v>9</c:v>
                </c:pt>
                <c:pt idx="8">
                  <c:v>0</c:v>
                </c:pt>
                <c:pt idx="9">
                  <c:v>0</c:v>
                </c:pt>
                <c:pt idx="10">
                  <c:v>0</c:v>
                </c:pt>
                <c:pt idx="11">
                  <c:v>0</c:v>
                </c:pt>
                <c:pt idx="12">
                  <c:v>8.6</c:v>
                </c:pt>
                <c:pt idx="13">
                  <c:v>8.6</c:v>
                </c:pt>
              </c:numCache>
            </c:numRef>
          </c:val>
          <c:extLst>
            <c:ext xmlns:c16="http://schemas.microsoft.com/office/drawing/2014/chart" uri="{C3380CC4-5D6E-409C-BE32-E72D297353CC}">
              <c16:uniqueId val="{00000002-EC3D-47D4-8BCB-3F0494C83C2B}"/>
            </c:ext>
          </c:extLst>
        </c:ser>
        <c:dLbls>
          <c:showLegendKey val="0"/>
          <c:showVal val="0"/>
          <c:showCatName val="0"/>
          <c:showSerName val="0"/>
          <c:showPercent val="0"/>
          <c:showBubbleSize val="0"/>
        </c:dLbls>
        <c:gapWidth val="150"/>
        <c:shape val="box"/>
        <c:axId val="109814272"/>
        <c:axId val="123920608"/>
        <c:axId val="2146338784"/>
      </c:bar3DChart>
      <c:catAx>
        <c:axId val="1098142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pt-BR"/>
          </a:p>
        </c:txPr>
        <c:crossAx val="123920608"/>
        <c:crosses val="autoZero"/>
        <c:auto val="1"/>
        <c:lblAlgn val="ctr"/>
        <c:lblOffset val="100"/>
        <c:noMultiLvlLbl val="0"/>
      </c:catAx>
      <c:valAx>
        <c:axId val="123920608"/>
        <c:scaling>
          <c:orientation val="minMax"/>
          <c:max val="10"/>
        </c:scaling>
        <c:delete val="0"/>
        <c:axPos val="l"/>
        <c:majorGridlines>
          <c:spPr>
            <a:ln w="9525" cap="flat" cmpd="sng" algn="ctr">
              <a:solidFill>
                <a:schemeClr val="tx1">
                  <a:lumMod val="15000"/>
                  <a:lumOff val="85000"/>
                </a:schemeClr>
              </a:solidFill>
              <a:round/>
            </a:ln>
            <a:effectLst>
              <a:outerShdw blurRad="50800" dist="38100" dir="18900000" algn="bl" rotWithShape="0">
                <a:prstClr val="black">
                  <a:alpha val="40000"/>
                </a:prstClr>
              </a:outerShdw>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pt-BR"/>
          </a:p>
        </c:txPr>
        <c:crossAx val="109814272"/>
        <c:crosses val="autoZero"/>
        <c:crossBetween val="between"/>
        <c:majorUnit val="1"/>
      </c:valAx>
      <c:serAx>
        <c:axId val="2146338784"/>
        <c:scaling>
          <c:orientation val="minMax"/>
        </c:scaling>
        <c:delete val="1"/>
        <c:axPos val="b"/>
        <c:majorTickMark val="none"/>
        <c:minorTickMark val="none"/>
        <c:tickLblPos val="nextTo"/>
        <c:crossAx val="123920608"/>
        <c:crosses val="autoZero"/>
      </c:ser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firstButton="1" fmlaLink="$P$23"/>
</file>

<file path=xl/ctrlProps/ctrlProp2.xml><?xml version="1.0" encoding="utf-8"?>
<formControlPr xmlns="http://schemas.microsoft.com/office/spreadsheetml/2009/9/main" objectType="Radio" checked="Checked"/>
</file>

<file path=xl/ctrlProps/ctrlProp3.xml><?xml version="1.0" encoding="utf-8"?>
<formControlPr xmlns="http://schemas.microsoft.com/office/spreadsheetml/2009/9/main" objectType="Radio"/>
</file>

<file path=xl/ctrlProps/ctrlProp4.xml><?xml version="1.0" encoding="utf-8"?>
<formControlPr xmlns="http://schemas.microsoft.com/office/spreadsheetml/2009/9/main" objectType="Radio" checked="Checked" firstButton="1" fmlaLink="$AB$17"/>
</file>

<file path=xl/ctrlProps/ctrlProp5.xml><?xml version="1.0" encoding="utf-8"?>
<formControlPr xmlns="http://schemas.microsoft.com/office/spreadsheetml/2009/9/main" objectType="Radio"/>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QQP - MOUR&#195;O Y'!A16"/></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QQP!A7"/></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CPU  1'!A1"/></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CPU  1'!A1"/></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CPU  1'!A1"/></Relationships>
</file>

<file path=xl/drawings/_rels/drawing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CPU  1'!A1"/></Relationships>
</file>

<file path=xl/drawings/_rels/drawing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CPU  1'!A1"/></Relationships>
</file>

<file path=xl/drawings/_rels/drawing1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CPU  1'!A1"/></Relationships>
</file>

<file path=xl/drawings/drawing1.xml><?xml version="1.0" encoding="utf-8"?>
<xdr:wsDr xmlns:xdr="http://schemas.openxmlformats.org/drawingml/2006/spreadsheetDrawing" xmlns:a="http://schemas.openxmlformats.org/drawingml/2006/main">
  <xdr:twoCellAnchor>
    <xdr:from>
      <xdr:col>12</xdr:col>
      <xdr:colOff>32656</xdr:colOff>
      <xdr:row>13</xdr:row>
      <xdr:rowOff>38100</xdr:rowOff>
    </xdr:from>
    <xdr:to>
      <xdr:col>20</xdr:col>
      <xdr:colOff>403411</xdr:colOff>
      <xdr:row>25</xdr:row>
      <xdr:rowOff>478972</xdr:rowOff>
    </xdr:to>
    <xdr:graphicFrame macro="">
      <xdr:nvGraphicFramePr>
        <xdr:cNvPr id="2" name="Gráfico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685801</xdr:colOff>
      <xdr:row>13</xdr:row>
      <xdr:rowOff>10885</xdr:rowOff>
    </xdr:from>
    <xdr:to>
      <xdr:col>16</xdr:col>
      <xdr:colOff>293914</xdr:colOff>
      <xdr:row>14</xdr:row>
      <xdr:rowOff>141514</xdr:rowOff>
    </xdr:to>
    <xdr:sp macro="" textlink="">
      <xdr:nvSpPr>
        <xdr:cNvPr id="3" name="CaixaDeTexto 2">
          <a:extLst>
            <a:ext uri="{FF2B5EF4-FFF2-40B4-BE49-F238E27FC236}">
              <a16:creationId xmlns:a16="http://schemas.microsoft.com/office/drawing/2014/main" id="{00000000-0008-0000-0000-000003000000}"/>
            </a:ext>
          </a:extLst>
        </xdr:cNvPr>
        <xdr:cNvSpPr txBox="1"/>
      </xdr:nvSpPr>
      <xdr:spPr>
        <a:xfrm>
          <a:off x="12954001" y="3916135"/>
          <a:ext cx="1913163" cy="2925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600" b="1">
              <a:solidFill>
                <a:sysClr val="windowText" lastClr="000000"/>
              </a:solidFill>
            </a:rPr>
            <a:t>TIPOS DE RISCOS</a:t>
          </a:r>
        </a:p>
      </xdr:txBody>
    </xdr:sp>
    <xdr:clientData/>
  </xdr:twoCellAnchor>
  <xdr:twoCellAnchor editAs="oneCell">
    <xdr:from>
      <xdr:col>1</xdr:col>
      <xdr:colOff>59949</xdr:colOff>
      <xdr:row>0</xdr:row>
      <xdr:rowOff>61991</xdr:rowOff>
    </xdr:from>
    <xdr:to>
      <xdr:col>1</xdr:col>
      <xdr:colOff>1876537</xdr:colOff>
      <xdr:row>1</xdr:row>
      <xdr:rowOff>337637</xdr:rowOff>
    </xdr:to>
    <xdr:pic>
      <xdr:nvPicPr>
        <xdr:cNvPr id="4" name="Imagem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a:srcRect/>
        <a:stretch/>
      </xdr:blipFill>
      <xdr:spPr>
        <a:xfrm>
          <a:off x="127184" y="61991"/>
          <a:ext cx="1816588" cy="66785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67508</xdr:colOff>
      <xdr:row>1</xdr:row>
      <xdr:rowOff>58747</xdr:rowOff>
    </xdr:from>
    <xdr:to>
      <xdr:col>2</xdr:col>
      <xdr:colOff>1009069</xdr:colOff>
      <xdr:row>1</xdr:row>
      <xdr:rowOff>589222</xdr:rowOff>
    </xdr:to>
    <xdr:pic>
      <xdr:nvPicPr>
        <xdr:cNvPr id="2" name="Imagem 1">
          <a:hlinkClick xmlns:r="http://schemas.openxmlformats.org/officeDocument/2006/relationships" r:id="rId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2"/>
        <a:srcRect/>
        <a:stretch/>
      </xdr:blipFill>
      <xdr:spPr>
        <a:xfrm>
          <a:off x="124658" y="315922"/>
          <a:ext cx="1486391" cy="5304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76957</xdr:colOff>
      <xdr:row>0</xdr:row>
      <xdr:rowOff>163975</xdr:rowOff>
    </xdr:from>
    <xdr:to>
      <xdr:col>2</xdr:col>
      <xdr:colOff>897099</xdr:colOff>
      <xdr:row>2</xdr:row>
      <xdr:rowOff>59689</xdr:rowOff>
    </xdr:to>
    <xdr:pic>
      <xdr:nvPicPr>
        <xdr:cNvPr id="2" name="Imagem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rcRect/>
        <a:stretch/>
      </xdr:blipFill>
      <xdr:spPr>
        <a:xfrm>
          <a:off x="542624" y="163975"/>
          <a:ext cx="1765888" cy="66152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67508</xdr:colOff>
      <xdr:row>1</xdr:row>
      <xdr:rowOff>58747</xdr:rowOff>
    </xdr:from>
    <xdr:to>
      <xdr:col>2</xdr:col>
      <xdr:colOff>1010498</xdr:colOff>
      <xdr:row>1</xdr:row>
      <xdr:rowOff>589222</xdr:rowOff>
    </xdr:to>
    <xdr:pic>
      <xdr:nvPicPr>
        <xdr:cNvPr id="2" name="Imagem 2">
          <a:hlinkClick xmlns:r="http://schemas.openxmlformats.org/officeDocument/2006/relationships" r:id="rId1"/>
          <a:extLst>
            <a:ext uri="{FF2B5EF4-FFF2-40B4-BE49-F238E27FC236}">
              <a16:creationId xmlns:a16="http://schemas.microsoft.com/office/drawing/2014/main" id="{871B2422-1B58-40BE-8AD7-707B017BD196}"/>
            </a:ext>
          </a:extLst>
        </xdr:cNvPr>
        <xdr:cNvPicPr>
          <a:picLocks noChangeAspect="1"/>
        </xdr:cNvPicPr>
      </xdr:nvPicPr>
      <xdr:blipFill>
        <a:blip xmlns:r="http://schemas.openxmlformats.org/officeDocument/2006/relationships" r:embed="rId2"/>
        <a:srcRect/>
        <a:stretch/>
      </xdr:blipFill>
      <xdr:spPr>
        <a:xfrm>
          <a:off x="124658" y="334972"/>
          <a:ext cx="1485915" cy="5304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109107</xdr:colOff>
      <xdr:row>0</xdr:row>
      <xdr:rowOff>54075</xdr:rowOff>
    </xdr:from>
    <xdr:to>
      <xdr:col>2</xdr:col>
      <xdr:colOff>705237</xdr:colOff>
      <xdr:row>0</xdr:row>
      <xdr:rowOff>441603</xdr:rowOff>
    </xdr:to>
    <xdr:pic>
      <xdr:nvPicPr>
        <xdr:cNvPr id="3" name="Imagem 2">
          <a:hlinkClick xmlns:r="http://schemas.openxmlformats.org/officeDocument/2006/relationships" r:id="rId1"/>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srcRect/>
        <a:stretch/>
      </xdr:blipFill>
      <xdr:spPr>
        <a:xfrm>
          <a:off x="194832" y="54075"/>
          <a:ext cx="1080000" cy="39705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77634</xdr:colOff>
      <xdr:row>0</xdr:row>
      <xdr:rowOff>52283</xdr:rowOff>
    </xdr:from>
    <xdr:to>
      <xdr:col>1</xdr:col>
      <xdr:colOff>1157634</xdr:colOff>
      <xdr:row>0</xdr:row>
      <xdr:rowOff>449336</xdr:rowOff>
    </xdr:to>
    <xdr:pic>
      <xdr:nvPicPr>
        <xdr:cNvPr id="3" name="Imagem 2">
          <a:hlinkClick xmlns:r="http://schemas.openxmlformats.org/officeDocument/2006/relationships" r:id="rId1"/>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2"/>
        <a:srcRect/>
        <a:stretch/>
      </xdr:blipFill>
      <xdr:spPr>
        <a:xfrm>
          <a:off x="163359" y="52283"/>
          <a:ext cx="1080000" cy="39705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106209</xdr:colOff>
      <xdr:row>0</xdr:row>
      <xdr:rowOff>42758</xdr:rowOff>
    </xdr:from>
    <xdr:to>
      <xdr:col>1</xdr:col>
      <xdr:colOff>1186209</xdr:colOff>
      <xdr:row>0</xdr:row>
      <xdr:rowOff>439811</xdr:rowOff>
    </xdr:to>
    <xdr:pic>
      <xdr:nvPicPr>
        <xdr:cNvPr id="2" name="Imagem 1">
          <a:hlinkClick xmlns:r="http://schemas.openxmlformats.org/officeDocument/2006/relationships" r:id="rId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2"/>
        <a:srcRect/>
        <a:stretch/>
      </xdr:blipFill>
      <xdr:spPr>
        <a:xfrm>
          <a:off x="190876" y="42758"/>
          <a:ext cx="1080000" cy="39705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51923</xdr:colOff>
      <xdr:row>0</xdr:row>
      <xdr:rowOff>61806</xdr:rowOff>
    </xdr:from>
    <xdr:to>
      <xdr:col>1</xdr:col>
      <xdr:colOff>1131923</xdr:colOff>
      <xdr:row>0</xdr:row>
      <xdr:rowOff>458859</xdr:rowOff>
    </xdr:to>
    <xdr:pic>
      <xdr:nvPicPr>
        <xdr:cNvPr id="2" name="Imagem 1">
          <a:hlinkClick xmlns:r="http://schemas.openxmlformats.org/officeDocument/2006/relationships" r:id="rId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2"/>
        <a:srcRect/>
        <a:stretch/>
      </xdr:blipFill>
      <xdr:spPr>
        <a:xfrm>
          <a:off x="137648" y="61806"/>
          <a:ext cx="1080000" cy="397053"/>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251460</xdr:colOff>
          <xdr:row>18</xdr:row>
          <xdr:rowOff>83820</xdr:rowOff>
        </xdr:from>
        <xdr:to>
          <xdr:col>2</xdr:col>
          <xdr:colOff>1379220</xdr:colOff>
          <xdr:row>18</xdr:row>
          <xdr:rowOff>419100</xdr:rowOff>
        </xdr:to>
        <xdr:sp macro="" textlink="">
          <xdr:nvSpPr>
            <xdr:cNvPr id="32775" name="Botão de opção 16" descr="Lucro Presumido" hidden="1">
              <a:extLst>
                <a:ext uri="{63B3BB69-23CF-44E3-9099-C40C66FF867C}">
                  <a14:compatExt spid="_x0000_s32775"/>
                </a:ext>
                <a:ext uri="{FF2B5EF4-FFF2-40B4-BE49-F238E27FC236}">
                  <a16:creationId xmlns:a16="http://schemas.microsoft.com/office/drawing/2014/main" id="{00000000-0008-0000-0800-0000078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7432" rIns="0" bIns="27432" anchor="ctr" upright="1"/>
            <a:lstStyle/>
            <a:p>
              <a:pPr algn="l" rtl="0">
                <a:defRPr sz="1000"/>
              </a:pPr>
              <a:r>
                <a:rPr lang="pt-BR" sz="1000" b="0" i="0" u="none" strike="noStrike" baseline="0">
                  <a:solidFill>
                    <a:srgbClr val="000000"/>
                  </a:solidFill>
                  <a:latin typeface="Arial"/>
                  <a:cs typeface="Arial"/>
                </a:rPr>
                <a:t>Lucro Presumido</a:t>
              </a:r>
            </a:p>
          </xdr:txBody>
        </xdr:sp>
        <xdr:clientData/>
      </xdr:twoCellAnchor>
    </mc:Choice>
    <mc:Fallback/>
  </mc:AlternateContent>
  <mc:AlternateContent xmlns:mc="http://schemas.openxmlformats.org/markup-compatibility/2006">
    <mc:Choice xmlns:a14="http://schemas.microsoft.com/office/drawing/2010/main" Requires="a14">
      <xdr:twoCellAnchor>
        <xdr:from>
          <xdr:col>2</xdr:col>
          <xdr:colOff>2087880</xdr:colOff>
          <xdr:row>18</xdr:row>
          <xdr:rowOff>83820</xdr:rowOff>
        </xdr:from>
        <xdr:to>
          <xdr:col>2</xdr:col>
          <xdr:colOff>3733800</xdr:colOff>
          <xdr:row>18</xdr:row>
          <xdr:rowOff>419100</xdr:rowOff>
        </xdr:to>
        <xdr:sp macro="" textlink="">
          <xdr:nvSpPr>
            <xdr:cNvPr id="32776" name="Botão de opção 17" descr="Lucro Real" hidden="1">
              <a:extLst>
                <a:ext uri="{63B3BB69-23CF-44E3-9099-C40C66FF867C}">
                  <a14:compatExt spid="_x0000_s32776"/>
                </a:ext>
                <a:ext uri="{FF2B5EF4-FFF2-40B4-BE49-F238E27FC236}">
                  <a16:creationId xmlns:a16="http://schemas.microsoft.com/office/drawing/2014/main" id="{00000000-0008-0000-0800-0000088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7432" rIns="0" bIns="27432" anchor="ctr" upright="1"/>
            <a:lstStyle/>
            <a:p>
              <a:pPr algn="l" rtl="0">
                <a:defRPr sz="1000"/>
              </a:pPr>
              <a:r>
                <a:rPr lang="pt-BR" sz="1000" b="0" i="0" u="none" strike="noStrike" baseline="0">
                  <a:solidFill>
                    <a:srgbClr val="000000"/>
                  </a:solidFill>
                  <a:latin typeface="Arial"/>
                  <a:cs typeface="Arial"/>
                </a:rPr>
                <a:t>Lucro Real</a:t>
              </a:r>
            </a:p>
          </xdr:txBody>
        </xdr:sp>
        <xdr:clientData/>
      </xdr:twoCellAnchor>
    </mc:Choice>
    <mc:Fallback/>
  </mc:AlternateContent>
  <mc:AlternateContent xmlns:mc="http://schemas.openxmlformats.org/markup-compatibility/2006">
    <mc:Choice xmlns:a14="http://schemas.microsoft.com/office/drawing/2010/main" Requires="a14">
      <xdr:twoCellAnchor>
        <xdr:from>
          <xdr:col>2</xdr:col>
          <xdr:colOff>4579620</xdr:colOff>
          <xdr:row>18</xdr:row>
          <xdr:rowOff>76200</xdr:rowOff>
        </xdr:from>
        <xdr:to>
          <xdr:col>2</xdr:col>
          <xdr:colOff>6248400</xdr:colOff>
          <xdr:row>18</xdr:row>
          <xdr:rowOff>426720</xdr:rowOff>
        </xdr:to>
        <xdr:sp macro="" textlink="">
          <xdr:nvSpPr>
            <xdr:cNvPr id="32777" name="Botão de opção 18" descr="Simples Nacional" hidden="1">
              <a:extLst>
                <a:ext uri="{63B3BB69-23CF-44E3-9099-C40C66FF867C}">
                  <a14:compatExt spid="_x0000_s32777"/>
                </a:ext>
                <a:ext uri="{FF2B5EF4-FFF2-40B4-BE49-F238E27FC236}">
                  <a16:creationId xmlns:a16="http://schemas.microsoft.com/office/drawing/2014/main" id="{00000000-0008-0000-0800-0000098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7432" rIns="0" bIns="27432" anchor="ctr" upright="1"/>
            <a:lstStyle/>
            <a:p>
              <a:pPr algn="l" rtl="0">
                <a:defRPr sz="1000"/>
              </a:pPr>
              <a:r>
                <a:rPr lang="pt-BR" sz="1000" b="0" i="0" u="none" strike="noStrike" baseline="0">
                  <a:solidFill>
                    <a:srgbClr val="000000"/>
                  </a:solidFill>
                  <a:latin typeface="Arial"/>
                  <a:cs typeface="Arial"/>
                </a:rPr>
                <a:t>Simples Nacional</a:t>
              </a:r>
            </a:p>
          </xdr:txBody>
        </xdr:sp>
        <xdr:clientData/>
      </xdr:twoCellAnchor>
    </mc:Choice>
    <mc:Fallback/>
  </mc:AlternateContent>
  <xdr:twoCellAnchor editAs="oneCell">
    <xdr:from>
      <xdr:col>1</xdr:col>
      <xdr:colOff>62634</xdr:colOff>
      <xdr:row>0</xdr:row>
      <xdr:rowOff>24019</xdr:rowOff>
    </xdr:from>
    <xdr:to>
      <xdr:col>2</xdr:col>
      <xdr:colOff>669609</xdr:colOff>
      <xdr:row>1</xdr:row>
      <xdr:rowOff>213127</xdr:rowOff>
    </xdr:to>
    <xdr:pic>
      <xdr:nvPicPr>
        <xdr:cNvPr id="6" name="Imagem 5">
          <a:hlinkClick xmlns:r="http://schemas.openxmlformats.org/officeDocument/2006/relationships" r:id="rId1"/>
          <a:extLst>
            <a:ext uri="{FF2B5EF4-FFF2-40B4-BE49-F238E27FC236}">
              <a16:creationId xmlns:a16="http://schemas.microsoft.com/office/drawing/2014/main" id="{00000000-0008-0000-0C00-000006000000}"/>
            </a:ext>
          </a:extLst>
        </xdr:cNvPr>
        <xdr:cNvPicPr>
          <a:picLocks noChangeAspect="1"/>
        </xdr:cNvPicPr>
      </xdr:nvPicPr>
      <xdr:blipFill>
        <a:blip xmlns:r="http://schemas.openxmlformats.org/officeDocument/2006/relationships" r:embed="rId2"/>
        <a:srcRect/>
        <a:stretch/>
      </xdr:blipFill>
      <xdr:spPr>
        <a:xfrm>
          <a:off x="157884" y="24019"/>
          <a:ext cx="1188000" cy="436758"/>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xdr:col>
          <xdr:colOff>5288280</xdr:colOff>
          <xdr:row>16</xdr:row>
          <xdr:rowOff>76200</xdr:rowOff>
        </xdr:from>
        <xdr:to>
          <xdr:col>2</xdr:col>
          <xdr:colOff>6294120</xdr:colOff>
          <xdr:row>16</xdr:row>
          <xdr:rowOff>289560</xdr:rowOff>
        </xdr:to>
        <xdr:sp macro="" textlink="">
          <xdr:nvSpPr>
            <xdr:cNvPr id="20481" name="Botão de opção 18" descr="MENSALISTA" hidden="1">
              <a:extLst>
                <a:ext uri="{63B3BB69-23CF-44E3-9099-C40C66FF867C}">
                  <a14:compatExt spid="_x0000_s20481"/>
                </a:ext>
                <a:ext uri="{FF2B5EF4-FFF2-40B4-BE49-F238E27FC236}">
                  <a16:creationId xmlns:a16="http://schemas.microsoft.com/office/drawing/2014/main" id="{00000000-0008-0000-0900-0000015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7432" rIns="0" bIns="27432" anchor="ctr" upright="1"/>
            <a:lstStyle/>
            <a:p>
              <a:pPr algn="l" rtl="0">
                <a:defRPr sz="1000"/>
              </a:pPr>
              <a:r>
                <a:rPr lang="pt-BR" sz="1000" b="0" i="0" u="none" strike="noStrike" baseline="0">
                  <a:solidFill>
                    <a:srgbClr val="000000"/>
                  </a:solidFill>
                  <a:latin typeface="Arial"/>
                  <a:cs typeface="Arial"/>
                </a:rPr>
                <a:t>MENSALISTA</a:t>
              </a:r>
            </a:p>
          </xdr:txBody>
        </xdr:sp>
        <xdr:clientData/>
      </xdr:twoCellAnchor>
    </mc:Choice>
    <mc:Fallback/>
  </mc:AlternateContent>
  <mc:AlternateContent xmlns:mc="http://schemas.openxmlformats.org/markup-compatibility/2006">
    <mc:Choice xmlns:a14="http://schemas.microsoft.com/office/drawing/2010/main" Requires="a14">
      <xdr:twoCellAnchor>
        <xdr:from>
          <xdr:col>2</xdr:col>
          <xdr:colOff>3429000</xdr:colOff>
          <xdr:row>16</xdr:row>
          <xdr:rowOff>68580</xdr:rowOff>
        </xdr:from>
        <xdr:to>
          <xdr:col>2</xdr:col>
          <xdr:colOff>4343400</xdr:colOff>
          <xdr:row>16</xdr:row>
          <xdr:rowOff>297180</xdr:rowOff>
        </xdr:to>
        <xdr:sp macro="" textlink="">
          <xdr:nvSpPr>
            <xdr:cNvPr id="20482" name="Botão de opção 19" descr=" - HORISTA" hidden="1">
              <a:extLst>
                <a:ext uri="{63B3BB69-23CF-44E3-9099-C40C66FF867C}">
                  <a14:compatExt spid="_x0000_s20482"/>
                </a:ext>
                <a:ext uri="{FF2B5EF4-FFF2-40B4-BE49-F238E27FC236}">
                  <a16:creationId xmlns:a16="http://schemas.microsoft.com/office/drawing/2014/main" id="{00000000-0008-0000-0900-0000025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7432" rIns="0" bIns="27432" anchor="ctr" upright="1"/>
            <a:lstStyle/>
            <a:p>
              <a:pPr algn="l" rtl="0">
                <a:defRPr sz="1000"/>
              </a:pPr>
              <a:r>
                <a:rPr lang="pt-BR" sz="1000" b="0" i="0" u="none" strike="noStrike" baseline="0">
                  <a:solidFill>
                    <a:srgbClr val="000000"/>
                  </a:solidFill>
                  <a:latin typeface="Arial"/>
                  <a:cs typeface="Arial"/>
                </a:rPr>
                <a:t> - HORISTA</a:t>
              </a:r>
            </a:p>
          </xdr:txBody>
        </xdr:sp>
        <xdr:clientData/>
      </xdr:twoCellAnchor>
    </mc:Choice>
    <mc:Fallback/>
  </mc:AlternateContent>
  <xdr:twoCellAnchor editAs="oneCell">
    <xdr:from>
      <xdr:col>1</xdr:col>
      <xdr:colOff>47009</xdr:colOff>
      <xdr:row>0</xdr:row>
      <xdr:rowOff>26204</xdr:rowOff>
    </xdr:from>
    <xdr:to>
      <xdr:col>2</xdr:col>
      <xdr:colOff>606359</xdr:colOff>
      <xdr:row>1</xdr:row>
      <xdr:rowOff>220551</xdr:rowOff>
    </xdr:to>
    <xdr:pic>
      <xdr:nvPicPr>
        <xdr:cNvPr id="5" name="Imagem 4">
          <a:hlinkClick xmlns:r="http://schemas.openxmlformats.org/officeDocument/2006/relationships" r:id="rId1"/>
          <a:extLst>
            <a:ext uri="{FF2B5EF4-FFF2-40B4-BE49-F238E27FC236}">
              <a16:creationId xmlns:a16="http://schemas.microsoft.com/office/drawing/2014/main" id="{00000000-0008-0000-0D00-000005000000}"/>
            </a:ext>
          </a:extLst>
        </xdr:cNvPr>
        <xdr:cNvPicPr>
          <a:picLocks noChangeAspect="1"/>
        </xdr:cNvPicPr>
      </xdr:nvPicPr>
      <xdr:blipFill>
        <a:blip xmlns:r="http://schemas.openxmlformats.org/officeDocument/2006/relationships" r:embed="rId2"/>
        <a:srcRect/>
        <a:stretch/>
      </xdr:blipFill>
      <xdr:spPr>
        <a:xfrm>
          <a:off x="113684" y="26204"/>
          <a:ext cx="1188000" cy="434377"/>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9.xml"/><Relationship Id="rId1" Type="http://schemas.openxmlformats.org/officeDocument/2006/relationships/printerSettings" Target="../printerSettings/printerSettings8.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0.xml"/><Relationship Id="rId1" Type="http://schemas.openxmlformats.org/officeDocument/2006/relationships/printerSettings" Target="../printerSettings/printerSettings9.bin"/><Relationship Id="rId6" Type="http://schemas.openxmlformats.org/officeDocument/2006/relationships/comments" Target="../comments1.xml"/><Relationship Id="rId5" Type="http://schemas.openxmlformats.org/officeDocument/2006/relationships/ctrlProp" Target="../ctrlProps/ctrlProp5.xml"/><Relationship Id="rId4" Type="http://schemas.openxmlformats.org/officeDocument/2006/relationships/ctrlProp" Target="../ctrlProps/ctrlProp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51824-E03E-466B-994E-00962200A5EB}">
  <sheetPr>
    <tabColor rgb="FFFF0000"/>
    <pageSetUpPr fitToPage="1"/>
  </sheetPr>
  <dimension ref="A1:AY65"/>
  <sheetViews>
    <sheetView showGridLines="0" zoomScale="80" zoomScaleNormal="80" zoomScaleSheetLayoutView="100" zoomScalePageLayoutView="200" workbookViewId="0">
      <pane ySplit="3" topLeftCell="A31" activePane="bottomLeft" state="frozen"/>
      <selection pane="bottomLeft" activeCell="A10" sqref="A10"/>
    </sheetView>
  </sheetViews>
  <sheetFormatPr defaultColWidth="12.33203125" defaultRowHeight="13.8" outlineLevelRow="1"/>
  <cols>
    <col min="1" max="1" width="1" style="214" customWidth="1"/>
    <col min="2" max="2" width="29.44140625" style="214" customWidth="1"/>
    <col min="3" max="3" width="26.109375" style="214" customWidth="1"/>
    <col min="4" max="4" width="19" style="214" customWidth="1"/>
    <col min="5" max="5" width="11.88671875" style="214" customWidth="1"/>
    <col min="6" max="6" width="10.109375" style="214" customWidth="1"/>
    <col min="7" max="7" width="6.88671875" style="214" customWidth="1"/>
    <col min="8" max="8" width="15" style="214" customWidth="1"/>
    <col min="9" max="9" width="13.88671875" style="214" customWidth="1"/>
    <col min="10" max="12" width="6.44140625" style="214" customWidth="1"/>
    <col min="13" max="13" width="17.5546875" style="214" customWidth="1"/>
    <col min="14" max="14" width="18.6640625" style="214" customWidth="1"/>
    <col min="15" max="15" width="15.6640625" style="214" customWidth="1"/>
    <col min="16" max="16" width="18.88671875" style="214" customWidth="1"/>
    <col min="17" max="17" width="16.109375" style="214" customWidth="1"/>
    <col min="18" max="18" width="19.44140625" style="214" customWidth="1"/>
    <col min="19" max="21" width="6.88671875" style="214" customWidth="1"/>
    <col min="22" max="30" width="9.44140625" style="214" customWidth="1"/>
    <col min="31" max="31" width="4.6640625" style="214" customWidth="1"/>
    <col min="32" max="32" width="5.33203125" style="215" bestFit="1" customWidth="1"/>
    <col min="33" max="33" width="18.5546875" style="214" bestFit="1" customWidth="1"/>
    <col min="34" max="34" width="12.44140625" style="214" customWidth="1"/>
    <col min="35" max="35" width="13.33203125" style="214" customWidth="1"/>
    <col min="36" max="36" width="6.6640625" style="214" customWidth="1"/>
    <col min="37" max="37" width="32.33203125" style="214" bestFit="1" customWidth="1"/>
    <col min="38" max="38" width="6.88671875" style="216" bestFit="1" customWidth="1"/>
    <col min="39" max="41" width="12.33203125" style="216"/>
    <col min="42" max="42" width="4" style="216" customWidth="1"/>
    <col min="43" max="43" width="32.33203125" style="214" bestFit="1" customWidth="1"/>
    <col min="44" max="44" width="6.44140625" style="216" customWidth="1"/>
    <col min="45" max="45" width="4" style="216" customWidth="1"/>
    <col min="46" max="46" width="32.33203125" style="214" bestFit="1" customWidth="1"/>
    <col min="47" max="47" width="6.44140625" style="216" customWidth="1"/>
    <col min="48" max="48" width="4" style="216" customWidth="1"/>
    <col min="49" max="49" width="32.33203125" style="214" bestFit="1" customWidth="1"/>
    <col min="50" max="50" width="6.44140625" style="216" customWidth="1"/>
    <col min="51" max="51" width="4.5546875" style="214" customWidth="1"/>
    <col min="52" max="16384" width="12.33203125" style="214"/>
  </cols>
  <sheetData>
    <row r="1" spans="2:51" ht="30.75" customHeight="1">
      <c r="B1" s="582"/>
      <c r="C1" s="584" t="s">
        <v>0</v>
      </c>
      <c r="D1" s="584"/>
      <c r="E1" s="584"/>
      <c r="F1" s="584"/>
      <c r="G1" s="584"/>
      <c r="H1" s="584"/>
      <c r="I1" s="584"/>
      <c r="J1" s="584"/>
      <c r="K1" s="584"/>
      <c r="L1" s="584"/>
      <c r="M1" s="584"/>
      <c r="N1" s="584"/>
      <c r="O1" s="584"/>
      <c r="P1" s="584"/>
      <c r="Q1" s="584"/>
      <c r="R1" s="586" t="s">
        <v>1</v>
      </c>
      <c r="S1" s="586"/>
      <c r="T1" s="586"/>
      <c r="U1" s="587"/>
    </row>
    <row r="2" spans="2:51" ht="30.75" customHeight="1" thickBot="1">
      <c r="B2" s="583"/>
      <c r="C2" s="585"/>
      <c r="D2" s="585"/>
      <c r="E2" s="585"/>
      <c r="F2" s="585"/>
      <c r="G2" s="585"/>
      <c r="H2" s="585"/>
      <c r="I2" s="585"/>
      <c r="J2" s="585"/>
      <c r="K2" s="585"/>
      <c r="L2" s="585"/>
      <c r="M2" s="585"/>
      <c r="N2" s="585"/>
      <c r="O2" s="585"/>
      <c r="P2" s="585"/>
      <c r="Q2" s="585"/>
      <c r="R2" s="426" t="s">
        <v>2</v>
      </c>
      <c r="S2" s="588">
        <v>45701</v>
      </c>
      <c r="T2" s="589"/>
      <c r="U2" s="590"/>
    </row>
    <row r="3" spans="2:51" ht="4.5" customHeight="1" thickBot="1">
      <c r="B3" s="382"/>
      <c r="C3" s="383"/>
      <c r="D3" s="383"/>
      <c r="E3" s="383"/>
      <c r="F3" s="383"/>
      <c r="G3" s="383"/>
      <c r="H3" s="383"/>
      <c r="I3" s="383"/>
      <c r="J3" s="383"/>
      <c r="K3" s="383"/>
      <c r="L3" s="383"/>
      <c r="M3" s="383"/>
      <c r="N3" s="383"/>
      <c r="O3" s="383"/>
      <c r="P3" s="383"/>
      <c r="Q3" s="383"/>
      <c r="R3" s="384"/>
      <c r="S3" s="385"/>
      <c r="T3" s="386"/>
      <c r="U3" s="386"/>
    </row>
    <row r="4" spans="2:51" ht="30.75" customHeight="1" thickBot="1">
      <c r="B4" s="591" t="s">
        <v>3</v>
      </c>
      <c r="C4" s="592"/>
      <c r="D4" s="592"/>
      <c r="E4" s="592"/>
      <c r="F4" s="592"/>
      <c r="G4" s="592"/>
      <c r="H4" s="592"/>
      <c r="I4" s="592"/>
      <c r="J4" s="592"/>
      <c r="K4" s="592"/>
      <c r="L4" s="592"/>
      <c r="M4" s="592"/>
      <c r="N4" s="592"/>
      <c r="O4" s="592"/>
      <c r="P4" s="592"/>
      <c r="Q4" s="592"/>
      <c r="R4" s="592"/>
      <c r="S4" s="592"/>
      <c r="T4" s="592"/>
      <c r="U4" s="593"/>
    </row>
    <row r="5" spans="2:51" s="218" customFormat="1" ht="47.25" customHeight="1" outlineLevel="1">
      <c r="B5" s="387" t="s">
        <v>4</v>
      </c>
      <c r="C5" s="572" t="s">
        <v>5</v>
      </c>
      <c r="D5" s="572"/>
      <c r="E5" s="572"/>
      <c r="F5" s="572"/>
      <c r="G5" s="572"/>
      <c r="H5" s="572"/>
      <c r="I5" s="572"/>
      <c r="J5" s="572"/>
      <c r="K5" s="572"/>
      <c r="L5" s="572"/>
      <c r="M5" s="573" t="s">
        <v>6</v>
      </c>
      <c r="N5" s="574"/>
      <c r="O5" s="575" t="s">
        <v>7</v>
      </c>
      <c r="P5" s="576"/>
      <c r="Q5" s="388" t="s">
        <v>8</v>
      </c>
      <c r="R5" s="577" t="s">
        <v>9</v>
      </c>
      <c r="S5" s="577"/>
      <c r="T5" s="577"/>
      <c r="U5" s="578"/>
      <c r="AF5" s="219"/>
      <c r="AL5" s="220"/>
      <c r="AM5" s="220"/>
      <c r="AN5" s="220"/>
      <c r="AO5" s="220"/>
      <c r="AP5" s="220"/>
      <c r="AR5" s="220"/>
      <c r="AS5" s="220"/>
      <c r="AU5" s="220"/>
      <c r="AV5" s="220"/>
      <c r="AX5" s="220"/>
    </row>
    <row r="6" spans="2:51" s="218" customFormat="1" ht="47.25" customHeight="1" outlineLevel="1">
      <c r="B6" s="389" t="s">
        <v>10</v>
      </c>
      <c r="C6" s="600" t="s">
        <v>5</v>
      </c>
      <c r="D6" s="600"/>
      <c r="E6" s="600"/>
      <c r="F6" s="600"/>
      <c r="G6" s="600"/>
      <c r="H6" s="600"/>
      <c r="I6" s="600"/>
      <c r="J6" s="600"/>
      <c r="K6" s="600"/>
      <c r="L6" s="600"/>
      <c r="M6" s="217" t="s">
        <v>11</v>
      </c>
      <c r="N6" s="425">
        <v>0</v>
      </c>
      <c r="O6" s="221" t="s">
        <v>12</v>
      </c>
      <c r="P6" s="425">
        <v>0</v>
      </c>
      <c r="Q6" s="217" t="s">
        <v>13</v>
      </c>
      <c r="R6" s="601" t="s">
        <v>14</v>
      </c>
      <c r="S6" s="601"/>
      <c r="T6" s="601"/>
      <c r="U6" s="602"/>
      <c r="AF6" s="219"/>
      <c r="AL6" s="220"/>
      <c r="AM6" s="220"/>
      <c r="AN6" s="220"/>
      <c r="AO6" s="220"/>
      <c r="AP6" s="220"/>
      <c r="AR6" s="220"/>
      <c r="AS6" s="220"/>
      <c r="AU6" s="220"/>
      <c r="AV6" s="220"/>
      <c r="AX6" s="220"/>
    </row>
    <row r="7" spans="2:51" s="218" customFormat="1" ht="25.5" customHeight="1" outlineLevel="1">
      <c r="B7" s="579" t="s">
        <v>15</v>
      </c>
      <c r="C7" s="580"/>
      <c r="D7" s="580"/>
      <c r="E7" s="580"/>
      <c r="F7" s="580"/>
      <c r="G7" s="580"/>
      <c r="H7" s="580"/>
      <c r="I7" s="580"/>
      <c r="J7" s="580"/>
      <c r="K7" s="580"/>
      <c r="L7" s="580"/>
      <c r="M7" s="580"/>
      <c r="N7" s="580"/>
      <c r="O7" s="580"/>
      <c r="P7" s="580"/>
      <c r="Q7" s="580"/>
      <c r="R7" s="580"/>
      <c r="S7" s="580"/>
      <c r="T7" s="580"/>
      <c r="U7" s="581"/>
      <c r="AF7" s="219"/>
      <c r="AL7" s="220"/>
      <c r="AM7" s="220"/>
      <c r="AN7" s="220"/>
      <c r="AO7" s="220"/>
      <c r="AP7" s="220"/>
      <c r="AR7" s="220"/>
      <c r="AS7" s="220"/>
      <c r="AU7" s="220"/>
      <c r="AV7" s="220"/>
      <c r="AX7" s="220"/>
    </row>
    <row r="8" spans="2:51" s="222" customFormat="1" ht="36" customHeight="1" outlineLevel="1">
      <c r="B8" s="420" t="s">
        <v>16</v>
      </c>
      <c r="C8" s="525">
        <f>R8*T8</f>
        <v>733060.98316302721</v>
      </c>
      <c r="D8" s="526" t="s">
        <v>17</v>
      </c>
      <c r="E8" s="527"/>
      <c r="F8" s="526" t="s">
        <v>18</v>
      </c>
      <c r="G8" s="603">
        <f>CHECK!I126</f>
        <v>224123.35080305461</v>
      </c>
      <c r="H8" s="604"/>
      <c r="I8" s="526" t="s">
        <v>19</v>
      </c>
      <c r="J8" s="605">
        <f>CHECK!I127</f>
        <v>197996.86468137288</v>
      </c>
      <c r="K8" s="606"/>
      <c r="L8" s="606"/>
      <c r="M8" s="528" t="s">
        <v>20</v>
      </c>
      <c r="N8" s="525">
        <f>CHECK!I128</f>
        <v>25222.816000000003</v>
      </c>
      <c r="O8" s="529" t="s">
        <v>21</v>
      </c>
      <c r="P8" s="525">
        <f>CHECK!I129</f>
        <v>47224.355798863638</v>
      </c>
      <c r="Q8" s="529" t="s">
        <v>22</v>
      </c>
      <c r="R8" s="525">
        <f>G8+J8+N8+P8</f>
        <v>494567.38728329114</v>
      </c>
      <c r="S8" s="530" t="s">
        <v>23</v>
      </c>
      <c r="T8" s="607">
        <f>CHECK!I151</f>
        <v>1.4822266934942994</v>
      </c>
      <c r="U8" s="608"/>
      <c r="AF8" s="219"/>
      <c r="AL8" s="219"/>
      <c r="AM8" s="219"/>
      <c r="AN8" s="219"/>
      <c r="AO8" s="219"/>
      <c r="AP8" s="219"/>
      <c r="AR8" s="219"/>
      <c r="AS8" s="219"/>
      <c r="AU8" s="219"/>
      <c r="AV8" s="219"/>
      <c r="AX8" s="219"/>
    </row>
    <row r="9" spans="2:51" s="218" customFormat="1" ht="25.5" customHeight="1" outlineLevel="1">
      <c r="B9" s="579" t="s">
        <v>24</v>
      </c>
      <c r="C9" s="580"/>
      <c r="D9" s="580"/>
      <c r="E9" s="580"/>
      <c r="F9" s="580"/>
      <c r="G9" s="580"/>
      <c r="H9" s="580"/>
      <c r="I9" s="580"/>
      <c r="J9" s="580"/>
      <c r="K9" s="580"/>
      <c r="L9" s="580"/>
      <c r="M9" s="580"/>
      <c r="N9" s="580"/>
      <c r="O9" s="580"/>
      <c r="P9" s="580"/>
      <c r="Q9" s="580"/>
      <c r="R9" s="580"/>
      <c r="S9" s="580"/>
      <c r="T9" s="580"/>
      <c r="U9" s="581"/>
      <c r="AF9" s="219"/>
      <c r="AL9" s="220"/>
      <c r="AM9" s="220"/>
      <c r="AN9" s="220"/>
      <c r="AO9" s="220"/>
      <c r="AP9" s="220"/>
      <c r="AR9" s="220"/>
      <c r="AS9" s="220"/>
      <c r="AU9" s="220"/>
      <c r="AV9" s="220"/>
      <c r="AX9" s="220"/>
    </row>
    <row r="10" spans="2:51" s="222" customFormat="1" ht="72" customHeight="1" outlineLevel="1" thickBot="1">
      <c r="B10" s="615" t="s">
        <v>25</v>
      </c>
      <c r="C10" s="616"/>
      <c r="D10" s="616"/>
      <c r="E10" s="616"/>
      <c r="F10" s="616"/>
      <c r="G10" s="616"/>
      <c r="H10" s="616"/>
      <c r="I10" s="616"/>
      <c r="J10" s="616"/>
      <c r="K10" s="616"/>
      <c r="L10" s="616"/>
      <c r="M10" s="616"/>
      <c r="N10" s="616"/>
      <c r="O10" s="616"/>
      <c r="P10" s="616"/>
      <c r="Q10" s="616"/>
      <c r="R10" s="616"/>
      <c r="S10" s="616"/>
      <c r="T10" s="616"/>
      <c r="U10" s="617"/>
      <c r="AF10" s="219"/>
      <c r="AL10" s="219"/>
      <c r="AM10" s="219"/>
      <c r="AN10" s="219"/>
      <c r="AO10" s="219"/>
      <c r="AP10" s="219"/>
      <c r="AR10" s="219"/>
      <c r="AS10" s="219"/>
      <c r="AU10" s="219"/>
      <c r="AV10" s="219"/>
      <c r="AX10" s="219"/>
    </row>
    <row r="11" spans="2:51" s="223" customFormat="1" ht="15.75" customHeight="1" thickBot="1">
      <c r="B11" s="390"/>
      <c r="C11" s="391"/>
      <c r="D11" s="392"/>
      <c r="E11" s="393"/>
      <c r="F11" s="392"/>
      <c r="G11" s="609"/>
      <c r="H11" s="609"/>
      <c r="I11" s="392"/>
      <c r="J11" s="610"/>
      <c r="K11" s="610"/>
      <c r="L11" s="610"/>
      <c r="M11" s="394"/>
      <c r="N11" s="395"/>
      <c r="O11" s="396"/>
      <c r="P11" s="397"/>
      <c r="Q11" s="396"/>
      <c r="R11" s="398"/>
      <c r="S11" s="390"/>
      <c r="T11" s="611"/>
      <c r="U11" s="611"/>
      <c r="AF11" s="224"/>
      <c r="AL11" s="224"/>
      <c r="AM11" s="224"/>
      <c r="AN11" s="224"/>
      <c r="AO11" s="224"/>
      <c r="AP11" s="224"/>
      <c r="AR11" s="224"/>
      <c r="AS11" s="224"/>
      <c r="AU11" s="224"/>
      <c r="AV11" s="224"/>
      <c r="AX11" s="224"/>
    </row>
    <row r="12" spans="2:51" ht="30.75" customHeight="1" thickBot="1">
      <c r="B12" s="591" t="s">
        <v>26</v>
      </c>
      <c r="C12" s="592"/>
      <c r="D12" s="592"/>
      <c r="E12" s="592"/>
      <c r="F12" s="592"/>
      <c r="G12" s="592"/>
      <c r="H12" s="592"/>
      <c r="I12" s="592"/>
      <c r="J12" s="592"/>
      <c r="K12" s="592"/>
      <c r="L12" s="592"/>
      <c r="M12" s="592"/>
      <c r="N12" s="592"/>
      <c r="O12" s="592"/>
      <c r="P12" s="592"/>
      <c r="Q12" s="592"/>
      <c r="R12" s="592"/>
      <c r="S12" s="592"/>
      <c r="T12" s="592"/>
      <c r="U12" s="593"/>
    </row>
    <row r="13" spans="2:51" ht="8.25" customHeight="1" outlineLevel="1">
      <c r="B13" s="612"/>
      <c r="C13" s="613"/>
      <c r="D13" s="613"/>
      <c r="E13" s="613"/>
      <c r="F13" s="613"/>
      <c r="G13" s="613"/>
      <c r="H13" s="613"/>
      <c r="I13" s="613"/>
      <c r="J13" s="613"/>
      <c r="K13" s="613"/>
      <c r="L13" s="613"/>
      <c r="M13" s="613"/>
      <c r="N13" s="613"/>
      <c r="O13" s="613"/>
      <c r="P13" s="613"/>
      <c r="Q13" s="613"/>
      <c r="R13" s="613"/>
      <c r="S13" s="613"/>
      <c r="T13" s="613"/>
      <c r="U13" s="614"/>
    </row>
    <row r="14" spans="2:51" ht="13.2" customHeight="1" outlineLevel="1">
      <c r="B14" s="594" t="s">
        <v>27</v>
      </c>
      <c r="C14" s="595"/>
      <c r="D14" s="595"/>
      <c r="E14" s="595"/>
      <c r="F14" s="595"/>
      <c r="G14" s="595"/>
      <c r="H14" s="595"/>
      <c r="I14" s="595"/>
      <c r="J14" s="595"/>
      <c r="K14" s="595"/>
      <c r="L14" s="596"/>
      <c r="M14" s="448"/>
      <c r="N14" s="225"/>
      <c r="O14" s="225"/>
      <c r="P14" s="225"/>
      <c r="Q14" s="225"/>
      <c r="R14" s="225"/>
      <c r="S14" s="225"/>
      <c r="T14" s="225"/>
      <c r="U14" s="399"/>
    </row>
    <row r="15" spans="2:51" ht="13.2" customHeight="1" outlineLevel="1" thickBot="1">
      <c r="B15" s="597"/>
      <c r="C15" s="598"/>
      <c r="D15" s="598"/>
      <c r="E15" s="598"/>
      <c r="F15" s="598"/>
      <c r="G15" s="598"/>
      <c r="H15" s="598"/>
      <c r="I15" s="598"/>
      <c r="J15" s="598"/>
      <c r="K15" s="598"/>
      <c r="L15" s="599"/>
      <c r="M15" s="226"/>
      <c r="U15" s="239"/>
    </row>
    <row r="16" spans="2:51" ht="19.95" customHeight="1" outlineLevel="1">
      <c r="B16" s="618"/>
      <c r="C16" s="619"/>
      <c r="D16" s="619"/>
      <c r="E16" s="619"/>
      <c r="F16" s="619"/>
      <c r="G16" s="619"/>
      <c r="H16" s="619"/>
      <c r="I16" s="619"/>
      <c r="J16" s="619"/>
      <c r="K16" s="619"/>
      <c r="L16" s="620"/>
      <c r="M16" s="226"/>
      <c r="U16" s="239"/>
      <c r="AE16" s="228"/>
      <c r="AF16" s="229"/>
      <c r="AG16" s="230"/>
      <c r="AH16" s="230"/>
      <c r="AI16" s="230"/>
      <c r="AJ16" s="230"/>
      <c r="AK16" s="230"/>
      <c r="AL16" s="231"/>
      <c r="AM16" s="231"/>
      <c r="AN16" s="231"/>
      <c r="AO16" s="231"/>
      <c r="AP16" s="231"/>
      <c r="AQ16" s="230"/>
      <c r="AR16" s="231"/>
      <c r="AS16" s="231"/>
      <c r="AT16" s="230"/>
      <c r="AU16" s="231"/>
      <c r="AV16" s="231"/>
      <c r="AW16" s="230"/>
      <c r="AX16" s="231"/>
      <c r="AY16" s="232"/>
    </row>
    <row r="17" spans="2:51" ht="21" customHeight="1" outlineLevel="1">
      <c r="B17" s="400"/>
      <c r="C17" s="621" t="s">
        <v>28</v>
      </c>
      <c r="D17" s="622"/>
      <c r="E17" s="622"/>
      <c r="F17" s="622"/>
      <c r="G17" s="622"/>
      <c r="H17" s="623"/>
      <c r="I17" s="224"/>
      <c r="J17" s="224"/>
      <c r="K17" s="224"/>
      <c r="L17" s="233"/>
      <c r="M17" s="226"/>
      <c r="U17" s="239"/>
      <c r="AE17" s="234"/>
      <c r="AF17" s="235" t="s">
        <v>29</v>
      </c>
      <c r="AG17" s="236" t="s">
        <v>30</v>
      </c>
      <c r="AH17" s="236" t="s">
        <v>31</v>
      </c>
      <c r="AI17" s="236" t="s">
        <v>31</v>
      </c>
      <c r="AJ17" s="237"/>
      <c r="AK17" s="237"/>
      <c r="AL17" s="238"/>
      <c r="AM17" s="238"/>
      <c r="AN17" s="238"/>
      <c r="AO17" s="238"/>
      <c r="AP17" s="238"/>
      <c r="AQ17" s="237"/>
      <c r="AR17" s="238"/>
      <c r="AS17" s="238"/>
      <c r="AT17" s="237"/>
      <c r="AU17" s="238"/>
      <c r="AV17" s="238"/>
      <c r="AW17" s="237"/>
      <c r="AX17" s="238"/>
      <c r="AY17" s="239"/>
    </row>
    <row r="18" spans="2:51" ht="22.2" customHeight="1" outlineLevel="1">
      <c r="B18" s="401"/>
      <c r="C18" s="624" t="s">
        <v>32</v>
      </c>
      <c r="D18" s="625"/>
      <c r="E18" s="626" t="s">
        <v>31</v>
      </c>
      <c r="F18" s="627"/>
      <c r="G18" s="628" t="s">
        <v>29</v>
      </c>
      <c r="H18" s="628"/>
      <c r="I18" s="224"/>
      <c r="J18" s="224"/>
      <c r="K18" s="224"/>
      <c r="L18" s="233"/>
      <c r="M18" s="226"/>
      <c r="U18" s="239"/>
      <c r="AE18" s="234"/>
      <c r="AF18" s="240">
        <v>1</v>
      </c>
      <c r="AG18" s="241" t="s">
        <v>33</v>
      </c>
      <c r="AH18" s="242" t="s">
        <v>34</v>
      </c>
      <c r="AI18" s="242" t="s">
        <v>35</v>
      </c>
      <c r="AJ18" s="237"/>
      <c r="AK18" s="637" t="s">
        <v>36</v>
      </c>
      <c r="AL18" s="637"/>
      <c r="AM18" s="637"/>
      <c r="AN18" s="637"/>
      <c r="AO18" s="637"/>
      <c r="AP18" s="238"/>
      <c r="AQ18" s="629" t="s">
        <v>37</v>
      </c>
      <c r="AR18" s="629"/>
      <c r="AS18" s="238"/>
      <c r="AT18" s="630" t="s">
        <v>38</v>
      </c>
      <c r="AU18" s="630"/>
      <c r="AV18" s="238"/>
      <c r="AW18" s="631" t="s">
        <v>39</v>
      </c>
      <c r="AX18" s="631"/>
      <c r="AY18" s="239"/>
    </row>
    <row r="19" spans="2:51" ht="22.2" customHeight="1" outlineLevel="1">
      <c r="B19" s="402"/>
      <c r="C19" s="632" t="s">
        <v>33</v>
      </c>
      <c r="D19" s="633"/>
      <c r="E19" s="634" t="s">
        <v>35</v>
      </c>
      <c r="F19" s="635"/>
      <c r="G19" s="636" t="s">
        <v>40</v>
      </c>
      <c r="H19" s="636"/>
      <c r="I19" s="224"/>
      <c r="J19" s="224"/>
      <c r="K19" s="224"/>
      <c r="L19" s="233"/>
      <c r="M19" s="226"/>
      <c r="U19" s="239"/>
      <c r="AE19" s="234"/>
      <c r="AF19" s="240">
        <v>2</v>
      </c>
      <c r="AG19" s="241" t="s">
        <v>33</v>
      </c>
      <c r="AH19" s="242" t="s">
        <v>34</v>
      </c>
      <c r="AI19" s="242" t="s">
        <v>35</v>
      </c>
      <c r="AJ19" s="237"/>
      <c r="AK19" s="246" t="str">
        <f>B26</f>
        <v>Tipo de Riscos</v>
      </c>
      <c r="AL19" s="240" t="s">
        <v>41</v>
      </c>
      <c r="AM19" s="243" t="s">
        <v>42</v>
      </c>
      <c r="AN19" s="244" t="s">
        <v>43</v>
      </c>
      <c r="AO19" s="245" t="s">
        <v>44</v>
      </c>
      <c r="AP19" s="238"/>
      <c r="AQ19" s="246" t="str">
        <f>AK19</f>
        <v>Tipo de Riscos</v>
      </c>
      <c r="AR19" s="240" t="str">
        <f>" "</f>
        <v xml:space="preserve"> </v>
      </c>
      <c r="AS19" s="238"/>
      <c r="AT19" s="246" t="str">
        <f>AK19</f>
        <v>Tipo de Riscos</v>
      </c>
      <c r="AU19" s="240" t="str">
        <f>" "</f>
        <v xml:space="preserve"> </v>
      </c>
      <c r="AV19" s="238"/>
      <c r="AW19" s="246" t="str">
        <f>AK19</f>
        <v>Tipo de Riscos</v>
      </c>
      <c r="AX19" s="240" t="str">
        <f>" "</f>
        <v xml:space="preserve"> </v>
      </c>
      <c r="AY19" s="239"/>
    </row>
    <row r="20" spans="2:51" ht="22.2" customHeight="1" outlineLevel="1">
      <c r="B20" s="402"/>
      <c r="C20" s="632" t="s">
        <v>45</v>
      </c>
      <c r="D20" s="633"/>
      <c r="E20" s="634" t="s">
        <v>35</v>
      </c>
      <c r="F20" s="635"/>
      <c r="G20" s="636" t="s">
        <v>46</v>
      </c>
      <c r="H20" s="636"/>
      <c r="I20" s="224"/>
      <c r="J20" s="224"/>
      <c r="K20" s="224"/>
      <c r="L20" s="233"/>
      <c r="M20" s="226"/>
      <c r="U20" s="239"/>
      <c r="AE20" s="234"/>
      <c r="AF20" s="240">
        <v>2.5</v>
      </c>
      <c r="AG20" s="241" t="s">
        <v>33</v>
      </c>
      <c r="AH20" s="242" t="s">
        <v>34</v>
      </c>
      <c r="AI20" s="242" t="s">
        <v>35</v>
      </c>
      <c r="AJ20" s="237">
        <v>1</v>
      </c>
      <c r="AK20" s="246" t="str">
        <f>B27</f>
        <v>1-FINANCEIRO (Fluxo de caixa)</v>
      </c>
      <c r="AL20" s="247">
        <f>F27</f>
        <v>8.6</v>
      </c>
      <c r="AM20" s="240" t="str">
        <f>IF(AL20&lt;=4.9,AL20,"")</f>
        <v/>
      </c>
      <c r="AN20" s="240" t="str">
        <f>IF(AND(AL20&gt;4.9,AL20&lt;=8.5),AL20,"")</f>
        <v/>
      </c>
      <c r="AO20" s="240">
        <f t="shared" ref="AO20:AO33" si="0">IF(AL20&gt;=8.6,AL20,"")</f>
        <v>8.6</v>
      </c>
      <c r="AP20" s="238"/>
      <c r="AQ20" s="246" t="str">
        <f t="shared" ref="AQ20:AQ33" si="1">AK20</f>
        <v>1-FINANCEIRO (Fluxo de caixa)</v>
      </c>
      <c r="AR20" s="240" t="str">
        <f t="shared" ref="AR20:AR33" si="2">AM20</f>
        <v/>
      </c>
      <c r="AS20" s="238"/>
      <c r="AT20" s="246" t="str">
        <f t="shared" ref="AT20:AT33" si="3">AK20</f>
        <v>1-FINANCEIRO (Fluxo de caixa)</v>
      </c>
      <c r="AU20" s="240" t="str">
        <f t="shared" ref="AU20:AU33" si="4">AN20</f>
        <v/>
      </c>
      <c r="AV20" s="238"/>
      <c r="AW20" s="246" t="str">
        <f t="shared" ref="AW20:AW33" si="5">AK20</f>
        <v>1-FINANCEIRO (Fluxo de caixa)</v>
      </c>
      <c r="AX20" s="240">
        <f t="shared" ref="AX20:AX33" si="6">AO20</f>
        <v>8.6</v>
      </c>
      <c r="AY20" s="239"/>
    </row>
    <row r="21" spans="2:51" ht="22.2" customHeight="1" outlineLevel="1">
      <c r="B21" s="402"/>
      <c r="C21" s="638" t="s">
        <v>47</v>
      </c>
      <c r="D21" s="639"/>
      <c r="E21" s="640" t="s">
        <v>48</v>
      </c>
      <c r="F21" s="641"/>
      <c r="G21" s="642" t="s">
        <v>49</v>
      </c>
      <c r="H21" s="642"/>
      <c r="I21" s="224"/>
      <c r="J21" s="224"/>
      <c r="K21" s="224"/>
      <c r="L21" s="233"/>
      <c r="M21" s="226"/>
      <c r="U21" s="239"/>
      <c r="AE21" s="234"/>
      <c r="AF21" s="240">
        <v>2.6</v>
      </c>
      <c r="AG21" s="241" t="s">
        <v>45</v>
      </c>
      <c r="AH21" s="242" t="s">
        <v>34</v>
      </c>
      <c r="AI21" s="242" t="s">
        <v>35</v>
      </c>
      <c r="AJ21" s="237">
        <v>2</v>
      </c>
      <c r="AK21" s="246" t="str">
        <f>B29</f>
        <v>2-CALOTE (SERASA)</v>
      </c>
      <c r="AL21" s="247">
        <f>F29</f>
        <v>8.6</v>
      </c>
      <c r="AM21" s="240" t="str">
        <f t="shared" ref="AM21:AM29" si="7">IF(AL21&lt;=4.9,AL21,"")</f>
        <v/>
      </c>
      <c r="AN21" s="240" t="str">
        <f t="shared" ref="AN21:AN33" si="8">IF(AND(AL21&gt;4.9,AL21&lt;=8.5),AL21,"")</f>
        <v/>
      </c>
      <c r="AO21" s="240">
        <f t="shared" si="0"/>
        <v>8.6</v>
      </c>
      <c r="AP21" s="238"/>
      <c r="AQ21" s="246" t="str">
        <f t="shared" si="1"/>
        <v>2-CALOTE (SERASA)</v>
      </c>
      <c r="AR21" s="240" t="str">
        <f t="shared" si="2"/>
        <v/>
      </c>
      <c r="AS21" s="238"/>
      <c r="AT21" s="246" t="str">
        <f t="shared" si="3"/>
        <v>2-CALOTE (SERASA)</v>
      </c>
      <c r="AU21" s="240" t="str">
        <f t="shared" si="4"/>
        <v/>
      </c>
      <c r="AV21" s="238"/>
      <c r="AW21" s="246" t="str">
        <f t="shared" si="5"/>
        <v>2-CALOTE (SERASA)</v>
      </c>
      <c r="AX21" s="240">
        <f t="shared" si="6"/>
        <v>8.6</v>
      </c>
      <c r="AY21" s="239"/>
    </row>
    <row r="22" spans="2:51" ht="22.2" customHeight="1" outlineLevel="1">
      <c r="B22" s="402"/>
      <c r="C22" s="638" t="s">
        <v>50</v>
      </c>
      <c r="D22" s="639"/>
      <c r="E22" s="640" t="s">
        <v>48</v>
      </c>
      <c r="F22" s="641"/>
      <c r="G22" s="642" t="s">
        <v>51</v>
      </c>
      <c r="H22" s="642"/>
      <c r="I22" s="224"/>
      <c r="J22" s="224"/>
      <c r="K22" s="224"/>
      <c r="L22" s="233"/>
      <c r="M22" s="226"/>
      <c r="U22" s="239"/>
      <c r="AE22" s="234"/>
      <c r="AF22" s="240">
        <v>3</v>
      </c>
      <c r="AG22" s="241" t="s">
        <v>45</v>
      </c>
      <c r="AH22" s="242" t="s">
        <v>34</v>
      </c>
      <c r="AI22" s="242" t="s">
        <v>35</v>
      </c>
      <c r="AJ22" s="237">
        <v>3</v>
      </c>
      <c r="AK22" s="246" t="str">
        <f>B31</f>
        <v>3-NIVEL DE COMPLEXIDADE</v>
      </c>
      <c r="AL22" s="247">
        <f>F31</f>
        <v>7</v>
      </c>
      <c r="AM22" s="240" t="str">
        <f t="shared" si="7"/>
        <v/>
      </c>
      <c r="AN22" s="240">
        <f t="shared" si="8"/>
        <v>7</v>
      </c>
      <c r="AO22" s="240" t="str">
        <f t="shared" si="0"/>
        <v/>
      </c>
      <c r="AP22" s="238"/>
      <c r="AQ22" s="246" t="str">
        <f t="shared" si="1"/>
        <v>3-NIVEL DE COMPLEXIDADE</v>
      </c>
      <c r="AR22" s="240" t="str">
        <f t="shared" si="2"/>
        <v/>
      </c>
      <c r="AS22" s="238"/>
      <c r="AT22" s="246" t="str">
        <f t="shared" si="3"/>
        <v>3-NIVEL DE COMPLEXIDADE</v>
      </c>
      <c r="AU22" s="240">
        <f t="shared" si="4"/>
        <v>7</v>
      </c>
      <c r="AV22" s="238"/>
      <c r="AW22" s="246" t="str">
        <f t="shared" si="5"/>
        <v>3-NIVEL DE COMPLEXIDADE</v>
      </c>
      <c r="AX22" s="240" t="str">
        <f t="shared" si="6"/>
        <v/>
      </c>
      <c r="AY22" s="239"/>
    </row>
    <row r="23" spans="2:51" ht="22.2" customHeight="1" outlineLevel="1">
      <c r="B23" s="402"/>
      <c r="C23" s="643" t="s">
        <v>52</v>
      </c>
      <c r="D23" s="644"/>
      <c r="E23" s="645" t="s">
        <v>53</v>
      </c>
      <c r="F23" s="646"/>
      <c r="G23" s="647" t="s">
        <v>54</v>
      </c>
      <c r="H23" s="647"/>
      <c r="I23" s="224"/>
      <c r="J23" s="224"/>
      <c r="K23" s="224"/>
      <c r="L23" s="233"/>
      <c r="M23" s="226"/>
      <c r="U23" s="239"/>
      <c r="AE23" s="234"/>
      <c r="AF23" s="240">
        <v>4</v>
      </c>
      <c r="AG23" s="241" t="s">
        <v>45</v>
      </c>
      <c r="AH23" s="242" t="s">
        <v>34</v>
      </c>
      <c r="AI23" s="242" t="s">
        <v>35</v>
      </c>
      <c r="AJ23" s="237">
        <v>4</v>
      </c>
      <c r="AK23" s="246" t="str">
        <f>B33</f>
        <v>4-CAPACIDADE TÉCNICA</v>
      </c>
      <c r="AL23" s="247">
        <f>F33</f>
        <v>7</v>
      </c>
      <c r="AM23" s="240" t="str">
        <f t="shared" si="7"/>
        <v/>
      </c>
      <c r="AN23" s="240">
        <f t="shared" si="8"/>
        <v>7</v>
      </c>
      <c r="AO23" s="240" t="str">
        <f t="shared" si="0"/>
        <v/>
      </c>
      <c r="AP23" s="238"/>
      <c r="AQ23" s="246" t="str">
        <f t="shared" si="1"/>
        <v>4-CAPACIDADE TÉCNICA</v>
      </c>
      <c r="AR23" s="240" t="str">
        <f t="shared" si="2"/>
        <v/>
      </c>
      <c r="AS23" s="238"/>
      <c r="AT23" s="246" t="str">
        <f t="shared" si="3"/>
        <v>4-CAPACIDADE TÉCNICA</v>
      </c>
      <c r="AU23" s="240">
        <f t="shared" si="4"/>
        <v>7</v>
      </c>
      <c r="AV23" s="238"/>
      <c r="AW23" s="246" t="str">
        <f t="shared" si="5"/>
        <v>4-CAPACIDADE TÉCNICA</v>
      </c>
      <c r="AX23" s="240" t="str">
        <f t="shared" si="6"/>
        <v/>
      </c>
      <c r="AY23" s="239"/>
    </row>
    <row r="24" spans="2:51" ht="22.2" customHeight="1" outlineLevel="1">
      <c r="B24" s="402"/>
      <c r="C24" s="643" t="s">
        <v>55</v>
      </c>
      <c r="D24" s="644"/>
      <c r="E24" s="645" t="s">
        <v>53</v>
      </c>
      <c r="F24" s="646"/>
      <c r="G24" s="647" t="s">
        <v>56</v>
      </c>
      <c r="H24" s="647"/>
      <c r="I24" s="224"/>
      <c r="J24" s="224"/>
      <c r="K24" s="224"/>
      <c r="L24" s="233"/>
      <c r="M24" s="226"/>
      <c r="U24" s="239"/>
      <c r="AE24" s="234"/>
      <c r="AF24" s="240">
        <v>4.9000000000000004</v>
      </c>
      <c r="AG24" s="241" t="s">
        <v>45</v>
      </c>
      <c r="AH24" s="242" t="s">
        <v>34</v>
      </c>
      <c r="AI24" s="242" t="s">
        <v>35</v>
      </c>
      <c r="AJ24" s="237">
        <v>5</v>
      </c>
      <c r="AK24" s="246" t="str">
        <f>B35</f>
        <v>5-SSMA</v>
      </c>
      <c r="AL24" s="247">
        <f>F35</f>
        <v>8.9</v>
      </c>
      <c r="AM24" s="240" t="str">
        <f t="shared" si="7"/>
        <v/>
      </c>
      <c r="AN24" s="240" t="str">
        <f t="shared" si="8"/>
        <v/>
      </c>
      <c r="AO24" s="240">
        <f t="shared" si="0"/>
        <v>8.9</v>
      </c>
      <c r="AP24" s="238"/>
      <c r="AQ24" s="246" t="str">
        <f t="shared" si="1"/>
        <v>5-SSMA</v>
      </c>
      <c r="AR24" s="240" t="str">
        <f t="shared" si="2"/>
        <v/>
      </c>
      <c r="AS24" s="238"/>
      <c r="AT24" s="246" t="str">
        <f t="shared" si="3"/>
        <v>5-SSMA</v>
      </c>
      <c r="AU24" s="240" t="str">
        <f t="shared" si="4"/>
        <v/>
      </c>
      <c r="AV24" s="238"/>
      <c r="AW24" s="246" t="str">
        <f t="shared" si="5"/>
        <v>5-SSMA</v>
      </c>
      <c r="AX24" s="240">
        <f t="shared" si="6"/>
        <v>8.9</v>
      </c>
      <c r="AY24" s="239"/>
    </row>
    <row r="25" spans="2:51" ht="19.95" customHeight="1" outlineLevel="1">
      <c r="B25" s="648" t="s">
        <v>57</v>
      </c>
      <c r="C25" s="649"/>
      <c r="D25" s="649"/>
      <c r="E25" s="649"/>
      <c r="F25" s="649"/>
      <c r="G25" s="649"/>
      <c r="H25" s="649"/>
      <c r="I25" s="649"/>
      <c r="J25" s="649"/>
      <c r="K25" s="649"/>
      <c r="L25" s="650"/>
      <c r="M25" s="226"/>
      <c r="U25" s="239"/>
      <c r="AE25" s="234"/>
      <c r="AF25" s="240">
        <v>5</v>
      </c>
      <c r="AG25" s="248" t="s">
        <v>47</v>
      </c>
      <c r="AH25" s="249" t="s">
        <v>58</v>
      </c>
      <c r="AI25" s="249" t="s">
        <v>48</v>
      </c>
      <c r="AJ25" s="237">
        <v>6</v>
      </c>
      <c r="AK25" s="246" t="str">
        <f>B37</f>
        <v>6-RISCO DE NÃO ACONTECER</v>
      </c>
      <c r="AL25" s="247">
        <f>F37</f>
        <v>8.6</v>
      </c>
      <c r="AM25" s="240" t="str">
        <f t="shared" si="7"/>
        <v/>
      </c>
      <c r="AN25" s="240" t="str">
        <f t="shared" si="8"/>
        <v/>
      </c>
      <c r="AO25" s="240">
        <f t="shared" si="0"/>
        <v>8.6</v>
      </c>
      <c r="AP25" s="238"/>
      <c r="AQ25" s="246" t="str">
        <f t="shared" si="1"/>
        <v>6-RISCO DE NÃO ACONTECER</v>
      </c>
      <c r="AR25" s="240" t="str">
        <f t="shared" si="2"/>
        <v/>
      </c>
      <c r="AS25" s="238"/>
      <c r="AT25" s="246" t="str">
        <f t="shared" si="3"/>
        <v>6-RISCO DE NÃO ACONTECER</v>
      </c>
      <c r="AU25" s="240" t="str">
        <f t="shared" si="4"/>
        <v/>
      </c>
      <c r="AV25" s="238"/>
      <c r="AW25" s="246" t="str">
        <f t="shared" si="5"/>
        <v>6-RISCO DE NÃO ACONTECER</v>
      </c>
      <c r="AX25" s="240">
        <f t="shared" si="6"/>
        <v>8.6</v>
      </c>
      <c r="AY25" s="239"/>
    </row>
    <row r="26" spans="2:51" ht="42.6" customHeight="1" outlineLevel="1">
      <c r="B26" s="651" t="s">
        <v>59</v>
      </c>
      <c r="C26" s="623"/>
      <c r="D26" s="250" t="s">
        <v>60</v>
      </c>
      <c r="E26" s="652" t="s">
        <v>61</v>
      </c>
      <c r="F26" s="652"/>
      <c r="G26" s="652"/>
      <c r="H26" s="652"/>
      <c r="I26" s="653" t="s">
        <v>62</v>
      </c>
      <c r="J26" s="653"/>
      <c r="K26" s="653"/>
      <c r="L26" s="653"/>
      <c r="M26" s="251"/>
      <c r="N26" s="252"/>
      <c r="O26" s="252"/>
      <c r="P26" s="252"/>
      <c r="Q26" s="252"/>
      <c r="R26" s="252"/>
      <c r="S26" s="252"/>
      <c r="T26" s="252"/>
      <c r="U26" s="403"/>
      <c r="AE26" s="234"/>
      <c r="AF26" s="240">
        <v>6</v>
      </c>
      <c r="AG26" s="248" t="s">
        <v>47</v>
      </c>
      <c r="AH26" s="249" t="s">
        <v>58</v>
      </c>
      <c r="AI26" s="249" t="s">
        <v>48</v>
      </c>
      <c r="AJ26" s="237">
        <v>7</v>
      </c>
      <c r="AK26" s="246" t="str">
        <f>B39</f>
        <v>7-DISPONIBILIDADE DE RECURSOS (Mercado)</v>
      </c>
      <c r="AL26" s="247">
        <f>F39</f>
        <v>8.9</v>
      </c>
      <c r="AM26" s="240" t="str">
        <f t="shared" si="7"/>
        <v/>
      </c>
      <c r="AN26" s="240" t="str">
        <f t="shared" si="8"/>
        <v/>
      </c>
      <c r="AO26" s="240">
        <f t="shared" si="0"/>
        <v>8.9</v>
      </c>
      <c r="AP26" s="238"/>
      <c r="AQ26" s="246" t="str">
        <f t="shared" si="1"/>
        <v>7-DISPONIBILIDADE DE RECURSOS (Mercado)</v>
      </c>
      <c r="AR26" s="240" t="str">
        <f t="shared" si="2"/>
        <v/>
      </c>
      <c r="AS26" s="238"/>
      <c r="AT26" s="246" t="str">
        <f t="shared" si="3"/>
        <v>7-DISPONIBILIDADE DE RECURSOS (Mercado)</v>
      </c>
      <c r="AU26" s="240" t="str">
        <f t="shared" si="4"/>
        <v/>
      </c>
      <c r="AV26" s="238"/>
      <c r="AW26" s="246" t="str">
        <f t="shared" si="5"/>
        <v>7-DISPONIBILIDADE DE RECURSOS (Mercado)</v>
      </c>
      <c r="AX26" s="240">
        <f t="shared" si="6"/>
        <v>8.9</v>
      </c>
      <c r="AY26" s="239"/>
    </row>
    <row r="27" spans="2:51" ht="24.9" customHeight="1" outlineLevel="1">
      <c r="B27" s="654" t="s">
        <v>63</v>
      </c>
      <c r="C27" s="655"/>
      <c r="D27" s="404">
        <v>2.5</v>
      </c>
      <c r="E27" s="253"/>
      <c r="F27" s="405">
        <v>8.6</v>
      </c>
      <c r="H27" s="215" t="str">
        <f>VLOOKUP(F27,$AF$18:$AI$36,3,TRUE)</f>
        <v>Risco Baixo</v>
      </c>
      <c r="I27" s="226"/>
      <c r="J27" s="254"/>
      <c r="K27" s="215"/>
      <c r="L27" s="227"/>
      <c r="M27" s="656" t="s">
        <v>64</v>
      </c>
      <c r="N27" s="657"/>
      <c r="O27" s="657"/>
      <c r="P27" s="657"/>
      <c r="Q27" s="657"/>
      <c r="R27" s="657"/>
      <c r="S27" s="657"/>
      <c r="T27" s="657"/>
      <c r="U27" s="658"/>
      <c r="AE27" s="234"/>
      <c r="AF27" s="240">
        <v>7</v>
      </c>
      <c r="AG27" s="248" t="s">
        <v>47</v>
      </c>
      <c r="AH27" s="249" t="s">
        <v>58</v>
      </c>
      <c r="AI27" s="249" t="s">
        <v>48</v>
      </c>
      <c r="AJ27" s="237">
        <v>8</v>
      </c>
      <c r="AK27" s="246" t="str">
        <f>B41</f>
        <v>8-COMPETITIVIDADE (Concorrentes)</v>
      </c>
      <c r="AL27" s="247">
        <f>F41</f>
        <v>9</v>
      </c>
      <c r="AM27" s="240" t="str">
        <f t="shared" si="7"/>
        <v/>
      </c>
      <c r="AN27" s="240" t="str">
        <f t="shared" si="8"/>
        <v/>
      </c>
      <c r="AO27" s="240">
        <f t="shared" si="0"/>
        <v>9</v>
      </c>
      <c r="AP27" s="238"/>
      <c r="AQ27" s="246" t="str">
        <f t="shared" si="1"/>
        <v>8-COMPETITIVIDADE (Concorrentes)</v>
      </c>
      <c r="AR27" s="240" t="str">
        <f t="shared" si="2"/>
        <v/>
      </c>
      <c r="AS27" s="238"/>
      <c r="AT27" s="246" t="str">
        <f t="shared" si="3"/>
        <v>8-COMPETITIVIDADE (Concorrentes)</v>
      </c>
      <c r="AU27" s="240" t="str">
        <f t="shared" si="4"/>
        <v/>
      </c>
      <c r="AV27" s="238"/>
      <c r="AW27" s="246" t="str">
        <f t="shared" si="5"/>
        <v>8-COMPETITIVIDADE (Concorrentes)</v>
      </c>
      <c r="AX27" s="240">
        <f t="shared" si="6"/>
        <v>9</v>
      </c>
      <c r="AY27" s="239"/>
    </row>
    <row r="28" spans="2:51" ht="9.9" customHeight="1" outlineLevel="1">
      <c r="B28" s="406"/>
      <c r="C28" s="407"/>
      <c r="D28" s="404"/>
      <c r="E28" s="253"/>
      <c r="F28" s="449"/>
      <c r="H28" s="215"/>
      <c r="I28" s="226"/>
      <c r="J28" s="254"/>
      <c r="K28" s="215"/>
      <c r="L28" s="227"/>
      <c r="M28" s="659"/>
      <c r="N28" s="660"/>
      <c r="O28" s="660"/>
      <c r="P28" s="660"/>
      <c r="Q28" s="665"/>
      <c r="R28" s="660"/>
      <c r="S28" s="660"/>
      <c r="T28" s="660"/>
      <c r="U28" s="666"/>
      <c r="AE28" s="234"/>
      <c r="AF28" s="240">
        <v>7.4</v>
      </c>
      <c r="AG28" s="248" t="s">
        <v>47</v>
      </c>
      <c r="AH28" s="249" t="s">
        <v>58</v>
      </c>
      <c r="AI28" s="249" t="s">
        <v>48</v>
      </c>
      <c r="AJ28" s="237">
        <v>9</v>
      </c>
      <c r="AK28" s="246" t="str">
        <f>B43</f>
        <v>9-HH PARADO/EQUIPAMENTO</v>
      </c>
      <c r="AL28" s="247">
        <f>F43</f>
        <v>8.4</v>
      </c>
      <c r="AM28" s="240" t="str">
        <f t="shared" si="7"/>
        <v/>
      </c>
      <c r="AN28" s="240">
        <f t="shared" si="8"/>
        <v>8.4</v>
      </c>
      <c r="AO28" s="240" t="str">
        <f t="shared" si="0"/>
        <v/>
      </c>
      <c r="AP28" s="238"/>
      <c r="AQ28" s="246" t="str">
        <f t="shared" si="1"/>
        <v>9-HH PARADO/EQUIPAMENTO</v>
      </c>
      <c r="AR28" s="240" t="str">
        <f t="shared" si="2"/>
        <v/>
      </c>
      <c r="AS28" s="238"/>
      <c r="AT28" s="246" t="str">
        <f t="shared" si="3"/>
        <v>9-HH PARADO/EQUIPAMENTO</v>
      </c>
      <c r="AU28" s="240">
        <f t="shared" si="4"/>
        <v>8.4</v>
      </c>
      <c r="AV28" s="238"/>
      <c r="AW28" s="246" t="str">
        <f t="shared" si="5"/>
        <v>9-HH PARADO/EQUIPAMENTO</v>
      </c>
      <c r="AX28" s="240" t="str">
        <f t="shared" si="6"/>
        <v/>
      </c>
      <c r="AY28" s="239"/>
    </row>
    <row r="29" spans="2:51" ht="24.9" customHeight="1" outlineLevel="1">
      <c r="B29" s="671" t="s">
        <v>65</v>
      </c>
      <c r="C29" s="672"/>
      <c r="D29" s="404">
        <v>2</v>
      </c>
      <c r="E29" s="253"/>
      <c r="F29" s="405">
        <v>8.6</v>
      </c>
      <c r="H29" s="215" t="str">
        <f>VLOOKUP(F29,$AF$18:$AI$36,3,TRUE)</f>
        <v>Risco Baixo</v>
      </c>
      <c r="I29" s="673">
        <f>ROUND((D27*F27+D29*F29+D31*F31+D33*F33+D35*F35+D37*F37+D41*F41+D43*F43+D45*F45+D47*F47+D39*F39+D51*F51+D53*F53+D49*F49)/D56,1)</f>
        <v>8.3000000000000007</v>
      </c>
      <c r="J29" s="674"/>
      <c r="K29" s="674"/>
      <c r="L29" s="675"/>
      <c r="M29" s="661"/>
      <c r="N29" s="662"/>
      <c r="O29" s="662"/>
      <c r="P29" s="662"/>
      <c r="Q29" s="667"/>
      <c r="R29" s="662"/>
      <c r="S29" s="662"/>
      <c r="T29" s="662"/>
      <c r="U29" s="668"/>
      <c r="AE29" s="234"/>
      <c r="AF29" s="240">
        <v>7.5</v>
      </c>
      <c r="AG29" s="248" t="s">
        <v>50</v>
      </c>
      <c r="AH29" s="249" t="s">
        <v>58</v>
      </c>
      <c r="AI29" s="249" t="s">
        <v>48</v>
      </c>
      <c r="AJ29" s="237">
        <v>10</v>
      </c>
      <c r="AK29" s="246" t="str">
        <f>B45</f>
        <v>10-LOGISTICA</v>
      </c>
      <c r="AL29" s="247">
        <f>F45</f>
        <v>7</v>
      </c>
      <c r="AM29" s="240" t="str">
        <f t="shared" si="7"/>
        <v/>
      </c>
      <c r="AN29" s="240">
        <f t="shared" si="8"/>
        <v>7</v>
      </c>
      <c r="AO29" s="240" t="str">
        <f t="shared" si="0"/>
        <v/>
      </c>
      <c r="AP29" s="238"/>
      <c r="AQ29" s="246" t="str">
        <f t="shared" si="1"/>
        <v>10-LOGISTICA</v>
      </c>
      <c r="AR29" s="240" t="str">
        <f t="shared" si="2"/>
        <v/>
      </c>
      <c r="AS29" s="238"/>
      <c r="AT29" s="246" t="str">
        <f t="shared" si="3"/>
        <v>10-LOGISTICA</v>
      </c>
      <c r="AU29" s="240">
        <f t="shared" si="4"/>
        <v>7</v>
      </c>
      <c r="AV29" s="238"/>
      <c r="AW29" s="246" t="str">
        <f t="shared" si="5"/>
        <v>10-LOGISTICA</v>
      </c>
      <c r="AX29" s="240" t="str">
        <f t="shared" si="6"/>
        <v/>
      </c>
      <c r="AY29" s="239"/>
    </row>
    <row r="30" spans="2:51" ht="9.9" customHeight="1" outlineLevel="1">
      <c r="B30" s="406"/>
      <c r="C30" s="407"/>
      <c r="D30" s="404"/>
      <c r="E30" s="253"/>
      <c r="F30" s="449"/>
      <c r="H30" s="215"/>
      <c r="I30" s="673"/>
      <c r="J30" s="674"/>
      <c r="K30" s="674"/>
      <c r="L30" s="675"/>
      <c r="M30" s="661"/>
      <c r="N30" s="662"/>
      <c r="O30" s="662"/>
      <c r="P30" s="662"/>
      <c r="Q30" s="667"/>
      <c r="R30" s="662"/>
      <c r="S30" s="662"/>
      <c r="T30" s="662"/>
      <c r="U30" s="668"/>
      <c r="AE30" s="234"/>
      <c r="AF30" s="240">
        <v>8</v>
      </c>
      <c r="AG30" s="248" t="s">
        <v>50</v>
      </c>
      <c r="AH30" s="249" t="s">
        <v>58</v>
      </c>
      <c r="AI30" s="249" t="s">
        <v>48</v>
      </c>
      <c r="AJ30" s="237">
        <v>11</v>
      </c>
      <c r="AK30" s="246" t="str">
        <f>B47</f>
        <v>11-NOTIFICAÇÕES E MULTAS</v>
      </c>
      <c r="AL30" s="247">
        <f>F47</f>
        <v>8</v>
      </c>
      <c r="AM30" s="240" t="str">
        <f>IF(AL30&lt;=4.9,AL30,"")</f>
        <v/>
      </c>
      <c r="AN30" s="240">
        <f t="shared" si="8"/>
        <v>8</v>
      </c>
      <c r="AO30" s="240" t="str">
        <f t="shared" si="0"/>
        <v/>
      </c>
      <c r="AP30" s="238"/>
      <c r="AQ30" s="246" t="str">
        <f t="shared" si="1"/>
        <v>11-NOTIFICAÇÕES E MULTAS</v>
      </c>
      <c r="AR30" s="240" t="str">
        <f t="shared" si="2"/>
        <v/>
      </c>
      <c r="AS30" s="238"/>
      <c r="AT30" s="246" t="str">
        <f t="shared" si="3"/>
        <v>11-NOTIFICAÇÕES E MULTAS</v>
      </c>
      <c r="AU30" s="240">
        <f t="shared" si="4"/>
        <v>8</v>
      </c>
      <c r="AV30" s="238"/>
      <c r="AW30" s="246" t="str">
        <f t="shared" si="5"/>
        <v>11-NOTIFICAÇÕES E MULTAS</v>
      </c>
      <c r="AX30" s="240" t="str">
        <f t="shared" si="6"/>
        <v/>
      </c>
      <c r="AY30" s="239"/>
    </row>
    <row r="31" spans="2:51" ht="24.9" customHeight="1" outlineLevel="1">
      <c r="B31" s="671" t="s">
        <v>66</v>
      </c>
      <c r="C31" s="672"/>
      <c r="D31" s="404">
        <v>0.5</v>
      </c>
      <c r="E31" s="253"/>
      <c r="F31" s="405">
        <v>7</v>
      </c>
      <c r="H31" s="215" t="str">
        <f>VLOOKUP(F31,$AF$18:$AI$36,3,TRUE)</f>
        <v>Risco Médio</v>
      </c>
      <c r="I31" s="673"/>
      <c r="J31" s="674"/>
      <c r="K31" s="674"/>
      <c r="L31" s="675"/>
      <c r="M31" s="661"/>
      <c r="N31" s="662"/>
      <c r="O31" s="662"/>
      <c r="P31" s="662"/>
      <c r="Q31" s="667"/>
      <c r="R31" s="662"/>
      <c r="S31" s="662"/>
      <c r="T31" s="662"/>
      <c r="U31" s="668"/>
      <c r="AE31" s="234"/>
      <c r="AF31" s="240">
        <v>8.5</v>
      </c>
      <c r="AG31" s="248" t="s">
        <v>50</v>
      </c>
      <c r="AH31" s="249" t="s">
        <v>58</v>
      </c>
      <c r="AI31" s="249" t="s">
        <v>48</v>
      </c>
      <c r="AJ31" s="237">
        <v>12</v>
      </c>
      <c r="AK31" s="246" t="str">
        <f>B49</f>
        <v>12-PRAZO DE ELABORAÇÃO PROPOSTA</v>
      </c>
      <c r="AL31" s="247">
        <f>F49</f>
        <v>8</v>
      </c>
      <c r="AM31" s="240" t="str">
        <f>IF(AL31&lt;=4.9,AL31,"")</f>
        <v/>
      </c>
      <c r="AN31" s="240">
        <f t="shared" si="8"/>
        <v>8</v>
      </c>
      <c r="AO31" s="240" t="str">
        <f t="shared" si="0"/>
        <v/>
      </c>
      <c r="AP31" s="238"/>
      <c r="AQ31" s="246" t="str">
        <f t="shared" si="1"/>
        <v>12-PRAZO DE ELABORAÇÃO PROPOSTA</v>
      </c>
      <c r="AR31" s="240" t="str">
        <f t="shared" si="2"/>
        <v/>
      </c>
      <c r="AS31" s="238"/>
      <c r="AT31" s="246" t="str">
        <f t="shared" si="3"/>
        <v>12-PRAZO DE ELABORAÇÃO PROPOSTA</v>
      </c>
      <c r="AU31" s="240">
        <f t="shared" si="4"/>
        <v>8</v>
      </c>
      <c r="AV31" s="238"/>
      <c r="AW31" s="246" t="str">
        <f t="shared" si="5"/>
        <v>12-PRAZO DE ELABORAÇÃO PROPOSTA</v>
      </c>
      <c r="AX31" s="240" t="str">
        <f t="shared" si="6"/>
        <v/>
      </c>
      <c r="AY31" s="239"/>
    </row>
    <row r="32" spans="2:51" ht="9.9" customHeight="1" outlineLevel="1">
      <c r="B32" s="406"/>
      <c r="C32" s="407"/>
      <c r="D32" s="404"/>
      <c r="E32" s="253"/>
      <c r="F32" s="449"/>
      <c r="H32" s="215"/>
      <c r="I32" s="673"/>
      <c r="J32" s="674"/>
      <c r="K32" s="674"/>
      <c r="L32" s="675"/>
      <c r="M32" s="661"/>
      <c r="N32" s="662"/>
      <c r="O32" s="662"/>
      <c r="P32" s="662"/>
      <c r="Q32" s="667"/>
      <c r="R32" s="662"/>
      <c r="S32" s="662"/>
      <c r="T32" s="662"/>
      <c r="U32" s="668"/>
      <c r="AE32" s="234"/>
      <c r="AF32" s="240">
        <v>8.6</v>
      </c>
      <c r="AG32" s="255" t="s">
        <v>52</v>
      </c>
      <c r="AH32" s="256" t="s">
        <v>67</v>
      </c>
      <c r="AI32" s="256" t="s">
        <v>53</v>
      </c>
      <c r="AJ32" s="237">
        <v>13</v>
      </c>
      <c r="AK32" s="246" t="str">
        <f>B51</f>
        <v>13-PRAZO DE EXECUÇÃO</v>
      </c>
      <c r="AL32" s="247">
        <f>F51</f>
        <v>8.6</v>
      </c>
      <c r="AM32" s="240" t="str">
        <f>IF(AL32&lt;=4.9,AL32,"")</f>
        <v/>
      </c>
      <c r="AN32" s="240" t="str">
        <f t="shared" si="8"/>
        <v/>
      </c>
      <c r="AO32" s="240">
        <f t="shared" si="0"/>
        <v>8.6</v>
      </c>
      <c r="AP32" s="238"/>
      <c r="AQ32" s="246" t="str">
        <f t="shared" si="1"/>
        <v>13-PRAZO DE EXECUÇÃO</v>
      </c>
      <c r="AR32" s="240" t="str">
        <f t="shared" si="2"/>
        <v/>
      </c>
      <c r="AS32" s="238"/>
      <c r="AT32" s="246" t="str">
        <f t="shared" si="3"/>
        <v>13-PRAZO DE EXECUÇÃO</v>
      </c>
      <c r="AU32" s="240" t="str">
        <f t="shared" si="4"/>
        <v/>
      </c>
      <c r="AV32" s="238"/>
      <c r="AW32" s="246" t="str">
        <f t="shared" si="5"/>
        <v>13-PRAZO DE EXECUÇÃO</v>
      </c>
      <c r="AX32" s="240">
        <f t="shared" si="6"/>
        <v>8.6</v>
      </c>
      <c r="AY32" s="239"/>
    </row>
    <row r="33" spans="1:51" ht="24.9" customHeight="1" outlineLevel="1">
      <c r="B33" s="671" t="s">
        <v>68</v>
      </c>
      <c r="C33" s="672"/>
      <c r="D33" s="404">
        <v>0.5</v>
      </c>
      <c r="E33" s="253"/>
      <c r="F33" s="405">
        <v>7</v>
      </c>
      <c r="H33" s="215" t="str">
        <f>VLOOKUP(F33,$AF$18:$AI$36,3,TRUE)</f>
        <v>Risco Médio</v>
      </c>
      <c r="I33" s="673"/>
      <c r="J33" s="674"/>
      <c r="K33" s="674"/>
      <c r="L33" s="675"/>
      <c r="M33" s="661"/>
      <c r="N33" s="662"/>
      <c r="O33" s="662"/>
      <c r="P33" s="662"/>
      <c r="Q33" s="667"/>
      <c r="R33" s="662"/>
      <c r="S33" s="662"/>
      <c r="T33" s="662"/>
      <c r="U33" s="668"/>
      <c r="AE33" s="234"/>
      <c r="AF33" s="240">
        <v>9</v>
      </c>
      <c r="AG33" s="255" t="s">
        <v>52</v>
      </c>
      <c r="AH33" s="256" t="s">
        <v>67</v>
      </c>
      <c r="AI33" s="256" t="s">
        <v>53</v>
      </c>
      <c r="AJ33" s="237">
        <v>14</v>
      </c>
      <c r="AK33" s="246" t="str">
        <f>B53</f>
        <v>14-LEILÃO</v>
      </c>
      <c r="AL33" s="247">
        <f>F53</f>
        <v>8.6</v>
      </c>
      <c r="AM33" s="240" t="str">
        <f>IF(AL33&lt;=4.9,AL33,"")</f>
        <v/>
      </c>
      <c r="AN33" s="240" t="str">
        <f t="shared" si="8"/>
        <v/>
      </c>
      <c r="AO33" s="240">
        <f t="shared" si="0"/>
        <v>8.6</v>
      </c>
      <c r="AP33" s="238"/>
      <c r="AQ33" s="246" t="str">
        <f t="shared" si="1"/>
        <v>14-LEILÃO</v>
      </c>
      <c r="AR33" s="240" t="str">
        <f t="shared" si="2"/>
        <v/>
      </c>
      <c r="AS33" s="238"/>
      <c r="AT33" s="246" t="str">
        <f t="shared" si="3"/>
        <v>14-LEILÃO</v>
      </c>
      <c r="AU33" s="240" t="str">
        <f t="shared" si="4"/>
        <v/>
      </c>
      <c r="AV33" s="238"/>
      <c r="AW33" s="246" t="str">
        <f t="shared" si="5"/>
        <v>14-LEILÃO</v>
      </c>
      <c r="AX33" s="240">
        <f t="shared" si="6"/>
        <v>8.6</v>
      </c>
      <c r="AY33" s="239"/>
    </row>
    <row r="34" spans="1:51" ht="9.9" customHeight="1" outlineLevel="1">
      <c r="B34" s="406"/>
      <c r="C34" s="407"/>
      <c r="D34" s="404"/>
      <c r="E34" s="253"/>
      <c r="F34" s="449"/>
      <c r="H34" s="215"/>
      <c r="I34" s="673"/>
      <c r="J34" s="674"/>
      <c r="K34" s="674"/>
      <c r="L34" s="675"/>
      <c r="M34" s="661"/>
      <c r="N34" s="662"/>
      <c r="O34" s="662"/>
      <c r="P34" s="662"/>
      <c r="Q34" s="667"/>
      <c r="R34" s="662"/>
      <c r="S34" s="662"/>
      <c r="T34" s="662"/>
      <c r="U34" s="668"/>
      <c r="AE34" s="234"/>
      <c r="AF34" s="240">
        <v>9.3000000000000007</v>
      </c>
      <c r="AG34" s="255" t="s">
        <v>52</v>
      </c>
      <c r="AH34" s="256" t="s">
        <v>67</v>
      </c>
      <c r="AI34" s="256" t="s">
        <v>53</v>
      </c>
      <c r="AJ34" s="237"/>
      <c r="AK34" s="237"/>
      <c r="AL34" s="238"/>
      <c r="AM34" s="238"/>
      <c r="AN34" s="238"/>
      <c r="AO34" s="238"/>
      <c r="AP34" s="238"/>
      <c r="AQ34" s="237"/>
      <c r="AR34" s="238"/>
      <c r="AS34" s="238"/>
      <c r="AT34" s="237"/>
      <c r="AU34" s="238"/>
      <c r="AV34" s="238"/>
      <c r="AW34" s="237"/>
      <c r="AX34" s="238"/>
      <c r="AY34" s="239"/>
    </row>
    <row r="35" spans="1:51" ht="24.9" customHeight="1" outlineLevel="1">
      <c r="B35" s="671" t="s">
        <v>69</v>
      </c>
      <c r="C35" s="672"/>
      <c r="D35" s="404">
        <v>0.5</v>
      </c>
      <c r="E35" s="253"/>
      <c r="F35" s="405">
        <v>8.9</v>
      </c>
      <c r="H35" s="215" t="str">
        <f>VLOOKUP(F35,$AF$18:$AI$36,3,TRUE)</f>
        <v>Risco Baixo</v>
      </c>
      <c r="I35" s="673"/>
      <c r="J35" s="674"/>
      <c r="K35" s="674"/>
      <c r="L35" s="675"/>
      <c r="M35" s="661"/>
      <c r="N35" s="662"/>
      <c r="O35" s="662"/>
      <c r="P35" s="662"/>
      <c r="Q35" s="667"/>
      <c r="R35" s="662"/>
      <c r="S35" s="662"/>
      <c r="T35" s="662"/>
      <c r="U35" s="668"/>
      <c r="AE35" s="234"/>
      <c r="AF35" s="240">
        <v>9.4</v>
      </c>
      <c r="AG35" s="255" t="s">
        <v>55</v>
      </c>
      <c r="AH35" s="256" t="s">
        <v>67</v>
      </c>
      <c r="AI35" s="256" t="s">
        <v>53</v>
      </c>
      <c r="AJ35" s="237"/>
      <c r="AK35" s="237"/>
      <c r="AL35" s="238"/>
      <c r="AM35" s="238"/>
      <c r="AN35" s="238"/>
      <c r="AO35" s="238"/>
      <c r="AP35" s="238"/>
      <c r="AQ35" s="237"/>
      <c r="AR35" s="238"/>
      <c r="AS35" s="238"/>
      <c r="AT35" s="237"/>
      <c r="AU35" s="238"/>
      <c r="AV35" s="238"/>
      <c r="AW35" s="237"/>
      <c r="AX35" s="238"/>
      <c r="AY35" s="239"/>
    </row>
    <row r="36" spans="1:51" ht="9.9" customHeight="1" outlineLevel="1">
      <c r="B36" s="406"/>
      <c r="C36" s="407"/>
      <c r="D36" s="404"/>
      <c r="E36" s="253"/>
      <c r="F36" s="449"/>
      <c r="H36" s="215"/>
      <c r="I36" s="673"/>
      <c r="J36" s="674"/>
      <c r="K36" s="674"/>
      <c r="L36" s="675"/>
      <c r="M36" s="661"/>
      <c r="N36" s="662"/>
      <c r="O36" s="662"/>
      <c r="P36" s="662"/>
      <c r="Q36" s="667"/>
      <c r="R36" s="662"/>
      <c r="S36" s="662"/>
      <c r="T36" s="662"/>
      <c r="U36" s="668"/>
      <c r="AE36" s="234"/>
      <c r="AF36" s="240">
        <v>10</v>
      </c>
      <c r="AG36" s="255" t="s">
        <v>55</v>
      </c>
      <c r="AH36" s="256" t="s">
        <v>67</v>
      </c>
      <c r="AI36" s="256" t="s">
        <v>53</v>
      </c>
      <c r="AJ36" s="237"/>
      <c r="AK36" s="237"/>
      <c r="AL36" s="238"/>
      <c r="AM36" s="238"/>
      <c r="AN36" s="238"/>
      <c r="AO36" s="238"/>
      <c r="AP36" s="238"/>
      <c r="AQ36" s="237"/>
      <c r="AR36" s="238"/>
      <c r="AS36" s="238"/>
      <c r="AT36" s="237"/>
      <c r="AU36" s="238"/>
      <c r="AV36" s="238"/>
      <c r="AW36" s="237"/>
      <c r="AX36" s="238"/>
      <c r="AY36" s="239"/>
    </row>
    <row r="37" spans="1:51" ht="24.9" customHeight="1" outlineLevel="1" thickBot="1">
      <c r="B37" s="671" t="s">
        <v>70</v>
      </c>
      <c r="C37" s="672"/>
      <c r="D37" s="404">
        <v>0.3</v>
      </c>
      <c r="E37" s="253"/>
      <c r="F37" s="405">
        <v>8.6</v>
      </c>
      <c r="H37" s="215" t="str">
        <f>VLOOKUP(F37,$AF$18:$AI$36,3,TRUE)</f>
        <v>Risco Baixo</v>
      </c>
      <c r="I37" s="673"/>
      <c r="J37" s="674"/>
      <c r="K37" s="674"/>
      <c r="L37" s="675"/>
      <c r="M37" s="661"/>
      <c r="N37" s="662"/>
      <c r="O37" s="662"/>
      <c r="P37" s="662"/>
      <c r="Q37" s="667"/>
      <c r="R37" s="662"/>
      <c r="S37" s="662"/>
      <c r="T37" s="662"/>
      <c r="U37" s="668"/>
      <c r="AE37" s="257"/>
      <c r="AF37" s="408"/>
      <c r="AG37" s="409"/>
      <c r="AH37" s="409"/>
      <c r="AI37" s="409"/>
      <c r="AJ37" s="237"/>
      <c r="AK37" s="237"/>
      <c r="AL37" s="238"/>
      <c r="AM37" s="238"/>
      <c r="AN37" s="238"/>
      <c r="AO37" s="238"/>
      <c r="AP37" s="238"/>
      <c r="AQ37" s="237"/>
      <c r="AR37" s="238"/>
      <c r="AS37" s="238"/>
      <c r="AT37" s="237"/>
      <c r="AU37" s="238"/>
      <c r="AV37" s="238"/>
      <c r="AW37" s="237"/>
      <c r="AX37" s="238"/>
      <c r="AY37" s="258"/>
    </row>
    <row r="38" spans="1:51" ht="9.9" customHeight="1" outlineLevel="1" thickBot="1">
      <c r="B38" s="406"/>
      <c r="C38" s="407"/>
      <c r="D38" s="404"/>
      <c r="E38" s="253"/>
      <c r="F38" s="449"/>
      <c r="H38" s="215"/>
      <c r="I38" s="673"/>
      <c r="J38" s="674"/>
      <c r="K38" s="674"/>
      <c r="L38" s="675"/>
      <c r="M38" s="661"/>
      <c r="N38" s="662"/>
      <c r="O38" s="662"/>
      <c r="P38" s="662"/>
      <c r="Q38" s="667"/>
      <c r="R38" s="662"/>
      <c r="S38" s="662"/>
      <c r="T38" s="662"/>
      <c r="U38" s="668"/>
      <c r="AJ38" s="409"/>
      <c r="AK38" s="409"/>
      <c r="AL38" s="410"/>
      <c r="AM38" s="410"/>
      <c r="AN38" s="410"/>
      <c r="AO38" s="410"/>
      <c r="AP38" s="410"/>
      <c r="AQ38" s="409"/>
      <c r="AR38" s="410"/>
      <c r="AS38" s="410"/>
      <c r="AT38" s="409"/>
      <c r="AU38" s="410"/>
      <c r="AV38" s="410"/>
      <c r="AW38" s="409"/>
      <c r="AX38" s="410"/>
    </row>
    <row r="39" spans="1:51" ht="24.9" customHeight="1" outlineLevel="1">
      <c r="B39" s="671" t="s">
        <v>71</v>
      </c>
      <c r="C39" s="672"/>
      <c r="D39" s="404">
        <v>0.5</v>
      </c>
      <c r="E39" s="253"/>
      <c r="F39" s="405">
        <v>8.9</v>
      </c>
      <c r="H39" s="215" t="str">
        <f>VLOOKUP(F39,$AF$18:$AI$36,3,TRUE)</f>
        <v>Risco Baixo</v>
      </c>
      <c r="I39" s="673"/>
      <c r="J39" s="674"/>
      <c r="K39" s="674"/>
      <c r="L39" s="675"/>
      <c r="M39" s="661"/>
      <c r="N39" s="662"/>
      <c r="O39" s="662"/>
      <c r="P39" s="662"/>
      <c r="Q39" s="667"/>
      <c r="R39" s="662"/>
      <c r="S39" s="662"/>
      <c r="T39" s="662"/>
      <c r="U39" s="668"/>
    </row>
    <row r="40" spans="1:51" ht="9.9" customHeight="1" outlineLevel="1">
      <c r="B40" s="406"/>
      <c r="C40" s="407"/>
      <c r="D40" s="404"/>
      <c r="E40" s="253"/>
      <c r="F40" s="449"/>
      <c r="H40" s="215"/>
      <c r="I40" s="259"/>
      <c r="J40" s="260"/>
      <c r="K40" s="260"/>
      <c r="L40" s="261"/>
      <c r="M40" s="661"/>
      <c r="N40" s="662"/>
      <c r="O40" s="662"/>
      <c r="P40" s="662"/>
      <c r="Q40" s="667"/>
      <c r="R40" s="662"/>
      <c r="S40" s="662"/>
      <c r="T40" s="662"/>
      <c r="U40" s="668"/>
    </row>
    <row r="41" spans="1:51" ht="24.9" customHeight="1" outlineLevel="1">
      <c r="B41" s="671" t="s">
        <v>72</v>
      </c>
      <c r="C41" s="672"/>
      <c r="D41" s="404">
        <v>0.5</v>
      </c>
      <c r="E41" s="253"/>
      <c r="F41" s="405">
        <v>9</v>
      </c>
      <c r="H41" s="215" t="str">
        <f>VLOOKUP(F41,$AF$18:$AI$36,3,TRUE)</f>
        <v>Risco Baixo</v>
      </c>
      <c r="I41" s="676" t="s">
        <v>73</v>
      </c>
      <c r="J41" s="677"/>
      <c r="K41" s="677"/>
      <c r="L41" s="678"/>
      <c r="M41" s="661"/>
      <c r="N41" s="662"/>
      <c r="O41" s="662"/>
      <c r="P41" s="662"/>
      <c r="Q41" s="667"/>
      <c r="R41" s="662"/>
      <c r="S41" s="662"/>
      <c r="T41" s="662"/>
      <c r="U41" s="668"/>
    </row>
    <row r="42" spans="1:51" ht="9.9" customHeight="1" outlineLevel="1">
      <c r="B42" s="406"/>
      <c r="C42" s="407"/>
      <c r="D42" s="404"/>
      <c r="E42" s="253"/>
      <c r="F42" s="449"/>
      <c r="H42" s="215"/>
      <c r="I42" s="262"/>
      <c r="J42" s="263"/>
      <c r="K42" s="263"/>
      <c r="L42" s="264"/>
      <c r="M42" s="661"/>
      <c r="N42" s="662"/>
      <c r="O42" s="662"/>
      <c r="P42" s="662"/>
      <c r="Q42" s="667"/>
      <c r="R42" s="662"/>
      <c r="S42" s="662"/>
      <c r="T42" s="662"/>
      <c r="U42" s="668"/>
    </row>
    <row r="43" spans="1:51" ht="24.9" customHeight="1" outlineLevel="1">
      <c r="B43" s="671" t="s">
        <v>74</v>
      </c>
      <c r="C43" s="672"/>
      <c r="D43" s="404">
        <v>0.5</v>
      </c>
      <c r="E43" s="253"/>
      <c r="F43" s="405">
        <v>8.4</v>
      </c>
      <c r="H43" s="215" t="str">
        <f>VLOOKUP(F43,$AF$18:$AI$36,3,TRUE)</f>
        <v>Risco Médio</v>
      </c>
      <c r="I43" s="679" t="str">
        <f>VLOOKUP(I29,AF18:AI36,4,TRUE)</f>
        <v>Médio</v>
      </c>
      <c r="J43" s="680"/>
      <c r="K43" s="680"/>
      <c r="L43" s="681"/>
      <c r="M43" s="661"/>
      <c r="N43" s="662"/>
      <c r="O43" s="662"/>
      <c r="P43" s="662"/>
      <c r="Q43" s="667"/>
      <c r="R43" s="662"/>
      <c r="S43" s="662"/>
      <c r="T43" s="662"/>
      <c r="U43" s="668"/>
    </row>
    <row r="44" spans="1:51" ht="9.9" customHeight="1" outlineLevel="1">
      <c r="B44" s="406"/>
      <c r="C44" s="407"/>
      <c r="D44" s="404"/>
      <c r="E44" s="253"/>
      <c r="F44" s="449"/>
      <c r="H44" s="215"/>
      <c r="I44" s="679"/>
      <c r="J44" s="680"/>
      <c r="K44" s="680"/>
      <c r="L44" s="681"/>
      <c r="M44" s="661"/>
      <c r="N44" s="662"/>
      <c r="O44" s="662"/>
      <c r="P44" s="662"/>
      <c r="Q44" s="667"/>
      <c r="R44" s="662"/>
      <c r="S44" s="662"/>
      <c r="T44" s="662"/>
      <c r="U44" s="668"/>
    </row>
    <row r="45" spans="1:51" ht="24.9" customHeight="1" outlineLevel="1">
      <c r="B45" s="671" t="s">
        <v>75</v>
      </c>
      <c r="C45" s="672"/>
      <c r="D45" s="404">
        <v>0.5</v>
      </c>
      <c r="E45" s="253"/>
      <c r="F45" s="405">
        <v>7</v>
      </c>
      <c r="H45" s="215" t="str">
        <f>VLOOKUP(F45,$AF$18:$AI$36,3,TRUE)</f>
        <v>Risco Médio</v>
      </c>
      <c r="I45" s="679"/>
      <c r="J45" s="680"/>
      <c r="K45" s="680"/>
      <c r="L45" s="681"/>
      <c r="M45" s="661"/>
      <c r="N45" s="662"/>
      <c r="O45" s="662"/>
      <c r="P45" s="662"/>
      <c r="Q45" s="667"/>
      <c r="R45" s="662"/>
      <c r="S45" s="662"/>
      <c r="T45" s="662"/>
      <c r="U45" s="668"/>
    </row>
    <row r="46" spans="1:51" s="215" customFormat="1" ht="9.9" customHeight="1" outlineLevel="1">
      <c r="A46" s="214"/>
      <c r="B46" s="406"/>
      <c r="C46" s="407"/>
      <c r="D46" s="404"/>
      <c r="E46" s="253"/>
      <c r="F46" s="449"/>
      <c r="G46" s="214"/>
      <c r="I46" s="265"/>
      <c r="J46" s="266"/>
      <c r="K46" s="266"/>
      <c r="L46" s="267"/>
      <c r="M46" s="661"/>
      <c r="N46" s="662"/>
      <c r="O46" s="662"/>
      <c r="P46" s="662"/>
      <c r="Q46" s="667"/>
      <c r="R46" s="662"/>
      <c r="S46" s="662"/>
      <c r="T46" s="662"/>
      <c r="U46" s="668"/>
      <c r="V46" s="214"/>
      <c r="W46" s="214"/>
      <c r="X46" s="214"/>
      <c r="Y46" s="214"/>
      <c r="Z46" s="214"/>
      <c r="AA46" s="214"/>
      <c r="AB46" s="214"/>
      <c r="AC46" s="214"/>
      <c r="AD46" s="214"/>
      <c r="AE46" s="214"/>
      <c r="AG46" s="214"/>
      <c r="AH46" s="214"/>
      <c r="AI46" s="214"/>
      <c r="AJ46" s="214"/>
      <c r="AK46" s="214"/>
      <c r="AL46" s="216"/>
      <c r="AM46" s="216"/>
      <c r="AN46" s="216"/>
      <c r="AO46" s="216"/>
      <c r="AP46" s="216"/>
      <c r="AQ46" s="214"/>
      <c r="AR46" s="216"/>
      <c r="AS46" s="216"/>
      <c r="AT46" s="214"/>
      <c r="AU46" s="216"/>
      <c r="AV46" s="216"/>
      <c r="AW46" s="214"/>
      <c r="AX46" s="216"/>
      <c r="AY46" s="214"/>
    </row>
    <row r="47" spans="1:51" s="215" customFormat="1" ht="24.9" customHeight="1" outlineLevel="1">
      <c r="A47" s="214"/>
      <c r="B47" s="682" t="s">
        <v>76</v>
      </c>
      <c r="C47" s="683"/>
      <c r="D47" s="404">
        <v>0.5</v>
      </c>
      <c r="E47" s="253"/>
      <c r="F47" s="405">
        <v>8</v>
      </c>
      <c r="G47" s="214"/>
      <c r="H47" s="215" t="str">
        <f>VLOOKUP(F47,$AF$18:$AI$36,3,TRUE)</f>
        <v>Risco Médio</v>
      </c>
      <c r="I47" s="684"/>
      <c r="J47" s="685"/>
      <c r="K47" s="685"/>
      <c r="L47" s="686"/>
      <c r="M47" s="661"/>
      <c r="N47" s="662"/>
      <c r="O47" s="662"/>
      <c r="P47" s="662"/>
      <c r="Q47" s="667"/>
      <c r="R47" s="662"/>
      <c r="S47" s="662"/>
      <c r="T47" s="662"/>
      <c r="U47" s="668"/>
      <c r="V47" s="268"/>
      <c r="W47" s="268"/>
      <c r="X47" s="268"/>
      <c r="Y47" s="268"/>
      <c r="Z47" s="268"/>
      <c r="AA47" s="268"/>
      <c r="AB47" s="268"/>
      <c r="AC47" s="268"/>
      <c r="AD47" s="268"/>
      <c r="AE47" s="268"/>
      <c r="AG47" s="214"/>
      <c r="AH47" s="214"/>
      <c r="AI47" s="214"/>
      <c r="AJ47" s="214"/>
      <c r="AK47" s="214"/>
      <c r="AL47" s="216"/>
      <c r="AM47" s="216"/>
      <c r="AN47" s="216"/>
      <c r="AO47" s="216"/>
      <c r="AP47" s="216"/>
      <c r="AQ47" s="214"/>
      <c r="AR47" s="216"/>
      <c r="AS47" s="216"/>
      <c r="AT47" s="214"/>
      <c r="AU47" s="216"/>
      <c r="AV47" s="216"/>
      <c r="AW47" s="214"/>
      <c r="AX47" s="216"/>
      <c r="AY47" s="214"/>
    </row>
    <row r="48" spans="1:51" s="215" customFormat="1" ht="10.95" customHeight="1" outlineLevel="1">
      <c r="A48" s="214"/>
      <c r="B48" s="406"/>
      <c r="C48" s="407"/>
      <c r="D48" s="404"/>
      <c r="E48" s="253"/>
      <c r="F48" s="449"/>
      <c r="G48" s="214"/>
      <c r="I48" s="265"/>
      <c r="J48" s="266"/>
      <c r="K48" s="266"/>
      <c r="L48" s="267"/>
      <c r="M48" s="661"/>
      <c r="N48" s="662"/>
      <c r="O48" s="662"/>
      <c r="P48" s="662"/>
      <c r="Q48" s="667"/>
      <c r="R48" s="662"/>
      <c r="S48" s="662"/>
      <c r="T48" s="662"/>
      <c r="U48" s="668"/>
      <c r="V48" s="268"/>
      <c r="W48" s="268"/>
      <c r="X48" s="268"/>
      <c r="Y48" s="268"/>
      <c r="Z48" s="268"/>
      <c r="AA48" s="268"/>
      <c r="AB48" s="268"/>
      <c r="AC48" s="268"/>
      <c r="AD48" s="268"/>
      <c r="AE48" s="268"/>
      <c r="AG48" s="214"/>
      <c r="AH48" s="214"/>
      <c r="AI48" s="214"/>
      <c r="AJ48" s="214"/>
      <c r="AK48" s="214"/>
      <c r="AL48" s="216"/>
      <c r="AM48" s="216"/>
      <c r="AN48" s="216"/>
      <c r="AO48" s="216"/>
      <c r="AP48" s="216"/>
      <c r="AQ48" s="214"/>
      <c r="AR48" s="216"/>
      <c r="AS48" s="216"/>
      <c r="AT48" s="214"/>
      <c r="AU48" s="216"/>
      <c r="AV48" s="216"/>
      <c r="AW48" s="214"/>
      <c r="AX48" s="216"/>
      <c r="AY48" s="214"/>
    </row>
    <row r="49" spans="1:51" s="215" customFormat="1" ht="24.9" customHeight="1" outlineLevel="1">
      <c r="A49" s="214"/>
      <c r="B49" s="671" t="s">
        <v>77</v>
      </c>
      <c r="C49" s="672"/>
      <c r="D49" s="404">
        <v>0.5</v>
      </c>
      <c r="E49" s="253"/>
      <c r="F49" s="405">
        <v>8</v>
      </c>
      <c r="G49" s="214"/>
      <c r="H49" s="215" t="str">
        <f>VLOOKUP(F49,$AF$18:$AI$36,3,TRUE)</f>
        <v>Risco Médio</v>
      </c>
      <c r="I49" s="684"/>
      <c r="J49" s="685"/>
      <c r="K49" s="685"/>
      <c r="L49" s="686"/>
      <c r="M49" s="661"/>
      <c r="N49" s="662"/>
      <c r="O49" s="662"/>
      <c r="P49" s="662"/>
      <c r="Q49" s="667"/>
      <c r="R49" s="662"/>
      <c r="S49" s="662"/>
      <c r="T49" s="662"/>
      <c r="U49" s="668"/>
      <c r="V49" s="268"/>
      <c r="W49" s="268"/>
      <c r="X49" s="268"/>
      <c r="Y49" s="268"/>
      <c r="Z49" s="268"/>
      <c r="AA49" s="268"/>
      <c r="AB49" s="268"/>
      <c r="AC49" s="268"/>
      <c r="AD49" s="268"/>
      <c r="AE49" s="268"/>
      <c r="AG49" s="214"/>
      <c r="AH49" s="214"/>
      <c r="AI49" s="214"/>
      <c r="AJ49" s="214"/>
      <c r="AK49" s="214"/>
      <c r="AL49" s="216"/>
      <c r="AM49" s="216"/>
      <c r="AN49" s="216"/>
      <c r="AO49" s="216"/>
      <c r="AP49" s="216"/>
      <c r="AQ49" s="214"/>
      <c r="AR49" s="216"/>
      <c r="AS49" s="216"/>
      <c r="AT49" s="214"/>
      <c r="AU49" s="216"/>
      <c r="AV49" s="216"/>
      <c r="AW49" s="214"/>
      <c r="AX49" s="216"/>
      <c r="AY49" s="214"/>
    </row>
    <row r="50" spans="1:51" s="215" customFormat="1" ht="9.9" customHeight="1" outlineLevel="1">
      <c r="A50" s="214"/>
      <c r="B50" s="406"/>
      <c r="C50" s="407"/>
      <c r="D50" s="404"/>
      <c r="E50" s="253"/>
      <c r="F50" s="449"/>
      <c r="G50" s="214"/>
      <c r="I50" s="265"/>
      <c r="J50" s="266"/>
      <c r="K50" s="266"/>
      <c r="L50" s="267"/>
      <c r="M50" s="661"/>
      <c r="N50" s="662"/>
      <c r="O50" s="662"/>
      <c r="P50" s="662"/>
      <c r="Q50" s="667"/>
      <c r="R50" s="662"/>
      <c r="S50" s="662"/>
      <c r="T50" s="662"/>
      <c r="U50" s="668"/>
      <c r="V50" s="214"/>
      <c r="W50" s="214"/>
      <c r="X50" s="214"/>
      <c r="Y50" s="214"/>
      <c r="Z50" s="214"/>
      <c r="AA50" s="214"/>
      <c r="AB50" s="214"/>
      <c r="AC50" s="214"/>
      <c r="AD50" s="214"/>
      <c r="AE50" s="214"/>
      <c r="AG50" s="214"/>
      <c r="AH50" s="214"/>
      <c r="AI50" s="214"/>
      <c r="AJ50" s="214"/>
      <c r="AK50" s="214"/>
      <c r="AL50" s="216"/>
      <c r="AM50" s="216"/>
      <c r="AN50" s="216"/>
      <c r="AO50" s="216"/>
      <c r="AP50" s="216"/>
      <c r="AQ50" s="214"/>
      <c r="AR50" s="216"/>
      <c r="AS50" s="216"/>
      <c r="AT50" s="214"/>
      <c r="AU50" s="216"/>
      <c r="AV50" s="216"/>
      <c r="AW50" s="214"/>
      <c r="AX50" s="216"/>
      <c r="AY50" s="214"/>
    </row>
    <row r="51" spans="1:51" s="215" customFormat="1" ht="24.9" customHeight="1" outlineLevel="1">
      <c r="A51" s="214"/>
      <c r="B51" s="671" t="s">
        <v>78</v>
      </c>
      <c r="C51" s="672"/>
      <c r="D51" s="404">
        <v>0.5</v>
      </c>
      <c r="E51" s="253"/>
      <c r="F51" s="405">
        <v>8.6</v>
      </c>
      <c r="G51" s="214"/>
      <c r="H51" s="215" t="str">
        <f>VLOOKUP(F51,$AF$18:$AI$36,3,TRUE)</f>
        <v>Risco Baixo</v>
      </c>
      <c r="I51" s="684"/>
      <c r="J51" s="685"/>
      <c r="K51" s="685"/>
      <c r="L51" s="686"/>
      <c r="M51" s="661"/>
      <c r="N51" s="662"/>
      <c r="O51" s="662"/>
      <c r="P51" s="662"/>
      <c r="Q51" s="667"/>
      <c r="R51" s="662"/>
      <c r="S51" s="662"/>
      <c r="T51" s="662"/>
      <c r="U51" s="668"/>
      <c r="V51" s="268"/>
      <c r="W51" s="268"/>
      <c r="X51" s="268"/>
      <c r="Y51" s="268"/>
      <c r="Z51" s="268"/>
      <c r="AA51" s="268"/>
      <c r="AB51" s="268"/>
      <c r="AC51" s="268"/>
      <c r="AD51" s="268"/>
      <c r="AE51" s="268"/>
      <c r="AG51" s="214"/>
      <c r="AH51" s="214"/>
      <c r="AI51" s="214"/>
      <c r="AJ51" s="214"/>
      <c r="AK51" s="214"/>
      <c r="AL51" s="216"/>
      <c r="AM51" s="216"/>
      <c r="AN51" s="216"/>
      <c r="AO51" s="216"/>
      <c r="AP51" s="216"/>
      <c r="AQ51" s="214"/>
      <c r="AR51" s="216"/>
      <c r="AS51" s="216"/>
      <c r="AT51" s="214"/>
      <c r="AU51" s="216"/>
      <c r="AV51" s="216"/>
      <c r="AW51" s="214"/>
      <c r="AX51" s="216"/>
      <c r="AY51" s="214"/>
    </row>
    <row r="52" spans="1:51" s="215" customFormat="1" ht="9.9" customHeight="1" outlineLevel="1">
      <c r="A52" s="214"/>
      <c r="B52" s="406"/>
      <c r="C52" s="407"/>
      <c r="D52" s="404"/>
      <c r="E52" s="253"/>
      <c r="F52" s="449"/>
      <c r="G52" s="214"/>
      <c r="I52" s="265"/>
      <c r="J52" s="266"/>
      <c r="K52" s="266"/>
      <c r="L52" s="267"/>
      <c r="M52" s="661"/>
      <c r="N52" s="662"/>
      <c r="O52" s="662"/>
      <c r="P52" s="662"/>
      <c r="Q52" s="667"/>
      <c r="R52" s="662"/>
      <c r="S52" s="662"/>
      <c r="T52" s="662"/>
      <c r="U52" s="668"/>
      <c r="V52" s="214"/>
      <c r="W52" s="214"/>
      <c r="X52" s="214"/>
      <c r="Y52" s="214"/>
      <c r="Z52" s="214"/>
      <c r="AA52" s="214"/>
      <c r="AB52" s="214"/>
      <c r="AC52" s="214"/>
      <c r="AD52" s="214"/>
      <c r="AE52" s="214"/>
      <c r="AG52" s="214"/>
      <c r="AH52" s="214"/>
      <c r="AI52" s="214"/>
      <c r="AJ52" s="214"/>
      <c r="AK52" s="214"/>
      <c r="AL52" s="216"/>
      <c r="AM52" s="216"/>
      <c r="AN52" s="216"/>
      <c r="AO52" s="216"/>
      <c r="AP52" s="216"/>
      <c r="AQ52" s="214"/>
      <c r="AR52" s="216"/>
      <c r="AS52" s="216"/>
      <c r="AT52" s="214"/>
      <c r="AU52" s="216"/>
      <c r="AV52" s="216"/>
      <c r="AW52" s="214"/>
      <c r="AX52" s="216"/>
      <c r="AY52" s="214"/>
    </row>
    <row r="53" spans="1:51" s="215" customFormat="1" ht="24.9" customHeight="1" outlineLevel="1">
      <c r="A53" s="214"/>
      <c r="B53" s="671" t="s">
        <v>79</v>
      </c>
      <c r="C53" s="672"/>
      <c r="D53" s="404">
        <v>0.2</v>
      </c>
      <c r="E53" s="253"/>
      <c r="F53" s="405">
        <v>8.6</v>
      </c>
      <c r="G53" s="214"/>
      <c r="H53" s="215" t="str">
        <f>VLOOKUP(F53,$AF$18:$AI$36,3,TRUE)</f>
        <v>Risco Baixo</v>
      </c>
      <c r="I53" s="684"/>
      <c r="J53" s="685"/>
      <c r="K53" s="685"/>
      <c r="L53" s="686"/>
      <c r="M53" s="661"/>
      <c r="N53" s="662"/>
      <c r="O53" s="662"/>
      <c r="P53" s="662"/>
      <c r="Q53" s="667"/>
      <c r="R53" s="662"/>
      <c r="S53" s="662"/>
      <c r="T53" s="662"/>
      <c r="U53" s="668"/>
      <c r="V53" s="268"/>
      <c r="W53" s="268"/>
      <c r="X53" s="268"/>
      <c r="Y53" s="268"/>
      <c r="Z53" s="268"/>
      <c r="AA53" s="268"/>
      <c r="AB53" s="268"/>
      <c r="AC53" s="268"/>
      <c r="AD53" s="268"/>
      <c r="AE53" s="268"/>
      <c r="AG53" s="214"/>
      <c r="AH53" s="214"/>
      <c r="AI53" s="214"/>
      <c r="AJ53" s="214"/>
      <c r="AK53" s="214"/>
      <c r="AL53" s="216"/>
      <c r="AM53" s="216"/>
      <c r="AN53" s="216"/>
      <c r="AO53" s="216"/>
      <c r="AP53" s="216"/>
      <c r="AQ53" s="214"/>
      <c r="AR53" s="216"/>
      <c r="AS53" s="216"/>
      <c r="AT53" s="214"/>
      <c r="AU53" s="216"/>
      <c r="AV53" s="216"/>
      <c r="AW53" s="214"/>
      <c r="AX53" s="216"/>
      <c r="AY53" s="214"/>
    </row>
    <row r="54" spans="1:51" s="215" customFormat="1" ht="10.95" customHeight="1" outlineLevel="1">
      <c r="A54" s="214"/>
      <c r="B54" s="406"/>
      <c r="C54" s="407"/>
      <c r="D54" s="404"/>
      <c r="E54" s="253"/>
      <c r="F54" s="269"/>
      <c r="G54" s="214"/>
      <c r="I54" s="265"/>
      <c r="J54" s="266"/>
      <c r="K54" s="266"/>
      <c r="L54" s="267"/>
      <c r="M54" s="661"/>
      <c r="N54" s="662"/>
      <c r="O54" s="662"/>
      <c r="P54" s="662"/>
      <c r="Q54" s="667"/>
      <c r="R54" s="662"/>
      <c r="S54" s="662"/>
      <c r="T54" s="662"/>
      <c r="U54" s="668"/>
      <c r="V54" s="268"/>
      <c r="W54" s="268"/>
      <c r="X54" s="268"/>
      <c r="Y54" s="268"/>
      <c r="Z54" s="268"/>
      <c r="AA54" s="268"/>
      <c r="AB54" s="268"/>
      <c r="AC54" s="268"/>
      <c r="AD54" s="268"/>
      <c r="AE54" s="268"/>
      <c r="AG54" s="214"/>
      <c r="AH54" s="214"/>
      <c r="AI54" s="214"/>
      <c r="AJ54" s="214"/>
      <c r="AK54" s="214"/>
      <c r="AL54" s="216"/>
      <c r="AM54" s="216"/>
      <c r="AN54" s="216"/>
      <c r="AO54" s="216"/>
      <c r="AP54" s="216"/>
      <c r="AQ54" s="214"/>
      <c r="AR54" s="216"/>
      <c r="AS54" s="216"/>
      <c r="AT54" s="214"/>
      <c r="AU54" s="216"/>
      <c r="AV54" s="216"/>
      <c r="AW54" s="214"/>
      <c r="AX54" s="216"/>
      <c r="AY54" s="214"/>
    </row>
    <row r="55" spans="1:51" s="215" customFormat="1" ht="19.2" customHeight="1" outlineLevel="1">
      <c r="A55" s="214"/>
      <c r="B55" s="411"/>
      <c r="C55" s="412"/>
      <c r="D55" s="404"/>
      <c r="E55" s="253"/>
      <c r="F55" s="270"/>
      <c r="I55" s="684"/>
      <c r="J55" s="685"/>
      <c r="K55" s="685"/>
      <c r="L55" s="686"/>
      <c r="M55" s="663"/>
      <c r="N55" s="664"/>
      <c r="O55" s="664"/>
      <c r="P55" s="664"/>
      <c r="Q55" s="669"/>
      <c r="R55" s="664"/>
      <c r="S55" s="664"/>
      <c r="T55" s="664"/>
      <c r="U55" s="670"/>
      <c r="V55" s="268"/>
      <c r="W55" s="268"/>
      <c r="X55" s="268"/>
      <c r="Y55" s="268"/>
      <c r="Z55" s="268"/>
      <c r="AA55" s="268"/>
      <c r="AB55" s="268"/>
      <c r="AC55" s="268"/>
      <c r="AD55" s="268"/>
      <c r="AE55" s="268"/>
      <c r="AG55" s="214"/>
      <c r="AH55" s="214"/>
      <c r="AI55" s="214"/>
      <c r="AJ55" s="214"/>
      <c r="AK55" s="214"/>
      <c r="AL55" s="216"/>
      <c r="AM55" s="216"/>
      <c r="AN55" s="216"/>
      <c r="AO55" s="216"/>
      <c r="AP55" s="216"/>
      <c r="AQ55" s="214"/>
      <c r="AR55" s="216"/>
      <c r="AS55" s="216"/>
      <c r="AT55" s="214"/>
      <c r="AU55" s="216"/>
      <c r="AV55" s="216"/>
      <c r="AW55" s="214"/>
      <c r="AX55" s="216"/>
      <c r="AY55" s="214"/>
    </row>
    <row r="56" spans="1:51" s="215" customFormat="1" ht="20.100000000000001" customHeight="1" outlineLevel="1">
      <c r="A56" s="214"/>
      <c r="B56" s="413"/>
      <c r="C56" s="271"/>
      <c r="D56" s="272">
        <f>SUM(D27:D55)</f>
        <v>10</v>
      </c>
      <c r="E56" s="273"/>
      <c r="F56" s="269"/>
      <c r="G56" s="225"/>
      <c r="H56" s="274"/>
      <c r="I56" s="275"/>
      <c r="J56" s="275"/>
      <c r="K56" s="275"/>
      <c r="L56" s="275"/>
      <c r="M56" s="276"/>
      <c r="N56" s="276"/>
      <c r="O56" s="276"/>
      <c r="P56" s="276"/>
      <c r="Q56" s="276"/>
      <c r="R56" s="276"/>
      <c r="S56" s="276"/>
      <c r="T56" s="276"/>
      <c r="U56" s="414"/>
      <c r="V56" s="268"/>
      <c r="W56" s="268"/>
      <c r="X56" s="268"/>
      <c r="Y56" s="268"/>
      <c r="Z56" s="268"/>
      <c r="AA56" s="268"/>
      <c r="AB56" s="268"/>
      <c r="AC56" s="268"/>
      <c r="AD56" s="268"/>
      <c r="AE56" s="268"/>
      <c r="AG56" s="214"/>
      <c r="AH56" s="214"/>
      <c r="AI56" s="214"/>
      <c r="AJ56" s="214"/>
      <c r="AK56" s="214"/>
      <c r="AL56" s="216"/>
      <c r="AM56" s="216"/>
      <c r="AN56" s="216"/>
      <c r="AO56" s="216"/>
      <c r="AP56" s="216"/>
      <c r="AQ56" s="214"/>
      <c r="AR56" s="216"/>
      <c r="AS56" s="216"/>
      <c r="AT56" s="214"/>
      <c r="AU56" s="216"/>
      <c r="AV56" s="216"/>
      <c r="AW56" s="214"/>
      <c r="AX56" s="216"/>
      <c r="AY56" s="214"/>
    </row>
    <row r="57" spans="1:51" s="215" customFormat="1" ht="20.100000000000001" customHeight="1" outlineLevel="1">
      <c r="A57" s="214"/>
      <c r="B57" s="688" t="s">
        <v>80</v>
      </c>
      <c r="C57" s="689"/>
      <c r="D57" s="689"/>
      <c r="E57" s="689"/>
      <c r="F57" s="689"/>
      <c r="G57" s="689"/>
      <c r="H57" s="689"/>
      <c r="I57" s="689"/>
      <c r="J57" s="689"/>
      <c r="K57" s="689"/>
      <c r="L57" s="689"/>
      <c r="M57" s="689"/>
      <c r="N57" s="689"/>
      <c r="O57" s="689"/>
      <c r="P57" s="214"/>
      <c r="Q57" s="214"/>
      <c r="R57" s="214"/>
      <c r="S57" s="277"/>
      <c r="T57" s="277"/>
      <c r="U57" s="415"/>
      <c r="V57" s="214"/>
      <c r="W57" s="214"/>
      <c r="X57" s="214"/>
      <c r="Y57" s="214"/>
      <c r="Z57" s="214"/>
      <c r="AA57" s="214"/>
      <c r="AB57" s="214"/>
      <c r="AC57" s="214"/>
      <c r="AD57" s="214"/>
      <c r="AE57" s="214"/>
      <c r="AG57" s="214"/>
      <c r="AH57" s="214"/>
      <c r="AI57" s="214"/>
      <c r="AJ57" s="214"/>
      <c r="AK57" s="214"/>
      <c r="AL57" s="216"/>
      <c r="AM57" s="216"/>
      <c r="AN57" s="216"/>
      <c r="AO57" s="216"/>
      <c r="AP57" s="216"/>
      <c r="AQ57" s="214"/>
      <c r="AR57" s="216"/>
      <c r="AS57" s="216"/>
      <c r="AT57" s="214"/>
      <c r="AU57" s="216"/>
      <c r="AV57" s="216"/>
      <c r="AW57" s="214"/>
      <c r="AX57" s="216"/>
      <c r="AY57" s="214"/>
    </row>
    <row r="58" spans="1:51" s="215" customFormat="1" ht="20.100000000000001" customHeight="1" outlineLevel="1">
      <c r="A58" s="214"/>
      <c r="B58" s="688" t="s">
        <v>81</v>
      </c>
      <c r="C58" s="689"/>
      <c r="D58" s="689"/>
      <c r="E58" s="689"/>
      <c r="F58" s="689"/>
      <c r="G58" s="689"/>
      <c r="H58" s="689"/>
      <c r="I58" s="689"/>
      <c r="J58" s="689"/>
      <c r="K58" s="689"/>
      <c r="L58" s="689"/>
      <c r="M58" s="689"/>
      <c r="N58" s="689"/>
      <c r="O58" s="689"/>
      <c r="P58" s="268"/>
      <c r="T58" s="268"/>
      <c r="U58" s="416"/>
      <c r="V58" s="268"/>
      <c r="W58" s="268"/>
      <c r="X58" s="268"/>
      <c r="Y58" s="268"/>
      <c r="Z58" s="268"/>
      <c r="AA58" s="268"/>
      <c r="AB58" s="268"/>
      <c r="AC58" s="268"/>
      <c r="AD58" s="268"/>
      <c r="AE58" s="268"/>
      <c r="AG58" s="214"/>
      <c r="AH58" s="214"/>
      <c r="AI58" s="214"/>
      <c r="AJ58" s="214"/>
      <c r="AK58" s="214"/>
      <c r="AL58" s="216"/>
      <c r="AM58" s="216"/>
      <c r="AN58" s="216"/>
      <c r="AO58" s="216"/>
      <c r="AP58" s="216"/>
      <c r="AQ58" s="214"/>
      <c r="AR58" s="216"/>
      <c r="AS58" s="216"/>
      <c r="AT58" s="214"/>
      <c r="AU58" s="216"/>
      <c r="AV58" s="216"/>
      <c r="AW58" s="214"/>
      <c r="AX58" s="216"/>
      <c r="AY58" s="214"/>
    </row>
    <row r="59" spans="1:51" s="215" customFormat="1" ht="20.100000000000001" customHeight="1" outlineLevel="1">
      <c r="A59" s="214"/>
      <c r="B59" s="688" t="s">
        <v>82</v>
      </c>
      <c r="C59" s="689"/>
      <c r="D59" s="689"/>
      <c r="E59" s="689"/>
      <c r="F59" s="689"/>
      <c r="G59" s="689"/>
      <c r="H59" s="689"/>
      <c r="I59" s="689"/>
      <c r="J59" s="689"/>
      <c r="K59" s="689"/>
      <c r="L59" s="689"/>
      <c r="M59" s="689"/>
      <c r="N59" s="689"/>
      <c r="O59" s="689"/>
      <c r="P59" s="268"/>
      <c r="Q59" s="692" t="s">
        <v>83</v>
      </c>
      <c r="R59" s="692"/>
      <c r="S59" s="278"/>
      <c r="T59" s="268"/>
      <c r="U59" s="416"/>
      <c r="V59" s="268"/>
      <c r="W59" s="268"/>
      <c r="X59" s="268"/>
      <c r="Y59" s="268"/>
      <c r="Z59" s="268"/>
      <c r="AA59" s="268"/>
      <c r="AB59" s="268"/>
      <c r="AC59" s="268"/>
      <c r="AD59" s="268"/>
      <c r="AE59" s="268"/>
      <c r="AG59" s="214"/>
      <c r="AH59" s="214"/>
      <c r="AI59" s="214"/>
      <c r="AJ59" s="214"/>
      <c r="AK59" s="214"/>
      <c r="AL59" s="216"/>
      <c r="AM59" s="216"/>
      <c r="AN59" s="216"/>
      <c r="AO59" s="216"/>
      <c r="AP59" s="216"/>
      <c r="AQ59" s="214"/>
      <c r="AR59" s="216"/>
      <c r="AS59" s="216"/>
      <c r="AT59" s="214"/>
      <c r="AU59" s="216"/>
      <c r="AV59" s="216"/>
      <c r="AW59" s="214"/>
      <c r="AX59" s="216"/>
      <c r="AY59" s="214"/>
    </row>
    <row r="60" spans="1:51" s="215" customFormat="1" ht="20.100000000000001" customHeight="1" outlineLevel="1">
      <c r="A60" s="214"/>
      <c r="B60" s="417"/>
      <c r="C60" s="279"/>
      <c r="D60" s="279"/>
      <c r="E60" s="279"/>
      <c r="F60" s="279"/>
      <c r="G60" s="279"/>
      <c r="H60" s="279"/>
      <c r="I60" s="280"/>
      <c r="J60" s="280"/>
      <c r="K60" s="281"/>
      <c r="L60" s="281"/>
      <c r="M60" s="214"/>
      <c r="N60" s="268"/>
      <c r="O60" s="268"/>
      <c r="P60" s="268"/>
      <c r="Q60" s="693" t="s">
        <v>84</v>
      </c>
      <c r="R60" s="693"/>
      <c r="S60" s="282"/>
      <c r="T60" s="268"/>
      <c r="U60" s="416"/>
      <c r="V60" s="268"/>
      <c r="W60" s="268"/>
      <c r="X60" s="268"/>
      <c r="Y60" s="268"/>
      <c r="Z60" s="268"/>
      <c r="AA60" s="268"/>
      <c r="AB60" s="268"/>
      <c r="AC60" s="268"/>
      <c r="AD60" s="268"/>
      <c r="AE60" s="268"/>
      <c r="AG60" s="214"/>
      <c r="AH60" s="214"/>
      <c r="AI60" s="214"/>
      <c r="AJ60" s="214"/>
      <c r="AK60" s="214"/>
      <c r="AL60" s="216"/>
      <c r="AM60" s="216"/>
      <c r="AN60" s="216"/>
      <c r="AO60" s="216"/>
      <c r="AP60" s="216"/>
      <c r="AQ60" s="214"/>
      <c r="AR60" s="216"/>
      <c r="AS60" s="216"/>
      <c r="AT60" s="214"/>
      <c r="AU60" s="216"/>
      <c r="AV60" s="216"/>
      <c r="AW60" s="214"/>
      <c r="AX60" s="216"/>
      <c r="AY60" s="214"/>
    </row>
    <row r="61" spans="1:51" s="215" customFormat="1" ht="30" customHeight="1" outlineLevel="1">
      <c r="A61" s="214"/>
      <c r="B61" s="234"/>
      <c r="C61" s="214"/>
      <c r="D61" s="214"/>
      <c r="E61" s="214"/>
      <c r="F61" s="214"/>
      <c r="G61" s="214"/>
      <c r="H61" s="214"/>
      <c r="I61" s="214"/>
      <c r="J61" s="214"/>
      <c r="K61" s="214"/>
      <c r="L61" s="214"/>
      <c r="M61" s="214"/>
      <c r="N61" s="268"/>
      <c r="O61" s="268"/>
      <c r="P61" s="268"/>
      <c r="Q61" s="694"/>
      <c r="R61" s="694"/>
      <c r="S61" s="282"/>
      <c r="T61" s="268"/>
      <c r="U61" s="416"/>
      <c r="V61" s="268"/>
      <c r="W61" s="268"/>
      <c r="X61" s="268"/>
      <c r="Y61" s="268"/>
      <c r="Z61" s="268"/>
      <c r="AA61" s="268"/>
      <c r="AB61" s="268"/>
      <c r="AC61" s="268"/>
      <c r="AD61" s="268"/>
      <c r="AE61" s="268"/>
      <c r="AG61" s="214"/>
      <c r="AH61" s="214"/>
      <c r="AI61" s="214"/>
      <c r="AJ61" s="214"/>
      <c r="AK61" s="214"/>
      <c r="AL61" s="216"/>
      <c r="AM61" s="216"/>
      <c r="AN61" s="216"/>
      <c r="AO61" s="216"/>
      <c r="AP61" s="216"/>
      <c r="AQ61" s="214"/>
      <c r="AR61" s="216"/>
      <c r="AS61" s="216"/>
      <c r="AT61" s="214"/>
      <c r="AU61" s="216"/>
      <c r="AV61" s="216"/>
      <c r="AW61" s="214"/>
      <c r="AX61" s="216"/>
      <c r="AY61" s="214"/>
    </row>
    <row r="62" spans="1:51" s="215" customFormat="1" ht="20.100000000000001" customHeight="1" outlineLevel="1">
      <c r="A62" s="214"/>
      <c r="B62" s="234"/>
      <c r="C62" s="214"/>
      <c r="D62" s="687" t="s">
        <v>85</v>
      </c>
      <c r="E62" s="687"/>
      <c r="F62" s="687"/>
      <c r="G62" s="687"/>
      <c r="H62" s="687"/>
      <c r="I62" s="283"/>
      <c r="J62" s="687" t="s">
        <v>86</v>
      </c>
      <c r="K62" s="687"/>
      <c r="L62" s="687"/>
      <c r="M62" s="687"/>
      <c r="N62" s="687"/>
      <c r="O62" s="268"/>
      <c r="P62" s="268"/>
      <c r="Q62" s="636" t="s">
        <v>87</v>
      </c>
      <c r="R62" s="636"/>
      <c r="S62" s="278"/>
      <c r="T62" s="268"/>
      <c r="U62" s="416"/>
      <c r="V62" s="268"/>
      <c r="W62" s="268"/>
      <c r="X62" s="268"/>
      <c r="Y62" s="268"/>
      <c r="Z62" s="268"/>
      <c r="AA62" s="268"/>
      <c r="AB62" s="268"/>
      <c r="AC62" s="268"/>
      <c r="AD62" s="268"/>
      <c r="AE62" s="268"/>
      <c r="AG62" s="214"/>
      <c r="AH62" s="214"/>
      <c r="AI62" s="214"/>
      <c r="AJ62" s="214"/>
      <c r="AK62" s="214"/>
      <c r="AL62" s="216"/>
      <c r="AM62" s="216"/>
      <c r="AN62" s="216"/>
      <c r="AO62" s="216"/>
      <c r="AP62" s="216"/>
      <c r="AQ62" s="214"/>
      <c r="AR62" s="216"/>
      <c r="AS62" s="216"/>
      <c r="AT62" s="214"/>
      <c r="AU62" s="216"/>
      <c r="AV62" s="216"/>
      <c r="AW62" s="214"/>
      <c r="AX62" s="216"/>
      <c r="AY62" s="214"/>
    </row>
    <row r="63" spans="1:51" s="215" customFormat="1" ht="20.100000000000001" customHeight="1" outlineLevel="1" thickBot="1">
      <c r="A63" s="214"/>
      <c r="B63" s="257" t="s">
        <v>88</v>
      </c>
      <c r="C63" s="409"/>
      <c r="D63" s="409"/>
      <c r="E63" s="409"/>
      <c r="F63" s="409"/>
      <c r="G63" s="409"/>
      <c r="H63" s="409"/>
      <c r="I63" s="409"/>
      <c r="J63" s="409"/>
      <c r="K63" s="409"/>
      <c r="L63" s="409"/>
      <c r="M63" s="409"/>
      <c r="N63" s="418"/>
      <c r="O63" s="418"/>
      <c r="P63" s="418"/>
      <c r="Q63" s="690" t="s">
        <v>89</v>
      </c>
      <c r="R63" s="690"/>
      <c r="S63" s="418"/>
      <c r="T63" s="418"/>
      <c r="U63" s="419"/>
      <c r="V63" s="268"/>
      <c r="W63" s="268"/>
      <c r="X63" s="268"/>
      <c r="Y63" s="268"/>
      <c r="Z63" s="268"/>
      <c r="AA63" s="268"/>
      <c r="AB63" s="268"/>
      <c r="AC63" s="268"/>
      <c r="AD63" s="268"/>
      <c r="AE63" s="268"/>
      <c r="AG63" s="214"/>
      <c r="AH63" s="214"/>
      <c r="AI63" s="214"/>
      <c r="AJ63" s="214"/>
      <c r="AK63" s="214"/>
      <c r="AL63" s="216"/>
      <c r="AM63" s="216"/>
      <c r="AN63" s="216"/>
      <c r="AO63" s="216"/>
      <c r="AP63" s="216"/>
      <c r="AQ63" s="214"/>
      <c r="AR63" s="216"/>
      <c r="AS63" s="216"/>
      <c r="AT63" s="214"/>
      <c r="AU63" s="216"/>
      <c r="AV63" s="216"/>
      <c r="AW63" s="214"/>
      <c r="AX63" s="216"/>
      <c r="AY63" s="214"/>
    </row>
    <row r="64" spans="1:51">
      <c r="B64" s="214" t="s">
        <v>90</v>
      </c>
      <c r="R64" s="214" t="s">
        <v>91</v>
      </c>
      <c r="S64" s="214">
        <v>14</v>
      </c>
      <c r="T64" s="214">
        <v>11</v>
      </c>
      <c r="U64" s="214">
        <v>23</v>
      </c>
    </row>
    <row r="65" spans="18:21">
      <c r="R65" s="691" t="s">
        <v>92</v>
      </c>
      <c r="S65" s="691"/>
      <c r="T65" s="691"/>
      <c r="U65" s="691"/>
    </row>
  </sheetData>
  <mergeCells count="90">
    <mergeCell ref="Q63:R63"/>
    <mergeCell ref="R65:U65"/>
    <mergeCell ref="Q59:R59"/>
    <mergeCell ref="Q60:R60"/>
    <mergeCell ref="Q61:R61"/>
    <mergeCell ref="D62:H62"/>
    <mergeCell ref="J62:N62"/>
    <mergeCell ref="Q62:R62"/>
    <mergeCell ref="B53:C53"/>
    <mergeCell ref="I53:L53"/>
    <mergeCell ref="I55:L55"/>
    <mergeCell ref="B57:O57"/>
    <mergeCell ref="B58:O58"/>
    <mergeCell ref="B59:O59"/>
    <mergeCell ref="B47:C47"/>
    <mergeCell ref="I47:L47"/>
    <mergeCell ref="B49:C49"/>
    <mergeCell ref="I49:L49"/>
    <mergeCell ref="B51:C51"/>
    <mergeCell ref="I51:L51"/>
    <mergeCell ref="B27:C27"/>
    <mergeCell ref="M27:U27"/>
    <mergeCell ref="M28:P55"/>
    <mergeCell ref="Q28:U55"/>
    <mergeCell ref="B29:C29"/>
    <mergeCell ref="I29:L39"/>
    <mergeCell ref="B31:C31"/>
    <mergeCell ref="B33:C33"/>
    <mergeCell ref="B35:C35"/>
    <mergeCell ref="B37:C37"/>
    <mergeCell ref="B39:C39"/>
    <mergeCell ref="B41:C41"/>
    <mergeCell ref="I41:L41"/>
    <mergeCell ref="B43:C43"/>
    <mergeCell ref="I43:L45"/>
    <mergeCell ref="B45:C45"/>
    <mergeCell ref="C24:D24"/>
    <mergeCell ref="E24:F24"/>
    <mergeCell ref="G24:H24"/>
    <mergeCell ref="B25:L25"/>
    <mergeCell ref="B26:C26"/>
    <mergeCell ref="E26:H26"/>
    <mergeCell ref="I26:L26"/>
    <mergeCell ref="C22:D22"/>
    <mergeCell ref="E22:F22"/>
    <mergeCell ref="G22:H22"/>
    <mergeCell ref="C23:D23"/>
    <mergeCell ref="E23:F23"/>
    <mergeCell ref="G23:H23"/>
    <mergeCell ref="C20:D20"/>
    <mergeCell ref="E20:F20"/>
    <mergeCell ref="G20:H20"/>
    <mergeCell ref="C21:D21"/>
    <mergeCell ref="E21:F21"/>
    <mergeCell ref="G21:H21"/>
    <mergeCell ref="AQ18:AR18"/>
    <mergeCell ref="AT18:AU18"/>
    <mergeCell ref="AW18:AX18"/>
    <mergeCell ref="C19:D19"/>
    <mergeCell ref="E19:F19"/>
    <mergeCell ref="G19:H19"/>
    <mergeCell ref="AK18:AO18"/>
    <mergeCell ref="B16:L16"/>
    <mergeCell ref="C17:H17"/>
    <mergeCell ref="C18:D18"/>
    <mergeCell ref="E18:F18"/>
    <mergeCell ref="G18:H18"/>
    <mergeCell ref="B14:L15"/>
    <mergeCell ref="C6:L6"/>
    <mergeCell ref="R6:U6"/>
    <mergeCell ref="B7:U7"/>
    <mergeCell ref="G8:H8"/>
    <mergeCell ref="J8:L8"/>
    <mergeCell ref="T8:U8"/>
    <mergeCell ref="G11:H11"/>
    <mergeCell ref="J11:L11"/>
    <mergeCell ref="T11:U11"/>
    <mergeCell ref="B12:U12"/>
    <mergeCell ref="B13:U13"/>
    <mergeCell ref="B10:U10"/>
    <mergeCell ref="B1:B2"/>
    <mergeCell ref="C1:Q2"/>
    <mergeCell ref="R1:U1"/>
    <mergeCell ref="S2:U2"/>
    <mergeCell ref="B4:U4"/>
    <mergeCell ref="C5:L5"/>
    <mergeCell ref="M5:N5"/>
    <mergeCell ref="O5:P5"/>
    <mergeCell ref="R5:U5"/>
    <mergeCell ref="B9:U9"/>
  </mergeCells>
  <conditionalFormatting sqref="H27:H29">
    <cfRule type="containsText" dxfId="93" priority="55" operator="containsText" text="Baixo">
      <formula>NOT(ISERROR(SEARCH("Baixo",H27)))</formula>
    </cfRule>
    <cfRule type="containsText" dxfId="92" priority="56" operator="containsText" text="Médio">
      <formula>NOT(ISERROR(SEARCH("Médio",H27)))</formula>
    </cfRule>
    <cfRule type="containsText" dxfId="91" priority="57" operator="containsText" text="Alto">
      <formula>NOT(ISERROR(SEARCH("Alto",H27)))</formula>
    </cfRule>
  </conditionalFormatting>
  <conditionalFormatting sqref="H30">
    <cfRule type="containsText" dxfId="90" priority="85" operator="containsText" text="Baixo">
      <formula>NOT(ISERROR(SEARCH("Baixo",H30)))</formula>
    </cfRule>
    <cfRule type="containsText" dxfId="89" priority="86" operator="containsText" text="Médio">
      <formula>NOT(ISERROR(SEARCH("Médio",H30)))</formula>
    </cfRule>
    <cfRule type="containsText" dxfId="88" priority="87" operator="containsText" text="Alto">
      <formula>NOT(ISERROR(SEARCH("Alto",H30)))</formula>
    </cfRule>
  </conditionalFormatting>
  <conditionalFormatting sqref="H31">
    <cfRule type="containsText" dxfId="87" priority="52" operator="containsText" text="Baixo">
      <formula>NOT(ISERROR(SEARCH("Baixo",H31)))</formula>
    </cfRule>
    <cfRule type="containsText" dxfId="86" priority="53" operator="containsText" text="Médio">
      <formula>NOT(ISERROR(SEARCH("Médio",H31)))</formula>
    </cfRule>
    <cfRule type="containsText" dxfId="85" priority="54" operator="containsText" text="Alto">
      <formula>NOT(ISERROR(SEARCH("Alto",H31)))</formula>
    </cfRule>
  </conditionalFormatting>
  <conditionalFormatting sqref="H32">
    <cfRule type="containsText" dxfId="84" priority="82" operator="containsText" text="Baixo">
      <formula>NOT(ISERROR(SEARCH("Baixo",H32)))</formula>
    </cfRule>
    <cfRule type="containsText" dxfId="83" priority="83" operator="containsText" text="Médio">
      <formula>NOT(ISERROR(SEARCH("Médio",H32)))</formula>
    </cfRule>
    <cfRule type="containsText" dxfId="82" priority="84" operator="containsText" text="Alto">
      <formula>NOT(ISERROR(SEARCH("Alto",H32)))</formula>
    </cfRule>
  </conditionalFormatting>
  <conditionalFormatting sqref="H33">
    <cfRule type="containsText" dxfId="81" priority="49" operator="containsText" text="Baixo">
      <formula>NOT(ISERROR(SEARCH("Baixo",H33)))</formula>
    </cfRule>
    <cfRule type="containsText" dxfId="80" priority="50" operator="containsText" text="Médio">
      <formula>NOT(ISERROR(SEARCH("Médio",H33)))</formula>
    </cfRule>
    <cfRule type="containsText" dxfId="79" priority="51" operator="containsText" text="Alto">
      <formula>NOT(ISERROR(SEARCH("Alto",H33)))</formula>
    </cfRule>
  </conditionalFormatting>
  <conditionalFormatting sqref="H34">
    <cfRule type="containsText" dxfId="78" priority="79" operator="containsText" text="Baixo">
      <formula>NOT(ISERROR(SEARCH("Baixo",H34)))</formula>
    </cfRule>
    <cfRule type="containsText" dxfId="77" priority="80" operator="containsText" text="Médio">
      <formula>NOT(ISERROR(SEARCH("Médio",H34)))</formula>
    </cfRule>
    <cfRule type="containsText" dxfId="76" priority="81" operator="containsText" text="Alto">
      <formula>NOT(ISERROR(SEARCH("Alto",H34)))</formula>
    </cfRule>
  </conditionalFormatting>
  <conditionalFormatting sqref="H35">
    <cfRule type="containsText" dxfId="75" priority="46" operator="containsText" text="Baixo">
      <formula>NOT(ISERROR(SEARCH("Baixo",H35)))</formula>
    </cfRule>
    <cfRule type="containsText" dxfId="74" priority="47" operator="containsText" text="Médio">
      <formula>NOT(ISERROR(SEARCH("Médio",H35)))</formula>
    </cfRule>
    <cfRule type="containsText" dxfId="73" priority="48" operator="containsText" text="Alto">
      <formula>NOT(ISERROR(SEARCH("Alto",H35)))</formula>
    </cfRule>
  </conditionalFormatting>
  <conditionalFormatting sqref="H36">
    <cfRule type="containsText" dxfId="72" priority="76" operator="containsText" text="Baixo">
      <formula>NOT(ISERROR(SEARCH("Baixo",H36)))</formula>
    </cfRule>
    <cfRule type="containsText" dxfId="71" priority="77" operator="containsText" text="Médio">
      <formula>NOT(ISERROR(SEARCH("Médio",H36)))</formula>
    </cfRule>
    <cfRule type="containsText" dxfId="70" priority="78" operator="containsText" text="Alto">
      <formula>NOT(ISERROR(SEARCH("Alto",H36)))</formula>
    </cfRule>
  </conditionalFormatting>
  <conditionalFormatting sqref="H37">
    <cfRule type="containsText" dxfId="69" priority="43" operator="containsText" text="Baixo">
      <formula>NOT(ISERROR(SEARCH("Baixo",H37)))</formula>
    </cfRule>
    <cfRule type="containsText" dxfId="68" priority="44" operator="containsText" text="Médio">
      <formula>NOT(ISERROR(SEARCH("Médio",H37)))</formula>
    </cfRule>
    <cfRule type="containsText" dxfId="67" priority="45" operator="containsText" text="Alto">
      <formula>NOT(ISERROR(SEARCH("Alto",H37)))</formula>
    </cfRule>
  </conditionalFormatting>
  <conditionalFormatting sqref="H38">
    <cfRule type="containsText" dxfId="66" priority="73" operator="containsText" text="Baixo">
      <formula>NOT(ISERROR(SEARCH("Baixo",H38)))</formula>
    </cfRule>
    <cfRule type="containsText" dxfId="65" priority="74" operator="containsText" text="Médio">
      <formula>NOT(ISERROR(SEARCH("Médio",H38)))</formula>
    </cfRule>
    <cfRule type="containsText" dxfId="64" priority="75" operator="containsText" text="Alto">
      <formula>NOT(ISERROR(SEARCH("Alto",H38)))</formula>
    </cfRule>
  </conditionalFormatting>
  <conditionalFormatting sqref="H39">
    <cfRule type="containsText" dxfId="63" priority="40" operator="containsText" text="Baixo">
      <formula>NOT(ISERROR(SEARCH("Baixo",H39)))</formula>
    </cfRule>
    <cfRule type="containsText" dxfId="62" priority="41" operator="containsText" text="Médio">
      <formula>NOT(ISERROR(SEARCH("Médio",H39)))</formula>
    </cfRule>
    <cfRule type="containsText" dxfId="61" priority="42" operator="containsText" text="Alto">
      <formula>NOT(ISERROR(SEARCH("Alto",H39)))</formula>
    </cfRule>
  </conditionalFormatting>
  <conditionalFormatting sqref="H40">
    <cfRule type="containsText" dxfId="60" priority="70" operator="containsText" text="Baixo">
      <formula>NOT(ISERROR(SEARCH("Baixo",H40)))</formula>
    </cfRule>
    <cfRule type="containsText" dxfId="59" priority="71" operator="containsText" text="Médio">
      <formula>NOT(ISERROR(SEARCH("Médio",H40)))</formula>
    </cfRule>
    <cfRule type="containsText" dxfId="58" priority="72" operator="containsText" text="Alto">
      <formula>NOT(ISERROR(SEARCH("Alto",H40)))</formula>
    </cfRule>
  </conditionalFormatting>
  <conditionalFormatting sqref="H41">
    <cfRule type="containsText" dxfId="57" priority="37" operator="containsText" text="Baixo">
      <formula>NOT(ISERROR(SEARCH("Baixo",H41)))</formula>
    </cfRule>
    <cfRule type="containsText" dxfId="56" priority="38" operator="containsText" text="Médio">
      <formula>NOT(ISERROR(SEARCH("Médio",H41)))</formula>
    </cfRule>
    <cfRule type="containsText" dxfId="55" priority="39" operator="containsText" text="Alto">
      <formula>NOT(ISERROR(SEARCH("Alto",H41)))</formula>
    </cfRule>
  </conditionalFormatting>
  <conditionalFormatting sqref="H42">
    <cfRule type="containsText" dxfId="54" priority="67" operator="containsText" text="Baixo">
      <formula>NOT(ISERROR(SEARCH("Baixo",H42)))</formula>
    </cfRule>
    <cfRule type="containsText" dxfId="53" priority="68" operator="containsText" text="Médio">
      <formula>NOT(ISERROR(SEARCH("Médio",H42)))</formula>
    </cfRule>
    <cfRule type="containsText" dxfId="52" priority="69" operator="containsText" text="Alto">
      <formula>NOT(ISERROR(SEARCH("Alto",H42)))</formula>
    </cfRule>
  </conditionalFormatting>
  <conditionalFormatting sqref="H43">
    <cfRule type="containsText" dxfId="51" priority="34" operator="containsText" text="Baixo">
      <formula>NOT(ISERROR(SEARCH("Baixo",H43)))</formula>
    </cfRule>
    <cfRule type="containsText" dxfId="50" priority="35" operator="containsText" text="Médio">
      <formula>NOT(ISERROR(SEARCH("Médio",H43)))</formula>
    </cfRule>
    <cfRule type="containsText" dxfId="49" priority="36" operator="containsText" text="Alto">
      <formula>NOT(ISERROR(SEARCH("Alto",H43)))</formula>
    </cfRule>
  </conditionalFormatting>
  <conditionalFormatting sqref="H44">
    <cfRule type="containsText" dxfId="48" priority="64" operator="containsText" text="Baixo">
      <formula>NOT(ISERROR(SEARCH("Baixo",H44)))</formula>
    </cfRule>
    <cfRule type="containsText" dxfId="47" priority="65" operator="containsText" text="Médio">
      <formula>NOT(ISERROR(SEARCH("Médio",H44)))</formula>
    </cfRule>
    <cfRule type="containsText" dxfId="46" priority="66" operator="containsText" text="Alto">
      <formula>NOT(ISERROR(SEARCH("Alto",H44)))</formula>
    </cfRule>
  </conditionalFormatting>
  <conditionalFormatting sqref="H45">
    <cfRule type="containsText" dxfId="45" priority="31" operator="containsText" text="Baixo">
      <formula>NOT(ISERROR(SEARCH("Baixo",H45)))</formula>
    </cfRule>
    <cfRule type="containsText" dxfId="44" priority="32" operator="containsText" text="Médio">
      <formula>NOT(ISERROR(SEARCH("Médio",H45)))</formula>
    </cfRule>
    <cfRule type="containsText" dxfId="43" priority="33" operator="containsText" text="Alto">
      <formula>NOT(ISERROR(SEARCH("Alto",H45)))</formula>
    </cfRule>
  </conditionalFormatting>
  <conditionalFormatting sqref="H46">
    <cfRule type="containsText" dxfId="42" priority="61" operator="containsText" text="Baixo">
      <formula>NOT(ISERROR(SEARCH("Baixo",H46)))</formula>
    </cfRule>
    <cfRule type="containsText" dxfId="41" priority="62" operator="containsText" text="Médio">
      <formula>NOT(ISERROR(SEARCH("Médio",H46)))</formula>
    </cfRule>
    <cfRule type="containsText" dxfId="40" priority="63" operator="containsText" text="Alto">
      <formula>NOT(ISERROR(SEARCH("Alto",H46)))</formula>
    </cfRule>
  </conditionalFormatting>
  <conditionalFormatting sqref="H47 H51 H53 F55:G55 H55:H56">
    <cfRule type="containsText" dxfId="39" priority="28" operator="containsText" text="Baixo">
      <formula>NOT(ISERROR(SEARCH("Baixo",F47)))</formula>
    </cfRule>
    <cfRule type="containsText" dxfId="38" priority="29" operator="containsText" text="Médio">
      <formula>NOT(ISERROR(SEARCH("Médio",F47)))</formula>
    </cfRule>
    <cfRule type="containsText" dxfId="37" priority="30" operator="containsText" text="Alto">
      <formula>NOT(ISERROR(SEARCH("Alto",F47)))</formula>
    </cfRule>
  </conditionalFormatting>
  <conditionalFormatting sqref="H48">
    <cfRule type="containsText" dxfId="36" priority="25" operator="containsText" text="Baixo">
      <formula>NOT(ISERROR(SEARCH("Baixo",H48)))</formula>
    </cfRule>
    <cfRule type="containsText" dxfId="35" priority="26" operator="containsText" text="Médio">
      <formula>NOT(ISERROR(SEARCH("Médio",H48)))</formula>
    </cfRule>
    <cfRule type="containsText" dxfId="34" priority="27" operator="containsText" text="Alto">
      <formula>NOT(ISERROR(SEARCH("Alto",H48)))</formula>
    </cfRule>
  </conditionalFormatting>
  <conditionalFormatting sqref="H49">
    <cfRule type="containsText" dxfId="33" priority="7" operator="containsText" text="Baixo">
      <formula>NOT(ISERROR(SEARCH("Baixo",H49)))</formula>
    </cfRule>
    <cfRule type="containsText" dxfId="32" priority="8" operator="containsText" text="Médio">
      <formula>NOT(ISERROR(SEARCH("Médio",H49)))</formula>
    </cfRule>
    <cfRule type="containsText" dxfId="31" priority="9" operator="containsText" text="Alto">
      <formula>NOT(ISERROR(SEARCH("Alto",H49)))</formula>
    </cfRule>
  </conditionalFormatting>
  <conditionalFormatting sqref="H50">
    <cfRule type="containsText" dxfId="30" priority="4" operator="containsText" text="Baixo">
      <formula>NOT(ISERROR(SEARCH("Baixo",H50)))</formula>
    </cfRule>
    <cfRule type="containsText" dxfId="29" priority="5" operator="containsText" text="Médio">
      <formula>NOT(ISERROR(SEARCH("Médio",H50)))</formula>
    </cfRule>
    <cfRule type="containsText" dxfId="28" priority="6" operator="containsText" text="Alto">
      <formula>NOT(ISERROR(SEARCH("Alto",H50)))</formula>
    </cfRule>
  </conditionalFormatting>
  <conditionalFormatting sqref="H52">
    <cfRule type="containsText" dxfId="27" priority="19" operator="containsText" text="Baixo">
      <formula>NOT(ISERROR(SEARCH("Baixo",H52)))</formula>
    </cfRule>
    <cfRule type="containsText" dxfId="26" priority="20" operator="containsText" text="Médio">
      <formula>NOT(ISERROR(SEARCH("Médio",H52)))</formula>
    </cfRule>
    <cfRule type="containsText" dxfId="25" priority="21" operator="containsText" text="Alto">
      <formula>NOT(ISERROR(SEARCH("Alto",H52)))</formula>
    </cfRule>
  </conditionalFormatting>
  <conditionalFormatting sqref="H54">
    <cfRule type="containsText" dxfId="24" priority="13" operator="containsText" text="Baixo">
      <formula>NOT(ISERROR(SEARCH("Baixo",H54)))</formula>
    </cfRule>
    <cfRule type="containsText" dxfId="23" priority="14" operator="containsText" text="Médio">
      <formula>NOT(ISERROR(SEARCH("Médio",H54)))</formula>
    </cfRule>
    <cfRule type="containsText" dxfId="22" priority="15" operator="containsText" text="Alto">
      <formula>NOT(ISERROR(SEARCH("Alto",H54)))</formula>
    </cfRule>
  </conditionalFormatting>
  <conditionalFormatting sqref="I43:L46">
    <cfRule type="containsText" dxfId="21" priority="58" operator="containsText" text="Alto">
      <formula>NOT(ISERROR(SEARCH("Alto",I43)))</formula>
    </cfRule>
    <cfRule type="containsText" dxfId="20" priority="59" operator="containsText" text="Médio">
      <formula>NOT(ISERROR(SEARCH("Médio",I43)))</formula>
    </cfRule>
    <cfRule type="containsText" dxfId="19" priority="60" operator="containsText" text="Baixo">
      <formula>NOT(ISERROR(SEARCH("Baixo",I43)))</formula>
    </cfRule>
  </conditionalFormatting>
  <conditionalFormatting sqref="I48:L48">
    <cfRule type="containsText" dxfId="18" priority="22" operator="containsText" text="Alto">
      <formula>NOT(ISERROR(SEARCH("Alto",I48)))</formula>
    </cfRule>
    <cfRule type="containsText" dxfId="17" priority="23" operator="containsText" text="Médio">
      <formula>NOT(ISERROR(SEARCH("Médio",I48)))</formula>
    </cfRule>
    <cfRule type="containsText" dxfId="16" priority="24" operator="containsText" text="Baixo">
      <formula>NOT(ISERROR(SEARCH("Baixo",I48)))</formula>
    </cfRule>
  </conditionalFormatting>
  <conditionalFormatting sqref="I50:L50">
    <cfRule type="containsText" dxfId="15" priority="1" operator="containsText" text="Alto">
      <formula>NOT(ISERROR(SEARCH("Alto",I50)))</formula>
    </cfRule>
    <cfRule type="containsText" dxfId="14" priority="2" operator="containsText" text="Médio">
      <formula>NOT(ISERROR(SEARCH("Médio",I50)))</formula>
    </cfRule>
    <cfRule type="containsText" dxfId="13" priority="3" operator="containsText" text="Baixo">
      <formula>NOT(ISERROR(SEARCH("Baixo",I50)))</formula>
    </cfRule>
  </conditionalFormatting>
  <conditionalFormatting sqref="I52:L52">
    <cfRule type="containsText" dxfId="12" priority="16" operator="containsText" text="Alto">
      <formula>NOT(ISERROR(SEARCH("Alto",I52)))</formula>
    </cfRule>
    <cfRule type="containsText" dxfId="11" priority="17" operator="containsText" text="Médio">
      <formula>NOT(ISERROR(SEARCH("Médio",I52)))</formula>
    </cfRule>
    <cfRule type="containsText" dxfId="10" priority="18" operator="containsText" text="Baixo">
      <formula>NOT(ISERROR(SEARCH("Baixo",I52)))</formula>
    </cfRule>
  </conditionalFormatting>
  <conditionalFormatting sqref="I54:L54">
    <cfRule type="containsText" dxfId="9" priority="10" operator="containsText" text="Alto">
      <formula>NOT(ISERROR(SEARCH("Alto",I54)))</formula>
    </cfRule>
    <cfRule type="containsText" dxfId="8" priority="11" operator="containsText" text="Médio">
      <formula>NOT(ISERROR(SEARCH("Médio",I54)))</formula>
    </cfRule>
    <cfRule type="containsText" dxfId="7" priority="12" operator="containsText" text="Baixo">
      <formula>NOT(ISERROR(SEARCH("Baixo",I54)))</formula>
    </cfRule>
  </conditionalFormatting>
  <printOptions horizontalCentered="1"/>
  <pageMargins left="0.19685039370078741" right="0.19685039370078741" top="0.19685039370078741" bottom="0.19685039370078741" header="0" footer="0"/>
  <pageSetup paperSize="9" scale="42" orientation="landscape" horizontalDpi="4294967292" verticalDpi="4294967292" r:id="rId1"/>
  <colBreaks count="1" manualBreakCount="1">
    <brk id="12"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CBA5B-0FD4-43AB-85AB-99B62DFC533D}">
  <sheetPr>
    <tabColor rgb="FFFF0000"/>
    <pageSetUpPr fitToPage="1"/>
  </sheetPr>
  <dimension ref="B1:M156"/>
  <sheetViews>
    <sheetView showGridLines="0" zoomScale="80" zoomScaleNormal="80" zoomScaleSheetLayoutView="80" zoomScalePageLayoutView="125" workbookViewId="0">
      <pane xSplit="5" ySplit="4" topLeftCell="F136" activePane="bottomRight" state="frozen"/>
      <selection pane="topRight" sqref="A1:A6"/>
      <selection pane="bottomLeft" sqref="A1:A6"/>
      <selection pane="bottomRight" activeCell="I142" sqref="I142"/>
    </sheetView>
  </sheetViews>
  <sheetFormatPr defaultColWidth="8.6640625" defaultRowHeight="18" customHeight="1" outlineLevelRow="1"/>
  <cols>
    <col min="1" max="1" width="0.88671875" style="88" customWidth="1"/>
    <col min="2" max="2" width="8" style="88" bestFit="1" customWidth="1"/>
    <col min="3" max="3" width="44.33203125" style="88" customWidth="1"/>
    <col min="4" max="4" width="10.5546875" style="88" bestFit="1" customWidth="1"/>
    <col min="5" max="5" width="13.33203125" style="88" customWidth="1"/>
    <col min="6" max="6" width="0.6640625" style="88" customWidth="1"/>
    <col min="7" max="8" width="16.6640625" style="195" customWidth="1"/>
    <col min="9" max="9" width="21.44140625" style="195" customWidth="1"/>
    <col min="10" max="10" width="30.88671875" style="85" customWidth="1"/>
    <col min="11" max="12" width="8.6640625" style="88"/>
    <col min="13" max="13" width="14.6640625" style="88" customWidth="1"/>
    <col min="14" max="144" width="8.6640625" style="88"/>
    <col min="145" max="145" width="3.44140625" style="88" customWidth="1"/>
    <col min="146" max="146" width="7" style="88" customWidth="1"/>
    <col min="147" max="147" width="25.44140625" style="88" customWidth="1"/>
    <col min="148" max="148" width="12" style="88" customWidth="1"/>
    <col min="149" max="149" width="12.6640625" style="88" bestFit="1" customWidth="1"/>
    <col min="150" max="150" width="7.44140625" style="88" bestFit="1" customWidth="1"/>
    <col min="151" max="151" width="7.6640625" style="88" bestFit="1" customWidth="1"/>
    <col min="152" max="152" width="15" style="88" customWidth="1"/>
    <col min="153" max="153" width="7.44140625" style="88" bestFit="1" customWidth="1"/>
    <col min="154" max="154" width="7.6640625" style="88" bestFit="1" customWidth="1"/>
    <col min="155" max="155" width="15" style="88" bestFit="1" customWidth="1"/>
    <col min="156" max="156" width="7.44140625" style="88" bestFit="1" customWidth="1"/>
    <col min="157" max="157" width="7.6640625" style="88" bestFit="1" customWidth="1"/>
    <col min="158" max="158" width="9.44140625" style="88" bestFit="1" customWidth="1"/>
    <col min="159" max="159" width="8" style="88" bestFit="1" customWidth="1"/>
    <col min="160" max="160" width="7.6640625" style="88" bestFit="1" customWidth="1"/>
    <col min="161" max="161" width="10.44140625" style="88" bestFit="1" customWidth="1"/>
    <col min="162" max="162" width="8" style="88" bestFit="1" customWidth="1"/>
    <col min="163" max="163" width="7.6640625" style="88" bestFit="1" customWidth="1"/>
    <col min="164" max="164" width="10.44140625" style="88" bestFit="1" customWidth="1"/>
    <col min="165" max="165" width="7.44140625" style="88" bestFit="1" customWidth="1"/>
    <col min="166" max="166" width="7.6640625" style="88" bestFit="1" customWidth="1"/>
    <col min="167" max="167" width="10.44140625" style="88" bestFit="1" customWidth="1"/>
    <col min="168" max="168" width="8" style="88" bestFit="1" customWidth="1"/>
    <col min="169" max="169" width="7.6640625" style="88" bestFit="1" customWidth="1"/>
    <col min="170" max="170" width="10.44140625" style="88" bestFit="1" customWidth="1"/>
    <col min="171" max="171" width="7.44140625" style="88" bestFit="1" customWidth="1"/>
    <col min="172" max="172" width="7.6640625" style="88" bestFit="1" customWidth="1"/>
    <col min="173" max="173" width="10.44140625" style="88" bestFit="1" customWidth="1"/>
    <col min="174" max="174" width="7.44140625" style="88" bestFit="1" customWidth="1"/>
    <col min="175" max="175" width="7.6640625" style="88" bestFit="1" customWidth="1"/>
    <col min="176" max="176" width="10.44140625" style="88" bestFit="1" customWidth="1"/>
    <col min="177" max="177" width="5.109375" style="88" customWidth="1"/>
    <col min="178" max="400" width="8.6640625" style="88"/>
    <col min="401" max="401" width="3.44140625" style="88" customWidth="1"/>
    <col min="402" max="402" width="7" style="88" customWidth="1"/>
    <col min="403" max="403" width="25.44140625" style="88" customWidth="1"/>
    <col min="404" max="404" width="12" style="88" customWidth="1"/>
    <col min="405" max="405" width="12.6640625" style="88" bestFit="1" customWidth="1"/>
    <col min="406" max="406" width="7.44140625" style="88" bestFit="1" customWidth="1"/>
    <col min="407" max="407" width="7.6640625" style="88" bestFit="1" customWidth="1"/>
    <col min="408" max="408" width="15" style="88" customWidth="1"/>
    <col min="409" max="409" width="7.44140625" style="88" bestFit="1" customWidth="1"/>
    <col min="410" max="410" width="7.6640625" style="88" bestFit="1" customWidth="1"/>
    <col min="411" max="411" width="15" style="88" bestFit="1" customWidth="1"/>
    <col min="412" max="412" width="7.44140625" style="88" bestFit="1" customWidth="1"/>
    <col min="413" max="413" width="7.6640625" style="88" bestFit="1" customWidth="1"/>
    <col min="414" max="414" width="9.44140625" style="88" bestFit="1" customWidth="1"/>
    <col min="415" max="415" width="8" style="88" bestFit="1" customWidth="1"/>
    <col min="416" max="416" width="7.6640625" style="88" bestFit="1" customWidth="1"/>
    <col min="417" max="417" width="10.44140625" style="88" bestFit="1" customWidth="1"/>
    <col min="418" max="418" width="8" style="88" bestFit="1" customWidth="1"/>
    <col min="419" max="419" width="7.6640625" style="88" bestFit="1" customWidth="1"/>
    <col min="420" max="420" width="10.44140625" style="88" bestFit="1" customWidth="1"/>
    <col min="421" max="421" width="7.44140625" style="88" bestFit="1" customWidth="1"/>
    <col min="422" max="422" width="7.6640625" style="88" bestFit="1" customWidth="1"/>
    <col min="423" max="423" width="10.44140625" style="88" bestFit="1" customWidth="1"/>
    <col min="424" max="424" width="8" style="88" bestFit="1" customWidth="1"/>
    <col min="425" max="425" width="7.6640625" style="88" bestFit="1" customWidth="1"/>
    <col min="426" max="426" width="10.44140625" style="88" bestFit="1" customWidth="1"/>
    <col min="427" max="427" width="7.44140625" style="88" bestFit="1" customWidth="1"/>
    <col min="428" max="428" width="7.6640625" style="88" bestFit="1" customWidth="1"/>
    <col min="429" max="429" width="10.44140625" style="88" bestFit="1" customWidth="1"/>
    <col min="430" max="430" width="7.44140625" style="88" bestFit="1" customWidth="1"/>
    <col min="431" max="431" width="7.6640625" style="88" bestFit="1" customWidth="1"/>
    <col min="432" max="432" width="10.44140625" style="88" bestFit="1" customWidth="1"/>
    <col min="433" max="433" width="5.109375" style="88" customWidth="1"/>
    <col min="434" max="656" width="8.6640625" style="88"/>
    <col min="657" max="657" width="3.44140625" style="88" customWidth="1"/>
    <col min="658" max="658" width="7" style="88" customWidth="1"/>
    <col min="659" max="659" width="25.44140625" style="88" customWidth="1"/>
    <col min="660" max="660" width="12" style="88" customWidth="1"/>
    <col min="661" max="661" width="12.6640625" style="88" bestFit="1" customWidth="1"/>
    <col min="662" max="662" width="7.44140625" style="88" bestFit="1" customWidth="1"/>
    <col min="663" max="663" width="7.6640625" style="88" bestFit="1" customWidth="1"/>
    <col min="664" max="664" width="15" style="88" customWidth="1"/>
    <col min="665" max="665" width="7.44140625" style="88" bestFit="1" customWidth="1"/>
    <col min="666" max="666" width="7.6640625" style="88" bestFit="1" customWidth="1"/>
    <col min="667" max="667" width="15" style="88" bestFit="1" customWidth="1"/>
    <col min="668" max="668" width="7.44140625" style="88" bestFit="1" customWidth="1"/>
    <col min="669" max="669" width="7.6640625" style="88" bestFit="1" customWidth="1"/>
    <col min="670" max="670" width="9.44140625" style="88" bestFit="1" customWidth="1"/>
    <col min="671" max="671" width="8" style="88" bestFit="1" customWidth="1"/>
    <col min="672" max="672" width="7.6640625" style="88" bestFit="1" customWidth="1"/>
    <col min="673" max="673" width="10.44140625" style="88" bestFit="1" customWidth="1"/>
    <col min="674" max="674" width="8" style="88" bestFit="1" customWidth="1"/>
    <col min="675" max="675" width="7.6640625" style="88" bestFit="1" customWidth="1"/>
    <col min="676" max="676" width="10.44140625" style="88" bestFit="1" customWidth="1"/>
    <col min="677" max="677" width="7.44140625" style="88" bestFit="1" customWidth="1"/>
    <col min="678" max="678" width="7.6640625" style="88" bestFit="1" customWidth="1"/>
    <col min="679" max="679" width="10.44140625" style="88" bestFit="1" customWidth="1"/>
    <col min="680" max="680" width="8" style="88" bestFit="1" customWidth="1"/>
    <col min="681" max="681" width="7.6640625" style="88" bestFit="1" customWidth="1"/>
    <col min="682" max="682" width="10.44140625" style="88" bestFit="1" customWidth="1"/>
    <col min="683" max="683" width="7.44140625" style="88" bestFit="1" customWidth="1"/>
    <col min="684" max="684" width="7.6640625" style="88" bestFit="1" customWidth="1"/>
    <col min="685" max="685" width="10.44140625" style="88" bestFit="1" customWidth="1"/>
    <col min="686" max="686" width="7.44140625" style="88" bestFit="1" customWidth="1"/>
    <col min="687" max="687" width="7.6640625" style="88" bestFit="1" customWidth="1"/>
    <col min="688" max="688" width="10.44140625" style="88" bestFit="1" customWidth="1"/>
    <col min="689" max="689" width="5.109375" style="88" customWidth="1"/>
    <col min="690" max="912" width="8.6640625" style="88"/>
    <col min="913" max="913" width="3.44140625" style="88" customWidth="1"/>
    <col min="914" max="914" width="7" style="88" customWidth="1"/>
    <col min="915" max="915" width="25.44140625" style="88" customWidth="1"/>
    <col min="916" max="916" width="12" style="88" customWidth="1"/>
    <col min="917" max="917" width="12.6640625" style="88" bestFit="1" customWidth="1"/>
    <col min="918" max="918" width="7.44140625" style="88" bestFit="1" customWidth="1"/>
    <col min="919" max="919" width="7.6640625" style="88" bestFit="1" customWidth="1"/>
    <col min="920" max="920" width="15" style="88" customWidth="1"/>
    <col min="921" max="921" width="7.44140625" style="88" bestFit="1" customWidth="1"/>
    <col min="922" max="922" width="7.6640625" style="88" bestFit="1" customWidth="1"/>
    <col min="923" max="923" width="15" style="88" bestFit="1" customWidth="1"/>
    <col min="924" max="924" width="7.44140625" style="88" bestFit="1" customWidth="1"/>
    <col min="925" max="925" width="7.6640625" style="88" bestFit="1" customWidth="1"/>
    <col min="926" max="926" width="9.44140625" style="88" bestFit="1" customWidth="1"/>
    <col min="927" max="927" width="8" style="88" bestFit="1" customWidth="1"/>
    <col min="928" max="928" width="7.6640625" style="88" bestFit="1" customWidth="1"/>
    <col min="929" max="929" width="10.44140625" style="88" bestFit="1" customWidth="1"/>
    <col min="930" max="930" width="8" style="88" bestFit="1" customWidth="1"/>
    <col min="931" max="931" width="7.6640625" style="88" bestFit="1" customWidth="1"/>
    <col min="932" max="932" width="10.44140625" style="88" bestFit="1" customWidth="1"/>
    <col min="933" max="933" width="7.44140625" style="88" bestFit="1" customWidth="1"/>
    <col min="934" max="934" width="7.6640625" style="88" bestFit="1" customWidth="1"/>
    <col min="935" max="935" width="10.44140625" style="88" bestFit="1" customWidth="1"/>
    <col min="936" max="936" width="8" style="88" bestFit="1" customWidth="1"/>
    <col min="937" max="937" width="7.6640625" style="88" bestFit="1" customWidth="1"/>
    <col min="938" max="938" width="10.44140625" style="88" bestFit="1" customWidth="1"/>
    <col min="939" max="939" width="7.44140625" style="88" bestFit="1" customWidth="1"/>
    <col min="940" max="940" width="7.6640625" style="88" bestFit="1" customWidth="1"/>
    <col min="941" max="941" width="10.44140625" style="88" bestFit="1" customWidth="1"/>
    <col min="942" max="942" width="7.44140625" style="88" bestFit="1" customWidth="1"/>
    <col min="943" max="943" width="7.6640625" style="88" bestFit="1" customWidth="1"/>
    <col min="944" max="944" width="10.44140625" style="88" bestFit="1" customWidth="1"/>
    <col min="945" max="945" width="5.109375" style="88" customWidth="1"/>
    <col min="946" max="1168" width="8.6640625" style="88"/>
    <col min="1169" max="1169" width="3.44140625" style="88" customWidth="1"/>
    <col min="1170" max="1170" width="7" style="88" customWidth="1"/>
    <col min="1171" max="1171" width="25.44140625" style="88" customWidth="1"/>
    <col min="1172" max="1172" width="12" style="88" customWidth="1"/>
    <col min="1173" max="1173" width="12.6640625" style="88" bestFit="1" customWidth="1"/>
    <col min="1174" max="1174" width="7.44140625" style="88" bestFit="1" customWidth="1"/>
    <col min="1175" max="1175" width="7.6640625" style="88" bestFit="1" customWidth="1"/>
    <col min="1176" max="1176" width="15" style="88" customWidth="1"/>
    <col min="1177" max="1177" width="7.44140625" style="88" bestFit="1" customWidth="1"/>
    <col min="1178" max="1178" width="7.6640625" style="88" bestFit="1" customWidth="1"/>
    <col min="1179" max="1179" width="15" style="88" bestFit="1" customWidth="1"/>
    <col min="1180" max="1180" width="7.44140625" style="88" bestFit="1" customWidth="1"/>
    <col min="1181" max="1181" width="7.6640625" style="88" bestFit="1" customWidth="1"/>
    <col min="1182" max="1182" width="9.44140625" style="88" bestFit="1" customWidth="1"/>
    <col min="1183" max="1183" width="8" style="88" bestFit="1" customWidth="1"/>
    <col min="1184" max="1184" width="7.6640625" style="88" bestFit="1" customWidth="1"/>
    <col min="1185" max="1185" width="10.44140625" style="88" bestFit="1" customWidth="1"/>
    <col min="1186" max="1186" width="8" style="88" bestFit="1" customWidth="1"/>
    <col min="1187" max="1187" width="7.6640625" style="88" bestFit="1" customWidth="1"/>
    <col min="1188" max="1188" width="10.44140625" style="88" bestFit="1" customWidth="1"/>
    <col min="1189" max="1189" width="7.44140625" style="88" bestFit="1" customWidth="1"/>
    <col min="1190" max="1190" width="7.6640625" style="88" bestFit="1" customWidth="1"/>
    <col min="1191" max="1191" width="10.44140625" style="88" bestFit="1" customWidth="1"/>
    <col min="1192" max="1192" width="8" style="88" bestFit="1" customWidth="1"/>
    <col min="1193" max="1193" width="7.6640625" style="88" bestFit="1" customWidth="1"/>
    <col min="1194" max="1194" width="10.44140625" style="88" bestFit="1" customWidth="1"/>
    <col min="1195" max="1195" width="7.44140625" style="88" bestFit="1" customWidth="1"/>
    <col min="1196" max="1196" width="7.6640625" style="88" bestFit="1" customWidth="1"/>
    <col min="1197" max="1197" width="10.44140625" style="88" bestFit="1" customWidth="1"/>
    <col min="1198" max="1198" width="7.44140625" style="88" bestFit="1" customWidth="1"/>
    <col min="1199" max="1199" width="7.6640625" style="88" bestFit="1" customWidth="1"/>
    <col min="1200" max="1200" width="10.44140625" style="88" bestFit="1" customWidth="1"/>
    <col min="1201" max="1201" width="5.109375" style="88" customWidth="1"/>
    <col min="1202" max="1424" width="8.6640625" style="88"/>
    <col min="1425" max="1425" width="3.44140625" style="88" customWidth="1"/>
    <col min="1426" max="1426" width="7" style="88" customWidth="1"/>
    <col min="1427" max="1427" width="25.44140625" style="88" customWidth="1"/>
    <col min="1428" max="1428" width="12" style="88" customWidth="1"/>
    <col min="1429" max="1429" width="12.6640625" style="88" bestFit="1" customWidth="1"/>
    <col min="1430" max="1430" width="7.44140625" style="88" bestFit="1" customWidth="1"/>
    <col min="1431" max="1431" width="7.6640625" style="88" bestFit="1" customWidth="1"/>
    <col min="1432" max="1432" width="15" style="88" customWidth="1"/>
    <col min="1433" max="1433" width="7.44140625" style="88" bestFit="1" customWidth="1"/>
    <col min="1434" max="1434" width="7.6640625" style="88" bestFit="1" customWidth="1"/>
    <col min="1435" max="1435" width="15" style="88" bestFit="1" customWidth="1"/>
    <col min="1436" max="1436" width="7.44140625" style="88" bestFit="1" customWidth="1"/>
    <col min="1437" max="1437" width="7.6640625" style="88" bestFit="1" customWidth="1"/>
    <col min="1438" max="1438" width="9.44140625" style="88" bestFit="1" customWidth="1"/>
    <col min="1439" max="1439" width="8" style="88" bestFit="1" customWidth="1"/>
    <col min="1440" max="1440" width="7.6640625" style="88" bestFit="1" customWidth="1"/>
    <col min="1441" max="1441" width="10.44140625" style="88" bestFit="1" customWidth="1"/>
    <col min="1442" max="1442" width="8" style="88" bestFit="1" customWidth="1"/>
    <col min="1443" max="1443" width="7.6640625" style="88" bestFit="1" customWidth="1"/>
    <col min="1444" max="1444" width="10.44140625" style="88" bestFit="1" customWidth="1"/>
    <col min="1445" max="1445" width="7.44140625" style="88" bestFit="1" customWidth="1"/>
    <col min="1446" max="1446" width="7.6640625" style="88" bestFit="1" customWidth="1"/>
    <col min="1447" max="1447" width="10.44140625" style="88" bestFit="1" customWidth="1"/>
    <col min="1448" max="1448" width="8" style="88" bestFit="1" customWidth="1"/>
    <col min="1449" max="1449" width="7.6640625" style="88" bestFit="1" customWidth="1"/>
    <col min="1450" max="1450" width="10.44140625" style="88" bestFit="1" customWidth="1"/>
    <col min="1451" max="1451" width="7.44140625" style="88" bestFit="1" customWidth="1"/>
    <col min="1452" max="1452" width="7.6640625" style="88" bestFit="1" customWidth="1"/>
    <col min="1453" max="1453" width="10.44140625" style="88" bestFit="1" customWidth="1"/>
    <col min="1454" max="1454" width="7.44140625" style="88" bestFit="1" customWidth="1"/>
    <col min="1455" max="1455" width="7.6640625" style="88" bestFit="1" customWidth="1"/>
    <col min="1456" max="1456" width="10.44140625" style="88" bestFit="1" customWidth="1"/>
    <col min="1457" max="1457" width="5.109375" style="88" customWidth="1"/>
    <col min="1458" max="1680" width="8.6640625" style="88"/>
    <col min="1681" max="1681" width="3.44140625" style="88" customWidth="1"/>
    <col min="1682" max="1682" width="7" style="88" customWidth="1"/>
    <col min="1683" max="1683" width="25.44140625" style="88" customWidth="1"/>
    <col min="1684" max="1684" width="12" style="88" customWidth="1"/>
    <col min="1685" max="1685" width="12.6640625" style="88" bestFit="1" customWidth="1"/>
    <col min="1686" max="1686" width="7.44140625" style="88" bestFit="1" customWidth="1"/>
    <col min="1687" max="1687" width="7.6640625" style="88" bestFit="1" customWidth="1"/>
    <col min="1688" max="1688" width="15" style="88" customWidth="1"/>
    <col min="1689" max="1689" width="7.44140625" style="88" bestFit="1" customWidth="1"/>
    <col min="1690" max="1690" width="7.6640625" style="88" bestFit="1" customWidth="1"/>
    <col min="1691" max="1691" width="15" style="88" bestFit="1" customWidth="1"/>
    <col min="1692" max="1692" width="7.44140625" style="88" bestFit="1" customWidth="1"/>
    <col min="1693" max="1693" width="7.6640625" style="88" bestFit="1" customWidth="1"/>
    <col min="1694" max="1694" width="9.44140625" style="88" bestFit="1" customWidth="1"/>
    <col min="1695" max="1695" width="8" style="88" bestFit="1" customWidth="1"/>
    <col min="1696" max="1696" width="7.6640625" style="88" bestFit="1" customWidth="1"/>
    <col min="1697" max="1697" width="10.44140625" style="88" bestFit="1" customWidth="1"/>
    <col min="1698" max="1698" width="8" style="88" bestFit="1" customWidth="1"/>
    <col min="1699" max="1699" width="7.6640625" style="88" bestFit="1" customWidth="1"/>
    <col min="1700" max="1700" width="10.44140625" style="88" bestFit="1" customWidth="1"/>
    <col min="1701" max="1701" width="7.44140625" style="88" bestFit="1" customWidth="1"/>
    <col min="1702" max="1702" width="7.6640625" style="88" bestFit="1" customWidth="1"/>
    <col min="1703" max="1703" width="10.44140625" style="88" bestFit="1" customWidth="1"/>
    <col min="1704" max="1704" width="8" style="88" bestFit="1" customWidth="1"/>
    <col min="1705" max="1705" width="7.6640625" style="88" bestFit="1" customWidth="1"/>
    <col min="1706" max="1706" width="10.44140625" style="88" bestFit="1" customWidth="1"/>
    <col min="1707" max="1707" width="7.44140625" style="88" bestFit="1" customWidth="1"/>
    <col min="1708" max="1708" width="7.6640625" style="88" bestFit="1" customWidth="1"/>
    <col min="1709" max="1709" width="10.44140625" style="88" bestFit="1" customWidth="1"/>
    <col min="1710" max="1710" width="7.44140625" style="88" bestFit="1" customWidth="1"/>
    <col min="1711" max="1711" width="7.6640625" style="88" bestFit="1" customWidth="1"/>
    <col min="1712" max="1712" width="10.44140625" style="88" bestFit="1" customWidth="1"/>
    <col min="1713" max="1713" width="5.109375" style="88" customWidth="1"/>
    <col min="1714" max="1936" width="8.6640625" style="88"/>
    <col min="1937" max="1937" width="3.44140625" style="88" customWidth="1"/>
    <col min="1938" max="1938" width="7" style="88" customWidth="1"/>
    <col min="1939" max="1939" width="25.44140625" style="88" customWidth="1"/>
    <col min="1940" max="1940" width="12" style="88" customWidth="1"/>
    <col min="1941" max="1941" width="12.6640625" style="88" bestFit="1" customWidth="1"/>
    <col min="1942" max="1942" width="7.44140625" style="88" bestFit="1" customWidth="1"/>
    <col min="1943" max="1943" width="7.6640625" style="88" bestFit="1" customWidth="1"/>
    <col min="1944" max="1944" width="15" style="88" customWidth="1"/>
    <col min="1945" max="1945" width="7.44140625" style="88" bestFit="1" customWidth="1"/>
    <col min="1946" max="1946" width="7.6640625" style="88" bestFit="1" customWidth="1"/>
    <col min="1947" max="1947" width="15" style="88" bestFit="1" customWidth="1"/>
    <col min="1948" max="1948" width="7.44140625" style="88" bestFit="1" customWidth="1"/>
    <col min="1949" max="1949" width="7.6640625" style="88" bestFit="1" customWidth="1"/>
    <col min="1950" max="1950" width="9.44140625" style="88" bestFit="1" customWidth="1"/>
    <col min="1951" max="1951" width="8" style="88" bestFit="1" customWidth="1"/>
    <col min="1952" max="1952" width="7.6640625" style="88" bestFit="1" customWidth="1"/>
    <col min="1953" max="1953" width="10.44140625" style="88" bestFit="1" customWidth="1"/>
    <col min="1954" max="1954" width="8" style="88" bestFit="1" customWidth="1"/>
    <col min="1955" max="1955" width="7.6640625" style="88" bestFit="1" customWidth="1"/>
    <col min="1956" max="1956" width="10.44140625" style="88" bestFit="1" customWidth="1"/>
    <col min="1957" max="1957" width="7.44140625" style="88" bestFit="1" customWidth="1"/>
    <col min="1958" max="1958" width="7.6640625" style="88" bestFit="1" customWidth="1"/>
    <col min="1959" max="1959" width="10.44140625" style="88" bestFit="1" customWidth="1"/>
    <col min="1960" max="1960" width="8" style="88" bestFit="1" customWidth="1"/>
    <col min="1961" max="1961" width="7.6640625" style="88" bestFit="1" customWidth="1"/>
    <col min="1962" max="1962" width="10.44140625" style="88" bestFit="1" customWidth="1"/>
    <col min="1963" max="1963" width="7.44140625" style="88" bestFit="1" customWidth="1"/>
    <col min="1964" max="1964" width="7.6640625" style="88" bestFit="1" customWidth="1"/>
    <col min="1965" max="1965" width="10.44140625" style="88" bestFit="1" customWidth="1"/>
    <col min="1966" max="1966" width="7.44140625" style="88" bestFit="1" customWidth="1"/>
    <col min="1967" max="1967" width="7.6640625" style="88" bestFit="1" customWidth="1"/>
    <col min="1968" max="1968" width="10.44140625" style="88" bestFit="1" customWidth="1"/>
    <col min="1969" max="1969" width="5.109375" style="88" customWidth="1"/>
    <col min="1970" max="2192" width="8.6640625" style="88"/>
    <col min="2193" max="2193" width="3.44140625" style="88" customWidth="1"/>
    <col min="2194" max="2194" width="7" style="88" customWidth="1"/>
    <col min="2195" max="2195" width="25.44140625" style="88" customWidth="1"/>
    <col min="2196" max="2196" width="12" style="88" customWidth="1"/>
    <col min="2197" max="2197" width="12.6640625" style="88" bestFit="1" customWidth="1"/>
    <col min="2198" max="2198" width="7.44140625" style="88" bestFit="1" customWidth="1"/>
    <col min="2199" max="2199" width="7.6640625" style="88" bestFit="1" customWidth="1"/>
    <col min="2200" max="2200" width="15" style="88" customWidth="1"/>
    <col min="2201" max="2201" width="7.44140625" style="88" bestFit="1" customWidth="1"/>
    <col min="2202" max="2202" width="7.6640625" style="88" bestFit="1" customWidth="1"/>
    <col min="2203" max="2203" width="15" style="88" bestFit="1" customWidth="1"/>
    <col min="2204" max="2204" width="7.44140625" style="88" bestFit="1" customWidth="1"/>
    <col min="2205" max="2205" width="7.6640625" style="88" bestFit="1" customWidth="1"/>
    <col min="2206" max="2206" width="9.44140625" style="88" bestFit="1" customWidth="1"/>
    <col min="2207" max="2207" width="8" style="88" bestFit="1" customWidth="1"/>
    <col min="2208" max="2208" width="7.6640625" style="88" bestFit="1" customWidth="1"/>
    <col min="2209" max="2209" width="10.44140625" style="88" bestFit="1" customWidth="1"/>
    <col min="2210" max="2210" width="8" style="88" bestFit="1" customWidth="1"/>
    <col min="2211" max="2211" width="7.6640625" style="88" bestFit="1" customWidth="1"/>
    <col min="2212" max="2212" width="10.44140625" style="88" bestFit="1" customWidth="1"/>
    <col min="2213" max="2213" width="7.44140625" style="88" bestFit="1" customWidth="1"/>
    <col min="2214" max="2214" width="7.6640625" style="88" bestFit="1" customWidth="1"/>
    <col min="2215" max="2215" width="10.44140625" style="88" bestFit="1" customWidth="1"/>
    <col min="2216" max="2216" width="8" style="88" bestFit="1" customWidth="1"/>
    <col min="2217" max="2217" width="7.6640625" style="88" bestFit="1" customWidth="1"/>
    <col min="2218" max="2218" width="10.44140625" style="88" bestFit="1" customWidth="1"/>
    <col min="2219" max="2219" width="7.44140625" style="88" bestFit="1" customWidth="1"/>
    <col min="2220" max="2220" width="7.6640625" style="88" bestFit="1" customWidth="1"/>
    <col min="2221" max="2221" width="10.44140625" style="88" bestFit="1" customWidth="1"/>
    <col min="2222" max="2222" width="7.44140625" style="88" bestFit="1" customWidth="1"/>
    <col min="2223" max="2223" width="7.6640625" style="88" bestFit="1" customWidth="1"/>
    <col min="2224" max="2224" width="10.44140625" style="88" bestFit="1" customWidth="1"/>
    <col min="2225" max="2225" width="5.109375" style="88" customWidth="1"/>
    <col min="2226" max="2448" width="8.6640625" style="88"/>
    <col min="2449" max="2449" width="3.44140625" style="88" customWidth="1"/>
    <col min="2450" max="2450" width="7" style="88" customWidth="1"/>
    <col min="2451" max="2451" width="25.44140625" style="88" customWidth="1"/>
    <col min="2452" max="2452" width="12" style="88" customWidth="1"/>
    <col min="2453" max="2453" width="12.6640625" style="88" bestFit="1" customWidth="1"/>
    <col min="2454" max="2454" width="7.44140625" style="88" bestFit="1" customWidth="1"/>
    <col min="2455" max="2455" width="7.6640625" style="88" bestFit="1" customWidth="1"/>
    <col min="2456" max="2456" width="15" style="88" customWidth="1"/>
    <col min="2457" max="2457" width="7.44140625" style="88" bestFit="1" customWidth="1"/>
    <col min="2458" max="2458" width="7.6640625" style="88" bestFit="1" customWidth="1"/>
    <col min="2459" max="2459" width="15" style="88" bestFit="1" customWidth="1"/>
    <col min="2460" max="2460" width="7.44140625" style="88" bestFit="1" customWidth="1"/>
    <col min="2461" max="2461" width="7.6640625" style="88" bestFit="1" customWidth="1"/>
    <col min="2462" max="2462" width="9.44140625" style="88" bestFit="1" customWidth="1"/>
    <col min="2463" max="2463" width="8" style="88" bestFit="1" customWidth="1"/>
    <col min="2464" max="2464" width="7.6640625" style="88" bestFit="1" customWidth="1"/>
    <col min="2465" max="2465" width="10.44140625" style="88" bestFit="1" customWidth="1"/>
    <col min="2466" max="2466" width="8" style="88" bestFit="1" customWidth="1"/>
    <col min="2467" max="2467" width="7.6640625" style="88" bestFit="1" customWidth="1"/>
    <col min="2468" max="2468" width="10.44140625" style="88" bestFit="1" customWidth="1"/>
    <col min="2469" max="2469" width="7.44140625" style="88" bestFit="1" customWidth="1"/>
    <col min="2470" max="2470" width="7.6640625" style="88" bestFit="1" customWidth="1"/>
    <col min="2471" max="2471" width="10.44140625" style="88" bestFit="1" customWidth="1"/>
    <col min="2472" max="2472" width="8" style="88" bestFit="1" customWidth="1"/>
    <col min="2473" max="2473" width="7.6640625" style="88" bestFit="1" customWidth="1"/>
    <col min="2474" max="2474" width="10.44140625" style="88" bestFit="1" customWidth="1"/>
    <col min="2475" max="2475" width="7.44140625" style="88" bestFit="1" customWidth="1"/>
    <col min="2476" max="2476" width="7.6640625" style="88" bestFit="1" customWidth="1"/>
    <col min="2477" max="2477" width="10.44140625" style="88" bestFit="1" customWidth="1"/>
    <col min="2478" max="2478" width="7.44140625" style="88" bestFit="1" customWidth="1"/>
    <col min="2479" max="2479" width="7.6640625" style="88" bestFit="1" customWidth="1"/>
    <col min="2480" max="2480" width="10.44140625" style="88" bestFit="1" customWidth="1"/>
    <col min="2481" max="2481" width="5.109375" style="88" customWidth="1"/>
    <col min="2482" max="2704" width="8.6640625" style="88"/>
    <col min="2705" max="2705" width="3.44140625" style="88" customWidth="1"/>
    <col min="2706" max="2706" width="7" style="88" customWidth="1"/>
    <col min="2707" max="2707" width="25.44140625" style="88" customWidth="1"/>
    <col min="2708" max="2708" width="12" style="88" customWidth="1"/>
    <col min="2709" max="2709" width="12.6640625" style="88" bestFit="1" customWidth="1"/>
    <col min="2710" max="2710" width="7.44140625" style="88" bestFit="1" customWidth="1"/>
    <col min="2711" max="2711" width="7.6640625" style="88" bestFit="1" customWidth="1"/>
    <col min="2712" max="2712" width="15" style="88" customWidth="1"/>
    <col min="2713" max="2713" width="7.44140625" style="88" bestFit="1" customWidth="1"/>
    <col min="2714" max="2714" width="7.6640625" style="88" bestFit="1" customWidth="1"/>
    <col min="2715" max="2715" width="15" style="88" bestFit="1" customWidth="1"/>
    <col min="2716" max="2716" width="7.44140625" style="88" bestFit="1" customWidth="1"/>
    <col min="2717" max="2717" width="7.6640625" style="88" bestFit="1" customWidth="1"/>
    <col min="2718" max="2718" width="9.44140625" style="88" bestFit="1" customWidth="1"/>
    <col min="2719" max="2719" width="8" style="88" bestFit="1" customWidth="1"/>
    <col min="2720" max="2720" width="7.6640625" style="88" bestFit="1" customWidth="1"/>
    <col min="2721" max="2721" width="10.44140625" style="88" bestFit="1" customWidth="1"/>
    <col min="2722" max="2722" width="8" style="88" bestFit="1" customWidth="1"/>
    <col min="2723" max="2723" width="7.6640625" style="88" bestFit="1" customWidth="1"/>
    <col min="2724" max="2724" width="10.44140625" style="88" bestFit="1" customWidth="1"/>
    <col min="2725" max="2725" width="7.44140625" style="88" bestFit="1" customWidth="1"/>
    <col min="2726" max="2726" width="7.6640625" style="88" bestFit="1" customWidth="1"/>
    <col min="2727" max="2727" width="10.44140625" style="88" bestFit="1" customWidth="1"/>
    <col min="2728" max="2728" width="8" style="88" bestFit="1" customWidth="1"/>
    <col min="2729" max="2729" width="7.6640625" style="88" bestFit="1" customWidth="1"/>
    <col min="2730" max="2730" width="10.44140625" style="88" bestFit="1" customWidth="1"/>
    <col min="2731" max="2731" width="7.44140625" style="88" bestFit="1" customWidth="1"/>
    <col min="2732" max="2732" width="7.6640625" style="88" bestFit="1" customWidth="1"/>
    <col min="2733" max="2733" width="10.44140625" style="88" bestFit="1" customWidth="1"/>
    <col min="2734" max="2734" width="7.44140625" style="88" bestFit="1" customWidth="1"/>
    <col min="2735" max="2735" width="7.6640625" style="88" bestFit="1" customWidth="1"/>
    <col min="2736" max="2736" width="10.44140625" style="88" bestFit="1" customWidth="1"/>
    <col min="2737" max="2737" width="5.109375" style="88" customWidth="1"/>
    <col min="2738" max="2960" width="8.6640625" style="88"/>
    <col min="2961" max="2961" width="3.44140625" style="88" customWidth="1"/>
    <col min="2962" max="2962" width="7" style="88" customWidth="1"/>
    <col min="2963" max="2963" width="25.44140625" style="88" customWidth="1"/>
    <col min="2964" max="2964" width="12" style="88" customWidth="1"/>
    <col min="2965" max="2965" width="12.6640625" style="88" bestFit="1" customWidth="1"/>
    <col min="2966" max="2966" width="7.44140625" style="88" bestFit="1" customWidth="1"/>
    <col min="2967" max="2967" width="7.6640625" style="88" bestFit="1" customWidth="1"/>
    <col min="2968" max="2968" width="15" style="88" customWidth="1"/>
    <col min="2969" max="2969" width="7.44140625" style="88" bestFit="1" customWidth="1"/>
    <col min="2970" max="2970" width="7.6640625" style="88" bestFit="1" customWidth="1"/>
    <col min="2971" max="2971" width="15" style="88" bestFit="1" customWidth="1"/>
    <col min="2972" max="2972" width="7.44140625" style="88" bestFit="1" customWidth="1"/>
    <col min="2973" max="2973" width="7.6640625" style="88" bestFit="1" customWidth="1"/>
    <col min="2974" max="2974" width="9.44140625" style="88" bestFit="1" customWidth="1"/>
    <col min="2975" max="2975" width="8" style="88" bestFit="1" customWidth="1"/>
    <col min="2976" max="2976" width="7.6640625" style="88" bestFit="1" customWidth="1"/>
    <col min="2977" max="2977" width="10.44140625" style="88" bestFit="1" customWidth="1"/>
    <col min="2978" max="2978" width="8" style="88" bestFit="1" customWidth="1"/>
    <col min="2979" max="2979" width="7.6640625" style="88" bestFit="1" customWidth="1"/>
    <col min="2980" max="2980" width="10.44140625" style="88" bestFit="1" customWidth="1"/>
    <col min="2981" max="2981" width="7.44140625" style="88" bestFit="1" customWidth="1"/>
    <col min="2982" max="2982" width="7.6640625" style="88" bestFit="1" customWidth="1"/>
    <col min="2983" max="2983" width="10.44140625" style="88" bestFit="1" customWidth="1"/>
    <col min="2984" max="2984" width="8" style="88" bestFit="1" customWidth="1"/>
    <col min="2985" max="2985" width="7.6640625" style="88" bestFit="1" customWidth="1"/>
    <col min="2986" max="2986" width="10.44140625" style="88" bestFit="1" customWidth="1"/>
    <col min="2987" max="2987" width="7.44140625" style="88" bestFit="1" customWidth="1"/>
    <col min="2988" max="2988" width="7.6640625" style="88" bestFit="1" customWidth="1"/>
    <col min="2989" max="2989" width="10.44140625" style="88" bestFit="1" customWidth="1"/>
    <col min="2990" max="2990" width="7.44140625" style="88" bestFit="1" customWidth="1"/>
    <col min="2991" max="2991" width="7.6640625" style="88" bestFit="1" customWidth="1"/>
    <col min="2992" max="2992" width="10.44140625" style="88" bestFit="1" customWidth="1"/>
    <col min="2993" max="2993" width="5.109375" style="88" customWidth="1"/>
    <col min="2994" max="3216" width="8.6640625" style="88"/>
    <col min="3217" max="3217" width="3.44140625" style="88" customWidth="1"/>
    <col min="3218" max="3218" width="7" style="88" customWidth="1"/>
    <col min="3219" max="3219" width="25.44140625" style="88" customWidth="1"/>
    <col min="3220" max="3220" width="12" style="88" customWidth="1"/>
    <col min="3221" max="3221" width="12.6640625" style="88" bestFit="1" customWidth="1"/>
    <col min="3222" max="3222" width="7.44140625" style="88" bestFit="1" customWidth="1"/>
    <col min="3223" max="3223" width="7.6640625" style="88" bestFit="1" customWidth="1"/>
    <col min="3224" max="3224" width="15" style="88" customWidth="1"/>
    <col min="3225" max="3225" width="7.44140625" style="88" bestFit="1" customWidth="1"/>
    <col min="3226" max="3226" width="7.6640625" style="88" bestFit="1" customWidth="1"/>
    <col min="3227" max="3227" width="15" style="88" bestFit="1" customWidth="1"/>
    <col min="3228" max="3228" width="7.44140625" style="88" bestFit="1" customWidth="1"/>
    <col min="3229" max="3229" width="7.6640625" style="88" bestFit="1" customWidth="1"/>
    <col min="3230" max="3230" width="9.44140625" style="88" bestFit="1" customWidth="1"/>
    <col min="3231" max="3231" width="8" style="88" bestFit="1" customWidth="1"/>
    <col min="3232" max="3232" width="7.6640625" style="88" bestFit="1" customWidth="1"/>
    <col min="3233" max="3233" width="10.44140625" style="88" bestFit="1" customWidth="1"/>
    <col min="3234" max="3234" width="8" style="88" bestFit="1" customWidth="1"/>
    <col min="3235" max="3235" width="7.6640625" style="88" bestFit="1" customWidth="1"/>
    <col min="3236" max="3236" width="10.44140625" style="88" bestFit="1" customWidth="1"/>
    <col min="3237" max="3237" width="7.44140625" style="88" bestFit="1" customWidth="1"/>
    <col min="3238" max="3238" width="7.6640625" style="88" bestFit="1" customWidth="1"/>
    <col min="3239" max="3239" width="10.44140625" style="88" bestFit="1" customWidth="1"/>
    <col min="3240" max="3240" width="8" style="88" bestFit="1" customWidth="1"/>
    <col min="3241" max="3241" width="7.6640625" style="88" bestFit="1" customWidth="1"/>
    <col min="3242" max="3242" width="10.44140625" style="88" bestFit="1" customWidth="1"/>
    <col min="3243" max="3243" width="7.44140625" style="88" bestFit="1" customWidth="1"/>
    <col min="3244" max="3244" width="7.6640625" style="88" bestFit="1" customWidth="1"/>
    <col min="3245" max="3245" width="10.44140625" style="88" bestFit="1" customWidth="1"/>
    <col min="3246" max="3246" width="7.44140625" style="88" bestFit="1" customWidth="1"/>
    <col min="3247" max="3247" width="7.6640625" style="88" bestFit="1" customWidth="1"/>
    <col min="3248" max="3248" width="10.44140625" style="88" bestFit="1" customWidth="1"/>
    <col min="3249" max="3249" width="5.109375" style="88" customWidth="1"/>
    <col min="3250" max="3472" width="8.6640625" style="88"/>
    <col min="3473" max="3473" width="3.44140625" style="88" customWidth="1"/>
    <col min="3474" max="3474" width="7" style="88" customWidth="1"/>
    <col min="3475" max="3475" width="25.44140625" style="88" customWidth="1"/>
    <col min="3476" max="3476" width="12" style="88" customWidth="1"/>
    <col min="3477" max="3477" width="12.6640625" style="88" bestFit="1" customWidth="1"/>
    <col min="3478" max="3478" width="7.44140625" style="88" bestFit="1" customWidth="1"/>
    <col min="3479" max="3479" width="7.6640625" style="88" bestFit="1" customWidth="1"/>
    <col min="3480" max="3480" width="15" style="88" customWidth="1"/>
    <col min="3481" max="3481" width="7.44140625" style="88" bestFit="1" customWidth="1"/>
    <col min="3482" max="3482" width="7.6640625" style="88" bestFit="1" customWidth="1"/>
    <col min="3483" max="3483" width="15" style="88" bestFit="1" customWidth="1"/>
    <col min="3484" max="3484" width="7.44140625" style="88" bestFit="1" customWidth="1"/>
    <col min="3485" max="3485" width="7.6640625" style="88" bestFit="1" customWidth="1"/>
    <col min="3486" max="3486" width="9.44140625" style="88" bestFit="1" customWidth="1"/>
    <col min="3487" max="3487" width="8" style="88" bestFit="1" customWidth="1"/>
    <col min="3488" max="3488" width="7.6640625" style="88" bestFit="1" customWidth="1"/>
    <col min="3489" max="3489" width="10.44140625" style="88" bestFit="1" customWidth="1"/>
    <col min="3490" max="3490" width="8" style="88" bestFit="1" customWidth="1"/>
    <col min="3491" max="3491" width="7.6640625" style="88" bestFit="1" customWidth="1"/>
    <col min="3492" max="3492" width="10.44140625" style="88" bestFit="1" customWidth="1"/>
    <col min="3493" max="3493" width="7.44140625" style="88" bestFit="1" customWidth="1"/>
    <col min="3494" max="3494" width="7.6640625" style="88" bestFit="1" customWidth="1"/>
    <col min="3495" max="3495" width="10.44140625" style="88" bestFit="1" customWidth="1"/>
    <col min="3496" max="3496" width="8" style="88" bestFit="1" customWidth="1"/>
    <col min="3497" max="3497" width="7.6640625" style="88" bestFit="1" customWidth="1"/>
    <col min="3498" max="3498" width="10.44140625" style="88" bestFit="1" customWidth="1"/>
    <col min="3499" max="3499" width="7.44140625" style="88" bestFit="1" customWidth="1"/>
    <col min="3500" max="3500" width="7.6640625" style="88" bestFit="1" customWidth="1"/>
    <col min="3501" max="3501" width="10.44140625" style="88" bestFit="1" customWidth="1"/>
    <col min="3502" max="3502" width="7.44140625" style="88" bestFit="1" customWidth="1"/>
    <col min="3503" max="3503" width="7.6640625" style="88" bestFit="1" customWidth="1"/>
    <col min="3504" max="3504" width="10.44140625" style="88" bestFit="1" customWidth="1"/>
    <col min="3505" max="3505" width="5.109375" style="88" customWidth="1"/>
    <col min="3506" max="3728" width="8.6640625" style="88"/>
    <col min="3729" max="3729" width="3.44140625" style="88" customWidth="1"/>
    <col min="3730" max="3730" width="7" style="88" customWidth="1"/>
    <col min="3731" max="3731" width="25.44140625" style="88" customWidth="1"/>
    <col min="3732" max="3732" width="12" style="88" customWidth="1"/>
    <col min="3733" max="3733" width="12.6640625" style="88" bestFit="1" customWidth="1"/>
    <col min="3734" max="3734" width="7.44140625" style="88" bestFit="1" customWidth="1"/>
    <col min="3735" max="3735" width="7.6640625" style="88" bestFit="1" customWidth="1"/>
    <col min="3736" max="3736" width="15" style="88" customWidth="1"/>
    <col min="3737" max="3737" width="7.44140625" style="88" bestFit="1" customWidth="1"/>
    <col min="3738" max="3738" width="7.6640625" style="88" bestFit="1" customWidth="1"/>
    <col min="3739" max="3739" width="15" style="88" bestFit="1" customWidth="1"/>
    <col min="3740" max="3740" width="7.44140625" style="88" bestFit="1" customWidth="1"/>
    <col min="3741" max="3741" width="7.6640625" style="88" bestFit="1" customWidth="1"/>
    <col min="3742" max="3742" width="9.44140625" style="88" bestFit="1" customWidth="1"/>
    <col min="3743" max="3743" width="8" style="88" bestFit="1" customWidth="1"/>
    <col min="3744" max="3744" width="7.6640625" style="88" bestFit="1" customWidth="1"/>
    <col min="3745" max="3745" width="10.44140625" style="88" bestFit="1" customWidth="1"/>
    <col min="3746" max="3746" width="8" style="88" bestFit="1" customWidth="1"/>
    <col min="3747" max="3747" width="7.6640625" style="88" bestFit="1" customWidth="1"/>
    <col min="3748" max="3748" width="10.44140625" style="88" bestFit="1" customWidth="1"/>
    <col min="3749" max="3749" width="7.44140625" style="88" bestFit="1" customWidth="1"/>
    <col min="3750" max="3750" width="7.6640625" style="88" bestFit="1" customWidth="1"/>
    <col min="3751" max="3751" width="10.44140625" style="88" bestFit="1" customWidth="1"/>
    <col min="3752" max="3752" width="8" style="88" bestFit="1" customWidth="1"/>
    <col min="3753" max="3753" width="7.6640625" style="88" bestFit="1" customWidth="1"/>
    <col min="3754" max="3754" width="10.44140625" style="88" bestFit="1" customWidth="1"/>
    <col min="3755" max="3755" width="7.44140625" style="88" bestFit="1" customWidth="1"/>
    <col min="3756" max="3756" width="7.6640625" style="88" bestFit="1" customWidth="1"/>
    <col min="3757" max="3757" width="10.44140625" style="88" bestFit="1" customWidth="1"/>
    <col min="3758" max="3758" width="7.44140625" style="88" bestFit="1" customWidth="1"/>
    <col min="3759" max="3759" width="7.6640625" style="88" bestFit="1" customWidth="1"/>
    <col min="3760" max="3760" width="10.44140625" style="88" bestFit="1" customWidth="1"/>
    <col min="3761" max="3761" width="5.109375" style="88" customWidth="1"/>
    <col min="3762" max="3984" width="8.6640625" style="88"/>
    <col min="3985" max="3985" width="3.44140625" style="88" customWidth="1"/>
    <col min="3986" max="3986" width="7" style="88" customWidth="1"/>
    <col min="3987" max="3987" width="25.44140625" style="88" customWidth="1"/>
    <col min="3988" max="3988" width="12" style="88" customWidth="1"/>
    <col min="3989" max="3989" width="12.6640625" style="88" bestFit="1" customWidth="1"/>
    <col min="3990" max="3990" width="7.44140625" style="88" bestFit="1" customWidth="1"/>
    <col min="3991" max="3991" width="7.6640625" style="88" bestFit="1" customWidth="1"/>
    <col min="3992" max="3992" width="15" style="88" customWidth="1"/>
    <col min="3993" max="3993" width="7.44140625" style="88" bestFit="1" customWidth="1"/>
    <col min="3994" max="3994" width="7.6640625" style="88" bestFit="1" customWidth="1"/>
    <col min="3995" max="3995" width="15" style="88" bestFit="1" customWidth="1"/>
    <col min="3996" max="3996" width="7.44140625" style="88" bestFit="1" customWidth="1"/>
    <col min="3997" max="3997" width="7.6640625" style="88" bestFit="1" customWidth="1"/>
    <col min="3998" max="3998" width="9.44140625" style="88" bestFit="1" customWidth="1"/>
    <col min="3999" max="3999" width="8" style="88" bestFit="1" customWidth="1"/>
    <col min="4000" max="4000" width="7.6640625" style="88" bestFit="1" customWidth="1"/>
    <col min="4001" max="4001" width="10.44140625" style="88" bestFit="1" customWidth="1"/>
    <col min="4002" max="4002" width="8" style="88" bestFit="1" customWidth="1"/>
    <col min="4003" max="4003" width="7.6640625" style="88" bestFit="1" customWidth="1"/>
    <col min="4004" max="4004" width="10.44140625" style="88" bestFit="1" customWidth="1"/>
    <col min="4005" max="4005" width="7.44140625" style="88" bestFit="1" customWidth="1"/>
    <col min="4006" max="4006" width="7.6640625" style="88" bestFit="1" customWidth="1"/>
    <col min="4007" max="4007" width="10.44140625" style="88" bestFit="1" customWidth="1"/>
    <col min="4008" max="4008" width="8" style="88" bestFit="1" customWidth="1"/>
    <col min="4009" max="4009" width="7.6640625" style="88" bestFit="1" customWidth="1"/>
    <col min="4010" max="4010" width="10.44140625" style="88" bestFit="1" customWidth="1"/>
    <col min="4011" max="4011" width="7.44140625" style="88" bestFit="1" customWidth="1"/>
    <col min="4012" max="4012" width="7.6640625" style="88" bestFit="1" customWidth="1"/>
    <col min="4013" max="4013" width="10.44140625" style="88" bestFit="1" customWidth="1"/>
    <col min="4014" max="4014" width="7.44140625" style="88" bestFit="1" customWidth="1"/>
    <col min="4015" max="4015" width="7.6640625" style="88" bestFit="1" customWidth="1"/>
    <col min="4016" max="4016" width="10.44140625" style="88" bestFit="1" customWidth="1"/>
    <col min="4017" max="4017" width="5.109375" style="88" customWidth="1"/>
    <col min="4018" max="4240" width="8.6640625" style="88"/>
    <col min="4241" max="4241" width="3.44140625" style="88" customWidth="1"/>
    <col min="4242" max="4242" width="7" style="88" customWidth="1"/>
    <col min="4243" max="4243" width="25.44140625" style="88" customWidth="1"/>
    <col min="4244" max="4244" width="12" style="88" customWidth="1"/>
    <col min="4245" max="4245" width="12.6640625" style="88" bestFit="1" customWidth="1"/>
    <col min="4246" max="4246" width="7.44140625" style="88" bestFit="1" customWidth="1"/>
    <col min="4247" max="4247" width="7.6640625" style="88" bestFit="1" customWidth="1"/>
    <col min="4248" max="4248" width="15" style="88" customWidth="1"/>
    <col min="4249" max="4249" width="7.44140625" style="88" bestFit="1" customWidth="1"/>
    <col min="4250" max="4250" width="7.6640625" style="88" bestFit="1" customWidth="1"/>
    <col min="4251" max="4251" width="15" style="88" bestFit="1" customWidth="1"/>
    <col min="4252" max="4252" width="7.44140625" style="88" bestFit="1" customWidth="1"/>
    <col min="4253" max="4253" width="7.6640625" style="88" bestFit="1" customWidth="1"/>
    <col min="4254" max="4254" width="9.44140625" style="88" bestFit="1" customWidth="1"/>
    <col min="4255" max="4255" width="8" style="88" bestFit="1" customWidth="1"/>
    <col min="4256" max="4256" width="7.6640625" style="88" bestFit="1" customWidth="1"/>
    <col min="4257" max="4257" width="10.44140625" style="88" bestFit="1" customWidth="1"/>
    <col min="4258" max="4258" width="8" style="88" bestFit="1" customWidth="1"/>
    <col min="4259" max="4259" width="7.6640625" style="88" bestFit="1" customWidth="1"/>
    <col min="4260" max="4260" width="10.44140625" style="88" bestFit="1" customWidth="1"/>
    <col min="4261" max="4261" width="7.44140625" style="88" bestFit="1" customWidth="1"/>
    <col min="4262" max="4262" width="7.6640625" style="88" bestFit="1" customWidth="1"/>
    <col min="4263" max="4263" width="10.44140625" style="88" bestFit="1" customWidth="1"/>
    <col min="4264" max="4264" width="8" style="88" bestFit="1" customWidth="1"/>
    <col min="4265" max="4265" width="7.6640625" style="88" bestFit="1" customWidth="1"/>
    <col min="4266" max="4266" width="10.44140625" style="88" bestFit="1" customWidth="1"/>
    <col min="4267" max="4267" width="7.44140625" style="88" bestFit="1" customWidth="1"/>
    <col min="4268" max="4268" width="7.6640625" style="88" bestFit="1" customWidth="1"/>
    <col min="4269" max="4269" width="10.44140625" style="88" bestFit="1" customWidth="1"/>
    <col min="4270" max="4270" width="7.44140625" style="88" bestFit="1" customWidth="1"/>
    <col min="4271" max="4271" width="7.6640625" style="88" bestFit="1" customWidth="1"/>
    <col min="4272" max="4272" width="10.44140625" style="88" bestFit="1" customWidth="1"/>
    <col min="4273" max="4273" width="5.109375" style="88" customWidth="1"/>
    <col min="4274" max="4496" width="8.6640625" style="88"/>
    <col min="4497" max="4497" width="3.44140625" style="88" customWidth="1"/>
    <col min="4498" max="4498" width="7" style="88" customWidth="1"/>
    <col min="4499" max="4499" width="25.44140625" style="88" customWidth="1"/>
    <col min="4500" max="4500" width="12" style="88" customWidth="1"/>
    <col min="4501" max="4501" width="12.6640625" style="88" bestFit="1" customWidth="1"/>
    <col min="4502" max="4502" width="7.44140625" style="88" bestFit="1" customWidth="1"/>
    <col min="4503" max="4503" width="7.6640625" style="88" bestFit="1" customWidth="1"/>
    <col min="4504" max="4504" width="15" style="88" customWidth="1"/>
    <col min="4505" max="4505" width="7.44140625" style="88" bestFit="1" customWidth="1"/>
    <col min="4506" max="4506" width="7.6640625" style="88" bestFit="1" customWidth="1"/>
    <col min="4507" max="4507" width="15" style="88" bestFit="1" customWidth="1"/>
    <col min="4508" max="4508" width="7.44140625" style="88" bestFit="1" customWidth="1"/>
    <col min="4509" max="4509" width="7.6640625" style="88" bestFit="1" customWidth="1"/>
    <col min="4510" max="4510" width="9.44140625" style="88" bestFit="1" customWidth="1"/>
    <col min="4511" max="4511" width="8" style="88" bestFit="1" customWidth="1"/>
    <col min="4512" max="4512" width="7.6640625" style="88" bestFit="1" customWidth="1"/>
    <col min="4513" max="4513" width="10.44140625" style="88" bestFit="1" customWidth="1"/>
    <col min="4514" max="4514" width="8" style="88" bestFit="1" customWidth="1"/>
    <col min="4515" max="4515" width="7.6640625" style="88" bestFit="1" customWidth="1"/>
    <col min="4516" max="4516" width="10.44140625" style="88" bestFit="1" customWidth="1"/>
    <col min="4517" max="4517" width="7.44140625" style="88" bestFit="1" customWidth="1"/>
    <col min="4518" max="4518" width="7.6640625" style="88" bestFit="1" customWidth="1"/>
    <col min="4519" max="4519" width="10.44140625" style="88" bestFit="1" customWidth="1"/>
    <col min="4520" max="4520" width="8" style="88" bestFit="1" customWidth="1"/>
    <col min="4521" max="4521" width="7.6640625" style="88" bestFit="1" customWidth="1"/>
    <col min="4522" max="4522" width="10.44140625" style="88" bestFit="1" customWidth="1"/>
    <col min="4523" max="4523" width="7.44140625" style="88" bestFit="1" customWidth="1"/>
    <col min="4524" max="4524" width="7.6640625" style="88" bestFit="1" customWidth="1"/>
    <col min="4525" max="4525" width="10.44140625" style="88" bestFit="1" customWidth="1"/>
    <col min="4526" max="4526" width="7.44140625" style="88" bestFit="1" customWidth="1"/>
    <col min="4527" max="4527" width="7.6640625" style="88" bestFit="1" customWidth="1"/>
    <col min="4528" max="4528" width="10.44140625" style="88" bestFit="1" customWidth="1"/>
    <col min="4529" max="4529" width="5.109375" style="88" customWidth="1"/>
    <col min="4530" max="4752" width="8.6640625" style="88"/>
    <col min="4753" max="4753" width="3.44140625" style="88" customWidth="1"/>
    <col min="4754" max="4754" width="7" style="88" customWidth="1"/>
    <col min="4755" max="4755" width="25.44140625" style="88" customWidth="1"/>
    <col min="4756" max="4756" width="12" style="88" customWidth="1"/>
    <col min="4757" max="4757" width="12.6640625" style="88" bestFit="1" customWidth="1"/>
    <col min="4758" max="4758" width="7.44140625" style="88" bestFit="1" customWidth="1"/>
    <col min="4759" max="4759" width="7.6640625" style="88" bestFit="1" customWidth="1"/>
    <col min="4760" max="4760" width="15" style="88" customWidth="1"/>
    <col min="4761" max="4761" width="7.44140625" style="88" bestFit="1" customWidth="1"/>
    <col min="4762" max="4762" width="7.6640625" style="88" bestFit="1" customWidth="1"/>
    <col min="4763" max="4763" width="15" style="88" bestFit="1" customWidth="1"/>
    <col min="4764" max="4764" width="7.44140625" style="88" bestFit="1" customWidth="1"/>
    <col min="4765" max="4765" width="7.6640625" style="88" bestFit="1" customWidth="1"/>
    <col min="4766" max="4766" width="9.44140625" style="88" bestFit="1" customWidth="1"/>
    <col min="4767" max="4767" width="8" style="88" bestFit="1" customWidth="1"/>
    <col min="4768" max="4768" width="7.6640625" style="88" bestFit="1" customWidth="1"/>
    <col min="4769" max="4769" width="10.44140625" style="88" bestFit="1" customWidth="1"/>
    <col min="4770" max="4770" width="8" style="88" bestFit="1" customWidth="1"/>
    <col min="4771" max="4771" width="7.6640625" style="88" bestFit="1" customWidth="1"/>
    <col min="4772" max="4772" width="10.44140625" style="88" bestFit="1" customWidth="1"/>
    <col min="4773" max="4773" width="7.44140625" style="88" bestFit="1" customWidth="1"/>
    <col min="4774" max="4774" width="7.6640625" style="88" bestFit="1" customWidth="1"/>
    <col min="4775" max="4775" width="10.44140625" style="88" bestFit="1" customWidth="1"/>
    <col min="4776" max="4776" width="8" style="88" bestFit="1" customWidth="1"/>
    <col min="4777" max="4777" width="7.6640625" style="88" bestFit="1" customWidth="1"/>
    <col min="4778" max="4778" width="10.44140625" style="88" bestFit="1" customWidth="1"/>
    <col min="4779" max="4779" width="7.44140625" style="88" bestFit="1" customWidth="1"/>
    <col min="4780" max="4780" width="7.6640625" style="88" bestFit="1" customWidth="1"/>
    <col min="4781" max="4781" width="10.44140625" style="88" bestFit="1" customWidth="1"/>
    <col min="4782" max="4782" width="7.44140625" style="88" bestFit="1" customWidth="1"/>
    <col min="4783" max="4783" width="7.6640625" style="88" bestFit="1" customWidth="1"/>
    <col min="4784" max="4784" width="10.44140625" style="88" bestFit="1" customWidth="1"/>
    <col min="4785" max="4785" width="5.109375" style="88" customWidth="1"/>
    <col min="4786" max="5008" width="8.6640625" style="88"/>
    <col min="5009" max="5009" width="3.44140625" style="88" customWidth="1"/>
    <col min="5010" max="5010" width="7" style="88" customWidth="1"/>
    <col min="5011" max="5011" width="25.44140625" style="88" customWidth="1"/>
    <col min="5012" max="5012" width="12" style="88" customWidth="1"/>
    <col min="5013" max="5013" width="12.6640625" style="88" bestFit="1" customWidth="1"/>
    <col min="5014" max="5014" width="7.44140625" style="88" bestFit="1" customWidth="1"/>
    <col min="5015" max="5015" width="7.6640625" style="88" bestFit="1" customWidth="1"/>
    <col min="5016" max="5016" width="15" style="88" customWidth="1"/>
    <col min="5017" max="5017" width="7.44140625" style="88" bestFit="1" customWidth="1"/>
    <col min="5018" max="5018" width="7.6640625" style="88" bestFit="1" customWidth="1"/>
    <col min="5019" max="5019" width="15" style="88" bestFit="1" customWidth="1"/>
    <col min="5020" max="5020" width="7.44140625" style="88" bestFit="1" customWidth="1"/>
    <col min="5021" max="5021" width="7.6640625" style="88" bestFit="1" customWidth="1"/>
    <col min="5022" max="5022" width="9.44140625" style="88" bestFit="1" customWidth="1"/>
    <col min="5023" max="5023" width="8" style="88" bestFit="1" customWidth="1"/>
    <col min="5024" max="5024" width="7.6640625" style="88" bestFit="1" customWidth="1"/>
    <col min="5025" max="5025" width="10.44140625" style="88" bestFit="1" customWidth="1"/>
    <col min="5026" max="5026" width="8" style="88" bestFit="1" customWidth="1"/>
    <col min="5027" max="5027" width="7.6640625" style="88" bestFit="1" customWidth="1"/>
    <col min="5028" max="5028" width="10.44140625" style="88" bestFit="1" customWidth="1"/>
    <col min="5029" max="5029" width="7.44140625" style="88" bestFit="1" customWidth="1"/>
    <col min="5030" max="5030" width="7.6640625" style="88" bestFit="1" customWidth="1"/>
    <col min="5031" max="5031" width="10.44140625" style="88" bestFit="1" customWidth="1"/>
    <col min="5032" max="5032" width="8" style="88" bestFit="1" customWidth="1"/>
    <col min="5033" max="5033" width="7.6640625" style="88" bestFit="1" customWidth="1"/>
    <col min="5034" max="5034" width="10.44140625" style="88" bestFit="1" customWidth="1"/>
    <col min="5035" max="5035" width="7.44140625" style="88" bestFit="1" customWidth="1"/>
    <col min="5036" max="5036" width="7.6640625" style="88" bestFit="1" customWidth="1"/>
    <col min="5037" max="5037" width="10.44140625" style="88" bestFit="1" customWidth="1"/>
    <col min="5038" max="5038" width="7.44140625" style="88" bestFit="1" customWidth="1"/>
    <col min="5039" max="5039" width="7.6640625" style="88" bestFit="1" customWidth="1"/>
    <col min="5040" max="5040" width="10.44140625" style="88" bestFit="1" customWidth="1"/>
    <col min="5041" max="5041" width="5.109375" style="88" customWidth="1"/>
    <col min="5042" max="5264" width="8.6640625" style="88"/>
    <col min="5265" max="5265" width="3.44140625" style="88" customWidth="1"/>
    <col min="5266" max="5266" width="7" style="88" customWidth="1"/>
    <col min="5267" max="5267" width="25.44140625" style="88" customWidth="1"/>
    <col min="5268" max="5268" width="12" style="88" customWidth="1"/>
    <col min="5269" max="5269" width="12.6640625" style="88" bestFit="1" customWidth="1"/>
    <col min="5270" max="5270" width="7.44140625" style="88" bestFit="1" customWidth="1"/>
    <col min="5271" max="5271" width="7.6640625" style="88" bestFit="1" customWidth="1"/>
    <col min="5272" max="5272" width="15" style="88" customWidth="1"/>
    <col min="5273" max="5273" width="7.44140625" style="88" bestFit="1" customWidth="1"/>
    <col min="5274" max="5274" width="7.6640625" style="88" bestFit="1" customWidth="1"/>
    <col min="5275" max="5275" width="15" style="88" bestFit="1" customWidth="1"/>
    <col min="5276" max="5276" width="7.44140625" style="88" bestFit="1" customWidth="1"/>
    <col min="5277" max="5277" width="7.6640625" style="88" bestFit="1" customWidth="1"/>
    <col min="5278" max="5278" width="9.44140625" style="88" bestFit="1" customWidth="1"/>
    <col min="5279" max="5279" width="8" style="88" bestFit="1" customWidth="1"/>
    <col min="5280" max="5280" width="7.6640625" style="88" bestFit="1" customWidth="1"/>
    <col min="5281" max="5281" width="10.44140625" style="88" bestFit="1" customWidth="1"/>
    <col min="5282" max="5282" width="8" style="88" bestFit="1" customWidth="1"/>
    <col min="5283" max="5283" width="7.6640625" style="88" bestFit="1" customWidth="1"/>
    <col min="5284" max="5284" width="10.44140625" style="88" bestFit="1" customWidth="1"/>
    <col min="5285" max="5285" width="7.44140625" style="88" bestFit="1" customWidth="1"/>
    <col min="5286" max="5286" width="7.6640625" style="88" bestFit="1" customWidth="1"/>
    <col min="5287" max="5287" width="10.44140625" style="88" bestFit="1" customWidth="1"/>
    <col min="5288" max="5288" width="8" style="88" bestFit="1" customWidth="1"/>
    <col min="5289" max="5289" width="7.6640625" style="88" bestFit="1" customWidth="1"/>
    <col min="5290" max="5290" width="10.44140625" style="88" bestFit="1" customWidth="1"/>
    <col min="5291" max="5291" width="7.44140625" style="88" bestFit="1" customWidth="1"/>
    <col min="5292" max="5292" width="7.6640625" style="88" bestFit="1" customWidth="1"/>
    <col min="5293" max="5293" width="10.44140625" style="88" bestFit="1" customWidth="1"/>
    <col min="5294" max="5294" width="7.44140625" style="88" bestFit="1" customWidth="1"/>
    <col min="5295" max="5295" width="7.6640625" style="88" bestFit="1" customWidth="1"/>
    <col min="5296" max="5296" width="10.44140625" style="88" bestFit="1" customWidth="1"/>
    <col min="5297" max="5297" width="5.109375" style="88" customWidth="1"/>
    <col min="5298" max="5520" width="8.6640625" style="88"/>
    <col min="5521" max="5521" width="3.44140625" style="88" customWidth="1"/>
    <col min="5522" max="5522" width="7" style="88" customWidth="1"/>
    <col min="5523" max="5523" width="25.44140625" style="88" customWidth="1"/>
    <col min="5524" max="5524" width="12" style="88" customWidth="1"/>
    <col min="5525" max="5525" width="12.6640625" style="88" bestFit="1" customWidth="1"/>
    <col min="5526" max="5526" width="7.44140625" style="88" bestFit="1" customWidth="1"/>
    <col min="5527" max="5527" width="7.6640625" style="88" bestFit="1" customWidth="1"/>
    <col min="5528" max="5528" width="15" style="88" customWidth="1"/>
    <col min="5529" max="5529" width="7.44140625" style="88" bestFit="1" customWidth="1"/>
    <col min="5530" max="5530" width="7.6640625" style="88" bestFit="1" customWidth="1"/>
    <col min="5531" max="5531" width="15" style="88" bestFit="1" customWidth="1"/>
    <col min="5532" max="5532" width="7.44140625" style="88" bestFit="1" customWidth="1"/>
    <col min="5533" max="5533" width="7.6640625" style="88" bestFit="1" customWidth="1"/>
    <col min="5534" max="5534" width="9.44140625" style="88" bestFit="1" customWidth="1"/>
    <col min="5535" max="5535" width="8" style="88" bestFit="1" customWidth="1"/>
    <col min="5536" max="5536" width="7.6640625" style="88" bestFit="1" customWidth="1"/>
    <col min="5537" max="5537" width="10.44140625" style="88" bestFit="1" customWidth="1"/>
    <col min="5538" max="5538" width="8" style="88" bestFit="1" customWidth="1"/>
    <col min="5539" max="5539" width="7.6640625" style="88" bestFit="1" customWidth="1"/>
    <col min="5540" max="5540" width="10.44140625" style="88" bestFit="1" customWidth="1"/>
    <col min="5541" max="5541" width="7.44140625" style="88" bestFit="1" customWidth="1"/>
    <col min="5542" max="5542" width="7.6640625" style="88" bestFit="1" customWidth="1"/>
    <col min="5543" max="5543" width="10.44140625" style="88" bestFit="1" customWidth="1"/>
    <col min="5544" max="5544" width="8" style="88" bestFit="1" customWidth="1"/>
    <col min="5545" max="5545" width="7.6640625" style="88" bestFit="1" customWidth="1"/>
    <col min="5546" max="5546" width="10.44140625" style="88" bestFit="1" customWidth="1"/>
    <col min="5547" max="5547" width="7.44140625" style="88" bestFit="1" customWidth="1"/>
    <col min="5548" max="5548" width="7.6640625" style="88" bestFit="1" customWidth="1"/>
    <col min="5549" max="5549" width="10.44140625" style="88" bestFit="1" customWidth="1"/>
    <col min="5550" max="5550" width="7.44140625" style="88" bestFit="1" customWidth="1"/>
    <col min="5551" max="5551" width="7.6640625" style="88" bestFit="1" customWidth="1"/>
    <col min="5552" max="5552" width="10.44140625" style="88" bestFit="1" customWidth="1"/>
    <col min="5553" max="5553" width="5.109375" style="88" customWidth="1"/>
    <col min="5554" max="5776" width="8.6640625" style="88"/>
    <col min="5777" max="5777" width="3.44140625" style="88" customWidth="1"/>
    <col min="5778" max="5778" width="7" style="88" customWidth="1"/>
    <col min="5779" max="5779" width="25.44140625" style="88" customWidth="1"/>
    <col min="5780" max="5780" width="12" style="88" customWidth="1"/>
    <col min="5781" max="5781" width="12.6640625" style="88" bestFit="1" customWidth="1"/>
    <col min="5782" max="5782" width="7.44140625" style="88" bestFit="1" customWidth="1"/>
    <col min="5783" max="5783" width="7.6640625" style="88" bestFit="1" customWidth="1"/>
    <col min="5784" max="5784" width="15" style="88" customWidth="1"/>
    <col min="5785" max="5785" width="7.44140625" style="88" bestFit="1" customWidth="1"/>
    <col min="5786" max="5786" width="7.6640625" style="88" bestFit="1" customWidth="1"/>
    <col min="5787" max="5787" width="15" style="88" bestFit="1" customWidth="1"/>
    <col min="5788" max="5788" width="7.44140625" style="88" bestFit="1" customWidth="1"/>
    <col min="5789" max="5789" width="7.6640625" style="88" bestFit="1" customWidth="1"/>
    <col min="5790" max="5790" width="9.44140625" style="88" bestFit="1" customWidth="1"/>
    <col min="5791" max="5791" width="8" style="88" bestFit="1" customWidth="1"/>
    <col min="5792" max="5792" width="7.6640625" style="88" bestFit="1" customWidth="1"/>
    <col min="5793" max="5793" width="10.44140625" style="88" bestFit="1" customWidth="1"/>
    <col min="5794" max="5794" width="8" style="88" bestFit="1" customWidth="1"/>
    <col min="5795" max="5795" width="7.6640625" style="88" bestFit="1" customWidth="1"/>
    <col min="5796" max="5796" width="10.44140625" style="88" bestFit="1" customWidth="1"/>
    <col min="5797" max="5797" width="7.44140625" style="88" bestFit="1" customWidth="1"/>
    <col min="5798" max="5798" width="7.6640625" style="88" bestFit="1" customWidth="1"/>
    <col min="5799" max="5799" width="10.44140625" style="88" bestFit="1" customWidth="1"/>
    <col min="5800" max="5800" width="8" style="88" bestFit="1" customWidth="1"/>
    <col min="5801" max="5801" width="7.6640625" style="88" bestFit="1" customWidth="1"/>
    <col min="5802" max="5802" width="10.44140625" style="88" bestFit="1" customWidth="1"/>
    <col min="5803" max="5803" width="7.44140625" style="88" bestFit="1" customWidth="1"/>
    <col min="5804" max="5804" width="7.6640625" style="88" bestFit="1" customWidth="1"/>
    <col min="5805" max="5805" width="10.44140625" style="88" bestFit="1" customWidth="1"/>
    <col min="5806" max="5806" width="7.44140625" style="88" bestFit="1" customWidth="1"/>
    <col min="5807" max="5807" width="7.6640625" style="88" bestFit="1" customWidth="1"/>
    <col min="5808" max="5808" width="10.44140625" style="88" bestFit="1" customWidth="1"/>
    <col min="5809" max="5809" width="5.109375" style="88" customWidth="1"/>
    <col min="5810" max="6032" width="8.6640625" style="88"/>
    <col min="6033" max="6033" width="3.44140625" style="88" customWidth="1"/>
    <col min="6034" max="6034" width="7" style="88" customWidth="1"/>
    <col min="6035" max="6035" width="25.44140625" style="88" customWidth="1"/>
    <col min="6036" max="6036" width="12" style="88" customWidth="1"/>
    <col min="6037" max="6037" width="12.6640625" style="88" bestFit="1" customWidth="1"/>
    <col min="6038" max="6038" width="7.44140625" style="88" bestFit="1" customWidth="1"/>
    <col min="6039" max="6039" width="7.6640625" style="88" bestFit="1" customWidth="1"/>
    <col min="6040" max="6040" width="15" style="88" customWidth="1"/>
    <col min="6041" max="6041" width="7.44140625" style="88" bestFit="1" customWidth="1"/>
    <col min="6042" max="6042" width="7.6640625" style="88" bestFit="1" customWidth="1"/>
    <col min="6043" max="6043" width="15" style="88" bestFit="1" customWidth="1"/>
    <col min="6044" max="6044" width="7.44140625" style="88" bestFit="1" customWidth="1"/>
    <col min="6045" max="6045" width="7.6640625" style="88" bestFit="1" customWidth="1"/>
    <col min="6046" max="6046" width="9.44140625" style="88" bestFit="1" customWidth="1"/>
    <col min="6047" max="6047" width="8" style="88" bestFit="1" customWidth="1"/>
    <col min="6048" max="6048" width="7.6640625" style="88" bestFit="1" customWidth="1"/>
    <col min="6049" max="6049" width="10.44140625" style="88" bestFit="1" customWidth="1"/>
    <col min="6050" max="6050" width="8" style="88" bestFit="1" customWidth="1"/>
    <col min="6051" max="6051" width="7.6640625" style="88" bestFit="1" customWidth="1"/>
    <col min="6052" max="6052" width="10.44140625" style="88" bestFit="1" customWidth="1"/>
    <col min="6053" max="6053" width="7.44140625" style="88" bestFit="1" customWidth="1"/>
    <col min="6054" max="6054" width="7.6640625" style="88" bestFit="1" customWidth="1"/>
    <col min="6055" max="6055" width="10.44140625" style="88" bestFit="1" customWidth="1"/>
    <col min="6056" max="6056" width="8" style="88" bestFit="1" customWidth="1"/>
    <col min="6057" max="6057" width="7.6640625" style="88" bestFit="1" customWidth="1"/>
    <col min="6058" max="6058" width="10.44140625" style="88" bestFit="1" customWidth="1"/>
    <col min="6059" max="6059" width="7.44140625" style="88" bestFit="1" customWidth="1"/>
    <col min="6060" max="6060" width="7.6640625" style="88" bestFit="1" customWidth="1"/>
    <col min="6061" max="6061" width="10.44140625" style="88" bestFit="1" customWidth="1"/>
    <col min="6062" max="6062" width="7.44140625" style="88" bestFit="1" customWidth="1"/>
    <col min="6063" max="6063" width="7.6640625" style="88" bestFit="1" customWidth="1"/>
    <col min="6064" max="6064" width="10.44140625" style="88" bestFit="1" customWidth="1"/>
    <col min="6065" max="6065" width="5.109375" style="88" customWidth="1"/>
    <col min="6066" max="6288" width="8.6640625" style="88"/>
    <col min="6289" max="6289" width="3.44140625" style="88" customWidth="1"/>
    <col min="6290" max="6290" width="7" style="88" customWidth="1"/>
    <col min="6291" max="6291" width="25.44140625" style="88" customWidth="1"/>
    <col min="6292" max="6292" width="12" style="88" customWidth="1"/>
    <col min="6293" max="6293" width="12.6640625" style="88" bestFit="1" customWidth="1"/>
    <col min="6294" max="6294" width="7.44140625" style="88" bestFit="1" customWidth="1"/>
    <col min="6295" max="6295" width="7.6640625" style="88" bestFit="1" customWidth="1"/>
    <col min="6296" max="6296" width="15" style="88" customWidth="1"/>
    <col min="6297" max="6297" width="7.44140625" style="88" bestFit="1" customWidth="1"/>
    <col min="6298" max="6298" width="7.6640625" style="88" bestFit="1" customWidth="1"/>
    <col min="6299" max="6299" width="15" style="88" bestFit="1" customWidth="1"/>
    <col min="6300" max="6300" width="7.44140625" style="88" bestFit="1" customWidth="1"/>
    <col min="6301" max="6301" width="7.6640625" style="88" bestFit="1" customWidth="1"/>
    <col min="6302" max="6302" width="9.44140625" style="88" bestFit="1" customWidth="1"/>
    <col min="6303" max="6303" width="8" style="88" bestFit="1" customWidth="1"/>
    <col min="6304" max="6304" width="7.6640625" style="88" bestFit="1" customWidth="1"/>
    <col min="6305" max="6305" width="10.44140625" style="88" bestFit="1" customWidth="1"/>
    <col min="6306" max="6306" width="8" style="88" bestFit="1" customWidth="1"/>
    <col min="6307" max="6307" width="7.6640625" style="88" bestFit="1" customWidth="1"/>
    <col min="6308" max="6308" width="10.44140625" style="88" bestFit="1" customWidth="1"/>
    <col min="6309" max="6309" width="7.44140625" style="88" bestFit="1" customWidth="1"/>
    <col min="6310" max="6310" width="7.6640625" style="88" bestFit="1" customWidth="1"/>
    <col min="6311" max="6311" width="10.44140625" style="88" bestFit="1" customWidth="1"/>
    <col min="6312" max="6312" width="8" style="88" bestFit="1" customWidth="1"/>
    <col min="6313" max="6313" width="7.6640625" style="88" bestFit="1" customWidth="1"/>
    <col min="6314" max="6314" width="10.44140625" style="88" bestFit="1" customWidth="1"/>
    <col min="6315" max="6315" width="7.44140625" style="88" bestFit="1" customWidth="1"/>
    <col min="6316" max="6316" width="7.6640625" style="88" bestFit="1" customWidth="1"/>
    <col min="6317" max="6317" width="10.44140625" style="88" bestFit="1" customWidth="1"/>
    <col min="6318" max="6318" width="7.44140625" style="88" bestFit="1" customWidth="1"/>
    <col min="6319" max="6319" width="7.6640625" style="88" bestFit="1" customWidth="1"/>
    <col min="6320" max="6320" width="10.44140625" style="88" bestFit="1" customWidth="1"/>
    <col min="6321" max="6321" width="5.109375" style="88" customWidth="1"/>
    <col min="6322" max="6544" width="8.6640625" style="88"/>
    <col min="6545" max="6545" width="3.44140625" style="88" customWidth="1"/>
    <col min="6546" max="6546" width="7" style="88" customWidth="1"/>
    <col min="6547" max="6547" width="25.44140625" style="88" customWidth="1"/>
    <col min="6548" max="6548" width="12" style="88" customWidth="1"/>
    <col min="6549" max="6549" width="12.6640625" style="88" bestFit="1" customWidth="1"/>
    <col min="6550" max="6550" width="7.44140625" style="88" bestFit="1" customWidth="1"/>
    <col min="6551" max="6551" width="7.6640625" style="88" bestFit="1" customWidth="1"/>
    <col min="6552" max="6552" width="15" style="88" customWidth="1"/>
    <col min="6553" max="6553" width="7.44140625" style="88" bestFit="1" customWidth="1"/>
    <col min="6554" max="6554" width="7.6640625" style="88" bestFit="1" customWidth="1"/>
    <col min="6555" max="6555" width="15" style="88" bestFit="1" customWidth="1"/>
    <col min="6556" max="6556" width="7.44140625" style="88" bestFit="1" customWidth="1"/>
    <col min="6557" max="6557" width="7.6640625" style="88" bestFit="1" customWidth="1"/>
    <col min="6558" max="6558" width="9.44140625" style="88" bestFit="1" customWidth="1"/>
    <col min="6559" max="6559" width="8" style="88" bestFit="1" customWidth="1"/>
    <col min="6560" max="6560" width="7.6640625" style="88" bestFit="1" customWidth="1"/>
    <col min="6561" max="6561" width="10.44140625" style="88" bestFit="1" customWidth="1"/>
    <col min="6562" max="6562" width="8" style="88" bestFit="1" customWidth="1"/>
    <col min="6563" max="6563" width="7.6640625" style="88" bestFit="1" customWidth="1"/>
    <col min="6564" max="6564" width="10.44140625" style="88" bestFit="1" customWidth="1"/>
    <col min="6565" max="6565" width="7.44140625" style="88" bestFit="1" customWidth="1"/>
    <col min="6566" max="6566" width="7.6640625" style="88" bestFit="1" customWidth="1"/>
    <col min="6567" max="6567" width="10.44140625" style="88" bestFit="1" customWidth="1"/>
    <col min="6568" max="6568" width="8" style="88" bestFit="1" customWidth="1"/>
    <col min="6569" max="6569" width="7.6640625" style="88" bestFit="1" customWidth="1"/>
    <col min="6570" max="6570" width="10.44140625" style="88" bestFit="1" customWidth="1"/>
    <col min="6571" max="6571" width="7.44140625" style="88" bestFit="1" customWidth="1"/>
    <col min="6572" max="6572" width="7.6640625" style="88" bestFit="1" customWidth="1"/>
    <col min="6573" max="6573" width="10.44140625" style="88" bestFit="1" customWidth="1"/>
    <col min="6574" max="6574" width="7.44140625" style="88" bestFit="1" customWidth="1"/>
    <col min="6575" max="6575" width="7.6640625" style="88" bestFit="1" customWidth="1"/>
    <col min="6576" max="6576" width="10.44140625" style="88" bestFit="1" customWidth="1"/>
    <col min="6577" max="6577" width="5.109375" style="88" customWidth="1"/>
    <col min="6578" max="6800" width="8.6640625" style="88"/>
    <col min="6801" max="6801" width="3.44140625" style="88" customWidth="1"/>
    <col min="6802" max="6802" width="7" style="88" customWidth="1"/>
    <col min="6803" max="6803" width="25.44140625" style="88" customWidth="1"/>
    <col min="6804" max="6804" width="12" style="88" customWidth="1"/>
    <col min="6805" max="6805" width="12.6640625" style="88" bestFit="1" customWidth="1"/>
    <col min="6806" max="6806" width="7.44140625" style="88" bestFit="1" customWidth="1"/>
    <col min="6807" max="6807" width="7.6640625" style="88" bestFit="1" customWidth="1"/>
    <col min="6808" max="6808" width="15" style="88" customWidth="1"/>
    <col min="6809" max="6809" width="7.44140625" style="88" bestFit="1" customWidth="1"/>
    <col min="6810" max="6810" width="7.6640625" style="88" bestFit="1" customWidth="1"/>
    <col min="6811" max="6811" width="15" style="88" bestFit="1" customWidth="1"/>
    <col min="6812" max="6812" width="7.44140625" style="88" bestFit="1" customWidth="1"/>
    <col min="6813" max="6813" width="7.6640625" style="88" bestFit="1" customWidth="1"/>
    <col min="6814" max="6814" width="9.44140625" style="88" bestFit="1" customWidth="1"/>
    <col min="6815" max="6815" width="8" style="88" bestFit="1" customWidth="1"/>
    <col min="6816" max="6816" width="7.6640625" style="88" bestFit="1" customWidth="1"/>
    <col min="6817" max="6817" width="10.44140625" style="88" bestFit="1" customWidth="1"/>
    <col min="6818" max="6818" width="8" style="88" bestFit="1" customWidth="1"/>
    <col min="6819" max="6819" width="7.6640625" style="88" bestFit="1" customWidth="1"/>
    <col min="6820" max="6820" width="10.44140625" style="88" bestFit="1" customWidth="1"/>
    <col min="6821" max="6821" width="7.44140625" style="88" bestFit="1" customWidth="1"/>
    <col min="6822" max="6822" width="7.6640625" style="88" bestFit="1" customWidth="1"/>
    <col min="6823" max="6823" width="10.44140625" style="88" bestFit="1" customWidth="1"/>
    <col min="6824" max="6824" width="8" style="88" bestFit="1" customWidth="1"/>
    <col min="6825" max="6825" width="7.6640625" style="88" bestFit="1" customWidth="1"/>
    <col min="6826" max="6826" width="10.44140625" style="88" bestFit="1" customWidth="1"/>
    <col min="6827" max="6827" width="7.44140625" style="88" bestFit="1" customWidth="1"/>
    <col min="6828" max="6828" width="7.6640625" style="88" bestFit="1" customWidth="1"/>
    <col min="6829" max="6829" width="10.44140625" style="88" bestFit="1" customWidth="1"/>
    <col min="6830" max="6830" width="7.44140625" style="88" bestFit="1" customWidth="1"/>
    <col min="6831" max="6831" width="7.6640625" style="88" bestFit="1" customWidth="1"/>
    <col min="6832" max="6832" width="10.44140625" style="88" bestFit="1" customWidth="1"/>
    <col min="6833" max="6833" width="5.109375" style="88" customWidth="1"/>
    <col min="6834" max="7056" width="8.6640625" style="88"/>
    <col min="7057" max="7057" width="3.44140625" style="88" customWidth="1"/>
    <col min="7058" max="7058" width="7" style="88" customWidth="1"/>
    <col min="7059" max="7059" width="25.44140625" style="88" customWidth="1"/>
    <col min="7060" max="7060" width="12" style="88" customWidth="1"/>
    <col min="7061" max="7061" width="12.6640625" style="88" bestFit="1" customWidth="1"/>
    <col min="7062" max="7062" width="7.44140625" style="88" bestFit="1" customWidth="1"/>
    <col min="7063" max="7063" width="7.6640625" style="88" bestFit="1" customWidth="1"/>
    <col min="7064" max="7064" width="15" style="88" customWidth="1"/>
    <col min="7065" max="7065" width="7.44140625" style="88" bestFit="1" customWidth="1"/>
    <col min="7066" max="7066" width="7.6640625" style="88" bestFit="1" customWidth="1"/>
    <col min="7067" max="7067" width="15" style="88" bestFit="1" customWidth="1"/>
    <col min="7068" max="7068" width="7.44140625" style="88" bestFit="1" customWidth="1"/>
    <col min="7069" max="7069" width="7.6640625" style="88" bestFit="1" customWidth="1"/>
    <col min="7070" max="7070" width="9.44140625" style="88" bestFit="1" customWidth="1"/>
    <col min="7071" max="7071" width="8" style="88" bestFit="1" customWidth="1"/>
    <col min="7072" max="7072" width="7.6640625" style="88" bestFit="1" customWidth="1"/>
    <col min="7073" max="7073" width="10.44140625" style="88" bestFit="1" customWidth="1"/>
    <col min="7074" max="7074" width="8" style="88" bestFit="1" customWidth="1"/>
    <col min="7075" max="7075" width="7.6640625" style="88" bestFit="1" customWidth="1"/>
    <col min="7076" max="7076" width="10.44140625" style="88" bestFit="1" customWidth="1"/>
    <col min="7077" max="7077" width="7.44140625" style="88" bestFit="1" customWidth="1"/>
    <col min="7078" max="7078" width="7.6640625" style="88" bestFit="1" customWidth="1"/>
    <col min="7079" max="7079" width="10.44140625" style="88" bestFit="1" customWidth="1"/>
    <col min="7080" max="7080" width="8" style="88" bestFit="1" customWidth="1"/>
    <col min="7081" max="7081" width="7.6640625" style="88" bestFit="1" customWidth="1"/>
    <col min="7082" max="7082" width="10.44140625" style="88" bestFit="1" customWidth="1"/>
    <col min="7083" max="7083" width="7.44140625" style="88" bestFit="1" customWidth="1"/>
    <col min="7084" max="7084" width="7.6640625" style="88" bestFit="1" customWidth="1"/>
    <col min="7085" max="7085" width="10.44140625" style="88" bestFit="1" customWidth="1"/>
    <col min="7086" max="7086" width="7.44140625" style="88" bestFit="1" customWidth="1"/>
    <col min="7087" max="7087" width="7.6640625" style="88" bestFit="1" customWidth="1"/>
    <col min="7088" max="7088" width="10.44140625" style="88" bestFit="1" customWidth="1"/>
    <col min="7089" max="7089" width="5.109375" style="88" customWidth="1"/>
    <col min="7090" max="7312" width="8.6640625" style="88"/>
    <col min="7313" max="7313" width="3.44140625" style="88" customWidth="1"/>
    <col min="7314" max="7314" width="7" style="88" customWidth="1"/>
    <col min="7315" max="7315" width="25.44140625" style="88" customWidth="1"/>
    <col min="7316" max="7316" width="12" style="88" customWidth="1"/>
    <col min="7317" max="7317" width="12.6640625" style="88" bestFit="1" customWidth="1"/>
    <col min="7318" max="7318" width="7.44140625" style="88" bestFit="1" customWidth="1"/>
    <col min="7319" max="7319" width="7.6640625" style="88" bestFit="1" customWidth="1"/>
    <col min="7320" max="7320" width="15" style="88" customWidth="1"/>
    <col min="7321" max="7321" width="7.44140625" style="88" bestFit="1" customWidth="1"/>
    <col min="7322" max="7322" width="7.6640625" style="88" bestFit="1" customWidth="1"/>
    <col min="7323" max="7323" width="15" style="88" bestFit="1" customWidth="1"/>
    <col min="7324" max="7324" width="7.44140625" style="88" bestFit="1" customWidth="1"/>
    <col min="7325" max="7325" width="7.6640625" style="88" bestFit="1" customWidth="1"/>
    <col min="7326" max="7326" width="9.44140625" style="88" bestFit="1" customWidth="1"/>
    <col min="7327" max="7327" width="8" style="88" bestFit="1" customWidth="1"/>
    <col min="7328" max="7328" width="7.6640625" style="88" bestFit="1" customWidth="1"/>
    <col min="7329" max="7329" width="10.44140625" style="88" bestFit="1" customWidth="1"/>
    <col min="7330" max="7330" width="8" style="88" bestFit="1" customWidth="1"/>
    <col min="7331" max="7331" width="7.6640625" style="88" bestFit="1" customWidth="1"/>
    <col min="7332" max="7332" width="10.44140625" style="88" bestFit="1" customWidth="1"/>
    <col min="7333" max="7333" width="7.44140625" style="88" bestFit="1" customWidth="1"/>
    <col min="7334" max="7334" width="7.6640625" style="88" bestFit="1" customWidth="1"/>
    <col min="7335" max="7335" width="10.44140625" style="88" bestFit="1" customWidth="1"/>
    <col min="7336" max="7336" width="8" style="88" bestFit="1" customWidth="1"/>
    <col min="7337" max="7337" width="7.6640625" style="88" bestFit="1" customWidth="1"/>
    <col min="7338" max="7338" width="10.44140625" style="88" bestFit="1" customWidth="1"/>
    <col min="7339" max="7339" width="7.44140625" style="88" bestFit="1" customWidth="1"/>
    <col min="7340" max="7340" width="7.6640625" style="88" bestFit="1" customWidth="1"/>
    <col min="7341" max="7341" width="10.44140625" style="88" bestFit="1" customWidth="1"/>
    <col min="7342" max="7342" width="7.44140625" style="88" bestFit="1" customWidth="1"/>
    <col min="7343" max="7343" width="7.6640625" style="88" bestFit="1" customWidth="1"/>
    <col min="7344" max="7344" width="10.44140625" style="88" bestFit="1" customWidth="1"/>
    <col min="7345" max="7345" width="5.109375" style="88" customWidth="1"/>
    <col min="7346" max="7568" width="8.6640625" style="88"/>
    <col min="7569" max="7569" width="3.44140625" style="88" customWidth="1"/>
    <col min="7570" max="7570" width="7" style="88" customWidth="1"/>
    <col min="7571" max="7571" width="25.44140625" style="88" customWidth="1"/>
    <col min="7572" max="7572" width="12" style="88" customWidth="1"/>
    <col min="7573" max="7573" width="12.6640625" style="88" bestFit="1" customWidth="1"/>
    <col min="7574" max="7574" width="7.44140625" style="88" bestFit="1" customWidth="1"/>
    <col min="7575" max="7575" width="7.6640625" style="88" bestFit="1" customWidth="1"/>
    <col min="7576" max="7576" width="15" style="88" customWidth="1"/>
    <col min="7577" max="7577" width="7.44140625" style="88" bestFit="1" customWidth="1"/>
    <col min="7578" max="7578" width="7.6640625" style="88" bestFit="1" customWidth="1"/>
    <col min="7579" max="7579" width="15" style="88" bestFit="1" customWidth="1"/>
    <col min="7580" max="7580" width="7.44140625" style="88" bestFit="1" customWidth="1"/>
    <col min="7581" max="7581" width="7.6640625" style="88" bestFit="1" customWidth="1"/>
    <col min="7582" max="7582" width="9.44140625" style="88" bestFit="1" customWidth="1"/>
    <col min="7583" max="7583" width="8" style="88" bestFit="1" customWidth="1"/>
    <col min="7584" max="7584" width="7.6640625" style="88" bestFit="1" customWidth="1"/>
    <col min="7585" max="7585" width="10.44140625" style="88" bestFit="1" customWidth="1"/>
    <col min="7586" max="7586" width="8" style="88" bestFit="1" customWidth="1"/>
    <col min="7587" max="7587" width="7.6640625" style="88" bestFit="1" customWidth="1"/>
    <col min="7588" max="7588" width="10.44140625" style="88" bestFit="1" customWidth="1"/>
    <col min="7589" max="7589" width="7.44140625" style="88" bestFit="1" customWidth="1"/>
    <col min="7590" max="7590" width="7.6640625" style="88" bestFit="1" customWidth="1"/>
    <col min="7591" max="7591" width="10.44140625" style="88" bestFit="1" customWidth="1"/>
    <col min="7592" max="7592" width="8" style="88" bestFit="1" customWidth="1"/>
    <col min="7593" max="7593" width="7.6640625" style="88" bestFit="1" customWidth="1"/>
    <col min="7594" max="7594" width="10.44140625" style="88" bestFit="1" customWidth="1"/>
    <col min="7595" max="7595" width="7.44140625" style="88" bestFit="1" customWidth="1"/>
    <col min="7596" max="7596" width="7.6640625" style="88" bestFit="1" customWidth="1"/>
    <col min="7597" max="7597" width="10.44140625" style="88" bestFit="1" customWidth="1"/>
    <col min="7598" max="7598" width="7.44140625" style="88" bestFit="1" customWidth="1"/>
    <col min="7599" max="7599" width="7.6640625" style="88" bestFit="1" customWidth="1"/>
    <col min="7600" max="7600" width="10.44140625" style="88" bestFit="1" customWidth="1"/>
    <col min="7601" max="7601" width="5.109375" style="88" customWidth="1"/>
    <col min="7602" max="7824" width="8.6640625" style="88"/>
    <col min="7825" max="7825" width="3.44140625" style="88" customWidth="1"/>
    <col min="7826" max="7826" width="7" style="88" customWidth="1"/>
    <col min="7827" max="7827" width="25.44140625" style="88" customWidth="1"/>
    <col min="7828" max="7828" width="12" style="88" customWidth="1"/>
    <col min="7829" max="7829" width="12.6640625" style="88" bestFit="1" customWidth="1"/>
    <col min="7830" max="7830" width="7.44140625" style="88" bestFit="1" customWidth="1"/>
    <col min="7831" max="7831" width="7.6640625" style="88" bestFit="1" customWidth="1"/>
    <col min="7832" max="7832" width="15" style="88" customWidth="1"/>
    <col min="7833" max="7833" width="7.44140625" style="88" bestFit="1" customWidth="1"/>
    <col min="7834" max="7834" width="7.6640625" style="88" bestFit="1" customWidth="1"/>
    <col min="7835" max="7835" width="15" style="88" bestFit="1" customWidth="1"/>
    <col min="7836" max="7836" width="7.44140625" style="88" bestFit="1" customWidth="1"/>
    <col min="7837" max="7837" width="7.6640625" style="88" bestFit="1" customWidth="1"/>
    <col min="7838" max="7838" width="9.44140625" style="88" bestFit="1" customWidth="1"/>
    <col min="7839" max="7839" width="8" style="88" bestFit="1" customWidth="1"/>
    <col min="7840" max="7840" width="7.6640625" style="88" bestFit="1" customWidth="1"/>
    <col min="7841" max="7841" width="10.44140625" style="88" bestFit="1" customWidth="1"/>
    <col min="7842" max="7842" width="8" style="88" bestFit="1" customWidth="1"/>
    <col min="7843" max="7843" width="7.6640625" style="88" bestFit="1" customWidth="1"/>
    <col min="7844" max="7844" width="10.44140625" style="88" bestFit="1" customWidth="1"/>
    <col min="7845" max="7845" width="7.44140625" style="88" bestFit="1" customWidth="1"/>
    <col min="7846" max="7846" width="7.6640625" style="88" bestFit="1" customWidth="1"/>
    <col min="7847" max="7847" width="10.44140625" style="88" bestFit="1" customWidth="1"/>
    <col min="7848" max="7848" width="8" style="88" bestFit="1" customWidth="1"/>
    <col min="7849" max="7849" width="7.6640625" style="88" bestFit="1" customWidth="1"/>
    <col min="7850" max="7850" width="10.44140625" style="88" bestFit="1" customWidth="1"/>
    <col min="7851" max="7851" width="7.44140625" style="88" bestFit="1" customWidth="1"/>
    <col min="7852" max="7852" width="7.6640625" style="88" bestFit="1" customWidth="1"/>
    <col min="7853" max="7853" width="10.44140625" style="88" bestFit="1" customWidth="1"/>
    <col min="7854" max="7854" width="7.44140625" style="88" bestFit="1" customWidth="1"/>
    <col min="7855" max="7855" width="7.6640625" style="88" bestFit="1" customWidth="1"/>
    <col min="7856" max="7856" width="10.44140625" style="88" bestFit="1" customWidth="1"/>
    <col min="7857" max="7857" width="5.109375" style="88" customWidth="1"/>
    <col min="7858" max="8080" width="8.6640625" style="88"/>
    <col min="8081" max="8081" width="3.44140625" style="88" customWidth="1"/>
    <col min="8082" max="8082" width="7" style="88" customWidth="1"/>
    <col min="8083" max="8083" width="25.44140625" style="88" customWidth="1"/>
    <col min="8084" max="8084" width="12" style="88" customWidth="1"/>
    <col min="8085" max="8085" width="12.6640625" style="88" bestFit="1" customWidth="1"/>
    <col min="8086" max="8086" width="7.44140625" style="88" bestFit="1" customWidth="1"/>
    <col min="8087" max="8087" width="7.6640625" style="88" bestFit="1" customWidth="1"/>
    <col min="8088" max="8088" width="15" style="88" customWidth="1"/>
    <col min="8089" max="8089" width="7.44140625" style="88" bestFit="1" customWidth="1"/>
    <col min="8090" max="8090" width="7.6640625" style="88" bestFit="1" customWidth="1"/>
    <col min="8091" max="8091" width="15" style="88" bestFit="1" customWidth="1"/>
    <col min="8092" max="8092" width="7.44140625" style="88" bestFit="1" customWidth="1"/>
    <col min="8093" max="8093" width="7.6640625" style="88" bestFit="1" customWidth="1"/>
    <col min="8094" max="8094" width="9.44140625" style="88" bestFit="1" customWidth="1"/>
    <col min="8095" max="8095" width="8" style="88" bestFit="1" customWidth="1"/>
    <col min="8096" max="8096" width="7.6640625" style="88" bestFit="1" customWidth="1"/>
    <col min="8097" max="8097" width="10.44140625" style="88" bestFit="1" customWidth="1"/>
    <col min="8098" max="8098" width="8" style="88" bestFit="1" customWidth="1"/>
    <col min="8099" max="8099" width="7.6640625" style="88" bestFit="1" customWidth="1"/>
    <col min="8100" max="8100" width="10.44140625" style="88" bestFit="1" customWidth="1"/>
    <col min="8101" max="8101" width="7.44140625" style="88" bestFit="1" customWidth="1"/>
    <col min="8102" max="8102" width="7.6640625" style="88" bestFit="1" customWidth="1"/>
    <col min="8103" max="8103" width="10.44140625" style="88" bestFit="1" customWidth="1"/>
    <col min="8104" max="8104" width="8" style="88" bestFit="1" customWidth="1"/>
    <col min="8105" max="8105" width="7.6640625" style="88" bestFit="1" customWidth="1"/>
    <col min="8106" max="8106" width="10.44140625" style="88" bestFit="1" customWidth="1"/>
    <col min="8107" max="8107" width="7.44140625" style="88" bestFit="1" customWidth="1"/>
    <col min="8108" max="8108" width="7.6640625" style="88" bestFit="1" customWidth="1"/>
    <col min="8109" max="8109" width="10.44140625" style="88" bestFit="1" customWidth="1"/>
    <col min="8110" max="8110" width="7.44140625" style="88" bestFit="1" customWidth="1"/>
    <col min="8111" max="8111" width="7.6640625" style="88" bestFit="1" customWidth="1"/>
    <col min="8112" max="8112" width="10.44140625" style="88" bestFit="1" customWidth="1"/>
    <col min="8113" max="8113" width="5.109375" style="88" customWidth="1"/>
    <col min="8114" max="8336" width="8.6640625" style="88"/>
    <col min="8337" max="8337" width="3.44140625" style="88" customWidth="1"/>
    <col min="8338" max="8338" width="7" style="88" customWidth="1"/>
    <col min="8339" max="8339" width="25.44140625" style="88" customWidth="1"/>
    <col min="8340" max="8340" width="12" style="88" customWidth="1"/>
    <col min="8341" max="8341" width="12.6640625" style="88" bestFit="1" customWidth="1"/>
    <col min="8342" max="8342" width="7.44140625" style="88" bestFit="1" customWidth="1"/>
    <col min="8343" max="8343" width="7.6640625" style="88" bestFit="1" customWidth="1"/>
    <col min="8344" max="8344" width="15" style="88" customWidth="1"/>
    <col min="8345" max="8345" width="7.44140625" style="88" bestFit="1" customWidth="1"/>
    <col min="8346" max="8346" width="7.6640625" style="88" bestFit="1" customWidth="1"/>
    <col min="8347" max="8347" width="15" style="88" bestFit="1" customWidth="1"/>
    <col min="8348" max="8348" width="7.44140625" style="88" bestFit="1" customWidth="1"/>
    <col min="8349" max="8349" width="7.6640625" style="88" bestFit="1" customWidth="1"/>
    <col min="8350" max="8350" width="9.44140625" style="88" bestFit="1" customWidth="1"/>
    <col min="8351" max="8351" width="8" style="88" bestFit="1" customWidth="1"/>
    <col min="8352" max="8352" width="7.6640625" style="88" bestFit="1" customWidth="1"/>
    <col min="8353" max="8353" width="10.44140625" style="88" bestFit="1" customWidth="1"/>
    <col min="8354" max="8354" width="8" style="88" bestFit="1" customWidth="1"/>
    <col min="8355" max="8355" width="7.6640625" style="88" bestFit="1" customWidth="1"/>
    <col min="8356" max="8356" width="10.44140625" style="88" bestFit="1" customWidth="1"/>
    <col min="8357" max="8357" width="7.44140625" style="88" bestFit="1" customWidth="1"/>
    <col min="8358" max="8358" width="7.6640625" style="88" bestFit="1" customWidth="1"/>
    <col min="8359" max="8359" width="10.44140625" style="88" bestFit="1" customWidth="1"/>
    <col min="8360" max="8360" width="8" style="88" bestFit="1" customWidth="1"/>
    <col min="8361" max="8361" width="7.6640625" style="88" bestFit="1" customWidth="1"/>
    <col min="8362" max="8362" width="10.44140625" style="88" bestFit="1" customWidth="1"/>
    <col min="8363" max="8363" width="7.44140625" style="88" bestFit="1" customWidth="1"/>
    <col min="8364" max="8364" width="7.6640625" style="88" bestFit="1" customWidth="1"/>
    <col min="8365" max="8365" width="10.44140625" style="88" bestFit="1" customWidth="1"/>
    <col min="8366" max="8366" width="7.44140625" style="88" bestFit="1" customWidth="1"/>
    <col min="8367" max="8367" width="7.6640625" style="88" bestFit="1" customWidth="1"/>
    <col min="8368" max="8368" width="10.44140625" style="88" bestFit="1" customWidth="1"/>
    <col min="8369" max="8369" width="5.109375" style="88" customWidth="1"/>
    <col min="8370" max="8592" width="8.6640625" style="88"/>
    <col min="8593" max="8593" width="3.44140625" style="88" customWidth="1"/>
    <col min="8594" max="8594" width="7" style="88" customWidth="1"/>
    <col min="8595" max="8595" width="25.44140625" style="88" customWidth="1"/>
    <col min="8596" max="8596" width="12" style="88" customWidth="1"/>
    <col min="8597" max="8597" width="12.6640625" style="88" bestFit="1" customWidth="1"/>
    <col min="8598" max="8598" width="7.44140625" style="88" bestFit="1" customWidth="1"/>
    <col min="8599" max="8599" width="7.6640625" style="88" bestFit="1" customWidth="1"/>
    <col min="8600" max="8600" width="15" style="88" customWidth="1"/>
    <col min="8601" max="8601" width="7.44140625" style="88" bestFit="1" customWidth="1"/>
    <col min="8602" max="8602" width="7.6640625" style="88" bestFit="1" customWidth="1"/>
    <col min="8603" max="8603" width="15" style="88" bestFit="1" customWidth="1"/>
    <col min="8604" max="8604" width="7.44140625" style="88" bestFit="1" customWidth="1"/>
    <col min="8605" max="8605" width="7.6640625" style="88" bestFit="1" customWidth="1"/>
    <col min="8606" max="8606" width="9.44140625" style="88" bestFit="1" customWidth="1"/>
    <col min="8607" max="8607" width="8" style="88" bestFit="1" customWidth="1"/>
    <col min="8608" max="8608" width="7.6640625" style="88" bestFit="1" customWidth="1"/>
    <col min="8609" max="8609" width="10.44140625" style="88" bestFit="1" customWidth="1"/>
    <col min="8610" max="8610" width="8" style="88" bestFit="1" customWidth="1"/>
    <col min="8611" max="8611" width="7.6640625" style="88" bestFit="1" customWidth="1"/>
    <col min="8612" max="8612" width="10.44140625" style="88" bestFit="1" customWidth="1"/>
    <col min="8613" max="8613" width="7.44140625" style="88" bestFit="1" customWidth="1"/>
    <col min="8614" max="8614" width="7.6640625" style="88" bestFit="1" customWidth="1"/>
    <col min="8615" max="8615" width="10.44140625" style="88" bestFit="1" customWidth="1"/>
    <col min="8616" max="8616" width="8" style="88" bestFit="1" customWidth="1"/>
    <col min="8617" max="8617" width="7.6640625" style="88" bestFit="1" customWidth="1"/>
    <col min="8618" max="8618" width="10.44140625" style="88" bestFit="1" customWidth="1"/>
    <col min="8619" max="8619" width="7.44140625" style="88" bestFit="1" customWidth="1"/>
    <col min="8620" max="8620" width="7.6640625" style="88" bestFit="1" customWidth="1"/>
    <col min="8621" max="8621" width="10.44140625" style="88" bestFit="1" customWidth="1"/>
    <col min="8622" max="8622" width="7.44140625" style="88" bestFit="1" customWidth="1"/>
    <col min="8623" max="8623" width="7.6640625" style="88" bestFit="1" customWidth="1"/>
    <col min="8624" max="8624" width="10.44140625" style="88" bestFit="1" customWidth="1"/>
    <col min="8625" max="8625" width="5.109375" style="88" customWidth="1"/>
    <col min="8626" max="8848" width="8.6640625" style="88"/>
    <col min="8849" max="8849" width="3.44140625" style="88" customWidth="1"/>
    <col min="8850" max="8850" width="7" style="88" customWidth="1"/>
    <col min="8851" max="8851" width="25.44140625" style="88" customWidth="1"/>
    <col min="8852" max="8852" width="12" style="88" customWidth="1"/>
    <col min="8853" max="8853" width="12.6640625" style="88" bestFit="1" customWidth="1"/>
    <col min="8854" max="8854" width="7.44140625" style="88" bestFit="1" customWidth="1"/>
    <col min="8855" max="8855" width="7.6640625" style="88" bestFit="1" customWidth="1"/>
    <col min="8856" max="8856" width="15" style="88" customWidth="1"/>
    <col min="8857" max="8857" width="7.44140625" style="88" bestFit="1" customWidth="1"/>
    <col min="8858" max="8858" width="7.6640625" style="88" bestFit="1" customWidth="1"/>
    <col min="8859" max="8859" width="15" style="88" bestFit="1" customWidth="1"/>
    <col min="8860" max="8860" width="7.44140625" style="88" bestFit="1" customWidth="1"/>
    <col min="8861" max="8861" width="7.6640625" style="88" bestFit="1" customWidth="1"/>
    <col min="8862" max="8862" width="9.44140625" style="88" bestFit="1" customWidth="1"/>
    <col min="8863" max="8863" width="8" style="88" bestFit="1" customWidth="1"/>
    <col min="8864" max="8864" width="7.6640625" style="88" bestFit="1" customWidth="1"/>
    <col min="8865" max="8865" width="10.44140625" style="88" bestFit="1" customWidth="1"/>
    <col min="8866" max="8866" width="8" style="88" bestFit="1" customWidth="1"/>
    <col min="8867" max="8867" width="7.6640625" style="88" bestFit="1" customWidth="1"/>
    <col min="8868" max="8868" width="10.44140625" style="88" bestFit="1" customWidth="1"/>
    <col min="8869" max="8869" width="7.44140625" style="88" bestFit="1" customWidth="1"/>
    <col min="8870" max="8870" width="7.6640625" style="88" bestFit="1" customWidth="1"/>
    <col min="8871" max="8871" width="10.44140625" style="88" bestFit="1" customWidth="1"/>
    <col min="8872" max="8872" width="8" style="88" bestFit="1" customWidth="1"/>
    <col min="8873" max="8873" width="7.6640625" style="88" bestFit="1" customWidth="1"/>
    <col min="8874" max="8874" width="10.44140625" style="88" bestFit="1" customWidth="1"/>
    <col min="8875" max="8875" width="7.44140625" style="88" bestFit="1" customWidth="1"/>
    <col min="8876" max="8876" width="7.6640625" style="88" bestFit="1" customWidth="1"/>
    <col min="8877" max="8877" width="10.44140625" style="88" bestFit="1" customWidth="1"/>
    <col min="8878" max="8878" width="7.44140625" style="88" bestFit="1" customWidth="1"/>
    <col min="8879" max="8879" width="7.6640625" style="88" bestFit="1" customWidth="1"/>
    <col min="8880" max="8880" width="10.44140625" style="88" bestFit="1" customWidth="1"/>
    <col min="8881" max="8881" width="5.109375" style="88" customWidth="1"/>
    <col min="8882" max="9104" width="8.6640625" style="88"/>
    <col min="9105" max="9105" width="3.44140625" style="88" customWidth="1"/>
    <col min="9106" max="9106" width="7" style="88" customWidth="1"/>
    <col min="9107" max="9107" width="25.44140625" style="88" customWidth="1"/>
    <col min="9108" max="9108" width="12" style="88" customWidth="1"/>
    <col min="9109" max="9109" width="12.6640625" style="88" bestFit="1" customWidth="1"/>
    <col min="9110" max="9110" width="7.44140625" style="88" bestFit="1" customWidth="1"/>
    <col min="9111" max="9111" width="7.6640625" style="88" bestFit="1" customWidth="1"/>
    <col min="9112" max="9112" width="15" style="88" customWidth="1"/>
    <col min="9113" max="9113" width="7.44140625" style="88" bestFit="1" customWidth="1"/>
    <col min="9114" max="9114" width="7.6640625" style="88" bestFit="1" customWidth="1"/>
    <col min="9115" max="9115" width="15" style="88" bestFit="1" customWidth="1"/>
    <col min="9116" max="9116" width="7.44140625" style="88" bestFit="1" customWidth="1"/>
    <col min="9117" max="9117" width="7.6640625" style="88" bestFit="1" customWidth="1"/>
    <col min="9118" max="9118" width="9.44140625" style="88" bestFit="1" customWidth="1"/>
    <col min="9119" max="9119" width="8" style="88" bestFit="1" customWidth="1"/>
    <col min="9120" max="9120" width="7.6640625" style="88" bestFit="1" customWidth="1"/>
    <col min="9121" max="9121" width="10.44140625" style="88" bestFit="1" customWidth="1"/>
    <col min="9122" max="9122" width="8" style="88" bestFit="1" customWidth="1"/>
    <col min="9123" max="9123" width="7.6640625" style="88" bestFit="1" customWidth="1"/>
    <col min="9124" max="9124" width="10.44140625" style="88" bestFit="1" customWidth="1"/>
    <col min="9125" max="9125" width="7.44140625" style="88" bestFit="1" customWidth="1"/>
    <col min="9126" max="9126" width="7.6640625" style="88" bestFit="1" customWidth="1"/>
    <col min="9127" max="9127" width="10.44140625" style="88" bestFit="1" customWidth="1"/>
    <col min="9128" max="9128" width="8" style="88" bestFit="1" customWidth="1"/>
    <col min="9129" max="9129" width="7.6640625" style="88" bestFit="1" customWidth="1"/>
    <col min="9130" max="9130" width="10.44140625" style="88" bestFit="1" customWidth="1"/>
    <col min="9131" max="9131" width="7.44140625" style="88" bestFit="1" customWidth="1"/>
    <col min="9132" max="9132" width="7.6640625" style="88" bestFit="1" customWidth="1"/>
    <col min="9133" max="9133" width="10.44140625" style="88" bestFit="1" customWidth="1"/>
    <col min="9134" max="9134" width="7.44140625" style="88" bestFit="1" customWidth="1"/>
    <col min="9135" max="9135" width="7.6640625" style="88" bestFit="1" customWidth="1"/>
    <col min="9136" max="9136" width="10.44140625" style="88" bestFit="1" customWidth="1"/>
    <col min="9137" max="9137" width="5.109375" style="88" customWidth="1"/>
    <col min="9138" max="9360" width="8.6640625" style="88"/>
    <col min="9361" max="9361" width="3.44140625" style="88" customWidth="1"/>
    <col min="9362" max="9362" width="7" style="88" customWidth="1"/>
    <col min="9363" max="9363" width="25.44140625" style="88" customWidth="1"/>
    <col min="9364" max="9364" width="12" style="88" customWidth="1"/>
    <col min="9365" max="9365" width="12.6640625" style="88" bestFit="1" customWidth="1"/>
    <col min="9366" max="9366" width="7.44140625" style="88" bestFit="1" customWidth="1"/>
    <col min="9367" max="9367" width="7.6640625" style="88" bestFit="1" customWidth="1"/>
    <col min="9368" max="9368" width="15" style="88" customWidth="1"/>
    <col min="9369" max="9369" width="7.44140625" style="88" bestFit="1" customWidth="1"/>
    <col min="9370" max="9370" width="7.6640625" style="88" bestFit="1" customWidth="1"/>
    <col min="9371" max="9371" width="15" style="88" bestFit="1" customWidth="1"/>
    <col min="9372" max="9372" width="7.44140625" style="88" bestFit="1" customWidth="1"/>
    <col min="9373" max="9373" width="7.6640625" style="88" bestFit="1" customWidth="1"/>
    <col min="9374" max="9374" width="9.44140625" style="88" bestFit="1" customWidth="1"/>
    <col min="9375" max="9375" width="8" style="88" bestFit="1" customWidth="1"/>
    <col min="9376" max="9376" width="7.6640625" style="88" bestFit="1" customWidth="1"/>
    <col min="9377" max="9377" width="10.44140625" style="88" bestFit="1" customWidth="1"/>
    <col min="9378" max="9378" width="8" style="88" bestFit="1" customWidth="1"/>
    <col min="9379" max="9379" width="7.6640625" style="88" bestFit="1" customWidth="1"/>
    <col min="9380" max="9380" width="10.44140625" style="88" bestFit="1" customWidth="1"/>
    <col min="9381" max="9381" width="7.44140625" style="88" bestFit="1" customWidth="1"/>
    <col min="9382" max="9382" width="7.6640625" style="88" bestFit="1" customWidth="1"/>
    <col min="9383" max="9383" width="10.44140625" style="88" bestFit="1" customWidth="1"/>
    <col min="9384" max="9384" width="8" style="88" bestFit="1" customWidth="1"/>
    <col min="9385" max="9385" width="7.6640625" style="88" bestFit="1" customWidth="1"/>
    <col min="9386" max="9386" width="10.44140625" style="88" bestFit="1" customWidth="1"/>
    <col min="9387" max="9387" width="7.44140625" style="88" bestFit="1" customWidth="1"/>
    <col min="9388" max="9388" width="7.6640625" style="88" bestFit="1" customWidth="1"/>
    <col min="9389" max="9389" width="10.44140625" style="88" bestFit="1" customWidth="1"/>
    <col min="9390" max="9390" width="7.44140625" style="88" bestFit="1" customWidth="1"/>
    <col min="9391" max="9391" width="7.6640625" style="88" bestFit="1" customWidth="1"/>
    <col min="9392" max="9392" width="10.44140625" style="88" bestFit="1" customWidth="1"/>
    <col min="9393" max="9393" width="5.109375" style="88" customWidth="1"/>
    <col min="9394" max="9616" width="8.6640625" style="88"/>
    <col min="9617" max="9617" width="3.44140625" style="88" customWidth="1"/>
    <col min="9618" max="9618" width="7" style="88" customWidth="1"/>
    <col min="9619" max="9619" width="25.44140625" style="88" customWidth="1"/>
    <col min="9620" max="9620" width="12" style="88" customWidth="1"/>
    <col min="9621" max="9621" width="12.6640625" style="88" bestFit="1" customWidth="1"/>
    <col min="9622" max="9622" width="7.44140625" style="88" bestFit="1" customWidth="1"/>
    <col min="9623" max="9623" width="7.6640625" style="88" bestFit="1" customWidth="1"/>
    <col min="9624" max="9624" width="15" style="88" customWidth="1"/>
    <col min="9625" max="9625" width="7.44140625" style="88" bestFit="1" customWidth="1"/>
    <col min="9626" max="9626" width="7.6640625" style="88" bestFit="1" customWidth="1"/>
    <col min="9627" max="9627" width="15" style="88" bestFit="1" customWidth="1"/>
    <col min="9628" max="9628" width="7.44140625" style="88" bestFit="1" customWidth="1"/>
    <col min="9629" max="9629" width="7.6640625" style="88" bestFit="1" customWidth="1"/>
    <col min="9630" max="9630" width="9.44140625" style="88" bestFit="1" customWidth="1"/>
    <col min="9631" max="9631" width="8" style="88" bestFit="1" customWidth="1"/>
    <col min="9632" max="9632" width="7.6640625" style="88" bestFit="1" customWidth="1"/>
    <col min="9633" max="9633" width="10.44140625" style="88" bestFit="1" customWidth="1"/>
    <col min="9634" max="9634" width="8" style="88" bestFit="1" customWidth="1"/>
    <col min="9635" max="9635" width="7.6640625" style="88" bestFit="1" customWidth="1"/>
    <col min="9636" max="9636" width="10.44140625" style="88" bestFit="1" customWidth="1"/>
    <col min="9637" max="9637" width="7.44140625" style="88" bestFit="1" customWidth="1"/>
    <col min="9638" max="9638" width="7.6640625" style="88" bestFit="1" customWidth="1"/>
    <col min="9639" max="9639" width="10.44140625" style="88" bestFit="1" customWidth="1"/>
    <col min="9640" max="9640" width="8" style="88" bestFit="1" customWidth="1"/>
    <col min="9641" max="9641" width="7.6640625" style="88" bestFit="1" customWidth="1"/>
    <col min="9642" max="9642" width="10.44140625" style="88" bestFit="1" customWidth="1"/>
    <col min="9643" max="9643" width="7.44140625" style="88" bestFit="1" customWidth="1"/>
    <col min="9644" max="9644" width="7.6640625" style="88" bestFit="1" customWidth="1"/>
    <col min="9645" max="9645" width="10.44140625" style="88" bestFit="1" customWidth="1"/>
    <col min="9646" max="9646" width="7.44140625" style="88" bestFit="1" customWidth="1"/>
    <col min="9647" max="9647" width="7.6640625" style="88" bestFit="1" customWidth="1"/>
    <col min="9648" max="9648" width="10.44140625" style="88" bestFit="1" customWidth="1"/>
    <col min="9649" max="9649" width="5.109375" style="88" customWidth="1"/>
    <col min="9650" max="9872" width="8.6640625" style="88"/>
    <col min="9873" max="9873" width="3.44140625" style="88" customWidth="1"/>
    <col min="9874" max="9874" width="7" style="88" customWidth="1"/>
    <col min="9875" max="9875" width="25.44140625" style="88" customWidth="1"/>
    <col min="9876" max="9876" width="12" style="88" customWidth="1"/>
    <col min="9877" max="9877" width="12.6640625" style="88" bestFit="1" customWidth="1"/>
    <col min="9878" max="9878" width="7.44140625" style="88" bestFit="1" customWidth="1"/>
    <col min="9879" max="9879" width="7.6640625" style="88" bestFit="1" customWidth="1"/>
    <col min="9880" max="9880" width="15" style="88" customWidth="1"/>
    <col min="9881" max="9881" width="7.44140625" style="88" bestFit="1" customWidth="1"/>
    <col min="9882" max="9882" width="7.6640625" style="88" bestFit="1" customWidth="1"/>
    <col min="9883" max="9883" width="15" style="88" bestFit="1" customWidth="1"/>
    <col min="9884" max="9884" width="7.44140625" style="88" bestFit="1" customWidth="1"/>
    <col min="9885" max="9885" width="7.6640625" style="88" bestFit="1" customWidth="1"/>
    <col min="9886" max="9886" width="9.44140625" style="88" bestFit="1" customWidth="1"/>
    <col min="9887" max="9887" width="8" style="88" bestFit="1" customWidth="1"/>
    <col min="9888" max="9888" width="7.6640625" style="88" bestFit="1" customWidth="1"/>
    <col min="9889" max="9889" width="10.44140625" style="88" bestFit="1" customWidth="1"/>
    <col min="9890" max="9890" width="8" style="88" bestFit="1" customWidth="1"/>
    <col min="9891" max="9891" width="7.6640625" style="88" bestFit="1" customWidth="1"/>
    <col min="9892" max="9892" width="10.44140625" style="88" bestFit="1" customWidth="1"/>
    <col min="9893" max="9893" width="7.44140625" style="88" bestFit="1" customWidth="1"/>
    <col min="9894" max="9894" width="7.6640625" style="88" bestFit="1" customWidth="1"/>
    <col min="9895" max="9895" width="10.44140625" style="88" bestFit="1" customWidth="1"/>
    <col min="9896" max="9896" width="8" style="88" bestFit="1" customWidth="1"/>
    <col min="9897" max="9897" width="7.6640625" style="88" bestFit="1" customWidth="1"/>
    <col min="9898" max="9898" width="10.44140625" style="88" bestFit="1" customWidth="1"/>
    <col min="9899" max="9899" width="7.44140625" style="88" bestFit="1" customWidth="1"/>
    <col min="9900" max="9900" width="7.6640625" style="88" bestFit="1" customWidth="1"/>
    <col min="9901" max="9901" width="10.44140625" style="88" bestFit="1" customWidth="1"/>
    <col min="9902" max="9902" width="7.44140625" style="88" bestFit="1" customWidth="1"/>
    <col min="9903" max="9903" width="7.6640625" style="88" bestFit="1" customWidth="1"/>
    <col min="9904" max="9904" width="10.44140625" style="88" bestFit="1" customWidth="1"/>
    <col min="9905" max="9905" width="5.109375" style="88" customWidth="1"/>
    <col min="9906" max="10128" width="8.6640625" style="88"/>
    <col min="10129" max="10129" width="3.44140625" style="88" customWidth="1"/>
    <col min="10130" max="10130" width="7" style="88" customWidth="1"/>
    <col min="10131" max="10131" width="25.44140625" style="88" customWidth="1"/>
    <col min="10132" max="10132" width="12" style="88" customWidth="1"/>
    <col min="10133" max="10133" width="12.6640625" style="88" bestFit="1" customWidth="1"/>
    <col min="10134" max="10134" width="7.44140625" style="88" bestFit="1" customWidth="1"/>
    <col min="10135" max="10135" width="7.6640625" style="88" bestFit="1" customWidth="1"/>
    <col min="10136" max="10136" width="15" style="88" customWidth="1"/>
    <col min="10137" max="10137" width="7.44140625" style="88" bestFit="1" customWidth="1"/>
    <col min="10138" max="10138" width="7.6640625" style="88" bestFit="1" customWidth="1"/>
    <col min="10139" max="10139" width="15" style="88" bestFit="1" customWidth="1"/>
    <col min="10140" max="10140" width="7.44140625" style="88" bestFit="1" customWidth="1"/>
    <col min="10141" max="10141" width="7.6640625" style="88" bestFit="1" customWidth="1"/>
    <col min="10142" max="10142" width="9.44140625" style="88" bestFit="1" customWidth="1"/>
    <col min="10143" max="10143" width="8" style="88" bestFit="1" customWidth="1"/>
    <col min="10144" max="10144" width="7.6640625" style="88" bestFit="1" customWidth="1"/>
    <col min="10145" max="10145" width="10.44140625" style="88" bestFit="1" customWidth="1"/>
    <col min="10146" max="10146" width="8" style="88" bestFit="1" customWidth="1"/>
    <col min="10147" max="10147" width="7.6640625" style="88" bestFit="1" customWidth="1"/>
    <col min="10148" max="10148" width="10.44140625" style="88" bestFit="1" customWidth="1"/>
    <col min="10149" max="10149" width="7.44140625" style="88" bestFit="1" customWidth="1"/>
    <col min="10150" max="10150" width="7.6640625" style="88" bestFit="1" customWidth="1"/>
    <col min="10151" max="10151" width="10.44140625" style="88" bestFit="1" customWidth="1"/>
    <col min="10152" max="10152" width="8" style="88" bestFit="1" customWidth="1"/>
    <col min="10153" max="10153" width="7.6640625" style="88" bestFit="1" customWidth="1"/>
    <col min="10154" max="10154" width="10.44140625" style="88" bestFit="1" customWidth="1"/>
    <col min="10155" max="10155" width="7.44140625" style="88" bestFit="1" customWidth="1"/>
    <col min="10156" max="10156" width="7.6640625" style="88" bestFit="1" customWidth="1"/>
    <col min="10157" max="10157" width="10.44140625" style="88" bestFit="1" customWidth="1"/>
    <col min="10158" max="10158" width="7.44140625" style="88" bestFit="1" customWidth="1"/>
    <col min="10159" max="10159" width="7.6640625" style="88" bestFit="1" customWidth="1"/>
    <col min="10160" max="10160" width="10.44140625" style="88" bestFit="1" customWidth="1"/>
    <col min="10161" max="10161" width="5.109375" style="88" customWidth="1"/>
    <col min="10162" max="10384" width="8.6640625" style="88"/>
    <col min="10385" max="10385" width="3.44140625" style="88" customWidth="1"/>
    <col min="10386" max="10386" width="7" style="88" customWidth="1"/>
    <col min="10387" max="10387" width="25.44140625" style="88" customWidth="1"/>
    <col min="10388" max="10388" width="12" style="88" customWidth="1"/>
    <col min="10389" max="10389" width="12.6640625" style="88" bestFit="1" customWidth="1"/>
    <col min="10390" max="10390" width="7.44140625" style="88" bestFit="1" customWidth="1"/>
    <col min="10391" max="10391" width="7.6640625" style="88" bestFit="1" customWidth="1"/>
    <col min="10392" max="10392" width="15" style="88" customWidth="1"/>
    <col min="10393" max="10393" width="7.44140625" style="88" bestFit="1" customWidth="1"/>
    <col min="10394" max="10394" width="7.6640625" style="88" bestFit="1" customWidth="1"/>
    <col min="10395" max="10395" width="15" style="88" bestFit="1" customWidth="1"/>
    <col min="10396" max="10396" width="7.44140625" style="88" bestFit="1" customWidth="1"/>
    <col min="10397" max="10397" width="7.6640625" style="88" bestFit="1" customWidth="1"/>
    <col min="10398" max="10398" width="9.44140625" style="88" bestFit="1" customWidth="1"/>
    <col min="10399" max="10399" width="8" style="88" bestFit="1" customWidth="1"/>
    <col min="10400" max="10400" width="7.6640625" style="88" bestFit="1" customWidth="1"/>
    <col min="10401" max="10401" width="10.44140625" style="88" bestFit="1" customWidth="1"/>
    <col min="10402" max="10402" width="8" style="88" bestFit="1" customWidth="1"/>
    <col min="10403" max="10403" width="7.6640625" style="88" bestFit="1" customWidth="1"/>
    <col min="10404" max="10404" width="10.44140625" style="88" bestFit="1" customWidth="1"/>
    <col min="10405" max="10405" width="7.44140625" style="88" bestFit="1" customWidth="1"/>
    <col min="10406" max="10406" width="7.6640625" style="88" bestFit="1" customWidth="1"/>
    <col min="10407" max="10407" width="10.44140625" style="88" bestFit="1" customWidth="1"/>
    <col min="10408" max="10408" width="8" style="88" bestFit="1" customWidth="1"/>
    <col min="10409" max="10409" width="7.6640625" style="88" bestFit="1" customWidth="1"/>
    <col min="10410" max="10410" width="10.44140625" style="88" bestFit="1" customWidth="1"/>
    <col min="10411" max="10411" width="7.44140625" style="88" bestFit="1" customWidth="1"/>
    <col min="10412" max="10412" width="7.6640625" style="88" bestFit="1" customWidth="1"/>
    <col min="10413" max="10413" width="10.44140625" style="88" bestFit="1" customWidth="1"/>
    <col min="10414" max="10414" width="7.44140625" style="88" bestFit="1" customWidth="1"/>
    <col min="10415" max="10415" width="7.6640625" style="88" bestFit="1" customWidth="1"/>
    <col min="10416" max="10416" width="10.44140625" style="88" bestFit="1" customWidth="1"/>
    <col min="10417" max="10417" width="5.109375" style="88" customWidth="1"/>
    <col min="10418" max="10640" width="8.6640625" style="88"/>
    <col min="10641" max="10641" width="3.44140625" style="88" customWidth="1"/>
    <col min="10642" max="10642" width="7" style="88" customWidth="1"/>
    <col min="10643" max="10643" width="25.44140625" style="88" customWidth="1"/>
    <col min="10644" max="10644" width="12" style="88" customWidth="1"/>
    <col min="10645" max="10645" width="12.6640625" style="88" bestFit="1" customWidth="1"/>
    <col min="10646" max="10646" width="7.44140625" style="88" bestFit="1" customWidth="1"/>
    <col min="10647" max="10647" width="7.6640625" style="88" bestFit="1" customWidth="1"/>
    <col min="10648" max="10648" width="15" style="88" customWidth="1"/>
    <col min="10649" max="10649" width="7.44140625" style="88" bestFit="1" customWidth="1"/>
    <col min="10650" max="10650" width="7.6640625" style="88" bestFit="1" customWidth="1"/>
    <col min="10651" max="10651" width="15" style="88" bestFit="1" customWidth="1"/>
    <col min="10652" max="10652" width="7.44140625" style="88" bestFit="1" customWidth="1"/>
    <col min="10653" max="10653" width="7.6640625" style="88" bestFit="1" customWidth="1"/>
    <col min="10654" max="10654" width="9.44140625" style="88" bestFit="1" customWidth="1"/>
    <col min="10655" max="10655" width="8" style="88" bestFit="1" customWidth="1"/>
    <col min="10656" max="10656" width="7.6640625" style="88" bestFit="1" customWidth="1"/>
    <col min="10657" max="10657" width="10.44140625" style="88" bestFit="1" customWidth="1"/>
    <col min="10658" max="10658" width="8" style="88" bestFit="1" customWidth="1"/>
    <col min="10659" max="10659" width="7.6640625" style="88" bestFit="1" customWidth="1"/>
    <col min="10660" max="10660" width="10.44140625" style="88" bestFit="1" customWidth="1"/>
    <col min="10661" max="10661" width="7.44140625" style="88" bestFit="1" customWidth="1"/>
    <col min="10662" max="10662" width="7.6640625" style="88" bestFit="1" customWidth="1"/>
    <col min="10663" max="10663" width="10.44140625" style="88" bestFit="1" customWidth="1"/>
    <col min="10664" max="10664" width="8" style="88" bestFit="1" customWidth="1"/>
    <col min="10665" max="10665" width="7.6640625" style="88" bestFit="1" customWidth="1"/>
    <col min="10666" max="10666" width="10.44140625" style="88" bestFit="1" customWidth="1"/>
    <col min="10667" max="10667" width="7.44140625" style="88" bestFit="1" customWidth="1"/>
    <col min="10668" max="10668" width="7.6640625" style="88" bestFit="1" customWidth="1"/>
    <col min="10669" max="10669" width="10.44140625" style="88" bestFit="1" customWidth="1"/>
    <col min="10670" max="10670" width="7.44140625" style="88" bestFit="1" customWidth="1"/>
    <col min="10671" max="10671" width="7.6640625" style="88" bestFit="1" customWidth="1"/>
    <col min="10672" max="10672" width="10.44140625" style="88" bestFit="1" customWidth="1"/>
    <col min="10673" max="10673" width="5.109375" style="88" customWidth="1"/>
    <col min="10674" max="10896" width="8.6640625" style="88"/>
    <col min="10897" max="10897" width="3.44140625" style="88" customWidth="1"/>
    <col min="10898" max="10898" width="7" style="88" customWidth="1"/>
    <col min="10899" max="10899" width="25.44140625" style="88" customWidth="1"/>
    <col min="10900" max="10900" width="12" style="88" customWidth="1"/>
    <col min="10901" max="10901" width="12.6640625" style="88" bestFit="1" customWidth="1"/>
    <col min="10902" max="10902" width="7.44140625" style="88" bestFit="1" customWidth="1"/>
    <col min="10903" max="10903" width="7.6640625" style="88" bestFit="1" customWidth="1"/>
    <col min="10904" max="10904" width="15" style="88" customWidth="1"/>
    <col min="10905" max="10905" width="7.44140625" style="88" bestFit="1" customWidth="1"/>
    <col min="10906" max="10906" width="7.6640625" style="88" bestFit="1" customWidth="1"/>
    <col min="10907" max="10907" width="15" style="88" bestFit="1" customWidth="1"/>
    <col min="10908" max="10908" width="7.44140625" style="88" bestFit="1" customWidth="1"/>
    <col min="10909" max="10909" width="7.6640625" style="88" bestFit="1" customWidth="1"/>
    <col min="10910" max="10910" width="9.44140625" style="88" bestFit="1" customWidth="1"/>
    <col min="10911" max="10911" width="8" style="88" bestFit="1" customWidth="1"/>
    <col min="10912" max="10912" width="7.6640625" style="88" bestFit="1" customWidth="1"/>
    <col min="10913" max="10913" width="10.44140625" style="88" bestFit="1" customWidth="1"/>
    <col min="10914" max="10914" width="8" style="88" bestFit="1" customWidth="1"/>
    <col min="10915" max="10915" width="7.6640625" style="88" bestFit="1" customWidth="1"/>
    <col min="10916" max="10916" width="10.44140625" style="88" bestFit="1" customWidth="1"/>
    <col min="10917" max="10917" width="7.44140625" style="88" bestFit="1" customWidth="1"/>
    <col min="10918" max="10918" width="7.6640625" style="88" bestFit="1" customWidth="1"/>
    <col min="10919" max="10919" width="10.44140625" style="88" bestFit="1" customWidth="1"/>
    <col min="10920" max="10920" width="8" style="88" bestFit="1" customWidth="1"/>
    <col min="10921" max="10921" width="7.6640625" style="88" bestFit="1" customWidth="1"/>
    <col min="10922" max="10922" width="10.44140625" style="88" bestFit="1" customWidth="1"/>
    <col min="10923" max="10923" width="7.44140625" style="88" bestFit="1" customWidth="1"/>
    <col min="10924" max="10924" width="7.6640625" style="88" bestFit="1" customWidth="1"/>
    <col min="10925" max="10925" width="10.44140625" style="88" bestFit="1" customWidth="1"/>
    <col min="10926" max="10926" width="7.44140625" style="88" bestFit="1" customWidth="1"/>
    <col min="10927" max="10927" width="7.6640625" style="88" bestFit="1" customWidth="1"/>
    <col min="10928" max="10928" width="10.44140625" style="88" bestFit="1" customWidth="1"/>
    <col min="10929" max="10929" width="5.109375" style="88" customWidth="1"/>
    <col min="10930" max="11152" width="8.6640625" style="88"/>
    <col min="11153" max="11153" width="3.44140625" style="88" customWidth="1"/>
    <col min="11154" max="11154" width="7" style="88" customWidth="1"/>
    <col min="11155" max="11155" width="25.44140625" style="88" customWidth="1"/>
    <col min="11156" max="11156" width="12" style="88" customWidth="1"/>
    <col min="11157" max="11157" width="12.6640625" style="88" bestFit="1" customWidth="1"/>
    <col min="11158" max="11158" width="7.44140625" style="88" bestFit="1" customWidth="1"/>
    <col min="11159" max="11159" width="7.6640625" style="88" bestFit="1" customWidth="1"/>
    <col min="11160" max="11160" width="15" style="88" customWidth="1"/>
    <col min="11161" max="11161" width="7.44140625" style="88" bestFit="1" customWidth="1"/>
    <col min="11162" max="11162" width="7.6640625" style="88" bestFit="1" customWidth="1"/>
    <col min="11163" max="11163" width="15" style="88" bestFit="1" customWidth="1"/>
    <col min="11164" max="11164" width="7.44140625" style="88" bestFit="1" customWidth="1"/>
    <col min="11165" max="11165" width="7.6640625" style="88" bestFit="1" customWidth="1"/>
    <col min="11166" max="11166" width="9.44140625" style="88" bestFit="1" customWidth="1"/>
    <col min="11167" max="11167" width="8" style="88" bestFit="1" customWidth="1"/>
    <col min="11168" max="11168" width="7.6640625" style="88" bestFit="1" customWidth="1"/>
    <col min="11169" max="11169" width="10.44140625" style="88" bestFit="1" customWidth="1"/>
    <col min="11170" max="11170" width="8" style="88" bestFit="1" customWidth="1"/>
    <col min="11171" max="11171" width="7.6640625" style="88" bestFit="1" customWidth="1"/>
    <col min="11172" max="11172" width="10.44140625" style="88" bestFit="1" customWidth="1"/>
    <col min="11173" max="11173" width="7.44140625" style="88" bestFit="1" customWidth="1"/>
    <col min="11174" max="11174" width="7.6640625" style="88" bestFit="1" customWidth="1"/>
    <col min="11175" max="11175" width="10.44140625" style="88" bestFit="1" customWidth="1"/>
    <col min="11176" max="11176" width="8" style="88" bestFit="1" customWidth="1"/>
    <col min="11177" max="11177" width="7.6640625" style="88" bestFit="1" customWidth="1"/>
    <col min="11178" max="11178" width="10.44140625" style="88" bestFit="1" customWidth="1"/>
    <col min="11179" max="11179" width="7.44140625" style="88" bestFit="1" customWidth="1"/>
    <col min="11180" max="11180" width="7.6640625" style="88" bestFit="1" customWidth="1"/>
    <col min="11181" max="11181" width="10.44140625" style="88" bestFit="1" customWidth="1"/>
    <col min="11182" max="11182" width="7.44140625" style="88" bestFit="1" customWidth="1"/>
    <col min="11183" max="11183" width="7.6640625" style="88" bestFit="1" customWidth="1"/>
    <col min="11184" max="11184" width="10.44140625" style="88" bestFit="1" customWidth="1"/>
    <col min="11185" max="11185" width="5.109375" style="88" customWidth="1"/>
    <col min="11186" max="11408" width="8.6640625" style="88"/>
    <col min="11409" max="11409" width="3.44140625" style="88" customWidth="1"/>
    <col min="11410" max="11410" width="7" style="88" customWidth="1"/>
    <col min="11411" max="11411" width="25.44140625" style="88" customWidth="1"/>
    <col min="11412" max="11412" width="12" style="88" customWidth="1"/>
    <col min="11413" max="11413" width="12.6640625" style="88" bestFit="1" customWidth="1"/>
    <col min="11414" max="11414" width="7.44140625" style="88" bestFit="1" customWidth="1"/>
    <col min="11415" max="11415" width="7.6640625" style="88" bestFit="1" customWidth="1"/>
    <col min="11416" max="11416" width="15" style="88" customWidth="1"/>
    <col min="11417" max="11417" width="7.44140625" style="88" bestFit="1" customWidth="1"/>
    <col min="11418" max="11418" width="7.6640625" style="88" bestFit="1" customWidth="1"/>
    <col min="11419" max="11419" width="15" style="88" bestFit="1" customWidth="1"/>
    <col min="11420" max="11420" width="7.44140625" style="88" bestFit="1" customWidth="1"/>
    <col min="11421" max="11421" width="7.6640625" style="88" bestFit="1" customWidth="1"/>
    <col min="11422" max="11422" width="9.44140625" style="88" bestFit="1" customWidth="1"/>
    <col min="11423" max="11423" width="8" style="88" bestFit="1" customWidth="1"/>
    <col min="11424" max="11424" width="7.6640625" style="88" bestFit="1" customWidth="1"/>
    <col min="11425" max="11425" width="10.44140625" style="88" bestFit="1" customWidth="1"/>
    <col min="11426" max="11426" width="8" style="88" bestFit="1" customWidth="1"/>
    <col min="11427" max="11427" width="7.6640625" style="88" bestFit="1" customWidth="1"/>
    <col min="11428" max="11428" width="10.44140625" style="88" bestFit="1" customWidth="1"/>
    <col min="11429" max="11429" width="7.44140625" style="88" bestFit="1" customWidth="1"/>
    <col min="11430" max="11430" width="7.6640625" style="88" bestFit="1" customWidth="1"/>
    <col min="11431" max="11431" width="10.44140625" style="88" bestFit="1" customWidth="1"/>
    <col min="11432" max="11432" width="8" style="88" bestFit="1" customWidth="1"/>
    <col min="11433" max="11433" width="7.6640625" style="88" bestFit="1" customWidth="1"/>
    <col min="11434" max="11434" width="10.44140625" style="88" bestFit="1" customWidth="1"/>
    <col min="11435" max="11435" width="7.44140625" style="88" bestFit="1" customWidth="1"/>
    <col min="11436" max="11436" width="7.6640625" style="88" bestFit="1" customWidth="1"/>
    <col min="11437" max="11437" width="10.44140625" style="88" bestFit="1" customWidth="1"/>
    <col min="11438" max="11438" width="7.44140625" style="88" bestFit="1" customWidth="1"/>
    <col min="11439" max="11439" width="7.6640625" style="88" bestFit="1" customWidth="1"/>
    <col min="11440" max="11440" width="10.44140625" style="88" bestFit="1" customWidth="1"/>
    <col min="11441" max="11441" width="5.109375" style="88" customWidth="1"/>
    <col min="11442" max="11664" width="8.6640625" style="88"/>
    <col min="11665" max="11665" width="3.44140625" style="88" customWidth="1"/>
    <col min="11666" max="11666" width="7" style="88" customWidth="1"/>
    <col min="11667" max="11667" width="25.44140625" style="88" customWidth="1"/>
    <col min="11668" max="11668" width="12" style="88" customWidth="1"/>
    <col min="11669" max="11669" width="12.6640625" style="88" bestFit="1" customWidth="1"/>
    <col min="11670" max="11670" width="7.44140625" style="88" bestFit="1" customWidth="1"/>
    <col min="11671" max="11671" width="7.6640625" style="88" bestFit="1" customWidth="1"/>
    <col min="11672" max="11672" width="15" style="88" customWidth="1"/>
    <col min="11673" max="11673" width="7.44140625" style="88" bestFit="1" customWidth="1"/>
    <col min="11674" max="11674" width="7.6640625" style="88" bestFit="1" customWidth="1"/>
    <col min="11675" max="11675" width="15" style="88" bestFit="1" customWidth="1"/>
    <col min="11676" max="11676" width="7.44140625" style="88" bestFit="1" customWidth="1"/>
    <col min="11677" max="11677" width="7.6640625" style="88" bestFit="1" customWidth="1"/>
    <col min="11678" max="11678" width="9.44140625" style="88" bestFit="1" customWidth="1"/>
    <col min="11679" max="11679" width="8" style="88" bestFit="1" customWidth="1"/>
    <col min="11680" max="11680" width="7.6640625" style="88" bestFit="1" customWidth="1"/>
    <col min="11681" max="11681" width="10.44140625" style="88" bestFit="1" customWidth="1"/>
    <col min="11682" max="11682" width="8" style="88" bestFit="1" customWidth="1"/>
    <col min="11683" max="11683" width="7.6640625" style="88" bestFit="1" customWidth="1"/>
    <col min="11684" max="11684" width="10.44140625" style="88" bestFit="1" customWidth="1"/>
    <col min="11685" max="11685" width="7.44140625" style="88" bestFit="1" customWidth="1"/>
    <col min="11686" max="11686" width="7.6640625" style="88" bestFit="1" customWidth="1"/>
    <col min="11687" max="11687" width="10.44140625" style="88" bestFit="1" customWidth="1"/>
    <col min="11688" max="11688" width="8" style="88" bestFit="1" customWidth="1"/>
    <col min="11689" max="11689" width="7.6640625" style="88" bestFit="1" customWidth="1"/>
    <col min="11690" max="11690" width="10.44140625" style="88" bestFit="1" customWidth="1"/>
    <col min="11691" max="11691" width="7.44140625" style="88" bestFit="1" customWidth="1"/>
    <col min="11692" max="11692" width="7.6640625" style="88" bestFit="1" customWidth="1"/>
    <col min="11693" max="11693" width="10.44140625" style="88" bestFit="1" customWidth="1"/>
    <col min="11694" max="11694" width="7.44140625" style="88" bestFit="1" customWidth="1"/>
    <col min="11695" max="11695" width="7.6640625" style="88" bestFit="1" customWidth="1"/>
    <col min="11696" max="11696" width="10.44140625" style="88" bestFit="1" customWidth="1"/>
    <col min="11697" max="11697" width="5.109375" style="88" customWidth="1"/>
    <col min="11698" max="11920" width="8.6640625" style="88"/>
    <col min="11921" max="11921" width="3.44140625" style="88" customWidth="1"/>
    <col min="11922" max="11922" width="7" style="88" customWidth="1"/>
    <col min="11923" max="11923" width="25.44140625" style="88" customWidth="1"/>
    <col min="11924" max="11924" width="12" style="88" customWidth="1"/>
    <col min="11925" max="11925" width="12.6640625" style="88" bestFit="1" customWidth="1"/>
    <col min="11926" max="11926" width="7.44140625" style="88" bestFit="1" customWidth="1"/>
    <col min="11927" max="11927" width="7.6640625" style="88" bestFit="1" customWidth="1"/>
    <col min="11928" max="11928" width="15" style="88" customWidth="1"/>
    <col min="11929" max="11929" width="7.44140625" style="88" bestFit="1" customWidth="1"/>
    <col min="11930" max="11930" width="7.6640625" style="88" bestFit="1" customWidth="1"/>
    <col min="11931" max="11931" width="15" style="88" bestFit="1" customWidth="1"/>
    <col min="11932" max="11932" width="7.44140625" style="88" bestFit="1" customWidth="1"/>
    <col min="11933" max="11933" width="7.6640625" style="88" bestFit="1" customWidth="1"/>
    <col min="11934" max="11934" width="9.44140625" style="88" bestFit="1" customWidth="1"/>
    <col min="11935" max="11935" width="8" style="88" bestFit="1" customWidth="1"/>
    <col min="11936" max="11936" width="7.6640625" style="88" bestFit="1" customWidth="1"/>
    <col min="11937" max="11937" width="10.44140625" style="88" bestFit="1" customWidth="1"/>
    <col min="11938" max="11938" width="8" style="88" bestFit="1" customWidth="1"/>
    <col min="11939" max="11939" width="7.6640625" style="88" bestFit="1" customWidth="1"/>
    <col min="11940" max="11940" width="10.44140625" style="88" bestFit="1" customWidth="1"/>
    <col min="11941" max="11941" width="7.44140625" style="88" bestFit="1" customWidth="1"/>
    <col min="11942" max="11942" width="7.6640625" style="88" bestFit="1" customWidth="1"/>
    <col min="11943" max="11943" width="10.44140625" style="88" bestFit="1" customWidth="1"/>
    <col min="11944" max="11944" width="8" style="88" bestFit="1" customWidth="1"/>
    <col min="11945" max="11945" width="7.6640625" style="88" bestFit="1" customWidth="1"/>
    <col min="11946" max="11946" width="10.44140625" style="88" bestFit="1" customWidth="1"/>
    <col min="11947" max="11947" width="7.44140625" style="88" bestFit="1" customWidth="1"/>
    <col min="11948" max="11948" width="7.6640625" style="88" bestFit="1" customWidth="1"/>
    <col min="11949" max="11949" width="10.44140625" style="88" bestFit="1" customWidth="1"/>
    <col min="11950" max="11950" width="7.44140625" style="88" bestFit="1" customWidth="1"/>
    <col min="11951" max="11951" width="7.6640625" style="88" bestFit="1" customWidth="1"/>
    <col min="11952" max="11952" width="10.44140625" style="88" bestFit="1" customWidth="1"/>
    <col min="11953" max="11953" width="5.109375" style="88" customWidth="1"/>
    <col min="11954" max="12176" width="8.6640625" style="88"/>
    <col min="12177" max="12177" width="3.44140625" style="88" customWidth="1"/>
    <col min="12178" max="12178" width="7" style="88" customWidth="1"/>
    <col min="12179" max="12179" width="25.44140625" style="88" customWidth="1"/>
    <col min="12180" max="12180" width="12" style="88" customWidth="1"/>
    <col min="12181" max="12181" width="12.6640625" style="88" bestFit="1" customWidth="1"/>
    <col min="12182" max="12182" width="7.44140625" style="88" bestFit="1" customWidth="1"/>
    <col min="12183" max="12183" width="7.6640625" style="88" bestFit="1" customWidth="1"/>
    <col min="12184" max="12184" width="15" style="88" customWidth="1"/>
    <col min="12185" max="12185" width="7.44140625" style="88" bestFit="1" customWidth="1"/>
    <col min="12186" max="12186" width="7.6640625" style="88" bestFit="1" customWidth="1"/>
    <col min="12187" max="12187" width="15" style="88" bestFit="1" customWidth="1"/>
    <col min="12188" max="12188" width="7.44140625" style="88" bestFit="1" customWidth="1"/>
    <col min="12189" max="12189" width="7.6640625" style="88" bestFit="1" customWidth="1"/>
    <col min="12190" max="12190" width="9.44140625" style="88" bestFit="1" customWidth="1"/>
    <col min="12191" max="12191" width="8" style="88" bestFit="1" customWidth="1"/>
    <col min="12192" max="12192" width="7.6640625" style="88" bestFit="1" customWidth="1"/>
    <col min="12193" max="12193" width="10.44140625" style="88" bestFit="1" customWidth="1"/>
    <col min="12194" max="12194" width="8" style="88" bestFit="1" customWidth="1"/>
    <col min="12195" max="12195" width="7.6640625" style="88" bestFit="1" customWidth="1"/>
    <col min="12196" max="12196" width="10.44140625" style="88" bestFit="1" customWidth="1"/>
    <col min="12197" max="12197" width="7.44140625" style="88" bestFit="1" customWidth="1"/>
    <col min="12198" max="12198" width="7.6640625" style="88" bestFit="1" customWidth="1"/>
    <col min="12199" max="12199" width="10.44140625" style="88" bestFit="1" customWidth="1"/>
    <col min="12200" max="12200" width="8" style="88" bestFit="1" customWidth="1"/>
    <col min="12201" max="12201" width="7.6640625" style="88" bestFit="1" customWidth="1"/>
    <col min="12202" max="12202" width="10.44140625" style="88" bestFit="1" customWidth="1"/>
    <col min="12203" max="12203" width="7.44140625" style="88" bestFit="1" customWidth="1"/>
    <col min="12204" max="12204" width="7.6640625" style="88" bestFit="1" customWidth="1"/>
    <col min="12205" max="12205" width="10.44140625" style="88" bestFit="1" customWidth="1"/>
    <col min="12206" max="12206" width="7.44140625" style="88" bestFit="1" customWidth="1"/>
    <col min="12207" max="12207" width="7.6640625" style="88" bestFit="1" customWidth="1"/>
    <col min="12208" max="12208" width="10.44140625" style="88" bestFit="1" customWidth="1"/>
    <col min="12209" max="12209" width="5.109375" style="88" customWidth="1"/>
    <col min="12210" max="12432" width="8.6640625" style="88"/>
    <col min="12433" max="12433" width="3.44140625" style="88" customWidth="1"/>
    <col min="12434" max="12434" width="7" style="88" customWidth="1"/>
    <col min="12435" max="12435" width="25.44140625" style="88" customWidth="1"/>
    <col min="12436" max="12436" width="12" style="88" customWidth="1"/>
    <col min="12437" max="12437" width="12.6640625" style="88" bestFit="1" customWidth="1"/>
    <col min="12438" max="12438" width="7.44140625" style="88" bestFit="1" customWidth="1"/>
    <col min="12439" max="12439" width="7.6640625" style="88" bestFit="1" customWidth="1"/>
    <col min="12440" max="12440" width="15" style="88" customWidth="1"/>
    <col min="12441" max="12441" width="7.44140625" style="88" bestFit="1" customWidth="1"/>
    <col min="12442" max="12442" width="7.6640625" style="88" bestFit="1" customWidth="1"/>
    <col min="12443" max="12443" width="15" style="88" bestFit="1" customWidth="1"/>
    <col min="12444" max="12444" width="7.44140625" style="88" bestFit="1" customWidth="1"/>
    <col min="12445" max="12445" width="7.6640625" style="88" bestFit="1" customWidth="1"/>
    <col min="12446" max="12446" width="9.44140625" style="88" bestFit="1" customWidth="1"/>
    <col min="12447" max="12447" width="8" style="88" bestFit="1" customWidth="1"/>
    <col min="12448" max="12448" width="7.6640625" style="88" bestFit="1" customWidth="1"/>
    <col min="12449" max="12449" width="10.44140625" style="88" bestFit="1" customWidth="1"/>
    <col min="12450" max="12450" width="8" style="88" bestFit="1" customWidth="1"/>
    <col min="12451" max="12451" width="7.6640625" style="88" bestFit="1" customWidth="1"/>
    <col min="12452" max="12452" width="10.44140625" style="88" bestFit="1" customWidth="1"/>
    <col min="12453" max="12453" width="7.44140625" style="88" bestFit="1" customWidth="1"/>
    <col min="12454" max="12454" width="7.6640625" style="88" bestFit="1" customWidth="1"/>
    <col min="12455" max="12455" width="10.44140625" style="88" bestFit="1" customWidth="1"/>
    <col min="12456" max="12456" width="8" style="88" bestFit="1" customWidth="1"/>
    <col min="12457" max="12457" width="7.6640625" style="88" bestFit="1" customWidth="1"/>
    <col min="12458" max="12458" width="10.44140625" style="88" bestFit="1" customWidth="1"/>
    <col min="12459" max="12459" width="7.44140625" style="88" bestFit="1" customWidth="1"/>
    <col min="12460" max="12460" width="7.6640625" style="88" bestFit="1" customWidth="1"/>
    <col min="12461" max="12461" width="10.44140625" style="88" bestFit="1" customWidth="1"/>
    <col min="12462" max="12462" width="7.44140625" style="88" bestFit="1" customWidth="1"/>
    <col min="12463" max="12463" width="7.6640625" style="88" bestFit="1" customWidth="1"/>
    <col min="12464" max="12464" width="10.44140625" style="88" bestFit="1" customWidth="1"/>
    <col min="12465" max="12465" width="5.109375" style="88" customWidth="1"/>
    <col min="12466" max="12688" width="8.6640625" style="88"/>
    <col min="12689" max="12689" width="3.44140625" style="88" customWidth="1"/>
    <col min="12690" max="12690" width="7" style="88" customWidth="1"/>
    <col min="12691" max="12691" width="25.44140625" style="88" customWidth="1"/>
    <col min="12692" max="12692" width="12" style="88" customWidth="1"/>
    <col min="12693" max="12693" width="12.6640625" style="88" bestFit="1" customWidth="1"/>
    <col min="12694" max="12694" width="7.44140625" style="88" bestFit="1" customWidth="1"/>
    <col min="12695" max="12695" width="7.6640625" style="88" bestFit="1" customWidth="1"/>
    <col min="12696" max="12696" width="15" style="88" customWidth="1"/>
    <col min="12697" max="12697" width="7.44140625" style="88" bestFit="1" customWidth="1"/>
    <col min="12698" max="12698" width="7.6640625" style="88" bestFit="1" customWidth="1"/>
    <col min="12699" max="12699" width="15" style="88" bestFit="1" customWidth="1"/>
    <col min="12700" max="12700" width="7.44140625" style="88" bestFit="1" customWidth="1"/>
    <col min="12701" max="12701" width="7.6640625" style="88" bestFit="1" customWidth="1"/>
    <col min="12702" max="12702" width="9.44140625" style="88" bestFit="1" customWidth="1"/>
    <col min="12703" max="12703" width="8" style="88" bestFit="1" customWidth="1"/>
    <col min="12704" max="12704" width="7.6640625" style="88" bestFit="1" customWidth="1"/>
    <col min="12705" max="12705" width="10.44140625" style="88" bestFit="1" customWidth="1"/>
    <col min="12706" max="12706" width="8" style="88" bestFit="1" customWidth="1"/>
    <col min="12707" max="12707" width="7.6640625" style="88" bestFit="1" customWidth="1"/>
    <col min="12708" max="12708" width="10.44140625" style="88" bestFit="1" customWidth="1"/>
    <col min="12709" max="12709" width="7.44140625" style="88" bestFit="1" customWidth="1"/>
    <col min="12710" max="12710" width="7.6640625" style="88" bestFit="1" customWidth="1"/>
    <col min="12711" max="12711" width="10.44140625" style="88" bestFit="1" customWidth="1"/>
    <col min="12712" max="12712" width="8" style="88" bestFit="1" customWidth="1"/>
    <col min="12713" max="12713" width="7.6640625" style="88" bestFit="1" customWidth="1"/>
    <col min="12714" max="12714" width="10.44140625" style="88" bestFit="1" customWidth="1"/>
    <col min="12715" max="12715" width="7.44140625" style="88" bestFit="1" customWidth="1"/>
    <col min="12716" max="12716" width="7.6640625" style="88" bestFit="1" customWidth="1"/>
    <col min="12717" max="12717" width="10.44140625" style="88" bestFit="1" customWidth="1"/>
    <col min="12718" max="12718" width="7.44140625" style="88" bestFit="1" customWidth="1"/>
    <col min="12719" max="12719" width="7.6640625" style="88" bestFit="1" customWidth="1"/>
    <col min="12720" max="12720" width="10.44140625" style="88" bestFit="1" customWidth="1"/>
    <col min="12721" max="12721" width="5.109375" style="88" customWidth="1"/>
    <col min="12722" max="12944" width="8.6640625" style="88"/>
    <col min="12945" max="12945" width="3.44140625" style="88" customWidth="1"/>
    <col min="12946" max="12946" width="7" style="88" customWidth="1"/>
    <col min="12947" max="12947" width="25.44140625" style="88" customWidth="1"/>
    <col min="12948" max="12948" width="12" style="88" customWidth="1"/>
    <col min="12949" max="12949" width="12.6640625" style="88" bestFit="1" customWidth="1"/>
    <col min="12950" max="12950" width="7.44140625" style="88" bestFit="1" customWidth="1"/>
    <col min="12951" max="12951" width="7.6640625" style="88" bestFit="1" customWidth="1"/>
    <col min="12952" max="12952" width="15" style="88" customWidth="1"/>
    <col min="12953" max="12953" width="7.44140625" style="88" bestFit="1" customWidth="1"/>
    <col min="12954" max="12954" width="7.6640625" style="88" bestFit="1" customWidth="1"/>
    <col min="12955" max="12955" width="15" style="88" bestFit="1" customWidth="1"/>
    <col min="12956" max="12956" width="7.44140625" style="88" bestFit="1" customWidth="1"/>
    <col min="12957" max="12957" width="7.6640625" style="88" bestFit="1" customWidth="1"/>
    <col min="12958" max="12958" width="9.44140625" style="88" bestFit="1" customWidth="1"/>
    <col min="12959" max="12959" width="8" style="88" bestFit="1" customWidth="1"/>
    <col min="12960" max="12960" width="7.6640625" style="88" bestFit="1" customWidth="1"/>
    <col min="12961" max="12961" width="10.44140625" style="88" bestFit="1" customWidth="1"/>
    <col min="12962" max="12962" width="8" style="88" bestFit="1" customWidth="1"/>
    <col min="12963" max="12963" width="7.6640625" style="88" bestFit="1" customWidth="1"/>
    <col min="12964" max="12964" width="10.44140625" style="88" bestFit="1" customWidth="1"/>
    <col min="12965" max="12965" width="7.44140625" style="88" bestFit="1" customWidth="1"/>
    <col min="12966" max="12966" width="7.6640625" style="88" bestFit="1" customWidth="1"/>
    <col min="12967" max="12967" width="10.44140625" style="88" bestFit="1" customWidth="1"/>
    <col min="12968" max="12968" width="8" style="88" bestFit="1" customWidth="1"/>
    <col min="12969" max="12969" width="7.6640625" style="88" bestFit="1" customWidth="1"/>
    <col min="12970" max="12970" width="10.44140625" style="88" bestFit="1" customWidth="1"/>
    <col min="12971" max="12971" width="7.44140625" style="88" bestFit="1" customWidth="1"/>
    <col min="12972" max="12972" width="7.6640625" style="88" bestFit="1" customWidth="1"/>
    <col min="12973" max="12973" width="10.44140625" style="88" bestFit="1" customWidth="1"/>
    <col min="12974" max="12974" width="7.44140625" style="88" bestFit="1" customWidth="1"/>
    <col min="12975" max="12975" width="7.6640625" style="88" bestFit="1" customWidth="1"/>
    <col min="12976" max="12976" width="10.44140625" style="88" bestFit="1" customWidth="1"/>
    <col min="12977" max="12977" width="5.109375" style="88" customWidth="1"/>
    <col min="12978" max="13200" width="8.6640625" style="88"/>
    <col min="13201" max="13201" width="3.44140625" style="88" customWidth="1"/>
    <col min="13202" max="13202" width="7" style="88" customWidth="1"/>
    <col min="13203" max="13203" width="25.44140625" style="88" customWidth="1"/>
    <col min="13204" max="13204" width="12" style="88" customWidth="1"/>
    <col min="13205" max="13205" width="12.6640625" style="88" bestFit="1" customWidth="1"/>
    <col min="13206" max="13206" width="7.44140625" style="88" bestFit="1" customWidth="1"/>
    <col min="13207" max="13207" width="7.6640625" style="88" bestFit="1" customWidth="1"/>
    <col min="13208" max="13208" width="15" style="88" customWidth="1"/>
    <col min="13209" max="13209" width="7.44140625" style="88" bestFit="1" customWidth="1"/>
    <col min="13210" max="13210" width="7.6640625" style="88" bestFit="1" customWidth="1"/>
    <col min="13211" max="13211" width="15" style="88" bestFit="1" customWidth="1"/>
    <col min="13212" max="13212" width="7.44140625" style="88" bestFit="1" customWidth="1"/>
    <col min="13213" max="13213" width="7.6640625" style="88" bestFit="1" customWidth="1"/>
    <col min="13214" max="13214" width="9.44140625" style="88" bestFit="1" customWidth="1"/>
    <col min="13215" max="13215" width="8" style="88" bestFit="1" customWidth="1"/>
    <col min="13216" max="13216" width="7.6640625" style="88" bestFit="1" customWidth="1"/>
    <col min="13217" max="13217" width="10.44140625" style="88" bestFit="1" customWidth="1"/>
    <col min="13218" max="13218" width="8" style="88" bestFit="1" customWidth="1"/>
    <col min="13219" max="13219" width="7.6640625" style="88" bestFit="1" customWidth="1"/>
    <col min="13220" max="13220" width="10.44140625" style="88" bestFit="1" customWidth="1"/>
    <col min="13221" max="13221" width="7.44140625" style="88" bestFit="1" customWidth="1"/>
    <col min="13222" max="13222" width="7.6640625" style="88" bestFit="1" customWidth="1"/>
    <col min="13223" max="13223" width="10.44140625" style="88" bestFit="1" customWidth="1"/>
    <col min="13224" max="13224" width="8" style="88" bestFit="1" customWidth="1"/>
    <col min="13225" max="13225" width="7.6640625" style="88" bestFit="1" customWidth="1"/>
    <col min="13226" max="13226" width="10.44140625" style="88" bestFit="1" customWidth="1"/>
    <col min="13227" max="13227" width="7.44140625" style="88" bestFit="1" customWidth="1"/>
    <col min="13228" max="13228" width="7.6640625" style="88" bestFit="1" customWidth="1"/>
    <col min="13229" max="13229" width="10.44140625" style="88" bestFit="1" customWidth="1"/>
    <col min="13230" max="13230" width="7.44140625" style="88" bestFit="1" customWidth="1"/>
    <col min="13231" max="13231" width="7.6640625" style="88" bestFit="1" customWidth="1"/>
    <col min="13232" max="13232" width="10.44140625" style="88" bestFit="1" customWidth="1"/>
    <col min="13233" max="13233" width="5.109375" style="88" customWidth="1"/>
    <col min="13234" max="13456" width="8.6640625" style="88"/>
    <col min="13457" max="13457" width="3.44140625" style="88" customWidth="1"/>
    <col min="13458" max="13458" width="7" style="88" customWidth="1"/>
    <col min="13459" max="13459" width="25.44140625" style="88" customWidth="1"/>
    <col min="13460" max="13460" width="12" style="88" customWidth="1"/>
    <col min="13461" max="13461" width="12.6640625" style="88" bestFit="1" customWidth="1"/>
    <col min="13462" max="13462" width="7.44140625" style="88" bestFit="1" customWidth="1"/>
    <col min="13463" max="13463" width="7.6640625" style="88" bestFit="1" customWidth="1"/>
    <col min="13464" max="13464" width="15" style="88" customWidth="1"/>
    <col min="13465" max="13465" width="7.44140625" style="88" bestFit="1" customWidth="1"/>
    <col min="13466" max="13466" width="7.6640625" style="88" bestFit="1" customWidth="1"/>
    <col min="13467" max="13467" width="15" style="88" bestFit="1" customWidth="1"/>
    <col min="13468" max="13468" width="7.44140625" style="88" bestFit="1" customWidth="1"/>
    <col min="13469" max="13469" width="7.6640625" style="88" bestFit="1" customWidth="1"/>
    <col min="13470" max="13470" width="9.44140625" style="88" bestFit="1" customWidth="1"/>
    <col min="13471" max="13471" width="8" style="88" bestFit="1" customWidth="1"/>
    <col min="13472" max="13472" width="7.6640625" style="88" bestFit="1" customWidth="1"/>
    <col min="13473" max="13473" width="10.44140625" style="88" bestFit="1" customWidth="1"/>
    <col min="13474" max="13474" width="8" style="88" bestFit="1" customWidth="1"/>
    <col min="13475" max="13475" width="7.6640625" style="88" bestFit="1" customWidth="1"/>
    <col min="13476" max="13476" width="10.44140625" style="88" bestFit="1" customWidth="1"/>
    <col min="13477" max="13477" width="7.44140625" style="88" bestFit="1" customWidth="1"/>
    <col min="13478" max="13478" width="7.6640625" style="88" bestFit="1" customWidth="1"/>
    <col min="13479" max="13479" width="10.44140625" style="88" bestFit="1" customWidth="1"/>
    <col min="13480" max="13480" width="8" style="88" bestFit="1" customWidth="1"/>
    <col min="13481" max="13481" width="7.6640625" style="88" bestFit="1" customWidth="1"/>
    <col min="13482" max="13482" width="10.44140625" style="88" bestFit="1" customWidth="1"/>
    <col min="13483" max="13483" width="7.44140625" style="88" bestFit="1" customWidth="1"/>
    <col min="13484" max="13484" width="7.6640625" style="88" bestFit="1" customWidth="1"/>
    <col min="13485" max="13485" width="10.44140625" style="88" bestFit="1" customWidth="1"/>
    <col min="13486" max="13486" width="7.44140625" style="88" bestFit="1" customWidth="1"/>
    <col min="13487" max="13487" width="7.6640625" style="88" bestFit="1" customWidth="1"/>
    <col min="13488" max="13488" width="10.44140625" style="88" bestFit="1" customWidth="1"/>
    <col min="13489" max="13489" width="5.109375" style="88" customWidth="1"/>
    <col min="13490" max="13712" width="8.6640625" style="88"/>
    <col min="13713" max="13713" width="3.44140625" style="88" customWidth="1"/>
    <col min="13714" max="13714" width="7" style="88" customWidth="1"/>
    <col min="13715" max="13715" width="25.44140625" style="88" customWidth="1"/>
    <col min="13716" max="13716" width="12" style="88" customWidth="1"/>
    <col min="13717" max="13717" width="12.6640625" style="88" bestFit="1" customWidth="1"/>
    <col min="13718" max="13718" width="7.44140625" style="88" bestFit="1" customWidth="1"/>
    <col min="13719" max="13719" width="7.6640625" style="88" bestFit="1" customWidth="1"/>
    <col min="13720" max="13720" width="15" style="88" customWidth="1"/>
    <col min="13721" max="13721" width="7.44140625" style="88" bestFit="1" customWidth="1"/>
    <col min="13722" max="13722" width="7.6640625" style="88" bestFit="1" customWidth="1"/>
    <col min="13723" max="13723" width="15" style="88" bestFit="1" customWidth="1"/>
    <col min="13724" max="13724" width="7.44140625" style="88" bestFit="1" customWidth="1"/>
    <col min="13725" max="13725" width="7.6640625" style="88" bestFit="1" customWidth="1"/>
    <col min="13726" max="13726" width="9.44140625" style="88" bestFit="1" customWidth="1"/>
    <col min="13727" max="13727" width="8" style="88" bestFit="1" customWidth="1"/>
    <col min="13728" max="13728" width="7.6640625" style="88" bestFit="1" customWidth="1"/>
    <col min="13729" max="13729" width="10.44140625" style="88" bestFit="1" customWidth="1"/>
    <col min="13730" max="13730" width="8" style="88" bestFit="1" customWidth="1"/>
    <col min="13731" max="13731" width="7.6640625" style="88" bestFit="1" customWidth="1"/>
    <col min="13732" max="13732" width="10.44140625" style="88" bestFit="1" customWidth="1"/>
    <col min="13733" max="13733" width="7.44140625" style="88" bestFit="1" customWidth="1"/>
    <col min="13734" max="13734" width="7.6640625" style="88" bestFit="1" customWidth="1"/>
    <col min="13735" max="13735" width="10.44140625" style="88" bestFit="1" customWidth="1"/>
    <col min="13736" max="13736" width="8" style="88" bestFit="1" customWidth="1"/>
    <col min="13737" max="13737" width="7.6640625" style="88" bestFit="1" customWidth="1"/>
    <col min="13738" max="13738" width="10.44140625" style="88" bestFit="1" customWidth="1"/>
    <col min="13739" max="13739" width="7.44140625" style="88" bestFit="1" customWidth="1"/>
    <col min="13740" max="13740" width="7.6640625" style="88" bestFit="1" customWidth="1"/>
    <col min="13741" max="13741" width="10.44140625" style="88" bestFit="1" customWidth="1"/>
    <col min="13742" max="13742" width="7.44140625" style="88" bestFit="1" customWidth="1"/>
    <col min="13743" max="13743" width="7.6640625" style="88" bestFit="1" customWidth="1"/>
    <col min="13744" max="13744" width="10.44140625" style="88" bestFit="1" customWidth="1"/>
    <col min="13745" max="13745" width="5.109375" style="88" customWidth="1"/>
    <col min="13746" max="13968" width="8.6640625" style="88"/>
    <col min="13969" max="13969" width="3.44140625" style="88" customWidth="1"/>
    <col min="13970" max="13970" width="7" style="88" customWidth="1"/>
    <col min="13971" max="13971" width="25.44140625" style="88" customWidth="1"/>
    <col min="13972" max="13972" width="12" style="88" customWidth="1"/>
    <col min="13973" max="13973" width="12.6640625" style="88" bestFit="1" customWidth="1"/>
    <col min="13974" max="13974" width="7.44140625" style="88" bestFit="1" customWidth="1"/>
    <col min="13975" max="13975" width="7.6640625" style="88" bestFit="1" customWidth="1"/>
    <col min="13976" max="13976" width="15" style="88" customWidth="1"/>
    <col min="13977" max="13977" width="7.44140625" style="88" bestFit="1" customWidth="1"/>
    <col min="13978" max="13978" width="7.6640625" style="88" bestFit="1" customWidth="1"/>
    <col min="13979" max="13979" width="15" style="88" bestFit="1" customWidth="1"/>
    <col min="13980" max="13980" width="7.44140625" style="88" bestFit="1" customWidth="1"/>
    <col min="13981" max="13981" width="7.6640625" style="88" bestFit="1" customWidth="1"/>
    <col min="13982" max="13982" width="9.44140625" style="88" bestFit="1" customWidth="1"/>
    <col min="13983" max="13983" width="8" style="88" bestFit="1" customWidth="1"/>
    <col min="13984" max="13984" width="7.6640625" style="88" bestFit="1" customWidth="1"/>
    <col min="13985" max="13985" width="10.44140625" style="88" bestFit="1" customWidth="1"/>
    <col min="13986" max="13986" width="8" style="88" bestFit="1" customWidth="1"/>
    <col min="13987" max="13987" width="7.6640625" style="88" bestFit="1" customWidth="1"/>
    <col min="13988" max="13988" width="10.44140625" style="88" bestFit="1" customWidth="1"/>
    <col min="13989" max="13989" width="7.44140625" style="88" bestFit="1" customWidth="1"/>
    <col min="13990" max="13990" width="7.6640625" style="88" bestFit="1" customWidth="1"/>
    <col min="13991" max="13991" width="10.44140625" style="88" bestFit="1" customWidth="1"/>
    <col min="13992" max="13992" width="8" style="88" bestFit="1" customWidth="1"/>
    <col min="13993" max="13993" width="7.6640625" style="88" bestFit="1" customWidth="1"/>
    <col min="13994" max="13994" width="10.44140625" style="88" bestFit="1" customWidth="1"/>
    <col min="13995" max="13995" width="7.44140625" style="88" bestFit="1" customWidth="1"/>
    <col min="13996" max="13996" width="7.6640625" style="88" bestFit="1" customWidth="1"/>
    <col min="13997" max="13997" width="10.44140625" style="88" bestFit="1" customWidth="1"/>
    <col min="13998" max="13998" width="7.44140625" style="88" bestFit="1" customWidth="1"/>
    <col min="13999" max="13999" width="7.6640625" style="88" bestFit="1" customWidth="1"/>
    <col min="14000" max="14000" width="10.44140625" style="88" bestFit="1" customWidth="1"/>
    <col min="14001" max="14001" width="5.109375" style="88" customWidth="1"/>
    <col min="14002" max="14224" width="8.6640625" style="88"/>
    <col min="14225" max="14225" width="3.44140625" style="88" customWidth="1"/>
    <col min="14226" max="14226" width="7" style="88" customWidth="1"/>
    <col min="14227" max="14227" width="25.44140625" style="88" customWidth="1"/>
    <col min="14228" max="14228" width="12" style="88" customWidth="1"/>
    <col min="14229" max="14229" width="12.6640625" style="88" bestFit="1" customWidth="1"/>
    <col min="14230" max="14230" width="7.44140625" style="88" bestFit="1" customWidth="1"/>
    <col min="14231" max="14231" width="7.6640625" style="88" bestFit="1" customWidth="1"/>
    <col min="14232" max="14232" width="15" style="88" customWidth="1"/>
    <col min="14233" max="14233" width="7.44140625" style="88" bestFit="1" customWidth="1"/>
    <col min="14234" max="14234" width="7.6640625" style="88" bestFit="1" customWidth="1"/>
    <col min="14235" max="14235" width="15" style="88" bestFit="1" customWidth="1"/>
    <col min="14236" max="14236" width="7.44140625" style="88" bestFit="1" customWidth="1"/>
    <col min="14237" max="14237" width="7.6640625" style="88" bestFit="1" customWidth="1"/>
    <col min="14238" max="14238" width="9.44140625" style="88" bestFit="1" customWidth="1"/>
    <col min="14239" max="14239" width="8" style="88" bestFit="1" customWidth="1"/>
    <col min="14240" max="14240" width="7.6640625" style="88" bestFit="1" customWidth="1"/>
    <col min="14241" max="14241" width="10.44140625" style="88" bestFit="1" customWidth="1"/>
    <col min="14242" max="14242" width="8" style="88" bestFit="1" customWidth="1"/>
    <col min="14243" max="14243" width="7.6640625" style="88" bestFit="1" customWidth="1"/>
    <col min="14244" max="14244" width="10.44140625" style="88" bestFit="1" customWidth="1"/>
    <col min="14245" max="14245" width="7.44140625" style="88" bestFit="1" customWidth="1"/>
    <col min="14246" max="14246" width="7.6640625" style="88" bestFit="1" customWidth="1"/>
    <col min="14247" max="14247" width="10.44140625" style="88" bestFit="1" customWidth="1"/>
    <col min="14248" max="14248" width="8" style="88" bestFit="1" customWidth="1"/>
    <col min="14249" max="14249" width="7.6640625" style="88" bestFit="1" customWidth="1"/>
    <col min="14250" max="14250" width="10.44140625" style="88" bestFit="1" customWidth="1"/>
    <col min="14251" max="14251" width="7.44140625" style="88" bestFit="1" customWidth="1"/>
    <col min="14252" max="14252" width="7.6640625" style="88" bestFit="1" customWidth="1"/>
    <col min="14253" max="14253" width="10.44140625" style="88" bestFit="1" customWidth="1"/>
    <col min="14254" max="14254" width="7.44140625" style="88" bestFit="1" customWidth="1"/>
    <col min="14255" max="14255" width="7.6640625" style="88" bestFit="1" customWidth="1"/>
    <col min="14256" max="14256" width="10.44140625" style="88" bestFit="1" customWidth="1"/>
    <col min="14257" max="14257" width="5.109375" style="88" customWidth="1"/>
    <col min="14258" max="14480" width="8.6640625" style="88"/>
    <col min="14481" max="14481" width="3.44140625" style="88" customWidth="1"/>
    <col min="14482" max="14482" width="7" style="88" customWidth="1"/>
    <col min="14483" max="14483" width="25.44140625" style="88" customWidth="1"/>
    <col min="14484" max="14484" width="12" style="88" customWidth="1"/>
    <col min="14485" max="14485" width="12.6640625" style="88" bestFit="1" customWidth="1"/>
    <col min="14486" max="14486" width="7.44140625" style="88" bestFit="1" customWidth="1"/>
    <col min="14487" max="14487" width="7.6640625" style="88" bestFit="1" customWidth="1"/>
    <col min="14488" max="14488" width="15" style="88" customWidth="1"/>
    <col min="14489" max="14489" width="7.44140625" style="88" bestFit="1" customWidth="1"/>
    <col min="14490" max="14490" width="7.6640625" style="88" bestFit="1" customWidth="1"/>
    <col min="14491" max="14491" width="15" style="88" bestFit="1" customWidth="1"/>
    <col min="14492" max="14492" width="7.44140625" style="88" bestFit="1" customWidth="1"/>
    <col min="14493" max="14493" width="7.6640625" style="88" bestFit="1" customWidth="1"/>
    <col min="14494" max="14494" width="9.44140625" style="88" bestFit="1" customWidth="1"/>
    <col min="14495" max="14495" width="8" style="88" bestFit="1" customWidth="1"/>
    <col min="14496" max="14496" width="7.6640625" style="88" bestFit="1" customWidth="1"/>
    <col min="14497" max="14497" width="10.44140625" style="88" bestFit="1" customWidth="1"/>
    <col min="14498" max="14498" width="8" style="88" bestFit="1" customWidth="1"/>
    <col min="14499" max="14499" width="7.6640625" style="88" bestFit="1" customWidth="1"/>
    <col min="14500" max="14500" width="10.44140625" style="88" bestFit="1" customWidth="1"/>
    <col min="14501" max="14501" width="7.44140625" style="88" bestFit="1" customWidth="1"/>
    <col min="14502" max="14502" width="7.6640625" style="88" bestFit="1" customWidth="1"/>
    <col min="14503" max="14503" width="10.44140625" style="88" bestFit="1" customWidth="1"/>
    <col min="14504" max="14504" width="8" style="88" bestFit="1" customWidth="1"/>
    <col min="14505" max="14505" width="7.6640625" style="88" bestFit="1" customWidth="1"/>
    <col min="14506" max="14506" width="10.44140625" style="88" bestFit="1" customWidth="1"/>
    <col min="14507" max="14507" width="7.44140625" style="88" bestFit="1" customWidth="1"/>
    <col min="14508" max="14508" width="7.6640625" style="88" bestFit="1" customWidth="1"/>
    <col min="14509" max="14509" width="10.44140625" style="88" bestFit="1" customWidth="1"/>
    <col min="14510" max="14510" width="7.44140625" style="88" bestFit="1" customWidth="1"/>
    <col min="14511" max="14511" width="7.6640625" style="88" bestFit="1" customWidth="1"/>
    <col min="14512" max="14512" width="10.44140625" style="88" bestFit="1" customWidth="1"/>
    <col min="14513" max="14513" width="5.109375" style="88" customWidth="1"/>
    <col min="14514" max="14736" width="8.6640625" style="88"/>
    <col min="14737" max="14737" width="3.44140625" style="88" customWidth="1"/>
    <col min="14738" max="14738" width="7" style="88" customWidth="1"/>
    <col min="14739" max="14739" width="25.44140625" style="88" customWidth="1"/>
    <col min="14740" max="14740" width="12" style="88" customWidth="1"/>
    <col min="14741" max="14741" width="12.6640625" style="88" bestFit="1" customWidth="1"/>
    <col min="14742" max="14742" width="7.44140625" style="88" bestFit="1" customWidth="1"/>
    <col min="14743" max="14743" width="7.6640625" style="88" bestFit="1" customWidth="1"/>
    <col min="14744" max="14744" width="15" style="88" customWidth="1"/>
    <col min="14745" max="14745" width="7.44140625" style="88" bestFit="1" customWidth="1"/>
    <col min="14746" max="14746" width="7.6640625" style="88" bestFit="1" customWidth="1"/>
    <col min="14747" max="14747" width="15" style="88" bestFit="1" customWidth="1"/>
    <col min="14748" max="14748" width="7.44140625" style="88" bestFit="1" customWidth="1"/>
    <col min="14749" max="14749" width="7.6640625" style="88" bestFit="1" customWidth="1"/>
    <col min="14750" max="14750" width="9.44140625" style="88" bestFit="1" customWidth="1"/>
    <col min="14751" max="14751" width="8" style="88" bestFit="1" customWidth="1"/>
    <col min="14752" max="14752" width="7.6640625" style="88" bestFit="1" customWidth="1"/>
    <col min="14753" max="14753" width="10.44140625" style="88" bestFit="1" customWidth="1"/>
    <col min="14754" max="14754" width="8" style="88" bestFit="1" customWidth="1"/>
    <col min="14755" max="14755" width="7.6640625" style="88" bestFit="1" customWidth="1"/>
    <col min="14756" max="14756" width="10.44140625" style="88" bestFit="1" customWidth="1"/>
    <col min="14757" max="14757" width="7.44140625" style="88" bestFit="1" customWidth="1"/>
    <col min="14758" max="14758" width="7.6640625" style="88" bestFit="1" customWidth="1"/>
    <col min="14759" max="14759" width="10.44140625" style="88" bestFit="1" customWidth="1"/>
    <col min="14760" max="14760" width="8" style="88" bestFit="1" customWidth="1"/>
    <col min="14761" max="14761" width="7.6640625" style="88" bestFit="1" customWidth="1"/>
    <col min="14762" max="14762" width="10.44140625" style="88" bestFit="1" customWidth="1"/>
    <col min="14763" max="14763" width="7.44140625" style="88" bestFit="1" customWidth="1"/>
    <col min="14764" max="14764" width="7.6640625" style="88" bestFit="1" customWidth="1"/>
    <col min="14765" max="14765" width="10.44140625" style="88" bestFit="1" customWidth="1"/>
    <col min="14766" max="14766" width="7.44140625" style="88" bestFit="1" customWidth="1"/>
    <col min="14767" max="14767" width="7.6640625" style="88" bestFit="1" customWidth="1"/>
    <col min="14768" max="14768" width="10.44140625" style="88" bestFit="1" customWidth="1"/>
    <col min="14769" max="14769" width="5.109375" style="88" customWidth="1"/>
    <col min="14770" max="14992" width="8.6640625" style="88"/>
    <col min="14993" max="14993" width="3.44140625" style="88" customWidth="1"/>
    <col min="14994" max="14994" width="7" style="88" customWidth="1"/>
    <col min="14995" max="14995" width="25.44140625" style="88" customWidth="1"/>
    <col min="14996" max="14996" width="12" style="88" customWidth="1"/>
    <col min="14997" max="14997" width="12.6640625" style="88" bestFit="1" customWidth="1"/>
    <col min="14998" max="14998" width="7.44140625" style="88" bestFit="1" customWidth="1"/>
    <col min="14999" max="14999" width="7.6640625" style="88" bestFit="1" customWidth="1"/>
    <col min="15000" max="15000" width="15" style="88" customWidth="1"/>
    <col min="15001" max="15001" width="7.44140625" style="88" bestFit="1" customWidth="1"/>
    <col min="15002" max="15002" width="7.6640625" style="88" bestFit="1" customWidth="1"/>
    <col min="15003" max="15003" width="15" style="88" bestFit="1" customWidth="1"/>
    <col min="15004" max="15004" width="7.44140625" style="88" bestFit="1" customWidth="1"/>
    <col min="15005" max="15005" width="7.6640625" style="88" bestFit="1" customWidth="1"/>
    <col min="15006" max="15006" width="9.44140625" style="88" bestFit="1" customWidth="1"/>
    <col min="15007" max="15007" width="8" style="88" bestFit="1" customWidth="1"/>
    <col min="15008" max="15008" width="7.6640625" style="88" bestFit="1" customWidth="1"/>
    <col min="15009" max="15009" width="10.44140625" style="88" bestFit="1" customWidth="1"/>
    <col min="15010" max="15010" width="8" style="88" bestFit="1" customWidth="1"/>
    <col min="15011" max="15011" width="7.6640625" style="88" bestFit="1" customWidth="1"/>
    <col min="15012" max="15012" width="10.44140625" style="88" bestFit="1" customWidth="1"/>
    <col min="15013" max="15013" width="7.44140625" style="88" bestFit="1" customWidth="1"/>
    <col min="15014" max="15014" width="7.6640625" style="88" bestFit="1" customWidth="1"/>
    <col min="15015" max="15015" width="10.44140625" style="88" bestFit="1" customWidth="1"/>
    <col min="15016" max="15016" width="8" style="88" bestFit="1" customWidth="1"/>
    <col min="15017" max="15017" width="7.6640625" style="88" bestFit="1" customWidth="1"/>
    <col min="15018" max="15018" width="10.44140625" style="88" bestFit="1" customWidth="1"/>
    <col min="15019" max="15019" width="7.44140625" style="88" bestFit="1" customWidth="1"/>
    <col min="15020" max="15020" width="7.6640625" style="88" bestFit="1" customWidth="1"/>
    <col min="15021" max="15021" width="10.44140625" style="88" bestFit="1" customWidth="1"/>
    <col min="15022" max="15022" width="7.44140625" style="88" bestFit="1" customWidth="1"/>
    <col min="15023" max="15023" width="7.6640625" style="88" bestFit="1" customWidth="1"/>
    <col min="15024" max="15024" width="10.44140625" style="88" bestFit="1" customWidth="1"/>
    <col min="15025" max="15025" width="5.109375" style="88" customWidth="1"/>
    <col min="15026" max="15248" width="8.6640625" style="88"/>
    <col min="15249" max="15249" width="3.44140625" style="88" customWidth="1"/>
    <col min="15250" max="15250" width="7" style="88" customWidth="1"/>
    <col min="15251" max="15251" width="25.44140625" style="88" customWidth="1"/>
    <col min="15252" max="15252" width="12" style="88" customWidth="1"/>
    <col min="15253" max="15253" width="12.6640625" style="88" bestFit="1" customWidth="1"/>
    <col min="15254" max="15254" width="7.44140625" style="88" bestFit="1" customWidth="1"/>
    <col min="15255" max="15255" width="7.6640625" style="88" bestFit="1" customWidth="1"/>
    <col min="15256" max="15256" width="15" style="88" customWidth="1"/>
    <col min="15257" max="15257" width="7.44140625" style="88" bestFit="1" customWidth="1"/>
    <col min="15258" max="15258" width="7.6640625" style="88" bestFit="1" customWidth="1"/>
    <col min="15259" max="15259" width="15" style="88" bestFit="1" customWidth="1"/>
    <col min="15260" max="15260" width="7.44140625" style="88" bestFit="1" customWidth="1"/>
    <col min="15261" max="15261" width="7.6640625" style="88" bestFit="1" customWidth="1"/>
    <col min="15262" max="15262" width="9.44140625" style="88" bestFit="1" customWidth="1"/>
    <col min="15263" max="15263" width="8" style="88" bestFit="1" customWidth="1"/>
    <col min="15264" max="15264" width="7.6640625" style="88" bestFit="1" customWidth="1"/>
    <col min="15265" max="15265" width="10.44140625" style="88" bestFit="1" customWidth="1"/>
    <col min="15266" max="15266" width="8" style="88" bestFit="1" customWidth="1"/>
    <col min="15267" max="15267" width="7.6640625" style="88" bestFit="1" customWidth="1"/>
    <col min="15268" max="15268" width="10.44140625" style="88" bestFit="1" customWidth="1"/>
    <col min="15269" max="15269" width="7.44140625" style="88" bestFit="1" customWidth="1"/>
    <col min="15270" max="15270" width="7.6640625" style="88" bestFit="1" customWidth="1"/>
    <col min="15271" max="15271" width="10.44140625" style="88" bestFit="1" customWidth="1"/>
    <col min="15272" max="15272" width="8" style="88" bestFit="1" customWidth="1"/>
    <col min="15273" max="15273" width="7.6640625" style="88" bestFit="1" customWidth="1"/>
    <col min="15274" max="15274" width="10.44140625" style="88" bestFit="1" customWidth="1"/>
    <col min="15275" max="15275" width="7.44140625" style="88" bestFit="1" customWidth="1"/>
    <col min="15276" max="15276" width="7.6640625" style="88" bestFit="1" customWidth="1"/>
    <col min="15277" max="15277" width="10.44140625" style="88" bestFit="1" customWidth="1"/>
    <col min="15278" max="15278" width="7.44140625" style="88" bestFit="1" customWidth="1"/>
    <col min="15279" max="15279" width="7.6640625" style="88" bestFit="1" customWidth="1"/>
    <col min="15280" max="15280" width="10.44140625" style="88" bestFit="1" customWidth="1"/>
    <col min="15281" max="15281" width="5.109375" style="88" customWidth="1"/>
    <col min="15282" max="15504" width="8.6640625" style="88"/>
    <col min="15505" max="15505" width="3.44140625" style="88" customWidth="1"/>
    <col min="15506" max="15506" width="7" style="88" customWidth="1"/>
    <col min="15507" max="15507" width="25.44140625" style="88" customWidth="1"/>
    <col min="15508" max="15508" width="12" style="88" customWidth="1"/>
    <col min="15509" max="15509" width="12.6640625" style="88" bestFit="1" customWidth="1"/>
    <col min="15510" max="15510" width="7.44140625" style="88" bestFit="1" customWidth="1"/>
    <col min="15511" max="15511" width="7.6640625" style="88" bestFit="1" customWidth="1"/>
    <col min="15512" max="15512" width="15" style="88" customWidth="1"/>
    <col min="15513" max="15513" width="7.44140625" style="88" bestFit="1" customWidth="1"/>
    <col min="15514" max="15514" width="7.6640625" style="88" bestFit="1" customWidth="1"/>
    <col min="15515" max="15515" width="15" style="88" bestFit="1" customWidth="1"/>
    <col min="15516" max="15516" width="7.44140625" style="88" bestFit="1" customWidth="1"/>
    <col min="15517" max="15517" width="7.6640625" style="88" bestFit="1" customWidth="1"/>
    <col min="15518" max="15518" width="9.44140625" style="88" bestFit="1" customWidth="1"/>
    <col min="15519" max="15519" width="8" style="88" bestFit="1" customWidth="1"/>
    <col min="15520" max="15520" width="7.6640625" style="88" bestFit="1" customWidth="1"/>
    <col min="15521" max="15521" width="10.44140625" style="88" bestFit="1" customWidth="1"/>
    <col min="15522" max="15522" width="8" style="88" bestFit="1" customWidth="1"/>
    <col min="15523" max="15523" width="7.6640625" style="88" bestFit="1" customWidth="1"/>
    <col min="15524" max="15524" width="10.44140625" style="88" bestFit="1" customWidth="1"/>
    <col min="15525" max="15525" width="7.44140625" style="88" bestFit="1" customWidth="1"/>
    <col min="15526" max="15526" width="7.6640625" style="88" bestFit="1" customWidth="1"/>
    <col min="15527" max="15527" width="10.44140625" style="88" bestFit="1" customWidth="1"/>
    <col min="15528" max="15528" width="8" style="88" bestFit="1" customWidth="1"/>
    <col min="15529" max="15529" width="7.6640625" style="88" bestFit="1" customWidth="1"/>
    <col min="15530" max="15530" width="10.44140625" style="88" bestFit="1" customWidth="1"/>
    <col min="15531" max="15531" width="7.44140625" style="88" bestFit="1" customWidth="1"/>
    <col min="15532" max="15532" width="7.6640625" style="88" bestFit="1" customWidth="1"/>
    <col min="15533" max="15533" width="10.44140625" style="88" bestFit="1" customWidth="1"/>
    <col min="15534" max="15534" width="7.44140625" style="88" bestFit="1" customWidth="1"/>
    <col min="15535" max="15535" width="7.6640625" style="88" bestFit="1" customWidth="1"/>
    <col min="15536" max="15536" width="10.44140625" style="88" bestFit="1" customWidth="1"/>
    <col min="15537" max="15537" width="5.109375" style="88" customWidth="1"/>
    <col min="15538" max="15760" width="8.6640625" style="88"/>
    <col min="15761" max="15761" width="3.44140625" style="88" customWidth="1"/>
    <col min="15762" max="15762" width="7" style="88" customWidth="1"/>
    <col min="15763" max="15763" width="25.44140625" style="88" customWidth="1"/>
    <col min="15764" max="15764" width="12" style="88" customWidth="1"/>
    <col min="15765" max="15765" width="12.6640625" style="88" bestFit="1" customWidth="1"/>
    <col min="15766" max="15766" width="7.44140625" style="88" bestFit="1" customWidth="1"/>
    <col min="15767" max="15767" width="7.6640625" style="88" bestFit="1" customWidth="1"/>
    <col min="15768" max="15768" width="15" style="88" customWidth="1"/>
    <col min="15769" max="15769" width="7.44140625" style="88" bestFit="1" customWidth="1"/>
    <col min="15770" max="15770" width="7.6640625" style="88" bestFit="1" customWidth="1"/>
    <col min="15771" max="15771" width="15" style="88" bestFit="1" customWidth="1"/>
    <col min="15772" max="15772" width="7.44140625" style="88" bestFit="1" customWidth="1"/>
    <col min="15773" max="15773" width="7.6640625" style="88" bestFit="1" customWidth="1"/>
    <col min="15774" max="15774" width="9.44140625" style="88" bestFit="1" customWidth="1"/>
    <col min="15775" max="15775" width="8" style="88" bestFit="1" customWidth="1"/>
    <col min="15776" max="15776" width="7.6640625" style="88" bestFit="1" customWidth="1"/>
    <col min="15777" max="15777" width="10.44140625" style="88" bestFit="1" customWidth="1"/>
    <col min="15778" max="15778" width="8" style="88" bestFit="1" customWidth="1"/>
    <col min="15779" max="15779" width="7.6640625" style="88" bestFit="1" customWidth="1"/>
    <col min="15780" max="15780" width="10.44140625" style="88" bestFit="1" customWidth="1"/>
    <col min="15781" max="15781" width="7.44140625" style="88" bestFit="1" customWidth="1"/>
    <col min="15782" max="15782" width="7.6640625" style="88" bestFit="1" customWidth="1"/>
    <col min="15783" max="15783" width="10.44140625" style="88" bestFit="1" customWidth="1"/>
    <col min="15784" max="15784" width="8" style="88" bestFit="1" customWidth="1"/>
    <col min="15785" max="15785" width="7.6640625" style="88" bestFit="1" customWidth="1"/>
    <col min="15786" max="15786" width="10.44140625" style="88" bestFit="1" customWidth="1"/>
    <col min="15787" max="15787" width="7.44140625" style="88" bestFit="1" customWidth="1"/>
    <col min="15788" max="15788" width="7.6640625" style="88" bestFit="1" customWidth="1"/>
    <col min="15789" max="15789" width="10.44140625" style="88" bestFit="1" customWidth="1"/>
    <col min="15790" max="15790" width="7.44140625" style="88" bestFit="1" customWidth="1"/>
    <col min="15791" max="15791" width="7.6640625" style="88" bestFit="1" customWidth="1"/>
    <col min="15792" max="15792" width="10.44140625" style="88" bestFit="1" customWidth="1"/>
    <col min="15793" max="15793" width="5.109375" style="88" customWidth="1"/>
    <col min="15794" max="16016" width="8.6640625" style="88"/>
    <col min="16017" max="16017" width="3.44140625" style="88" customWidth="1"/>
    <col min="16018" max="16018" width="7" style="88" customWidth="1"/>
    <col min="16019" max="16019" width="25.44140625" style="88" customWidth="1"/>
    <col min="16020" max="16020" width="12" style="88" customWidth="1"/>
    <col min="16021" max="16021" width="12.6640625" style="88" bestFit="1" customWidth="1"/>
    <col min="16022" max="16022" width="7.44140625" style="88" bestFit="1" customWidth="1"/>
    <col min="16023" max="16023" width="7.6640625" style="88" bestFit="1" customWidth="1"/>
    <col min="16024" max="16024" width="15" style="88" customWidth="1"/>
    <col min="16025" max="16025" width="7.44140625" style="88" bestFit="1" customWidth="1"/>
    <col min="16026" max="16026" width="7.6640625" style="88" bestFit="1" customWidth="1"/>
    <col min="16027" max="16027" width="15" style="88" bestFit="1" customWidth="1"/>
    <col min="16028" max="16028" width="7.44140625" style="88" bestFit="1" customWidth="1"/>
    <col min="16029" max="16029" width="7.6640625" style="88" bestFit="1" customWidth="1"/>
    <col min="16030" max="16030" width="9.44140625" style="88" bestFit="1" customWidth="1"/>
    <col min="16031" max="16031" width="8" style="88" bestFit="1" customWidth="1"/>
    <col min="16032" max="16032" width="7.6640625" style="88" bestFit="1" customWidth="1"/>
    <col min="16033" max="16033" width="10.44140625" style="88" bestFit="1" customWidth="1"/>
    <col min="16034" max="16034" width="8" style="88" bestFit="1" customWidth="1"/>
    <col min="16035" max="16035" width="7.6640625" style="88" bestFit="1" customWidth="1"/>
    <col min="16036" max="16036" width="10.44140625" style="88" bestFit="1" customWidth="1"/>
    <col min="16037" max="16037" width="7.44140625" style="88" bestFit="1" customWidth="1"/>
    <col min="16038" max="16038" width="7.6640625" style="88" bestFit="1" customWidth="1"/>
    <col min="16039" max="16039" width="10.44140625" style="88" bestFit="1" customWidth="1"/>
    <col min="16040" max="16040" width="8" style="88" bestFit="1" customWidth="1"/>
    <col min="16041" max="16041" width="7.6640625" style="88" bestFit="1" customWidth="1"/>
    <col min="16042" max="16042" width="10.44140625" style="88" bestFit="1" customWidth="1"/>
    <col min="16043" max="16043" width="7.44140625" style="88" bestFit="1" customWidth="1"/>
    <col min="16044" max="16044" width="7.6640625" style="88" bestFit="1" customWidth="1"/>
    <col min="16045" max="16045" width="10.44140625" style="88" bestFit="1" customWidth="1"/>
    <col min="16046" max="16046" width="7.44140625" style="88" bestFit="1" customWidth="1"/>
    <col min="16047" max="16047" width="7.6640625" style="88" bestFit="1" customWidth="1"/>
    <col min="16048" max="16048" width="10.44140625" style="88" bestFit="1" customWidth="1"/>
    <col min="16049" max="16049" width="5.109375" style="88" customWidth="1"/>
    <col min="16050" max="16252" width="8.6640625" style="88"/>
    <col min="16253" max="16259" width="9.109375" style="88" customWidth="1"/>
    <col min="16260" max="16384" width="8.6640625" style="88"/>
  </cols>
  <sheetData>
    <row r="1" spans="2:13" s="86" customFormat="1" ht="16.2" thickBot="1">
      <c r="B1" s="695">
        <f>QQP!G55</f>
        <v>733060.91</v>
      </c>
      <c r="C1" s="696"/>
      <c r="D1" s="210"/>
      <c r="E1" s="211"/>
      <c r="F1" s="84"/>
      <c r="G1" s="697"/>
      <c r="H1" s="697"/>
      <c r="I1" s="697"/>
      <c r="J1" s="85"/>
    </row>
    <row r="2" spans="2:13" ht="49.5" customHeight="1" thickBot="1">
      <c r="B2" s="698"/>
      <c r="C2" s="699"/>
      <c r="D2" s="699"/>
      <c r="E2" s="700"/>
      <c r="F2" s="87"/>
      <c r="G2" s="701" t="s">
        <v>93</v>
      </c>
      <c r="H2" s="702"/>
      <c r="I2" s="703"/>
    </row>
    <row r="3" spans="2:13" ht="8.25" customHeight="1">
      <c r="B3" s="710"/>
      <c r="C3" s="710"/>
      <c r="D3" s="710"/>
      <c r="E3" s="710"/>
      <c r="F3" s="92"/>
      <c r="G3" s="711"/>
      <c r="H3" s="712"/>
      <c r="I3" s="93"/>
    </row>
    <row r="4" spans="2:13" ht="8.25" customHeight="1" thickBot="1">
      <c r="B4" s="450"/>
      <c r="C4" s="450"/>
      <c r="D4" s="450"/>
      <c r="E4" s="450"/>
      <c r="F4" s="92"/>
      <c r="G4" s="97"/>
      <c r="H4" s="98"/>
      <c r="I4" s="93"/>
    </row>
    <row r="5" spans="2:13" ht="21.9" customHeight="1" thickBot="1">
      <c r="B5" s="707" t="s">
        <v>94</v>
      </c>
      <c r="C5" s="708"/>
      <c r="D5" s="708"/>
      <c r="E5" s="709"/>
      <c r="F5" s="99"/>
      <c r="G5" s="713"/>
      <c r="H5" s="713"/>
      <c r="I5" s="713"/>
    </row>
    <row r="6" spans="2:13" s="103" customFormat="1" ht="21.9" customHeight="1" thickBot="1">
      <c r="B6" s="197" t="s">
        <v>95</v>
      </c>
      <c r="C6" s="198" t="s">
        <v>96</v>
      </c>
      <c r="D6" s="199" t="s">
        <v>97</v>
      </c>
      <c r="E6" s="200" t="s">
        <v>98</v>
      </c>
      <c r="F6" s="100"/>
      <c r="G6" s="197" t="s">
        <v>99</v>
      </c>
      <c r="H6" s="200" t="s">
        <v>100</v>
      </c>
      <c r="I6" s="201" t="s">
        <v>101</v>
      </c>
      <c r="J6" s="101"/>
      <c r="K6" s="102"/>
    </row>
    <row r="7" spans="2:13" s="86" customFormat="1" ht="21.9" customHeight="1" outlineLevel="1">
      <c r="B7" s="104" t="str">
        <f>'CPU  1 '!B7</f>
        <v>P01</v>
      </c>
      <c r="C7" s="569" t="str">
        <f>'CPU  1 '!C7</f>
        <v>Técnico SSMA</v>
      </c>
      <c r="D7" s="105" t="str">
        <f>'CPU  1 '!D7</f>
        <v>hh</v>
      </c>
      <c r="E7" s="106">
        <f>'CPU  1 '!E7</f>
        <v>30.027272727272727</v>
      </c>
      <c r="F7" s="100"/>
      <c r="G7" s="285"/>
      <c r="H7" s="286"/>
      <c r="I7" s="287">
        <f>'CPU  1 '!DS7</f>
        <v>17472.87</v>
      </c>
      <c r="J7" s="113">
        <f>I7/$I$130</f>
        <v>3.5329604113162917E-2</v>
      </c>
      <c r="K7" s="114"/>
    </row>
    <row r="8" spans="2:13" s="86" customFormat="1" ht="21.9" customHeight="1" outlineLevel="1">
      <c r="B8" s="104" t="str">
        <f>'CPU  1 '!B8</f>
        <v>P02</v>
      </c>
      <c r="C8" s="569" t="str">
        <f>'CPU  1 '!C8</f>
        <v>Eletricista de força e controle</v>
      </c>
      <c r="D8" s="105" t="str">
        <f>'CPU  1 '!D8</f>
        <v>hh</v>
      </c>
      <c r="E8" s="106">
        <f>'CPU  1 '!E8</f>
        <v>35.639369999999992</v>
      </c>
      <c r="F8" s="117"/>
      <c r="G8" s="285"/>
      <c r="H8" s="286"/>
      <c r="I8" s="287">
        <f>'CPU  1 '!DS8</f>
        <v>17459.727362999995</v>
      </c>
      <c r="J8" s="113">
        <f t="shared" ref="J8:J20" si="0">I8/$I$130</f>
        <v>3.5303030106590833E-2</v>
      </c>
    </row>
    <row r="9" spans="2:13" s="86" customFormat="1" ht="21.9" customHeight="1" outlineLevel="1">
      <c r="B9" s="104" t="str">
        <f>'CPU  1 '!B9</f>
        <v>P03</v>
      </c>
      <c r="C9" s="569" t="str">
        <f>'CPU  1 '!C9</f>
        <v>Ajudante de elétrica</v>
      </c>
      <c r="D9" s="105" t="str">
        <f>'CPU  1 '!D9</f>
        <v>hh</v>
      </c>
      <c r="E9" s="106">
        <f>'CPU  1 '!E9</f>
        <v>21.211866000000001</v>
      </c>
      <c r="F9" s="100"/>
      <c r="G9" s="285"/>
      <c r="H9" s="286"/>
      <c r="I9" s="287">
        <f>'CPU  1 '!DS9</f>
        <v>15482.540993400002</v>
      </c>
      <c r="J9" s="113">
        <f t="shared" si="0"/>
        <v>3.1305220262191513E-2</v>
      </c>
      <c r="K9" s="114"/>
      <c r="M9" s="118"/>
    </row>
    <row r="10" spans="2:13" s="86" customFormat="1" ht="21.9" customHeight="1" outlineLevel="1">
      <c r="B10" s="104" t="str">
        <f>'CPU  1 '!B10</f>
        <v>P04</v>
      </c>
      <c r="C10" s="569" t="str">
        <f>'CPU  1 '!C10</f>
        <v>Engenheiro eletricista</v>
      </c>
      <c r="D10" s="105" t="str">
        <f>'CPU  1 '!D10</f>
        <v>hh</v>
      </c>
      <c r="E10" s="106">
        <f>'CPU  1 '!E10</f>
        <v>122.13092727272728</v>
      </c>
      <c r="F10" s="100"/>
      <c r="G10" s="285"/>
      <c r="H10" s="286"/>
      <c r="I10" s="287">
        <f>'CPU  1 '!DS10</f>
        <v>36706.450191818185</v>
      </c>
      <c r="J10" s="113">
        <f t="shared" si="0"/>
        <v>7.4219309917401638E-2</v>
      </c>
    </row>
    <row r="11" spans="2:13" s="86" customFormat="1" ht="21.9" customHeight="1" outlineLevel="1">
      <c r="B11" s="104" t="str">
        <f>'CPU  1 '!B11</f>
        <v>P05</v>
      </c>
      <c r="C11" s="571" t="str">
        <f>'CPU  1 '!C11</f>
        <v>Engenheiro mecânico - Especialista em estruturas metálicas</v>
      </c>
      <c r="D11" s="105" t="str">
        <f>'CPU  1 '!D11</f>
        <v>hh</v>
      </c>
      <c r="E11" s="106">
        <f>'CPU  1 '!E11</f>
        <v>122.13092727272728</v>
      </c>
      <c r="F11" s="117"/>
      <c r="G11" s="285"/>
      <c r="H11" s="286"/>
      <c r="I11" s="287">
        <f>'CPU  1 '!DS11</f>
        <v>19803.52985727273</v>
      </c>
      <c r="J11" s="113">
        <f t="shared" si="0"/>
        <v>4.0042126445206043E-2</v>
      </c>
    </row>
    <row r="12" spans="2:13" s="86" customFormat="1" ht="21.9" customHeight="1" outlineLevel="1">
      <c r="B12" s="104" t="str">
        <f>'CPU  1 '!B12</f>
        <v>P06</v>
      </c>
      <c r="C12" s="569" t="str">
        <f>'CPU  1 '!C12</f>
        <v>Projetista (Cadista)</v>
      </c>
      <c r="D12" s="105" t="str">
        <f>'CPU  1 '!D12</f>
        <v>hh</v>
      </c>
      <c r="E12" s="106">
        <f>'CPU  1 '!E12</f>
        <v>28.525909090909089</v>
      </c>
      <c r="F12" s="117"/>
      <c r="G12" s="285"/>
      <c r="H12" s="286"/>
      <c r="I12" s="287">
        <f>'CPU  1 '!DS12</f>
        <v>5253.0461590909081</v>
      </c>
      <c r="J12" s="113">
        <f t="shared" si="0"/>
        <v>1.0621497280575704E-2</v>
      </c>
    </row>
    <row r="13" spans="2:13" s="86" customFormat="1" ht="21.9" customHeight="1" outlineLevel="1">
      <c r="B13" s="104" t="str">
        <f>'CPU  1 '!B13</f>
        <v>P07</v>
      </c>
      <c r="C13" s="569" t="str">
        <f>'CPU  1 '!C13</f>
        <v>Alpinista industrial (Montador de andaime)</v>
      </c>
      <c r="D13" s="105" t="str">
        <f>'CPU  1 '!D13</f>
        <v>hh</v>
      </c>
      <c r="E13" s="106">
        <f>'CPU  1 '!E13</f>
        <v>34.667187000000006</v>
      </c>
      <c r="F13" s="117"/>
      <c r="G13" s="285"/>
      <c r="H13" s="286"/>
      <c r="I13" s="287">
        <f>'CPU  1 '!DS13</f>
        <v>13728.206052000003</v>
      </c>
      <c r="J13" s="113">
        <f t="shared" si="0"/>
        <v>2.7758009130788894E-2</v>
      </c>
    </row>
    <row r="14" spans="2:13" s="86" customFormat="1" ht="21.9" customHeight="1" outlineLevel="1">
      <c r="B14" s="104" t="str">
        <f>'CPU  1 '!B14</f>
        <v>P08</v>
      </c>
      <c r="C14" s="569" t="str">
        <f>'CPU  1 '!C14</f>
        <v>Encarregado de elétrica ou andaimes</v>
      </c>
      <c r="D14" s="105" t="str">
        <f>'CPU  1 '!D14</f>
        <v>hh</v>
      </c>
      <c r="E14" s="106">
        <f>'CPU  1 '!E14</f>
        <v>42.538636363636364</v>
      </c>
      <c r="F14" s="117"/>
      <c r="G14" s="285"/>
      <c r="H14" s="286"/>
      <c r="I14" s="287">
        <f>'CPU  1 '!DS14</f>
        <v>24189.170181818179</v>
      </c>
      <c r="J14" s="113">
        <f t="shared" si="0"/>
        <v>4.8909755887244701E-2</v>
      </c>
    </row>
    <row r="15" spans="2:13" s="86" customFormat="1" ht="21.9" customHeight="1" outlineLevel="1">
      <c r="B15" s="104" t="str">
        <f>'CPU  1 '!B15</f>
        <v>P09</v>
      </c>
      <c r="C15" s="569" t="str">
        <f>'CPU  1 '!C15</f>
        <v>Montador de estruturas metálicas</v>
      </c>
      <c r="D15" s="105" t="str">
        <f>'CPU  1 '!D15</f>
        <v>hh</v>
      </c>
      <c r="E15" s="106">
        <f>'CPU  1 '!E15</f>
        <v>30.145380000000003</v>
      </c>
      <c r="F15" s="117"/>
      <c r="G15" s="285"/>
      <c r="H15" s="286"/>
      <c r="I15" s="287">
        <f>'CPU  1 '!DS15</f>
        <v>11937.57048</v>
      </c>
      <c r="J15" s="113">
        <f t="shared" si="0"/>
        <v>2.4137399244164252E-2</v>
      </c>
    </row>
    <row r="16" spans="2:13" s="86" customFormat="1" ht="21.9" customHeight="1" outlineLevel="1">
      <c r="B16" s="104" t="str">
        <f>'CPU  1 '!B16</f>
        <v>P10</v>
      </c>
      <c r="C16" s="569" t="str">
        <f>'CPU  1 '!C16</f>
        <v>Topógrafo</v>
      </c>
      <c r="D16" s="105" t="str">
        <f>'CPU  1 '!D16</f>
        <v>hh</v>
      </c>
      <c r="E16" s="106">
        <f>'CPU  1 '!E16</f>
        <v>31.028181818181817</v>
      </c>
      <c r="F16" s="117"/>
      <c r="G16" s="285"/>
      <c r="H16" s="286"/>
      <c r="I16" s="287">
        <f>'CPU  1 '!DS16</f>
        <v>4468.0581818181818</v>
      </c>
      <c r="J16" s="113">
        <f t="shared" si="0"/>
        <v>9.0342758069060693E-3</v>
      </c>
    </row>
    <row r="17" spans="2:11" s="86" customFormat="1" ht="21.9" customHeight="1" outlineLevel="1">
      <c r="B17" s="104" t="str">
        <f>'CPU  1 '!B17</f>
        <v>P11</v>
      </c>
      <c r="C17" s="569" t="str">
        <f>'CPU  1 '!C17</f>
        <v>Auxiliar de topografia</v>
      </c>
      <c r="D17" s="105" t="str">
        <f>'CPU  1 '!D17</f>
        <v>hh</v>
      </c>
      <c r="E17" s="106">
        <f>'CPU  1 '!E17</f>
        <v>16.515000000000001</v>
      </c>
      <c r="F17" s="117"/>
      <c r="G17" s="285"/>
      <c r="H17" s="286"/>
      <c r="I17" s="287">
        <f>'CPU  1 '!DS17</f>
        <v>2378.16</v>
      </c>
      <c r="J17" s="113">
        <f t="shared" si="0"/>
        <v>4.8085661552887144E-3</v>
      </c>
    </row>
    <row r="18" spans="2:11" s="86" customFormat="1" ht="21.9" customHeight="1" outlineLevel="1">
      <c r="B18" s="104" t="str">
        <f>'CPU  1 '!B18</f>
        <v>P12</v>
      </c>
      <c r="C18" s="569" t="str">
        <f>'CPU  1 '!C18</f>
        <v>Sinaleiro de rigger</v>
      </c>
      <c r="D18" s="105" t="str">
        <f>'CPU  1 '!D18</f>
        <v>hh</v>
      </c>
      <c r="E18" s="106">
        <f>'CPU  1 '!E18</f>
        <v>21.887879999999999</v>
      </c>
      <c r="F18" s="117"/>
      <c r="G18" s="285"/>
      <c r="H18" s="286"/>
      <c r="I18" s="287">
        <f>'CPU  1 '!DS18</f>
        <v>10418.630880000001</v>
      </c>
      <c r="J18" s="113">
        <f t="shared" si="0"/>
        <v>2.1066150231277073E-2</v>
      </c>
    </row>
    <row r="19" spans="2:11" s="86" customFormat="1" ht="21.9" customHeight="1" outlineLevel="1">
      <c r="B19" s="104" t="str">
        <f>'CPU  1 '!B19</f>
        <v>P13</v>
      </c>
      <c r="C19" s="569" t="str">
        <f>'CPU  1 '!C19</f>
        <v>Servente/Auxiliar de obras</v>
      </c>
      <c r="D19" s="105" t="str">
        <f>'CPU  1 '!D19</f>
        <v>hh</v>
      </c>
      <c r="E19" s="106">
        <f>'CPU  1 '!E19</f>
        <v>15.722280000000001</v>
      </c>
      <c r="F19" s="117"/>
      <c r="G19" s="285"/>
      <c r="H19" s="286"/>
      <c r="I19" s="287">
        <f>'CPU  1 '!DS19</f>
        <v>15229.229299199998</v>
      </c>
      <c r="J19" s="113">
        <f t="shared" si="0"/>
        <v>3.0793031831022465E-2</v>
      </c>
    </row>
    <row r="20" spans="2:11" s="86" customFormat="1" ht="21.9" customHeight="1" outlineLevel="1" thickBot="1">
      <c r="B20" s="104" t="str">
        <f>'CPU  1 '!B20</f>
        <v>P14</v>
      </c>
      <c r="C20" s="569" t="str">
        <f>'CPU  1 '!C20</f>
        <v>Supervisor de obras</v>
      </c>
      <c r="D20" s="105" t="str">
        <f>'CPU  1 '!D20</f>
        <v>hh</v>
      </c>
      <c r="E20" s="106">
        <f>'CPU  1 '!E20</f>
        <v>52.047272727272727</v>
      </c>
      <c r="F20" s="117"/>
      <c r="G20" s="285"/>
      <c r="H20" s="286"/>
      <c r="I20" s="287">
        <f>'CPU  1 '!DS20</f>
        <v>29596.161163636367</v>
      </c>
      <c r="J20" s="113">
        <f t="shared" si="0"/>
        <v>5.9842524850275886E-2</v>
      </c>
    </row>
    <row r="21" spans="2:11" s="86" customFormat="1" ht="21.9" customHeight="1" thickBot="1">
      <c r="B21" s="705" t="s">
        <v>102</v>
      </c>
      <c r="C21" s="706"/>
      <c r="D21" s="706"/>
      <c r="E21" s="706"/>
      <c r="F21" s="117"/>
      <c r="G21" s="202">
        <f>SUM(G7:G12)</f>
        <v>0</v>
      </c>
      <c r="H21" s="203">
        <f>SUM(H7:H12)</f>
        <v>0</v>
      </c>
      <c r="I21" s="204">
        <f>SUM(I7:I20)</f>
        <v>224123.35080305461</v>
      </c>
      <c r="J21" s="113"/>
    </row>
    <row r="22" spans="2:11" s="86" customFormat="1" ht="21.9" customHeight="1" thickBot="1">
      <c r="B22" s="707" t="s">
        <v>103</v>
      </c>
      <c r="C22" s="708"/>
      <c r="D22" s="708"/>
      <c r="E22" s="709"/>
      <c r="F22" s="117"/>
      <c r="G22" s="121"/>
      <c r="H22" s="121"/>
      <c r="I22" s="121"/>
      <c r="J22" s="113"/>
    </row>
    <row r="23" spans="2:11" s="103" customFormat="1" ht="21.9" customHeight="1" thickBot="1">
      <c r="B23" s="197" t="s">
        <v>95</v>
      </c>
      <c r="C23" s="198" t="s">
        <v>96</v>
      </c>
      <c r="D23" s="199" t="s">
        <v>97</v>
      </c>
      <c r="E23" s="200" t="s">
        <v>98</v>
      </c>
      <c r="F23" s="100"/>
      <c r="G23" s="197" t="s">
        <v>99</v>
      </c>
      <c r="H23" s="200" t="s">
        <v>100</v>
      </c>
      <c r="I23" s="201" t="s">
        <v>101</v>
      </c>
      <c r="J23" s="101"/>
      <c r="K23" s="102"/>
    </row>
    <row r="24" spans="2:11" s="86" customFormat="1" ht="21.9" customHeight="1" outlineLevel="1">
      <c r="B24" s="122" t="str">
        <f>'CPU  1 '!B24</f>
        <v>E01</v>
      </c>
      <c r="C24" s="123" t="str">
        <f>'CPU  1 '!C24</f>
        <v>Conteiner escritório</v>
      </c>
      <c r="D24" s="124" t="str">
        <f>'CPU  1 '!D24</f>
        <v>Vb/mês</v>
      </c>
      <c r="E24" s="125">
        <f>'CPU  1 '!E24</f>
        <v>1700</v>
      </c>
      <c r="F24" s="126"/>
      <c r="G24" s="288"/>
      <c r="H24" s="289"/>
      <c r="I24" s="287">
        <f>'CPU  1 '!DS24</f>
        <v>2240.909090909091</v>
      </c>
      <c r="J24" s="113">
        <f t="shared" ref="J24:J55" si="1">I24/$I$130</f>
        <v>4.5310490512094461E-3</v>
      </c>
    </row>
    <row r="25" spans="2:11" s="86" customFormat="1" ht="21.9" customHeight="1" outlineLevel="1">
      <c r="B25" s="122" t="str">
        <f>'CPU  1 '!B25</f>
        <v>E02</v>
      </c>
      <c r="C25" s="123" t="str">
        <f>'CPU  1 '!C25</f>
        <v>Banheiro químico</v>
      </c>
      <c r="D25" s="124" t="str">
        <f>'CPU  1 '!D25</f>
        <v>Vb/mês</v>
      </c>
      <c r="E25" s="125">
        <f>'CPU  1 '!E25</f>
        <v>1200</v>
      </c>
      <c r="F25" s="126"/>
      <c r="G25" s="288"/>
      <c r="H25" s="289"/>
      <c r="I25" s="287">
        <f>'CPU  1 '!DS25</f>
        <v>1581.8181818181818</v>
      </c>
      <c r="J25" s="113">
        <f t="shared" si="1"/>
        <v>3.1983875655596087E-3</v>
      </c>
    </row>
    <row r="26" spans="2:11" s="86" customFormat="1" ht="21.9" customHeight="1" outlineLevel="1">
      <c r="B26" s="122" t="str">
        <f>'CPU  1 '!B26</f>
        <v>E03</v>
      </c>
      <c r="C26" s="123" t="str">
        <f>'CPU  1 '!C26</f>
        <v>Tenda lonada 6 x 6 m, piramidal - AQUISIÇÃO</v>
      </c>
      <c r="D26" s="124" t="str">
        <f>'CPU  1 '!D26</f>
        <v>Vb</v>
      </c>
      <c r="E26" s="125">
        <f>'CPU  1 '!E26</f>
        <v>4500</v>
      </c>
      <c r="F26" s="126"/>
      <c r="G26" s="288"/>
      <c r="H26" s="289"/>
      <c r="I26" s="287">
        <f>'CPU  1 '!DS26</f>
        <v>4500</v>
      </c>
      <c r="J26" s="113">
        <f t="shared" si="1"/>
        <v>9.0988611778850936E-3</v>
      </c>
    </row>
    <row r="27" spans="2:11" s="86" customFormat="1" ht="21.9" customHeight="1" outlineLevel="1">
      <c r="B27" s="122" t="str">
        <f>'CPU  1 '!B27</f>
        <v>E04</v>
      </c>
      <c r="C27" s="123" t="str">
        <f>'CPU  1 '!C27</f>
        <v>Mobiliário (Cadeiras e mesas plásticas)</v>
      </c>
      <c r="D27" s="124" t="str">
        <f>'CPU  1 '!D27</f>
        <v>Vb</v>
      </c>
      <c r="E27" s="125">
        <f>'CPU  1 '!E27</f>
        <v>852.46</v>
      </c>
      <c r="F27" s="126"/>
      <c r="G27" s="288"/>
      <c r="H27" s="289"/>
      <c r="I27" s="287">
        <f>'CPU  1 '!DS27</f>
        <v>852.46</v>
      </c>
      <c r="J27" s="113">
        <f t="shared" si="1"/>
        <v>1.7236478221555394E-3</v>
      </c>
    </row>
    <row r="28" spans="2:11" s="86" customFormat="1" ht="21.9" customHeight="1" outlineLevel="1">
      <c r="B28" s="122" t="str">
        <f>'CPU  1 '!B28</f>
        <v>E05</v>
      </c>
      <c r="C28" s="123" t="str">
        <f>'CPU  1 '!C28</f>
        <v>Veículo de Locação - Fiat Ducato Minibus Luxo 2025 - 16 lugares</v>
      </c>
      <c r="D28" s="124" t="str">
        <f>'CPU  1 '!D28</f>
        <v>Vb/mês</v>
      </c>
      <c r="E28" s="125">
        <f>'CPU  1 '!E28</f>
        <v>15852.96</v>
      </c>
      <c r="F28" s="126"/>
      <c r="G28" s="288"/>
      <c r="H28" s="289"/>
      <c r="I28" s="287">
        <f>'CPU  1 '!DS28</f>
        <v>16985.541045009253</v>
      </c>
      <c r="J28" s="113">
        <f t="shared" si="1"/>
        <v>3.4344239999957449E-2</v>
      </c>
    </row>
    <row r="29" spans="2:11" s="86" customFormat="1" ht="21.9" customHeight="1" outlineLevel="1">
      <c r="B29" s="122" t="str">
        <f>'CPU  1 '!B29</f>
        <v>E06</v>
      </c>
      <c r="C29" s="123" t="str">
        <f>'CPU  1 '!C29</f>
        <v>Nível DSZ automático com bolha</v>
      </c>
      <c r="D29" s="124" t="str">
        <f>'CPU  1 '!D29</f>
        <v>Vb/Mês</v>
      </c>
      <c r="E29" s="125">
        <f>'CPU  1 '!E29</f>
        <v>275</v>
      </c>
      <c r="F29" s="126"/>
      <c r="G29" s="288"/>
      <c r="H29" s="289"/>
      <c r="I29" s="287">
        <f>'CPU  1 '!DS29</f>
        <v>125</v>
      </c>
      <c r="J29" s="113">
        <f t="shared" si="1"/>
        <v>2.5274614383014152E-4</v>
      </c>
    </row>
    <row r="30" spans="2:11" s="86" customFormat="1" ht="21.9" customHeight="1" outlineLevel="1">
      <c r="B30" s="122" t="str">
        <f>'CPU  1 '!B30</f>
        <v>E07</v>
      </c>
      <c r="C30" s="123" t="str">
        <f>'CPU  1 '!C30</f>
        <v>Estação total Kit GD2i-8</v>
      </c>
      <c r="D30" s="124" t="str">
        <f>'CPU  1 '!D30</f>
        <v>Vb/Mês</v>
      </c>
      <c r="E30" s="125">
        <f>'CPU  1 '!E30</f>
        <v>1250</v>
      </c>
      <c r="F30" s="126"/>
      <c r="G30" s="288"/>
      <c r="H30" s="289"/>
      <c r="I30" s="287">
        <f>'CPU  1 '!DS30</f>
        <v>568.18181818181813</v>
      </c>
      <c r="J30" s="113">
        <f t="shared" si="1"/>
        <v>1.1488461083188249E-3</v>
      </c>
    </row>
    <row r="31" spans="2:11" s="86" customFormat="1" ht="21.9" customHeight="1" outlineLevel="1">
      <c r="B31" s="122" t="str">
        <f>'CPU  1 '!B31</f>
        <v>E08</v>
      </c>
      <c r="C31" s="123" t="str">
        <f>'CPU  1 '!C31</f>
        <v>Receptor GNSS RTKCHC i50</v>
      </c>
      <c r="D31" s="124" t="str">
        <f>'CPU  1 '!D31</f>
        <v>Vb/Mês</v>
      </c>
      <c r="E31" s="125">
        <f>'CPU  1 '!E31</f>
        <v>1750</v>
      </c>
      <c r="F31" s="126"/>
      <c r="G31" s="288"/>
      <c r="H31" s="289"/>
      <c r="I31" s="287">
        <f>'CPU  1 '!DS31</f>
        <v>795.45454545454538</v>
      </c>
      <c r="J31" s="113">
        <f t="shared" si="1"/>
        <v>1.6083845516463549E-3</v>
      </c>
    </row>
    <row r="32" spans="2:11" s="86" customFormat="1" ht="21.9" customHeight="1" outlineLevel="1">
      <c r="B32" s="122" t="str">
        <f>'CPU  1 '!B32</f>
        <v>E09</v>
      </c>
      <c r="C32" s="123" t="str">
        <f>'CPU  1 '!C32</f>
        <v>Guindaste c/operador 30 ton</v>
      </c>
      <c r="D32" s="124" t="str">
        <f>'CPU  1 '!D32</f>
        <v>Diária</v>
      </c>
      <c r="E32" s="125">
        <f>'CPU  1 '!E32</f>
        <v>7852.5</v>
      </c>
      <c r="F32" s="126"/>
      <c r="G32" s="288"/>
      <c r="H32" s="289"/>
      <c r="I32" s="287">
        <f>'CPU  1 '!DS32</f>
        <v>117787.5</v>
      </c>
      <c r="J32" s="113">
        <f t="shared" si="1"/>
        <v>0.23816269133114235</v>
      </c>
    </row>
    <row r="33" spans="2:10" s="86" customFormat="1" ht="21.9" customHeight="1" outlineLevel="1">
      <c r="B33" s="122" t="str">
        <f>'CPU  1 '!B33</f>
        <v>E10</v>
      </c>
      <c r="C33" s="123" t="str">
        <f>'CPU  1 '!C33</f>
        <v>Plano de rigging</v>
      </c>
      <c r="D33" s="124" t="str">
        <f>'CPU  1 '!D33</f>
        <v>Vb</v>
      </c>
      <c r="E33" s="125">
        <f>'CPU  1 '!E33</f>
        <v>15000</v>
      </c>
      <c r="F33" s="126"/>
      <c r="G33" s="288"/>
      <c r="H33" s="289"/>
      <c r="I33" s="287">
        <f>'CPU  1 '!DS33</f>
        <v>45000</v>
      </c>
      <c r="J33" s="113">
        <f t="shared" si="1"/>
        <v>9.0988611778850939E-2</v>
      </c>
    </row>
    <row r="34" spans="2:10" s="86" customFormat="1" ht="21.9" customHeight="1" outlineLevel="1">
      <c r="B34" s="122" t="str">
        <f>'CPU  1 '!B34</f>
        <v>E11</v>
      </c>
      <c r="C34" s="123" t="str">
        <f>'CPU  1 '!C34</f>
        <v>Linha de vida</v>
      </c>
      <c r="D34" s="124" t="str">
        <f>'CPU  1 '!D34</f>
        <v>Vb</v>
      </c>
      <c r="E34" s="125">
        <f>'CPU  1 '!E34</f>
        <v>2520</v>
      </c>
      <c r="F34" s="126"/>
      <c r="G34" s="288"/>
      <c r="H34" s="289"/>
      <c r="I34" s="287">
        <f>'CPU  1 '!DS34</f>
        <v>7560</v>
      </c>
      <c r="J34" s="113">
        <f t="shared" si="1"/>
        <v>1.5286086778846958E-2</v>
      </c>
    </row>
    <row r="35" spans="2:10" s="86" customFormat="1" ht="36" customHeight="1" outlineLevel="1">
      <c r="B35" s="122" t="str">
        <f>'CPU  1 '!B35</f>
        <v>E12</v>
      </c>
      <c r="C35" s="123">
        <f>'CPU  1 '!C35</f>
        <v>0</v>
      </c>
      <c r="D35" s="124">
        <f>'CPU  1 '!D35</f>
        <v>0</v>
      </c>
      <c r="E35" s="125">
        <f>'CPU  1 '!E35</f>
        <v>0</v>
      </c>
      <c r="F35" s="126"/>
      <c r="G35" s="288"/>
      <c r="H35" s="289"/>
      <c r="I35" s="287">
        <f>'CPU  1 '!DS35</f>
        <v>0</v>
      </c>
      <c r="J35" s="113">
        <f t="shared" si="1"/>
        <v>0</v>
      </c>
    </row>
    <row r="36" spans="2:10" s="86" customFormat="1" ht="21.9" customHeight="1" outlineLevel="1">
      <c r="B36" s="122" t="str">
        <f>'CPU  1 '!B36</f>
        <v>E13</v>
      </c>
      <c r="C36" s="123">
        <f>'CPU  1 '!C36</f>
        <v>0</v>
      </c>
      <c r="D36" s="124">
        <f>'CPU  1 '!D36</f>
        <v>0</v>
      </c>
      <c r="E36" s="125">
        <f>'CPU  1 '!E36</f>
        <v>0</v>
      </c>
      <c r="F36" s="126"/>
      <c r="G36" s="288"/>
      <c r="H36" s="289"/>
      <c r="I36" s="287">
        <f>'CPU  1 '!DS36</f>
        <v>0</v>
      </c>
      <c r="J36" s="113">
        <f t="shared" si="1"/>
        <v>0</v>
      </c>
    </row>
    <row r="37" spans="2:10" s="86" customFormat="1" ht="21.9" customHeight="1" outlineLevel="1">
      <c r="B37" s="122" t="str">
        <f>'CPU  1 '!B37</f>
        <v>E14</v>
      </c>
      <c r="C37" s="123">
        <f>'CPU  1 '!C37</f>
        <v>0</v>
      </c>
      <c r="D37" s="124">
        <f>'CPU  1 '!D37</f>
        <v>0</v>
      </c>
      <c r="E37" s="125">
        <f>'CPU  1 '!E37</f>
        <v>0</v>
      </c>
      <c r="F37" s="126"/>
      <c r="G37" s="288"/>
      <c r="H37" s="289"/>
      <c r="I37" s="287">
        <f>'CPU  1 '!DS37</f>
        <v>0</v>
      </c>
      <c r="J37" s="113">
        <f t="shared" si="1"/>
        <v>0</v>
      </c>
    </row>
    <row r="38" spans="2:10" s="86" customFormat="1" ht="21.9" customHeight="1" outlineLevel="1">
      <c r="B38" s="122" t="str">
        <f>'CPU  1 '!B38</f>
        <v>E15</v>
      </c>
      <c r="C38" s="123">
        <f>'CPU  1 '!C38</f>
        <v>0</v>
      </c>
      <c r="D38" s="124">
        <f>'CPU  1 '!D38</f>
        <v>0</v>
      </c>
      <c r="E38" s="125">
        <f>'CPU  1 '!E38</f>
        <v>0</v>
      </c>
      <c r="F38" s="126"/>
      <c r="G38" s="288"/>
      <c r="H38" s="289"/>
      <c r="I38" s="287">
        <f>'CPU  1 '!DS38</f>
        <v>0</v>
      </c>
      <c r="J38" s="113">
        <f t="shared" si="1"/>
        <v>0</v>
      </c>
    </row>
    <row r="39" spans="2:10" s="86" customFormat="1" ht="21.9" customHeight="1" outlineLevel="1">
      <c r="B39" s="122" t="str">
        <f>'CPU  1 '!B39</f>
        <v>E16</v>
      </c>
      <c r="C39" s="123">
        <f>'CPU  1 '!C39</f>
        <v>0</v>
      </c>
      <c r="D39" s="124">
        <f>'CPU  1 '!D39</f>
        <v>0</v>
      </c>
      <c r="E39" s="125">
        <f>'CPU  1 '!E39</f>
        <v>0</v>
      </c>
      <c r="F39" s="126"/>
      <c r="G39" s="288"/>
      <c r="H39" s="289"/>
      <c r="I39" s="287">
        <f>'CPU  1 '!DS39</f>
        <v>0</v>
      </c>
      <c r="J39" s="113">
        <f t="shared" si="1"/>
        <v>0</v>
      </c>
    </row>
    <row r="40" spans="2:10" s="86" customFormat="1" ht="21.9" customHeight="1" outlineLevel="1">
      <c r="B40" s="122" t="str">
        <f>'CPU  1 '!B40</f>
        <v>E17</v>
      </c>
      <c r="C40" s="123">
        <f>'CPU  1 '!C40</f>
        <v>0</v>
      </c>
      <c r="D40" s="124">
        <f>'CPU  1 '!D40</f>
        <v>0</v>
      </c>
      <c r="E40" s="125">
        <f>'CPU  1 '!E40</f>
        <v>0</v>
      </c>
      <c r="F40" s="126"/>
      <c r="G40" s="288"/>
      <c r="H40" s="289"/>
      <c r="I40" s="287">
        <f>'CPU  1 '!DS40</f>
        <v>0</v>
      </c>
      <c r="J40" s="113">
        <f t="shared" si="1"/>
        <v>0</v>
      </c>
    </row>
    <row r="41" spans="2:10" s="86" customFormat="1" ht="21.9" customHeight="1" outlineLevel="1">
      <c r="B41" s="122" t="str">
        <f>'CPU  1 '!B41</f>
        <v>E18</v>
      </c>
      <c r="C41" s="123">
        <f>'CPU  1 '!C41</f>
        <v>0</v>
      </c>
      <c r="D41" s="124">
        <f>'CPU  1 '!D41</f>
        <v>0</v>
      </c>
      <c r="E41" s="125">
        <f>'CPU  1 '!E41</f>
        <v>0</v>
      </c>
      <c r="F41" s="126"/>
      <c r="G41" s="288"/>
      <c r="H41" s="289"/>
      <c r="I41" s="287">
        <f>'CPU  1 '!DS41</f>
        <v>0</v>
      </c>
      <c r="J41" s="113">
        <f t="shared" si="1"/>
        <v>0</v>
      </c>
    </row>
    <row r="42" spans="2:10" s="86" customFormat="1" ht="21.9" customHeight="1" outlineLevel="1">
      <c r="B42" s="122" t="str">
        <f>'CPU  1 '!B42</f>
        <v>E19</v>
      </c>
      <c r="C42" s="123">
        <f>'CPU  1 '!C42</f>
        <v>0</v>
      </c>
      <c r="D42" s="124">
        <f>'CPU  1 '!D42</f>
        <v>0</v>
      </c>
      <c r="E42" s="125">
        <f>'CPU  1 '!E42</f>
        <v>0</v>
      </c>
      <c r="F42" s="126"/>
      <c r="G42" s="288"/>
      <c r="H42" s="289"/>
      <c r="I42" s="287">
        <f>'CPU  1 '!DS42</f>
        <v>0</v>
      </c>
      <c r="J42" s="113">
        <f t="shared" si="1"/>
        <v>0</v>
      </c>
    </row>
    <row r="43" spans="2:10" s="86" customFormat="1" ht="36" customHeight="1" outlineLevel="1">
      <c r="B43" s="122" t="str">
        <f>'CPU  1 '!B43</f>
        <v>E20</v>
      </c>
      <c r="C43" s="123">
        <f>'CPU  1 '!C43</f>
        <v>0</v>
      </c>
      <c r="D43" s="124">
        <f>'CPU  1 '!D43</f>
        <v>0</v>
      </c>
      <c r="E43" s="125">
        <f>'CPU  1 '!E43</f>
        <v>0</v>
      </c>
      <c r="F43" s="126"/>
      <c r="G43" s="288"/>
      <c r="H43" s="289"/>
      <c r="I43" s="287">
        <f>'CPU  1 '!DS43</f>
        <v>0</v>
      </c>
      <c r="J43" s="113">
        <f t="shared" si="1"/>
        <v>0</v>
      </c>
    </row>
    <row r="44" spans="2:10" s="86" customFormat="1" ht="21.9" customHeight="1" outlineLevel="1">
      <c r="B44" s="122" t="str">
        <f>'CPU  1 '!B44</f>
        <v>E21</v>
      </c>
      <c r="C44" s="123">
        <f>'CPU  1 '!C44</f>
        <v>0</v>
      </c>
      <c r="D44" s="124">
        <f>'CPU  1 '!D44</f>
        <v>0</v>
      </c>
      <c r="E44" s="125">
        <f>'CPU  1 '!E44</f>
        <v>0</v>
      </c>
      <c r="F44" s="126"/>
      <c r="G44" s="288"/>
      <c r="H44" s="289"/>
      <c r="I44" s="287">
        <f>'CPU  1 '!DS44</f>
        <v>0</v>
      </c>
      <c r="J44" s="113">
        <f t="shared" si="1"/>
        <v>0</v>
      </c>
    </row>
    <row r="45" spans="2:10" s="86" customFormat="1" ht="21.9" customHeight="1" outlineLevel="1">
      <c r="B45" s="122" t="str">
        <f>'CPU  1 '!B45</f>
        <v>E22</v>
      </c>
      <c r="C45" s="123">
        <f>'CPU  1 '!C45</f>
        <v>0</v>
      </c>
      <c r="D45" s="124">
        <f>'CPU  1 '!D45</f>
        <v>0</v>
      </c>
      <c r="E45" s="125">
        <f>'CPU  1 '!E45</f>
        <v>0</v>
      </c>
      <c r="F45" s="126"/>
      <c r="G45" s="288"/>
      <c r="H45" s="289"/>
      <c r="I45" s="287">
        <f>'CPU  1 '!DS45</f>
        <v>0</v>
      </c>
      <c r="J45" s="113">
        <f t="shared" si="1"/>
        <v>0</v>
      </c>
    </row>
    <row r="46" spans="2:10" s="86" customFormat="1" ht="21.9" customHeight="1" outlineLevel="1">
      <c r="B46" s="122" t="str">
        <f>'CPU  1 '!B46</f>
        <v>E23</v>
      </c>
      <c r="C46" s="123">
        <f>'CPU  1 '!C46</f>
        <v>0</v>
      </c>
      <c r="D46" s="124">
        <f>'CPU  1 '!D46</f>
        <v>0</v>
      </c>
      <c r="E46" s="125">
        <f>'CPU  1 '!E46</f>
        <v>0</v>
      </c>
      <c r="F46" s="126"/>
      <c r="G46" s="288"/>
      <c r="H46" s="289"/>
      <c r="I46" s="287">
        <f>'CPU  1 '!DS46</f>
        <v>0</v>
      </c>
      <c r="J46" s="113">
        <f t="shared" si="1"/>
        <v>0</v>
      </c>
    </row>
    <row r="47" spans="2:10" s="86" customFormat="1" ht="21.9" customHeight="1" outlineLevel="1">
      <c r="B47" s="122" t="str">
        <f>'CPU  1 '!B47</f>
        <v>E24</v>
      </c>
      <c r="C47" s="123">
        <f>'CPU  1 '!C47</f>
        <v>0</v>
      </c>
      <c r="D47" s="124">
        <f>'CPU  1 '!D47</f>
        <v>0</v>
      </c>
      <c r="E47" s="125">
        <f>'CPU  1 '!E47</f>
        <v>0</v>
      </c>
      <c r="F47" s="126"/>
      <c r="G47" s="288"/>
      <c r="H47" s="289"/>
      <c r="I47" s="287">
        <f>'CPU  1 '!DS47</f>
        <v>0</v>
      </c>
      <c r="J47" s="113">
        <f t="shared" si="1"/>
        <v>0</v>
      </c>
    </row>
    <row r="48" spans="2:10" s="86" customFormat="1" ht="21.9" customHeight="1" outlineLevel="1">
      <c r="B48" s="122" t="str">
        <f>'CPU  1 '!B48</f>
        <v>E25</v>
      </c>
      <c r="C48" s="123">
        <f>'CPU  1 '!C48</f>
        <v>0</v>
      </c>
      <c r="D48" s="124">
        <f>'CPU  1 '!D48</f>
        <v>0</v>
      </c>
      <c r="E48" s="125">
        <f>'CPU  1 '!E48</f>
        <v>0</v>
      </c>
      <c r="F48" s="126"/>
      <c r="G48" s="288"/>
      <c r="H48" s="289"/>
      <c r="I48" s="287">
        <f>'CPU  1 '!DS48</f>
        <v>0</v>
      </c>
      <c r="J48" s="113">
        <f t="shared" si="1"/>
        <v>0</v>
      </c>
    </row>
    <row r="49" spans="2:10" s="86" customFormat="1" ht="21.9" customHeight="1" outlineLevel="1">
      <c r="B49" s="122" t="str">
        <f>'CPU  1 '!B49</f>
        <v>E26</v>
      </c>
      <c r="C49" s="123">
        <f>'CPU  1 '!C49</f>
        <v>0</v>
      </c>
      <c r="D49" s="124">
        <f>'CPU  1 '!D49</f>
        <v>0</v>
      </c>
      <c r="E49" s="125">
        <f>'CPU  1 '!E49</f>
        <v>0</v>
      </c>
      <c r="F49" s="126"/>
      <c r="G49" s="288"/>
      <c r="H49" s="289"/>
      <c r="I49" s="287">
        <f>'CPU  1 '!DS49</f>
        <v>0</v>
      </c>
      <c r="J49" s="113">
        <f t="shared" si="1"/>
        <v>0</v>
      </c>
    </row>
    <row r="50" spans="2:10" s="86" customFormat="1" ht="21.9" customHeight="1" outlineLevel="1">
      <c r="B50" s="122" t="str">
        <f>'CPU  1 '!B50</f>
        <v>E27</v>
      </c>
      <c r="C50" s="123">
        <f>'CPU  1 '!C50</f>
        <v>0</v>
      </c>
      <c r="D50" s="124">
        <f>'CPU  1 '!D50</f>
        <v>0</v>
      </c>
      <c r="E50" s="125">
        <f>'CPU  1 '!E50</f>
        <v>0</v>
      </c>
      <c r="F50" s="126"/>
      <c r="G50" s="288"/>
      <c r="H50" s="289"/>
      <c r="I50" s="287">
        <f>'CPU  1 '!DS50</f>
        <v>0</v>
      </c>
      <c r="J50" s="113">
        <f t="shared" si="1"/>
        <v>0</v>
      </c>
    </row>
    <row r="51" spans="2:10" s="86" customFormat="1" ht="21.9" customHeight="1" outlineLevel="1">
      <c r="B51" s="122" t="str">
        <f>'CPU  1 '!B51</f>
        <v>E28</v>
      </c>
      <c r="C51" s="123">
        <f>'CPU  1 '!C51</f>
        <v>0</v>
      </c>
      <c r="D51" s="124">
        <f>'CPU  1 '!D51</f>
        <v>0</v>
      </c>
      <c r="E51" s="125">
        <f>'CPU  1 '!E51</f>
        <v>0</v>
      </c>
      <c r="F51" s="126"/>
      <c r="G51" s="288"/>
      <c r="H51" s="289"/>
      <c r="I51" s="287">
        <f>'CPU  1 '!DS51</f>
        <v>0</v>
      </c>
      <c r="J51" s="113">
        <f t="shared" si="1"/>
        <v>0</v>
      </c>
    </row>
    <row r="52" spans="2:10" s="86" customFormat="1" ht="21.9" customHeight="1" outlineLevel="1">
      <c r="B52" s="122" t="str">
        <f>'CPU  1 '!B52</f>
        <v>E29</v>
      </c>
      <c r="C52" s="123">
        <f>'CPU  1 '!C52</f>
        <v>0</v>
      </c>
      <c r="D52" s="124">
        <f>'CPU  1 '!D52</f>
        <v>0</v>
      </c>
      <c r="E52" s="125">
        <f>'CPU  1 '!E52</f>
        <v>0</v>
      </c>
      <c r="F52" s="126"/>
      <c r="G52" s="288"/>
      <c r="H52" s="289"/>
      <c r="I52" s="287">
        <f>'CPU  1 '!DS52</f>
        <v>0</v>
      </c>
      <c r="J52" s="113">
        <f t="shared" si="1"/>
        <v>0</v>
      </c>
    </row>
    <row r="53" spans="2:10" s="86" customFormat="1" ht="21.9" customHeight="1" outlineLevel="1">
      <c r="B53" s="122" t="str">
        <f>'CPU  1 '!B53</f>
        <v>E30</v>
      </c>
      <c r="C53" s="123">
        <f>'CPU  1 '!C53</f>
        <v>0</v>
      </c>
      <c r="D53" s="124">
        <f>'CPU  1 '!D53</f>
        <v>0</v>
      </c>
      <c r="E53" s="125">
        <f>'CPU  1 '!E53</f>
        <v>0</v>
      </c>
      <c r="F53" s="126"/>
      <c r="G53" s="288"/>
      <c r="H53" s="289"/>
      <c r="I53" s="287">
        <f>'CPU  1 '!DS53</f>
        <v>0</v>
      </c>
      <c r="J53" s="113">
        <f t="shared" si="1"/>
        <v>0</v>
      </c>
    </row>
    <row r="54" spans="2:10" s="86" customFormat="1" ht="21.9" customHeight="1" outlineLevel="1">
      <c r="B54" s="122" t="str">
        <f>'CPU  1 '!B54</f>
        <v>E31</v>
      </c>
      <c r="C54" s="123">
        <f>'CPU  1 '!C54</f>
        <v>0</v>
      </c>
      <c r="D54" s="124">
        <f>'CPU  1 '!D54</f>
        <v>0</v>
      </c>
      <c r="E54" s="125">
        <f>'CPU  1 '!E54</f>
        <v>0</v>
      </c>
      <c r="F54" s="126"/>
      <c r="G54" s="288"/>
      <c r="H54" s="289"/>
      <c r="I54" s="287">
        <f>'CPU  1 '!DS54</f>
        <v>0</v>
      </c>
      <c r="J54" s="113">
        <f t="shared" si="1"/>
        <v>0</v>
      </c>
    </row>
    <row r="55" spans="2:10" s="86" customFormat="1" ht="21.9" customHeight="1" outlineLevel="1">
      <c r="B55" s="122" t="str">
        <f>'CPU  1 '!B55</f>
        <v>E32</v>
      </c>
      <c r="C55" s="123">
        <f>'CPU  1 '!C55</f>
        <v>0</v>
      </c>
      <c r="D55" s="124">
        <f>'CPU  1 '!D55</f>
        <v>0</v>
      </c>
      <c r="E55" s="125">
        <f>'CPU  1 '!E55</f>
        <v>0</v>
      </c>
      <c r="F55" s="126"/>
      <c r="G55" s="288"/>
      <c r="H55" s="289"/>
      <c r="I55" s="287">
        <f>'CPU  1 '!DS55</f>
        <v>0</v>
      </c>
      <c r="J55" s="113">
        <f t="shared" si="1"/>
        <v>0</v>
      </c>
    </row>
    <row r="56" spans="2:10" s="86" customFormat="1" ht="21.9" customHeight="1" outlineLevel="1">
      <c r="B56" s="122" t="str">
        <f>'CPU  1 '!B56</f>
        <v>E33</v>
      </c>
      <c r="C56" s="123">
        <f>'CPU  1 '!C56</f>
        <v>0</v>
      </c>
      <c r="D56" s="124">
        <f>'CPU  1 '!D56</f>
        <v>0</v>
      </c>
      <c r="E56" s="125">
        <f>'CPU  1 '!E56</f>
        <v>0</v>
      </c>
      <c r="F56" s="126"/>
      <c r="G56" s="288"/>
      <c r="H56" s="289"/>
      <c r="I56" s="287">
        <f>'CPU  1 '!DS56</f>
        <v>0</v>
      </c>
      <c r="J56" s="113">
        <f t="shared" ref="J56:J77" si="2">I56/$I$130</f>
        <v>0</v>
      </c>
    </row>
    <row r="57" spans="2:10" s="86" customFormat="1" ht="21.9" customHeight="1" outlineLevel="1">
      <c r="B57" s="122" t="str">
        <f>'CPU  1 '!B57</f>
        <v>E34</v>
      </c>
      <c r="C57" s="123">
        <f>'CPU  1 '!C57</f>
        <v>0</v>
      </c>
      <c r="D57" s="124">
        <f>'CPU  1 '!D57</f>
        <v>0</v>
      </c>
      <c r="E57" s="125">
        <f>'CPU  1 '!E57</f>
        <v>0</v>
      </c>
      <c r="F57" s="126"/>
      <c r="G57" s="288"/>
      <c r="H57" s="289"/>
      <c r="I57" s="287">
        <f>'CPU  1 '!DS57</f>
        <v>0</v>
      </c>
      <c r="J57" s="113">
        <f t="shared" si="2"/>
        <v>0</v>
      </c>
    </row>
    <row r="58" spans="2:10" s="86" customFormat="1" ht="21.9" customHeight="1" outlineLevel="1">
      <c r="B58" s="122" t="str">
        <f>'CPU  1 '!B58</f>
        <v>E35</v>
      </c>
      <c r="C58" s="123">
        <f>'CPU  1 '!C58</f>
        <v>0</v>
      </c>
      <c r="D58" s="124">
        <f>'CPU  1 '!D58</f>
        <v>0</v>
      </c>
      <c r="E58" s="125">
        <f>'CPU  1 '!E58</f>
        <v>0</v>
      </c>
      <c r="F58" s="126"/>
      <c r="G58" s="288"/>
      <c r="H58" s="289"/>
      <c r="I58" s="287">
        <f>'CPU  1 '!DS58</f>
        <v>0</v>
      </c>
      <c r="J58" s="113">
        <f t="shared" si="2"/>
        <v>0</v>
      </c>
    </row>
    <row r="59" spans="2:10" s="86" customFormat="1" ht="21.9" customHeight="1" outlineLevel="1">
      <c r="B59" s="122" t="str">
        <f>'CPU  1 '!B59</f>
        <v>E36</v>
      </c>
      <c r="C59" s="123">
        <f>'CPU  1 '!C59</f>
        <v>0</v>
      </c>
      <c r="D59" s="124">
        <f>'CPU  1 '!D59</f>
        <v>0</v>
      </c>
      <c r="E59" s="125">
        <f>'CPU  1 '!E59</f>
        <v>0</v>
      </c>
      <c r="F59" s="126"/>
      <c r="G59" s="288"/>
      <c r="H59" s="289"/>
      <c r="I59" s="287">
        <f>'CPU  1 '!DS59</f>
        <v>0</v>
      </c>
      <c r="J59" s="113">
        <f t="shared" si="2"/>
        <v>0</v>
      </c>
    </row>
    <row r="60" spans="2:10" s="86" customFormat="1" ht="21.9" customHeight="1" outlineLevel="1">
      <c r="B60" s="122" t="str">
        <f>'CPU  1 '!B60</f>
        <v>E37</v>
      </c>
      <c r="C60" s="123">
        <f>'CPU  1 '!C60</f>
        <v>0</v>
      </c>
      <c r="D60" s="124">
        <f>'CPU  1 '!D60</f>
        <v>0</v>
      </c>
      <c r="E60" s="125">
        <f>'CPU  1 '!E60</f>
        <v>0</v>
      </c>
      <c r="F60" s="126"/>
      <c r="G60" s="288"/>
      <c r="H60" s="289"/>
      <c r="I60" s="287">
        <f>'CPU  1 '!DS60</f>
        <v>0</v>
      </c>
      <c r="J60" s="113">
        <f t="shared" si="2"/>
        <v>0</v>
      </c>
    </row>
    <row r="61" spans="2:10" s="86" customFormat="1" ht="21.9" customHeight="1" outlineLevel="1">
      <c r="B61" s="122" t="str">
        <f>'CPU  1 '!B61</f>
        <v>E38</v>
      </c>
      <c r="C61" s="123">
        <f>'CPU  1 '!C61</f>
        <v>0</v>
      </c>
      <c r="D61" s="124">
        <f>'CPU  1 '!D61</f>
        <v>0</v>
      </c>
      <c r="E61" s="125">
        <f>'CPU  1 '!E61</f>
        <v>0</v>
      </c>
      <c r="F61" s="126"/>
      <c r="G61" s="288"/>
      <c r="H61" s="289"/>
      <c r="I61" s="287">
        <f>'CPU  1 '!DS61</f>
        <v>0</v>
      </c>
      <c r="J61" s="113">
        <f t="shared" si="2"/>
        <v>0</v>
      </c>
    </row>
    <row r="62" spans="2:10" s="86" customFormat="1" ht="21.9" customHeight="1" outlineLevel="1">
      <c r="B62" s="122" t="str">
        <f>'CPU  1 '!B62</f>
        <v>E39</v>
      </c>
      <c r="C62" s="123">
        <f>'CPU  1 '!C62</f>
        <v>0</v>
      </c>
      <c r="D62" s="124">
        <f>'CPU  1 '!D62</f>
        <v>0</v>
      </c>
      <c r="E62" s="125">
        <f>'CPU  1 '!E62</f>
        <v>0</v>
      </c>
      <c r="F62" s="126"/>
      <c r="G62" s="288"/>
      <c r="H62" s="289"/>
      <c r="I62" s="287">
        <f>'CPU  1 '!DS62</f>
        <v>0</v>
      </c>
      <c r="J62" s="113">
        <f t="shared" si="2"/>
        <v>0</v>
      </c>
    </row>
    <row r="63" spans="2:10" s="86" customFormat="1" ht="21.9" customHeight="1" outlineLevel="1">
      <c r="B63" s="122" t="str">
        <f>'CPU  1 '!B63</f>
        <v>E40</v>
      </c>
      <c r="C63" s="123">
        <f>'CPU  1 '!C63</f>
        <v>0</v>
      </c>
      <c r="D63" s="124">
        <f>'CPU  1 '!D63</f>
        <v>0</v>
      </c>
      <c r="E63" s="125">
        <f>'CPU  1 '!E63</f>
        <v>0</v>
      </c>
      <c r="F63" s="126"/>
      <c r="G63" s="288"/>
      <c r="H63" s="289"/>
      <c r="I63" s="287">
        <f>'CPU  1 '!DS63</f>
        <v>0</v>
      </c>
      <c r="J63" s="113">
        <f t="shared" si="2"/>
        <v>0</v>
      </c>
    </row>
    <row r="64" spans="2:10" s="86" customFormat="1" ht="21.9" customHeight="1" outlineLevel="1">
      <c r="B64" s="122" t="str">
        <f>'CPU  1 '!B64</f>
        <v>E41</v>
      </c>
      <c r="C64" s="123">
        <f>'CPU  1 '!C64</f>
        <v>0</v>
      </c>
      <c r="D64" s="124">
        <f>'CPU  1 '!D64</f>
        <v>0</v>
      </c>
      <c r="E64" s="125">
        <f>'CPU  1 '!E64</f>
        <v>0</v>
      </c>
      <c r="F64" s="126"/>
      <c r="G64" s="288"/>
      <c r="H64" s="289"/>
      <c r="I64" s="287">
        <f>'CPU  1 '!DS64</f>
        <v>0</v>
      </c>
      <c r="J64" s="113">
        <f t="shared" si="2"/>
        <v>0</v>
      </c>
    </row>
    <row r="65" spans="2:11" s="86" customFormat="1" ht="21.9" customHeight="1" outlineLevel="1">
      <c r="B65" s="122" t="str">
        <f>'CPU  1 '!B65</f>
        <v>E42</v>
      </c>
      <c r="C65" s="123">
        <f>'CPU  1 '!C65</f>
        <v>0</v>
      </c>
      <c r="D65" s="124">
        <f>'CPU  1 '!D65</f>
        <v>0</v>
      </c>
      <c r="E65" s="125">
        <f>'CPU  1 '!E65</f>
        <v>0</v>
      </c>
      <c r="F65" s="126"/>
      <c r="G65" s="288"/>
      <c r="H65" s="289"/>
      <c r="I65" s="287">
        <f>'CPU  1 '!DS65</f>
        <v>0</v>
      </c>
      <c r="J65" s="113">
        <f t="shared" si="2"/>
        <v>0</v>
      </c>
    </row>
    <row r="66" spans="2:11" s="86" customFormat="1" ht="21.9" customHeight="1" outlineLevel="1">
      <c r="B66" s="122" t="str">
        <f>'CPU  1 '!B66</f>
        <v>E43</v>
      </c>
      <c r="C66" s="123">
        <f>'CPU  1 '!C66</f>
        <v>0</v>
      </c>
      <c r="D66" s="124">
        <f>'CPU  1 '!D66</f>
        <v>0</v>
      </c>
      <c r="E66" s="125">
        <f>'CPU  1 '!E66</f>
        <v>0</v>
      </c>
      <c r="F66" s="126"/>
      <c r="G66" s="288"/>
      <c r="H66" s="289"/>
      <c r="I66" s="287">
        <f>'CPU  1 '!DS66</f>
        <v>0</v>
      </c>
      <c r="J66" s="113">
        <f t="shared" si="2"/>
        <v>0</v>
      </c>
    </row>
    <row r="67" spans="2:11" s="86" customFormat="1" ht="21.9" customHeight="1" outlineLevel="1">
      <c r="B67" s="122" t="str">
        <f>'CPU  1 '!B67</f>
        <v>E44</v>
      </c>
      <c r="C67" s="123">
        <f>'CPU  1 '!C67</f>
        <v>0</v>
      </c>
      <c r="D67" s="124">
        <f>'CPU  1 '!D67</f>
        <v>0</v>
      </c>
      <c r="E67" s="125">
        <f>'CPU  1 '!E67</f>
        <v>0</v>
      </c>
      <c r="F67" s="126"/>
      <c r="G67" s="288"/>
      <c r="H67" s="289"/>
      <c r="I67" s="287">
        <f>'CPU  1 '!DS67</f>
        <v>0</v>
      </c>
      <c r="J67" s="113">
        <f t="shared" si="2"/>
        <v>0</v>
      </c>
    </row>
    <row r="68" spans="2:11" s="86" customFormat="1" ht="21.9" customHeight="1" outlineLevel="1">
      <c r="B68" s="122" t="str">
        <f>'CPU  1 '!B68</f>
        <v>E45</v>
      </c>
      <c r="C68" s="123">
        <f>'CPU  1 '!C68</f>
        <v>0</v>
      </c>
      <c r="D68" s="124">
        <f>'CPU  1 '!D68</f>
        <v>0</v>
      </c>
      <c r="E68" s="125">
        <f>'CPU  1 '!E68</f>
        <v>0</v>
      </c>
      <c r="F68" s="126"/>
      <c r="G68" s="288"/>
      <c r="H68" s="289"/>
      <c r="I68" s="287">
        <f>'CPU  1 '!DS68</f>
        <v>0</v>
      </c>
      <c r="J68" s="113">
        <f t="shared" si="2"/>
        <v>0</v>
      </c>
    </row>
    <row r="69" spans="2:11" s="86" customFormat="1" ht="21.9" customHeight="1" outlineLevel="1">
      <c r="B69" s="122" t="str">
        <f>'CPU  1 '!B69</f>
        <v>E46</v>
      </c>
      <c r="C69" s="123">
        <f>'CPU  1 '!C69</f>
        <v>0</v>
      </c>
      <c r="D69" s="124">
        <f>'CPU  1 '!D69</f>
        <v>0</v>
      </c>
      <c r="E69" s="125">
        <f>'CPU  1 '!E69</f>
        <v>0</v>
      </c>
      <c r="F69" s="126"/>
      <c r="G69" s="288"/>
      <c r="H69" s="289"/>
      <c r="I69" s="287">
        <f>'CPU  1 '!DS69</f>
        <v>0</v>
      </c>
      <c r="J69" s="113">
        <f t="shared" si="2"/>
        <v>0</v>
      </c>
    </row>
    <row r="70" spans="2:11" s="86" customFormat="1" ht="21.9" customHeight="1" outlineLevel="1">
      <c r="B70" s="122" t="str">
        <f>'CPU  1 '!B70</f>
        <v>E47</v>
      </c>
      <c r="C70" s="123">
        <f>'CPU  1 '!C70</f>
        <v>0</v>
      </c>
      <c r="D70" s="124">
        <f>'CPU  1 '!D70</f>
        <v>0</v>
      </c>
      <c r="E70" s="125">
        <f>'CPU  1 '!E70</f>
        <v>0</v>
      </c>
      <c r="F70" s="126"/>
      <c r="G70" s="288"/>
      <c r="H70" s="289"/>
      <c r="I70" s="287">
        <f>'CPU  1 '!DS70</f>
        <v>0</v>
      </c>
      <c r="J70" s="113">
        <f t="shared" si="2"/>
        <v>0</v>
      </c>
    </row>
    <row r="71" spans="2:11" s="86" customFormat="1" ht="21.9" customHeight="1" outlineLevel="1">
      <c r="B71" s="122" t="str">
        <f>'CPU  1 '!B71</f>
        <v>E48</v>
      </c>
      <c r="C71" s="123">
        <f>'CPU  1 '!C71</f>
        <v>0</v>
      </c>
      <c r="D71" s="124">
        <f>'CPU  1 '!D71</f>
        <v>0</v>
      </c>
      <c r="E71" s="125">
        <f>'CPU  1 '!E71</f>
        <v>0</v>
      </c>
      <c r="F71" s="126"/>
      <c r="G71" s="288"/>
      <c r="H71" s="289"/>
      <c r="I71" s="287">
        <f>'CPU  1 '!DS71</f>
        <v>0</v>
      </c>
      <c r="J71" s="113">
        <f t="shared" si="2"/>
        <v>0</v>
      </c>
    </row>
    <row r="72" spans="2:11" s="86" customFormat="1" ht="21.9" customHeight="1" outlineLevel="1">
      <c r="B72" s="122" t="str">
        <f>'CPU  1 '!B72</f>
        <v>E49</v>
      </c>
      <c r="C72" s="123">
        <f>'CPU  1 '!C72</f>
        <v>0</v>
      </c>
      <c r="D72" s="124">
        <f>'CPU  1 '!D72</f>
        <v>0</v>
      </c>
      <c r="E72" s="125">
        <f>'CPU  1 '!E72</f>
        <v>0</v>
      </c>
      <c r="F72" s="126"/>
      <c r="G72" s="288"/>
      <c r="H72" s="289"/>
      <c r="I72" s="287">
        <f>'CPU  1 '!DS72</f>
        <v>0</v>
      </c>
      <c r="J72" s="113">
        <f t="shared" si="2"/>
        <v>0</v>
      </c>
    </row>
    <row r="73" spans="2:11" s="86" customFormat="1" ht="21.9" customHeight="1" outlineLevel="1">
      <c r="B73" s="122" t="str">
        <f>'CPU  1 '!B73</f>
        <v>E50</v>
      </c>
      <c r="C73" s="123">
        <f>'CPU  1 '!C73</f>
        <v>0</v>
      </c>
      <c r="D73" s="124">
        <f>'CPU  1 '!D73</f>
        <v>0</v>
      </c>
      <c r="E73" s="125">
        <f>'CPU  1 '!E73</f>
        <v>0</v>
      </c>
      <c r="F73" s="126"/>
      <c r="G73" s="288"/>
      <c r="H73" s="289"/>
      <c r="I73" s="287">
        <f>'CPU  1 '!DS73</f>
        <v>0</v>
      </c>
      <c r="J73" s="113">
        <f t="shared" si="2"/>
        <v>0</v>
      </c>
    </row>
    <row r="74" spans="2:11" s="86" customFormat="1" ht="21.9" customHeight="1" outlineLevel="1">
      <c r="B74" s="122" t="str">
        <f>'CPU  1 '!B74</f>
        <v>E51</v>
      </c>
      <c r="C74" s="123">
        <f>'CPU  1 '!C74</f>
        <v>0</v>
      </c>
      <c r="D74" s="124">
        <f>'CPU  1 '!D74</f>
        <v>0</v>
      </c>
      <c r="E74" s="125">
        <f>'CPU  1 '!E74</f>
        <v>0</v>
      </c>
      <c r="F74" s="126"/>
      <c r="G74" s="288"/>
      <c r="H74" s="289"/>
      <c r="I74" s="287">
        <f>'CPU  1 '!DS74</f>
        <v>0</v>
      </c>
      <c r="J74" s="113">
        <f t="shared" si="2"/>
        <v>0</v>
      </c>
    </row>
    <row r="75" spans="2:11" s="86" customFormat="1" ht="21.9" customHeight="1" outlineLevel="1">
      <c r="B75" s="122" t="str">
        <f>'CPU  1 '!B75</f>
        <v>E52</v>
      </c>
      <c r="C75" s="123">
        <f>'CPU  1 '!C75</f>
        <v>0</v>
      </c>
      <c r="D75" s="124">
        <f>'CPU  1 '!D75</f>
        <v>0</v>
      </c>
      <c r="E75" s="125">
        <f>'CPU  1 '!E75</f>
        <v>0</v>
      </c>
      <c r="F75" s="126"/>
      <c r="G75" s="288"/>
      <c r="H75" s="289"/>
      <c r="I75" s="287">
        <f>'CPU  1 '!DS75</f>
        <v>0</v>
      </c>
      <c r="J75" s="113">
        <f t="shared" si="2"/>
        <v>0</v>
      </c>
    </row>
    <row r="76" spans="2:11" s="86" customFormat="1" ht="21.9" customHeight="1" outlineLevel="1">
      <c r="B76" s="122" t="str">
        <f>'CPU  1 '!B76</f>
        <v>E53</v>
      </c>
      <c r="C76" s="123">
        <f>'CPU  1 '!C76</f>
        <v>0</v>
      </c>
      <c r="D76" s="124">
        <f>'CPU  1 '!D76</f>
        <v>0</v>
      </c>
      <c r="E76" s="125">
        <f>'CPU  1 '!E76</f>
        <v>0</v>
      </c>
      <c r="F76" s="126"/>
      <c r="G76" s="288"/>
      <c r="H76" s="289"/>
      <c r="I76" s="287">
        <f>'CPU  1 '!DS76</f>
        <v>0</v>
      </c>
      <c r="J76" s="113">
        <f t="shared" si="2"/>
        <v>0</v>
      </c>
    </row>
    <row r="77" spans="2:11" s="86" customFormat="1" ht="21.9" customHeight="1" outlineLevel="1" thickBot="1">
      <c r="B77" s="122" t="str">
        <f>'CPU  1 '!B77</f>
        <v>E54</v>
      </c>
      <c r="C77" s="123">
        <f>'CPU  1 '!C77</f>
        <v>0</v>
      </c>
      <c r="D77" s="124">
        <f>'CPU  1 '!D77</f>
        <v>0</v>
      </c>
      <c r="E77" s="125">
        <f>'CPU  1 '!E77</f>
        <v>0</v>
      </c>
      <c r="F77" s="126"/>
      <c r="G77" s="288"/>
      <c r="H77" s="289"/>
      <c r="I77" s="287">
        <f>'CPU  1 '!DS77</f>
        <v>0</v>
      </c>
      <c r="J77" s="113">
        <f t="shared" si="2"/>
        <v>0</v>
      </c>
    </row>
    <row r="78" spans="2:11" s="86" customFormat="1" ht="21.9" customHeight="1" thickBot="1">
      <c r="B78" s="705" t="s">
        <v>104</v>
      </c>
      <c r="C78" s="706"/>
      <c r="D78" s="706"/>
      <c r="E78" s="706" t="e">
        <f>SUM(#REF!)</f>
        <v>#REF!</v>
      </c>
      <c r="F78" s="117"/>
      <c r="G78" s="202"/>
      <c r="H78" s="203"/>
      <c r="I78" s="204">
        <f>SUM(I24:I77)</f>
        <v>197996.86468137288</v>
      </c>
      <c r="J78" s="113"/>
    </row>
    <row r="79" spans="2:11" s="86" customFormat="1" ht="21.9" customHeight="1" thickBot="1">
      <c r="B79" s="707" t="s">
        <v>105</v>
      </c>
      <c r="C79" s="708"/>
      <c r="D79" s="708"/>
      <c r="E79" s="709"/>
      <c r="F79" s="117"/>
      <c r="G79" s="704"/>
      <c r="H79" s="704"/>
      <c r="I79" s="704"/>
      <c r="J79" s="113"/>
    </row>
    <row r="80" spans="2:11" s="103" customFormat="1" ht="21.9" customHeight="1" thickBot="1">
      <c r="B80" s="197" t="s">
        <v>95</v>
      </c>
      <c r="C80" s="198" t="s">
        <v>96</v>
      </c>
      <c r="D80" s="199" t="s">
        <v>97</v>
      </c>
      <c r="E80" s="200" t="s">
        <v>98</v>
      </c>
      <c r="F80" s="100"/>
      <c r="G80" s="197" t="s">
        <v>99</v>
      </c>
      <c r="H80" s="200" t="s">
        <v>100</v>
      </c>
      <c r="I80" s="201" t="s">
        <v>101</v>
      </c>
      <c r="J80" s="101"/>
      <c r="K80" s="102"/>
    </row>
    <row r="81" spans="2:10" s="86" customFormat="1" ht="21.9" customHeight="1" outlineLevel="1">
      <c r="B81" s="122" t="str">
        <f>'CPU  1 '!B81</f>
        <v>M01</v>
      </c>
      <c r="C81" s="128" t="str">
        <f>'CPU  1 '!C81</f>
        <v>Cabo múltiplo de energia (tetrapolar), condutores flexíveis de cobre (classe 5), classe de tensão de 0.6/1kV, isolamento de PVC 70ºC - Seção 1x4/c # 10.0mm².</v>
      </c>
      <c r="D81" s="129" t="str">
        <f>'CPU  1 '!D81</f>
        <v>M</v>
      </c>
      <c r="E81" s="130">
        <f>'CPU  1 '!E81</f>
        <v>45.2</v>
      </c>
      <c r="F81" s="126"/>
      <c r="G81" s="290"/>
      <c r="H81" s="291"/>
      <c r="I81" s="287">
        <f>'CPU  1 '!DS81</f>
        <v>4746.0000000000009</v>
      </c>
      <c r="J81" s="113">
        <f t="shared" ref="J81:J99" si="3">I81/$I$130</f>
        <v>9.5962655889428143E-3</v>
      </c>
    </row>
    <row r="82" spans="2:10" s="86" customFormat="1" ht="21.9" customHeight="1" outlineLevel="1">
      <c r="B82" s="122" t="str">
        <f>'CPU  1 '!B82</f>
        <v>M02</v>
      </c>
      <c r="C82" s="128" t="str">
        <f>'CPU  1 '!C82</f>
        <v>Chave seccionadora 30A TYPE 3R/4/12 CLAS S H 600V, NCM:8536.50.90 CF:5102 
MR:ROCKWELL</v>
      </c>
      <c r="D82" s="129" t="str">
        <f>'CPU  1 '!D82</f>
        <v>UND</v>
      </c>
      <c r="E82" s="130">
        <f>'CPU  1 '!E82</f>
        <v>230.22</v>
      </c>
      <c r="F82" s="126"/>
      <c r="G82" s="290"/>
      <c r="H82" s="291"/>
      <c r="I82" s="287">
        <f>'CPU  1 '!DS82</f>
        <v>230.22</v>
      </c>
      <c r="J82" s="113">
        <f t="shared" si="3"/>
        <v>4.6549773786060144E-4</v>
      </c>
    </row>
    <row r="83" spans="2:10" s="86" customFormat="1" ht="21.9" customHeight="1" outlineLevel="1">
      <c r="B83" s="122" t="str">
        <f>'CPU  1 '!B83</f>
        <v>M03</v>
      </c>
      <c r="C83" s="128" t="str">
        <f>'CPU  1 '!C83</f>
        <v>Terminal olhal de cobre à compressão #10mm² com furo M8, TM-10-8 da Intelli ou 
similar.</v>
      </c>
      <c r="D83" s="129" t="str">
        <f>'CPU  1 '!D83</f>
        <v>UND</v>
      </c>
      <c r="E83" s="130">
        <f>'CPU  1 '!E83</f>
        <v>5.66</v>
      </c>
      <c r="F83" s="126"/>
      <c r="G83" s="290"/>
      <c r="H83" s="291"/>
      <c r="I83" s="287">
        <f>'CPU  1 '!DS83</f>
        <v>45.28</v>
      </c>
      <c r="J83" s="113">
        <f t="shared" si="3"/>
        <v>9.1554763141030456E-5</v>
      </c>
    </row>
    <row r="84" spans="2:10" s="86" customFormat="1" ht="21.9" customHeight="1" outlineLevel="1">
      <c r="B84" s="122" t="str">
        <f>'CPU  1 '!B84</f>
        <v>M04</v>
      </c>
      <c r="C84" s="128" t="str">
        <f>'CPU  1 '!C84</f>
        <v>Fusível NH Sitor Ultra Rápido Gr 32A 1000V 100Ka T-0, Indicador Frontal 3NE4 101 
da Siemens ou similar</v>
      </c>
      <c r="D84" s="129" t="str">
        <f>'CPU  1 '!D84</f>
        <v>UND</v>
      </c>
      <c r="E84" s="130">
        <f>'CPU  1 '!E84</f>
        <v>84.66</v>
      </c>
      <c r="F84" s="126"/>
      <c r="G84" s="290"/>
      <c r="H84" s="291"/>
      <c r="I84" s="287">
        <f>'CPU  1 '!DS84</f>
        <v>507.96</v>
      </c>
      <c r="J84" s="113">
        <f t="shared" si="3"/>
        <v>1.0270794497596694E-3</v>
      </c>
    </row>
    <row r="85" spans="2:10" s="86" customFormat="1" ht="21.9" customHeight="1" outlineLevel="1">
      <c r="B85" s="122" t="str">
        <f>'CPU  1 '!B85</f>
        <v>M05</v>
      </c>
      <c r="C85" s="128" t="str">
        <f>'CPU  1 '!C85</f>
        <v>Base para Fusível NH Sitor Ultra Rápido Gr 32A 1000V 100Ka, T-0 tipo: 3NH3 230-
0RC da Siemens ou similar</v>
      </c>
      <c r="D85" s="129" t="str">
        <f>'CPU  1 '!D85</f>
        <v>UND</v>
      </c>
      <c r="E85" s="130">
        <f>'CPU  1 '!E85</f>
        <v>64.33</v>
      </c>
      <c r="F85" s="126"/>
      <c r="G85" s="290"/>
      <c r="H85" s="291"/>
      <c r="I85" s="287">
        <f>'CPU  1 '!DS85</f>
        <v>385.98</v>
      </c>
      <c r="J85" s="113">
        <f t="shared" si="3"/>
        <v>7.8043965276446419E-4</v>
      </c>
    </row>
    <row r="86" spans="2:10" s="86" customFormat="1" ht="21.9" customHeight="1" outlineLevel="1">
      <c r="B86" s="122" t="str">
        <f>'CPU  1 '!B86</f>
        <v>M06</v>
      </c>
      <c r="C86" s="128" t="str">
        <f>'CPU  1 '!C86</f>
        <v>Miscelâneas</v>
      </c>
      <c r="D86" s="129" t="str">
        <f>'CPU  1 '!D86</f>
        <v>Vb</v>
      </c>
      <c r="E86" s="130">
        <f>'CPU  1 '!E86</f>
        <v>5600</v>
      </c>
      <c r="F86" s="126"/>
      <c r="G86" s="290"/>
      <c r="H86" s="291"/>
      <c r="I86" s="287">
        <f>'CPU  1 '!DS86</f>
        <v>4200</v>
      </c>
      <c r="J86" s="113">
        <f t="shared" si="3"/>
        <v>8.4922704326927546E-3</v>
      </c>
    </row>
    <row r="87" spans="2:10" s="86" customFormat="1" ht="21.9" customHeight="1" outlineLevel="1">
      <c r="B87" s="122" t="str">
        <f>'CPU  1 '!B87</f>
        <v>M07</v>
      </c>
      <c r="C87" s="128" t="str">
        <f>'CPU  1 '!C87</f>
        <v>Água mineral</v>
      </c>
      <c r="D87" s="129" t="str">
        <f>'CPU  1 '!D87</f>
        <v>L</v>
      </c>
      <c r="E87" s="130">
        <f>'CPU  1 '!E87</f>
        <v>1</v>
      </c>
      <c r="F87" s="126"/>
      <c r="G87" s="290"/>
      <c r="H87" s="291"/>
      <c r="I87" s="287">
        <f>'CPU  1 '!DS87</f>
        <v>0</v>
      </c>
      <c r="J87" s="113">
        <f t="shared" si="3"/>
        <v>0</v>
      </c>
    </row>
    <row r="88" spans="2:10" s="86" customFormat="1" ht="21.9" customHeight="1" outlineLevel="1">
      <c r="B88" s="122" t="str">
        <f>'CPU  1 '!B88</f>
        <v>M08</v>
      </c>
      <c r="C88" s="128" t="str">
        <f>'CPU  1 '!C88</f>
        <v>Gelo branco seco</v>
      </c>
      <c r="D88" s="129" t="str">
        <f>'CPU  1 '!D88</f>
        <v>Pct</v>
      </c>
      <c r="E88" s="130">
        <f>'CPU  1 '!E88</f>
        <v>7</v>
      </c>
      <c r="F88" s="126"/>
      <c r="G88" s="290"/>
      <c r="H88" s="291"/>
      <c r="I88" s="287">
        <f>'CPU  1 '!DS88</f>
        <v>0</v>
      </c>
      <c r="J88" s="113">
        <f t="shared" si="3"/>
        <v>0</v>
      </c>
    </row>
    <row r="89" spans="2:10" s="86" customFormat="1" ht="21.9" customHeight="1" outlineLevel="1">
      <c r="B89" s="122" t="str">
        <f>'CPU  1 '!B89</f>
        <v>M09</v>
      </c>
      <c r="C89" s="128" t="str">
        <f>'CPU  1 '!C89</f>
        <v>Garrafa térmica 12 L</v>
      </c>
      <c r="D89" s="129" t="str">
        <f>'CPU  1 '!D89</f>
        <v>und</v>
      </c>
      <c r="E89" s="130">
        <f>'CPU  1 '!E89</f>
        <v>140</v>
      </c>
      <c r="F89" s="126"/>
      <c r="G89" s="290"/>
      <c r="H89" s="291"/>
      <c r="I89" s="287">
        <f>'CPU  1 '!DS89</f>
        <v>0</v>
      </c>
      <c r="J89" s="113">
        <f t="shared" si="3"/>
        <v>0</v>
      </c>
    </row>
    <row r="90" spans="2:10" s="86" customFormat="1" ht="21.9" customHeight="1" outlineLevel="1">
      <c r="B90" s="122" t="str">
        <f>'CPU  1 '!B90</f>
        <v>M11</v>
      </c>
      <c r="C90" s="128" t="str">
        <f>'CPU  1 '!C90</f>
        <v>Estaca de madeira</v>
      </c>
      <c r="D90" s="129" t="str">
        <f>'CPU  1 '!D90</f>
        <v>und</v>
      </c>
      <c r="E90" s="130">
        <f>'CPU  1 '!E90</f>
        <v>5</v>
      </c>
      <c r="F90" s="126"/>
      <c r="G90" s="290"/>
      <c r="H90" s="291"/>
      <c r="I90" s="287">
        <f>'CPU  1 '!DS90</f>
        <v>125</v>
      </c>
      <c r="J90" s="113">
        <f t="shared" si="3"/>
        <v>2.5274614383014152E-4</v>
      </c>
    </row>
    <row r="91" spans="2:10" s="86" customFormat="1" ht="21.9" customHeight="1" outlineLevel="1">
      <c r="B91" s="122" t="str">
        <f>'CPU  1 '!B91</f>
        <v>M12</v>
      </c>
      <c r="C91" s="128" t="str">
        <f>'CPU  1 '!C91</f>
        <v>Piquete de madeira</v>
      </c>
      <c r="D91" s="129" t="str">
        <f>'CPU  1 '!D91</f>
        <v>und</v>
      </c>
      <c r="E91" s="130">
        <f>'CPU  1 '!E91</f>
        <v>3.5</v>
      </c>
      <c r="F91" s="126"/>
      <c r="G91" s="290"/>
      <c r="H91" s="291"/>
      <c r="I91" s="287">
        <f>'CPU  1 '!DS91</f>
        <v>52.5</v>
      </c>
      <c r="J91" s="113">
        <f t="shared" si="3"/>
        <v>1.0615338040865943E-4</v>
      </c>
    </row>
    <row r="92" spans="2:10" s="86" customFormat="1" ht="36" customHeight="1" outlineLevel="1">
      <c r="B92" s="122" t="str">
        <f>'CPU  1 '!B92</f>
        <v>M13</v>
      </c>
      <c r="C92" s="128" t="str">
        <f>'CPU  1 '!C92</f>
        <v>Tinta - 18L</v>
      </c>
      <c r="D92" s="129" t="str">
        <f>'CPU  1 '!D92</f>
        <v>und</v>
      </c>
      <c r="E92" s="130">
        <f>'CPU  1 '!E92</f>
        <v>260</v>
      </c>
      <c r="F92" s="126"/>
      <c r="G92" s="290"/>
      <c r="H92" s="291"/>
      <c r="I92" s="287">
        <f>'CPU  1 '!DS92</f>
        <v>260</v>
      </c>
      <c r="J92" s="113">
        <f t="shared" si="3"/>
        <v>5.2571197916669434E-4</v>
      </c>
    </row>
    <row r="93" spans="2:10" s="86" customFormat="1" ht="21.9" customHeight="1" outlineLevel="1">
      <c r="B93" s="122" t="str">
        <f>'CPU  1 '!B93</f>
        <v>M14</v>
      </c>
      <c r="C93" s="128" t="str">
        <f>'CPU  1 '!C93</f>
        <v>Marcador Industrial</v>
      </c>
      <c r="D93" s="129" t="str">
        <f>'CPU  1 '!D93</f>
        <v>und</v>
      </c>
      <c r="E93" s="130">
        <f>'CPU  1 '!E93</f>
        <v>16.5</v>
      </c>
      <c r="F93" s="126"/>
      <c r="G93" s="290"/>
      <c r="H93" s="291"/>
      <c r="I93" s="287">
        <f>'CPU  1 '!DS93</f>
        <v>33</v>
      </c>
      <c r="J93" s="113">
        <f t="shared" si="3"/>
        <v>6.6724981971157362E-5</v>
      </c>
    </row>
    <row r="94" spans="2:10" s="86" customFormat="1" ht="21.9" customHeight="1" outlineLevel="1">
      <c r="B94" s="122" t="str">
        <f>'CPU  1 '!B94</f>
        <v>M15</v>
      </c>
      <c r="C94" s="128" t="str">
        <f>'CPU  1 '!C94</f>
        <v>Estrutura metálica leve</v>
      </c>
      <c r="D94" s="129" t="str">
        <f>'CPU  1 '!D94</f>
        <v>ton</v>
      </c>
      <c r="E94" s="130">
        <f>'CPU  1 '!E94</f>
        <v>9856.19</v>
      </c>
      <c r="F94" s="126"/>
      <c r="G94" s="290"/>
      <c r="H94" s="291"/>
      <c r="I94" s="287">
        <f>'CPU  1 '!DS94</f>
        <v>3942.4760000000006</v>
      </c>
      <c r="J94" s="113">
        <f t="shared" si="3"/>
        <v>7.971564849143048E-3</v>
      </c>
    </row>
    <row r="95" spans="2:10" s="86" customFormat="1" ht="21.9" customHeight="1" outlineLevel="1">
      <c r="B95" s="122" t="str">
        <f>'CPU  1 '!B95</f>
        <v>M16</v>
      </c>
      <c r="C95" s="128" t="str">
        <f>'CPU  1 '!C95</f>
        <v>Estrutura metálica média</v>
      </c>
      <c r="D95" s="129" t="str">
        <f>'CPU  1 '!D95</f>
        <v>ton</v>
      </c>
      <c r="E95" s="130">
        <f>'CPU  1 '!E95</f>
        <v>15425.6</v>
      </c>
      <c r="F95" s="126"/>
      <c r="G95" s="290"/>
      <c r="H95" s="291"/>
      <c r="I95" s="287">
        <f>'CPU  1 '!DS95</f>
        <v>6941.52</v>
      </c>
      <c r="J95" s="113">
        <f t="shared" si="3"/>
        <v>1.4035539298558431E-2</v>
      </c>
    </row>
    <row r="96" spans="2:10" s="86" customFormat="1" ht="36" customHeight="1" outlineLevel="1">
      <c r="B96" s="122" t="str">
        <f>'CPU  1 '!B96</f>
        <v>M17</v>
      </c>
      <c r="C96" s="128" t="str">
        <f>'CPU  1 '!C96</f>
        <v>Estrutura metálica pesada</v>
      </c>
      <c r="D96" s="129" t="str">
        <f>'CPU  1 '!D96</f>
        <v>ton</v>
      </c>
      <c r="E96" s="130">
        <f>'CPU  1 '!E96</f>
        <v>25019.200000000001</v>
      </c>
      <c r="F96" s="126"/>
      <c r="G96" s="290"/>
      <c r="H96" s="291"/>
      <c r="I96" s="287">
        <f>'CPU  1 '!DS96</f>
        <v>3752.88</v>
      </c>
      <c r="J96" s="113">
        <f t="shared" si="3"/>
        <v>7.5882075860580914E-3</v>
      </c>
    </row>
    <row r="97" spans="2:11" s="86" customFormat="1" ht="36" customHeight="1" outlineLevel="1">
      <c r="B97" s="122" t="str">
        <f>'CPU  1 '!B97</f>
        <v>M18</v>
      </c>
      <c r="C97" s="128">
        <f>'CPU  1 '!C97</f>
        <v>0</v>
      </c>
      <c r="D97" s="129">
        <f>'CPU  1 '!D97</f>
        <v>0</v>
      </c>
      <c r="E97" s="130">
        <f>'CPU  1 '!E97</f>
        <v>0</v>
      </c>
      <c r="F97" s="126"/>
      <c r="G97" s="290"/>
      <c r="H97" s="291"/>
      <c r="I97" s="287">
        <f>'CPU  1 '!DS97</f>
        <v>0</v>
      </c>
      <c r="J97" s="113">
        <f t="shared" si="3"/>
        <v>0</v>
      </c>
    </row>
    <row r="98" spans="2:11" s="86" customFormat="1" ht="21.9" customHeight="1" outlineLevel="1">
      <c r="B98" s="122" t="str">
        <f>'CPU  1 '!B98</f>
        <v>M19</v>
      </c>
      <c r="C98" s="128">
        <f>'CPU  1 '!C98</f>
        <v>0</v>
      </c>
      <c r="D98" s="129">
        <f>'CPU  1 '!D98</f>
        <v>0</v>
      </c>
      <c r="E98" s="130">
        <f>'CPU  1 '!E98</f>
        <v>0</v>
      </c>
      <c r="F98" s="126"/>
      <c r="G98" s="290"/>
      <c r="H98" s="291"/>
      <c r="I98" s="287">
        <f>'CPU  1 '!DS98</f>
        <v>0</v>
      </c>
      <c r="J98" s="113">
        <f t="shared" si="3"/>
        <v>0</v>
      </c>
    </row>
    <row r="99" spans="2:11" s="86" customFormat="1" ht="21.9" customHeight="1" outlineLevel="1" thickBot="1">
      <c r="B99" s="122" t="str">
        <f>'CPU  1 '!B99</f>
        <v>M20</v>
      </c>
      <c r="C99" s="128">
        <f>'CPU  1 '!C99</f>
        <v>0</v>
      </c>
      <c r="D99" s="129">
        <f>'CPU  1 '!D99</f>
        <v>0</v>
      </c>
      <c r="E99" s="130">
        <f>'CPU  1 '!E99</f>
        <v>0</v>
      </c>
      <c r="F99" s="126"/>
      <c r="G99" s="290"/>
      <c r="H99" s="291"/>
      <c r="I99" s="287">
        <f>'CPU  1 '!DS99</f>
        <v>0</v>
      </c>
      <c r="J99" s="113">
        <f t="shared" si="3"/>
        <v>0</v>
      </c>
    </row>
    <row r="100" spans="2:11" s="86" customFormat="1" ht="21.9" customHeight="1" thickBot="1">
      <c r="B100" s="705" t="s">
        <v>106</v>
      </c>
      <c r="C100" s="706"/>
      <c r="D100" s="706"/>
      <c r="E100" s="706" t="e">
        <f>SUM(#REF!)</f>
        <v>#REF!</v>
      </c>
      <c r="F100" s="117"/>
      <c r="G100" s="202"/>
      <c r="H100" s="203"/>
      <c r="I100" s="204">
        <f>SUM(I81:I99)</f>
        <v>25222.816000000003</v>
      </c>
      <c r="J100" s="113"/>
    </row>
    <row r="101" spans="2:11" s="86" customFormat="1" ht="21.9" customHeight="1" thickBot="1">
      <c r="B101" s="707" t="s">
        <v>107</v>
      </c>
      <c r="C101" s="708"/>
      <c r="D101" s="708"/>
      <c r="E101" s="709"/>
      <c r="F101" s="100"/>
      <c r="G101" s="704"/>
      <c r="H101" s="704"/>
      <c r="I101" s="704"/>
      <c r="J101" s="113"/>
    </row>
    <row r="102" spans="2:11" s="103" customFormat="1" ht="21.9" customHeight="1" thickBot="1">
      <c r="B102" s="197" t="s">
        <v>95</v>
      </c>
      <c r="C102" s="198" t="s">
        <v>96</v>
      </c>
      <c r="D102" s="199" t="s">
        <v>97</v>
      </c>
      <c r="E102" s="200" t="s">
        <v>98</v>
      </c>
      <c r="F102" s="100"/>
      <c r="G102" s="197" t="s">
        <v>99</v>
      </c>
      <c r="H102" s="200" t="s">
        <v>100</v>
      </c>
      <c r="I102" s="201" t="s">
        <v>101</v>
      </c>
      <c r="J102" s="101"/>
      <c r="K102" s="102"/>
    </row>
    <row r="103" spans="2:11" s="86" customFormat="1" ht="21.9" customHeight="1" outlineLevel="1">
      <c r="B103" s="122" t="str">
        <f>'CPU  1 '!B103</f>
        <v>O01</v>
      </c>
      <c r="C103" s="128" t="str">
        <f>'CPU  1 '!C103</f>
        <v>ART</v>
      </c>
      <c r="D103" s="129" t="str">
        <f>'CPU  1 '!D103</f>
        <v>Vb</v>
      </c>
      <c r="E103" s="130">
        <f>'CPU  1 '!E103</f>
        <v>271.52</v>
      </c>
      <c r="F103" s="126"/>
      <c r="G103" s="292"/>
      <c r="H103" s="293"/>
      <c r="I103" s="287">
        <f>'CPU  1 '!DS103</f>
        <v>271.52</v>
      </c>
      <c r="J103" s="113">
        <f t="shared" ref="J103:J122" si="4">I103/$I$130</f>
        <v>5.4900506378208018E-4</v>
      </c>
    </row>
    <row r="104" spans="2:11" s="86" customFormat="1" ht="21.9" customHeight="1" outlineLevel="1">
      <c r="B104" s="122" t="str">
        <f>'CPU  1 '!B104</f>
        <v>O02</v>
      </c>
      <c r="C104" s="128" t="str">
        <f>'CPU  1 '!C104</f>
        <v>Exames médicos</v>
      </c>
      <c r="D104" s="129" t="str">
        <f>'CPU  1 '!D104</f>
        <v>Vb</v>
      </c>
      <c r="E104" s="130">
        <f>'CPU  1 '!E104</f>
        <v>456</v>
      </c>
      <c r="F104" s="126"/>
      <c r="G104" s="292"/>
      <c r="H104" s="293"/>
      <c r="I104" s="287">
        <f>'CPU  1 '!DS104</f>
        <v>5016</v>
      </c>
      <c r="J104" s="113">
        <f t="shared" si="4"/>
        <v>1.0142197259615918E-2</v>
      </c>
    </row>
    <row r="105" spans="2:11" s="86" customFormat="1" ht="21.9" customHeight="1" outlineLevel="1">
      <c r="B105" s="122" t="str">
        <f>'CPU  1 '!B105</f>
        <v>O03</v>
      </c>
      <c r="C105" s="128" t="str">
        <f>'CPU  1 '!C105</f>
        <v>Treinamentos</v>
      </c>
      <c r="D105" s="129" t="str">
        <f>'CPU  1 '!D105</f>
        <v>Vb</v>
      </c>
      <c r="E105" s="130">
        <f>'CPU  1 '!E105</f>
        <v>426</v>
      </c>
      <c r="F105" s="126"/>
      <c r="G105" s="292"/>
      <c r="H105" s="293"/>
      <c r="I105" s="287">
        <f>'CPU  1 '!DS105</f>
        <v>4686</v>
      </c>
      <c r="J105" s="113">
        <f t="shared" si="4"/>
        <v>9.4749474399043448E-3</v>
      </c>
    </row>
    <row r="106" spans="2:11" s="86" customFormat="1" ht="21.9" customHeight="1" outlineLevel="1">
      <c r="B106" s="122" t="str">
        <f>'CPU  1 '!B106</f>
        <v>O04</v>
      </c>
      <c r="C106" s="128" t="str">
        <f>'CPU  1 '!C106</f>
        <v>Plano de saúde</v>
      </c>
      <c r="D106" s="129" t="str">
        <f>'CPU  1 '!D106</f>
        <v>Vb/mês</v>
      </c>
      <c r="E106" s="130">
        <f>'CPU  1 '!E106</f>
        <v>254.1</v>
      </c>
      <c r="F106" s="126"/>
      <c r="G106" s="292"/>
      <c r="H106" s="293"/>
      <c r="I106" s="287">
        <f>'CPU  1 '!DS106</f>
        <v>7459.0910625000006</v>
      </c>
      <c r="J106" s="113">
        <f t="shared" si="4"/>
        <v>1.5082052020197986E-2</v>
      </c>
    </row>
    <row r="107" spans="2:11" s="86" customFormat="1" ht="21.9" customHeight="1" outlineLevel="1">
      <c r="B107" s="122" t="str">
        <f>'CPU  1 '!B107</f>
        <v>O05</v>
      </c>
      <c r="C107" s="128" t="str">
        <f>'CPU  1 '!C107</f>
        <v>Cesta básica</v>
      </c>
      <c r="D107" s="129" t="str">
        <f>'CPU  1 '!D107</f>
        <v>Vb/mês</v>
      </c>
      <c r="E107" s="130">
        <f>'CPU  1 '!E107</f>
        <v>326.13</v>
      </c>
      <c r="F107" s="126"/>
      <c r="G107" s="292"/>
      <c r="H107" s="293"/>
      <c r="I107" s="287">
        <f>'CPU  1 '!DS107</f>
        <v>9573.527619886363</v>
      </c>
      <c r="J107" s="113">
        <f t="shared" si="4"/>
        <v>1.9357377510221048E-2</v>
      </c>
    </row>
    <row r="108" spans="2:11" s="86" customFormat="1" ht="21.9" customHeight="1" outlineLevel="1">
      <c r="B108" s="122" t="str">
        <f>'CPU  1 '!B108</f>
        <v>O06</v>
      </c>
      <c r="C108" s="128" t="str">
        <f>'CPU  1 '!C108</f>
        <v>Seguro profissional</v>
      </c>
      <c r="D108" s="129" t="str">
        <f>'CPU  1 '!D108</f>
        <v>Vb/mês</v>
      </c>
      <c r="E108" s="130">
        <f>'CPU  1 '!E108</f>
        <v>12.55</v>
      </c>
      <c r="F108" s="126"/>
      <c r="G108" s="292"/>
      <c r="H108" s="293"/>
      <c r="I108" s="287">
        <f>'CPU  1 '!DS108</f>
        <v>368.40453693181826</v>
      </c>
      <c r="J108" s="113">
        <f t="shared" si="4"/>
        <v>7.4490260863236811E-4</v>
      </c>
    </row>
    <row r="109" spans="2:11" s="86" customFormat="1" ht="21.9" customHeight="1" outlineLevel="1">
      <c r="B109" s="122" t="str">
        <f>'CPU  1 '!B109</f>
        <v>O07</v>
      </c>
      <c r="C109" s="128" t="str">
        <f>'CPU  1 '!C109</f>
        <v>Alimentação - Café da manhã</v>
      </c>
      <c r="D109" s="129" t="str">
        <f>'CPU  1 '!D109</f>
        <v>Vb/mês</v>
      </c>
      <c r="E109" s="130">
        <f>'CPU  1 '!E109</f>
        <v>121</v>
      </c>
      <c r="F109" s="126"/>
      <c r="G109" s="292"/>
      <c r="H109" s="293"/>
      <c r="I109" s="287">
        <f>'CPU  1 '!DS109</f>
        <v>3551.9481249999999</v>
      </c>
      <c r="J109" s="113">
        <f t="shared" si="4"/>
        <v>7.1819295334276112E-3</v>
      </c>
    </row>
    <row r="110" spans="2:11" s="86" customFormat="1" ht="21.9" customHeight="1" outlineLevel="1">
      <c r="B110" s="122" t="str">
        <f>'CPU  1 '!B110</f>
        <v>O08</v>
      </c>
      <c r="C110" s="128" t="str">
        <f>'CPU  1 '!C110</f>
        <v>Alimentação - Almoço</v>
      </c>
      <c r="D110" s="129" t="str">
        <f>'CPU  1 '!D110</f>
        <v>Vb/mês</v>
      </c>
      <c r="E110" s="130">
        <f>'CPU  1 '!E110</f>
        <v>440</v>
      </c>
      <c r="F110" s="126"/>
      <c r="G110" s="292"/>
      <c r="H110" s="293"/>
      <c r="I110" s="287">
        <f>'CPU  1 '!DS110</f>
        <v>12916.175000000001</v>
      </c>
      <c r="J110" s="113">
        <f t="shared" si="4"/>
        <v>2.6116107394282224E-2</v>
      </c>
    </row>
    <row r="111" spans="2:11" s="86" customFormat="1" ht="21.9" customHeight="1" outlineLevel="1">
      <c r="B111" s="122" t="str">
        <f>'CPU  1 '!B111</f>
        <v>O09</v>
      </c>
      <c r="C111" s="128" t="str">
        <f>'CPU  1 '!C111</f>
        <v>Ferramentas para mão de obra</v>
      </c>
      <c r="D111" s="129" t="str">
        <f>'CPU  1 '!D111</f>
        <v>Vb/mês</v>
      </c>
      <c r="E111" s="130">
        <f>'CPU  1 '!E111</f>
        <v>115.2</v>
      </c>
      <c r="F111" s="126"/>
      <c r="G111" s="292"/>
      <c r="H111" s="293"/>
      <c r="I111" s="287">
        <f>'CPU  1 '!DS111</f>
        <v>3381.6894545454543</v>
      </c>
      <c r="J111" s="113">
        <f t="shared" si="4"/>
        <v>6.8376717541393456E-3</v>
      </c>
    </row>
    <row r="112" spans="2:11" s="86" customFormat="1" ht="21.9" customHeight="1" outlineLevel="1">
      <c r="B112" s="122" t="str">
        <f>'CPU  1 '!B112</f>
        <v>O10</v>
      </c>
      <c r="C112" s="128" t="str">
        <f>'CPU  1 '!C112</f>
        <v>Combustível G/D</v>
      </c>
      <c r="D112" s="129" t="str">
        <f>'CPU  1 '!D112</f>
        <v>L</v>
      </c>
      <c r="E112" s="130">
        <f>'CPU  1 '!E112</f>
        <v>6.8</v>
      </c>
      <c r="F112" s="126"/>
      <c r="G112" s="292"/>
      <c r="H112" s="293"/>
      <c r="I112" s="287">
        <f>'CPU  1 '!DS112</f>
        <v>0</v>
      </c>
      <c r="J112" s="113">
        <f t="shared" si="4"/>
        <v>0</v>
      </c>
    </row>
    <row r="113" spans="2:10" s="86" customFormat="1" ht="21.9" customHeight="1" outlineLevel="1">
      <c r="B113" s="122" t="str">
        <f>'CPU  1 '!B113</f>
        <v>O11</v>
      </c>
      <c r="C113" s="128" t="str">
        <f>'CPU  1 '!C113</f>
        <v>Água mineral</v>
      </c>
      <c r="D113" s="129" t="str">
        <f>'CPU  1 '!D113</f>
        <v>L</v>
      </c>
      <c r="E113" s="130">
        <f>'CPU  1 '!E113</f>
        <v>1.05</v>
      </c>
      <c r="F113" s="126"/>
      <c r="G113" s="292"/>
      <c r="H113" s="293"/>
      <c r="I113" s="287">
        <f>'CPU  1 '!DS113</f>
        <v>0</v>
      </c>
      <c r="J113" s="113">
        <f t="shared" si="4"/>
        <v>0</v>
      </c>
    </row>
    <row r="114" spans="2:10" s="86" customFormat="1" ht="36" customHeight="1" outlineLevel="1">
      <c r="B114" s="122" t="str">
        <f>'CPU  1 '!B114</f>
        <v>O12</v>
      </c>
      <c r="C114" s="128" t="str">
        <f>'CPU  1 '!C114</f>
        <v>Gelo seco</v>
      </c>
      <c r="D114" s="129" t="str">
        <f>'CPU  1 '!D114</f>
        <v>pct</v>
      </c>
      <c r="E114" s="130">
        <f>'CPU  1 '!E114</f>
        <v>25.6</v>
      </c>
      <c r="F114" s="126"/>
      <c r="G114" s="292"/>
      <c r="H114" s="293"/>
      <c r="I114" s="287">
        <f>'CPU  1 '!DS114</f>
        <v>0</v>
      </c>
      <c r="J114" s="113">
        <f t="shared" si="4"/>
        <v>0</v>
      </c>
    </row>
    <row r="115" spans="2:10" s="86" customFormat="1" ht="21.9" customHeight="1" outlineLevel="1">
      <c r="B115" s="122" t="str">
        <f>'CPU  1 '!B115</f>
        <v>O13</v>
      </c>
      <c r="C115" s="128" t="str">
        <f>'CPU  1 '!C115</f>
        <v>Garrafa térmica</v>
      </c>
      <c r="D115" s="129" t="str">
        <f>'CPU  1 '!D115</f>
        <v>und</v>
      </c>
      <c r="E115" s="130">
        <f>'CPU  1 '!E115</f>
        <v>220</v>
      </c>
      <c r="F115" s="126"/>
      <c r="G115" s="292"/>
      <c r="H115" s="293"/>
      <c r="I115" s="287">
        <f>'CPU  1 '!DS115</f>
        <v>0</v>
      </c>
      <c r="J115" s="113">
        <f t="shared" si="4"/>
        <v>0</v>
      </c>
    </row>
    <row r="116" spans="2:10" s="86" customFormat="1" ht="21.9" customHeight="1" outlineLevel="1">
      <c r="B116" s="122" t="str">
        <f>'CPU  1 '!B116</f>
        <v>O14</v>
      </c>
      <c r="C116" s="128">
        <f>'CPU  1 '!C116</f>
        <v>0</v>
      </c>
      <c r="D116" s="129">
        <f>'CPU  1 '!D116</f>
        <v>0</v>
      </c>
      <c r="E116" s="130">
        <f>'CPU  1 '!E116</f>
        <v>0</v>
      </c>
      <c r="F116" s="126"/>
      <c r="G116" s="292"/>
      <c r="H116" s="293"/>
      <c r="I116" s="287">
        <f>'CPU  1 '!DS116</f>
        <v>0</v>
      </c>
      <c r="J116" s="113">
        <f t="shared" si="4"/>
        <v>0</v>
      </c>
    </row>
    <row r="117" spans="2:10" s="86" customFormat="1" ht="21.9" customHeight="1" outlineLevel="1">
      <c r="B117" s="122" t="str">
        <f>'CPU  1 '!B117</f>
        <v>O15</v>
      </c>
      <c r="C117" s="128">
        <f>'CPU  1 '!C117</f>
        <v>0</v>
      </c>
      <c r="D117" s="129">
        <f>'CPU  1 '!D117</f>
        <v>0</v>
      </c>
      <c r="E117" s="130">
        <f>'CPU  1 '!E117</f>
        <v>0</v>
      </c>
      <c r="F117" s="126"/>
      <c r="G117" s="292"/>
      <c r="H117" s="293"/>
      <c r="I117" s="287">
        <f>'CPU  1 '!DS117</f>
        <v>0</v>
      </c>
      <c r="J117" s="113">
        <f t="shared" si="4"/>
        <v>0</v>
      </c>
    </row>
    <row r="118" spans="2:10" s="86" customFormat="1" ht="21.9" customHeight="1" outlineLevel="1">
      <c r="B118" s="122" t="str">
        <f>'CPU  1 '!B118</f>
        <v>O16</v>
      </c>
      <c r="C118" s="128">
        <f>'CPU  1 '!C118</f>
        <v>0</v>
      </c>
      <c r="D118" s="129">
        <f>'CPU  1 '!D118</f>
        <v>0</v>
      </c>
      <c r="E118" s="130">
        <f>'CPU  1 '!E118</f>
        <v>0</v>
      </c>
      <c r="F118" s="126"/>
      <c r="G118" s="292"/>
      <c r="H118" s="293"/>
      <c r="I118" s="287">
        <f>'CPU  1 '!DS118</f>
        <v>0</v>
      </c>
      <c r="J118" s="113">
        <f t="shared" si="4"/>
        <v>0</v>
      </c>
    </row>
    <row r="119" spans="2:10" s="86" customFormat="1" ht="21.9" customHeight="1" outlineLevel="1">
      <c r="B119" s="122" t="str">
        <f>'CPU  1 '!B119</f>
        <v>O17</v>
      </c>
      <c r="C119" s="128">
        <f>'CPU  1 '!C119</f>
        <v>0</v>
      </c>
      <c r="D119" s="129">
        <f>'CPU  1 '!D119</f>
        <v>0</v>
      </c>
      <c r="E119" s="130">
        <f>'CPU  1 '!E119</f>
        <v>0</v>
      </c>
      <c r="F119" s="126"/>
      <c r="G119" s="292"/>
      <c r="H119" s="293"/>
      <c r="I119" s="287">
        <f>'CPU  1 '!DS119</f>
        <v>0</v>
      </c>
      <c r="J119" s="113">
        <f t="shared" si="4"/>
        <v>0</v>
      </c>
    </row>
    <row r="120" spans="2:10" s="86" customFormat="1" ht="21.9" customHeight="1" outlineLevel="1">
      <c r="B120" s="122" t="str">
        <f>'CPU  1 '!B120</f>
        <v>O18</v>
      </c>
      <c r="C120" s="128">
        <f>'CPU  1 '!C120</f>
        <v>0</v>
      </c>
      <c r="D120" s="129">
        <f>'CPU  1 '!D120</f>
        <v>0</v>
      </c>
      <c r="E120" s="130">
        <f>'CPU  1 '!E120</f>
        <v>0</v>
      </c>
      <c r="F120" s="126"/>
      <c r="G120" s="292"/>
      <c r="H120" s="293"/>
      <c r="I120" s="287">
        <f>'CPU  1 '!DS120</f>
        <v>0</v>
      </c>
      <c r="J120" s="113">
        <f t="shared" si="4"/>
        <v>0</v>
      </c>
    </row>
    <row r="121" spans="2:10" s="86" customFormat="1" ht="21.9" customHeight="1" outlineLevel="1">
      <c r="B121" s="122" t="str">
        <f>'CPU  1 '!B121</f>
        <v>O19</v>
      </c>
      <c r="C121" s="128">
        <f>'CPU  1 '!C121</f>
        <v>0</v>
      </c>
      <c r="D121" s="129">
        <f>'CPU  1 '!D121</f>
        <v>0</v>
      </c>
      <c r="E121" s="130">
        <f>'CPU  1 '!E121</f>
        <v>0</v>
      </c>
      <c r="F121" s="126"/>
      <c r="G121" s="292"/>
      <c r="H121" s="293"/>
      <c r="I121" s="287">
        <f>'CPU  1 '!DS121</f>
        <v>0</v>
      </c>
      <c r="J121" s="113">
        <f t="shared" si="4"/>
        <v>0</v>
      </c>
    </row>
    <row r="122" spans="2:10" s="86" customFormat="1" ht="21.9" customHeight="1" outlineLevel="1" thickBot="1">
      <c r="B122" s="122" t="str">
        <f>'CPU  1 '!B122</f>
        <v>O20</v>
      </c>
      <c r="C122" s="128">
        <f>'CPU  1 '!C122</f>
        <v>0</v>
      </c>
      <c r="D122" s="129">
        <f>'CPU  1 '!D122</f>
        <v>0</v>
      </c>
      <c r="E122" s="130">
        <f>'CPU  1 '!E122</f>
        <v>0</v>
      </c>
      <c r="F122" s="126"/>
      <c r="G122" s="292"/>
      <c r="H122" s="293"/>
      <c r="I122" s="287">
        <f>'CPU  1 '!DS122</f>
        <v>0</v>
      </c>
      <c r="J122" s="113">
        <f t="shared" si="4"/>
        <v>0</v>
      </c>
    </row>
    <row r="123" spans="2:10" s="86" customFormat="1" ht="21.9" customHeight="1" thickBot="1">
      <c r="B123" s="705" t="s">
        <v>108</v>
      </c>
      <c r="C123" s="706"/>
      <c r="D123" s="706"/>
      <c r="E123" s="706" t="e">
        <f>SUM(#REF!)</f>
        <v>#REF!</v>
      </c>
      <c r="F123" s="117"/>
      <c r="G123" s="202"/>
      <c r="H123" s="203"/>
      <c r="I123" s="204">
        <f>SUM(I103:I122)</f>
        <v>47224.355798863638</v>
      </c>
      <c r="J123" s="113"/>
    </row>
    <row r="124" spans="2:10" ht="11.25" customHeight="1" thickBot="1">
      <c r="B124" s="133"/>
      <c r="C124" s="134"/>
      <c r="D124" s="134"/>
      <c r="E124" s="133"/>
      <c r="F124" s="92"/>
      <c r="G124" s="134"/>
      <c r="H124" s="134"/>
      <c r="I124" s="134"/>
    </row>
    <row r="125" spans="2:10" s="86" customFormat="1" ht="18" customHeight="1">
      <c r="B125" s="205" t="s">
        <v>109</v>
      </c>
      <c r="C125" s="714" t="s">
        <v>110</v>
      </c>
      <c r="D125" s="715"/>
      <c r="E125" s="206"/>
      <c r="F125" s="100"/>
      <c r="G125" s="205"/>
      <c r="H125" s="207" t="s">
        <v>111</v>
      </c>
      <c r="I125" s="208" t="s">
        <v>112</v>
      </c>
      <c r="J125" s="85"/>
    </row>
    <row r="126" spans="2:10" s="86" customFormat="1" ht="18" customHeight="1">
      <c r="B126" s="451" t="s">
        <v>113</v>
      </c>
      <c r="C126" s="452" t="s">
        <v>114</v>
      </c>
      <c r="D126" s="453"/>
      <c r="E126" s="454"/>
      <c r="F126" s="126"/>
      <c r="G126" s="455"/>
      <c r="H126" s="456">
        <f>I126/I130</f>
        <v>0.45317050126209679</v>
      </c>
      <c r="I126" s="457">
        <f>I21</f>
        <v>224123.35080305461</v>
      </c>
      <c r="J126" s="85"/>
    </row>
    <row r="127" spans="2:10" s="86" customFormat="1" ht="18" customHeight="1">
      <c r="B127" s="119" t="s">
        <v>115</v>
      </c>
      <c r="C127" s="135" t="s">
        <v>116</v>
      </c>
      <c r="D127" s="136"/>
      <c r="E127" s="137"/>
      <c r="F127" s="126"/>
      <c r="G127" s="140"/>
      <c r="H127" s="141">
        <f>I127/I130</f>
        <v>0.40034355230940266</v>
      </c>
      <c r="I127" s="142">
        <f>I78</f>
        <v>197996.86468137288</v>
      </c>
      <c r="J127" s="85"/>
    </row>
    <row r="128" spans="2:10" s="86" customFormat="1" ht="18" customHeight="1">
      <c r="B128" s="119" t="s">
        <v>117</v>
      </c>
      <c r="C128" s="135" t="s">
        <v>118</v>
      </c>
      <c r="D128" s="136"/>
      <c r="E128" s="137"/>
      <c r="F128" s="126"/>
      <c r="G128" s="140"/>
      <c r="H128" s="141">
        <f>I128/I130</f>
        <v>5.0999755844297563E-2</v>
      </c>
      <c r="I128" s="142">
        <f>I100</f>
        <v>25222.816000000003</v>
      </c>
      <c r="J128" s="85"/>
    </row>
    <row r="129" spans="2:10" s="86" customFormat="1" ht="18" customHeight="1">
      <c r="B129" s="143" t="s">
        <v>119</v>
      </c>
      <c r="C129" s="144" t="s">
        <v>21</v>
      </c>
      <c r="D129" s="145"/>
      <c r="E129" s="146"/>
      <c r="F129" s="126"/>
      <c r="G129" s="150"/>
      <c r="H129" s="151">
        <f>I129/I130</f>
        <v>9.5486190584202935E-2</v>
      </c>
      <c r="I129" s="152">
        <f>I123</f>
        <v>47224.355798863638</v>
      </c>
      <c r="J129" s="85"/>
    </row>
    <row r="130" spans="2:10" s="86" customFormat="1" ht="18" customHeight="1" thickBot="1">
      <c r="B130" s="458"/>
      <c r="C130" s="531" t="s">
        <v>120</v>
      </c>
      <c r="D130" s="459"/>
      <c r="E130" s="532">
        <f>SUM(E126:E129)</f>
        <v>0</v>
      </c>
      <c r="F130" s="100"/>
      <c r="G130" s="533"/>
      <c r="H130" s="460">
        <f>SUM(H126:H129)</f>
        <v>1</v>
      </c>
      <c r="I130" s="534">
        <f>SUM(I126:I129)</f>
        <v>494567.38728329114</v>
      </c>
      <c r="J130" s="85"/>
    </row>
    <row r="131" spans="2:10" s="86" customFormat="1" ht="18" customHeight="1" thickBot="1">
      <c r="B131" s="461"/>
      <c r="C131" s="716"/>
      <c r="D131" s="716"/>
      <c r="E131" s="716"/>
      <c r="F131" s="100"/>
      <c r="G131" s="721"/>
      <c r="H131" s="721"/>
      <c r="I131" s="721"/>
      <c r="J131" s="85"/>
    </row>
    <row r="132" spans="2:10" s="86" customFormat="1" ht="18" customHeight="1">
      <c r="B132" s="462" t="s">
        <v>109</v>
      </c>
      <c r="C132" s="717" t="s">
        <v>121</v>
      </c>
      <c r="D132" s="718"/>
      <c r="E132" s="532" t="s">
        <v>122</v>
      </c>
      <c r="F132" s="100"/>
      <c r="G132" s="205"/>
      <c r="H132" s="207"/>
      <c r="I132" s="208" t="s">
        <v>112</v>
      </c>
      <c r="J132" s="85"/>
    </row>
    <row r="133" spans="2:10" s="86" customFormat="1" ht="18" customHeight="1">
      <c r="B133" s="463">
        <v>1</v>
      </c>
      <c r="C133" s="464" t="s">
        <v>123</v>
      </c>
      <c r="D133" s="465"/>
      <c r="E133" s="466">
        <f>'BDI-TRIBUTOS'!D8</f>
        <v>0.02</v>
      </c>
      <c r="F133" s="117"/>
      <c r="G133" s="467"/>
      <c r="H133" s="468"/>
      <c r="I133" s="469">
        <f>I130*$E$133</f>
        <v>9891.3477456658238</v>
      </c>
      <c r="J133" s="85"/>
    </row>
    <row r="134" spans="2:10" s="86" customFormat="1" ht="18" customHeight="1">
      <c r="B134" s="153">
        <v>2</v>
      </c>
      <c r="C134" s="154" t="s">
        <v>124</v>
      </c>
      <c r="D134" s="155"/>
      <c r="E134" s="156">
        <f>'BDI-TRIBUTOS'!D6</f>
        <v>0.02</v>
      </c>
      <c r="F134" s="117"/>
      <c r="G134" s="160"/>
      <c r="H134" s="161"/>
      <c r="I134" s="162">
        <f>I130*$E$134</f>
        <v>9891.3477456658238</v>
      </c>
      <c r="J134" s="85"/>
    </row>
    <row r="135" spans="2:10" s="86" customFormat="1" ht="18" customHeight="1">
      <c r="B135" s="153">
        <v>3</v>
      </c>
      <c r="C135" s="154" t="s">
        <v>125</v>
      </c>
      <c r="D135" s="155"/>
      <c r="E135" s="156">
        <f>'BDI-TRIBUTOS'!D10</f>
        <v>3.5000000000000003E-2</v>
      </c>
      <c r="F135" s="117"/>
      <c r="G135" s="160"/>
      <c r="H135" s="161"/>
      <c r="I135" s="162">
        <f>I130*$E$135</f>
        <v>17309.85855491519</v>
      </c>
      <c r="J135" s="85"/>
    </row>
    <row r="136" spans="2:10" s="86" customFormat="1" ht="18" customHeight="1">
      <c r="B136" s="153">
        <v>4</v>
      </c>
      <c r="C136" s="154" t="s">
        <v>126</v>
      </c>
      <c r="D136" s="155"/>
      <c r="E136" s="156">
        <f>'BDI-TRIBUTOS'!D12</f>
        <v>0.02</v>
      </c>
      <c r="F136" s="117"/>
      <c r="G136" s="160"/>
      <c r="H136" s="161"/>
      <c r="I136" s="162">
        <f>I130*$E$136</f>
        <v>9891.3477456658238</v>
      </c>
      <c r="J136" s="85"/>
    </row>
    <row r="137" spans="2:10" s="86" customFormat="1" ht="18" customHeight="1">
      <c r="B137" s="153">
        <v>5</v>
      </c>
      <c r="C137" s="163" t="s">
        <v>21</v>
      </c>
      <c r="D137" s="164"/>
      <c r="E137" s="156">
        <f>'BDI-TRIBUTOS'!D14</f>
        <v>0.01</v>
      </c>
      <c r="F137" s="117"/>
      <c r="G137" s="168"/>
      <c r="H137" s="169"/>
      <c r="I137" s="170">
        <f>I130*$E$137</f>
        <v>4945.6738728329119</v>
      </c>
      <c r="J137" s="85"/>
    </row>
    <row r="138" spans="2:10" s="86" customFormat="1" ht="18" customHeight="1">
      <c r="B138" s="153">
        <v>6</v>
      </c>
      <c r="C138" s="171" t="s">
        <v>127</v>
      </c>
      <c r="D138" s="172"/>
      <c r="E138" s="173">
        <f>'BDI-TRIBUTOS'!D4</f>
        <v>0.1</v>
      </c>
      <c r="F138" s="117"/>
      <c r="G138" s="177"/>
      <c r="H138" s="178"/>
      <c r="I138" s="179">
        <f>I150*$E$138</f>
        <v>73306.098316302727</v>
      </c>
      <c r="J138" s="85"/>
    </row>
    <row r="139" spans="2:10" s="86" customFormat="1" ht="18" customHeight="1" thickBot="1">
      <c r="B139" s="458"/>
      <c r="C139" s="531" t="s">
        <v>128</v>
      </c>
      <c r="D139" s="459"/>
      <c r="E139" s="535">
        <f>SUM(E133:E138)</f>
        <v>0.20500000000000002</v>
      </c>
      <c r="F139" s="100"/>
      <c r="G139" s="536"/>
      <c r="H139" s="470">
        <f>SUM(I133:I137)+I130</f>
        <v>546496.96294803673</v>
      </c>
      <c r="I139" s="534">
        <f>SUM(I133:I138)</f>
        <v>125235.6739810483</v>
      </c>
      <c r="J139" s="85"/>
    </row>
    <row r="140" spans="2:10" s="86" customFormat="1" ht="18" customHeight="1" thickBot="1">
      <c r="B140" s="461"/>
      <c r="C140" s="471"/>
      <c r="D140" s="472"/>
      <c r="E140" s="473"/>
      <c r="F140" s="180"/>
      <c r="G140" s="722">
        <f>I139/I130</f>
        <v>0.25322266934942994</v>
      </c>
      <c r="H140" s="722"/>
      <c r="I140" s="722"/>
      <c r="J140" s="85"/>
    </row>
    <row r="141" spans="2:10" s="86" customFormat="1" ht="18" customHeight="1">
      <c r="B141" s="462" t="s">
        <v>109</v>
      </c>
      <c r="C141" s="717" t="s">
        <v>129</v>
      </c>
      <c r="D141" s="718"/>
      <c r="E141" s="532" t="s">
        <v>122</v>
      </c>
      <c r="F141" s="100"/>
      <c r="G141" s="205"/>
      <c r="H141" s="207"/>
      <c r="I141" s="208" t="s">
        <v>112</v>
      </c>
      <c r="J141" s="85"/>
    </row>
    <row r="142" spans="2:10" s="86" customFormat="1" ht="18" customHeight="1">
      <c r="B142" s="463">
        <v>1</v>
      </c>
      <c r="C142" s="464" t="s">
        <v>130</v>
      </c>
      <c r="D142" s="465"/>
      <c r="E142" s="466">
        <f>'BDI-TRIBUTOS'!D20</f>
        <v>0.05</v>
      </c>
      <c r="F142" s="117"/>
      <c r="G142" s="474"/>
      <c r="H142" s="475"/>
      <c r="I142" s="469">
        <f t="shared" ref="I142:I147" si="5">$I$150*E142</f>
        <v>36653.049158151363</v>
      </c>
      <c r="J142" s="85"/>
    </row>
    <row r="143" spans="2:10" s="86" customFormat="1" ht="18" customHeight="1">
      <c r="B143" s="153">
        <v>2</v>
      </c>
      <c r="C143" s="154" t="s">
        <v>131</v>
      </c>
      <c r="D143" s="155"/>
      <c r="E143" s="156">
        <f>'BDI-TRIBUTOS'!D21</f>
        <v>0.03</v>
      </c>
      <c r="F143" s="117"/>
      <c r="G143" s="183"/>
      <c r="H143" s="184"/>
      <c r="I143" s="162">
        <f t="shared" si="5"/>
        <v>21991.829494890815</v>
      </c>
      <c r="J143" s="85"/>
    </row>
    <row r="144" spans="2:10" s="86" customFormat="1" ht="18" customHeight="1">
      <c r="B144" s="153">
        <v>3</v>
      </c>
      <c r="C144" s="154" t="s">
        <v>132</v>
      </c>
      <c r="D144" s="155"/>
      <c r="E144" s="156">
        <f>'BDI-TRIBUTOS'!D22</f>
        <v>6.4999999999999997E-3</v>
      </c>
      <c r="F144" s="117"/>
      <c r="G144" s="183"/>
      <c r="H144" s="184"/>
      <c r="I144" s="162">
        <f t="shared" si="5"/>
        <v>4764.8963905596765</v>
      </c>
      <c r="J144" s="85"/>
    </row>
    <row r="145" spans="2:10" s="86" customFormat="1" ht="18" customHeight="1">
      <c r="B145" s="153">
        <v>4</v>
      </c>
      <c r="C145" s="154" t="s">
        <v>133</v>
      </c>
      <c r="D145" s="155"/>
      <c r="E145" s="156">
        <f>'BDI-TRIBUTOS'!D23</f>
        <v>1.7999999999999999E-2</v>
      </c>
      <c r="F145" s="117"/>
      <c r="G145" s="183"/>
      <c r="H145" s="184"/>
      <c r="I145" s="162">
        <f t="shared" si="5"/>
        <v>13195.097696934488</v>
      </c>
      <c r="J145" s="85"/>
    </row>
    <row r="146" spans="2:10" s="86" customFormat="1" ht="18" customHeight="1">
      <c r="B146" s="153">
        <v>5</v>
      </c>
      <c r="C146" s="154" t="s">
        <v>134</v>
      </c>
      <c r="D146" s="155"/>
      <c r="E146" s="156">
        <f>'BDI-TRIBUTOS'!D24</f>
        <v>0.03</v>
      </c>
      <c r="F146" s="117"/>
      <c r="G146" s="183"/>
      <c r="H146" s="184"/>
      <c r="I146" s="170">
        <f t="shared" si="5"/>
        <v>21991.829494890815</v>
      </c>
      <c r="J146" s="85"/>
    </row>
    <row r="147" spans="2:10" s="86" customFormat="1" ht="18" customHeight="1">
      <c r="B147" s="153">
        <v>6</v>
      </c>
      <c r="C147" s="154" t="s">
        <v>135</v>
      </c>
      <c r="D147" s="155"/>
      <c r="E147" s="156">
        <f>'BDI-TRIBUTOS'!D25</f>
        <v>2.0000000000000004E-2</v>
      </c>
      <c r="F147" s="117"/>
      <c r="G147" s="183"/>
      <c r="H147" s="184"/>
      <c r="I147" s="170">
        <f t="shared" si="5"/>
        <v>14661.219663260546</v>
      </c>
      <c r="J147" s="85"/>
    </row>
    <row r="148" spans="2:10" s="86" customFormat="1" ht="18" customHeight="1">
      <c r="B148" s="185">
        <v>7</v>
      </c>
      <c r="C148" s="171" t="s">
        <v>136</v>
      </c>
      <c r="D148" s="172"/>
      <c r="E148" s="156">
        <f>'BDI-TRIBUTOS'!D26</f>
        <v>0</v>
      </c>
      <c r="F148" s="117"/>
      <c r="G148" s="188"/>
      <c r="H148" s="189"/>
      <c r="I148" s="170"/>
      <c r="J148" s="85"/>
    </row>
    <row r="149" spans="2:10" s="86" customFormat="1" ht="18" customHeight="1">
      <c r="B149" s="458"/>
      <c r="C149" s="531" t="s">
        <v>137</v>
      </c>
      <c r="D149" s="459"/>
      <c r="E149" s="535">
        <f>SUM(E142:E148)</f>
        <v>0.15450000000000003</v>
      </c>
      <c r="F149" s="100"/>
      <c r="G149" s="476"/>
      <c r="H149" s="477"/>
      <c r="I149" s="478">
        <f>I150*$E$149</f>
        <v>113257.92189868772</v>
      </c>
      <c r="J149" s="85"/>
    </row>
    <row r="150" spans="2:10" s="86" customFormat="1" ht="27" customHeight="1" thickBot="1">
      <c r="B150" s="537"/>
      <c r="C150" s="719" t="s">
        <v>138</v>
      </c>
      <c r="D150" s="719"/>
      <c r="E150" s="719"/>
      <c r="F150" s="209"/>
      <c r="G150" s="538"/>
      <c r="H150" s="479"/>
      <c r="I150" s="539">
        <f>H139/(1-$E$149-$E$138)</f>
        <v>733060.98316302721</v>
      </c>
      <c r="J150" s="85"/>
    </row>
    <row r="151" spans="2:10" ht="20.25" customHeight="1">
      <c r="C151" s="720"/>
      <c r="D151" s="720"/>
      <c r="E151" s="720"/>
      <c r="F151" s="284"/>
      <c r="G151" s="284"/>
      <c r="H151" s="284"/>
      <c r="I151" s="192">
        <f>I150/I130</f>
        <v>1.4822266934942994</v>
      </c>
    </row>
    <row r="152" spans="2:10" s="194" customFormat="1" ht="18" customHeight="1">
      <c r="G152" s="195"/>
      <c r="H152" s="195"/>
      <c r="I152" s="195"/>
      <c r="J152" s="196"/>
    </row>
    <row r="153" spans="2:10" s="194" customFormat="1" ht="18" customHeight="1">
      <c r="G153" s="195"/>
      <c r="H153" s="195"/>
      <c r="I153" s="195"/>
      <c r="J153" s="196"/>
    </row>
    <row r="154" spans="2:10" s="194" customFormat="1" ht="18" customHeight="1">
      <c r="G154" s="195"/>
      <c r="H154" s="195"/>
      <c r="I154" s="195"/>
      <c r="J154" s="196"/>
    </row>
    <row r="155" spans="2:10" s="194" customFormat="1" ht="18" customHeight="1">
      <c r="G155" s="195"/>
      <c r="H155" s="195"/>
      <c r="I155" s="195"/>
      <c r="J155" s="196"/>
    </row>
    <row r="156" spans="2:10" s="194" customFormat="1" ht="18" customHeight="1">
      <c r="G156" s="195"/>
      <c r="H156" s="195"/>
      <c r="I156" s="195"/>
      <c r="J156" s="196"/>
    </row>
  </sheetData>
  <sheetProtection selectLockedCells="1" selectUnlockedCells="1"/>
  <mergeCells count="25">
    <mergeCell ref="C141:D141"/>
    <mergeCell ref="C150:E150"/>
    <mergeCell ref="C151:E151"/>
    <mergeCell ref="G131:I131"/>
    <mergeCell ref="C132:D132"/>
    <mergeCell ref="G140:I140"/>
    <mergeCell ref="B123:E123"/>
    <mergeCell ref="C125:D125"/>
    <mergeCell ref="C131:E131"/>
    <mergeCell ref="B100:E100"/>
    <mergeCell ref="B101:E101"/>
    <mergeCell ref="B1:C1"/>
    <mergeCell ref="G1:I1"/>
    <mergeCell ref="B2:E2"/>
    <mergeCell ref="G2:I2"/>
    <mergeCell ref="G101:I101"/>
    <mergeCell ref="B78:E78"/>
    <mergeCell ref="B79:E79"/>
    <mergeCell ref="G79:I79"/>
    <mergeCell ref="B3:E3"/>
    <mergeCell ref="G3:H3"/>
    <mergeCell ref="B5:E5"/>
    <mergeCell ref="G5:I5"/>
    <mergeCell ref="B21:E21"/>
    <mergeCell ref="B22:E22"/>
  </mergeCells>
  <conditionalFormatting sqref="H126:H129">
    <cfRule type="dataBar" priority="1">
      <dataBar>
        <cfvo type="min"/>
        <cfvo type="max"/>
        <color rgb="FF63C384"/>
      </dataBar>
      <extLst>
        <ext xmlns:x14="http://schemas.microsoft.com/office/spreadsheetml/2009/9/main" uri="{B025F937-C7B1-47D3-B67F-A62EFF666E3E}">
          <x14:id>{E58B69BB-1563-48EE-BE1B-B217E67BDA9C}</x14:id>
        </ext>
      </extLst>
    </cfRule>
  </conditionalFormatting>
  <conditionalFormatting sqref="J103:J123 J81:J101 J24:J79 J7:J22">
    <cfRule type="dataBar" priority="2">
      <dataBar>
        <cfvo type="min"/>
        <cfvo type="max"/>
        <color rgb="FFFF555A"/>
      </dataBar>
      <extLst>
        <ext xmlns:x14="http://schemas.microsoft.com/office/spreadsheetml/2009/9/main" uri="{B025F937-C7B1-47D3-B67F-A62EFF666E3E}">
          <x14:id>{6D0945BA-7303-464C-BEB7-8FFDA07AA7F1}</x14:id>
        </ext>
      </extLst>
    </cfRule>
  </conditionalFormatting>
  <printOptions horizontalCentered="1"/>
  <pageMargins left="0.39000000000000007" right="0.39000000000000007" top="0.39000000000000007" bottom="0.39000000000000007" header="0.51" footer="0.51"/>
  <pageSetup paperSize="9" scale="18" orientation="landscape" r:id="rId1"/>
  <headerFooter alignWithMargins="0"/>
  <drawing r:id="rId2"/>
  <extLst>
    <ext xmlns:x14="http://schemas.microsoft.com/office/spreadsheetml/2009/9/main" uri="{78C0D931-6437-407d-A8EE-F0AAD7539E65}">
      <x14:conditionalFormattings>
        <x14:conditionalFormatting xmlns:xm="http://schemas.microsoft.com/office/excel/2006/main">
          <x14:cfRule type="dataBar" id="{E58B69BB-1563-48EE-BE1B-B217E67BDA9C}">
            <x14:dataBar minLength="0" maxLength="100" border="1" negativeBarBorderColorSameAsPositive="0">
              <x14:cfvo type="autoMin"/>
              <x14:cfvo type="autoMax"/>
              <x14:borderColor rgb="FF63C384"/>
              <x14:negativeFillColor rgb="FFFF0000"/>
              <x14:negativeBorderColor rgb="FFFF0000"/>
              <x14:axisColor rgb="FF000000"/>
            </x14:dataBar>
          </x14:cfRule>
          <xm:sqref>H126:H129</xm:sqref>
        </x14:conditionalFormatting>
        <x14:conditionalFormatting xmlns:xm="http://schemas.microsoft.com/office/excel/2006/main">
          <x14:cfRule type="dataBar" id="{6D0945BA-7303-464C-BEB7-8FFDA07AA7F1}">
            <x14:dataBar minLength="0" maxLength="100" border="1" negativeBarBorderColorSameAsPositive="0">
              <x14:cfvo type="autoMin"/>
              <x14:cfvo type="autoMax"/>
              <x14:borderColor rgb="FFFF555A"/>
              <x14:negativeFillColor rgb="FFFF0000"/>
              <x14:negativeBorderColor rgb="FFFF0000"/>
              <x14:axisColor rgb="FF000000"/>
            </x14:dataBar>
          </x14:cfRule>
          <xm:sqref>J103:J123 J81:J101 J24:J79 J7:J22</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A003C-0D28-4A1C-B00C-DA6A4606F1C0}">
  <sheetPr>
    <tabColor rgb="FFAF1B1B"/>
    <pageSetUpPr fitToPage="1"/>
  </sheetPr>
  <dimension ref="A1:R73"/>
  <sheetViews>
    <sheetView showGridLines="0" tabSelected="1" zoomScale="85" zoomScaleNormal="85" zoomScaleSheetLayoutView="90" workbookViewId="0">
      <pane ySplit="6" topLeftCell="A7" activePane="bottomLeft" state="frozen"/>
      <selection pane="bottomLeft" activeCell="C8" sqref="C8"/>
    </sheetView>
  </sheetViews>
  <sheetFormatPr defaultColWidth="8.6640625" defaultRowHeight="15.6" outlineLevelRow="1"/>
  <cols>
    <col min="1" max="1" width="7" style="212" customWidth="1"/>
    <col min="2" max="2" width="14" style="56" customWidth="1"/>
    <col min="3" max="3" width="109.88671875" style="56" customWidth="1"/>
    <col min="4" max="4" width="10.88671875" style="56" customWidth="1"/>
    <col min="5" max="5" width="12.5546875" style="56" bestFit="1" customWidth="1"/>
    <col min="6" max="6" width="18.5546875" style="56" customWidth="1"/>
    <col min="7" max="7" width="24.44140625" style="56" customWidth="1"/>
    <col min="8" max="8" width="30.33203125" style="55" customWidth="1"/>
    <col min="9" max="10" width="9.109375" style="56" customWidth="1"/>
    <col min="11" max="11" width="62" style="56" customWidth="1"/>
    <col min="12" max="12" width="16.88671875" style="56" customWidth="1"/>
    <col min="13" max="13" width="15.33203125" style="56" customWidth="1"/>
    <col min="14" max="14" width="15.109375" style="56" customWidth="1"/>
    <col min="15" max="15" width="19.88671875" style="56" customWidth="1"/>
    <col min="16" max="16" width="15.5546875" style="56" bestFit="1" customWidth="1"/>
    <col min="17" max="17" width="32.109375" style="56" customWidth="1"/>
    <col min="18" max="18" width="19.33203125" style="56" customWidth="1"/>
    <col min="19" max="74" width="9.109375" style="56" customWidth="1"/>
    <col min="75" max="106" width="8.6640625" style="56"/>
    <col min="107" max="108" width="1.109375" style="56" customWidth="1"/>
    <col min="109" max="109" width="9.109375" style="56" customWidth="1"/>
    <col min="110" max="110" width="74.109375" style="56" customWidth="1"/>
    <col min="111" max="111" width="12.6640625" style="56" customWidth="1"/>
    <col min="112" max="112" width="14.6640625" style="56" customWidth="1"/>
    <col min="113" max="113" width="12.6640625" style="56" customWidth="1"/>
    <col min="114" max="114" width="18" style="56" customWidth="1"/>
    <col min="115" max="116" width="1.109375" style="56" customWidth="1"/>
    <col min="117" max="117" width="4" style="56" customWidth="1"/>
    <col min="118" max="118" width="10.109375" style="56" bestFit="1" customWidth="1"/>
    <col min="119" max="119" width="11.33203125" style="56" bestFit="1" customWidth="1"/>
    <col min="120" max="120" width="9.109375" style="56" customWidth="1"/>
    <col min="121" max="121" width="0" style="56" hidden="1" customWidth="1"/>
    <col min="122" max="330" width="9.109375" style="56" customWidth="1"/>
    <col min="331" max="362" width="8.6640625" style="56"/>
    <col min="363" max="364" width="1.109375" style="56" customWidth="1"/>
    <col min="365" max="365" width="9.109375" style="56" customWidth="1"/>
    <col min="366" max="366" width="74.109375" style="56" customWidth="1"/>
    <col min="367" max="367" width="12.6640625" style="56" customWidth="1"/>
    <col min="368" max="368" width="14.6640625" style="56" customWidth="1"/>
    <col min="369" max="369" width="12.6640625" style="56" customWidth="1"/>
    <col min="370" max="370" width="18" style="56" customWidth="1"/>
    <col min="371" max="372" width="1.109375" style="56" customWidth="1"/>
    <col min="373" max="373" width="4" style="56" customWidth="1"/>
    <col min="374" max="374" width="10.109375" style="56" bestFit="1" customWidth="1"/>
    <col min="375" max="375" width="11.33203125" style="56" bestFit="1" customWidth="1"/>
    <col min="376" max="376" width="9.109375" style="56" customWidth="1"/>
    <col min="377" max="377" width="0" style="56" hidden="1" customWidth="1"/>
    <col min="378" max="586" width="9.109375" style="56" customWidth="1"/>
    <col min="587" max="618" width="8.6640625" style="56"/>
    <col min="619" max="620" width="1.109375" style="56" customWidth="1"/>
    <col min="621" max="621" width="9.109375" style="56" customWidth="1"/>
    <col min="622" max="622" width="74.109375" style="56" customWidth="1"/>
    <col min="623" max="623" width="12.6640625" style="56" customWidth="1"/>
    <col min="624" max="624" width="14.6640625" style="56" customWidth="1"/>
    <col min="625" max="625" width="12.6640625" style="56" customWidth="1"/>
    <col min="626" max="626" width="18" style="56" customWidth="1"/>
    <col min="627" max="628" width="1.109375" style="56" customWidth="1"/>
    <col min="629" max="629" width="4" style="56" customWidth="1"/>
    <col min="630" max="630" width="10.109375" style="56" bestFit="1" customWidth="1"/>
    <col min="631" max="631" width="11.33203125" style="56" bestFit="1" customWidth="1"/>
    <col min="632" max="632" width="9.109375" style="56" customWidth="1"/>
    <col min="633" max="633" width="0" style="56" hidden="1" customWidth="1"/>
    <col min="634" max="842" width="9.109375" style="56" customWidth="1"/>
    <col min="843" max="874" width="8.6640625" style="56"/>
    <col min="875" max="876" width="1.109375" style="56" customWidth="1"/>
    <col min="877" max="877" width="9.109375" style="56" customWidth="1"/>
    <col min="878" max="878" width="74.109375" style="56" customWidth="1"/>
    <col min="879" max="879" width="12.6640625" style="56" customWidth="1"/>
    <col min="880" max="880" width="14.6640625" style="56" customWidth="1"/>
    <col min="881" max="881" width="12.6640625" style="56" customWidth="1"/>
    <col min="882" max="882" width="18" style="56" customWidth="1"/>
    <col min="883" max="884" width="1.109375" style="56" customWidth="1"/>
    <col min="885" max="885" width="4" style="56" customWidth="1"/>
    <col min="886" max="886" width="10.109375" style="56" bestFit="1" customWidth="1"/>
    <col min="887" max="887" width="11.33203125" style="56" bestFit="1" customWidth="1"/>
    <col min="888" max="888" width="9.109375" style="56" customWidth="1"/>
    <col min="889" max="889" width="0" style="56" hidden="1" customWidth="1"/>
    <col min="890" max="1098" width="9.109375" style="56" customWidth="1"/>
    <col min="1099" max="1130" width="8.6640625" style="56"/>
    <col min="1131" max="1132" width="1.109375" style="56" customWidth="1"/>
    <col min="1133" max="1133" width="9.109375" style="56" customWidth="1"/>
    <col min="1134" max="1134" width="74.109375" style="56" customWidth="1"/>
    <col min="1135" max="1135" width="12.6640625" style="56" customWidth="1"/>
    <col min="1136" max="1136" width="14.6640625" style="56" customWidth="1"/>
    <col min="1137" max="1137" width="12.6640625" style="56" customWidth="1"/>
    <col min="1138" max="1138" width="18" style="56" customWidth="1"/>
    <col min="1139" max="1140" width="1.109375" style="56" customWidth="1"/>
    <col min="1141" max="1141" width="4" style="56" customWidth="1"/>
    <col min="1142" max="1142" width="10.109375" style="56" bestFit="1" customWidth="1"/>
    <col min="1143" max="1143" width="11.33203125" style="56" bestFit="1" customWidth="1"/>
    <col min="1144" max="1144" width="9.109375" style="56" customWidth="1"/>
    <col min="1145" max="1145" width="0" style="56" hidden="1" customWidth="1"/>
    <col min="1146" max="1354" width="9.109375" style="56" customWidth="1"/>
    <col min="1355" max="1386" width="8.6640625" style="56"/>
    <col min="1387" max="1388" width="1.109375" style="56" customWidth="1"/>
    <col min="1389" max="1389" width="9.109375" style="56" customWidth="1"/>
    <col min="1390" max="1390" width="74.109375" style="56" customWidth="1"/>
    <col min="1391" max="1391" width="12.6640625" style="56" customWidth="1"/>
    <col min="1392" max="1392" width="14.6640625" style="56" customWidth="1"/>
    <col min="1393" max="1393" width="12.6640625" style="56" customWidth="1"/>
    <col min="1394" max="1394" width="18" style="56" customWidth="1"/>
    <col min="1395" max="1396" width="1.109375" style="56" customWidth="1"/>
    <col min="1397" max="1397" width="4" style="56" customWidth="1"/>
    <col min="1398" max="1398" width="10.109375" style="56" bestFit="1" customWidth="1"/>
    <col min="1399" max="1399" width="11.33203125" style="56" bestFit="1" customWidth="1"/>
    <col min="1400" max="1400" width="9.109375" style="56" customWidth="1"/>
    <col min="1401" max="1401" width="0" style="56" hidden="1" customWidth="1"/>
    <col min="1402" max="1610" width="9.109375" style="56" customWidth="1"/>
    <col min="1611" max="1642" width="8.6640625" style="56"/>
    <col min="1643" max="1644" width="1.109375" style="56" customWidth="1"/>
    <col min="1645" max="1645" width="9.109375" style="56" customWidth="1"/>
    <col min="1646" max="1646" width="74.109375" style="56" customWidth="1"/>
    <col min="1647" max="1647" width="12.6640625" style="56" customWidth="1"/>
    <col min="1648" max="1648" width="14.6640625" style="56" customWidth="1"/>
    <col min="1649" max="1649" width="12.6640625" style="56" customWidth="1"/>
    <col min="1650" max="1650" width="18" style="56" customWidth="1"/>
    <col min="1651" max="1652" width="1.109375" style="56" customWidth="1"/>
    <col min="1653" max="1653" width="4" style="56" customWidth="1"/>
    <col min="1654" max="1654" width="10.109375" style="56" bestFit="1" customWidth="1"/>
    <col min="1655" max="1655" width="11.33203125" style="56" bestFit="1" customWidth="1"/>
    <col min="1656" max="1656" width="9.109375" style="56" customWidth="1"/>
    <col min="1657" max="1657" width="0" style="56" hidden="1" customWidth="1"/>
    <col min="1658" max="1866" width="9.109375" style="56" customWidth="1"/>
    <col min="1867" max="1898" width="8.6640625" style="56"/>
    <col min="1899" max="1900" width="1.109375" style="56" customWidth="1"/>
    <col min="1901" max="1901" width="9.109375" style="56" customWidth="1"/>
    <col min="1902" max="1902" width="74.109375" style="56" customWidth="1"/>
    <col min="1903" max="1903" width="12.6640625" style="56" customWidth="1"/>
    <col min="1904" max="1904" width="14.6640625" style="56" customWidth="1"/>
    <col min="1905" max="1905" width="12.6640625" style="56" customWidth="1"/>
    <col min="1906" max="1906" width="18" style="56" customWidth="1"/>
    <col min="1907" max="1908" width="1.109375" style="56" customWidth="1"/>
    <col min="1909" max="1909" width="4" style="56" customWidth="1"/>
    <col min="1910" max="1910" width="10.109375" style="56" bestFit="1" customWidth="1"/>
    <col min="1911" max="1911" width="11.33203125" style="56" bestFit="1" customWidth="1"/>
    <col min="1912" max="1912" width="9.109375" style="56" customWidth="1"/>
    <col min="1913" max="1913" width="0" style="56" hidden="1" customWidth="1"/>
    <col min="1914" max="2122" width="9.109375" style="56" customWidth="1"/>
    <col min="2123" max="2154" width="8.6640625" style="56"/>
    <col min="2155" max="2156" width="1.109375" style="56" customWidth="1"/>
    <col min="2157" max="2157" width="9.109375" style="56" customWidth="1"/>
    <col min="2158" max="2158" width="74.109375" style="56" customWidth="1"/>
    <col min="2159" max="2159" width="12.6640625" style="56" customWidth="1"/>
    <col min="2160" max="2160" width="14.6640625" style="56" customWidth="1"/>
    <col min="2161" max="2161" width="12.6640625" style="56" customWidth="1"/>
    <col min="2162" max="2162" width="18" style="56" customWidth="1"/>
    <col min="2163" max="2164" width="1.109375" style="56" customWidth="1"/>
    <col min="2165" max="2165" width="4" style="56" customWidth="1"/>
    <col min="2166" max="2166" width="10.109375" style="56" bestFit="1" customWidth="1"/>
    <col min="2167" max="2167" width="11.33203125" style="56" bestFit="1" customWidth="1"/>
    <col min="2168" max="2168" width="9.109375" style="56" customWidth="1"/>
    <col min="2169" max="2169" width="0" style="56" hidden="1" customWidth="1"/>
    <col min="2170" max="2378" width="9.109375" style="56" customWidth="1"/>
    <col min="2379" max="2410" width="8.6640625" style="56"/>
    <col min="2411" max="2412" width="1.109375" style="56" customWidth="1"/>
    <col min="2413" max="2413" width="9.109375" style="56" customWidth="1"/>
    <col min="2414" max="2414" width="74.109375" style="56" customWidth="1"/>
    <col min="2415" max="2415" width="12.6640625" style="56" customWidth="1"/>
    <col min="2416" max="2416" width="14.6640625" style="56" customWidth="1"/>
    <col min="2417" max="2417" width="12.6640625" style="56" customWidth="1"/>
    <col min="2418" max="2418" width="18" style="56" customWidth="1"/>
    <col min="2419" max="2420" width="1.109375" style="56" customWidth="1"/>
    <col min="2421" max="2421" width="4" style="56" customWidth="1"/>
    <col min="2422" max="2422" width="10.109375" style="56" bestFit="1" customWidth="1"/>
    <col min="2423" max="2423" width="11.33203125" style="56" bestFit="1" customWidth="1"/>
    <col min="2424" max="2424" width="9.109375" style="56" customWidth="1"/>
    <col min="2425" max="2425" width="0" style="56" hidden="1" customWidth="1"/>
    <col min="2426" max="2634" width="9.109375" style="56" customWidth="1"/>
    <col min="2635" max="2666" width="8.6640625" style="56"/>
    <col min="2667" max="2668" width="1.109375" style="56" customWidth="1"/>
    <col min="2669" max="2669" width="9.109375" style="56" customWidth="1"/>
    <col min="2670" max="2670" width="74.109375" style="56" customWidth="1"/>
    <col min="2671" max="2671" width="12.6640625" style="56" customWidth="1"/>
    <col min="2672" max="2672" width="14.6640625" style="56" customWidth="1"/>
    <col min="2673" max="2673" width="12.6640625" style="56" customWidth="1"/>
    <col min="2674" max="2674" width="18" style="56" customWidth="1"/>
    <col min="2675" max="2676" width="1.109375" style="56" customWidth="1"/>
    <col min="2677" max="2677" width="4" style="56" customWidth="1"/>
    <col min="2678" max="2678" width="10.109375" style="56" bestFit="1" customWidth="1"/>
    <col min="2679" max="2679" width="11.33203125" style="56" bestFit="1" customWidth="1"/>
    <col min="2680" max="2680" width="9.109375" style="56" customWidth="1"/>
    <col min="2681" max="2681" width="0" style="56" hidden="1" customWidth="1"/>
    <col min="2682" max="2890" width="9.109375" style="56" customWidth="1"/>
    <col min="2891" max="2922" width="8.6640625" style="56"/>
    <col min="2923" max="2924" width="1.109375" style="56" customWidth="1"/>
    <col min="2925" max="2925" width="9.109375" style="56" customWidth="1"/>
    <col min="2926" max="2926" width="74.109375" style="56" customWidth="1"/>
    <col min="2927" max="2927" width="12.6640625" style="56" customWidth="1"/>
    <col min="2928" max="2928" width="14.6640625" style="56" customWidth="1"/>
    <col min="2929" max="2929" width="12.6640625" style="56" customWidth="1"/>
    <col min="2930" max="2930" width="18" style="56" customWidth="1"/>
    <col min="2931" max="2932" width="1.109375" style="56" customWidth="1"/>
    <col min="2933" max="2933" width="4" style="56" customWidth="1"/>
    <col min="2934" max="2934" width="10.109375" style="56" bestFit="1" customWidth="1"/>
    <col min="2935" max="2935" width="11.33203125" style="56" bestFit="1" customWidth="1"/>
    <col min="2936" max="2936" width="9.109375" style="56" customWidth="1"/>
    <col min="2937" max="2937" width="0" style="56" hidden="1" customWidth="1"/>
    <col min="2938" max="3146" width="9.109375" style="56" customWidth="1"/>
    <col min="3147" max="3178" width="8.6640625" style="56"/>
    <col min="3179" max="3180" width="1.109375" style="56" customWidth="1"/>
    <col min="3181" max="3181" width="9.109375" style="56" customWidth="1"/>
    <col min="3182" max="3182" width="74.109375" style="56" customWidth="1"/>
    <col min="3183" max="3183" width="12.6640625" style="56" customWidth="1"/>
    <col min="3184" max="3184" width="14.6640625" style="56" customWidth="1"/>
    <col min="3185" max="3185" width="12.6640625" style="56" customWidth="1"/>
    <col min="3186" max="3186" width="18" style="56" customWidth="1"/>
    <col min="3187" max="3188" width="1.109375" style="56" customWidth="1"/>
    <col min="3189" max="3189" width="4" style="56" customWidth="1"/>
    <col min="3190" max="3190" width="10.109375" style="56" bestFit="1" customWidth="1"/>
    <col min="3191" max="3191" width="11.33203125" style="56" bestFit="1" customWidth="1"/>
    <col min="3192" max="3192" width="9.109375" style="56" customWidth="1"/>
    <col min="3193" max="3193" width="0" style="56" hidden="1" customWidth="1"/>
    <col min="3194" max="3402" width="9.109375" style="56" customWidth="1"/>
    <col min="3403" max="3434" width="8.6640625" style="56"/>
    <col min="3435" max="3436" width="1.109375" style="56" customWidth="1"/>
    <col min="3437" max="3437" width="9.109375" style="56" customWidth="1"/>
    <col min="3438" max="3438" width="74.109375" style="56" customWidth="1"/>
    <col min="3439" max="3439" width="12.6640625" style="56" customWidth="1"/>
    <col min="3440" max="3440" width="14.6640625" style="56" customWidth="1"/>
    <col min="3441" max="3441" width="12.6640625" style="56" customWidth="1"/>
    <col min="3442" max="3442" width="18" style="56" customWidth="1"/>
    <col min="3443" max="3444" width="1.109375" style="56" customWidth="1"/>
    <col min="3445" max="3445" width="4" style="56" customWidth="1"/>
    <col min="3446" max="3446" width="10.109375" style="56" bestFit="1" customWidth="1"/>
    <col min="3447" max="3447" width="11.33203125" style="56" bestFit="1" customWidth="1"/>
    <col min="3448" max="3448" width="9.109375" style="56" customWidth="1"/>
    <col min="3449" max="3449" width="0" style="56" hidden="1" customWidth="1"/>
    <col min="3450" max="3658" width="9.109375" style="56" customWidth="1"/>
    <col min="3659" max="3690" width="8.6640625" style="56"/>
    <col min="3691" max="3692" width="1.109375" style="56" customWidth="1"/>
    <col min="3693" max="3693" width="9.109375" style="56" customWidth="1"/>
    <col min="3694" max="3694" width="74.109375" style="56" customWidth="1"/>
    <col min="3695" max="3695" width="12.6640625" style="56" customWidth="1"/>
    <col min="3696" max="3696" width="14.6640625" style="56" customWidth="1"/>
    <col min="3697" max="3697" width="12.6640625" style="56" customWidth="1"/>
    <col min="3698" max="3698" width="18" style="56" customWidth="1"/>
    <col min="3699" max="3700" width="1.109375" style="56" customWidth="1"/>
    <col min="3701" max="3701" width="4" style="56" customWidth="1"/>
    <col min="3702" max="3702" width="10.109375" style="56" bestFit="1" customWidth="1"/>
    <col min="3703" max="3703" width="11.33203125" style="56" bestFit="1" customWidth="1"/>
    <col min="3704" max="3704" width="9.109375" style="56" customWidth="1"/>
    <col min="3705" max="3705" width="0" style="56" hidden="1" customWidth="1"/>
    <col min="3706" max="3914" width="9.109375" style="56" customWidth="1"/>
    <col min="3915" max="3946" width="8.6640625" style="56"/>
    <col min="3947" max="3948" width="1.109375" style="56" customWidth="1"/>
    <col min="3949" max="3949" width="9.109375" style="56" customWidth="1"/>
    <col min="3950" max="3950" width="74.109375" style="56" customWidth="1"/>
    <col min="3951" max="3951" width="12.6640625" style="56" customWidth="1"/>
    <col min="3952" max="3952" width="14.6640625" style="56" customWidth="1"/>
    <col min="3953" max="3953" width="12.6640625" style="56" customWidth="1"/>
    <col min="3954" max="3954" width="18" style="56" customWidth="1"/>
    <col min="3955" max="3956" width="1.109375" style="56" customWidth="1"/>
    <col min="3957" max="3957" width="4" style="56" customWidth="1"/>
    <col min="3958" max="3958" width="10.109375" style="56" bestFit="1" customWidth="1"/>
    <col min="3959" max="3959" width="11.33203125" style="56" bestFit="1" customWidth="1"/>
    <col min="3960" max="3960" width="9.109375" style="56" customWidth="1"/>
    <col min="3961" max="3961" width="0" style="56" hidden="1" customWidth="1"/>
    <col min="3962" max="4170" width="9.109375" style="56" customWidth="1"/>
    <col min="4171" max="4202" width="8.6640625" style="56"/>
    <col min="4203" max="4204" width="1.109375" style="56" customWidth="1"/>
    <col min="4205" max="4205" width="9.109375" style="56" customWidth="1"/>
    <col min="4206" max="4206" width="74.109375" style="56" customWidth="1"/>
    <col min="4207" max="4207" width="12.6640625" style="56" customWidth="1"/>
    <col min="4208" max="4208" width="14.6640625" style="56" customWidth="1"/>
    <col min="4209" max="4209" width="12.6640625" style="56" customWidth="1"/>
    <col min="4210" max="4210" width="18" style="56" customWidth="1"/>
    <col min="4211" max="4212" width="1.109375" style="56" customWidth="1"/>
    <col min="4213" max="4213" width="4" style="56" customWidth="1"/>
    <col min="4214" max="4214" width="10.109375" style="56" bestFit="1" customWidth="1"/>
    <col min="4215" max="4215" width="11.33203125" style="56" bestFit="1" customWidth="1"/>
    <col min="4216" max="4216" width="9.109375" style="56" customWidth="1"/>
    <col min="4217" max="4217" width="0" style="56" hidden="1" customWidth="1"/>
    <col min="4218" max="4426" width="9.109375" style="56" customWidth="1"/>
    <col min="4427" max="4458" width="8.6640625" style="56"/>
    <col min="4459" max="4460" width="1.109375" style="56" customWidth="1"/>
    <col min="4461" max="4461" width="9.109375" style="56" customWidth="1"/>
    <col min="4462" max="4462" width="74.109375" style="56" customWidth="1"/>
    <col min="4463" max="4463" width="12.6640625" style="56" customWidth="1"/>
    <col min="4464" max="4464" width="14.6640625" style="56" customWidth="1"/>
    <col min="4465" max="4465" width="12.6640625" style="56" customWidth="1"/>
    <col min="4466" max="4466" width="18" style="56" customWidth="1"/>
    <col min="4467" max="4468" width="1.109375" style="56" customWidth="1"/>
    <col min="4469" max="4469" width="4" style="56" customWidth="1"/>
    <col min="4470" max="4470" width="10.109375" style="56" bestFit="1" customWidth="1"/>
    <col min="4471" max="4471" width="11.33203125" style="56" bestFit="1" customWidth="1"/>
    <col min="4472" max="4472" width="9.109375" style="56" customWidth="1"/>
    <col min="4473" max="4473" width="0" style="56" hidden="1" customWidth="1"/>
    <col min="4474" max="4682" width="9.109375" style="56" customWidth="1"/>
    <col min="4683" max="4714" width="8.6640625" style="56"/>
    <col min="4715" max="4716" width="1.109375" style="56" customWidth="1"/>
    <col min="4717" max="4717" width="9.109375" style="56" customWidth="1"/>
    <col min="4718" max="4718" width="74.109375" style="56" customWidth="1"/>
    <col min="4719" max="4719" width="12.6640625" style="56" customWidth="1"/>
    <col min="4720" max="4720" width="14.6640625" style="56" customWidth="1"/>
    <col min="4721" max="4721" width="12.6640625" style="56" customWidth="1"/>
    <col min="4722" max="4722" width="18" style="56" customWidth="1"/>
    <col min="4723" max="4724" width="1.109375" style="56" customWidth="1"/>
    <col min="4725" max="4725" width="4" style="56" customWidth="1"/>
    <col min="4726" max="4726" width="10.109375" style="56" bestFit="1" customWidth="1"/>
    <col min="4727" max="4727" width="11.33203125" style="56" bestFit="1" customWidth="1"/>
    <col min="4728" max="4728" width="9.109375" style="56" customWidth="1"/>
    <col min="4729" max="4729" width="0" style="56" hidden="1" customWidth="1"/>
    <col min="4730" max="4938" width="9.109375" style="56" customWidth="1"/>
    <col min="4939" max="4970" width="8.6640625" style="56"/>
    <col min="4971" max="4972" width="1.109375" style="56" customWidth="1"/>
    <col min="4973" max="4973" width="9.109375" style="56" customWidth="1"/>
    <col min="4974" max="4974" width="74.109375" style="56" customWidth="1"/>
    <col min="4975" max="4975" width="12.6640625" style="56" customWidth="1"/>
    <col min="4976" max="4976" width="14.6640625" style="56" customWidth="1"/>
    <col min="4977" max="4977" width="12.6640625" style="56" customWidth="1"/>
    <col min="4978" max="4978" width="18" style="56" customWidth="1"/>
    <col min="4979" max="4980" width="1.109375" style="56" customWidth="1"/>
    <col min="4981" max="4981" width="4" style="56" customWidth="1"/>
    <col min="4982" max="4982" width="10.109375" style="56" bestFit="1" customWidth="1"/>
    <col min="4983" max="4983" width="11.33203125" style="56" bestFit="1" customWidth="1"/>
    <col min="4984" max="4984" width="9.109375" style="56" customWidth="1"/>
    <col min="4985" max="4985" width="0" style="56" hidden="1" customWidth="1"/>
    <col min="4986" max="5194" width="9.109375" style="56" customWidth="1"/>
    <col min="5195" max="5226" width="8.6640625" style="56"/>
    <col min="5227" max="5228" width="1.109375" style="56" customWidth="1"/>
    <col min="5229" max="5229" width="9.109375" style="56" customWidth="1"/>
    <col min="5230" max="5230" width="74.109375" style="56" customWidth="1"/>
    <col min="5231" max="5231" width="12.6640625" style="56" customWidth="1"/>
    <col min="5232" max="5232" width="14.6640625" style="56" customWidth="1"/>
    <col min="5233" max="5233" width="12.6640625" style="56" customWidth="1"/>
    <col min="5234" max="5234" width="18" style="56" customWidth="1"/>
    <col min="5235" max="5236" width="1.109375" style="56" customWidth="1"/>
    <col min="5237" max="5237" width="4" style="56" customWidth="1"/>
    <col min="5238" max="5238" width="10.109375" style="56" bestFit="1" customWidth="1"/>
    <col min="5239" max="5239" width="11.33203125" style="56" bestFit="1" customWidth="1"/>
    <col min="5240" max="5240" width="9.109375" style="56" customWidth="1"/>
    <col min="5241" max="5241" width="0" style="56" hidden="1" customWidth="1"/>
    <col min="5242" max="5450" width="9.109375" style="56" customWidth="1"/>
    <col min="5451" max="5482" width="8.6640625" style="56"/>
    <col min="5483" max="5484" width="1.109375" style="56" customWidth="1"/>
    <col min="5485" max="5485" width="9.109375" style="56" customWidth="1"/>
    <col min="5486" max="5486" width="74.109375" style="56" customWidth="1"/>
    <col min="5487" max="5487" width="12.6640625" style="56" customWidth="1"/>
    <col min="5488" max="5488" width="14.6640625" style="56" customWidth="1"/>
    <col min="5489" max="5489" width="12.6640625" style="56" customWidth="1"/>
    <col min="5490" max="5490" width="18" style="56" customWidth="1"/>
    <col min="5491" max="5492" width="1.109375" style="56" customWidth="1"/>
    <col min="5493" max="5493" width="4" style="56" customWidth="1"/>
    <col min="5494" max="5494" width="10.109375" style="56" bestFit="1" customWidth="1"/>
    <col min="5495" max="5495" width="11.33203125" style="56" bestFit="1" customWidth="1"/>
    <col min="5496" max="5496" width="9.109375" style="56" customWidth="1"/>
    <col min="5497" max="5497" width="0" style="56" hidden="1" customWidth="1"/>
    <col min="5498" max="5706" width="9.109375" style="56" customWidth="1"/>
    <col min="5707" max="5738" width="8.6640625" style="56"/>
    <col min="5739" max="5740" width="1.109375" style="56" customWidth="1"/>
    <col min="5741" max="5741" width="9.109375" style="56" customWidth="1"/>
    <col min="5742" max="5742" width="74.109375" style="56" customWidth="1"/>
    <col min="5743" max="5743" width="12.6640625" style="56" customWidth="1"/>
    <col min="5744" max="5744" width="14.6640625" style="56" customWidth="1"/>
    <col min="5745" max="5745" width="12.6640625" style="56" customWidth="1"/>
    <col min="5746" max="5746" width="18" style="56" customWidth="1"/>
    <col min="5747" max="5748" width="1.109375" style="56" customWidth="1"/>
    <col min="5749" max="5749" width="4" style="56" customWidth="1"/>
    <col min="5750" max="5750" width="10.109375" style="56" bestFit="1" customWidth="1"/>
    <col min="5751" max="5751" width="11.33203125" style="56" bestFit="1" customWidth="1"/>
    <col min="5752" max="5752" width="9.109375" style="56" customWidth="1"/>
    <col min="5753" max="5753" width="0" style="56" hidden="1" customWidth="1"/>
    <col min="5754" max="5962" width="9.109375" style="56" customWidth="1"/>
    <col min="5963" max="5994" width="8.6640625" style="56"/>
    <col min="5995" max="5996" width="1.109375" style="56" customWidth="1"/>
    <col min="5997" max="5997" width="9.109375" style="56" customWidth="1"/>
    <col min="5998" max="5998" width="74.109375" style="56" customWidth="1"/>
    <col min="5999" max="5999" width="12.6640625" style="56" customWidth="1"/>
    <col min="6000" max="6000" width="14.6640625" style="56" customWidth="1"/>
    <col min="6001" max="6001" width="12.6640625" style="56" customWidth="1"/>
    <col min="6002" max="6002" width="18" style="56" customWidth="1"/>
    <col min="6003" max="6004" width="1.109375" style="56" customWidth="1"/>
    <col min="6005" max="6005" width="4" style="56" customWidth="1"/>
    <col min="6006" max="6006" width="10.109375" style="56" bestFit="1" customWidth="1"/>
    <col min="6007" max="6007" width="11.33203125" style="56" bestFit="1" customWidth="1"/>
    <col min="6008" max="6008" width="9.109375" style="56" customWidth="1"/>
    <col min="6009" max="6009" width="0" style="56" hidden="1" customWidth="1"/>
    <col min="6010" max="6218" width="9.109375" style="56" customWidth="1"/>
    <col min="6219" max="6250" width="8.6640625" style="56"/>
    <col min="6251" max="6252" width="1.109375" style="56" customWidth="1"/>
    <col min="6253" max="6253" width="9.109375" style="56" customWidth="1"/>
    <col min="6254" max="6254" width="74.109375" style="56" customWidth="1"/>
    <col min="6255" max="6255" width="12.6640625" style="56" customWidth="1"/>
    <col min="6256" max="6256" width="14.6640625" style="56" customWidth="1"/>
    <col min="6257" max="6257" width="12.6640625" style="56" customWidth="1"/>
    <col min="6258" max="6258" width="18" style="56" customWidth="1"/>
    <col min="6259" max="6260" width="1.109375" style="56" customWidth="1"/>
    <col min="6261" max="6261" width="4" style="56" customWidth="1"/>
    <col min="6262" max="6262" width="10.109375" style="56" bestFit="1" customWidth="1"/>
    <col min="6263" max="6263" width="11.33203125" style="56" bestFit="1" customWidth="1"/>
    <col min="6264" max="6264" width="9.109375" style="56" customWidth="1"/>
    <col min="6265" max="6265" width="0" style="56" hidden="1" customWidth="1"/>
    <col min="6266" max="6474" width="9.109375" style="56" customWidth="1"/>
    <col min="6475" max="6506" width="8.6640625" style="56"/>
    <col min="6507" max="6508" width="1.109375" style="56" customWidth="1"/>
    <col min="6509" max="6509" width="9.109375" style="56" customWidth="1"/>
    <col min="6510" max="6510" width="74.109375" style="56" customWidth="1"/>
    <col min="6511" max="6511" width="12.6640625" style="56" customWidth="1"/>
    <col min="6512" max="6512" width="14.6640625" style="56" customWidth="1"/>
    <col min="6513" max="6513" width="12.6640625" style="56" customWidth="1"/>
    <col min="6514" max="6514" width="18" style="56" customWidth="1"/>
    <col min="6515" max="6516" width="1.109375" style="56" customWidth="1"/>
    <col min="6517" max="6517" width="4" style="56" customWidth="1"/>
    <col min="6518" max="6518" width="10.109375" style="56" bestFit="1" customWidth="1"/>
    <col min="6519" max="6519" width="11.33203125" style="56" bestFit="1" customWidth="1"/>
    <col min="6520" max="6520" width="9.109375" style="56" customWidth="1"/>
    <col min="6521" max="6521" width="0" style="56" hidden="1" customWidth="1"/>
    <col min="6522" max="6730" width="9.109375" style="56" customWidth="1"/>
    <col min="6731" max="6762" width="8.6640625" style="56"/>
    <col min="6763" max="6764" width="1.109375" style="56" customWidth="1"/>
    <col min="6765" max="6765" width="9.109375" style="56" customWidth="1"/>
    <col min="6766" max="6766" width="74.109375" style="56" customWidth="1"/>
    <col min="6767" max="6767" width="12.6640625" style="56" customWidth="1"/>
    <col min="6768" max="6768" width="14.6640625" style="56" customWidth="1"/>
    <col min="6769" max="6769" width="12.6640625" style="56" customWidth="1"/>
    <col min="6770" max="6770" width="18" style="56" customWidth="1"/>
    <col min="6771" max="6772" width="1.109375" style="56" customWidth="1"/>
    <col min="6773" max="6773" width="4" style="56" customWidth="1"/>
    <col min="6774" max="6774" width="10.109375" style="56" bestFit="1" customWidth="1"/>
    <col min="6775" max="6775" width="11.33203125" style="56" bestFit="1" customWidth="1"/>
    <col min="6776" max="6776" width="9.109375" style="56" customWidth="1"/>
    <col min="6777" max="6777" width="0" style="56" hidden="1" customWidth="1"/>
    <col min="6778" max="6986" width="9.109375" style="56" customWidth="1"/>
    <col min="6987" max="7018" width="8.6640625" style="56"/>
    <col min="7019" max="7020" width="1.109375" style="56" customWidth="1"/>
    <col min="7021" max="7021" width="9.109375" style="56" customWidth="1"/>
    <col min="7022" max="7022" width="74.109375" style="56" customWidth="1"/>
    <col min="7023" max="7023" width="12.6640625" style="56" customWidth="1"/>
    <col min="7024" max="7024" width="14.6640625" style="56" customWidth="1"/>
    <col min="7025" max="7025" width="12.6640625" style="56" customWidth="1"/>
    <col min="7026" max="7026" width="18" style="56" customWidth="1"/>
    <col min="7027" max="7028" width="1.109375" style="56" customWidth="1"/>
    <col min="7029" max="7029" width="4" style="56" customWidth="1"/>
    <col min="7030" max="7030" width="10.109375" style="56" bestFit="1" customWidth="1"/>
    <col min="7031" max="7031" width="11.33203125" style="56" bestFit="1" customWidth="1"/>
    <col min="7032" max="7032" width="9.109375" style="56" customWidth="1"/>
    <col min="7033" max="7033" width="0" style="56" hidden="1" customWidth="1"/>
    <col min="7034" max="7242" width="9.109375" style="56" customWidth="1"/>
    <col min="7243" max="7274" width="8.6640625" style="56"/>
    <col min="7275" max="7276" width="1.109375" style="56" customWidth="1"/>
    <col min="7277" max="7277" width="9.109375" style="56" customWidth="1"/>
    <col min="7278" max="7278" width="74.109375" style="56" customWidth="1"/>
    <col min="7279" max="7279" width="12.6640625" style="56" customWidth="1"/>
    <col min="7280" max="7280" width="14.6640625" style="56" customWidth="1"/>
    <col min="7281" max="7281" width="12.6640625" style="56" customWidth="1"/>
    <col min="7282" max="7282" width="18" style="56" customWidth="1"/>
    <col min="7283" max="7284" width="1.109375" style="56" customWidth="1"/>
    <col min="7285" max="7285" width="4" style="56" customWidth="1"/>
    <col min="7286" max="7286" width="10.109375" style="56" bestFit="1" customWidth="1"/>
    <col min="7287" max="7287" width="11.33203125" style="56" bestFit="1" customWidth="1"/>
    <col min="7288" max="7288" width="9.109375" style="56" customWidth="1"/>
    <col min="7289" max="7289" width="0" style="56" hidden="1" customWidth="1"/>
    <col min="7290" max="7498" width="9.109375" style="56" customWidth="1"/>
    <col min="7499" max="7530" width="8.6640625" style="56"/>
    <col min="7531" max="7532" width="1.109375" style="56" customWidth="1"/>
    <col min="7533" max="7533" width="9.109375" style="56" customWidth="1"/>
    <col min="7534" max="7534" width="74.109375" style="56" customWidth="1"/>
    <col min="7535" max="7535" width="12.6640625" style="56" customWidth="1"/>
    <col min="7536" max="7536" width="14.6640625" style="56" customWidth="1"/>
    <col min="7537" max="7537" width="12.6640625" style="56" customWidth="1"/>
    <col min="7538" max="7538" width="18" style="56" customWidth="1"/>
    <col min="7539" max="7540" width="1.109375" style="56" customWidth="1"/>
    <col min="7541" max="7541" width="4" style="56" customWidth="1"/>
    <col min="7542" max="7542" width="10.109375" style="56" bestFit="1" customWidth="1"/>
    <col min="7543" max="7543" width="11.33203125" style="56" bestFit="1" customWidth="1"/>
    <col min="7544" max="7544" width="9.109375" style="56" customWidth="1"/>
    <col min="7545" max="7545" width="0" style="56" hidden="1" customWidth="1"/>
    <col min="7546" max="7754" width="9.109375" style="56" customWidth="1"/>
    <col min="7755" max="7786" width="8.6640625" style="56"/>
    <col min="7787" max="7788" width="1.109375" style="56" customWidth="1"/>
    <col min="7789" max="7789" width="9.109375" style="56" customWidth="1"/>
    <col min="7790" max="7790" width="74.109375" style="56" customWidth="1"/>
    <col min="7791" max="7791" width="12.6640625" style="56" customWidth="1"/>
    <col min="7792" max="7792" width="14.6640625" style="56" customWidth="1"/>
    <col min="7793" max="7793" width="12.6640625" style="56" customWidth="1"/>
    <col min="7794" max="7794" width="18" style="56" customWidth="1"/>
    <col min="7795" max="7796" width="1.109375" style="56" customWidth="1"/>
    <col min="7797" max="7797" width="4" style="56" customWidth="1"/>
    <col min="7798" max="7798" width="10.109375" style="56" bestFit="1" customWidth="1"/>
    <col min="7799" max="7799" width="11.33203125" style="56" bestFit="1" customWidth="1"/>
    <col min="7800" max="7800" width="9.109375" style="56" customWidth="1"/>
    <col min="7801" max="7801" width="0" style="56" hidden="1" customWidth="1"/>
    <col min="7802" max="8010" width="9.109375" style="56" customWidth="1"/>
    <col min="8011" max="16384" width="8.6640625" style="56"/>
  </cols>
  <sheetData>
    <row r="1" spans="1:18" ht="30" customHeight="1" thickBot="1">
      <c r="A1" s="723"/>
      <c r="B1" s="54"/>
      <c r="C1" s="736" t="s">
        <v>139</v>
      </c>
      <c r="D1" s="737"/>
      <c r="E1" s="738" t="s">
        <v>1</v>
      </c>
      <c r="F1" s="739"/>
      <c r="G1" s="739"/>
      <c r="H1" s="294">
        <f>G55</f>
        <v>733060.91</v>
      </c>
      <c r="K1" s="480" t="s">
        <v>140</v>
      </c>
      <c r="L1" s="480">
        <f>SUM(G14)</f>
        <v>9351.77</v>
      </c>
      <c r="M1" s="481">
        <f>L1/$H$1</f>
        <v>1.2757152744647098E-2</v>
      </c>
      <c r="N1" s="436">
        <v>0.1</v>
      </c>
      <c r="O1" s="437">
        <f>$H$1*N1</f>
        <v>73306.091</v>
      </c>
      <c r="P1" s="442">
        <f>L1-O1</f>
        <v>-63954.320999999996</v>
      </c>
      <c r="Q1" s="437">
        <f>$H$2*N1</f>
        <v>0</v>
      </c>
      <c r="R1" s="437">
        <f>L1-Q1</f>
        <v>9351.77</v>
      </c>
    </row>
    <row r="2" spans="1:18" ht="30" customHeight="1" thickTop="1" thickBot="1">
      <c r="A2" s="723"/>
      <c r="B2" s="54"/>
      <c r="C2" s="736" t="s">
        <v>141</v>
      </c>
      <c r="D2" s="737"/>
      <c r="E2" s="57" t="s">
        <v>142</v>
      </c>
      <c r="F2" s="742" t="s">
        <v>9</v>
      </c>
      <c r="G2" s="742"/>
      <c r="H2" s="443"/>
      <c r="K2" s="480" t="s">
        <v>143</v>
      </c>
      <c r="L2" s="480">
        <f>SUM(G23:G28)</f>
        <v>14818.190000000002</v>
      </c>
      <c r="M2" s="481">
        <f>L2/$H$1</f>
        <v>2.0214132001664092E-2</v>
      </c>
      <c r="N2" s="436">
        <v>0.1</v>
      </c>
      <c r="O2" s="437">
        <f>$H$1*N2</f>
        <v>73306.091</v>
      </c>
      <c r="P2" s="442">
        <f t="shared" ref="P2:P13" si="0">L2-O2</f>
        <v>-58487.900999999998</v>
      </c>
      <c r="Q2" s="437">
        <f t="shared" ref="Q2:Q13" si="1">$H$2*N2</f>
        <v>0</v>
      </c>
      <c r="R2" s="444">
        <f t="shared" ref="R2:R13" si="2">L2-Q2</f>
        <v>14818.190000000002</v>
      </c>
    </row>
    <row r="3" spans="1:18" ht="30" customHeight="1" thickTop="1" thickBot="1">
      <c r="A3" s="723"/>
      <c r="B3" s="58"/>
      <c r="C3" s="740" t="s">
        <v>144</v>
      </c>
      <c r="D3" s="741"/>
      <c r="E3" s="59" t="s">
        <v>621</v>
      </c>
      <c r="F3" s="57" t="s">
        <v>2</v>
      </c>
      <c r="G3" s="60">
        <v>45763</v>
      </c>
      <c r="H3" s="434"/>
      <c r="K3" s="480" t="s">
        <v>145</v>
      </c>
      <c r="L3" s="480">
        <f>SUM(G30:G35)</f>
        <v>192526.45000000004</v>
      </c>
      <c r="M3" s="481">
        <f>L3/$H$1</f>
        <v>0.26263363299510817</v>
      </c>
      <c r="N3" s="436">
        <v>0.2</v>
      </c>
      <c r="O3" s="437">
        <f>$H$1*N3</f>
        <v>146612.182</v>
      </c>
      <c r="P3" s="442">
        <f t="shared" si="0"/>
        <v>45914.26800000004</v>
      </c>
      <c r="Q3" s="437">
        <f t="shared" si="1"/>
        <v>0</v>
      </c>
      <c r="R3" s="444">
        <f t="shared" si="2"/>
        <v>192526.45000000004</v>
      </c>
    </row>
    <row r="4" spans="1:18" s="63" customFormat="1" ht="34.5" customHeight="1" thickTop="1">
      <c r="A4" s="723"/>
      <c r="B4" s="61" t="s">
        <v>146</v>
      </c>
      <c r="C4" s="725" t="s">
        <v>622</v>
      </c>
      <c r="D4" s="726"/>
      <c r="E4" s="726"/>
      <c r="F4" s="726"/>
      <c r="G4" s="726"/>
      <c r="H4" s="62"/>
      <c r="K4" s="480" t="s">
        <v>147</v>
      </c>
      <c r="L4" s="480">
        <f>SUM(G37:G42)</f>
        <v>178353.04</v>
      </c>
      <c r="M4" s="481">
        <f>L4/$H$1</f>
        <v>0.24329907319706898</v>
      </c>
      <c r="N4" s="438">
        <v>0.3</v>
      </c>
      <c r="O4" s="439">
        <f>$H$1*N4</f>
        <v>219918.27300000002</v>
      </c>
      <c r="P4" s="442">
        <f t="shared" si="0"/>
        <v>-41565.233000000007</v>
      </c>
      <c r="Q4" s="439">
        <f>$H$2*N4</f>
        <v>0</v>
      </c>
      <c r="R4" s="437">
        <f t="shared" si="2"/>
        <v>178353.04</v>
      </c>
    </row>
    <row r="5" spans="1:18" s="63" customFormat="1" ht="4.2" customHeight="1">
      <c r="A5" s="723"/>
      <c r="B5" s="64"/>
      <c r="C5" s="65"/>
      <c r="D5" s="65"/>
      <c r="E5" s="65"/>
      <c r="F5" s="65"/>
      <c r="G5" s="65"/>
      <c r="H5" s="55"/>
      <c r="M5" s="56"/>
      <c r="N5" s="438"/>
      <c r="O5" s="439"/>
      <c r="P5" s="442">
        <f t="shared" si="0"/>
        <v>0</v>
      </c>
      <c r="Q5" s="439"/>
      <c r="R5" s="437">
        <f t="shared" si="2"/>
        <v>0</v>
      </c>
    </row>
    <row r="6" spans="1:18" s="67" customFormat="1" ht="28.5" customHeight="1">
      <c r="A6" s="724"/>
      <c r="B6" s="482" t="s">
        <v>148</v>
      </c>
      <c r="C6" s="483" t="s">
        <v>149</v>
      </c>
      <c r="D6" s="484" t="s">
        <v>150</v>
      </c>
      <c r="E6" s="485" t="s">
        <v>151</v>
      </c>
      <c r="F6" s="486" t="s">
        <v>152</v>
      </c>
      <c r="G6" s="480" t="s">
        <v>153</v>
      </c>
      <c r="H6" s="295"/>
      <c r="K6" s="480" t="s">
        <v>154</v>
      </c>
      <c r="L6" s="480">
        <f>SUM(G19)</f>
        <v>7903.57</v>
      </c>
      <c r="M6" s="481">
        <f>L6/$H$1</f>
        <v>1.0781600672173338E-2</v>
      </c>
      <c r="N6" s="440">
        <v>0.1</v>
      </c>
      <c r="O6" s="441">
        <f>$H$1*N6</f>
        <v>73306.091</v>
      </c>
      <c r="P6" s="442">
        <f t="shared" si="0"/>
        <v>-65402.521000000001</v>
      </c>
      <c r="Q6" s="441">
        <f t="shared" si="1"/>
        <v>0</v>
      </c>
      <c r="R6" s="437">
        <f t="shared" si="2"/>
        <v>7903.57</v>
      </c>
    </row>
    <row r="7" spans="1:18" s="67" customFormat="1" ht="27.9" customHeight="1">
      <c r="A7" s="730" t="s">
        <v>155</v>
      </c>
      <c r="B7" s="73">
        <v>1</v>
      </c>
      <c r="C7" s="540" t="s">
        <v>156</v>
      </c>
      <c r="D7" s="74"/>
      <c r="E7" s="75"/>
      <c r="F7" s="76"/>
      <c r="G7" s="77">
        <f>SUM(G8:G12)</f>
        <v>215280.63</v>
      </c>
      <c r="H7" s="66"/>
      <c r="K7" s="480" t="s">
        <v>157</v>
      </c>
      <c r="L7" s="480">
        <f>G12</f>
        <v>13167.76</v>
      </c>
      <c r="M7" s="481">
        <f>L7/$H$1</f>
        <v>1.7962709265182342E-2</v>
      </c>
      <c r="N7" s="440">
        <v>0.1</v>
      </c>
      <c r="O7" s="441">
        <f>$H$1*N7</f>
        <v>73306.091</v>
      </c>
      <c r="P7" s="442">
        <f t="shared" ref="P7" si="3">L7-O7</f>
        <v>-60138.330999999998</v>
      </c>
      <c r="Q7" s="441">
        <f t="shared" ref="Q7" si="4">$H$2*N7</f>
        <v>0</v>
      </c>
      <c r="R7" s="437">
        <f t="shared" ref="R7" si="5">L7-Q7</f>
        <v>13167.76</v>
      </c>
    </row>
    <row r="8" spans="1:18" s="67" customFormat="1" ht="35.4" customHeight="1" outlineLevel="1">
      <c r="A8" s="731"/>
      <c r="B8" s="70" t="s">
        <v>158</v>
      </c>
      <c r="C8" s="541" t="s">
        <v>159</v>
      </c>
      <c r="D8" s="427" t="s">
        <v>160</v>
      </c>
      <c r="E8" s="428">
        <v>1</v>
      </c>
      <c r="F8" s="487">
        <f>_xlfn.XLOOKUP(B8,'CPU  1 '!$F$1:$FU$1,'CPU  1 '!$F$150:$FU$150)</f>
        <v>106622.07</v>
      </c>
      <c r="G8" s="71">
        <f>F8*E8</f>
        <v>106622.07</v>
      </c>
      <c r="H8" s="68">
        <f t="shared" ref="H8:H13" si="6">G8/$G$55</f>
        <v>0.14544776367900997</v>
      </c>
      <c r="N8" s="435" t="s">
        <v>161</v>
      </c>
      <c r="O8" s="435" t="s">
        <v>162</v>
      </c>
      <c r="Q8" s="435" t="s">
        <v>163</v>
      </c>
    </row>
    <row r="9" spans="1:18" s="67" customFormat="1" ht="35.4" customHeight="1" outlineLevel="1">
      <c r="A9" s="731"/>
      <c r="B9" s="70" t="s">
        <v>164</v>
      </c>
      <c r="C9" s="541" t="s">
        <v>165</v>
      </c>
      <c r="D9" s="427" t="s">
        <v>160</v>
      </c>
      <c r="E9" s="428">
        <v>1</v>
      </c>
      <c r="F9" s="487">
        <f>_xlfn.XLOOKUP(B9,'CPU  1 '!$F$1:$FU$1,'CPU  1 '!$F$150:$FU$150)</f>
        <v>51826.93</v>
      </c>
      <c r="G9" s="71">
        <f>F9*E9</f>
        <v>51826.93</v>
      </c>
      <c r="H9" s="68">
        <f t="shared" si="6"/>
        <v>7.0699350208156639E-2</v>
      </c>
    </row>
    <row r="10" spans="1:18" s="67" customFormat="1" ht="35.4" customHeight="1" outlineLevel="1">
      <c r="A10" s="731"/>
      <c r="B10" s="70" t="s">
        <v>166</v>
      </c>
      <c r="C10" s="541" t="s">
        <v>167</v>
      </c>
      <c r="D10" s="427" t="s">
        <v>160</v>
      </c>
      <c r="E10" s="428">
        <v>1</v>
      </c>
      <c r="F10" s="487">
        <f>_xlfn.XLOOKUP(B10,'CPU  1 '!$F$1:$FU$1,'CPU  1 '!$F$150:$FU$150)</f>
        <v>17990.88</v>
      </c>
      <c r="G10" s="71">
        <f>F10*E10</f>
        <v>17990.88</v>
      </c>
      <c r="H10" s="68">
        <f t="shared" si="6"/>
        <v>2.4542135250398223E-2</v>
      </c>
    </row>
    <row r="11" spans="1:18" s="67" customFormat="1" ht="35.4" customHeight="1" outlineLevel="1">
      <c r="A11" s="731"/>
      <c r="B11" s="70" t="s">
        <v>168</v>
      </c>
      <c r="C11" s="541" t="s">
        <v>169</v>
      </c>
      <c r="D11" s="427" t="s">
        <v>160</v>
      </c>
      <c r="E11" s="428">
        <v>1</v>
      </c>
      <c r="F11" s="487">
        <f>_xlfn.XLOOKUP(B11,'CPU  1 '!$F$1:$FU$1,'CPU  1 '!$F$150:$FU$150)</f>
        <v>25672.99</v>
      </c>
      <c r="G11" s="71">
        <f t="shared" ref="G11:G12" si="7">F11*E11</f>
        <v>25672.99</v>
      </c>
      <c r="H11" s="68">
        <f t="shared" si="6"/>
        <v>3.502163278628511E-2</v>
      </c>
    </row>
    <row r="12" spans="1:18" s="67" customFormat="1" ht="35.4" customHeight="1" outlineLevel="1">
      <c r="A12" s="731"/>
      <c r="B12" s="70" t="s">
        <v>170</v>
      </c>
      <c r="C12" s="541" t="s">
        <v>171</v>
      </c>
      <c r="D12" s="427" t="s">
        <v>160</v>
      </c>
      <c r="E12" s="428">
        <v>1</v>
      </c>
      <c r="F12" s="487">
        <f>_xlfn.XLOOKUP(B12,'CPU  1 '!$F$1:$FU$1,'CPU  1 '!$F$150:$FU$150)</f>
        <v>13167.76</v>
      </c>
      <c r="G12" s="71">
        <f t="shared" si="7"/>
        <v>13167.76</v>
      </c>
      <c r="H12" s="68">
        <f t="shared" si="6"/>
        <v>1.7962709265182342E-2</v>
      </c>
    </row>
    <row r="13" spans="1:18" s="67" customFormat="1" ht="27.9" customHeight="1">
      <c r="A13" s="727" t="s">
        <v>172</v>
      </c>
      <c r="B13" s="73">
        <v>2</v>
      </c>
      <c r="C13" s="540" t="s">
        <v>588</v>
      </c>
      <c r="D13" s="74"/>
      <c r="E13" s="75"/>
      <c r="F13" s="76"/>
      <c r="G13" s="77">
        <f>SUM(G14:G20)</f>
        <v>63094.740000000005</v>
      </c>
      <c r="H13" s="66"/>
      <c r="K13" s="480" t="s">
        <v>157</v>
      </c>
      <c r="L13" s="480">
        <f>G20</f>
        <v>12924.69</v>
      </c>
      <c r="M13" s="481">
        <f>L13/$H$1</f>
        <v>1.7631126995981822E-2</v>
      </c>
      <c r="N13" s="440">
        <v>0.1</v>
      </c>
      <c r="O13" s="441">
        <f>$H$1*N13</f>
        <v>73306.091</v>
      </c>
      <c r="P13" s="442">
        <f t="shared" si="0"/>
        <v>-60381.400999999998</v>
      </c>
      <c r="Q13" s="441">
        <f t="shared" si="1"/>
        <v>0</v>
      </c>
      <c r="R13" s="437">
        <f t="shared" si="2"/>
        <v>12924.69</v>
      </c>
    </row>
    <row r="14" spans="1:18" s="67" customFormat="1" ht="35.4" customHeight="1" outlineLevel="1">
      <c r="A14" s="728"/>
      <c r="B14" s="70" t="s">
        <v>174</v>
      </c>
      <c r="C14" s="541" t="s">
        <v>589</v>
      </c>
      <c r="D14" s="427" t="s">
        <v>160</v>
      </c>
      <c r="E14" s="428">
        <v>1</v>
      </c>
      <c r="F14" s="487">
        <f>_xlfn.XLOOKUP(B14,'CPU  1 '!$F$1:$FU$1,'CPU  1 '!$F$150:$FU$150)</f>
        <v>9351.77</v>
      </c>
      <c r="G14" s="71">
        <f>F14*E14</f>
        <v>9351.77</v>
      </c>
      <c r="H14" s="68">
        <f>G14/$G$55</f>
        <v>1.2757152744647098E-2</v>
      </c>
      <c r="L14" s="798">
        <f>SUM(E8:E12,E14:E20,E23:E28,E30:E35,E37:E42,E45:E48,E50:E51,E53:E54)</f>
        <v>352</v>
      </c>
      <c r="N14" s="435" t="s">
        <v>161</v>
      </c>
      <c r="O14" s="435" t="s">
        <v>162</v>
      </c>
      <c r="Q14" s="435" t="s">
        <v>163</v>
      </c>
    </row>
    <row r="15" spans="1:18" s="67" customFormat="1" ht="35.4" customHeight="1" outlineLevel="1">
      <c r="A15" s="728"/>
      <c r="B15" s="70" t="s">
        <v>185</v>
      </c>
      <c r="C15" s="541" t="s">
        <v>590</v>
      </c>
      <c r="D15" s="427" t="s">
        <v>160</v>
      </c>
      <c r="E15" s="428">
        <v>1</v>
      </c>
      <c r="F15" s="487">
        <f>_xlfn.XLOOKUP(B15,'CPU  1 '!$F$1:$FU$1,'CPU  1 '!$F$150:$FU$150)</f>
        <v>9204</v>
      </c>
      <c r="G15" s="71">
        <f>F15*E15</f>
        <v>9204</v>
      </c>
      <c r="H15" s="68">
        <f>G15/$G$55</f>
        <v>1.2555573315183317E-2</v>
      </c>
      <c r="L15" s="67">
        <v>2.8195865140458663E-2</v>
      </c>
    </row>
    <row r="16" spans="1:18" s="67" customFormat="1" ht="35.4" customHeight="1" outlineLevel="1">
      <c r="A16" s="728"/>
      <c r="B16" s="70" t="s">
        <v>193</v>
      </c>
      <c r="C16" s="541" t="s">
        <v>592</v>
      </c>
      <c r="D16" s="427" t="s">
        <v>160</v>
      </c>
      <c r="E16" s="428">
        <v>1</v>
      </c>
      <c r="F16" s="487">
        <f>_xlfn.XLOOKUP(B16,'CPU  1 '!$F$1:$FU$1,'CPU  1 '!$F$150:$FU$150)</f>
        <v>7903.57</v>
      </c>
      <c r="G16" s="71">
        <f>F16*E16</f>
        <v>7903.57</v>
      </c>
      <c r="H16" s="68">
        <f>G16/$G$55</f>
        <v>1.0781600672173338E-2</v>
      </c>
    </row>
    <row r="17" spans="1:8" s="67" customFormat="1" ht="35.4" customHeight="1" outlineLevel="1">
      <c r="A17" s="728"/>
      <c r="B17" s="70" t="s">
        <v>513</v>
      </c>
      <c r="C17" s="541" t="s">
        <v>591</v>
      </c>
      <c r="D17" s="427" t="s">
        <v>160</v>
      </c>
      <c r="E17" s="428">
        <v>1</v>
      </c>
      <c r="F17" s="487">
        <f>_xlfn.XLOOKUP(B17,'CPU  1 '!$F$1:$FU$1,'CPU  1 '!$F$150:$FU$150)</f>
        <v>7903.57</v>
      </c>
      <c r="G17" s="71">
        <f t="shared" ref="G17:G18" si="8">F17*E17</f>
        <v>7903.57</v>
      </c>
      <c r="H17" s="68">
        <f t="shared" ref="H17:H18" si="9">G17/$G$55</f>
        <v>1.0781600672173338E-2</v>
      </c>
    </row>
    <row r="18" spans="1:8" s="67" customFormat="1" ht="35.4" customHeight="1" outlineLevel="1">
      <c r="A18" s="728"/>
      <c r="B18" s="70" t="s">
        <v>516</v>
      </c>
      <c r="C18" s="541" t="s">
        <v>593</v>
      </c>
      <c r="D18" s="427" t="s">
        <v>160</v>
      </c>
      <c r="E18" s="428">
        <v>1</v>
      </c>
      <c r="F18" s="487">
        <f>_xlfn.XLOOKUP(B18,'CPU  1 '!$F$1:$FU$1,'CPU  1 '!$F$150:$FU$150)</f>
        <v>7903.57</v>
      </c>
      <c r="G18" s="71">
        <f t="shared" si="8"/>
        <v>7903.57</v>
      </c>
      <c r="H18" s="68">
        <f t="shared" si="9"/>
        <v>1.0781600672173338E-2</v>
      </c>
    </row>
    <row r="19" spans="1:8" s="67" customFormat="1" ht="35.4" customHeight="1" outlineLevel="1">
      <c r="A19" s="728"/>
      <c r="B19" s="70" t="s">
        <v>618</v>
      </c>
      <c r="C19" s="541" t="s">
        <v>594</v>
      </c>
      <c r="D19" s="427" t="s">
        <v>160</v>
      </c>
      <c r="E19" s="428">
        <v>1</v>
      </c>
      <c r="F19" s="487">
        <f>_xlfn.XLOOKUP(B19,'CPU  1 '!$F$1:$FU$1,'CPU  1 '!$F$150:$FU$150)</f>
        <v>7903.57</v>
      </c>
      <c r="G19" s="71">
        <f t="shared" ref="G19:G20" si="10">F19*E19</f>
        <v>7903.57</v>
      </c>
      <c r="H19" s="68">
        <f>G19/$G$55</f>
        <v>1.0781600672173338E-2</v>
      </c>
    </row>
    <row r="20" spans="1:8" s="67" customFormat="1" ht="35.4" customHeight="1" outlineLevel="1">
      <c r="A20" s="729"/>
      <c r="B20" s="70" t="s">
        <v>619</v>
      </c>
      <c r="C20" s="541" t="s">
        <v>595</v>
      </c>
      <c r="D20" s="427" t="s">
        <v>160</v>
      </c>
      <c r="E20" s="428">
        <v>1</v>
      </c>
      <c r="F20" s="487">
        <f>_xlfn.XLOOKUP(B20,'CPU  1 '!$F$1:$FU$1,'CPU  1 '!$F$150:$FU$150)</f>
        <v>12924.69</v>
      </c>
      <c r="G20" s="71">
        <f t="shared" si="10"/>
        <v>12924.69</v>
      </c>
      <c r="H20" s="68">
        <f>G20/$G$55</f>
        <v>1.7631126995981822E-2</v>
      </c>
    </row>
    <row r="21" spans="1:8" s="67" customFormat="1" ht="36" customHeight="1">
      <c r="A21" s="730" t="s">
        <v>184</v>
      </c>
      <c r="B21" s="73">
        <v>3</v>
      </c>
      <c r="C21" s="540" t="s">
        <v>173</v>
      </c>
      <c r="D21" s="74"/>
      <c r="E21" s="75"/>
      <c r="F21" s="76"/>
      <c r="G21" s="77">
        <f>SUM(G22,G29,G36)</f>
        <v>385697.68000000005</v>
      </c>
      <c r="H21" s="66"/>
    </row>
    <row r="22" spans="1:8" s="67" customFormat="1" ht="36" customHeight="1" outlineLevel="1">
      <c r="A22" s="731"/>
      <c r="B22" s="78" t="s">
        <v>596</v>
      </c>
      <c r="C22" s="542" t="s">
        <v>175</v>
      </c>
      <c r="D22" s="79"/>
      <c r="E22" s="80"/>
      <c r="F22" s="81"/>
      <c r="G22" s="82">
        <f>SUM(G23:G28)</f>
        <v>14818.190000000002</v>
      </c>
      <c r="H22" s="72"/>
    </row>
    <row r="23" spans="1:8" s="67" customFormat="1" ht="69" customHeight="1" outlineLevel="1">
      <c r="A23" s="731"/>
      <c r="B23" s="70" t="s">
        <v>597</v>
      </c>
      <c r="C23" s="541" t="s">
        <v>176</v>
      </c>
      <c r="D23" s="427" t="s">
        <v>177</v>
      </c>
      <c r="E23" s="428">
        <v>100</v>
      </c>
      <c r="F23" s="487">
        <f>_xlfn.XLOOKUP(B23,'CPU  1 '!$F$1:$FU$1,'CPU  1 '!$F$150:$FU$150)</f>
        <v>76.97</v>
      </c>
      <c r="G23" s="71">
        <f>F23*E23</f>
        <v>7697</v>
      </c>
      <c r="H23" s="72">
        <f t="shared" ref="H23:H34" si="11">G23/$G$55</f>
        <v>1.0499809627006302E-2</v>
      </c>
    </row>
    <row r="24" spans="1:8" s="67" customFormat="1" ht="42.6" customHeight="1" outlineLevel="1">
      <c r="A24" s="731"/>
      <c r="B24" s="70" t="s">
        <v>598</v>
      </c>
      <c r="C24" s="541" t="s">
        <v>178</v>
      </c>
      <c r="D24" s="427" t="s">
        <v>179</v>
      </c>
      <c r="E24" s="428">
        <v>1</v>
      </c>
      <c r="F24" s="487">
        <f>_xlfn.XLOOKUP(B24,'CPU  1 '!$F$1:$FU$1,'CPU  1 '!$F$150:$FU$150)</f>
        <v>1003.78</v>
      </c>
      <c r="G24" s="71">
        <f t="shared" ref="G24:G28" si="12">F24*E24</f>
        <v>1003.78</v>
      </c>
      <c r="H24" s="72">
        <f t="shared" si="11"/>
        <v>1.3692995852145492E-3</v>
      </c>
    </row>
    <row r="25" spans="1:8" s="67" customFormat="1" ht="42.6" customHeight="1" outlineLevel="1">
      <c r="A25" s="731"/>
      <c r="B25" s="70" t="s">
        <v>599</v>
      </c>
      <c r="C25" s="541" t="s">
        <v>180</v>
      </c>
      <c r="D25" s="427" t="s">
        <v>179</v>
      </c>
      <c r="E25" s="428">
        <v>8</v>
      </c>
      <c r="F25" s="487">
        <f>_xlfn.XLOOKUP(B25,'CPU  1 '!$F$1:$FU$1,'CPU  1 '!$F$150:$FU$150)</f>
        <v>91.21</v>
      </c>
      <c r="G25" s="71">
        <f t="shared" si="12"/>
        <v>729.68</v>
      </c>
      <c r="H25" s="72">
        <f t="shared" si="11"/>
        <v>9.9538795486994389E-4</v>
      </c>
    </row>
    <row r="26" spans="1:8" s="67" customFormat="1" ht="42.6" customHeight="1" outlineLevel="1">
      <c r="A26" s="731"/>
      <c r="B26" s="70" t="s">
        <v>600</v>
      </c>
      <c r="C26" s="541" t="s">
        <v>181</v>
      </c>
      <c r="D26" s="427" t="s">
        <v>179</v>
      </c>
      <c r="E26" s="428">
        <v>6</v>
      </c>
      <c r="F26" s="487">
        <f>_xlfn.XLOOKUP(B26,'CPU  1 '!$F$1:$FU$1,'CPU  1 '!$F$150:$FU$150)</f>
        <v>235.91</v>
      </c>
      <c r="G26" s="71">
        <f t="shared" si="12"/>
        <v>1415.46</v>
      </c>
      <c r="H26" s="72">
        <f t="shared" si="11"/>
        <v>1.930890026587286E-3</v>
      </c>
    </row>
    <row r="27" spans="1:8" s="67" customFormat="1" ht="42.6" customHeight="1" outlineLevel="1">
      <c r="A27" s="731"/>
      <c r="B27" s="70" t="s">
        <v>601</v>
      </c>
      <c r="C27" s="541" t="s">
        <v>182</v>
      </c>
      <c r="D27" s="427" t="s">
        <v>179</v>
      </c>
      <c r="E27" s="428">
        <v>6</v>
      </c>
      <c r="F27" s="487">
        <f>_xlfn.XLOOKUP(B27,'CPU  1 '!$F$1:$FU$1,'CPU  1 '!$F$150:$FU$150)</f>
        <v>205.77</v>
      </c>
      <c r="G27" s="71">
        <f t="shared" si="12"/>
        <v>1234.6200000000001</v>
      </c>
      <c r="H27" s="72">
        <f t="shared" si="11"/>
        <v>1.684198384006044E-3</v>
      </c>
    </row>
    <row r="28" spans="1:8" s="67" customFormat="1" ht="42.6" customHeight="1" outlineLevel="1">
      <c r="A28" s="732"/>
      <c r="B28" s="70" t="s">
        <v>602</v>
      </c>
      <c r="C28" s="541" t="s">
        <v>183</v>
      </c>
      <c r="D28" s="427" t="s">
        <v>160</v>
      </c>
      <c r="E28" s="428">
        <v>1</v>
      </c>
      <c r="F28" s="487">
        <f>_xlfn.XLOOKUP(B28,'CPU  1 '!$F$1:$FU$1,'CPU  1 '!$F$150:$FU$150)</f>
        <v>2737.65</v>
      </c>
      <c r="G28" s="71">
        <f t="shared" si="12"/>
        <v>2737.65</v>
      </c>
      <c r="H28" s="72">
        <f t="shared" si="11"/>
        <v>3.7345464239799662E-3</v>
      </c>
    </row>
    <row r="29" spans="1:8" s="67" customFormat="1" ht="27.9" customHeight="1" outlineLevel="1">
      <c r="A29" s="727" t="s">
        <v>620</v>
      </c>
      <c r="B29" s="78" t="s">
        <v>603</v>
      </c>
      <c r="C29" s="542" t="s">
        <v>186</v>
      </c>
      <c r="D29" s="79"/>
      <c r="E29" s="80"/>
      <c r="F29" s="81"/>
      <c r="G29" s="82">
        <f>SUM(G30:G35)</f>
        <v>192526.45000000004</v>
      </c>
      <c r="H29" s="72"/>
    </row>
    <row r="30" spans="1:8" s="67" customFormat="1" ht="39.6" customHeight="1" outlineLevel="1">
      <c r="A30" s="728"/>
      <c r="B30" s="70" t="s">
        <v>604</v>
      </c>
      <c r="C30" s="543" t="s">
        <v>187</v>
      </c>
      <c r="D30" s="427" t="s">
        <v>177</v>
      </c>
      <c r="E30" s="428">
        <v>100</v>
      </c>
      <c r="F30" s="487">
        <f>_xlfn.XLOOKUP(B30,'CPU  1 '!$F$1:$FU$1,'CPU  1 '!$F$150:$FU$150)</f>
        <v>25.93</v>
      </c>
      <c r="G30" s="71">
        <f>F30*E30</f>
        <v>2593</v>
      </c>
      <c r="H30" s="72">
        <f t="shared" si="11"/>
        <v>3.537223121063705E-3</v>
      </c>
    </row>
    <row r="31" spans="1:8" s="67" customFormat="1" ht="39.6" customHeight="1" outlineLevel="1">
      <c r="A31" s="728"/>
      <c r="B31" s="70" t="s">
        <v>605</v>
      </c>
      <c r="C31" s="543" t="s">
        <v>188</v>
      </c>
      <c r="D31" s="427" t="s">
        <v>179</v>
      </c>
      <c r="E31" s="428">
        <v>1</v>
      </c>
      <c r="F31" s="487">
        <f>_xlfn.XLOOKUP(B31,'CPU  1 '!$F$1:$FU$1,'CPU  1 '!$F$150:$FU$150)</f>
        <v>865.19</v>
      </c>
      <c r="G31" s="71">
        <f>F31*E31</f>
        <v>865.19</v>
      </c>
      <c r="H31" s="72">
        <f t="shared" si="11"/>
        <v>1.1802429896309709E-3</v>
      </c>
    </row>
    <row r="32" spans="1:8" s="67" customFormat="1" ht="39.6" customHeight="1" outlineLevel="1">
      <c r="A32" s="728"/>
      <c r="B32" s="70" t="s">
        <v>606</v>
      </c>
      <c r="C32" s="543" t="s">
        <v>189</v>
      </c>
      <c r="D32" s="427" t="s">
        <v>179</v>
      </c>
      <c r="E32" s="428">
        <v>1</v>
      </c>
      <c r="F32" s="487">
        <f>_xlfn.XLOOKUP(B32,'CPU  1 '!$F$1:$FU$1,'CPU  1 '!$F$150:$FU$150)</f>
        <v>59715.97</v>
      </c>
      <c r="G32" s="71">
        <f>F32*E32</f>
        <v>59715.97</v>
      </c>
      <c r="H32" s="72">
        <f t="shared" si="11"/>
        <v>8.1461129880735283E-2</v>
      </c>
    </row>
    <row r="33" spans="1:12" s="67" customFormat="1" ht="39.6" customHeight="1" outlineLevel="1">
      <c r="A33" s="728"/>
      <c r="B33" s="70" t="s">
        <v>607</v>
      </c>
      <c r="C33" s="543" t="s">
        <v>190</v>
      </c>
      <c r="D33" s="427" t="s">
        <v>179</v>
      </c>
      <c r="E33" s="428">
        <v>1</v>
      </c>
      <c r="F33" s="487">
        <f>_xlfn.XLOOKUP(B33,'CPU  1 '!$F$1:$FU$1,'CPU  1 '!$F$150:$FU$150)</f>
        <v>125689.24</v>
      </c>
      <c r="G33" s="71">
        <f>F33*E33</f>
        <v>125689.24</v>
      </c>
      <c r="H33" s="72">
        <f t="shared" si="11"/>
        <v>0.17145811253255885</v>
      </c>
    </row>
    <row r="34" spans="1:12" s="67" customFormat="1" ht="39.6" customHeight="1" outlineLevel="1">
      <c r="A34" s="728"/>
      <c r="B34" s="70" t="s">
        <v>608</v>
      </c>
      <c r="C34" s="543" t="s">
        <v>191</v>
      </c>
      <c r="D34" s="427" t="s">
        <v>179</v>
      </c>
      <c r="E34" s="428">
        <v>1</v>
      </c>
      <c r="F34" s="487">
        <f>_xlfn.XLOOKUP(B34,'CPU  1 '!$F$1:$FU$1,'CPU  1 '!$F$150:$FU$150)</f>
        <v>2088.13</v>
      </c>
      <c r="G34" s="71">
        <f t="shared" ref="G34:G35" si="13">F34*E34</f>
        <v>2088.13</v>
      </c>
      <c r="H34" s="72">
        <f t="shared" si="11"/>
        <v>2.8485081819462996E-3</v>
      </c>
    </row>
    <row r="35" spans="1:12" s="67" customFormat="1" ht="27.9" customHeight="1" outlineLevel="1">
      <c r="A35" s="728"/>
      <c r="B35" s="70" t="s">
        <v>609</v>
      </c>
      <c r="C35" s="543" t="s">
        <v>192</v>
      </c>
      <c r="D35" s="427" t="s">
        <v>179</v>
      </c>
      <c r="E35" s="428">
        <v>1</v>
      </c>
      <c r="F35" s="487">
        <f>_xlfn.XLOOKUP(B35,'CPU  1 '!$F$1:$FU$1,'CPU  1 '!$F$150:$FU$150)</f>
        <v>1574.92</v>
      </c>
      <c r="G35" s="71">
        <f t="shared" si="13"/>
        <v>1574.92</v>
      </c>
      <c r="H35" s="72">
        <f t="shared" ref="H35:H43" si="14">G35/$G$55</f>
        <v>2.1484162891730238E-3</v>
      </c>
    </row>
    <row r="36" spans="1:12" s="67" customFormat="1" ht="27.9" customHeight="1" outlineLevel="1">
      <c r="A36" s="727" t="s">
        <v>617</v>
      </c>
      <c r="B36" s="78" t="s">
        <v>610</v>
      </c>
      <c r="C36" s="542" t="s">
        <v>194</v>
      </c>
      <c r="D36" s="79"/>
      <c r="E36" s="80"/>
      <c r="F36" s="81"/>
      <c r="G36" s="82">
        <f>SUM(G37:G42)</f>
        <v>178353.04</v>
      </c>
      <c r="H36" s="72"/>
    </row>
    <row r="37" spans="1:12" s="67" customFormat="1" ht="27.9" customHeight="1" outlineLevel="1">
      <c r="A37" s="728"/>
      <c r="B37" s="70" t="s">
        <v>611</v>
      </c>
      <c r="C37" s="543" t="s">
        <v>195</v>
      </c>
      <c r="D37" s="427" t="s">
        <v>179</v>
      </c>
      <c r="E37" s="428">
        <v>1</v>
      </c>
      <c r="F37" s="487">
        <f>_xlfn.XLOOKUP(B37,'CPU  1 '!$F$1:$FU$1,'CPU  1 '!$F$150:$FU$150)</f>
        <v>2259.1999999999998</v>
      </c>
      <c r="G37" s="71">
        <f t="shared" ref="G37:G42" si="15">F37*E37</f>
        <v>2259.1999999999998</v>
      </c>
      <c r="H37" s="72">
        <f t="shared" si="14"/>
        <v>3.0818721462040578E-3</v>
      </c>
    </row>
    <row r="38" spans="1:12" s="67" customFormat="1" ht="27.9" customHeight="1" outlineLevel="1">
      <c r="A38" s="728"/>
      <c r="B38" s="70" t="s">
        <v>612</v>
      </c>
      <c r="C38" s="543" t="s">
        <v>196</v>
      </c>
      <c r="D38" s="427" t="s">
        <v>177</v>
      </c>
      <c r="E38" s="428">
        <v>100</v>
      </c>
      <c r="F38" s="487">
        <f>_xlfn.XLOOKUP(B38,'CPU  1 '!$F$1:$FU$1,'CPU  1 '!$F$150:$FU$150)</f>
        <v>291.74</v>
      </c>
      <c r="G38" s="71">
        <f t="shared" si="15"/>
        <v>29174</v>
      </c>
      <c r="H38" s="72">
        <f t="shared" si="14"/>
        <v>3.9797511505558249E-2</v>
      </c>
    </row>
    <row r="39" spans="1:12" s="67" customFormat="1" ht="27.9" customHeight="1" outlineLevel="1">
      <c r="A39" s="728"/>
      <c r="B39" s="70" t="s">
        <v>613</v>
      </c>
      <c r="C39" s="543" t="s">
        <v>197</v>
      </c>
      <c r="D39" s="427" t="s">
        <v>179</v>
      </c>
      <c r="E39" s="428">
        <v>1</v>
      </c>
      <c r="F39" s="487">
        <f>_xlfn.XLOOKUP(B39,'CPU  1 '!$F$1:$FU$1,'CPU  1 '!$F$150:$FU$150)</f>
        <v>1090.21</v>
      </c>
      <c r="G39" s="71">
        <f t="shared" si="15"/>
        <v>1090.21</v>
      </c>
      <c r="H39" s="72">
        <f t="shared" si="14"/>
        <v>1.487202475439592E-3</v>
      </c>
    </row>
    <row r="40" spans="1:12" s="67" customFormat="1" ht="27.9" customHeight="1" outlineLevel="1">
      <c r="A40" s="728"/>
      <c r="B40" s="70" t="s">
        <v>614</v>
      </c>
      <c r="C40" s="543" t="s">
        <v>198</v>
      </c>
      <c r="D40" s="427" t="s">
        <v>179</v>
      </c>
      <c r="E40" s="428">
        <v>1</v>
      </c>
      <c r="F40" s="487">
        <f>_xlfn.XLOOKUP(B40,'CPU  1 '!$F$1:$FU$1,'CPU  1 '!$F$150:$FU$150)</f>
        <v>805.1</v>
      </c>
      <c r="G40" s="71">
        <f t="shared" si="15"/>
        <v>805.1</v>
      </c>
      <c r="H40" s="72">
        <f t="shared" si="14"/>
        <v>1.098271629297489E-3</v>
      </c>
    </row>
    <row r="41" spans="1:12" s="67" customFormat="1" ht="27.9" customHeight="1" outlineLevel="1">
      <c r="A41" s="728"/>
      <c r="B41" s="70" t="s">
        <v>615</v>
      </c>
      <c r="C41" s="543" t="s">
        <v>199</v>
      </c>
      <c r="D41" s="427" t="s">
        <v>179</v>
      </c>
      <c r="E41" s="428">
        <v>1</v>
      </c>
      <c r="F41" s="487">
        <f>_xlfn.XLOOKUP(B41,'CPU  1 '!$F$1:$FU$1,'CPU  1 '!$F$150:$FU$150)</f>
        <v>134773.34</v>
      </c>
      <c r="G41" s="71">
        <f t="shared" si="15"/>
        <v>134773.34</v>
      </c>
      <c r="H41" s="72">
        <f t="shared" si="14"/>
        <v>0.18385012508714998</v>
      </c>
    </row>
    <row r="42" spans="1:12" s="67" customFormat="1" ht="27.9" customHeight="1" outlineLevel="1">
      <c r="A42" s="729"/>
      <c r="B42" s="70" t="s">
        <v>616</v>
      </c>
      <c r="C42" s="543" t="s">
        <v>200</v>
      </c>
      <c r="D42" s="427" t="s">
        <v>179</v>
      </c>
      <c r="E42" s="428">
        <v>1</v>
      </c>
      <c r="F42" s="487">
        <f>_xlfn.XLOOKUP(B42,'CPU  1 '!$F$1:$FU$1,'CPU  1 '!$F$150:$FU$150)</f>
        <v>10251.19</v>
      </c>
      <c r="G42" s="71">
        <f t="shared" si="15"/>
        <v>10251.19</v>
      </c>
      <c r="H42" s="72">
        <f t="shared" si="14"/>
        <v>1.3984090353419609E-2</v>
      </c>
    </row>
    <row r="43" spans="1:12" s="67" customFormat="1" ht="36.6" customHeight="1">
      <c r="A43" s="565" t="s">
        <v>620</v>
      </c>
      <c r="B43" s="73">
        <v>4</v>
      </c>
      <c r="C43" s="540" t="s">
        <v>623</v>
      </c>
      <c r="D43" s="74"/>
      <c r="E43" s="75"/>
      <c r="F43" s="75"/>
      <c r="G43" s="77">
        <f>SUM(G44,G49,G52)</f>
        <v>68987.86</v>
      </c>
      <c r="H43" s="72"/>
    </row>
    <row r="44" spans="1:12" s="67" customFormat="1" ht="27.9" customHeight="1" outlineLevel="1">
      <c r="A44" s="565"/>
      <c r="B44" s="78" t="s">
        <v>624</v>
      </c>
      <c r="C44" s="542" t="s">
        <v>175</v>
      </c>
      <c r="D44" s="79"/>
      <c r="E44" s="80"/>
      <c r="F44" s="80"/>
      <c r="G44" s="82">
        <f>SUM(G45:G48)</f>
        <v>28495.550000000003</v>
      </c>
      <c r="H44" s="72"/>
      <c r="K44" s="480" t="s">
        <v>691</v>
      </c>
      <c r="L44" s="480">
        <f>'CPU  1 '!E28</f>
        <v>15852.96</v>
      </c>
    </row>
    <row r="45" spans="1:12" s="67" customFormat="1" ht="27.9" customHeight="1" outlineLevel="1">
      <c r="A45" s="565"/>
      <c r="B45" s="70" t="s">
        <v>628</v>
      </c>
      <c r="C45" s="543" t="s">
        <v>625</v>
      </c>
      <c r="D45" s="427" t="s">
        <v>160</v>
      </c>
      <c r="E45" s="428">
        <v>1</v>
      </c>
      <c r="F45" s="487">
        <f>_xlfn.XLOOKUP(B45,'CPU  1 '!$F$1:$FU$1,'CPU  1 '!$F$150:$FU$150)</f>
        <v>6506.18</v>
      </c>
      <c r="G45" s="71">
        <f t="shared" ref="G45:G48" si="16">F45*E45</f>
        <v>6506.18</v>
      </c>
      <c r="H45" s="72">
        <f t="shared" ref="H45:H48" si="17">G45/$G$55</f>
        <v>8.8753607118404396E-3</v>
      </c>
    </row>
    <row r="46" spans="1:12" s="67" customFormat="1" ht="27.9" customHeight="1" outlineLevel="1">
      <c r="A46" s="565"/>
      <c r="B46" s="70" t="s">
        <v>629</v>
      </c>
      <c r="C46" s="543" t="s">
        <v>626</v>
      </c>
      <c r="D46" s="427" t="s">
        <v>160</v>
      </c>
      <c r="E46" s="428">
        <v>1</v>
      </c>
      <c r="F46" s="487">
        <f>_xlfn.XLOOKUP(B46,'CPU  1 '!$F$1:$FU$1,'CPU  1 '!$F$150:$FU$150)</f>
        <v>10951.44</v>
      </c>
      <c r="G46" s="71">
        <f t="shared" si="16"/>
        <v>10951.44</v>
      </c>
      <c r="H46" s="72">
        <f t="shared" si="17"/>
        <v>1.4939331576144198E-2</v>
      </c>
    </row>
    <row r="47" spans="1:12" s="67" customFormat="1" ht="27.9" customHeight="1" outlineLevel="1">
      <c r="A47" s="565"/>
      <c r="B47" s="70" t="s">
        <v>630</v>
      </c>
      <c r="C47" s="543" t="s">
        <v>627</v>
      </c>
      <c r="D47" s="427" t="s">
        <v>160</v>
      </c>
      <c r="E47" s="428">
        <v>1</v>
      </c>
      <c r="F47" s="487">
        <f>_xlfn.XLOOKUP(B47,'CPU  1 '!$F$1:$FU$1,'CPU  1 '!$F$150:$FU$150)</f>
        <v>6225.16</v>
      </c>
      <c r="G47" s="71">
        <f t="shared" si="16"/>
        <v>6225.16</v>
      </c>
      <c r="H47" s="72">
        <f t="shared" si="17"/>
        <v>8.4920092110763335E-3</v>
      </c>
    </row>
    <row r="48" spans="1:12" s="67" customFormat="1" ht="27.9" customHeight="1" outlineLevel="1">
      <c r="A48" s="565"/>
      <c r="B48" s="70" t="s">
        <v>631</v>
      </c>
      <c r="C48" s="543" t="s">
        <v>183</v>
      </c>
      <c r="D48" s="427" t="s">
        <v>160</v>
      </c>
      <c r="E48" s="428">
        <v>1</v>
      </c>
      <c r="F48" s="487">
        <f>_xlfn.XLOOKUP(B48,'CPU  1 '!$F$1:$FU$1,'CPU  1 '!$F$150:$FU$150)</f>
        <v>4812.7700000000004</v>
      </c>
      <c r="G48" s="71">
        <f t="shared" si="16"/>
        <v>4812.7700000000004</v>
      </c>
      <c r="H48" s="72">
        <f t="shared" si="17"/>
        <v>6.5653071038803586E-3</v>
      </c>
    </row>
    <row r="49" spans="1:8" s="67" customFormat="1" ht="27.9" customHeight="1" outlineLevel="1">
      <c r="A49" s="565"/>
      <c r="B49" s="78" t="s">
        <v>632</v>
      </c>
      <c r="C49" s="542" t="s">
        <v>633</v>
      </c>
      <c r="D49" s="79"/>
      <c r="E49" s="80"/>
      <c r="F49" s="80"/>
      <c r="G49" s="82">
        <f>SUM(G50:G51)</f>
        <v>12842.25</v>
      </c>
      <c r="H49" s="72"/>
    </row>
    <row r="50" spans="1:8" s="67" customFormat="1" ht="27.9" customHeight="1" outlineLevel="1">
      <c r="A50" s="565"/>
      <c r="B50" s="70" t="s">
        <v>635</v>
      </c>
      <c r="C50" s="543" t="s">
        <v>634</v>
      </c>
      <c r="D50" s="427" t="s">
        <v>160</v>
      </c>
      <c r="E50" s="428">
        <v>1</v>
      </c>
      <c r="F50" s="487">
        <f>_xlfn.XLOOKUP(B50,'CPU  1 '!$F$1:$FU$1,'CPU  1 '!$F$150:$FU$150)</f>
        <v>7243.78</v>
      </c>
      <c r="G50" s="71">
        <f t="shared" ref="G50:G51" si="18">F50*E50</f>
        <v>7243.78</v>
      </c>
      <c r="H50" s="72">
        <f t="shared" ref="H50:H52" si="19">G50/$G$55</f>
        <v>9.8815526802540857E-3</v>
      </c>
    </row>
    <row r="51" spans="1:8" s="67" customFormat="1" ht="27.9" customHeight="1" outlineLevel="1">
      <c r="A51" s="565"/>
      <c r="B51" s="70" t="s">
        <v>637</v>
      </c>
      <c r="C51" s="543" t="s">
        <v>636</v>
      </c>
      <c r="D51" s="427" t="s">
        <v>160</v>
      </c>
      <c r="E51" s="428">
        <v>1</v>
      </c>
      <c r="F51" s="487">
        <f>_xlfn.XLOOKUP(B51,'CPU  1 '!$F$1:$FU$1,'CPU  1 '!$F$150:$FU$150)</f>
        <v>5598.47</v>
      </c>
      <c r="G51" s="71">
        <f t="shared" si="18"/>
        <v>5598.47</v>
      </c>
      <c r="H51" s="72">
        <f t="shared" si="19"/>
        <v>7.6371143565682692E-3</v>
      </c>
    </row>
    <row r="52" spans="1:8" s="67" customFormat="1" ht="27.9" customHeight="1" outlineLevel="1">
      <c r="A52" s="565"/>
      <c r="B52" s="78" t="s">
        <v>638</v>
      </c>
      <c r="C52" s="542" t="s">
        <v>194</v>
      </c>
      <c r="D52" s="79"/>
      <c r="E52" s="80"/>
      <c r="F52" s="81"/>
      <c r="G52" s="82">
        <f>SUM(G53:G54)</f>
        <v>27650.06</v>
      </c>
      <c r="H52" s="72"/>
    </row>
    <row r="53" spans="1:8" s="67" customFormat="1" ht="27.9" customHeight="1" outlineLevel="1">
      <c r="A53" s="565"/>
      <c r="B53" s="70" t="s">
        <v>641</v>
      </c>
      <c r="C53" s="543" t="s">
        <v>639</v>
      </c>
      <c r="D53" s="427" t="s">
        <v>160</v>
      </c>
      <c r="E53" s="428">
        <v>1</v>
      </c>
      <c r="F53" s="487">
        <f>_xlfn.XLOOKUP(B53,'CPU  1 '!$F$1:$FU$1,'CPU  1 '!$F$150:$FU$150)</f>
        <v>17115.650000000001</v>
      </c>
      <c r="G53" s="71">
        <f t="shared" ref="G53:G54" si="20">F53*E53</f>
        <v>17115.650000000001</v>
      </c>
      <c r="H53" s="72">
        <f t="shared" ref="H53:H54" si="21">G53/$G$55</f>
        <v>2.3348196263800237E-2</v>
      </c>
    </row>
    <row r="54" spans="1:8" s="67" customFormat="1" ht="27.9" customHeight="1" outlineLevel="1">
      <c r="A54" s="565"/>
      <c r="B54" s="70" t="s">
        <v>642</v>
      </c>
      <c r="C54" s="543" t="s">
        <v>640</v>
      </c>
      <c r="D54" s="427" t="s">
        <v>160</v>
      </c>
      <c r="E54" s="428">
        <v>1</v>
      </c>
      <c r="F54" s="487">
        <f>_xlfn.XLOOKUP(B54,'CPU  1 '!$F$1:$FU$1,'CPU  1 '!$F$150:$FU$150)</f>
        <v>10534.41</v>
      </c>
      <c r="G54" s="71">
        <f t="shared" si="20"/>
        <v>10534.41</v>
      </c>
      <c r="H54" s="72">
        <f t="shared" si="21"/>
        <v>1.4370442969056964E-2</v>
      </c>
    </row>
    <row r="55" spans="1:8" ht="36" customHeight="1">
      <c r="B55" s="735" t="s">
        <v>201</v>
      </c>
      <c r="C55" s="735"/>
      <c r="D55" s="735"/>
      <c r="E55" s="735"/>
      <c r="F55" s="735"/>
      <c r="G55" s="488">
        <f>SUM(G7,G13,G21,G43)</f>
        <v>733060.91</v>
      </c>
    </row>
    <row r="56" spans="1:8" s="55" customFormat="1" ht="71.25" customHeight="1">
      <c r="A56" s="212"/>
      <c r="B56" s="733" t="s">
        <v>202</v>
      </c>
      <c r="C56" s="734"/>
      <c r="D56" s="734"/>
      <c r="E56" s="734"/>
      <c r="F56" s="734"/>
      <c r="G56" s="734"/>
    </row>
    <row r="57" spans="1:8">
      <c r="B57" s="743" t="s">
        <v>203</v>
      </c>
      <c r="C57" s="744"/>
      <c r="D57" s="744"/>
      <c r="E57" s="744"/>
      <c r="F57" s="744"/>
      <c r="G57" s="745"/>
      <c r="H57" s="69"/>
    </row>
    <row r="58" spans="1:8">
      <c r="B58" s="746"/>
      <c r="C58" s="747"/>
      <c r="D58" s="747"/>
      <c r="E58" s="747"/>
      <c r="F58" s="747"/>
      <c r="G58" s="748"/>
      <c r="H58" s="69"/>
    </row>
    <row r="59" spans="1:8">
      <c r="B59" s="746"/>
      <c r="C59" s="747"/>
      <c r="D59" s="747"/>
      <c r="E59" s="747"/>
      <c r="F59" s="747"/>
      <c r="G59" s="748"/>
      <c r="H59" s="69"/>
    </row>
    <row r="60" spans="1:8">
      <c r="B60" s="746"/>
      <c r="C60" s="747"/>
      <c r="D60" s="747"/>
      <c r="E60" s="747"/>
      <c r="F60" s="747"/>
      <c r="G60" s="748"/>
      <c r="H60" s="69"/>
    </row>
    <row r="61" spans="1:8">
      <c r="B61" s="746"/>
      <c r="C61" s="747"/>
      <c r="D61" s="747"/>
      <c r="E61" s="747"/>
      <c r="F61" s="747"/>
      <c r="G61" s="748"/>
      <c r="H61" s="69"/>
    </row>
    <row r="62" spans="1:8">
      <c r="B62" s="746"/>
      <c r="C62" s="747"/>
      <c r="D62" s="747"/>
      <c r="E62" s="747"/>
      <c r="F62" s="747"/>
      <c r="G62" s="748"/>
      <c r="H62" s="69"/>
    </row>
    <row r="63" spans="1:8">
      <c r="B63" s="746"/>
      <c r="C63" s="747"/>
      <c r="D63" s="747"/>
      <c r="E63" s="747"/>
      <c r="F63" s="747"/>
      <c r="G63" s="748"/>
      <c r="H63" s="69"/>
    </row>
    <row r="64" spans="1:8">
      <c r="B64" s="746"/>
      <c r="C64" s="747"/>
      <c r="D64" s="747"/>
      <c r="E64" s="747"/>
      <c r="F64" s="747"/>
      <c r="G64" s="748"/>
      <c r="H64" s="69"/>
    </row>
    <row r="65" spans="2:8">
      <c r="B65" s="743" t="s">
        <v>204</v>
      </c>
      <c r="C65" s="744"/>
      <c r="D65" s="744"/>
      <c r="E65" s="744"/>
      <c r="F65" s="744"/>
      <c r="G65" s="745"/>
      <c r="H65" s="69"/>
    </row>
    <row r="66" spans="2:8">
      <c r="B66" s="746"/>
      <c r="C66" s="747"/>
      <c r="D66" s="747"/>
      <c r="E66" s="747"/>
      <c r="F66" s="747"/>
      <c r="G66" s="748"/>
      <c r="H66" s="69"/>
    </row>
    <row r="67" spans="2:8">
      <c r="B67" s="746"/>
      <c r="C67" s="747"/>
      <c r="D67" s="747"/>
      <c r="E67" s="747"/>
      <c r="F67" s="747"/>
      <c r="G67" s="748"/>
      <c r="H67" s="69"/>
    </row>
    <row r="68" spans="2:8">
      <c r="B68" s="746"/>
      <c r="C68" s="747"/>
      <c r="D68" s="747"/>
      <c r="E68" s="747"/>
      <c r="F68" s="747"/>
      <c r="G68" s="748"/>
      <c r="H68" s="69"/>
    </row>
    <row r="69" spans="2:8">
      <c r="B69" s="746"/>
      <c r="C69" s="747"/>
      <c r="D69" s="747"/>
      <c r="E69" s="747"/>
      <c r="F69" s="747"/>
      <c r="G69" s="748"/>
      <c r="H69" s="69"/>
    </row>
    <row r="70" spans="2:8">
      <c r="B70" s="746"/>
      <c r="C70" s="747"/>
      <c r="D70" s="747"/>
      <c r="E70" s="747"/>
      <c r="F70" s="747"/>
      <c r="G70" s="748"/>
      <c r="H70" s="69"/>
    </row>
    <row r="71" spans="2:8">
      <c r="B71" s="746"/>
      <c r="C71" s="747"/>
      <c r="D71" s="747"/>
      <c r="E71" s="747"/>
      <c r="F71" s="747"/>
      <c r="G71" s="748"/>
      <c r="H71" s="69"/>
    </row>
    <row r="72" spans="2:8">
      <c r="B72" s="746"/>
      <c r="C72" s="747"/>
      <c r="D72" s="747"/>
      <c r="E72" s="747"/>
      <c r="F72" s="747"/>
      <c r="G72" s="748"/>
      <c r="H72" s="69"/>
    </row>
    <row r="73" spans="2:8">
      <c r="B73" s="749"/>
      <c r="C73" s="749"/>
      <c r="D73" s="749"/>
      <c r="E73" s="749"/>
      <c r="F73" s="749"/>
      <c r="G73" s="750"/>
    </row>
  </sheetData>
  <sheetProtection selectLockedCells="1" selectUnlockedCells="1"/>
  <mergeCells count="31">
    <mergeCell ref="B72:G72"/>
    <mergeCell ref="B73:G73"/>
    <mergeCell ref="B59:G59"/>
    <mergeCell ref="B60:G60"/>
    <mergeCell ref="B61:G61"/>
    <mergeCell ref="B62:G62"/>
    <mergeCell ref="B63:G63"/>
    <mergeCell ref="B64:G64"/>
    <mergeCell ref="B70:G70"/>
    <mergeCell ref="B69:G69"/>
    <mergeCell ref="B68:G68"/>
    <mergeCell ref="B71:G71"/>
    <mergeCell ref="B57:G57"/>
    <mergeCell ref="B58:G58"/>
    <mergeCell ref="B67:G67"/>
    <mergeCell ref="B66:G66"/>
    <mergeCell ref="B65:G65"/>
    <mergeCell ref="B56:G56"/>
    <mergeCell ref="B55:F55"/>
    <mergeCell ref="C1:D1"/>
    <mergeCell ref="E1:G1"/>
    <mergeCell ref="C2:D2"/>
    <mergeCell ref="C3:D3"/>
    <mergeCell ref="F2:G2"/>
    <mergeCell ref="A1:A6"/>
    <mergeCell ref="C4:G4"/>
    <mergeCell ref="A13:A20"/>
    <mergeCell ref="A36:A42"/>
    <mergeCell ref="A29:A35"/>
    <mergeCell ref="A21:A28"/>
    <mergeCell ref="A7:A12"/>
  </mergeCells>
  <phoneticPr fontId="89" type="noConversion"/>
  <conditionalFormatting sqref="H8:H12">
    <cfRule type="dataBar" priority="1">
      <dataBar>
        <cfvo type="min"/>
        <cfvo type="max"/>
        <color rgb="FFFF555A"/>
      </dataBar>
      <extLst>
        <ext xmlns:x14="http://schemas.microsoft.com/office/spreadsheetml/2009/9/main" uri="{B025F937-C7B1-47D3-B67F-A62EFF666E3E}">
          <x14:id>{030DEE81-6CD8-4D78-B4FF-D6026877C169}</x14:id>
        </ext>
      </extLst>
    </cfRule>
  </conditionalFormatting>
  <conditionalFormatting sqref="H14:H20 H22:H54">
    <cfRule type="dataBar" priority="337">
      <dataBar>
        <cfvo type="min"/>
        <cfvo type="max"/>
        <color rgb="FFFF555A"/>
      </dataBar>
      <extLst>
        <ext xmlns:x14="http://schemas.microsoft.com/office/spreadsheetml/2009/9/main" uri="{B025F937-C7B1-47D3-B67F-A62EFF666E3E}">
          <x14:id>{9AE5D149-525A-49BD-9F2B-67D95256697D}</x14:id>
        </ext>
      </extLst>
    </cfRule>
  </conditionalFormatting>
  <hyperlinks>
    <hyperlink ref="A13:A16" location="'CPU  1'!A1" display="'CPU  1'!A1" xr:uid="{48CAF14B-D355-440B-B572-068E946B1C19}"/>
    <hyperlink ref="A21:A24" location="'CPU  2'!A1" display="'CPU  2'!A1" xr:uid="{096D96F3-A96F-4C9E-98E2-88DF93866EB3}"/>
    <hyperlink ref="A29:A32" location="'CPU  3'!A1" display="'CPU  3'!A1" xr:uid="{53EA7B54-F9F4-45CC-BA8C-B29251EB85EA}"/>
    <hyperlink ref="A36:A42" location="'CPU  5'!A1" display="'CPU  5'!A1" xr:uid="{E080EABE-8D43-4ABC-9F8B-DFF9297945CB}"/>
    <hyperlink ref="A7:A10" location="'CPU  1'!A1" display="'CPU  1'!A1" xr:uid="{7CC37564-80FC-4F92-843A-2F06BAF9D35A}"/>
    <hyperlink ref="A7:A12" location="'CPU  1 '!A1" display="'CPU  1 '!A1" xr:uid="{864C14B8-33E4-47A8-B7AB-267F7FD34DE1}"/>
    <hyperlink ref="A21:A28" location="'CPU  3'!A1" display="'CPU  3'!A1" xr:uid="{4AAA5799-5367-4A8A-AFCE-7D9D00F6B9F5}"/>
    <hyperlink ref="A13:A20" location="'CPU 2'!A1" display="'CPU 2'!A1" xr:uid="{4C6BF0EF-80E5-48C0-B99E-08EB379E83EB}"/>
    <hyperlink ref="A29:A35" location="'CPU  4'!A1" display="'CPU  4'!A1" xr:uid="{F60AC2E9-721B-4F24-94D6-BA8A58E51FCA}"/>
  </hyperlinks>
  <printOptions horizontalCentered="1"/>
  <pageMargins left="0.19685039370078741" right="0.19685039370078741" top="0.31496062992125984" bottom="0.19685039370078741" header="0" footer="0"/>
  <pageSetup paperSize="9" scale="53" fitToHeight="0" orientation="portrait" r:id="rId1"/>
  <headerFooter alignWithMargins="0"/>
  <drawing r:id="rId2"/>
  <extLst>
    <ext xmlns:x14="http://schemas.microsoft.com/office/spreadsheetml/2009/9/main" uri="{78C0D931-6437-407d-A8EE-F0AAD7539E65}">
      <x14:conditionalFormattings>
        <x14:conditionalFormatting xmlns:xm="http://schemas.microsoft.com/office/excel/2006/main">
          <x14:cfRule type="dataBar" id="{030DEE81-6CD8-4D78-B4FF-D6026877C169}">
            <x14:dataBar minLength="0" maxLength="100" border="1" negativeBarBorderColorSameAsPositive="0">
              <x14:cfvo type="autoMin"/>
              <x14:cfvo type="autoMax"/>
              <x14:borderColor rgb="FFFF555A"/>
              <x14:negativeFillColor rgb="FFFF0000"/>
              <x14:negativeBorderColor rgb="FFFF0000"/>
              <x14:axisColor rgb="FF000000"/>
            </x14:dataBar>
          </x14:cfRule>
          <xm:sqref>H8:H12</xm:sqref>
        </x14:conditionalFormatting>
        <x14:conditionalFormatting xmlns:xm="http://schemas.microsoft.com/office/excel/2006/main">
          <x14:cfRule type="dataBar" id="{9AE5D149-525A-49BD-9F2B-67D95256697D}">
            <x14:dataBar minLength="0" maxLength="100" border="1" negativeBarBorderColorSameAsPositive="0">
              <x14:cfvo type="autoMin"/>
              <x14:cfvo type="autoMax"/>
              <x14:borderColor rgb="FFFF555A"/>
              <x14:negativeFillColor rgb="FFFF0000"/>
              <x14:negativeBorderColor rgb="FFFF0000"/>
              <x14:axisColor rgb="FF000000"/>
            </x14:dataBar>
          </x14:cfRule>
          <xm:sqref>H14:H20 H22:H54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6AE83-7AC8-437E-8E48-97D4FBD1756D}">
  <sheetPr>
    <pageSetUpPr fitToPage="1"/>
  </sheetPr>
  <dimension ref="B1:DW156"/>
  <sheetViews>
    <sheetView showGridLines="0" zoomScale="70" zoomScaleNormal="70" zoomScaleSheetLayoutView="80" zoomScalePageLayoutView="125" workbookViewId="0">
      <pane xSplit="5" ySplit="4" topLeftCell="DE142" activePane="bottomRight" state="frozen"/>
      <selection pane="topRight" sqref="A1:A6"/>
      <selection pane="bottomLeft" sqref="A1:A6"/>
      <selection pane="bottomRight" activeCell="DS20" sqref="DS20"/>
    </sheetView>
  </sheetViews>
  <sheetFormatPr defaultColWidth="8.6640625" defaultRowHeight="18" customHeight="1" outlineLevelRow="1"/>
  <cols>
    <col min="1" max="1" width="0.88671875" style="88" customWidth="1"/>
    <col min="2" max="2" width="8.109375" style="88" customWidth="1"/>
    <col min="3" max="3" width="42.33203125" style="88" customWidth="1"/>
    <col min="4" max="4" width="11" style="88" customWidth="1"/>
    <col min="5" max="5" width="13.88671875" style="88" customWidth="1"/>
    <col min="6" max="6" width="15.44140625" style="88" bestFit="1" customWidth="1"/>
    <col min="7" max="7" width="10.6640625" style="88" customWidth="1"/>
    <col min="8" max="8" width="15.33203125" style="88" customWidth="1"/>
    <col min="9" max="10" width="10.6640625" style="88" customWidth="1"/>
    <col min="11" max="11" width="14" style="88" bestFit="1" customWidth="1"/>
    <col min="12" max="12" width="13" style="88" bestFit="1" customWidth="1"/>
    <col min="13" max="13" width="10.6640625" style="88" customWidth="1"/>
    <col min="14" max="14" width="15" style="88" bestFit="1" customWidth="1"/>
    <col min="15" max="15" width="12" style="88" customWidth="1"/>
    <col min="16" max="16" width="10.6640625" style="88" customWidth="1"/>
    <col min="17" max="17" width="15.6640625" style="88" bestFit="1" customWidth="1"/>
    <col min="18" max="18" width="12" style="88" customWidth="1"/>
    <col min="19" max="19" width="10.6640625" style="88" customWidth="1"/>
    <col min="20" max="20" width="16.109375" style="88" bestFit="1" customWidth="1"/>
    <col min="21" max="21" width="12" style="88" customWidth="1"/>
    <col min="22" max="22" width="10.6640625" style="88" customWidth="1"/>
    <col min="23" max="23" width="16.109375" style="88" bestFit="1" customWidth="1"/>
    <col min="24" max="24" width="12" style="88" customWidth="1"/>
    <col min="25" max="25" width="10.6640625" style="88" customWidth="1"/>
    <col min="26" max="26" width="16.109375" style="88" bestFit="1" customWidth="1"/>
    <col min="27" max="27" width="12" style="88" customWidth="1"/>
    <col min="28" max="28" width="10.6640625" style="88" customWidth="1"/>
    <col min="29" max="29" width="16.109375" style="88" bestFit="1" customWidth="1"/>
    <col min="30" max="30" width="12" style="88" customWidth="1"/>
    <col min="31" max="31" width="10.6640625" style="88" customWidth="1"/>
    <col min="32" max="32" width="16.109375" style="88" bestFit="1" customWidth="1"/>
    <col min="33" max="33" width="12" style="88" customWidth="1"/>
    <col min="34" max="34" width="10.6640625" style="88" customWidth="1"/>
    <col min="35" max="35" width="16.109375" style="88" bestFit="1" customWidth="1"/>
    <col min="36" max="36" width="12" style="88" customWidth="1"/>
    <col min="37" max="37" width="10.6640625" style="88" customWidth="1"/>
    <col min="38" max="38" width="16.109375" style="88" bestFit="1" customWidth="1"/>
    <col min="39" max="39" width="12" style="88" customWidth="1"/>
    <col min="40" max="40" width="10.6640625" style="88" customWidth="1"/>
    <col min="41" max="41" width="16.109375" style="88" bestFit="1" customWidth="1"/>
    <col min="42" max="42" width="18.33203125" style="88" customWidth="1"/>
    <col min="43" max="43" width="16.6640625" style="88" customWidth="1"/>
    <col min="44" max="44" width="16.109375" style="88" customWidth="1"/>
    <col min="45" max="45" width="12" style="88" customWidth="1"/>
    <col min="46" max="46" width="10.6640625" style="88" customWidth="1"/>
    <col min="47" max="47" width="16.109375" style="88" bestFit="1" customWidth="1"/>
    <col min="48" max="48" width="12" style="88" customWidth="1"/>
    <col min="49" max="49" width="10.6640625" style="88" customWidth="1"/>
    <col min="50" max="50" width="16.109375" style="88" bestFit="1" customWidth="1"/>
    <col min="51" max="51" width="12" style="88" customWidth="1"/>
    <col min="52" max="52" width="10.6640625" style="88" customWidth="1"/>
    <col min="53" max="53" width="16.109375" style="88" bestFit="1" customWidth="1"/>
    <col min="54" max="54" width="12" style="88" customWidth="1"/>
    <col min="55" max="55" width="10.6640625" style="88" customWidth="1"/>
    <col min="56" max="56" width="16.109375" style="88" bestFit="1" customWidth="1"/>
    <col min="57" max="57" width="12" style="88" customWidth="1"/>
    <col min="58" max="58" width="10.6640625" style="88" customWidth="1"/>
    <col min="59" max="59" width="16.109375" style="88" bestFit="1" customWidth="1"/>
    <col min="60" max="60" width="12" style="88" customWidth="1"/>
    <col min="61" max="61" width="10.6640625" style="88" customWidth="1"/>
    <col min="62" max="62" width="16.109375" style="88" bestFit="1" customWidth="1"/>
    <col min="63" max="63" width="12" style="88" customWidth="1"/>
    <col min="64" max="64" width="10.6640625" style="88" customWidth="1"/>
    <col min="65" max="65" width="16.109375" style="88" bestFit="1" customWidth="1"/>
    <col min="66" max="66" width="12" style="88" customWidth="1"/>
    <col min="67" max="67" width="10.6640625" style="88" customWidth="1"/>
    <col min="68" max="68" width="16.109375" style="88" bestFit="1" customWidth="1"/>
    <col min="69" max="69" width="12" style="88" customWidth="1"/>
    <col min="70" max="70" width="10.6640625" style="88" customWidth="1"/>
    <col min="71" max="71" width="16.109375" style="88" bestFit="1" customWidth="1"/>
    <col min="72" max="72" width="12" style="88" customWidth="1"/>
    <col min="73" max="73" width="10.6640625" style="88" customWidth="1"/>
    <col min="74" max="74" width="16.109375" style="88" bestFit="1" customWidth="1"/>
    <col min="75" max="75" width="12" style="88" customWidth="1"/>
    <col min="76" max="76" width="10.6640625" style="88" customWidth="1"/>
    <col min="77" max="77" width="16.109375" style="88" bestFit="1" customWidth="1"/>
    <col min="78" max="78" width="12" style="88" customWidth="1"/>
    <col min="79" max="79" width="10.6640625" style="88" customWidth="1"/>
    <col min="80" max="80" width="16.109375" style="88" bestFit="1" customWidth="1"/>
    <col min="81" max="81" width="12" style="88" customWidth="1"/>
    <col min="82" max="82" width="10.6640625" style="88" customWidth="1"/>
    <col min="83" max="83" width="16.109375" style="88" bestFit="1" customWidth="1"/>
    <col min="84" max="84" width="12" style="88" customWidth="1"/>
    <col min="85" max="85" width="10.6640625" style="88" customWidth="1"/>
    <col min="86" max="86" width="16.109375" style="88" bestFit="1" customWidth="1"/>
    <col min="87" max="87" width="12" style="88" customWidth="1"/>
    <col min="88" max="88" width="10.6640625" style="88" customWidth="1"/>
    <col min="89" max="89" width="16.109375" style="88" bestFit="1" customWidth="1"/>
    <col min="90" max="90" width="12" style="88" customWidth="1"/>
    <col min="91" max="91" width="10.6640625" style="88" customWidth="1"/>
    <col min="92" max="92" width="16.109375" style="88" bestFit="1" customWidth="1"/>
    <col min="93" max="93" width="12" style="88" customWidth="1"/>
    <col min="94" max="94" width="10.6640625" style="88" customWidth="1"/>
    <col min="95" max="95" width="16.109375" style="88" bestFit="1" customWidth="1"/>
    <col min="96" max="96" width="12" style="88" customWidth="1"/>
    <col min="97" max="97" width="10.6640625" style="88" customWidth="1"/>
    <col min="98" max="98" width="16.109375" style="88" bestFit="1" customWidth="1"/>
    <col min="99" max="99" width="12" style="88" customWidth="1"/>
    <col min="100" max="100" width="10.6640625" style="88" customWidth="1"/>
    <col min="101" max="101" width="16.109375" style="88" bestFit="1" customWidth="1"/>
    <col min="102" max="102" width="12" style="88" customWidth="1"/>
    <col min="103" max="103" width="10.6640625" style="88" customWidth="1"/>
    <col min="104" max="104" width="16.109375" style="88" bestFit="1" customWidth="1"/>
    <col min="105" max="105" width="12" style="88" customWidth="1"/>
    <col min="106" max="106" width="10.6640625" style="88" customWidth="1"/>
    <col min="107" max="107" width="16.109375" style="88" bestFit="1" customWidth="1"/>
    <col min="108" max="108" width="12" style="88" customWidth="1"/>
    <col min="109" max="109" width="10.6640625" style="88" customWidth="1"/>
    <col min="110" max="110" width="16.109375" style="88" bestFit="1" customWidth="1"/>
    <col min="111" max="111" width="12" style="88" customWidth="1"/>
    <col min="112" max="112" width="10.6640625" style="88" customWidth="1"/>
    <col min="113" max="113" width="16.109375" style="88" bestFit="1" customWidth="1"/>
    <col min="114" max="114" width="12" style="88" customWidth="1"/>
    <col min="115" max="115" width="10.6640625" style="88" customWidth="1"/>
    <col min="116" max="116" width="16.109375" style="88" bestFit="1" customWidth="1"/>
    <col min="117" max="117" width="12" style="88" customWidth="1"/>
    <col min="118" max="118" width="10.6640625" style="88" customWidth="1"/>
    <col min="119" max="119" width="16.109375" style="88" bestFit="1" customWidth="1"/>
    <col min="120" max="120" width="1" style="88" customWidth="1"/>
    <col min="121" max="121" width="10" style="195" customWidth="1"/>
    <col min="122" max="122" width="11.21875" style="195" bestFit="1" customWidth="1"/>
    <col min="123" max="123" width="15" style="195" bestFit="1" customWidth="1"/>
    <col min="124" max="124" width="16" style="85" customWidth="1"/>
    <col min="125" max="126" width="9.109375" style="88"/>
    <col min="127" max="127" width="14.6640625" style="88" customWidth="1"/>
    <col min="128" max="258" width="9.109375" style="88"/>
    <col min="259" max="259" width="3.44140625" style="88" customWidth="1"/>
    <col min="260" max="260" width="7" style="88" customWidth="1"/>
    <col min="261" max="261" width="25.44140625" style="88" customWidth="1"/>
    <col min="262" max="262" width="12" style="88" customWidth="1"/>
    <col min="263" max="263" width="12.6640625" style="88" bestFit="1" customWidth="1"/>
    <col min="264" max="264" width="7.44140625" style="88" bestFit="1" customWidth="1"/>
    <col min="265" max="265" width="7.6640625" style="88" bestFit="1" customWidth="1"/>
    <col min="266" max="266" width="15" style="88" customWidth="1"/>
    <col min="267" max="267" width="7.44140625" style="88" bestFit="1" customWidth="1"/>
    <col min="268" max="268" width="7.6640625" style="88" bestFit="1" customWidth="1"/>
    <col min="269" max="269" width="15" style="88" bestFit="1" customWidth="1"/>
    <col min="270" max="270" width="7.44140625" style="88" bestFit="1" customWidth="1"/>
    <col min="271" max="271" width="7.6640625" style="88" bestFit="1" customWidth="1"/>
    <col min="272" max="272" width="9.44140625" style="88" bestFit="1" customWidth="1"/>
    <col min="273" max="273" width="8" style="88" bestFit="1" customWidth="1"/>
    <col min="274" max="274" width="7.6640625" style="88" bestFit="1" customWidth="1"/>
    <col min="275" max="275" width="10.44140625" style="88" bestFit="1" customWidth="1"/>
    <col min="276" max="276" width="8" style="88" bestFit="1" customWidth="1"/>
    <col min="277" max="277" width="7.6640625" style="88" bestFit="1" customWidth="1"/>
    <col min="278" max="278" width="10.44140625" style="88" bestFit="1" customWidth="1"/>
    <col min="279" max="279" width="7.44140625" style="88" bestFit="1" customWidth="1"/>
    <col min="280" max="280" width="7.6640625" style="88" bestFit="1" customWidth="1"/>
    <col min="281" max="281" width="10.44140625" style="88" bestFit="1" customWidth="1"/>
    <col min="282" max="282" width="8" style="88" bestFit="1" customWidth="1"/>
    <col min="283" max="283" width="7.6640625" style="88" bestFit="1" customWidth="1"/>
    <col min="284" max="284" width="10.44140625" style="88" bestFit="1" customWidth="1"/>
    <col min="285" max="285" width="7.44140625" style="88" bestFit="1" customWidth="1"/>
    <col min="286" max="286" width="7.6640625" style="88" bestFit="1" customWidth="1"/>
    <col min="287" max="287" width="10.44140625" style="88" bestFit="1" customWidth="1"/>
    <col min="288" max="288" width="7.44140625" style="88" bestFit="1" customWidth="1"/>
    <col min="289" max="289" width="7.6640625" style="88" bestFit="1" customWidth="1"/>
    <col min="290" max="290" width="10.44140625" style="88" bestFit="1" customWidth="1"/>
    <col min="291" max="291" width="5.109375" style="88" customWidth="1"/>
    <col min="292" max="514" width="9.109375" style="88"/>
    <col min="515" max="515" width="3.44140625" style="88" customWidth="1"/>
    <col min="516" max="516" width="7" style="88" customWidth="1"/>
    <col min="517" max="517" width="25.44140625" style="88" customWidth="1"/>
    <col min="518" max="518" width="12" style="88" customWidth="1"/>
    <col min="519" max="519" width="12.6640625" style="88" bestFit="1" customWidth="1"/>
    <col min="520" max="520" width="7.44140625" style="88" bestFit="1" customWidth="1"/>
    <col min="521" max="521" width="7.6640625" style="88" bestFit="1" customWidth="1"/>
    <col min="522" max="522" width="15" style="88" customWidth="1"/>
    <col min="523" max="523" width="7.44140625" style="88" bestFit="1" customWidth="1"/>
    <col min="524" max="524" width="7.6640625" style="88" bestFit="1" customWidth="1"/>
    <col min="525" max="525" width="15" style="88" bestFit="1" customWidth="1"/>
    <col min="526" max="526" width="7.44140625" style="88" bestFit="1" customWidth="1"/>
    <col min="527" max="527" width="7.6640625" style="88" bestFit="1" customWidth="1"/>
    <col min="528" max="528" width="9.44140625" style="88" bestFit="1" customWidth="1"/>
    <col min="529" max="529" width="8" style="88" bestFit="1" customWidth="1"/>
    <col min="530" max="530" width="7.6640625" style="88" bestFit="1" customWidth="1"/>
    <col min="531" max="531" width="10.44140625" style="88" bestFit="1" customWidth="1"/>
    <col min="532" max="532" width="8" style="88" bestFit="1" customWidth="1"/>
    <col min="533" max="533" width="7.6640625" style="88" bestFit="1" customWidth="1"/>
    <col min="534" max="534" width="10.44140625" style="88" bestFit="1" customWidth="1"/>
    <col min="535" max="535" width="7.44140625" style="88" bestFit="1" customWidth="1"/>
    <col min="536" max="536" width="7.6640625" style="88" bestFit="1" customWidth="1"/>
    <col min="537" max="537" width="10.44140625" style="88" bestFit="1" customWidth="1"/>
    <col min="538" max="538" width="8" style="88" bestFit="1" customWidth="1"/>
    <col min="539" max="539" width="7.6640625" style="88" bestFit="1" customWidth="1"/>
    <col min="540" max="540" width="10.44140625" style="88" bestFit="1" customWidth="1"/>
    <col min="541" max="541" width="7.44140625" style="88" bestFit="1" customWidth="1"/>
    <col min="542" max="542" width="7.6640625" style="88" bestFit="1" customWidth="1"/>
    <col min="543" max="543" width="10.44140625" style="88" bestFit="1" customWidth="1"/>
    <col min="544" max="544" width="7.44140625" style="88" bestFit="1" customWidth="1"/>
    <col min="545" max="545" width="7.6640625" style="88" bestFit="1" customWidth="1"/>
    <col min="546" max="546" width="10.44140625" style="88" bestFit="1" customWidth="1"/>
    <col min="547" max="547" width="5.109375" style="88" customWidth="1"/>
    <col min="548" max="770" width="9.109375" style="88"/>
    <col min="771" max="771" width="3.44140625" style="88" customWidth="1"/>
    <col min="772" max="772" width="7" style="88" customWidth="1"/>
    <col min="773" max="773" width="25.44140625" style="88" customWidth="1"/>
    <col min="774" max="774" width="12" style="88" customWidth="1"/>
    <col min="775" max="775" width="12.6640625" style="88" bestFit="1" customWidth="1"/>
    <col min="776" max="776" width="7.44140625" style="88" bestFit="1" customWidth="1"/>
    <col min="777" max="777" width="7.6640625" style="88" bestFit="1" customWidth="1"/>
    <col min="778" max="778" width="15" style="88" customWidth="1"/>
    <col min="779" max="779" width="7.44140625" style="88" bestFit="1" customWidth="1"/>
    <col min="780" max="780" width="7.6640625" style="88" bestFit="1" customWidth="1"/>
    <col min="781" max="781" width="15" style="88" bestFit="1" customWidth="1"/>
    <col min="782" max="782" width="7.44140625" style="88" bestFit="1" customWidth="1"/>
    <col min="783" max="783" width="7.6640625" style="88" bestFit="1" customWidth="1"/>
    <col min="784" max="784" width="9.44140625" style="88" bestFit="1" customWidth="1"/>
    <col min="785" max="785" width="8" style="88" bestFit="1" customWidth="1"/>
    <col min="786" max="786" width="7.6640625" style="88" bestFit="1" customWidth="1"/>
    <col min="787" max="787" width="10.44140625" style="88" bestFit="1" customWidth="1"/>
    <col min="788" max="788" width="8" style="88" bestFit="1" customWidth="1"/>
    <col min="789" max="789" width="7.6640625" style="88" bestFit="1" customWidth="1"/>
    <col min="790" max="790" width="10.44140625" style="88" bestFit="1" customWidth="1"/>
    <col min="791" max="791" width="7.44140625" style="88" bestFit="1" customWidth="1"/>
    <col min="792" max="792" width="7.6640625" style="88" bestFit="1" customWidth="1"/>
    <col min="793" max="793" width="10.44140625" style="88" bestFit="1" customWidth="1"/>
    <col min="794" max="794" width="8" style="88" bestFit="1" customWidth="1"/>
    <col min="795" max="795" width="7.6640625" style="88" bestFit="1" customWidth="1"/>
    <col min="796" max="796" width="10.44140625" style="88" bestFit="1" customWidth="1"/>
    <col min="797" max="797" width="7.44140625" style="88" bestFit="1" customWidth="1"/>
    <col min="798" max="798" width="7.6640625" style="88" bestFit="1" customWidth="1"/>
    <col min="799" max="799" width="10.44140625" style="88" bestFit="1" customWidth="1"/>
    <col min="800" max="800" width="7.44140625" style="88" bestFit="1" customWidth="1"/>
    <col min="801" max="801" width="7.6640625" style="88" bestFit="1" customWidth="1"/>
    <col min="802" max="802" width="10.44140625" style="88" bestFit="1" customWidth="1"/>
    <col min="803" max="803" width="5.109375" style="88" customWidth="1"/>
    <col min="804" max="1026" width="9.109375" style="88"/>
    <col min="1027" max="1027" width="3.44140625" style="88" customWidth="1"/>
    <col min="1028" max="1028" width="7" style="88" customWidth="1"/>
    <col min="1029" max="1029" width="25.44140625" style="88" customWidth="1"/>
    <col min="1030" max="1030" width="12" style="88" customWidth="1"/>
    <col min="1031" max="1031" width="12.6640625" style="88" bestFit="1" customWidth="1"/>
    <col min="1032" max="1032" width="7.44140625" style="88" bestFit="1" customWidth="1"/>
    <col min="1033" max="1033" width="7.6640625" style="88" bestFit="1" customWidth="1"/>
    <col min="1034" max="1034" width="15" style="88" customWidth="1"/>
    <col min="1035" max="1035" width="7.44140625" style="88" bestFit="1" customWidth="1"/>
    <col min="1036" max="1036" width="7.6640625" style="88" bestFit="1" customWidth="1"/>
    <col min="1037" max="1037" width="15" style="88" bestFit="1" customWidth="1"/>
    <col min="1038" max="1038" width="7.44140625" style="88" bestFit="1" customWidth="1"/>
    <col min="1039" max="1039" width="7.6640625" style="88" bestFit="1" customWidth="1"/>
    <col min="1040" max="1040" width="9.44140625" style="88" bestFit="1" customWidth="1"/>
    <col min="1041" max="1041" width="8" style="88" bestFit="1" customWidth="1"/>
    <col min="1042" max="1042" width="7.6640625" style="88" bestFit="1" customWidth="1"/>
    <col min="1043" max="1043" width="10.44140625" style="88" bestFit="1" customWidth="1"/>
    <col min="1044" max="1044" width="8" style="88" bestFit="1" customWidth="1"/>
    <col min="1045" max="1045" width="7.6640625" style="88" bestFit="1" customWidth="1"/>
    <col min="1046" max="1046" width="10.44140625" style="88" bestFit="1" customWidth="1"/>
    <col min="1047" max="1047" width="7.44140625" style="88" bestFit="1" customWidth="1"/>
    <col min="1048" max="1048" width="7.6640625" style="88" bestFit="1" customWidth="1"/>
    <col min="1049" max="1049" width="10.44140625" style="88" bestFit="1" customWidth="1"/>
    <col min="1050" max="1050" width="8" style="88" bestFit="1" customWidth="1"/>
    <col min="1051" max="1051" width="7.6640625" style="88" bestFit="1" customWidth="1"/>
    <col min="1052" max="1052" width="10.44140625" style="88" bestFit="1" customWidth="1"/>
    <col min="1053" max="1053" width="7.44140625" style="88" bestFit="1" customWidth="1"/>
    <col min="1054" max="1054" width="7.6640625" style="88" bestFit="1" customWidth="1"/>
    <col min="1055" max="1055" width="10.44140625" style="88" bestFit="1" customWidth="1"/>
    <col min="1056" max="1056" width="7.44140625" style="88" bestFit="1" customWidth="1"/>
    <col min="1057" max="1057" width="7.6640625" style="88" bestFit="1" customWidth="1"/>
    <col min="1058" max="1058" width="10.44140625" style="88" bestFit="1" customWidth="1"/>
    <col min="1059" max="1059" width="5.109375" style="88" customWidth="1"/>
    <col min="1060" max="1282" width="9.109375" style="88"/>
    <col min="1283" max="1283" width="3.44140625" style="88" customWidth="1"/>
    <col min="1284" max="1284" width="7" style="88" customWidth="1"/>
    <col min="1285" max="1285" width="25.44140625" style="88" customWidth="1"/>
    <col min="1286" max="1286" width="12" style="88" customWidth="1"/>
    <col min="1287" max="1287" width="12.6640625" style="88" bestFit="1" customWidth="1"/>
    <col min="1288" max="1288" width="7.44140625" style="88" bestFit="1" customWidth="1"/>
    <col min="1289" max="1289" width="7.6640625" style="88" bestFit="1" customWidth="1"/>
    <col min="1290" max="1290" width="15" style="88" customWidth="1"/>
    <col min="1291" max="1291" width="7.44140625" style="88" bestFit="1" customWidth="1"/>
    <col min="1292" max="1292" width="7.6640625" style="88" bestFit="1" customWidth="1"/>
    <col min="1293" max="1293" width="15" style="88" bestFit="1" customWidth="1"/>
    <col min="1294" max="1294" width="7.44140625" style="88" bestFit="1" customWidth="1"/>
    <col min="1295" max="1295" width="7.6640625" style="88" bestFit="1" customWidth="1"/>
    <col min="1296" max="1296" width="9.44140625" style="88" bestFit="1" customWidth="1"/>
    <col min="1297" max="1297" width="8" style="88" bestFit="1" customWidth="1"/>
    <col min="1298" max="1298" width="7.6640625" style="88" bestFit="1" customWidth="1"/>
    <col min="1299" max="1299" width="10.44140625" style="88" bestFit="1" customWidth="1"/>
    <col min="1300" max="1300" width="8" style="88" bestFit="1" customWidth="1"/>
    <col min="1301" max="1301" width="7.6640625" style="88" bestFit="1" customWidth="1"/>
    <col min="1302" max="1302" width="10.44140625" style="88" bestFit="1" customWidth="1"/>
    <col min="1303" max="1303" width="7.44140625" style="88" bestFit="1" customWidth="1"/>
    <col min="1304" max="1304" width="7.6640625" style="88" bestFit="1" customWidth="1"/>
    <col min="1305" max="1305" width="10.44140625" style="88" bestFit="1" customWidth="1"/>
    <col min="1306" max="1306" width="8" style="88" bestFit="1" customWidth="1"/>
    <col min="1307" max="1307" width="7.6640625" style="88" bestFit="1" customWidth="1"/>
    <col min="1308" max="1308" width="10.44140625" style="88" bestFit="1" customWidth="1"/>
    <col min="1309" max="1309" width="7.44140625" style="88" bestFit="1" customWidth="1"/>
    <col min="1310" max="1310" width="7.6640625" style="88" bestFit="1" customWidth="1"/>
    <col min="1311" max="1311" width="10.44140625" style="88" bestFit="1" customWidth="1"/>
    <col min="1312" max="1312" width="7.44140625" style="88" bestFit="1" customWidth="1"/>
    <col min="1313" max="1313" width="7.6640625" style="88" bestFit="1" customWidth="1"/>
    <col min="1314" max="1314" width="10.44140625" style="88" bestFit="1" customWidth="1"/>
    <col min="1315" max="1315" width="5.109375" style="88" customWidth="1"/>
    <col min="1316" max="1538" width="9.109375" style="88"/>
    <col min="1539" max="1539" width="3.44140625" style="88" customWidth="1"/>
    <col min="1540" max="1540" width="7" style="88" customWidth="1"/>
    <col min="1541" max="1541" width="25.44140625" style="88" customWidth="1"/>
    <col min="1542" max="1542" width="12" style="88" customWidth="1"/>
    <col min="1543" max="1543" width="12.6640625" style="88" bestFit="1" customWidth="1"/>
    <col min="1544" max="1544" width="7.44140625" style="88" bestFit="1" customWidth="1"/>
    <col min="1545" max="1545" width="7.6640625" style="88" bestFit="1" customWidth="1"/>
    <col min="1546" max="1546" width="15" style="88" customWidth="1"/>
    <col min="1547" max="1547" width="7.44140625" style="88" bestFit="1" customWidth="1"/>
    <col min="1548" max="1548" width="7.6640625" style="88" bestFit="1" customWidth="1"/>
    <col min="1549" max="1549" width="15" style="88" bestFit="1" customWidth="1"/>
    <col min="1550" max="1550" width="7.44140625" style="88" bestFit="1" customWidth="1"/>
    <col min="1551" max="1551" width="7.6640625" style="88" bestFit="1" customWidth="1"/>
    <col min="1552" max="1552" width="9.44140625" style="88" bestFit="1" customWidth="1"/>
    <col min="1553" max="1553" width="8" style="88" bestFit="1" customWidth="1"/>
    <col min="1554" max="1554" width="7.6640625" style="88" bestFit="1" customWidth="1"/>
    <col min="1555" max="1555" width="10.44140625" style="88" bestFit="1" customWidth="1"/>
    <col min="1556" max="1556" width="8" style="88" bestFit="1" customWidth="1"/>
    <col min="1557" max="1557" width="7.6640625" style="88" bestFit="1" customWidth="1"/>
    <col min="1558" max="1558" width="10.44140625" style="88" bestFit="1" customWidth="1"/>
    <col min="1559" max="1559" width="7.44140625" style="88" bestFit="1" customWidth="1"/>
    <col min="1560" max="1560" width="7.6640625" style="88" bestFit="1" customWidth="1"/>
    <col min="1561" max="1561" width="10.44140625" style="88" bestFit="1" customWidth="1"/>
    <col min="1562" max="1562" width="8" style="88" bestFit="1" customWidth="1"/>
    <col min="1563" max="1563" width="7.6640625" style="88" bestFit="1" customWidth="1"/>
    <col min="1564" max="1564" width="10.44140625" style="88" bestFit="1" customWidth="1"/>
    <col min="1565" max="1565" width="7.44140625" style="88" bestFit="1" customWidth="1"/>
    <col min="1566" max="1566" width="7.6640625" style="88" bestFit="1" customWidth="1"/>
    <col min="1567" max="1567" width="10.44140625" style="88" bestFit="1" customWidth="1"/>
    <col min="1568" max="1568" width="7.44140625" style="88" bestFit="1" customWidth="1"/>
    <col min="1569" max="1569" width="7.6640625" style="88" bestFit="1" customWidth="1"/>
    <col min="1570" max="1570" width="10.44140625" style="88" bestFit="1" customWidth="1"/>
    <col min="1571" max="1571" width="5.109375" style="88" customWidth="1"/>
    <col min="1572" max="1794" width="9.109375" style="88"/>
    <col min="1795" max="1795" width="3.44140625" style="88" customWidth="1"/>
    <col min="1796" max="1796" width="7" style="88" customWidth="1"/>
    <col min="1797" max="1797" width="25.44140625" style="88" customWidth="1"/>
    <col min="1798" max="1798" width="12" style="88" customWidth="1"/>
    <col min="1799" max="1799" width="12.6640625" style="88" bestFit="1" customWidth="1"/>
    <col min="1800" max="1800" width="7.44140625" style="88" bestFit="1" customWidth="1"/>
    <col min="1801" max="1801" width="7.6640625" style="88" bestFit="1" customWidth="1"/>
    <col min="1802" max="1802" width="15" style="88" customWidth="1"/>
    <col min="1803" max="1803" width="7.44140625" style="88" bestFit="1" customWidth="1"/>
    <col min="1804" max="1804" width="7.6640625" style="88" bestFit="1" customWidth="1"/>
    <col min="1805" max="1805" width="15" style="88" bestFit="1" customWidth="1"/>
    <col min="1806" max="1806" width="7.44140625" style="88" bestFit="1" customWidth="1"/>
    <col min="1807" max="1807" width="7.6640625" style="88" bestFit="1" customWidth="1"/>
    <col min="1808" max="1808" width="9.44140625" style="88" bestFit="1" customWidth="1"/>
    <col min="1809" max="1809" width="8" style="88" bestFit="1" customWidth="1"/>
    <col min="1810" max="1810" width="7.6640625" style="88" bestFit="1" customWidth="1"/>
    <col min="1811" max="1811" width="10.44140625" style="88" bestFit="1" customWidth="1"/>
    <col min="1812" max="1812" width="8" style="88" bestFit="1" customWidth="1"/>
    <col min="1813" max="1813" width="7.6640625" style="88" bestFit="1" customWidth="1"/>
    <col min="1814" max="1814" width="10.44140625" style="88" bestFit="1" customWidth="1"/>
    <col min="1815" max="1815" width="7.44140625" style="88" bestFit="1" customWidth="1"/>
    <col min="1816" max="1816" width="7.6640625" style="88" bestFit="1" customWidth="1"/>
    <col min="1817" max="1817" width="10.44140625" style="88" bestFit="1" customWidth="1"/>
    <col min="1818" max="1818" width="8" style="88" bestFit="1" customWidth="1"/>
    <col min="1819" max="1819" width="7.6640625" style="88" bestFit="1" customWidth="1"/>
    <col min="1820" max="1820" width="10.44140625" style="88" bestFit="1" customWidth="1"/>
    <col min="1821" max="1821" width="7.44140625" style="88" bestFit="1" customWidth="1"/>
    <col min="1822" max="1822" width="7.6640625" style="88" bestFit="1" customWidth="1"/>
    <col min="1823" max="1823" width="10.44140625" style="88" bestFit="1" customWidth="1"/>
    <col min="1824" max="1824" width="7.44140625" style="88" bestFit="1" customWidth="1"/>
    <col min="1825" max="1825" width="7.6640625" style="88" bestFit="1" customWidth="1"/>
    <col min="1826" max="1826" width="10.44140625" style="88" bestFit="1" customWidth="1"/>
    <col min="1827" max="1827" width="5.109375" style="88" customWidth="1"/>
    <col min="1828" max="2050" width="9.109375" style="88"/>
    <col min="2051" max="2051" width="3.44140625" style="88" customWidth="1"/>
    <col min="2052" max="2052" width="7" style="88" customWidth="1"/>
    <col min="2053" max="2053" width="25.44140625" style="88" customWidth="1"/>
    <col min="2054" max="2054" width="12" style="88" customWidth="1"/>
    <col min="2055" max="2055" width="12.6640625" style="88" bestFit="1" customWidth="1"/>
    <col min="2056" max="2056" width="7.44140625" style="88" bestFit="1" customWidth="1"/>
    <col min="2057" max="2057" width="7.6640625" style="88" bestFit="1" customWidth="1"/>
    <col min="2058" max="2058" width="15" style="88" customWidth="1"/>
    <col min="2059" max="2059" width="7.44140625" style="88" bestFit="1" customWidth="1"/>
    <col min="2060" max="2060" width="7.6640625" style="88" bestFit="1" customWidth="1"/>
    <col min="2061" max="2061" width="15" style="88" bestFit="1" customWidth="1"/>
    <col min="2062" max="2062" width="7.44140625" style="88" bestFit="1" customWidth="1"/>
    <col min="2063" max="2063" width="7.6640625" style="88" bestFit="1" customWidth="1"/>
    <col min="2064" max="2064" width="9.44140625" style="88" bestFit="1" customWidth="1"/>
    <col min="2065" max="2065" width="8" style="88" bestFit="1" customWidth="1"/>
    <col min="2066" max="2066" width="7.6640625" style="88" bestFit="1" customWidth="1"/>
    <col min="2067" max="2067" width="10.44140625" style="88" bestFit="1" customWidth="1"/>
    <col min="2068" max="2068" width="8" style="88" bestFit="1" customWidth="1"/>
    <col min="2069" max="2069" width="7.6640625" style="88" bestFit="1" customWidth="1"/>
    <col min="2070" max="2070" width="10.44140625" style="88" bestFit="1" customWidth="1"/>
    <col min="2071" max="2071" width="7.44140625" style="88" bestFit="1" customWidth="1"/>
    <col min="2072" max="2072" width="7.6640625" style="88" bestFit="1" customWidth="1"/>
    <col min="2073" max="2073" width="10.44140625" style="88" bestFit="1" customWidth="1"/>
    <col min="2074" max="2074" width="8" style="88" bestFit="1" customWidth="1"/>
    <col min="2075" max="2075" width="7.6640625" style="88" bestFit="1" customWidth="1"/>
    <col min="2076" max="2076" width="10.44140625" style="88" bestFit="1" customWidth="1"/>
    <col min="2077" max="2077" width="7.44140625" style="88" bestFit="1" customWidth="1"/>
    <col min="2078" max="2078" width="7.6640625" style="88" bestFit="1" customWidth="1"/>
    <col min="2079" max="2079" width="10.44140625" style="88" bestFit="1" customWidth="1"/>
    <col min="2080" max="2080" width="7.44140625" style="88" bestFit="1" customWidth="1"/>
    <col min="2081" max="2081" width="7.6640625" style="88" bestFit="1" customWidth="1"/>
    <col min="2082" max="2082" width="10.44140625" style="88" bestFit="1" customWidth="1"/>
    <col min="2083" max="2083" width="5.109375" style="88" customWidth="1"/>
    <col min="2084" max="2306" width="9.109375" style="88"/>
    <col min="2307" max="2307" width="3.44140625" style="88" customWidth="1"/>
    <col min="2308" max="2308" width="7" style="88" customWidth="1"/>
    <col min="2309" max="2309" width="25.44140625" style="88" customWidth="1"/>
    <col min="2310" max="2310" width="12" style="88" customWidth="1"/>
    <col min="2311" max="2311" width="12.6640625" style="88" bestFit="1" customWidth="1"/>
    <col min="2312" max="2312" width="7.44140625" style="88" bestFit="1" customWidth="1"/>
    <col min="2313" max="2313" width="7.6640625" style="88" bestFit="1" customWidth="1"/>
    <col min="2314" max="2314" width="15" style="88" customWidth="1"/>
    <col min="2315" max="2315" width="7.44140625" style="88" bestFit="1" customWidth="1"/>
    <col min="2316" max="2316" width="7.6640625" style="88" bestFit="1" customWidth="1"/>
    <col min="2317" max="2317" width="15" style="88" bestFit="1" customWidth="1"/>
    <col min="2318" max="2318" width="7.44140625" style="88" bestFit="1" customWidth="1"/>
    <col min="2319" max="2319" width="7.6640625" style="88" bestFit="1" customWidth="1"/>
    <col min="2320" max="2320" width="9.44140625" style="88" bestFit="1" customWidth="1"/>
    <col min="2321" max="2321" width="8" style="88" bestFit="1" customWidth="1"/>
    <col min="2322" max="2322" width="7.6640625" style="88" bestFit="1" customWidth="1"/>
    <col min="2323" max="2323" width="10.44140625" style="88" bestFit="1" customWidth="1"/>
    <col min="2324" max="2324" width="8" style="88" bestFit="1" customWidth="1"/>
    <col min="2325" max="2325" width="7.6640625" style="88" bestFit="1" customWidth="1"/>
    <col min="2326" max="2326" width="10.44140625" style="88" bestFit="1" customWidth="1"/>
    <col min="2327" max="2327" width="7.44140625" style="88" bestFit="1" customWidth="1"/>
    <col min="2328" max="2328" width="7.6640625" style="88" bestFit="1" customWidth="1"/>
    <col min="2329" max="2329" width="10.44140625" style="88" bestFit="1" customWidth="1"/>
    <col min="2330" max="2330" width="8" style="88" bestFit="1" customWidth="1"/>
    <col min="2331" max="2331" width="7.6640625" style="88" bestFit="1" customWidth="1"/>
    <col min="2332" max="2332" width="10.44140625" style="88" bestFit="1" customWidth="1"/>
    <col min="2333" max="2333" width="7.44140625" style="88" bestFit="1" customWidth="1"/>
    <col min="2334" max="2334" width="7.6640625" style="88" bestFit="1" customWidth="1"/>
    <col min="2335" max="2335" width="10.44140625" style="88" bestFit="1" customWidth="1"/>
    <col min="2336" max="2336" width="7.44140625" style="88" bestFit="1" customWidth="1"/>
    <col min="2337" max="2337" width="7.6640625" style="88" bestFit="1" customWidth="1"/>
    <col min="2338" max="2338" width="10.44140625" style="88" bestFit="1" customWidth="1"/>
    <col min="2339" max="2339" width="5.109375" style="88" customWidth="1"/>
    <col min="2340" max="2562" width="9.109375" style="88"/>
    <col min="2563" max="2563" width="3.44140625" style="88" customWidth="1"/>
    <col min="2564" max="2564" width="7" style="88" customWidth="1"/>
    <col min="2565" max="2565" width="25.44140625" style="88" customWidth="1"/>
    <col min="2566" max="2566" width="12" style="88" customWidth="1"/>
    <col min="2567" max="2567" width="12.6640625" style="88" bestFit="1" customWidth="1"/>
    <col min="2568" max="2568" width="7.44140625" style="88" bestFit="1" customWidth="1"/>
    <col min="2569" max="2569" width="7.6640625" style="88" bestFit="1" customWidth="1"/>
    <col min="2570" max="2570" width="15" style="88" customWidth="1"/>
    <col min="2571" max="2571" width="7.44140625" style="88" bestFit="1" customWidth="1"/>
    <col min="2572" max="2572" width="7.6640625" style="88" bestFit="1" customWidth="1"/>
    <col min="2573" max="2573" width="15" style="88" bestFit="1" customWidth="1"/>
    <col min="2574" max="2574" width="7.44140625" style="88" bestFit="1" customWidth="1"/>
    <col min="2575" max="2575" width="7.6640625" style="88" bestFit="1" customWidth="1"/>
    <col min="2576" max="2576" width="9.44140625" style="88" bestFit="1" customWidth="1"/>
    <col min="2577" max="2577" width="8" style="88" bestFit="1" customWidth="1"/>
    <col min="2578" max="2578" width="7.6640625" style="88" bestFit="1" customWidth="1"/>
    <col min="2579" max="2579" width="10.44140625" style="88" bestFit="1" customWidth="1"/>
    <col min="2580" max="2580" width="8" style="88" bestFit="1" customWidth="1"/>
    <col min="2581" max="2581" width="7.6640625" style="88" bestFit="1" customWidth="1"/>
    <col min="2582" max="2582" width="10.44140625" style="88" bestFit="1" customWidth="1"/>
    <col min="2583" max="2583" width="7.44140625" style="88" bestFit="1" customWidth="1"/>
    <col min="2584" max="2584" width="7.6640625" style="88" bestFit="1" customWidth="1"/>
    <col min="2585" max="2585" width="10.44140625" style="88" bestFit="1" customWidth="1"/>
    <col min="2586" max="2586" width="8" style="88" bestFit="1" customWidth="1"/>
    <col min="2587" max="2587" width="7.6640625" style="88" bestFit="1" customWidth="1"/>
    <col min="2588" max="2588" width="10.44140625" style="88" bestFit="1" customWidth="1"/>
    <col min="2589" max="2589" width="7.44140625" style="88" bestFit="1" customWidth="1"/>
    <col min="2590" max="2590" width="7.6640625" style="88" bestFit="1" customWidth="1"/>
    <col min="2591" max="2591" width="10.44140625" style="88" bestFit="1" customWidth="1"/>
    <col min="2592" max="2592" width="7.44140625" style="88" bestFit="1" customWidth="1"/>
    <col min="2593" max="2593" width="7.6640625" style="88" bestFit="1" customWidth="1"/>
    <col min="2594" max="2594" width="10.44140625" style="88" bestFit="1" customWidth="1"/>
    <col min="2595" max="2595" width="5.109375" style="88" customWidth="1"/>
    <col min="2596" max="2818" width="9.109375" style="88"/>
    <col min="2819" max="2819" width="3.44140625" style="88" customWidth="1"/>
    <col min="2820" max="2820" width="7" style="88" customWidth="1"/>
    <col min="2821" max="2821" width="25.44140625" style="88" customWidth="1"/>
    <col min="2822" max="2822" width="12" style="88" customWidth="1"/>
    <col min="2823" max="2823" width="12.6640625" style="88" bestFit="1" customWidth="1"/>
    <col min="2824" max="2824" width="7.44140625" style="88" bestFit="1" customWidth="1"/>
    <col min="2825" max="2825" width="7.6640625" style="88" bestFit="1" customWidth="1"/>
    <col min="2826" max="2826" width="15" style="88" customWidth="1"/>
    <col min="2827" max="2827" width="7.44140625" style="88" bestFit="1" customWidth="1"/>
    <col min="2828" max="2828" width="7.6640625" style="88" bestFit="1" customWidth="1"/>
    <col min="2829" max="2829" width="15" style="88" bestFit="1" customWidth="1"/>
    <col min="2830" max="2830" width="7.44140625" style="88" bestFit="1" customWidth="1"/>
    <col min="2831" max="2831" width="7.6640625" style="88" bestFit="1" customWidth="1"/>
    <col min="2832" max="2832" width="9.44140625" style="88" bestFit="1" customWidth="1"/>
    <col min="2833" max="2833" width="8" style="88" bestFit="1" customWidth="1"/>
    <col min="2834" max="2834" width="7.6640625" style="88" bestFit="1" customWidth="1"/>
    <col min="2835" max="2835" width="10.44140625" style="88" bestFit="1" customWidth="1"/>
    <col min="2836" max="2836" width="8" style="88" bestFit="1" customWidth="1"/>
    <col min="2837" max="2837" width="7.6640625" style="88" bestFit="1" customWidth="1"/>
    <col min="2838" max="2838" width="10.44140625" style="88" bestFit="1" customWidth="1"/>
    <col min="2839" max="2839" width="7.44140625" style="88" bestFit="1" customWidth="1"/>
    <col min="2840" max="2840" width="7.6640625" style="88" bestFit="1" customWidth="1"/>
    <col min="2841" max="2841" width="10.44140625" style="88" bestFit="1" customWidth="1"/>
    <col min="2842" max="2842" width="8" style="88" bestFit="1" customWidth="1"/>
    <col min="2843" max="2843" width="7.6640625" style="88" bestFit="1" customWidth="1"/>
    <col min="2844" max="2844" width="10.44140625" style="88" bestFit="1" customWidth="1"/>
    <col min="2845" max="2845" width="7.44140625" style="88" bestFit="1" customWidth="1"/>
    <col min="2846" max="2846" width="7.6640625" style="88" bestFit="1" customWidth="1"/>
    <col min="2847" max="2847" width="10.44140625" style="88" bestFit="1" customWidth="1"/>
    <col min="2848" max="2848" width="7.44140625" style="88" bestFit="1" customWidth="1"/>
    <col min="2849" max="2849" width="7.6640625" style="88" bestFit="1" customWidth="1"/>
    <col min="2850" max="2850" width="10.44140625" style="88" bestFit="1" customWidth="1"/>
    <col min="2851" max="2851" width="5.109375" style="88" customWidth="1"/>
    <col min="2852" max="3074" width="9.109375" style="88"/>
    <col min="3075" max="3075" width="3.44140625" style="88" customWidth="1"/>
    <col min="3076" max="3076" width="7" style="88" customWidth="1"/>
    <col min="3077" max="3077" width="25.44140625" style="88" customWidth="1"/>
    <col min="3078" max="3078" width="12" style="88" customWidth="1"/>
    <col min="3079" max="3079" width="12.6640625" style="88" bestFit="1" customWidth="1"/>
    <col min="3080" max="3080" width="7.44140625" style="88" bestFit="1" customWidth="1"/>
    <col min="3081" max="3081" width="7.6640625" style="88" bestFit="1" customWidth="1"/>
    <col min="3082" max="3082" width="15" style="88" customWidth="1"/>
    <col min="3083" max="3083" width="7.44140625" style="88" bestFit="1" customWidth="1"/>
    <col min="3084" max="3084" width="7.6640625" style="88" bestFit="1" customWidth="1"/>
    <col min="3085" max="3085" width="15" style="88" bestFit="1" customWidth="1"/>
    <col min="3086" max="3086" width="7.44140625" style="88" bestFit="1" customWidth="1"/>
    <col min="3087" max="3087" width="7.6640625" style="88" bestFit="1" customWidth="1"/>
    <col min="3088" max="3088" width="9.44140625" style="88" bestFit="1" customWidth="1"/>
    <col min="3089" max="3089" width="8" style="88" bestFit="1" customWidth="1"/>
    <col min="3090" max="3090" width="7.6640625" style="88" bestFit="1" customWidth="1"/>
    <col min="3091" max="3091" width="10.44140625" style="88" bestFit="1" customWidth="1"/>
    <col min="3092" max="3092" width="8" style="88" bestFit="1" customWidth="1"/>
    <col min="3093" max="3093" width="7.6640625" style="88" bestFit="1" customWidth="1"/>
    <col min="3094" max="3094" width="10.44140625" style="88" bestFit="1" customWidth="1"/>
    <col min="3095" max="3095" width="7.44140625" style="88" bestFit="1" customWidth="1"/>
    <col min="3096" max="3096" width="7.6640625" style="88" bestFit="1" customWidth="1"/>
    <col min="3097" max="3097" width="10.44140625" style="88" bestFit="1" customWidth="1"/>
    <col min="3098" max="3098" width="8" style="88" bestFit="1" customWidth="1"/>
    <col min="3099" max="3099" width="7.6640625" style="88" bestFit="1" customWidth="1"/>
    <col min="3100" max="3100" width="10.44140625" style="88" bestFit="1" customWidth="1"/>
    <col min="3101" max="3101" width="7.44140625" style="88" bestFit="1" customWidth="1"/>
    <col min="3102" max="3102" width="7.6640625" style="88" bestFit="1" customWidth="1"/>
    <col min="3103" max="3103" width="10.44140625" style="88" bestFit="1" customWidth="1"/>
    <col min="3104" max="3104" width="7.44140625" style="88" bestFit="1" customWidth="1"/>
    <col min="3105" max="3105" width="7.6640625" style="88" bestFit="1" customWidth="1"/>
    <col min="3106" max="3106" width="10.44140625" style="88" bestFit="1" customWidth="1"/>
    <col min="3107" max="3107" width="5.109375" style="88" customWidth="1"/>
    <col min="3108" max="3330" width="9.109375" style="88"/>
    <col min="3331" max="3331" width="3.44140625" style="88" customWidth="1"/>
    <col min="3332" max="3332" width="7" style="88" customWidth="1"/>
    <col min="3333" max="3333" width="25.44140625" style="88" customWidth="1"/>
    <col min="3334" max="3334" width="12" style="88" customWidth="1"/>
    <col min="3335" max="3335" width="12.6640625" style="88" bestFit="1" customWidth="1"/>
    <col min="3336" max="3336" width="7.44140625" style="88" bestFit="1" customWidth="1"/>
    <col min="3337" max="3337" width="7.6640625" style="88" bestFit="1" customWidth="1"/>
    <col min="3338" max="3338" width="15" style="88" customWidth="1"/>
    <col min="3339" max="3339" width="7.44140625" style="88" bestFit="1" customWidth="1"/>
    <col min="3340" max="3340" width="7.6640625" style="88" bestFit="1" customWidth="1"/>
    <col min="3341" max="3341" width="15" style="88" bestFit="1" customWidth="1"/>
    <col min="3342" max="3342" width="7.44140625" style="88" bestFit="1" customWidth="1"/>
    <col min="3343" max="3343" width="7.6640625" style="88" bestFit="1" customWidth="1"/>
    <col min="3344" max="3344" width="9.44140625" style="88" bestFit="1" customWidth="1"/>
    <col min="3345" max="3345" width="8" style="88" bestFit="1" customWidth="1"/>
    <col min="3346" max="3346" width="7.6640625" style="88" bestFit="1" customWidth="1"/>
    <col min="3347" max="3347" width="10.44140625" style="88" bestFit="1" customWidth="1"/>
    <col min="3348" max="3348" width="8" style="88" bestFit="1" customWidth="1"/>
    <col min="3349" max="3349" width="7.6640625" style="88" bestFit="1" customWidth="1"/>
    <col min="3350" max="3350" width="10.44140625" style="88" bestFit="1" customWidth="1"/>
    <col min="3351" max="3351" width="7.44140625" style="88" bestFit="1" customWidth="1"/>
    <col min="3352" max="3352" width="7.6640625" style="88" bestFit="1" customWidth="1"/>
    <col min="3353" max="3353" width="10.44140625" style="88" bestFit="1" customWidth="1"/>
    <col min="3354" max="3354" width="8" style="88" bestFit="1" customWidth="1"/>
    <col min="3355" max="3355" width="7.6640625" style="88" bestFit="1" customWidth="1"/>
    <col min="3356" max="3356" width="10.44140625" style="88" bestFit="1" customWidth="1"/>
    <col min="3357" max="3357" width="7.44140625" style="88" bestFit="1" customWidth="1"/>
    <col min="3358" max="3358" width="7.6640625" style="88" bestFit="1" customWidth="1"/>
    <col min="3359" max="3359" width="10.44140625" style="88" bestFit="1" customWidth="1"/>
    <col min="3360" max="3360" width="7.44140625" style="88" bestFit="1" customWidth="1"/>
    <col min="3361" max="3361" width="7.6640625" style="88" bestFit="1" customWidth="1"/>
    <col min="3362" max="3362" width="10.44140625" style="88" bestFit="1" customWidth="1"/>
    <col min="3363" max="3363" width="5.109375" style="88" customWidth="1"/>
    <col min="3364" max="3586" width="9.109375" style="88"/>
    <col min="3587" max="3587" width="3.44140625" style="88" customWidth="1"/>
    <col min="3588" max="3588" width="7" style="88" customWidth="1"/>
    <col min="3589" max="3589" width="25.44140625" style="88" customWidth="1"/>
    <col min="3590" max="3590" width="12" style="88" customWidth="1"/>
    <col min="3591" max="3591" width="12.6640625" style="88" bestFit="1" customWidth="1"/>
    <col min="3592" max="3592" width="7.44140625" style="88" bestFit="1" customWidth="1"/>
    <col min="3593" max="3593" width="7.6640625" style="88" bestFit="1" customWidth="1"/>
    <col min="3594" max="3594" width="15" style="88" customWidth="1"/>
    <col min="3595" max="3595" width="7.44140625" style="88" bestFit="1" customWidth="1"/>
    <col min="3596" max="3596" width="7.6640625" style="88" bestFit="1" customWidth="1"/>
    <col min="3597" max="3597" width="15" style="88" bestFit="1" customWidth="1"/>
    <col min="3598" max="3598" width="7.44140625" style="88" bestFit="1" customWidth="1"/>
    <col min="3599" max="3599" width="7.6640625" style="88" bestFit="1" customWidth="1"/>
    <col min="3600" max="3600" width="9.44140625" style="88" bestFit="1" customWidth="1"/>
    <col min="3601" max="3601" width="8" style="88" bestFit="1" customWidth="1"/>
    <col min="3602" max="3602" width="7.6640625" style="88" bestFit="1" customWidth="1"/>
    <col min="3603" max="3603" width="10.44140625" style="88" bestFit="1" customWidth="1"/>
    <col min="3604" max="3604" width="8" style="88" bestFit="1" customWidth="1"/>
    <col min="3605" max="3605" width="7.6640625" style="88" bestFit="1" customWidth="1"/>
    <col min="3606" max="3606" width="10.44140625" style="88" bestFit="1" customWidth="1"/>
    <col min="3607" max="3607" width="7.44140625" style="88" bestFit="1" customWidth="1"/>
    <col min="3608" max="3608" width="7.6640625" style="88" bestFit="1" customWidth="1"/>
    <col min="3609" max="3609" width="10.44140625" style="88" bestFit="1" customWidth="1"/>
    <col min="3610" max="3610" width="8" style="88" bestFit="1" customWidth="1"/>
    <col min="3611" max="3611" width="7.6640625" style="88" bestFit="1" customWidth="1"/>
    <col min="3612" max="3612" width="10.44140625" style="88" bestFit="1" customWidth="1"/>
    <col min="3613" max="3613" width="7.44140625" style="88" bestFit="1" customWidth="1"/>
    <col min="3614" max="3614" width="7.6640625" style="88" bestFit="1" customWidth="1"/>
    <col min="3615" max="3615" width="10.44140625" style="88" bestFit="1" customWidth="1"/>
    <col min="3616" max="3616" width="7.44140625" style="88" bestFit="1" customWidth="1"/>
    <col min="3617" max="3617" width="7.6640625" style="88" bestFit="1" customWidth="1"/>
    <col min="3618" max="3618" width="10.44140625" style="88" bestFit="1" customWidth="1"/>
    <col min="3619" max="3619" width="5.109375" style="88" customWidth="1"/>
    <col min="3620" max="3842" width="9.109375" style="88"/>
    <col min="3843" max="3843" width="3.44140625" style="88" customWidth="1"/>
    <col min="3844" max="3844" width="7" style="88" customWidth="1"/>
    <col min="3845" max="3845" width="25.44140625" style="88" customWidth="1"/>
    <col min="3846" max="3846" width="12" style="88" customWidth="1"/>
    <col min="3847" max="3847" width="12.6640625" style="88" bestFit="1" customWidth="1"/>
    <col min="3848" max="3848" width="7.44140625" style="88" bestFit="1" customWidth="1"/>
    <col min="3849" max="3849" width="7.6640625" style="88" bestFit="1" customWidth="1"/>
    <col min="3850" max="3850" width="15" style="88" customWidth="1"/>
    <col min="3851" max="3851" width="7.44140625" style="88" bestFit="1" customWidth="1"/>
    <col min="3852" max="3852" width="7.6640625" style="88" bestFit="1" customWidth="1"/>
    <col min="3853" max="3853" width="15" style="88" bestFit="1" customWidth="1"/>
    <col min="3854" max="3854" width="7.44140625" style="88" bestFit="1" customWidth="1"/>
    <col min="3855" max="3855" width="7.6640625" style="88" bestFit="1" customWidth="1"/>
    <col min="3856" max="3856" width="9.44140625" style="88" bestFit="1" customWidth="1"/>
    <col min="3857" max="3857" width="8" style="88" bestFit="1" customWidth="1"/>
    <col min="3858" max="3858" width="7.6640625" style="88" bestFit="1" customWidth="1"/>
    <col min="3859" max="3859" width="10.44140625" style="88" bestFit="1" customWidth="1"/>
    <col min="3860" max="3860" width="8" style="88" bestFit="1" customWidth="1"/>
    <col min="3861" max="3861" width="7.6640625" style="88" bestFit="1" customWidth="1"/>
    <col min="3862" max="3862" width="10.44140625" style="88" bestFit="1" customWidth="1"/>
    <col min="3863" max="3863" width="7.44140625" style="88" bestFit="1" customWidth="1"/>
    <col min="3864" max="3864" width="7.6640625" style="88" bestFit="1" customWidth="1"/>
    <col min="3865" max="3865" width="10.44140625" style="88" bestFit="1" customWidth="1"/>
    <col min="3866" max="3866" width="8" style="88" bestFit="1" customWidth="1"/>
    <col min="3867" max="3867" width="7.6640625" style="88" bestFit="1" customWidth="1"/>
    <col min="3868" max="3868" width="10.44140625" style="88" bestFit="1" customWidth="1"/>
    <col min="3869" max="3869" width="7.44140625" style="88" bestFit="1" customWidth="1"/>
    <col min="3870" max="3870" width="7.6640625" style="88" bestFit="1" customWidth="1"/>
    <col min="3871" max="3871" width="10.44140625" style="88" bestFit="1" customWidth="1"/>
    <col min="3872" max="3872" width="7.44140625" style="88" bestFit="1" customWidth="1"/>
    <col min="3873" max="3873" width="7.6640625" style="88" bestFit="1" customWidth="1"/>
    <col min="3874" max="3874" width="10.44140625" style="88" bestFit="1" customWidth="1"/>
    <col min="3875" max="3875" width="5.109375" style="88" customWidth="1"/>
    <col min="3876" max="4098" width="9.109375" style="88"/>
    <col min="4099" max="4099" width="3.44140625" style="88" customWidth="1"/>
    <col min="4100" max="4100" width="7" style="88" customWidth="1"/>
    <col min="4101" max="4101" width="25.44140625" style="88" customWidth="1"/>
    <col min="4102" max="4102" width="12" style="88" customWidth="1"/>
    <col min="4103" max="4103" width="12.6640625" style="88" bestFit="1" customWidth="1"/>
    <col min="4104" max="4104" width="7.44140625" style="88" bestFit="1" customWidth="1"/>
    <col min="4105" max="4105" width="7.6640625" style="88" bestFit="1" customWidth="1"/>
    <col min="4106" max="4106" width="15" style="88" customWidth="1"/>
    <col min="4107" max="4107" width="7.44140625" style="88" bestFit="1" customWidth="1"/>
    <col min="4108" max="4108" width="7.6640625" style="88" bestFit="1" customWidth="1"/>
    <col min="4109" max="4109" width="15" style="88" bestFit="1" customWidth="1"/>
    <col min="4110" max="4110" width="7.44140625" style="88" bestFit="1" customWidth="1"/>
    <col min="4111" max="4111" width="7.6640625" style="88" bestFit="1" customWidth="1"/>
    <col min="4112" max="4112" width="9.44140625" style="88" bestFit="1" customWidth="1"/>
    <col min="4113" max="4113" width="8" style="88" bestFit="1" customWidth="1"/>
    <col min="4114" max="4114" width="7.6640625" style="88" bestFit="1" customWidth="1"/>
    <col min="4115" max="4115" width="10.44140625" style="88" bestFit="1" customWidth="1"/>
    <col min="4116" max="4116" width="8" style="88" bestFit="1" customWidth="1"/>
    <col min="4117" max="4117" width="7.6640625" style="88" bestFit="1" customWidth="1"/>
    <col min="4118" max="4118" width="10.44140625" style="88" bestFit="1" customWidth="1"/>
    <col min="4119" max="4119" width="7.44140625" style="88" bestFit="1" customWidth="1"/>
    <col min="4120" max="4120" width="7.6640625" style="88" bestFit="1" customWidth="1"/>
    <col min="4121" max="4121" width="10.44140625" style="88" bestFit="1" customWidth="1"/>
    <col min="4122" max="4122" width="8" style="88" bestFit="1" customWidth="1"/>
    <col min="4123" max="4123" width="7.6640625" style="88" bestFit="1" customWidth="1"/>
    <col min="4124" max="4124" width="10.44140625" style="88" bestFit="1" customWidth="1"/>
    <col min="4125" max="4125" width="7.44140625" style="88" bestFit="1" customWidth="1"/>
    <col min="4126" max="4126" width="7.6640625" style="88" bestFit="1" customWidth="1"/>
    <col min="4127" max="4127" width="10.44140625" style="88" bestFit="1" customWidth="1"/>
    <col min="4128" max="4128" width="7.44140625" style="88" bestFit="1" customWidth="1"/>
    <col min="4129" max="4129" width="7.6640625" style="88" bestFit="1" customWidth="1"/>
    <col min="4130" max="4130" width="10.44140625" style="88" bestFit="1" customWidth="1"/>
    <col min="4131" max="4131" width="5.109375" style="88" customWidth="1"/>
    <col min="4132" max="4354" width="9.109375" style="88"/>
    <col min="4355" max="4355" width="3.44140625" style="88" customWidth="1"/>
    <col min="4356" max="4356" width="7" style="88" customWidth="1"/>
    <col min="4357" max="4357" width="25.44140625" style="88" customWidth="1"/>
    <col min="4358" max="4358" width="12" style="88" customWidth="1"/>
    <col min="4359" max="4359" width="12.6640625" style="88" bestFit="1" customWidth="1"/>
    <col min="4360" max="4360" width="7.44140625" style="88" bestFit="1" customWidth="1"/>
    <col min="4361" max="4361" width="7.6640625" style="88" bestFit="1" customWidth="1"/>
    <col min="4362" max="4362" width="15" style="88" customWidth="1"/>
    <col min="4363" max="4363" width="7.44140625" style="88" bestFit="1" customWidth="1"/>
    <col min="4364" max="4364" width="7.6640625" style="88" bestFit="1" customWidth="1"/>
    <col min="4365" max="4365" width="15" style="88" bestFit="1" customWidth="1"/>
    <col min="4366" max="4366" width="7.44140625" style="88" bestFit="1" customWidth="1"/>
    <col min="4367" max="4367" width="7.6640625" style="88" bestFit="1" customWidth="1"/>
    <col min="4368" max="4368" width="9.44140625" style="88" bestFit="1" customWidth="1"/>
    <col min="4369" max="4369" width="8" style="88" bestFit="1" customWidth="1"/>
    <col min="4370" max="4370" width="7.6640625" style="88" bestFit="1" customWidth="1"/>
    <col min="4371" max="4371" width="10.44140625" style="88" bestFit="1" customWidth="1"/>
    <col min="4372" max="4372" width="8" style="88" bestFit="1" customWidth="1"/>
    <col min="4373" max="4373" width="7.6640625" style="88" bestFit="1" customWidth="1"/>
    <col min="4374" max="4374" width="10.44140625" style="88" bestFit="1" customWidth="1"/>
    <col min="4375" max="4375" width="7.44140625" style="88" bestFit="1" customWidth="1"/>
    <col min="4376" max="4376" width="7.6640625" style="88" bestFit="1" customWidth="1"/>
    <col min="4377" max="4377" width="10.44140625" style="88" bestFit="1" customWidth="1"/>
    <col min="4378" max="4378" width="8" style="88" bestFit="1" customWidth="1"/>
    <col min="4379" max="4379" width="7.6640625" style="88" bestFit="1" customWidth="1"/>
    <col min="4380" max="4380" width="10.44140625" style="88" bestFit="1" customWidth="1"/>
    <col min="4381" max="4381" width="7.44140625" style="88" bestFit="1" customWidth="1"/>
    <col min="4382" max="4382" width="7.6640625" style="88" bestFit="1" customWidth="1"/>
    <col min="4383" max="4383" width="10.44140625" style="88" bestFit="1" customWidth="1"/>
    <col min="4384" max="4384" width="7.44140625" style="88" bestFit="1" customWidth="1"/>
    <col min="4385" max="4385" width="7.6640625" style="88" bestFit="1" customWidth="1"/>
    <col min="4386" max="4386" width="10.44140625" style="88" bestFit="1" customWidth="1"/>
    <col min="4387" max="4387" width="5.109375" style="88" customWidth="1"/>
    <col min="4388" max="4610" width="9.109375" style="88"/>
    <col min="4611" max="4611" width="3.44140625" style="88" customWidth="1"/>
    <col min="4612" max="4612" width="7" style="88" customWidth="1"/>
    <col min="4613" max="4613" width="25.44140625" style="88" customWidth="1"/>
    <col min="4614" max="4614" width="12" style="88" customWidth="1"/>
    <col min="4615" max="4615" width="12.6640625" style="88" bestFit="1" customWidth="1"/>
    <col min="4616" max="4616" width="7.44140625" style="88" bestFit="1" customWidth="1"/>
    <col min="4617" max="4617" width="7.6640625" style="88" bestFit="1" customWidth="1"/>
    <col min="4618" max="4618" width="15" style="88" customWidth="1"/>
    <col min="4619" max="4619" width="7.44140625" style="88" bestFit="1" customWidth="1"/>
    <col min="4620" max="4620" width="7.6640625" style="88" bestFit="1" customWidth="1"/>
    <col min="4621" max="4621" width="15" style="88" bestFit="1" customWidth="1"/>
    <col min="4622" max="4622" width="7.44140625" style="88" bestFit="1" customWidth="1"/>
    <col min="4623" max="4623" width="7.6640625" style="88" bestFit="1" customWidth="1"/>
    <col min="4624" max="4624" width="9.44140625" style="88" bestFit="1" customWidth="1"/>
    <col min="4625" max="4625" width="8" style="88" bestFit="1" customWidth="1"/>
    <col min="4626" max="4626" width="7.6640625" style="88" bestFit="1" customWidth="1"/>
    <col min="4627" max="4627" width="10.44140625" style="88" bestFit="1" customWidth="1"/>
    <col min="4628" max="4628" width="8" style="88" bestFit="1" customWidth="1"/>
    <col min="4629" max="4629" width="7.6640625" style="88" bestFit="1" customWidth="1"/>
    <col min="4630" max="4630" width="10.44140625" style="88" bestFit="1" customWidth="1"/>
    <col min="4631" max="4631" width="7.44140625" style="88" bestFit="1" customWidth="1"/>
    <col min="4632" max="4632" width="7.6640625" style="88" bestFit="1" customWidth="1"/>
    <col min="4633" max="4633" width="10.44140625" style="88" bestFit="1" customWidth="1"/>
    <col min="4634" max="4634" width="8" style="88" bestFit="1" customWidth="1"/>
    <col min="4635" max="4635" width="7.6640625" style="88" bestFit="1" customWidth="1"/>
    <col min="4636" max="4636" width="10.44140625" style="88" bestFit="1" customWidth="1"/>
    <col min="4637" max="4637" width="7.44140625" style="88" bestFit="1" customWidth="1"/>
    <col min="4638" max="4638" width="7.6640625" style="88" bestFit="1" customWidth="1"/>
    <col min="4639" max="4639" width="10.44140625" style="88" bestFit="1" customWidth="1"/>
    <col min="4640" max="4640" width="7.44140625" style="88" bestFit="1" customWidth="1"/>
    <col min="4641" max="4641" width="7.6640625" style="88" bestFit="1" customWidth="1"/>
    <col min="4642" max="4642" width="10.44140625" style="88" bestFit="1" customWidth="1"/>
    <col min="4643" max="4643" width="5.109375" style="88" customWidth="1"/>
    <col min="4644" max="4866" width="9.109375" style="88"/>
    <col min="4867" max="4867" width="3.44140625" style="88" customWidth="1"/>
    <col min="4868" max="4868" width="7" style="88" customWidth="1"/>
    <col min="4869" max="4869" width="25.44140625" style="88" customWidth="1"/>
    <col min="4870" max="4870" width="12" style="88" customWidth="1"/>
    <col min="4871" max="4871" width="12.6640625" style="88" bestFit="1" customWidth="1"/>
    <col min="4872" max="4872" width="7.44140625" style="88" bestFit="1" customWidth="1"/>
    <col min="4873" max="4873" width="7.6640625" style="88" bestFit="1" customWidth="1"/>
    <col min="4874" max="4874" width="15" style="88" customWidth="1"/>
    <col min="4875" max="4875" width="7.44140625" style="88" bestFit="1" customWidth="1"/>
    <col min="4876" max="4876" width="7.6640625" style="88" bestFit="1" customWidth="1"/>
    <col min="4877" max="4877" width="15" style="88" bestFit="1" customWidth="1"/>
    <col min="4878" max="4878" width="7.44140625" style="88" bestFit="1" customWidth="1"/>
    <col min="4879" max="4879" width="7.6640625" style="88" bestFit="1" customWidth="1"/>
    <col min="4880" max="4880" width="9.44140625" style="88" bestFit="1" customWidth="1"/>
    <col min="4881" max="4881" width="8" style="88" bestFit="1" customWidth="1"/>
    <col min="4882" max="4882" width="7.6640625" style="88" bestFit="1" customWidth="1"/>
    <col min="4883" max="4883" width="10.44140625" style="88" bestFit="1" customWidth="1"/>
    <col min="4884" max="4884" width="8" style="88" bestFit="1" customWidth="1"/>
    <col min="4885" max="4885" width="7.6640625" style="88" bestFit="1" customWidth="1"/>
    <col min="4886" max="4886" width="10.44140625" style="88" bestFit="1" customWidth="1"/>
    <col min="4887" max="4887" width="7.44140625" style="88" bestFit="1" customWidth="1"/>
    <col min="4888" max="4888" width="7.6640625" style="88" bestFit="1" customWidth="1"/>
    <col min="4889" max="4889" width="10.44140625" style="88" bestFit="1" customWidth="1"/>
    <col min="4890" max="4890" width="8" style="88" bestFit="1" customWidth="1"/>
    <col min="4891" max="4891" width="7.6640625" style="88" bestFit="1" customWidth="1"/>
    <col min="4892" max="4892" width="10.44140625" style="88" bestFit="1" customWidth="1"/>
    <col min="4893" max="4893" width="7.44140625" style="88" bestFit="1" customWidth="1"/>
    <col min="4894" max="4894" width="7.6640625" style="88" bestFit="1" customWidth="1"/>
    <col min="4895" max="4895" width="10.44140625" style="88" bestFit="1" customWidth="1"/>
    <col min="4896" max="4896" width="7.44140625" style="88" bestFit="1" customWidth="1"/>
    <col min="4897" max="4897" width="7.6640625" style="88" bestFit="1" customWidth="1"/>
    <col min="4898" max="4898" width="10.44140625" style="88" bestFit="1" customWidth="1"/>
    <col min="4899" max="4899" width="5.109375" style="88" customWidth="1"/>
    <col min="4900" max="5122" width="9.109375" style="88"/>
    <col min="5123" max="5123" width="3.44140625" style="88" customWidth="1"/>
    <col min="5124" max="5124" width="7" style="88" customWidth="1"/>
    <col min="5125" max="5125" width="25.44140625" style="88" customWidth="1"/>
    <col min="5126" max="5126" width="12" style="88" customWidth="1"/>
    <col min="5127" max="5127" width="12.6640625" style="88" bestFit="1" customWidth="1"/>
    <col min="5128" max="5128" width="7.44140625" style="88" bestFit="1" customWidth="1"/>
    <col min="5129" max="5129" width="7.6640625" style="88" bestFit="1" customWidth="1"/>
    <col min="5130" max="5130" width="15" style="88" customWidth="1"/>
    <col min="5131" max="5131" width="7.44140625" style="88" bestFit="1" customWidth="1"/>
    <col min="5132" max="5132" width="7.6640625" style="88" bestFit="1" customWidth="1"/>
    <col min="5133" max="5133" width="15" style="88" bestFit="1" customWidth="1"/>
    <col min="5134" max="5134" width="7.44140625" style="88" bestFit="1" customWidth="1"/>
    <col min="5135" max="5135" width="7.6640625" style="88" bestFit="1" customWidth="1"/>
    <col min="5136" max="5136" width="9.44140625" style="88" bestFit="1" customWidth="1"/>
    <col min="5137" max="5137" width="8" style="88" bestFit="1" customWidth="1"/>
    <col min="5138" max="5138" width="7.6640625" style="88" bestFit="1" customWidth="1"/>
    <col min="5139" max="5139" width="10.44140625" style="88" bestFit="1" customWidth="1"/>
    <col min="5140" max="5140" width="8" style="88" bestFit="1" customWidth="1"/>
    <col min="5141" max="5141" width="7.6640625" style="88" bestFit="1" customWidth="1"/>
    <col min="5142" max="5142" width="10.44140625" style="88" bestFit="1" customWidth="1"/>
    <col min="5143" max="5143" width="7.44140625" style="88" bestFit="1" customWidth="1"/>
    <col min="5144" max="5144" width="7.6640625" style="88" bestFit="1" customWidth="1"/>
    <col min="5145" max="5145" width="10.44140625" style="88" bestFit="1" customWidth="1"/>
    <col min="5146" max="5146" width="8" style="88" bestFit="1" customWidth="1"/>
    <col min="5147" max="5147" width="7.6640625" style="88" bestFit="1" customWidth="1"/>
    <col min="5148" max="5148" width="10.44140625" style="88" bestFit="1" customWidth="1"/>
    <col min="5149" max="5149" width="7.44140625" style="88" bestFit="1" customWidth="1"/>
    <col min="5150" max="5150" width="7.6640625" style="88" bestFit="1" customWidth="1"/>
    <col min="5151" max="5151" width="10.44140625" style="88" bestFit="1" customWidth="1"/>
    <col min="5152" max="5152" width="7.44140625" style="88" bestFit="1" customWidth="1"/>
    <col min="5153" max="5153" width="7.6640625" style="88" bestFit="1" customWidth="1"/>
    <col min="5154" max="5154" width="10.44140625" style="88" bestFit="1" customWidth="1"/>
    <col min="5155" max="5155" width="5.109375" style="88" customWidth="1"/>
    <col min="5156" max="5378" width="9.109375" style="88"/>
    <col min="5379" max="5379" width="3.44140625" style="88" customWidth="1"/>
    <col min="5380" max="5380" width="7" style="88" customWidth="1"/>
    <col min="5381" max="5381" width="25.44140625" style="88" customWidth="1"/>
    <col min="5382" max="5382" width="12" style="88" customWidth="1"/>
    <col min="5383" max="5383" width="12.6640625" style="88" bestFit="1" customWidth="1"/>
    <col min="5384" max="5384" width="7.44140625" style="88" bestFit="1" customWidth="1"/>
    <col min="5385" max="5385" width="7.6640625" style="88" bestFit="1" customWidth="1"/>
    <col min="5386" max="5386" width="15" style="88" customWidth="1"/>
    <col min="5387" max="5387" width="7.44140625" style="88" bestFit="1" customWidth="1"/>
    <col min="5388" max="5388" width="7.6640625" style="88" bestFit="1" customWidth="1"/>
    <col min="5389" max="5389" width="15" style="88" bestFit="1" customWidth="1"/>
    <col min="5390" max="5390" width="7.44140625" style="88" bestFit="1" customWidth="1"/>
    <col min="5391" max="5391" width="7.6640625" style="88" bestFit="1" customWidth="1"/>
    <col min="5392" max="5392" width="9.44140625" style="88" bestFit="1" customWidth="1"/>
    <col min="5393" max="5393" width="8" style="88" bestFit="1" customWidth="1"/>
    <col min="5394" max="5394" width="7.6640625" style="88" bestFit="1" customWidth="1"/>
    <col min="5395" max="5395" width="10.44140625" style="88" bestFit="1" customWidth="1"/>
    <col min="5396" max="5396" width="8" style="88" bestFit="1" customWidth="1"/>
    <col min="5397" max="5397" width="7.6640625" style="88" bestFit="1" customWidth="1"/>
    <col min="5398" max="5398" width="10.44140625" style="88" bestFit="1" customWidth="1"/>
    <col min="5399" max="5399" width="7.44140625" style="88" bestFit="1" customWidth="1"/>
    <col min="5400" max="5400" width="7.6640625" style="88" bestFit="1" customWidth="1"/>
    <col min="5401" max="5401" width="10.44140625" style="88" bestFit="1" customWidth="1"/>
    <col min="5402" max="5402" width="8" style="88" bestFit="1" customWidth="1"/>
    <col min="5403" max="5403" width="7.6640625" style="88" bestFit="1" customWidth="1"/>
    <col min="5404" max="5404" width="10.44140625" style="88" bestFit="1" customWidth="1"/>
    <col min="5405" max="5405" width="7.44140625" style="88" bestFit="1" customWidth="1"/>
    <col min="5406" max="5406" width="7.6640625" style="88" bestFit="1" customWidth="1"/>
    <col min="5407" max="5407" width="10.44140625" style="88" bestFit="1" customWidth="1"/>
    <col min="5408" max="5408" width="7.44140625" style="88" bestFit="1" customWidth="1"/>
    <col min="5409" max="5409" width="7.6640625" style="88" bestFit="1" customWidth="1"/>
    <col min="5410" max="5410" width="10.44140625" style="88" bestFit="1" customWidth="1"/>
    <col min="5411" max="5411" width="5.109375" style="88" customWidth="1"/>
    <col min="5412" max="5634" width="9.109375" style="88"/>
    <col min="5635" max="5635" width="3.44140625" style="88" customWidth="1"/>
    <col min="5636" max="5636" width="7" style="88" customWidth="1"/>
    <col min="5637" max="5637" width="25.44140625" style="88" customWidth="1"/>
    <col min="5638" max="5638" width="12" style="88" customWidth="1"/>
    <col min="5639" max="5639" width="12.6640625" style="88" bestFit="1" customWidth="1"/>
    <col min="5640" max="5640" width="7.44140625" style="88" bestFit="1" customWidth="1"/>
    <col min="5641" max="5641" width="7.6640625" style="88" bestFit="1" customWidth="1"/>
    <col min="5642" max="5642" width="15" style="88" customWidth="1"/>
    <col min="5643" max="5643" width="7.44140625" style="88" bestFit="1" customWidth="1"/>
    <col min="5644" max="5644" width="7.6640625" style="88" bestFit="1" customWidth="1"/>
    <col min="5645" max="5645" width="15" style="88" bestFit="1" customWidth="1"/>
    <col min="5646" max="5646" width="7.44140625" style="88" bestFit="1" customWidth="1"/>
    <col min="5647" max="5647" width="7.6640625" style="88" bestFit="1" customWidth="1"/>
    <col min="5648" max="5648" width="9.44140625" style="88" bestFit="1" customWidth="1"/>
    <col min="5649" max="5649" width="8" style="88" bestFit="1" customWidth="1"/>
    <col min="5650" max="5650" width="7.6640625" style="88" bestFit="1" customWidth="1"/>
    <col min="5651" max="5651" width="10.44140625" style="88" bestFit="1" customWidth="1"/>
    <col min="5652" max="5652" width="8" style="88" bestFit="1" customWidth="1"/>
    <col min="5653" max="5653" width="7.6640625" style="88" bestFit="1" customWidth="1"/>
    <col min="5654" max="5654" width="10.44140625" style="88" bestFit="1" customWidth="1"/>
    <col min="5655" max="5655" width="7.44140625" style="88" bestFit="1" customWidth="1"/>
    <col min="5656" max="5656" width="7.6640625" style="88" bestFit="1" customWidth="1"/>
    <col min="5657" max="5657" width="10.44140625" style="88" bestFit="1" customWidth="1"/>
    <col min="5658" max="5658" width="8" style="88" bestFit="1" customWidth="1"/>
    <col min="5659" max="5659" width="7.6640625" style="88" bestFit="1" customWidth="1"/>
    <col min="5660" max="5660" width="10.44140625" style="88" bestFit="1" customWidth="1"/>
    <col min="5661" max="5661" width="7.44140625" style="88" bestFit="1" customWidth="1"/>
    <col min="5662" max="5662" width="7.6640625" style="88" bestFit="1" customWidth="1"/>
    <col min="5663" max="5663" width="10.44140625" style="88" bestFit="1" customWidth="1"/>
    <col min="5664" max="5664" width="7.44140625" style="88" bestFit="1" customWidth="1"/>
    <col min="5665" max="5665" width="7.6640625" style="88" bestFit="1" customWidth="1"/>
    <col min="5666" max="5666" width="10.44140625" style="88" bestFit="1" customWidth="1"/>
    <col min="5667" max="5667" width="5.109375" style="88" customWidth="1"/>
    <col min="5668" max="5890" width="9.109375" style="88"/>
    <col min="5891" max="5891" width="3.44140625" style="88" customWidth="1"/>
    <col min="5892" max="5892" width="7" style="88" customWidth="1"/>
    <col min="5893" max="5893" width="25.44140625" style="88" customWidth="1"/>
    <col min="5894" max="5894" width="12" style="88" customWidth="1"/>
    <col min="5895" max="5895" width="12.6640625" style="88" bestFit="1" customWidth="1"/>
    <col min="5896" max="5896" width="7.44140625" style="88" bestFit="1" customWidth="1"/>
    <col min="5897" max="5897" width="7.6640625" style="88" bestFit="1" customWidth="1"/>
    <col min="5898" max="5898" width="15" style="88" customWidth="1"/>
    <col min="5899" max="5899" width="7.44140625" style="88" bestFit="1" customWidth="1"/>
    <col min="5900" max="5900" width="7.6640625" style="88" bestFit="1" customWidth="1"/>
    <col min="5901" max="5901" width="15" style="88" bestFit="1" customWidth="1"/>
    <col min="5902" max="5902" width="7.44140625" style="88" bestFit="1" customWidth="1"/>
    <col min="5903" max="5903" width="7.6640625" style="88" bestFit="1" customWidth="1"/>
    <col min="5904" max="5904" width="9.44140625" style="88" bestFit="1" customWidth="1"/>
    <col min="5905" max="5905" width="8" style="88" bestFit="1" customWidth="1"/>
    <col min="5906" max="5906" width="7.6640625" style="88" bestFit="1" customWidth="1"/>
    <col min="5907" max="5907" width="10.44140625" style="88" bestFit="1" customWidth="1"/>
    <col min="5908" max="5908" width="8" style="88" bestFit="1" customWidth="1"/>
    <col min="5909" max="5909" width="7.6640625" style="88" bestFit="1" customWidth="1"/>
    <col min="5910" max="5910" width="10.44140625" style="88" bestFit="1" customWidth="1"/>
    <col min="5911" max="5911" width="7.44140625" style="88" bestFit="1" customWidth="1"/>
    <col min="5912" max="5912" width="7.6640625" style="88" bestFit="1" customWidth="1"/>
    <col min="5913" max="5913" width="10.44140625" style="88" bestFit="1" customWidth="1"/>
    <col min="5914" max="5914" width="8" style="88" bestFit="1" customWidth="1"/>
    <col min="5915" max="5915" width="7.6640625" style="88" bestFit="1" customWidth="1"/>
    <col min="5916" max="5916" width="10.44140625" style="88" bestFit="1" customWidth="1"/>
    <col min="5917" max="5917" width="7.44140625" style="88" bestFit="1" customWidth="1"/>
    <col min="5918" max="5918" width="7.6640625" style="88" bestFit="1" customWidth="1"/>
    <col min="5919" max="5919" width="10.44140625" style="88" bestFit="1" customWidth="1"/>
    <col min="5920" max="5920" width="7.44140625" style="88" bestFit="1" customWidth="1"/>
    <col min="5921" max="5921" width="7.6640625" style="88" bestFit="1" customWidth="1"/>
    <col min="5922" max="5922" width="10.44140625" style="88" bestFit="1" customWidth="1"/>
    <col min="5923" max="5923" width="5.109375" style="88" customWidth="1"/>
    <col min="5924" max="6146" width="9.109375" style="88"/>
    <col min="6147" max="6147" width="3.44140625" style="88" customWidth="1"/>
    <col min="6148" max="6148" width="7" style="88" customWidth="1"/>
    <col min="6149" max="6149" width="25.44140625" style="88" customWidth="1"/>
    <col min="6150" max="6150" width="12" style="88" customWidth="1"/>
    <col min="6151" max="6151" width="12.6640625" style="88" bestFit="1" customWidth="1"/>
    <col min="6152" max="6152" width="7.44140625" style="88" bestFit="1" customWidth="1"/>
    <col min="6153" max="6153" width="7.6640625" style="88" bestFit="1" customWidth="1"/>
    <col min="6154" max="6154" width="15" style="88" customWidth="1"/>
    <col min="6155" max="6155" width="7.44140625" style="88" bestFit="1" customWidth="1"/>
    <col min="6156" max="6156" width="7.6640625" style="88" bestFit="1" customWidth="1"/>
    <col min="6157" max="6157" width="15" style="88" bestFit="1" customWidth="1"/>
    <col min="6158" max="6158" width="7.44140625" style="88" bestFit="1" customWidth="1"/>
    <col min="6159" max="6159" width="7.6640625" style="88" bestFit="1" customWidth="1"/>
    <col min="6160" max="6160" width="9.44140625" style="88" bestFit="1" customWidth="1"/>
    <col min="6161" max="6161" width="8" style="88" bestFit="1" customWidth="1"/>
    <col min="6162" max="6162" width="7.6640625" style="88" bestFit="1" customWidth="1"/>
    <col min="6163" max="6163" width="10.44140625" style="88" bestFit="1" customWidth="1"/>
    <col min="6164" max="6164" width="8" style="88" bestFit="1" customWidth="1"/>
    <col min="6165" max="6165" width="7.6640625" style="88" bestFit="1" customWidth="1"/>
    <col min="6166" max="6166" width="10.44140625" style="88" bestFit="1" customWidth="1"/>
    <col min="6167" max="6167" width="7.44140625" style="88" bestFit="1" customWidth="1"/>
    <col min="6168" max="6168" width="7.6640625" style="88" bestFit="1" customWidth="1"/>
    <col min="6169" max="6169" width="10.44140625" style="88" bestFit="1" customWidth="1"/>
    <col min="6170" max="6170" width="8" style="88" bestFit="1" customWidth="1"/>
    <col min="6171" max="6171" width="7.6640625" style="88" bestFit="1" customWidth="1"/>
    <col min="6172" max="6172" width="10.44140625" style="88" bestFit="1" customWidth="1"/>
    <col min="6173" max="6173" width="7.44140625" style="88" bestFit="1" customWidth="1"/>
    <col min="6174" max="6174" width="7.6640625" style="88" bestFit="1" customWidth="1"/>
    <col min="6175" max="6175" width="10.44140625" style="88" bestFit="1" customWidth="1"/>
    <col min="6176" max="6176" width="7.44140625" style="88" bestFit="1" customWidth="1"/>
    <col min="6177" max="6177" width="7.6640625" style="88" bestFit="1" customWidth="1"/>
    <col min="6178" max="6178" width="10.44140625" style="88" bestFit="1" customWidth="1"/>
    <col min="6179" max="6179" width="5.109375" style="88" customWidth="1"/>
    <col min="6180" max="6402" width="9.109375" style="88"/>
    <col min="6403" max="6403" width="3.44140625" style="88" customWidth="1"/>
    <col min="6404" max="6404" width="7" style="88" customWidth="1"/>
    <col min="6405" max="6405" width="25.44140625" style="88" customWidth="1"/>
    <col min="6406" max="6406" width="12" style="88" customWidth="1"/>
    <col min="6407" max="6407" width="12.6640625" style="88" bestFit="1" customWidth="1"/>
    <col min="6408" max="6408" width="7.44140625" style="88" bestFit="1" customWidth="1"/>
    <col min="6409" max="6409" width="7.6640625" style="88" bestFit="1" customWidth="1"/>
    <col min="6410" max="6410" width="15" style="88" customWidth="1"/>
    <col min="6411" max="6411" width="7.44140625" style="88" bestFit="1" customWidth="1"/>
    <col min="6412" max="6412" width="7.6640625" style="88" bestFit="1" customWidth="1"/>
    <col min="6413" max="6413" width="15" style="88" bestFit="1" customWidth="1"/>
    <col min="6414" max="6414" width="7.44140625" style="88" bestFit="1" customWidth="1"/>
    <col min="6415" max="6415" width="7.6640625" style="88" bestFit="1" customWidth="1"/>
    <col min="6416" max="6416" width="9.44140625" style="88" bestFit="1" customWidth="1"/>
    <col min="6417" max="6417" width="8" style="88" bestFit="1" customWidth="1"/>
    <col min="6418" max="6418" width="7.6640625" style="88" bestFit="1" customWidth="1"/>
    <col min="6419" max="6419" width="10.44140625" style="88" bestFit="1" customWidth="1"/>
    <col min="6420" max="6420" width="8" style="88" bestFit="1" customWidth="1"/>
    <col min="6421" max="6421" width="7.6640625" style="88" bestFit="1" customWidth="1"/>
    <col min="6422" max="6422" width="10.44140625" style="88" bestFit="1" customWidth="1"/>
    <col min="6423" max="6423" width="7.44140625" style="88" bestFit="1" customWidth="1"/>
    <col min="6424" max="6424" width="7.6640625" style="88" bestFit="1" customWidth="1"/>
    <col min="6425" max="6425" width="10.44140625" style="88" bestFit="1" customWidth="1"/>
    <col min="6426" max="6426" width="8" style="88" bestFit="1" customWidth="1"/>
    <col min="6427" max="6427" width="7.6640625" style="88" bestFit="1" customWidth="1"/>
    <col min="6428" max="6428" width="10.44140625" style="88" bestFit="1" customWidth="1"/>
    <col min="6429" max="6429" width="7.44140625" style="88" bestFit="1" customWidth="1"/>
    <col min="6430" max="6430" width="7.6640625" style="88" bestFit="1" customWidth="1"/>
    <col min="6431" max="6431" width="10.44140625" style="88" bestFit="1" customWidth="1"/>
    <col min="6432" max="6432" width="7.44140625" style="88" bestFit="1" customWidth="1"/>
    <col min="6433" max="6433" width="7.6640625" style="88" bestFit="1" customWidth="1"/>
    <col min="6434" max="6434" width="10.44140625" style="88" bestFit="1" customWidth="1"/>
    <col min="6435" max="6435" width="5.109375" style="88" customWidth="1"/>
    <col min="6436" max="6658" width="9.109375" style="88"/>
    <col min="6659" max="6659" width="3.44140625" style="88" customWidth="1"/>
    <col min="6660" max="6660" width="7" style="88" customWidth="1"/>
    <col min="6661" max="6661" width="25.44140625" style="88" customWidth="1"/>
    <col min="6662" max="6662" width="12" style="88" customWidth="1"/>
    <col min="6663" max="6663" width="12.6640625" style="88" bestFit="1" customWidth="1"/>
    <col min="6664" max="6664" width="7.44140625" style="88" bestFit="1" customWidth="1"/>
    <col min="6665" max="6665" width="7.6640625" style="88" bestFit="1" customWidth="1"/>
    <col min="6666" max="6666" width="15" style="88" customWidth="1"/>
    <col min="6667" max="6667" width="7.44140625" style="88" bestFit="1" customWidth="1"/>
    <col min="6668" max="6668" width="7.6640625" style="88" bestFit="1" customWidth="1"/>
    <col min="6669" max="6669" width="15" style="88" bestFit="1" customWidth="1"/>
    <col min="6670" max="6670" width="7.44140625" style="88" bestFit="1" customWidth="1"/>
    <col min="6671" max="6671" width="7.6640625" style="88" bestFit="1" customWidth="1"/>
    <col min="6672" max="6672" width="9.44140625" style="88" bestFit="1" customWidth="1"/>
    <col min="6673" max="6673" width="8" style="88" bestFit="1" customWidth="1"/>
    <col min="6674" max="6674" width="7.6640625" style="88" bestFit="1" customWidth="1"/>
    <col min="6675" max="6675" width="10.44140625" style="88" bestFit="1" customWidth="1"/>
    <col min="6676" max="6676" width="8" style="88" bestFit="1" customWidth="1"/>
    <col min="6677" max="6677" width="7.6640625" style="88" bestFit="1" customWidth="1"/>
    <col min="6678" max="6678" width="10.44140625" style="88" bestFit="1" customWidth="1"/>
    <col min="6679" max="6679" width="7.44140625" style="88" bestFit="1" customWidth="1"/>
    <col min="6680" max="6680" width="7.6640625" style="88" bestFit="1" customWidth="1"/>
    <col min="6681" max="6681" width="10.44140625" style="88" bestFit="1" customWidth="1"/>
    <col min="6682" max="6682" width="8" style="88" bestFit="1" customWidth="1"/>
    <col min="6683" max="6683" width="7.6640625" style="88" bestFit="1" customWidth="1"/>
    <col min="6684" max="6684" width="10.44140625" style="88" bestFit="1" customWidth="1"/>
    <col min="6685" max="6685" width="7.44140625" style="88" bestFit="1" customWidth="1"/>
    <col min="6686" max="6686" width="7.6640625" style="88" bestFit="1" customWidth="1"/>
    <col min="6687" max="6687" width="10.44140625" style="88" bestFit="1" customWidth="1"/>
    <col min="6688" max="6688" width="7.44140625" style="88" bestFit="1" customWidth="1"/>
    <col min="6689" max="6689" width="7.6640625" style="88" bestFit="1" customWidth="1"/>
    <col min="6690" max="6690" width="10.44140625" style="88" bestFit="1" customWidth="1"/>
    <col min="6691" max="6691" width="5.109375" style="88" customWidth="1"/>
    <col min="6692" max="6914" width="9.109375" style="88"/>
    <col min="6915" max="6915" width="3.44140625" style="88" customWidth="1"/>
    <col min="6916" max="6916" width="7" style="88" customWidth="1"/>
    <col min="6917" max="6917" width="25.44140625" style="88" customWidth="1"/>
    <col min="6918" max="6918" width="12" style="88" customWidth="1"/>
    <col min="6919" max="6919" width="12.6640625" style="88" bestFit="1" customWidth="1"/>
    <col min="6920" max="6920" width="7.44140625" style="88" bestFit="1" customWidth="1"/>
    <col min="6921" max="6921" width="7.6640625" style="88" bestFit="1" customWidth="1"/>
    <col min="6922" max="6922" width="15" style="88" customWidth="1"/>
    <col min="6923" max="6923" width="7.44140625" style="88" bestFit="1" customWidth="1"/>
    <col min="6924" max="6924" width="7.6640625" style="88" bestFit="1" customWidth="1"/>
    <col min="6925" max="6925" width="15" style="88" bestFit="1" customWidth="1"/>
    <col min="6926" max="6926" width="7.44140625" style="88" bestFit="1" customWidth="1"/>
    <col min="6927" max="6927" width="7.6640625" style="88" bestFit="1" customWidth="1"/>
    <col min="6928" max="6928" width="9.44140625" style="88" bestFit="1" customWidth="1"/>
    <col min="6929" max="6929" width="8" style="88" bestFit="1" customWidth="1"/>
    <col min="6930" max="6930" width="7.6640625" style="88" bestFit="1" customWidth="1"/>
    <col min="6931" max="6931" width="10.44140625" style="88" bestFit="1" customWidth="1"/>
    <col min="6932" max="6932" width="8" style="88" bestFit="1" customWidth="1"/>
    <col min="6933" max="6933" width="7.6640625" style="88" bestFit="1" customWidth="1"/>
    <col min="6934" max="6934" width="10.44140625" style="88" bestFit="1" customWidth="1"/>
    <col min="6935" max="6935" width="7.44140625" style="88" bestFit="1" customWidth="1"/>
    <col min="6936" max="6936" width="7.6640625" style="88" bestFit="1" customWidth="1"/>
    <col min="6937" max="6937" width="10.44140625" style="88" bestFit="1" customWidth="1"/>
    <col min="6938" max="6938" width="8" style="88" bestFit="1" customWidth="1"/>
    <col min="6939" max="6939" width="7.6640625" style="88" bestFit="1" customWidth="1"/>
    <col min="6940" max="6940" width="10.44140625" style="88" bestFit="1" customWidth="1"/>
    <col min="6941" max="6941" width="7.44140625" style="88" bestFit="1" customWidth="1"/>
    <col min="6942" max="6942" width="7.6640625" style="88" bestFit="1" customWidth="1"/>
    <col min="6943" max="6943" width="10.44140625" style="88" bestFit="1" customWidth="1"/>
    <col min="6944" max="6944" width="7.44140625" style="88" bestFit="1" customWidth="1"/>
    <col min="6945" max="6945" width="7.6640625" style="88" bestFit="1" customWidth="1"/>
    <col min="6946" max="6946" width="10.44140625" style="88" bestFit="1" customWidth="1"/>
    <col min="6947" max="6947" width="5.109375" style="88" customWidth="1"/>
    <col min="6948" max="7170" width="9.109375" style="88"/>
    <col min="7171" max="7171" width="3.44140625" style="88" customWidth="1"/>
    <col min="7172" max="7172" width="7" style="88" customWidth="1"/>
    <col min="7173" max="7173" width="25.44140625" style="88" customWidth="1"/>
    <col min="7174" max="7174" width="12" style="88" customWidth="1"/>
    <col min="7175" max="7175" width="12.6640625" style="88" bestFit="1" customWidth="1"/>
    <col min="7176" max="7176" width="7.44140625" style="88" bestFit="1" customWidth="1"/>
    <col min="7177" max="7177" width="7.6640625" style="88" bestFit="1" customWidth="1"/>
    <col min="7178" max="7178" width="15" style="88" customWidth="1"/>
    <col min="7179" max="7179" width="7.44140625" style="88" bestFit="1" customWidth="1"/>
    <col min="7180" max="7180" width="7.6640625" style="88" bestFit="1" customWidth="1"/>
    <col min="7181" max="7181" width="15" style="88" bestFit="1" customWidth="1"/>
    <col min="7182" max="7182" width="7.44140625" style="88" bestFit="1" customWidth="1"/>
    <col min="7183" max="7183" width="7.6640625" style="88" bestFit="1" customWidth="1"/>
    <col min="7184" max="7184" width="9.44140625" style="88" bestFit="1" customWidth="1"/>
    <col min="7185" max="7185" width="8" style="88" bestFit="1" customWidth="1"/>
    <col min="7186" max="7186" width="7.6640625" style="88" bestFit="1" customWidth="1"/>
    <col min="7187" max="7187" width="10.44140625" style="88" bestFit="1" customWidth="1"/>
    <col min="7188" max="7188" width="8" style="88" bestFit="1" customWidth="1"/>
    <col min="7189" max="7189" width="7.6640625" style="88" bestFit="1" customWidth="1"/>
    <col min="7190" max="7190" width="10.44140625" style="88" bestFit="1" customWidth="1"/>
    <col min="7191" max="7191" width="7.44140625" style="88" bestFit="1" customWidth="1"/>
    <col min="7192" max="7192" width="7.6640625" style="88" bestFit="1" customWidth="1"/>
    <col min="7193" max="7193" width="10.44140625" style="88" bestFit="1" customWidth="1"/>
    <col min="7194" max="7194" width="8" style="88" bestFit="1" customWidth="1"/>
    <col min="7195" max="7195" width="7.6640625" style="88" bestFit="1" customWidth="1"/>
    <col min="7196" max="7196" width="10.44140625" style="88" bestFit="1" customWidth="1"/>
    <col min="7197" max="7197" width="7.44140625" style="88" bestFit="1" customWidth="1"/>
    <col min="7198" max="7198" width="7.6640625" style="88" bestFit="1" customWidth="1"/>
    <col min="7199" max="7199" width="10.44140625" style="88" bestFit="1" customWidth="1"/>
    <col min="7200" max="7200" width="7.44140625" style="88" bestFit="1" customWidth="1"/>
    <col min="7201" max="7201" width="7.6640625" style="88" bestFit="1" customWidth="1"/>
    <col min="7202" max="7202" width="10.44140625" style="88" bestFit="1" customWidth="1"/>
    <col min="7203" max="7203" width="5.109375" style="88" customWidth="1"/>
    <col min="7204" max="7426" width="9.109375" style="88"/>
    <col min="7427" max="7427" width="3.44140625" style="88" customWidth="1"/>
    <col min="7428" max="7428" width="7" style="88" customWidth="1"/>
    <col min="7429" max="7429" width="25.44140625" style="88" customWidth="1"/>
    <col min="7430" max="7430" width="12" style="88" customWidth="1"/>
    <col min="7431" max="7431" width="12.6640625" style="88" bestFit="1" customWidth="1"/>
    <col min="7432" max="7432" width="7.44140625" style="88" bestFit="1" customWidth="1"/>
    <col min="7433" max="7433" width="7.6640625" style="88" bestFit="1" customWidth="1"/>
    <col min="7434" max="7434" width="15" style="88" customWidth="1"/>
    <col min="7435" max="7435" width="7.44140625" style="88" bestFit="1" customWidth="1"/>
    <col min="7436" max="7436" width="7.6640625" style="88" bestFit="1" customWidth="1"/>
    <col min="7437" max="7437" width="15" style="88" bestFit="1" customWidth="1"/>
    <col min="7438" max="7438" width="7.44140625" style="88" bestFit="1" customWidth="1"/>
    <col min="7439" max="7439" width="7.6640625" style="88" bestFit="1" customWidth="1"/>
    <col min="7440" max="7440" width="9.44140625" style="88" bestFit="1" customWidth="1"/>
    <col min="7441" max="7441" width="8" style="88" bestFit="1" customWidth="1"/>
    <col min="7442" max="7442" width="7.6640625" style="88" bestFit="1" customWidth="1"/>
    <col min="7443" max="7443" width="10.44140625" style="88" bestFit="1" customWidth="1"/>
    <col min="7444" max="7444" width="8" style="88" bestFit="1" customWidth="1"/>
    <col min="7445" max="7445" width="7.6640625" style="88" bestFit="1" customWidth="1"/>
    <col min="7446" max="7446" width="10.44140625" style="88" bestFit="1" customWidth="1"/>
    <col min="7447" max="7447" width="7.44140625" style="88" bestFit="1" customWidth="1"/>
    <col min="7448" max="7448" width="7.6640625" style="88" bestFit="1" customWidth="1"/>
    <col min="7449" max="7449" width="10.44140625" style="88" bestFit="1" customWidth="1"/>
    <col min="7450" max="7450" width="8" style="88" bestFit="1" customWidth="1"/>
    <col min="7451" max="7451" width="7.6640625" style="88" bestFit="1" customWidth="1"/>
    <col min="7452" max="7452" width="10.44140625" style="88" bestFit="1" customWidth="1"/>
    <col min="7453" max="7453" width="7.44140625" style="88" bestFit="1" customWidth="1"/>
    <col min="7454" max="7454" width="7.6640625" style="88" bestFit="1" customWidth="1"/>
    <col min="7455" max="7455" width="10.44140625" style="88" bestFit="1" customWidth="1"/>
    <col min="7456" max="7456" width="7.44140625" style="88" bestFit="1" customWidth="1"/>
    <col min="7457" max="7457" width="7.6640625" style="88" bestFit="1" customWidth="1"/>
    <col min="7458" max="7458" width="10.44140625" style="88" bestFit="1" customWidth="1"/>
    <col min="7459" max="7459" width="5.109375" style="88" customWidth="1"/>
    <col min="7460" max="7682" width="9.109375" style="88"/>
    <col min="7683" max="7683" width="3.44140625" style="88" customWidth="1"/>
    <col min="7684" max="7684" width="7" style="88" customWidth="1"/>
    <col min="7685" max="7685" width="25.44140625" style="88" customWidth="1"/>
    <col min="7686" max="7686" width="12" style="88" customWidth="1"/>
    <col min="7687" max="7687" width="12.6640625" style="88" bestFit="1" customWidth="1"/>
    <col min="7688" max="7688" width="7.44140625" style="88" bestFit="1" customWidth="1"/>
    <col min="7689" max="7689" width="7.6640625" style="88" bestFit="1" customWidth="1"/>
    <col min="7690" max="7690" width="15" style="88" customWidth="1"/>
    <col min="7691" max="7691" width="7.44140625" style="88" bestFit="1" customWidth="1"/>
    <col min="7692" max="7692" width="7.6640625" style="88" bestFit="1" customWidth="1"/>
    <col min="7693" max="7693" width="15" style="88" bestFit="1" customWidth="1"/>
    <col min="7694" max="7694" width="7.44140625" style="88" bestFit="1" customWidth="1"/>
    <col min="7695" max="7695" width="7.6640625" style="88" bestFit="1" customWidth="1"/>
    <col min="7696" max="7696" width="9.44140625" style="88" bestFit="1" customWidth="1"/>
    <col min="7697" max="7697" width="8" style="88" bestFit="1" customWidth="1"/>
    <col min="7698" max="7698" width="7.6640625" style="88" bestFit="1" customWidth="1"/>
    <col min="7699" max="7699" width="10.44140625" style="88" bestFit="1" customWidth="1"/>
    <col min="7700" max="7700" width="8" style="88" bestFit="1" customWidth="1"/>
    <col min="7701" max="7701" width="7.6640625" style="88" bestFit="1" customWidth="1"/>
    <col min="7702" max="7702" width="10.44140625" style="88" bestFit="1" customWidth="1"/>
    <col min="7703" max="7703" width="7.44140625" style="88" bestFit="1" customWidth="1"/>
    <col min="7704" max="7704" width="7.6640625" style="88" bestFit="1" customWidth="1"/>
    <col min="7705" max="7705" width="10.44140625" style="88" bestFit="1" customWidth="1"/>
    <col min="7706" max="7706" width="8" style="88" bestFit="1" customWidth="1"/>
    <col min="7707" max="7707" width="7.6640625" style="88" bestFit="1" customWidth="1"/>
    <col min="7708" max="7708" width="10.44140625" style="88" bestFit="1" customWidth="1"/>
    <col min="7709" max="7709" width="7.44140625" style="88" bestFit="1" customWidth="1"/>
    <col min="7710" max="7710" width="7.6640625" style="88" bestFit="1" customWidth="1"/>
    <col min="7711" max="7711" width="10.44140625" style="88" bestFit="1" customWidth="1"/>
    <col min="7712" max="7712" width="7.44140625" style="88" bestFit="1" customWidth="1"/>
    <col min="7713" max="7713" width="7.6640625" style="88" bestFit="1" customWidth="1"/>
    <col min="7714" max="7714" width="10.44140625" style="88" bestFit="1" customWidth="1"/>
    <col min="7715" max="7715" width="5.109375" style="88" customWidth="1"/>
    <col min="7716" max="7938" width="9.109375" style="88"/>
    <col min="7939" max="7939" width="3.44140625" style="88" customWidth="1"/>
    <col min="7940" max="7940" width="7" style="88" customWidth="1"/>
    <col min="7941" max="7941" width="25.44140625" style="88" customWidth="1"/>
    <col min="7942" max="7942" width="12" style="88" customWidth="1"/>
    <col min="7943" max="7943" width="12.6640625" style="88" bestFit="1" customWidth="1"/>
    <col min="7944" max="7944" width="7.44140625" style="88" bestFit="1" customWidth="1"/>
    <col min="7945" max="7945" width="7.6640625" style="88" bestFit="1" customWidth="1"/>
    <col min="7946" max="7946" width="15" style="88" customWidth="1"/>
    <col min="7947" max="7947" width="7.44140625" style="88" bestFit="1" customWidth="1"/>
    <col min="7948" max="7948" width="7.6640625" style="88" bestFit="1" customWidth="1"/>
    <col min="7949" max="7949" width="15" style="88" bestFit="1" customWidth="1"/>
    <col min="7950" max="7950" width="7.44140625" style="88" bestFit="1" customWidth="1"/>
    <col min="7951" max="7951" width="7.6640625" style="88" bestFit="1" customWidth="1"/>
    <col min="7952" max="7952" width="9.44140625" style="88" bestFit="1" customWidth="1"/>
    <col min="7953" max="7953" width="8" style="88" bestFit="1" customWidth="1"/>
    <col min="7954" max="7954" width="7.6640625" style="88" bestFit="1" customWidth="1"/>
    <col min="7955" max="7955" width="10.44140625" style="88" bestFit="1" customWidth="1"/>
    <col min="7956" max="7956" width="8" style="88" bestFit="1" customWidth="1"/>
    <col min="7957" max="7957" width="7.6640625" style="88" bestFit="1" customWidth="1"/>
    <col min="7958" max="7958" width="10.44140625" style="88" bestFit="1" customWidth="1"/>
    <col min="7959" max="7959" width="7.44140625" style="88" bestFit="1" customWidth="1"/>
    <col min="7960" max="7960" width="7.6640625" style="88" bestFit="1" customWidth="1"/>
    <col min="7961" max="7961" width="10.44140625" style="88" bestFit="1" customWidth="1"/>
    <col min="7962" max="7962" width="8" style="88" bestFit="1" customWidth="1"/>
    <col min="7963" max="7963" width="7.6640625" style="88" bestFit="1" customWidth="1"/>
    <col min="7964" max="7964" width="10.44140625" style="88" bestFit="1" customWidth="1"/>
    <col min="7965" max="7965" width="7.44140625" style="88" bestFit="1" customWidth="1"/>
    <col min="7966" max="7966" width="7.6640625" style="88" bestFit="1" customWidth="1"/>
    <col min="7967" max="7967" width="10.44140625" style="88" bestFit="1" customWidth="1"/>
    <col min="7968" max="7968" width="7.44140625" style="88" bestFit="1" customWidth="1"/>
    <col min="7969" max="7969" width="7.6640625" style="88" bestFit="1" customWidth="1"/>
    <col min="7970" max="7970" width="10.44140625" style="88" bestFit="1" customWidth="1"/>
    <col min="7971" max="7971" width="5.109375" style="88" customWidth="1"/>
    <col min="7972" max="8194" width="9.109375" style="88"/>
    <col min="8195" max="8195" width="3.44140625" style="88" customWidth="1"/>
    <col min="8196" max="8196" width="7" style="88" customWidth="1"/>
    <col min="8197" max="8197" width="25.44140625" style="88" customWidth="1"/>
    <col min="8198" max="8198" width="12" style="88" customWidth="1"/>
    <col min="8199" max="8199" width="12.6640625" style="88" bestFit="1" customWidth="1"/>
    <col min="8200" max="8200" width="7.44140625" style="88" bestFit="1" customWidth="1"/>
    <col min="8201" max="8201" width="7.6640625" style="88" bestFit="1" customWidth="1"/>
    <col min="8202" max="8202" width="15" style="88" customWidth="1"/>
    <col min="8203" max="8203" width="7.44140625" style="88" bestFit="1" customWidth="1"/>
    <col min="8204" max="8204" width="7.6640625" style="88" bestFit="1" customWidth="1"/>
    <col min="8205" max="8205" width="15" style="88" bestFit="1" customWidth="1"/>
    <col min="8206" max="8206" width="7.44140625" style="88" bestFit="1" customWidth="1"/>
    <col min="8207" max="8207" width="7.6640625" style="88" bestFit="1" customWidth="1"/>
    <col min="8208" max="8208" width="9.44140625" style="88" bestFit="1" customWidth="1"/>
    <col min="8209" max="8209" width="8" style="88" bestFit="1" customWidth="1"/>
    <col min="8210" max="8210" width="7.6640625" style="88" bestFit="1" customWidth="1"/>
    <col min="8211" max="8211" width="10.44140625" style="88" bestFit="1" customWidth="1"/>
    <col min="8212" max="8212" width="8" style="88" bestFit="1" customWidth="1"/>
    <col min="8213" max="8213" width="7.6640625" style="88" bestFit="1" customWidth="1"/>
    <col min="8214" max="8214" width="10.44140625" style="88" bestFit="1" customWidth="1"/>
    <col min="8215" max="8215" width="7.44140625" style="88" bestFit="1" customWidth="1"/>
    <col min="8216" max="8216" width="7.6640625" style="88" bestFit="1" customWidth="1"/>
    <col min="8217" max="8217" width="10.44140625" style="88" bestFit="1" customWidth="1"/>
    <col min="8218" max="8218" width="8" style="88" bestFit="1" customWidth="1"/>
    <col min="8219" max="8219" width="7.6640625" style="88" bestFit="1" customWidth="1"/>
    <col min="8220" max="8220" width="10.44140625" style="88" bestFit="1" customWidth="1"/>
    <col min="8221" max="8221" width="7.44140625" style="88" bestFit="1" customWidth="1"/>
    <col min="8222" max="8222" width="7.6640625" style="88" bestFit="1" customWidth="1"/>
    <col min="8223" max="8223" width="10.44140625" style="88" bestFit="1" customWidth="1"/>
    <col min="8224" max="8224" width="7.44140625" style="88" bestFit="1" customWidth="1"/>
    <col min="8225" max="8225" width="7.6640625" style="88" bestFit="1" customWidth="1"/>
    <col min="8226" max="8226" width="10.44140625" style="88" bestFit="1" customWidth="1"/>
    <col min="8227" max="8227" width="5.109375" style="88" customWidth="1"/>
    <col min="8228" max="8450" width="9.109375" style="88"/>
    <col min="8451" max="8451" width="3.44140625" style="88" customWidth="1"/>
    <col min="8452" max="8452" width="7" style="88" customWidth="1"/>
    <col min="8453" max="8453" width="25.44140625" style="88" customWidth="1"/>
    <col min="8454" max="8454" width="12" style="88" customWidth="1"/>
    <col min="8455" max="8455" width="12.6640625" style="88" bestFit="1" customWidth="1"/>
    <col min="8456" max="8456" width="7.44140625" style="88" bestFit="1" customWidth="1"/>
    <col min="8457" max="8457" width="7.6640625" style="88" bestFit="1" customWidth="1"/>
    <col min="8458" max="8458" width="15" style="88" customWidth="1"/>
    <col min="8459" max="8459" width="7.44140625" style="88" bestFit="1" customWidth="1"/>
    <col min="8460" max="8460" width="7.6640625" style="88" bestFit="1" customWidth="1"/>
    <col min="8461" max="8461" width="15" style="88" bestFit="1" customWidth="1"/>
    <col min="8462" max="8462" width="7.44140625" style="88" bestFit="1" customWidth="1"/>
    <col min="8463" max="8463" width="7.6640625" style="88" bestFit="1" customWidth="1"/>
    <col min="8464" max="8464" width="9.44140625" style="88" bestFit="1" customWidth="1"/>
    <col min="8465" max="8465" width="8" style="88" bestFit="1" customWidth="1"/>
    <col min="8466" max="8466" width="7.6640625" style="88" bestFit="1" customWidth="1"/>
    <col min="8467" max="8467" width="10.44140625" style="88" bestFit="1" customWidth="1"/>
    <col min="8468" max="8468" width="8" style="88" bestFit="1" customWidth="1"/>
    <col min="8469" max="8469" width="7.6640625" style="88" bestFit="1" customWidth="1"/>
    <col min="8470" max="8470" width="10.44140625" style="88" bestFit="1" customWidth="1"/>
    <col min="8471" max="8471" width="7.44140625" style="88" bestFit="1" customWidth="1"/>
    <col min="8472" max="8472" width="7.6640625" style="88" bestFit="1" customWidth="1"/>
    <col min="8473" max="8473" width="10.44140625" style="88" bestFit="1" customWidth="1"/>
    <col min="8474" max="8474" width="8" style="88" bestFit="1" customWidth="1"/>
    <col min="8475" max="8475" width="7.6640625" style="88" bestFit="1" customWidth="1"/>
    <col min="8476" max="8476" width="10.44140625" style="88" bestFit="1" customWidth="1"/>
    <col min="8477" max="8477" width="7.44140625" style="88" bestFit="1" customWidth="1"/>
    <col min="8478" max="8478" width="7.6640625" style="88" bestFit="1" customWidth="1"/>
    <col min="8479" max="8479" width="10.44140625" style="88" bestFit="1" customWidth="1"/>
    <col min="8480" max="8480" width="7.44140625" style="88" bestFit="1" customWidth="1"/>
    <col min="8481" max="8481" width="7.6640625" style="88" bestFit="1" customWidth="1"/>
    <col min="8482" max="8482" width="10.44140625" style="88" bestFit="1" customWidth="1"/>
    <col min="8483" max="8483" width="5.109375" style="88" customWidth="1"/>
    <col min="8484" max="8706" width="9.109375" style="88"/>
    <col min="8707" max="8707" width="3.44140625" style="88" customWidth="1"/>
    <col min="8708" max="8708" width="7" style="88" customWidth="1"/>
    <col min="8709" max="8709" width="25.44140625" style="88" customWidth="1"/>
    <col min="8710" max="8710" width="12" style="88" customWidth="1"/>
    <col min="8711" max="8711" width="12.6640625" style="88" bestFit="1" customWidth="1"/>
    <col min="8712" max="8712" width="7.44140625" style="88" bestFit="1" customWidth="1"/>
    <col min="8713" max="8713" width="7.6640625" style="88" bestFit="1" customWidth="1"/>
    <col min="8714" max="8714" width="15" style="88" customWidth="1"/>
    <col min="8715" max="8715" width="7.44140625" style="88" bestFit="1" customWidth="1"/>
    <col min="8716" max="8716" width="7.6640625" style="88" bestFit="1" customWidth="1"/>
    <col min="8717" max="8717" width="15" style="88" bestFit="1" customWidth="1"/>
    <col min="8718" max="8718" width="7.44140625" style="88" bestFit="1" customWidth="1"/>
    <col min="8719" max="8719" width="7.6640625" style="88" bestFit="1" customWidth="1"/>
    <col min="8720" max="8720" width="9.44140625" style="88" bestFit="1" customWidth="1"/>
    <col min="8721" max="8721" width="8" style="88" bestFit="1" customWidth="1"/>
    <col min="8722" max="8722" width="7.6640625" style="88" bestFit="1" customWidth="1"/>
    <col min="8723" max="8723" width="10.44140625" style="88" bestFit="1" customWidth="1"/>
    <col min="8724" max="8724" width="8" style="88" bestFit="1" customWidth="1"/>
    <col min="8725" max="8725" width="7.6640625" style="88" bestFit="1" customWidth="1"/>
    <col min="8726" max="8726" width="10.44140625" style="88" bestFit="1" customWidth="1"/>
    <col min="8727" max="8727" width="7.44140625" style="88" bestFit="1" customWidth="1"/>
    <col min="8728" max="8728" width="7.6640625" style="88" bestFit="1" customWidth="1"/>
    <col min="8729" max="8729" width="10.44140625" style="88" bestFit="1" customWidth="1"/>
    <col min="8730" max="8730" width="8" style="88" bestFit="1" customWidth="1"/>
    <col min="8731" max="8731" width="7.6640625" style="88" bestFit="1" customWidth="1"/>
    <col min="8732" max="8732" width="10.44140625" style="88" bestFit="1" customWidth="1"/>
    <col min="8733" max="8733" width="7.44140625" style="88" bestFit="1" customWidth="1"/>
    <col min="8734" max="8734" width="7.6640625" style="88" bestFit="1" customWidth="1"/>
    <col min="8735" max="8735" width="10.44140625" style="88" bestFit="1" customWidth="1"/>
    <col min="8736" max="8736" width="7.44140625" style="88" bestFit="1" customWidth="1"/>
    <col min="8737" max="8737" width="7.6640625" style="88" bestFit="1" customWidth="1"/>
    <col min="8738" max="8738" width="10.44140625" style="88" bestFit="1" customWidth="1"/>
    <col min="8739" max="8739" width="5.109375" style="88" customWidth="1"/>
    <col min="8740" max="8962" width="9.109375" style="88"/>
    <col min="8963" max="8963" width="3.44140625" style="88" customWidth="1"/>
    <col min="8964" max="8964" width="7" style="88" customWidth="1"/>
    <col min="8965" max="8965" width="25.44140625" style="88" customWidth="1"/>
    <col min="8966" max="8966" width="12" style="88" customWidth="1"/>
    <col min="8967" max="8967" width="12.6640625" style="88" bestFit="1" customWidth="1"/>
    <col min="8968" max="8968" width="7.44140625" style="88" bestFit="1" customWidth="1"/>
    <col min="8969" max="8969" width="7.6640625" style="88" bestFit="1" customWidth="1"/>
    <col min="8970" max="8970" width="15" style="88" customWidth="1"/>
    <col min="8971" max="8971" width="7.44140625" style="88" bestFit="1" customWidth="1"/>
    <col min="8972" max="8972" width="7.6640625" style="88" bestFit="1" customWidth="1"/>
    <col min="8973" max="8973" width="15" style="88" bestFit="1" customWidth="1"/>
    <col min="8974" max="8974" width="7.44140625" style="88" bestFit="1" customWidth="1"/>
    <col min="8975" max="8975" width="7.6640625" style="88" bestFit="1" customWidth="1"/>
    <col min="8976" max="8976" width="9.44140625" style="88" bestFit="1" customWidth="1"/>
    <col min="8977" max="8977" width="8" style="88" bestFit="1" customWidth="1"/>
    <col min="8978" max="8978" width="7.6640625" style="88" bestFit="1" customWidth="1"/>
    <col min="8979" max="8979" width="10.44140625" style="88" bestFit="1" customWidth="1"/>
    <col min="8980" max="8980" width="8" style="88" bestFit="1" customWidth="1"/>
    <col min="8981" max="8981" width="7.6640625" style="88" bestFit="1" customWidth="1"/>
    <col min="8982" max="8982" width="10.44140625" style="88" bestFit="1" customWidth="1"/>
    <col min="8983" max="8983" width="7.44140625" style="88" bestFit="1" customWidth="1"/>
    <col min="8984" max="8984" width="7.6640625" style="88" bestFit="1" customWidth="1"/>
    <col min="8985" max="8985" width="10.44140625" style="88" bestFit="1" customWidth="1"/>
    <col min="8986" max="8986" width="8" style="88" bestFit="1" customWidth="1"/>
    <col min="8987" max="8987" width="7.6640625" style="88" bestFit="1" customWidth="1"/>
    <col min="8988" max="8988" width="10.44140625" style="88" bestFit="1" customWidth="1"/>
    <col min="8989" max="8989" width="7.44140625" style="88" bestFit="1" customWidth="1"/>
    <col min="8990" max="8990" width="7.6640625" style="88" bestFit="1" customWidth="1"/>
    <col min="8991" max="8991" width="10.44140625" style="88" bestFit="1" customWidth="1"/>
    <col min="8992" max="8992" width="7.44140625" style="88" bestFit="1" customWidth="1"/>
    <col min="8993" max="8993" width="7.6640625" style="88" bestFit="1" customWidth="1"/>
    <col min="8994" max="8994" width="10.44140625" style="88" bestFit="1" customWidth="1"/>
    <col min="8995" max="8995" width="5.109375" style="88" customWidth="1"/>
    <col min="8996" max="9218" width="9.109375" style="88"/>
    <col min="9219" max="9219" width="3.44140625" style="88" customWidth="1"/>
    <col min="9220" max="9220" width="7" style="88" customWidth="1"/>
    <col min="9221" max="9221" width="25.44140625" style="88" customWidth="1"/>
    <col min="9222" max="9222" width="12" style="88" customWidth="1"/>
    <col min="9223" max="9223" width="12.6640625" style="88" bestFit="1" customWidth="1"/>
    <col min="9224" max="9224" width="7.44140625" style="88" bestFit="1" customWidth="1"/>
    <col min="9225" max="9225" width="7.6640625" style="88" bestFit="1" customWidth="1"/>
    <col min="9226" max="9226" width="15" style="88" customWidth="1"/>
    <col min="9227" max="9227" width="7.44140625" style="88" bestFit="1" customWidth="1"/>
    <col min="9228" max="9228" width="7.6640625" style="88" bestFit="1" customWidth="1"/>
    <col min="9229" max="9229" width="15" style="88" bestFit="1" customWidth="1"/>
    <col min="9230" max="9230" width="7.44140625" style="88" bestFit="1" customWidth="1"/>
    <col min="9231" max="9231" width="7.6640625" style="88" bestFit="1" customWidth="1"/>
    <col min="9232" max="9232" width="9.44140625" style="88" bestFit="1" customWidth="1"/>
    <col min="9233" max="9233" width="8" style="88" bestFit="1" customWidth="1"/>
    <col min="9234" max="9234" width="7.6640625" style="88" bestFit="1" customWidth="1"/>
    <col min="9235" max="9235" width="10.44140625" style="88" bestFit="1" customWidth="1"/>
    <col min="9236" max="9236" width="8" style="88" bestFit="1" customWidth="1"/>
    <col min="9237" max="9237" width="7.6640625" style="88" bestFit="1" customWidth="1"/>
    <col min="9238" max="9238" width="10.44140625" style="88" bestFit="1" customWidth="1"/>
    <col min="9239" max="9239" width="7.44140625" style="88" bestFit="1" customWidth="1"/>
    <col min="9240" max="9240" width="7.6640625" style="88" bestFit="1" customWidth="1"/>
    <col min="9241" max="9241" width="10.44140625" style="88" bestFit="1" customWidth="1"/>
    <col min="9242" max="9242" width="8" style="88" bestFit="1" customWidth="1"/>
    <col min="9243" max="9243" width="7.6640625" style="88" bestFit="1" customWidth="1"/>
    <col min="9244" max="9244" width="10.44140625" style="88" bestFit="1" customWidth="1"/>
    <col min="9245" max="9245" width="7.44140625" style="88" bestFit="1" customWidth="1"/>
    <col min="9246" max="9246" width="7.6640625" style="88" bestFit="1" customWidth="1"/>
    <col min="9247" max="9247" width="10.44140625" style="88" bestFit="1" customWidth="1"/>
    <col min="9248" max="9248" width="7.44140625" style="88" bestFit="1" customWidth="1"/>
    <col min="9249" max="9249" width="7.6640625" style="88" bestFit="1" customWidth="1"/>
    <col min="9250" max="9250" width="10.44140625" style="88" bestFit="1" customWidth="1"/>
    <col min="9251" max="9251" width="5.109375" style="88" customWidth="1"/>
    <col min="9252" max="9474" width="9.109375" style="88"/>
    <col min="9475" max="9475" width="3.44140625" style="88" customWidth="1"/>
    <col min="9476" max="9476" width="7" style="88" customWidth="1"/>
    <col min="9477" max="9477" width="25.44140625" style="88" customWidth="1"/>
    <col min="9478" max="9478" width="12" style="88" customWidth="1"/>
    <col min="9479" max="9479" width="12.6640625" style="88" bestFit="1" customWidth="1"/>
    <col min="9480" max="9480" width="7.44140625" style="88" bestFit="1" customWidth="1"/>
    <col min="9481" max="9481" width="7.6640625" style="88" bestFit="1" customWidth="1"/>
    <col min="9482" max="9482" width="15" style="88" customWidth="1"/>
    <col min="9483" max="9483" width="7.44140625" style="88" bestFit="1" customWidth="1"/>
    <col min="9484" max="9484" width="7.6640625" style="88" bestFit="1" customWidth="1"/>
    <col min="9485" max="9485" width="15" style="88" bestFit="1" customWidth="1"/>
    <col min="9486" max="9486" width="7.44140625" style="88" bestFit="1" customWidth="1"/>
    <col min="9487" max="9487" width="7.6640625" style="88" bestFit="1" customWidth="1"/>
    <col min="9488" max="9488" width="9.44140625" style="88" bestFit="1" customWidth="1"/>
    <col min="9489" max="9489" width="8" style="88" bestFit="1" customWidth="1"/>
    <col min="9490" max="9490" width="7.6640625" style="88" bestFit="1" customWidth="1"/>
    <col min="9491" max="9491" width="10.44140625" style="88" bestFit="1" customWidth="1"/>
    <col min="9492" max="9492" width="8" style="88" bestFit="1" customWidth="1"/>
    <col min="9493" max="9493" width="7.6640625" style="88" bestFit="1" customWidth="1"/>
    <col min="9494" max="9494" width="10.44140625" style="88" bestFit="1" customWidth="1"/>
    <col min="9495" max="9495" width="7.44140625" style="88" bestFit="1" customWidth="1"/>
    <col min="9496" max="9496" width="7.6640625" style="88" bestFit="1" customWidth="1"/>
    <col min="9497" max="9497" width="10.44140625" style="88" bestFit="1" customWidth="1"/>
    <col min="9498" max="9498" width="8" style="88" bestFit="1" customWidth="1"/>
    <col min="9499" max="9499" width="7.6640625" style="88" bestFit="1" customWidth="1"/>
    <col min="9500" max="9500" width="10.44140625" style="88" bestFit="1" customWidth="1"/>
    <col min="9501" max="9501" width="7.44140625" style="88" bestFit="1" customWidth="1"/>
    <col min="9502" max="9502" width="7.6640625" style="88" bestFit="1" customWidth="1"/>
    <col min="9503" max="9503" width="10.44140625" style="88" bestFit="1" customWidth="1"/>
    <col min="9504" max="9504" width="7.44140625" style="88" bestFit="1" customWidth="1"/>
    <col min="9505" max="9505" width="7.6640625" style="88" bestFit="1" customWidth="1"/>
    <col min="9506" max="9506" width="10.44140625" style="88" bestFit="1" customWidth="1"/>
    <col min="9507" max="9507" width="5.109375" style="88" customWidth="1"/>
    <col min="9508" max="9730" width="9.109375" style="88"/>
    <col min="9731" max="9731" width="3.44140625" style="88" customWidth="1"/>
    <col min="9732" max="9732" width="7" style="88" customWidth="1"/>
    <col min="9733" max="9733" width="25.44140625" style="88" customWidth="1"/>
    <col min="9734" max="9734" width="12" style="88" customWidth="1"/>
    <col min="9735" max="9735" width="12.6640625" style="88" bestFit="1" customWidth="1"/>
    <col min="9736" max="9736" width="7.44140625" style="88" bestFit="1" customWidth="1"/>
    <col min="9737" max="9737" width="7.6640625" style="88" bestFit="1" customWidth="1"/>
    <col min="9738" max="9738" width="15" style="88" customWidth="1"/>
    <col min="9739" max="9739" width="7.44140625" style="88" bestFit="1" customWidth="1"/>
    <col min="9740" max="9740" width="7.6640625" style="88" bestFit="1" customWidth="1"/>
    <col min="9741" max="9741" width="15" style="88" bestFit="1" customWidth="1"/>
    <col min="9742" max="9742" width="7.44140625" style="88" bestFit="1" customWidth="1"/>
    <col min="9743" max="9743" width="7.6640625" style="88" bestFit="1" customWidth="1"/>
    <col min="9744" max="9744" width="9.44140625" style="88" bestFit="1" customWidth="1"/>
    <col min="9745" max="9745" width="8" style="88" bestFit="1" customWidth="1"/>
    <col min="9746" max="9746" width="7.6640625" style="88" bestFit="1" customWidth="1"/>
    <col min="9747" max="9747" width="10.44140625" style="88" bestFit="1" customWidth="1"/>
    <col min="9748" max="9748" width="8" style="88" bestFit="1" customWidth="1"/>
    <col min="9749" max="9749" width="7.6640625" style="88" bestFit="1" customWidth="1"/>
    <col min="9750" max="9750" width="10.44140625" style="88" bestFit="1" customWidth="1"/>
    <col min="9751" max="9751" width="7.44140625" style="88" bestFit="1" customWidth="1"/>
    <col min="9752" max="9752" width="7.6640625" style="88" bestFit="1" customWidth="1"/>
    <col min="9753" max="9753" width="10.44140625" style="88" bestFit="1" customWidth="1"/>
    <col min="9754" max="9754" width="8" style="88" bestFit="1" customWidth="1"/>
    <col min="9755" max="9755" width="7.6640625" style="88" bestFit="1" customWidth="1"/>
    <col min="9756" max="9756" width="10.44140625" style="88" bestFit="1" customWidth="1"/>
    <col min="9757" max="9757" width="7.44140625" style="88" bestFit="1" customWidth="1"/>
    <col min="9758" max="9758" width="7.6640625" style="88" bestFit="1" customWidth="1"/>
    <col min="9759" max="9759" width="10.44140625" style="88" bestFit="1" customWidth="1"/>
    <col min="9760" max="9760" width="7.44140625" style="88" bestFit="1" customWidth="1"/>
    <col min="9761" max="9761" width="7.6640625" style="88" bestFit="1" customWidth="1"/>
    <col min="9762" max="9762" width="10.44140625" style="88" bestFit="1" customWidth="1"/>
    <col min="9763" max="9763" width="5.109375" style="88" customWidth="1"/>
    <col min="9764" max="9986" width="9.109375" style="88"/>
    <col min="9987" max="9987" width="3.44140625" style="88" customWidth="1"/>
    <col min="9988" max="9988" width="7" style="88" customWidth="1"/>
    <col min="9989" max="9989" width="25.44140625" style="88" customWidth="1"/>
    <col min="9990" max="9990" width="12" style="88" customWidth="1"/>
    <col min="9991" max="9991" width="12.6640625" style="88" bestFit="1" customWidth="1"/>
    <col min="9992" max="9992" width="7.44140625" style="88" bestFit="1" customWidth="1"/>
    <col min="9993" max="9993" width="7.6640625" style="88" bestFit="1" customWidth="1"/>
    <col min="9994" max="9994" width="15" style="88" customWidth="1"/>
    <col min="9995" max="9995" width="7.44140625" style="88" bestFit="1" customWidth="1"/>
    <col min="9996" max="9996" width="7.6640625" style="88" bestFit="1" customWidth="1"/>
    <col min="9997" max="9997" width="15" style="88" bestFit="1" customWidth="1"/>
    <col min="9998" max="9998" width="7.44140625" style="88" bestFit="1" customWidth="1"/>
    <col min="9999" max="9999" width="7.6640625" style="88" bestFit="1" customWidth="1"/>
    <col min="10000" max="10000" width="9.44140625" style="88" bestFit="1" customWidth="1"/>
    <col min="10001" max="10001" width="8" style="88" bestFit="1" customWidth="1"/>
    <col min="10002" max="10002" width="7.6640625" style="88" bestFit="1" customWidth="1"/>
    <col min="10003" max="10003" width="10.44140625" style="88" bestFit="1" customWidth="1"/>
    <col min="10004" max="10004" width="8" style="88" bestFit="1" customWidth="1"/>
    <col min="10005" max="10005" width="7.6640625" style="88" bestFit="1" customWidth="1"/>
    <col min="10006" max="10006" width="10.44140625" style="88" bestFit="1" customWidth="1"/>
    <col min="10007" max="10007" width="7.44140625" style="88" bestFit="1" customWidth="1"/>
    <col min="10008" max="10008" width="7.6640625" style="88" bestFit="1" customWidth="1"/>
    <col min="10009" max="10009" width="10.44140625" style="88" bestFit="1" customWidth="1"/>
    <col min="10010" max="10010" width="8" style="88" bestFit="1" customWidth="1"/>
    <col min="10011" max="10011" width="7.6640625" style="88" bestFit="1" customWidth="1"/>
    <col min="10012" max="10012" width="10.44140625" style="88" bestFit="1" customWidth="1"/>
    <col min="10013" max="10013" width="7.44140625" style="88" bestFit="1" customWidth="1"/>
    <col min="10014" max="10014" width="7.6640625" style="88" bestFit="1" customWidth="1"/>
    <col min="10015" max="10015" width="10.44140625" style="88" bestFit="1" customWidth="1"/>
    <col min="10016" max="10016" width="7.44140625" style="88" bestFit="1" customWidth="1"/>
    <col min="10017" max="10017" width="7.6640625" style="88" bestFit="1" customWidth="1"/>
    <col min="10018" max="10018" width="10.44140625" style="88" bestFit="1" customWidth="1"/>
    <col min="10019" max="10019" width="5.109375" style="88" customWidth="1"/>
    <col min="10020" max="10242" width="9.109375" style="88"/>
    <col min="10243" max="10243" width="3.44140625" style="88" customWidth="1"/>
    <col min="10244" max="10244" width="7" style="88" customWidth="1"/>
    <col min="10245" max="10245" width="25.44140625" style="88" customWidth="1"/>
    <col min="10246" max="10246" width="12" style="88" customWidth="1"/>
    <col min="10247" max="10247" width="12.6640625" style="88" bestFit="1" customWidth="1"/>
    <col min="10248" max="10248" width="7.44140625" style="88" bestFit="1" customWidth="1"/>
    <col min="10249" max="10249" width="7.6640625" style="88" bestFit="1" customWidth="1"/>
    <col min="10250" max="10250" width="15" style="88" customWidth="1"/>
    <col min="10251" max="10251" width="7.44140625" style="88" bestFit="1" customWidth="1"/>
    <col min="10252" max="10252" width="7.6640625" style="88" bestFit="1" customWidth="1"/>
    <col min="10253" max="10253" width="15" style="88" bestFit="1" customWidth="1"/>
    <col min="10254" max="10254" width="7.44140625" style="88" bestFit="1" customWidth="1"/>
    <col min="10255" max="10255" width="7.6640625" style="88" bestFit="1" customWidth="1"/>
    <col min="10256" max="10256" width="9.44140625" style="88" bestFit="1" customWidth="1"/>
    <col min="10257" max="10257" width="8" style="88" bestFit="1" customWidth="1"/>
    <col min="10258" max="10258" width="7.6640625" style="88" bestFit="1" customWidth="1"/>
    <col min="10259" max="10259" width="10.44140625" style="88" bestFit="1" customWidth="1"/>
    <col min="10260" max="10260" width="8" style="88" bestFit="1" customWidth="1"/>
    <col min="10261" max="10261" width="7.6640625" style="88" bestFit="1" customWidth="1"/>
    <col min="10262" max="10262" width="10.44140625" style="88" bestFit="1" customWidth="1"/>
    <col min="10263" max="10263" width="7.44140625" style="88" bestFit="1" customWidth="1"/>
    <col min="10264" max="10264" width="7.6640625" style="88" bestFit="1" customWidth="1"/>
    <col min="10265" max="10265" width="10.44140625" style="88" bestFit="1" customWidth="1"/>
    <col min="10266" max="10266" width="8" style="88" bestFit="1" customWidth="1"/>
    <col min="10267" max="10267" width="7.6640625" style="88" bestFit="1" customWidth="1"/>
    <col min="10268" max="10268" width="10.44140625" style="88" bestFit="1" customWidth="1"/>
    <col min="10269" max="10269" width="7.44140625" style="88" bestFit="1" customWidth="1"/>
    <col min="10270" max="10270" width="7.6640625" style="88" bestFit="1" customWidth="1"/>
    <col min="10271" max="10271" width="10.44140625" style="88" bestFit="1" customWidth="1"/>
    <col min="10272" max="10272" width="7.44140625" style="88" bestFit="1" customWidth="1"/>
    <col min="10273" max="10273" width="7.6640625" style="88" bestFit="1" customWidth="1"/>
    <col min="10274" max="10274" width="10.44140625" style="88" bestFit="1" customWidth="1"/>
    <col min="10275" max="10275" width="5.109375" style="88" customWidth="1"/>
    <col min="10276" max="10498" width="9.109375" style="88"/>
    <col min="10499" max="10499" width="3.44140625" style="88" customWidth="1"/>
    <col min="10500" max="10500" width="7" style="88" customWidth="1"/>
    <col min="10501" max="10501" width="25.44140625" style="88" customWidth="1"/>
    <col min="10502" max="10502" width="12" style="88" customWidth="1"/>
    <col min="10503" max="10503" width="12.6640625" style="88" bestFit="1" customWidth="1"/>
    <col min="10504" max="10504" width="7.44140625" style="88" bestFit="1" customWidth="1"/>
    <col min="10505" max="10505" width="7.6640625" style="88" bestFit="1" customWidth="1"/>
    <col min="10506" max="10506" width="15" style="88" customWidth="1"/>
    <col min="10507" max="10507" width="7.44140625" style="88" bestFit="1" customWidth="1"/>
    <col min="10508" max="10508" width="7.6640625" style="88" bestFit="1" customWidth="1"/>
    <col min="10509" max="10509" width="15" style="88" bestFit="1" customWidth="1"/>
    <col min="10510" max="10510" width="7.44140625" style="88" bestFit="1" customWidth="1"/>
    <col min="10511" max="10511" width="7.6640625" style="88" bestFit="1" customWidth="1"/>
    <col min="10512" max="10512" width="9.44140625" style="88" bestFit="1" customWidth="1"/>
    <col min="10513" max="10513" width="8" style="88" bestFit="1" customWidth="1"/>
    <col min="10514" max="10514" width="7.6640625" style="88" bestFit="1" customWidth="1"/>
    <col min="10515" max="10515" width="10.44140625" style="88" bestFit="1" customWidth="1"/>
    <col min="10516" max="10516" width="8" style="88" bestFit="1" customWidth="1"/>
    <col min="10517" max="10517" width="7.6640625" style="88" bestFit="1" customWidth="1"/>
    <col min="10518" max="10518" width="10.44140625" style="88" bestFit="1" customWidth="1"/>
    <col min="10519" max="10519" width="7.44140625" style="88" bestFit="1" customWidth="1"/>
    <col min="10520" max="10520" width="7.6640625" style="88" bestFit="1" customWidth="1"/>
    <col min="10521" max="10521" width="10.44140625" style="88" bestFit="1" customWidth="1"/>
    <col min="10522" max="10522" width="8" style="88" bestFit="1" customWidth="1"/>
    <col min="10523" max="10523" width="7.6640625" style="88" bestFit="1" customWidth="1"/>
    <col min="10524" max="10524" width="10.44140625" style="88" bestFit="1" customWidth="1"/>
    <col min="10525" max="10525" width="7.44140625" style="88" bestFit="1" customWidth="1"/>
    <col min="10526" max="10526" width="7.6640625" style="88" bestFit="1" customWidth="1"/>
    <col min="10527" max="10527" width="10.44140625" style="88" bestFit="1" customWidth="1"/>
    <col min="10528" max="10528" width="7.44140625" style="88" bestFit="1" customWidth="1"/>
    <col min="10529" max="10529" width="7.6640625" style="88" bestFit="1" customWidth="1"/>
    <col min="10530" max="10530" width="10.44140625" style="88" bestFit="1" customWidth="1"/>
    <col min="10531" max="10531" width="5.109375" style="88" customWidth="1"/>
    <col min="10532" max="10754" width="9.109375" style="88"/>
    <col min="10755" max="10755" width="3.44140625" style="88" customWidth="1"/>
    <col min="10756" max="10756" width="7" style="88" customWidth="1"/>
    <col min="10757" max="10757" width="25.44140625" style="88" customWidth="1"/>
    <col min="10758" max="10758" width="12" style="88" customWidth="1"/>
    <col min="10759" max="10759" width="12.6640625" style="88" bestFit="1" customWidth="1"/>
    <col min="10760" max="10760" width="7.44140625" style="88" bestFit="1" customWidth="1"/>
    <col min="10761" max="10761" width="7.6640625" style="88" bestFit="1" customWidth="1"/>
    <col min="10762" max="10762" width="15" style="88" customWidth="1"/>
    <col min="10763" max="10763" width="7.44140625" style="88" bestFit="1" customWidth="1"/>
    <col min="10764" max="10764" width="7.6640625" style="88" bestFit="1" customWidth="1"/>
    <col min="10765" max="10765" width="15" style="88" bestFit="1" customWidth="1"/>
    <col min="10766" max="10766" width="7.44140625" style="88" bestFit="1" customWidth="1"/>
    <col min="10767" max="10767" width="7.6640625" style="88" bestFit="1" customWidth="1"/>
    <col min="10768" max="10768" width="9.44140625" style="88" bestFit="1" customWidth="1"/>
    <col min="10769" max="10769" width="8" style="88" bestFit="1" customWidth="1"/>
    <col min="10770" max="10770" width="7.6640625" style="88" bestFit="1" customWidth="1"/>
    <col min="10771" max="10771" width="10.44140625" style="88" bestFit="1" customWidth="1"/>
    <col min="10772" max="10772" width="8" style="88" bestFit="1" customWidth="1"/>
    <col min="10773" max="10773" width="7.6640625" style="88" bestFit="1" customWidth="1"/>
    <col min="10774" max="10774" width="10.44140625" style="88" bestFit="1" customWidth="1"/>
    <col min="10775" max="10775" width="7.44140625" style="88" bestFit="1" customWidth="1"/>
    <col min="10776" max="10776" width="7.6640625" style="88" bestFit="1" customWidth="1"/>
    <col min="10777" max="10777" width="10.44140625" style="88" bestFit="1" customWidth="1"/>
    <col min="10778" max="10778" width="8" style="88" bestFit="1" customWidth="1"/>
    <col min="10779" max="10779" width="7.6640625" style="88" bestFit="1" customWidth="1"/>
    <col min="10780" max="10780" width="10.44140625" style="88" bestFit="1" customWidth="1"/>
    <col min="10781" max="10781" width="7.44140625" style="88" bestFit="1" customWidth="1"/>
    <col min="10782" max="10782" width="7.6640625" style="88" bestFit="1" customWidth="1"/>
    <col min="10783" max="10783" width="10.44140625" style="88" bestFit="1" customWidth="1"/>
    <col min="10784" max="10784" width="7.44140625" style="88" bestFit="1" customWidth="1"/>
    <col min="10785" max="10785" width="7.6640625" style="88" bestFit="1" customWidth="1"/>
    <col min="10786" max="10786" width="10.44140625" style="88" bestFit="1" customWidth="1"/>
    <col min="10787" max="10787" width="5.109375" style="88" customWidth="1"/>
    <col min="10788" max="11010" width="9.109375" style="88"/>
    <col min="11011" max="11011" width="3.44140625" style="88" customWidth="1"/>
    <col min="11012" max="11012" width="7" style="88" customWidth="1"/>
    <col min="11013" max="11013" width="25.44140625" style="88" customWidth="1"/>
    <col min="11014" max="11014" width="12" style="88" customWidth="1"/>
    <col min="11015" max="11015" width="12.6640625" style="88" bestFit="1" customWidth="1"/>
    <col min="11016" max="11016" width="7.44140625" style="88" bestFit="1" customWidth="1"/>
    <col min="11017" max="11017" width="7.6640625" style="88" bestFit="1" customWidth="1"/>
    <col min="11018" max="11018" width="15" style="88" customWidth="1"/>
    <col min="11019" max="11019" width="7.44140625" style="88" bestFit="1" customWidth="1"/>
    <col min="11020" max="11020" width="7.6640625" style="88" bestFit="1" customWidth="1"/>
    <col min="11021" max="11021" width="15" style="88" bestFit="1" customWidth="1"/>
    <col min="11022" max="11022" width="7.44140625" style="88" bestFit="1" customWidth="1"/>
    <col min="11023" max="11023" width="7.6640625" style="88" bestFit="1" customWidth="1"/>
    <col min="11024" max="11024" width="9.44140625" style="88" bestFit="1" customWidth="1"/>
    <col min="11025" max="11025" width="8" style="88" bestFit="1" customWidth="1"/>
    <col min="11026" max="11026" width="7.6640625" style="88" bestFit="1" customWidth="1"/>
    <col min="11027" max="11027" width="10.44140625" style="88" bestFit="1" customWidth="1"/>
    <col min="11028" max="11028" width="8" style="88" bestFit="1" customWidth="1"/>
    <col min="11029" max="11029" width="7.6640625" style="88" bestFit="1" customWidth="1"/>
    <col min="11030" max="11030" width="10.44140625" style="88" bestFit="1" customWidth="1"/>
    <col min="11031" max="11031" width="7.44140625" style="88" bestFit="1" customWidth="1"/>
    <col min="11032" max="11032" width="7.6640625" style="88" bestFit="1" customWidth="1"/>
    <col min="11033" max="11033" width="10.44140625" style="88" bestFit="1" customWidth="1"/>
    <col min="11034" max="11034" width="8" style="88" bestFit="1" customWidth="1"/>
    <col min="11035" max="11035" width="7.6640625" style="88" bestFit="1" customWidth="1"/>
    <col min="11036" max="11036" width="10.44140625" style="88" bestFit="1" customWidth="1"/>
    <col min="11037" max="11037" width="7.44140625" style="88" bestFit="1" customWidth="1"/>
    <col min="11038" max="11038" width="7.6640625" style="88" bestFit="1" customWidth="1"/>
    <col min="11039" max="11039" width="10.44140625" style="88" bestFit="1" customWidth="1"/>
    <col min="11040" max="11040" width="7.44140625" style="88" bestFit="1" customWidth="1"/>
    <col min="11041" max="11041" width="7.6640625" style="88" bestFit="1" customWidth="1"/>
    <col min="11042" max="11042" width="10.44140625" style="88" bestFit="1" customWidth="1"/>
    <col min="11043" max="11043" width="5.109375" style="88" customWidth="1"/>
    <col min="11044" max="11266" width="9.109375" style="88"/>
    <col min="11267" max="11267" width="3.44140625" style="88" customWidth="1"/>
    <col min="11268" max="11268" width="7" style="88" customWidth="1"/>
    <col min="11269" max="11269" width="25.44140625" style="88" customWidth="1"/>
    <col min="11270" max="11270" width="12" style="88" customWidth="1"/>
    <col min="11271" max="11271" width="12.6640625" style="88" bestFit="1" customWidth="1"/>
    <col min="11272" max="11272" width="7.44140625" style="88" bestFit="1" customWidth="1"/>
    <col min="11273" max="11273" width="7.6640625" style="88" bestFit="1" customWidth="1"/>
    <col min="11274" max="11274" width="15" style="88" customWidth="1"/>
    <col min="11275" max="11275" width="7.44140625" style="88" bestFit="1" customWidth="1"/>
    <col min="11276" max="11276" width="7.6640625" style="88" bestFit="1" customWidth="1"/>
    <col min="11277" max="11277" width="15" style="88" bestFit="1" customWidth="1"/>
    <col min="11278" max="11278" width="7.44140625" style="88" bestFit="1" customWidth="1"/>
    <col min="11279" max="11279" width="7.6640625" style="88" bestFit="1" customWidth="1"/>
    <col min="11280" max="11280" width="9.44140625" style="88" bestFit="1" customWidth="1"/>
    <col min="11281" max="11281" width="8" style="88" bestFit="1" customWidth="1"/>
    <col min="11282" max="11282" width="7.6640625" style="88" bestFit="1" customWidth="1"/>
    <col min="11283" max="11283" width="10.44140625" style="88" bestFit="1" customWidth="1"/>
    <col min="11284" max="11284" width="8" style="88" bestFit="1" customWidth="1"/>
    <col min="11285" max="11285" width="7.6640625" style="88" bestFit="1" customWidth="1"/>
    <col min="11286" max="11286" width="10.44140625" style="88" bestFit="1" customWidth="1"/>
    <col min="11287" max="11287" width="7.44140625" style="88" bestFit="1" customWidth="1"/>
    <col min="11288" max="11288" width="7.6640625" style="88" bestFit="1" customWidth="1"/>
    <col min="11289" max="11289" width="10.44140625" style="88" bestFit="1" customWidth="1"/>
    <col min="11290" max="11290" width="8" style="88" bestFit="1" customWidth="1"/>
    <col min="11291" max="11291" width="7.6640625" style="88" bestFit="1" customWidth="1"/>
    <col min="11292" max="11292" width="10.44140625" style="88" bestFit="1" customWidth="1"/>
    <col min="11293" max="11293" width="7.44140625" style="88" bestFit="1" customWidth="1"/>
    <col min="11294" max="11294" width="7.6640625" style="88" bestFit="1" customWidth="1"/>
    <col min="11295" max="11295" width="10.44140625" style="88" bestFit="1" customWidth="1"/>
    <col min="11296" max="11296" width="7.44140625" style="88" bestFit="1" customWidth="1"/>
    <col min="11297" max="11297" width="7.6640625" style="88" bestFit="1" customWidth="1"/>
    <col min="11298" max="11298" width="10.44140625" style="88" bestFit="1" customWidth="1"/>
    <col min="11299" max="11299" width="5.109375" style="88" customWidth="1"/>
    <col min="11300" max="11522" width="9.109375" style="88"/>
    <col min="11523" max="11523" width="3.44140625" style="88" customWidth="1"/>
    <col min="11524" max="11524" width="7" style="88" customWidth="1"/>
    <col min="11525" max="11525" width="25.44140625" style="88" customWidth="1"/>
    <col min="11526" max="11526" width="12" style="88" customWidth="1"/>
    <col min="11527" max="11527" width="12.6640625" style="88" bestFit="1" customWidth="1"/>
    <col min="11528" max="11528" width="7.44140625" style="88" bestFit="1" customWidth="1"/>
    <col min="11529" max="11529" width="7.6640625" style="88" bestFit="1" customWidth="1"/>
    <col min="11530" max="11530" width="15" style="88" customWidth="1"/>
    <col min="11531" max="11531" width="7.44140625" style="88" bestFit="1" customWidth="1"/>
    <col min="11532" max="11532" width="7.6640625" style="88" bestFit="1" customWidth="1"/>
    <col min="11533" max="11533" width="15" style="88" bestFit="1" customWidth="1"/>
    <col min="11534" max="11534" width="7.44140625" style="88" bestFit="1" customWidth="1"/>
    <col min="11535" max="11535" width="7.6640625" style="88" bestFit="1" customWidth="1"/>
    <col min="11536" max="11536" width="9.44140625" style="88" bestFit="1" customWidth="1"/>
    <col min="11537" max="11537" width="8" style="88" bestFit="1" customWidth="1"/>
    <col min="11538" max="11538" width="7.6640625" style="88" bestFit="1" customWidth="1"/>
    <col min="11539" max="11539" width="10.44140625" style="88" bestFit="1" customWidth="1"/>
    <col min="11540" max="11540" width="8" style="88" bestFit="1" customWidth="1"/>
    <col min="11541" max="11541" width="7.6640625" style="88" bestFit="1" customWidth="1"/>
    <col min="11542" max="11542" width="10.44140625" style="88" bestFit="1" customWidth="1"/>
    <col min="11543" max="11543" width="7.44140625" style="88" bestFit="1" customWidth="1"/>
    <col min="11544" max="11544" width="7.6640625" style="88" bestFit="1" customWidth="1"/>
    <col min="11545" max="11545" width="10.44140625" style="88" bestFit="1" customWidth="1"/>
    <col min="11546" max="11546" width="8" style="88" bestFit="1" customWidth="1"/>
    <col min="11547" max="11547" width="7.6640625" style="88" bestFit="1" customWidth="1"/>
    <col min="11548" max="11548" width="10.44140625" style="88" bestFit="1" customWidth="1"/>
    <col min="11549" max="11549" width="7.44140625" style="88" bestFit="1" customWidth="1"/>
    <col min="11550" max="11550" width="7.6640625" style="88" bestFit="1" customWidth="1"/>
    <col min="11551" max="11551" width="10.44140625" style="88" bestFit="1" customWidth="1"/>
    <col min="11552" max="11552" width="7.44140625" style="88" bestFit="1" customWidth="1"/>
    <col min="11553" max="11553" width="7.6640625" style="88" bestFit="1" customWidth="1"/>
    <col min="11554" max="11554" width="10.44140625" style="88" bestFit="1" customWidth="1"/>
    <col min="11555" max="11555" width="5.109375" style="88" customWidth="1"/>
    <col min="11556" max="11778" width="9.109375" style="88"/>
    <col min="11779" max="11779" width="3.44140625" style="88" customWidth="1"/>
    <col min="11780" max="11780" width="7" style="88" customWidth="1"/>
    <col min="11781" max="11781" width="25.44140625" style="88" customWidth="1"/>
    <col min="11782" max="11782" width="12" style="88" customWidth="1"/>
    <col min="11783" max="11783" width="12.6640625" style="88" bestFit="1" customWidth="1"/>
    <col min="11784" max="11784" width="7.44140625" style="88" bestFit="1" customWidth="1"/>
    <col min="11785" max="11785" width="7.6640625" style="88" bestFit="1" customWidth="1"/>
    <col min="11786" max="11786" width="15" style="88" customWidth="1"/>
    <col min="11787" max="11787" width="7.44140625" style="88" bestFit="1" customWidth="1"/>
    <col min="11788" max="11788" width="7.6640625" style="88" bestFit="1" customWidth="1"/>
    <col min="11789" max="11789" width="15" style="88" bestFit="1" customWidth="1"/>
    <col min="11790" max="11790" width="7.44140625" style="88" bestFit="1" customWidth="1"/>
    <col min="11791" max="11791" width="7.6640625" style="88" bestFit="1" customWidth="1"/>
    <col min="11792" max="11792" width="9.44140625" style="88" bestFit="1" customWidth="1"/>
    <col min="11793" max="11793" width="8" style="88" bestFit="1" customWidth="1"/>
    <col min="11794" max="11794" width="7.6640625" style="88" bestFit="1" customWidth="1"/>
    <col min="11795" max="11795" width="10.44140625" style="88" bestFit="1" customWidth="1"/>
    <col min="11796" max="11796" width="8" style="88" bestFit="1" customWidth="1"/>
    <col min="11797" max="11797" width="7.6640625" style="88" bestFit="1" customWidth="1"/>
    <col min="11798" max="11798" width="10.44140625" style="88" bestFit="1" customWidth="1"/>
    <col min="11799" max="11799" width="7.44140625" style="88" bestFit="1" customWidth="1"/>
    <col min="11800" max="11800" width="7.6640625" style="88" bestFit="1" customWidth="1"/>
    <col min="11801" max="11801" width="10.44140625" style="88" bestFit="1" customWidth="1"/>
    <col min="11802" max="11802" width="8" style="88" bestFit="1" customWidth="1"/>
    <col min="11803" max="11803" width="7.6640625" style="88" bestFit="1" customWidth="1"/>
    <col min="11804" max="11804" width="10.44140625" style="88" bestFit="1" customWidth="1"/>
    <col min="11805" max="11805" width="7.44140625" style="88" bestFit="1" customWidth="1"/>
    <col min="11806" max="11806" width="7.6640625" style="88" bestFit="1" customWidth="1"/>
    <col min="11807" max="11807" width="10.44140625" style="88" bestFit="1" customWidth="1"/>
    <col min="11808" max="11808" width="7.44140625" style="88" bestFit="1" customWidth="1"/>
    <col min="11809" max="11809" width="7.6640625" style="88" bestFit="1" customWidth="1"/>
    <col min="11810" max="11810" width="10.44140625" style="88" bestFit="1" customWidth="1"/>
    <col min="11811" max="11811" width="5.109375" style="88" customWidth="1"/>
    <col min="11812" max="12034" width="9.109375" style="88"/>
    <col min="12035" max="12035" width="3.44140625" style="88" customWidth="1"/>
    <col min="12036" max="12036" width="7" style="88" customWidth="1"/>
    <col min="12037" max="12037" width="25.44140625" style="88" customWidth="1"/>
    <col min="12038" max="12038" width="12" style="88" customWidth="1"/>
    <col min="12039" max="12039" width="12.6640625" style="88" bestFit="1" customWidth="1"/>
    <col min="12040" max="12040" width="7.44140625" style="88" bestFit="1" customWidth="1"/>
    <col min="12041" max="12041" width="7.6640625" style="88" bestFit="1" customWidth="1"/>
    <col min="12042" max="12042" width="15" style="88" customWidth="1"/>
    <col min="12043" max="12043" width="7.44140625" style="88" bestFit="1" customWidth="1"/>
    <col min="12044" max="12044" width="7.6640625" style="88" bestFit="1" customWidth="1"/>
    <col min="12045" max="12045" width="15" style="88" bestFit="1" customWidth="1"/>
    <col min="12046" max="12046" width="7.44140625" style="88" bestFit="1" customWidth="1"/>
    <col min="12047" max="12047" width="7.6640625" style="88" bestFit="1" customWidth="1"/>
    <col min="12048" max="12048" width="9.44140625" style="88" bestFit="1" customWidth="1"/>
    <col min="12049" max="12049" width="8" style="88" bestFit="1" customWidth="1"/>
    <col min="12050" max="12050" width="7.6640625" style="88" bestFit="1" customWidth="1"/>
    <col min="12051" max="12051" width="10.44140625" style="88" bestFit="1" customWidth="1"/>
    <col min="12052" max="12052" width="8" style="88" bestFit="1" customWidth="1"/>
    <col min="12053" max="12053" width="7.6640625" style="88" bestFit="1" customWidth="1"/>
    <col min="12054" max="12054" width="10.44140625" style="88" bestFit="1" customWidth="1"/>
    <col min="12055" max="12055" width="7.44140625" style="88" bestFit="1" customWidth="1"/>
    <col min="12056" max="12056" width="7.6640625" style="88" bestFit="1" customWidth="1"/>
    <col min="12057" max="12057" width="10.44140625" style="88" bestFit="1" customWidth="1"/>
    <col min="12058" max="12058" width="8" style="88" bestFit="1" customWidth="1"/>
    <col min="12059" max="12059" width="7.6640625" style="88" bestFit="1" customWidth="1"/>
    <col min="12060" max="12060" width="10.44140625" style="88" bestFit="1" customWidth="1"/>
    <col min="12061" max="12061" width="7.44140625" style="88" bestFit="1" customWidth="1"/>
    <col min="12062" max="12062" width="7.6640625" style="88" bestFit="1" customWidth="1"/>
    <col min="12063" max="12063" width="10.44140625" style="88" bestFit="1" customWidth="1"/>
    <col min="12064" max="12064" width="7.44140625" style="88" bestFit="1" customWidth="1"/>
    <col min="12065" max="12065" width="7.6640625" style="88" bestFit="1" customWidth="1"/>
    <col min="12066" max="12066" width="10.44140625" style="88" bestFit="1" customWidth="1"/>
    <col min="12067" max="12067" width="5.109375" style="88" customWidth="1"/>
    <col min="12068" max="12290" width="9.109375" style="88"/>
    <col min="12291" max="12291" width="3.44140625" style="88" customWidth="1"/>
    <col min="12292" max="12292" width="7" style="88" customWidth="1"/>
    <col min="12293" max="12293" width="25.44140625" style="88" customWidth="1"/>
    <col min="12294" max="12294" width="12" style="88" customWidth="1"/>
    <col min="12295" max="12295" width="12.6640625" style="88" bestFit="1" customWidth="1"/>
    <col min="12296" max="12296" width="7.44140625" style="88" bestFit="1" customWidth="1"/>
    <col min="12297" max="12297" width="7.6640625" style="88" bestFit="1" customWidth="1"/>
    <col min="12298" max="12298" width="15" style="88" customWidth="1"/>
    <col min="12299" max="12299" width="7.44140625" style="88" bestFit="1" customWidth="1"/>
    <col min="12300" max="12300" width="7.6640625" style="88" bestFit="1" customWidth="1"/>
    <col min="12301" max="12301" width="15" style="88" bestFit="1" customWidth="1"/>
    <col min="12302" max="12302" width="7.44140625" style="88" bestFit="1" customWidth="1"/>
    <col min="12303" max="12303" width="7.6640625" style="88" bestFit="1" customWidth="1"/>
    <col min="12304" max="12304" width="9.44140625" style="88" bestFit="1" customWidth="1"/>
    <col min="12305" max="12305" width="8" style="88" bestFit="1" customWidth="1"/>
    <col min="12306" max="12306" width="7.6640625" style="88" bestFit="1" customWidth="1"/>
    <col min="12307" max="12307" width="10.44140625" style="88" bestFit="1" customWidth="1"/>
    <col min="12308" max="12308" width="8" style="88" bestFit="1" customWidth="1"/>
    <col min="12309" max="12309" width="7.6640625" style="88" bestFit="1" customWidth="1"/>
    <col min="12310" max="12310" width="10.44140625" style="88" bestFit="1" customWidth="1"/>
    <col min="12311" max="12311" width="7.44140625" style="88" bestFit="1" customWidth="1"/>
    <col min="12312" max="12312" width="7.6640625" style="88" bestFit="1" customWidth="1"/>
    <col min="12313" max="12313" width="10.44140625" style="88" bestFit="1" customWidth="1"/>
    <col min="12314" max="12314" width="8" style="88" bestFit="1" customWidth="1"/>
    <col min="12315" max="12315" width="7.6640625" style="88" bestFit="1" customWidth="1"/>
    <col min="12316" max="12316" width="10.44140625" style="88" bestFit="1" customWidth="1"/>
    <col min="12317" max="12317" width="7.44140625" style="88" bestFit="1" customWidth="1"/>
    <col min="12318" max="12318" width="7.6640625" style="88" bestFit="1" customWidth="1"/>
    <col min="12319" max="12319" width="10.44140625" style="88" bestFit="1" customWidth="1"/>
    <col min="12320" max="12320" width="7.44140625" style="88" bestFit="1" customWidth="1"/>
    <col min="12321" max="12321" width="7.6640625" style="88" bestFit="1" customWidth="1"/>
    <col min="12322" max="12322" width="10.44140625" style="88" bestFit="1" customWidth="1"/>
    <col min="12323" max="12323" width="5.109375" style="88" customWidth="1"/>
    <col min="12324" max="12546" width="9.109375" style="88"/>
    <col min="12547" max="12547" width="3.44140625" style="88" customWidth="1"/>
    <col min="12548" max="12548" width="7" style="88" customWidth="1"/>
    <col min="12549" max="12549" width="25.44140625" style="88" customWidth="1"/>
    <col min="12550" max="12550" width="12" style="88" customWidth="1"/>
    <col min="12551" max="12551" width="12.6640625" style="88" bestFit="1" customWidth="1"/>
    <col min="12552" max="12552" width="7.44140625" style="88" bestFit="1" customWidth="1"/>
    <col min="12553" max="12553" width="7.6640625" style="88" bestFit="1" customWidth="1"/>
    <col min="12554" max="12554" width="15" style="88" customWidth="1"/>
    <col min="12555" max="12555" width="7.44140625" style="88" bestFit="1" customWidth="1"/>
    <col min="12556" max="12556" width="7.6640625" style="88" bestFit="1" customWidth="1"/>
    <col min="12557" max="12557" width="15" style="88" bestFit="1" customWidth="1"/>
    <col min="12558" max="12558" width="7.44140625" style="88" bestFit="1" customWidth="1"/>
    <col min="12559" max="12559" width="7.6640625" style="88" bestFit="1" customWidth="1"/>
    <col min="12560" max="12560" width="9.44140625" style="88" bestFit="1" customWidth="1"/>
    <col min="12561" max="12561" width="8" style="88" bestFit="1" customWidth="1"/>
    <col min="12562" max="12562" width="7.6640625" style="88" bestFit="1" customWidth="1"/>
    <col min="12563" max="12563" width="10.44140625" style="88" bestFit="1" customWidth="1"/>
    <col min="12564" max="12564" width="8" style="88" bestFit="1" customWidth="1"/>
    <col min="12565" max="12565" width="7.6640625" style="88" bestFit="1" customWidth="1"/>
    <col min="12566" max="12566" width="10.44140625" style="88" bestFit="1" customWidth="1"/>
    <col min="12567" max="12567" width="7.44140625" style="88" bestFit="1" customWidth="1"/>
    <col min="12568" max="12568" width="7.6640625" style="88" bestFit="1" customWidth="1"/>
    <col min="12569" max="12569" width="10.44140625" style="88" bestFit="1" customWidth="1"/>
    <col min="12570" max="12570" width="8" style="88" bestFit="1" customWidth="1"/>
    <col min="12571" max="12571" width="7.6640625" style="88" bestFit="1" customWidth="1"/>
    <col min="12572" max="12572" width="10.44140625" style="88" bestFit="1" customWidth="1"/>
    <col min="12573" max="12573" width="7.44140625" style="88" bestFit="1" customWidth="1"/>
    <col min="12574" max="12574" width="7.6640625" style="88" bestFit="1" customWidth="1"/>
    <col min="12575" max="12575" width="10.44140625" style="88" bestFit="1" customWidth="1"/>
    <col min="12576" max="12576" width="7.44140625" style="88" bestFit="1" customWidth="1"/>
    <col min="12577" max="12577" width="7.6640625" style="88" bestFit="1" customWidth="1"/>
    <col min="12578" max="12578" width="10.44140625" style="88" bestFit="1" customWidth="1"/>
    <col min="12579" max="12579" width="5.109375" style="88" customWidth="1"/>
    <col min="12580" max="12802" width="9.109375" style="88"/>
    <col min="12803" max="12803" width="3.44140625" style="88" customWidth="1"/>
    <col min="12804" max="12804" width="7" style="88" customWidth="1"/>
    <col min="12805" max="12805" width="25.44140625" style="88" customWidth="1"/>
    <col min="12806" max="12806" width="12" style="88" customWidth="1"/>
    <col min="12807" max="12807" width="12.6640625" style="88" bestFit="1" customWidth="1"/>
    <col min="12808" max="12808" width="7.44140625" style="88" bestFit="1" customWidth="1"/>
    <col min="12809" max="12809" width="7.6640625" style="88" bestFit="1" customWidth="1"/>
    <col min="12810" max="12810" width="15" style="88" customWidth="1"/>
    <col min="12811" max="12811" width="7.44140625" style="88" bestFit="1" customWidth="1"/>
    <col min="12812" max="12812" width="7.6640625" style="88" bestFit="1" customWidth="1"/>
    <col min="12813" max="12813" width="15" style="88" bestFit="1" customWidth="1"/>
    <col min="12814" max="12814" width="7.44140625" style="88" bestFit="1" customWidth="1"/>
    <col min="12815" max="12815" width="7.6640625" style="88" bestFit="1" customWidth="1"/>
    <col min="12816" max="12816" width="9.44140625" style="88" bestFit="1" customWidth="1"/>
    <col min="12817" max="12817" width="8" style="88" bestFit="1" customWidth="1"/>
    <col min="12818" max="12818" width="7.6640625" style="88" bestFit="1" customWidth="1"/>
    <col min="12819" max="12819" width="10.44140625" style="88" bestFit="1" customWidth="1"/>
    <col min="12820" max="12820" width="8" style="88" bestFit="1" customWidth="1"/>
    <col min="12821" max="12821" width="7.6640625" style="88" bestFit="1" customWidth="1"/>
    <col min="12822" max="12822" width="10.44140625" style="88" bestFit="1" customWidth="1"/>
    <col min="12823" max="12823" width="7.44140625" style="88" bestFit="1" customWidth="1"/>
    <col min="12824" max="12824" width="7.6640625" style="88" bestFit="1" customWidth="1"/>
    <col min="12825" max="12825" width="10.44140625" style="88" bestFit="1" customWidth="1"/>
    <col min="12826" max="12826" width="8" style="88" bestFit="1" customWidth="1"/>
    <col min="12827" max="12827" width="7.6640625" style="88" bestFit="1" customWidth="1"/>
    <col min="12828" max="12828" width="10.44140625" style="88" bestFit="1" customWidth="1"/>
    <col min="12829" max="12829" width="7.44140625" style="88" bestFit="1" customWidth="1"/>
    <col min="12830" max="12830" width="7.6640625" style="88" bestFit="1" customWidth="1"/>
    <col min="12831" max="12831" width="10.44140625" style="88" bestFit="1" customWidth="1"/>
    <col min="12832" max="12832" width="7.44140625" style="88" bestFit="1" customWidth="1"/>
    <col min="12833" max="12833" width="7.6640625" style="88" bestFit="1" customWidth="1"/>
    <col min="12834" max="12834" width="10.44140625" style="88" bestFit="1" customWidth="1"/>
    <col min="12835" max="12835" width="5.109375" style="88" customWidth="1"/>
    <col min="12836" max="13058" width="9.109375" style="88"/>
    <col min="13059" max="13059" width="3.44140625" style="88" customWidth="1"/>
    <col min="13060" max="13060" width="7" style="88" customWidth="1"/>
    <col min="13061" max="13061" width="25.44140625" style="88" customWidth="1"/>
    <col min="13062" max="13062" width="12" style="88" customWidth="1"/>
    <col min="13063" max="13063" width="12.6640625" style="88" bestFit="1" customWidth="1"/>
    <col min="13064" max="13064" width="7.44140625" style="88" bestFit="1" customWidth="1"/>
    <col min="13065" max="13065" width="7.6640625" style="88" bestFit="1" customWidth="1"/>
    <col min="13066" max="13066" width="15" style="88" customWidth="1"/>
    <col min="13067" max="13067" width="7.44140625" style="88" bestFit="1" customWidth="1"/>
    <col min="13068" max="13068" width="7.6640625" style="88" bestFit="1" customWidth="1"/>
    <col min="13069" max="13069" width="15" style="88" bestFit="1" customWidth="1"/>
    <col min="13070" max="13070" width="7.44140625" style="88" bestFit="1" customWidth="1"/>
    <col min="13071" max="13071" width="7.6640625" style="88" bestFit="1" customWidth="1"/>
    <col min="13072" max="13072" width="9.44140625" style="88" bestFit="1" customWidth="1"/>
    <col min="13073" max="13073" width="8" style="88" bestFit="1" customWidth="1"/>
    <col min="13074" max="13074" width="7.6640625" style="88" bestFit="1" customWidth="1"/>
    <col min="13075" max="13075" width="10.44140625" style="88" bestFit="1" customWidth="1"/>
    <col min="13076" max="13076" width="8" style="88" bestFit="1" customWidth="1"/>
    <col min="13077" max="13077" width="7.6640625" style="88" bestFit="1" customWidth="1"/>
    <col min="13078" max="13078" width="10.44140625" style="88" bestFit="1" customWidth="1"/>
    <col min="13079" max="13079" width="7.44140625" style="88" bestFit="1" customWidth="1"/>
    <col min="13080" max="13080" width="7.6640625" style="88" bestFit="1" customWidth="1"/>
    <col min="13081" max="13081" width="10.44140625" style="88" bestFit="1" customWidth="1"/>
    <col min="13082" max="13082" width="8" style="88" bestFit="1" customWidth="1"/>
    <col min="13083" max="13083" width="7.6640625" style="88" bestFit="1" customWidth="1"/>
    <col min="13084" max="13084" width="10.44140625" style="88" bestFit="1" customWidth="1"/>
    <col min="13085" max="13085" width="7.44140625" style="88" bestFit="1" customWidth="1"/>
    <col min="13086" max="13086" width="7.6640625" style="88" bestFit="1" customWidth="1"/>
    <col min="13087" max="13087" width="10.44140625" style="88" bestFit="1" customWidth="1"/>
    <col min="13088" max="13088" width="7.44140625" style="88" bestFit="1" customWidth="1"/>
    <col min="13089" max="13089" width="7.6640625" style="88" bestFit="1" customWidth="1"/>
    <col min="13090" max="13090" width="10.44140625" style="88" bestFit="1" customWidth="1"/>
    <col min="13091" max="13091" width="5.109375" style="88" customWidth="1"/>
    <col min="13092" max="13314" width="9.109375" style="88"/>
    <col min="13315" max="13315" width="3.44140625" style="88" customWidth="1"/>
    <col min="13316" max="13316" width="7" style="88" customWidth="1"/>
    <col min="13317" max="13317" width="25.44140625" style="88" customWidth="1"/>
    <col min="13318" max="13318" width="12" style="88" customWidth="1"/>
    <col min="13319" max="13319" width="12.6640625" style="88" bestFit="1" customWidth="1"/>
    <col min="13320" max="13320" width="7.44140625" style="88" bestFit="1" customWidth="1"/>
    <col min="13321" max="13321" width="7.6640625" style="88" bestFit="1" customWidth="1"/>
    <col min="13322" max="13322" width="15" style="88" customWidth="1"/>
    <col min="13323" max="13323" width="7.44140625" style="88" bestFit="1" customWidth="1"/>
    <col min="13324" max="13324" width="7.6640625" style="88" bestFit="1" customWidth="1"/>
    <col min="13325" max="13325" width="15" style="88" bestFit="1" customWidth="1"/>
    <col min="13326" max="13326" width="7.44140625" style="88" bestFit="1" customWidth="1"/>
    <col min="13327" max="13327" width="7.6640625" style="88" bestFit="1" customWidth="1"/>
    <col min="13328" max="13328" width="9.44140625" style="88" bestFit="1" customWidth="1"/>
    <col min="13329" max="13329" width="8" style="88" bestFit="1" customWidth="1"/>
    <col min="13330" max="13330" width="7.6640625" style="88" bestFit="1" customWidth="1"/>
    <col min="13331" max="13331" width="10.44140625" style="88" bestFit="1" customWidth="1"/>
    <col min="13332" max="13332" width="8" style="88" bestFit="1" customWidth="1"/>
    <col min="13333" max="13333" width="7.6640625" style="88" bestFit="1" customWidth="1"/>
    <col min="13334" max="13334" width="10.44140625" style="88" bestFit="1" customWidth="1"/>
    <col min="13335" max="13335" width="7.44140625" style="88" bestFit="1" customWidth="1"/>
    <col min="13336" max="13336" width="7.6640625" style="88" bestFit="1" customWidth="1"/>
    <col min="13337" max="13337" width="10.44140625" style="88" bestFit="1" customWidth="1"/>
    <col min="13338" max="13338" width="8" style="88" bestFit="1" customWidth="1"/>
    <col min="13339" max="13339" width="7.6640625" style="88" bestFit="1" customWidth="1"/>
    <col min="13340" max="13340" width="10.44140625" style="88" bestFit="1" customWidth="1"/>
    <col min="13341" max="13341" width="7.44140625" style="88" bestFit="1" customWidth="1"/>
    <col min="13342" max="13342" width="7.6640625" style="88" bestFit="1" customWidth="1"/>
    <col min="13343" max="13343" width="10.44140625" style="88" bestFit="1" customWidth="1"/>
    <col min="13344" max="13344" width="7.44140625" style="88" bestFit="1" customWidth="1"/>
    <col min="13345" max="13345" width="7.6640625" style="88" bestFit="1" customWidth="1"/>
    <col min="13346" max="13346" width="10.44140625" style="88" bestFit="1" customWidth="1"/>
    <col min="13347" max="13347" width="5.109375" style="88" customWidth="1"/>
    <col min="13348" max="13570" width="9.109375" style="88"/>
    <col min="13571" max="13571" width="3.44140625" style="88" customWidth="1"/>
    <col min="13572" max="13572" width="7" style="88" customWidth="1"/>
    <col min="13573" max="13573" width="25.44140625" style="88" customWidth="1"/>
    <col min="13574" max="13574" width="12" style="88" customWidth="1"/>
    <col min="13575" max="13575" width="12.6640625" style="88" bestFit="1" customWidth="1"/>
    <col min="13576" max="13576" width="7.44140625" style="88" bestFit="1" customWidth="1"/>
    <col min="13577" max="13577" width="7.6640625" style="88" bestFit="1" customWidth="1"/>
    <col min="13578" max="13578" width="15" style="88" customWidth="1"/>
    <col min="13579" max="13579" width="7.44140625" style="88" bestFit="1" customWidth="1"/>
    <col min="13580" max="13580" width="7.6640625" style="88" bestFit="1" customWidth="1"/>
    <col min="13581" max="13581" width="15" style="88" bestFit="1" customWidth="1"/>
    <col min="13582" max="13582" width="7.44140625" style="88" bestFit="1" customWidth="1"/>
    <col min="13583" max="13583" width="7.6640625" style="88" bestFit="1" customWidth="1"/>
    <col min="13584" max="13584" width="9.44140625" style="88" bestFit="1" customWidth="1"/>
    <col min="13585" max="13585" width="8" style="88" bestFit="1" customWidth="1"/>
    <col min="13586" max="13586" width="7.6640625" style="88" bestFit="1" customWidth="1"/>
    <col min="13587" max="13587" width="10.44140625" style="88" bestFit="1" customWidth="1"/>
    <col min="13588" max="13588" width="8" style="88" bestFit="1" customWidth="1"/>
    <col min="13589" max="13589" width="7.6640625" style="88" bestFit="1" customWidth="1"/>
    <col min="13590" max="13590" width="10.44140625" style="88" bestFit="1" customWidth="1"/>
    <col min="13591" max="13591" width="7.44140625" style="88" bestFit="1" customWidth="1"/>
    <col min="13592" max="13592" width="7.6640625" style="88" bestFit="1" customWidth="1"/>
    <col min="13593" max="13593" width="10.44140625" style="88" bestFit="1" customWidth="1"/>
    <col min="13594" max="13594" width="8" style="88" bestFit="1" customWidth="1"/>
    <col min="13595" max="13595" width="7.6640625" style="88" bestFit="1" customWidth="1"/>
    <col min="13596" max="13596" width="10.44140625" style="88" bestFit="1" customWidth="1"/>
    <col min="13597" max="13597" width="7.44140625" style="88" bestFit="1" customWidth="1"/>
    <col min="13598" max="13598" width="7.6640625" style="88" bestFit="1" customWidth="1"/>
    <col min="13599" max="13599" width="10.44140625" style="88" bestFit="1" customWidth="1"/>
    <col min="13600" max="13600" width="7.44140625" style="88" bestFit="1" customWidth="1"/>
    <col min="13601" max="13601" width="7.6640625" style="88" bestFit="1" customWidth="1"/>
    <col min="13602" max="13602" width="10.44140625" style="88" bestFit="1" customWidth="1"/>
    <col min="13603" max="13603" width="5.109375" style="88" customWidth="1"/>
    <col min="13604" max="13826" width="9.109375" style="88"/>
    <col min="13827" max="13827" width="3.44140625" style="88" customWidth="1"/>
    <col min="13828" max="13828" width="7" style="88" customWidth="1"/>
    <col min="13829" max="13829" width="25.44140625" style="88" customWidth="1"/>
    <col min="13830" max="13830" width="12" style="88" customWidth="1"/>
    <col min="13831" max="13831" width="12.6640625" style="88" bestFit="1" customWidth="1"/>
    <col min="13832" max="13832" width="7.44140625" style="88" bestFit="1" customWidth="1"/>
    <col min="13833" max="13833" width="7.6640625" style="88" bestFit="1" customWidth="1"/>
    <col min="13834" max="13834" width="15" style="88" customWidth="1"/>
    <col min="13835" max="13835" width="7.44140625" style="88" bestFit="1" customWidth="1"/>
    <col min="13836" max="13836" width="7.6640625" style="88" bestFit="1" customWidth="1"/>
    <col min="13837" max="13837" width="15" style="88" bestFit="1" customWidth="1"/>
    <col min="13838" max="13838" width="7.44140625" style="88" bestFit="1" customWidth="1"/>
    <col min="13839" max="13839" width="7.6640625" style="88" bestFit="1" customWidth="1"/>
    <col min="13840" max="13840" width="9.44140625" style="88" bestFit="1" customWidth="1"/>
    <col min="13841" max="13841" width="8" style="88" bestFit="1" customWidth="1"/>
    <col min="13842" max="13842" width="7.6640625" style="88" bestFit="1" customWidth="1"/>
    <col min="13843" max="13843" width="10.44140625" style="88" bestFit="1" customWidth="1"/>
    <col min="13844" max="13844" width="8" style="88" bestFit="1" customWidth="1"/>
    <col min="13845" max="13845" width="7.6640625" style="88" bestFit="1" customWidth="1"/>
    <col min="13846" max="13846" width="10.44140625" style="88" bestFit="1" customWidth="1"/>
    <col min="13847" max="13847" width="7.44140625" style="88" bestFit="1" customWidth="1"/>
    <col min="13848" max="13848" width="7.6640625" style="88" bestFit="1" customWidth="1"/>
    <col min="13849" max="13849" width="10.44140625" style="88" bestFit="1" customWidth="1"/>
    <col min="13850" max="13850" width="8" style="88" bestFit="1" customWidth="1"/>
    <col min="13851" max="13851" width="7.6640625" style="88" bestFit="1" customWidth="1"/>
    <col min="13852" max="13852" width="10.44140625" style="88" bestFit="1" customWidth="1"/>
    <col min="13853" max="13853" width="7.44140625" style="88" bestFit="1" customWidth="1"/>
    <col min="13854" max="13854" width="7.6640625" style="88" bestFit="1" customWidth="1"/>
    <col min="13855" max="13855" width="10.44140625" style="88" bestFit="1" customWidth="1"/>
    <col min="13856" max="13856" width="7.44140625" style="88" bestFit="1" customWidth="1"/>
    <col min="13857" max="13857" width="7.6640625" style="88" bestFit="1" customWidth="1"/>
    <col min="13858" max="13858" width="10.44140625" style="88" bestFit="1" customWidth="1"/>
    <col min="13859" max="13859" width="5.109375" style="88" customWidth="1"/>
    <col min="13860" max="14082" width="9.109375" style="88"/>
    <col min="14083" max="14083" width="3.44140625" style="88" customWidth="1"/>
    <col min="14084" max="14084" width="7" style="88" customWidth="1"/>
    <col min="14085" max="14085" width="25.44140625" style="88" customWidth="1"/>
    <col min="14086" max="14086" width="12" style="88" customWidth="1"/>
    <col min="14087" max="14087" width="12.6640625" style="88" bestFit="1" customWidth="1"/>
    <col min="14088" max="14088" width="7.44140625" style="88" bestFit="1" customWidth="1"/>
    <col min="14089" max="14089" width="7.6640625" style="88" bestFit="1" customWidth="1"/>
    <col min="14090" max="14090" width="15" style="88" customWidth="1"/>
    <col min="14091" max="14091" width="7.44140625" style="88" bestFit="1" customWidth="1"/>
    <col min="14092" max="14092" width="7.6640625" style="88" bestFit="1" customWidth="1"/>
    <col min="14093" max="14093" width="15" style="88" bestFit="1" customWidth="1"/>
    <col min="14094" max="14094" width="7.44140625" style="88" bestFit="1" customWidth="1"/>
    <col min="14095" max="14095" width="7.6640625" style="88" bestFit="1" customWidth="1"/>
    <col min="14096" max="14096" width="9.44140625" style="88" bestFit="1" customWidth="1"/>
    <col min="14097" max="14097" width="8" style="88" bestFit="1" customWidth="1"/>
    <col min="14098" max="14098" width="7.6640625" style="88" bestFit="1" customWidth="1"/>
    <col min="14099" max="14099" width="10.44140625" style="88" bestFit="1" customWidth="1"/>
    <col min="14100" max="14100" width="8" style="88" bestFit="1" customWidth="1"/>
    <col min="14101" max="14101" width="7.6640625" style="88" bestFit="1" customWidth="1"/>
    <col min="14102" max="14102" width="10.44140625" style="88" bestFit="1" customWidth="1"/>
    <col min="14103" max="14103" width="7.44140625" style="88" bestFit="1" customWidth="1"/>
    <col min="14104" max="14104" width="7.6640625" style="88" bestFit="1" customWidth="1"/>
    <col min="14105" max="14105" width="10.44140625" style="88" bestFit="1" customWidth="1"/>
    <col min="14106" max="14106" width="8" style="88" bestFit="1" customWidth="1"/>
    <col min="14107" max="14107" width="7.6640625" style="88" bestFit="1" customWidth="1"/>
    <col min="14108" max="14108" width="10.44140625" style="88" bestFit="1" customWidth="1"/>
    <col min="14109" max="14109" width="7.44140625" style="88" bestFit="1" customWidth="1"/>
    <col min="14110" max="14110" width="7.6640625" style="88" bestFit="1" customWidth="1"/>
    <col min="14111" max="14111" width="10.44140625" style="88" bestFit="1" customWidth="1"/>
    <col min="14112" max="14112" width="7.44140625" style="88" bestFit="1" customWidth="1"/>
    <col min="14113" max="14113" width="7.6640625" style="88" bestFit="1" customWidth="1"/>
    <col min="14114" max="14114" width="10.44140625" style="88" bestFit="1" customWidth="1"/>
    <col min="14115" max="14115" width="5.109375" style="88" customWidth="1"/>
    <col min="14116" max="14338" width="9.109375" style="88"/>
    <col min="14339" max="14339" width="3.44140625" style="88" customWidth="1"/>
    <col min="14340" max="14340" width="7" style="88" customWidth="1"/>
    <col min="14341" max="14341" width="25.44140625" style="88" customWidth="1"/>
    <col min="14342" max="14342" width="12" style="88" customWidth="1"/>
    <col min="14343" max="14343" width="12.6640625" style="88" bestFit="1" customWidth="1"/>
    <col min="14344" max="14344" width="7.44140625" style="88" bestFit="1" customWidth="1"/>
    <col min="14345" max="14345" width="7.6640625" style="88" bestFit="1" customWidth="1"/>
    <col min="14346" max="14346" width="15" style="88" customWidth="1"/>
    <col min="14347" max="14347" width="7.44140625" style="88" bestFit="1" customWidth="1"/>
    <col min="14348" max="14348" width="7.6640625" style="88" bestFit="1" customWidth="1"/>
    <col min="14349" max="14349" width="15" style="88" bestFit="1" customWidth="1"/>
    <col min="14350" max="14350" width="7.44140625" style="88" bestFit="1" customWidth="1"/>
    <col min="14351" max="14351" width="7.6640625" style="88" bestFit="1" customWidth="1"/>
    <col min="14352" max="14352" width="9.44140625" style="88" bestFit="1" customWidth="1"/>
    <col min="14353" max="14353" width="8" style="88" bestFit="1" customWidth="1"/>
    <col min="14354" max="14354" width="7.6640625" style="88" bestFit="1" customWidth="1"/>
    <col min="14355" max="14355" width="10.44140625" style="88" bestFit="1" customWidth="1"/>
    <col min="14356" max="14356" width="8" style="88" bestFit="1" customWidth="1"/>
    <col min="14357" max="14357" width="7.6640625" style="88" bestFit="1" customWidth="1"/>
    <col min="14358" max="14358" width="10.44140625" style="88" bestFit="1" customWidth="1"/>
    <col min="14359" max="14359" width="7.44140625" style="88" bestFit="1" customWidth="1"/>
    <col min="14360" max="14360" width="7.6640625" style="88" bestFit="1" customWidth="1"/>
    <col min="14361" max="14361" width="10.44140625" style="88" bestFit="1" customWidth="1"/>
    <col min="14362" max="14362" width="8" style="88" bestFit="1" customWidth="1"/>
    <col min="14363" max="14363" width="7.6640625" style="88" bestFit="1" customWidth="1"/>
    <col min="14364" max="14364" width="10.44140625" style="88" bestFit="1" customWidth="1"/>
    <col min="14365" max="14365" width="7.44140625" style="88" bestFit="1" customWidth="1"/>
    <col min="14366" max="14366" width="7.6640625" style="88" bestFit="1" customWidth="1"/>
    <col min="14367" max="14367" width="10.44140625" style="88" bestFit="1" customWidth="1"/>
    <col min="14368" max="14368" width="7.44140625" style="88" bestFit="1" customWidth="1"/>
    <col min="14369" max="14369" width="7.6640625" style="88" bestFit="1" customWidth="1"/>
    <col min="14370" max="14370" width="10.44140625" style="88" bestFit="1" customWidth="1"/>
    <col min="14371" max="14371" width="5.109375" style="88" customWidth="1"/>
    <col min="14372" max="14594" width="9.109375" style="88"/>
    <col min="14595" max="14595" width="3.44140625" style="88" customWidth="1"/>
    <col min="14596" max="14596" width="7" style="88" customWidth="1"/>
    <col min="14597" max="14597" width="25.44140625" style="88" customWidth="1"/>
    <col min="14598" max="14598" width="12" style="88" customWidth="1"/>
    <col min="14599" max="14599" width="12.6640625" style="88" bestFit="1" customWidth="1"/>
    <col min="14600" max="14600" width="7.44140625" style="88" bestFit="1" customWidth="1"/>
    <col min="14601" max="14601" width="7.6640625" style="88" bestFit="1" customWidth="1"/>
    <col min="14602" max="14602" width="15" style="88" customWidth="1"/>
    <col min="14603" max="14603" width="7.44140625" style="88" bestFit="1" customWidth="1"/>
    <col min="14604" max="14604" width="7.6640625" style="88" bestFit="1" customWidth="1"/>
    <col min="14605" max="14605" width="15" style="88" bestFit="1" customWidth="1"/>
    <col min="14606" max="14606" width="7.44140625" style="88" bestFit="1" customWidth="1"/>
    <col min="14607" max="14607" width="7.6640625" style="88" bestFit="1" customWidth="1"/>
    <col min="14608" max="14608" width="9.44140625" style="88" bestFit="1" customWidth="1"/>
    <col min="14609" max="14609" width="8" style="88" bestFit="1" customWidth="1"/>
    <col min="14610" max="14610" width="7.6640625" style="88" bestFit="1" customWidth="1"/>
    <col min="14611" max="14611" width="10.44140625" style="88" bestFit="1" customWidth="1"/>
    <col min="14612" max="14612" width="8" style="88" bestFit="1" customWidth="1"/>
    <col min="14613" max="14613" width="7.6640625" style="88" bestFit="1" customWidth="1"/>
    <col min="14614" max="14614" width="10.44140625" style="88" bestFit="1" customWidth="1"/>
    <col min="14615" max="14615" width="7.44140625" style="88" bestFit="1" customWidth="1"/>
    <col min="14616" max="14616" width="7.6640625" style="88" bestFit="1" customWidth="1"/>
    <col min="14617" max="14617" width="10.44140625" style="88" bestFit="1" customWidth="1"/>
    <col min="14618" max="14618" width="8" style="88" bestFit="1" customWidth="1"/>
    <col min="14619" max="14619" width="7.6640625" style="88" bestFit="1" customWidth="1"/>
    <col min="14620" max="14620" width="10.44140625" style="88" bestFit="1" customWidth="1"/>
    <col min="14621" max="14621" width="7.44140625" style="88" bestFit="1" customWidth="1"/>
    <col min="14622" max="14622" width="7.6640625" style="88" bestFit="1" customWidth="1"/>
    <col min="14623" max="14623" width="10.44140625" style="88" bestFit="1" customWidth="1"/>
    <col min="14624" max="14624" width="7.44140625" style="88" bestFit="1" customWidth="1"/>
    <col min="14625" max="14625" width="7.6640625" style="88" bestFit="1" customWidth="1"/>
    <col min="14626" max="14626" width="10.44140625" style="88" bestFit="1" customWidth="1"/>
    <col min="14627" max="14627" width="5.109375" style="88" customWidth="1"/>
    <col min="14628" max="14850" width="9.109375" style="88"/>
    <col min="14851" max="14851" width="3.44140625" style="88" customWidth="1"/>
    <col min="14852" max="14852" width="7" style="88" customWidth="1"/>
    <col min="14853" max="14853" width="25.44140625" style="88" customWidth="1"/>
    <col min="14854" max="14854" width="12" style="88" customWidth="1"/>
    <col min="14855" max="14855" width="12.6640625" style="88" bestFit="1" customWidth="1"/>
    <col min="14856" max="14856" width="7.44140625" style="88" bestFit="1" customWidth="1"/>
    <col min="14857" max="14857" width="7.6640625" style="88" bestFit="1" customWidth="1"/>
    <col min="14858" max="14858" width="15" style="88" customWidth="1"/>
    <col min="14859" max="14859" width="7.44140625" style="88" bestFit="1" customWidth="1"/>
    <col min="14860" max="14860" width="7.6640625" style="88" bestFit="1" customWidth="1"/>
    <col min="14861" max="14861" width="15" style="88" bestFit="1" customWidth="1"/>
    <col min="14862" max="14862" width="7.44140625" style="88" bestFit="1" customWidth="1"/>
    <col min="14863" max="14863" width="7.6640625" style="88" bestFit="1" customWidth="1"/>
    <col min="14864" max="14864" width="9.44140625" style="88" bestFit="1" customWidth="1"/>
    <col min="14865" max="14865" width="8" style="88" bestFit="1" customWidth="1"/>
    <col min="14866" max="14866" width="7.6640625" style="88" bestFit="1" customWidth="1"/>
    <col min="14867" max="14867" width="10.44140625" style="88" bestFit="1" customWidth="1"/>
    <col min="14868" max="14868" width="8" style="88" bestFit="1" customWidth="1"/>
    <col min="14869" max="14869" width="7.6640625" style="88" bestFit="1" customWidth="1"/>
    <col min="14870" max="14870" width="10.44140625" style="88" bestFit="1" customWidth="1"/>
    <col min="14871" max="14871" width="7.44140625" style="88" bestFit="1" customWidth="1"/>
    <col min="14872" max="14872" width="7.6640625" style="88" bestFit="1" customWidth="1"/>
    <col min="14873" max="14873" width="10.44140625" style="88" bestFit="1" customWidth="1"/>
    <col min="14874" max="14874" width="8" style="88" bestFit="1" customWidth="1"/>
    <col min="14875" max="14875" width="7.6640625" style="88" bestFit="1" customWidth="1"/>
    <col min="14876" max="14876" width="10.44140625" style="88" bestFit="1" customWidth="1"/>
    <col min="14877" max="14877" width="7.44140625" style="88" bestFit="1" customWidth="1"/>
    <col min="14878" max="14878" width="7.6640625" style="88" bestFit="1" customWidth="1"/>
    <col min="14879" max="14879" width="10.44140625" style="88" bestFit="1" customWidth="1"/>
    <col min="14880" max="14880" width="7.44140625" style="88" bestFit="1" customWidth="1"/>
    <col min="14881" max="14881" width="7.6640625" style="88" bestFit="1" customWidth="1"/>
    <col min="14882" max="14882" width="10.44140625" style="88" bestFit="1" customWidth="1"/>
    <col min="14883" max="14883" width="5.109375" style="88" customWidth="1"/>
    <col min="14884" max="15106" width="9.109375" style="88"/>
    <col min="15107" max="15107" width="3.44140625" style="88" customWidth="1"/>
    <col min="15108" max="15108" width="7" style="88" customWidth="1"/>
    <col min="15109" max="15109" width="25.44140625" style="88" customWidth="1"/>
    <col min="15110" max="15110" width="12" style="88" customWidth="1"/>
    <col min="15111" max="15111" width="12.6640625" style="88" bestFit="1" customWidth="1"/>
    <col min="15112" max="15112" width="7.44140625" style="88" bestFit="1" customWidth="1"/>
    <col min="15113" max="15113" width="7.6640625" style="88" bestFit="1" customWidth="1"/>
    <col min="15114" max="15114" width="15" style="88" customWidth="1"/>
    <col min="15115" max="15115" width="7.44140625" style="88" bestFit="1" customWidth="1"/>
    <col min="15116" max="15116" width="7.6640625" style="88" bestFit="1" customWidth="1"/>
    <col min="15117" max="15117" width="15" style="88" bestFit="1" customWidth="1"/>
    <col min="15118" max="15118" width="7.44140625" style="88" bestFit="1" customWidth="1"/>
    <col min="15119" max="15119" width="7.6640625" style="88" bestFit="1" customWidth="1"/>
    <col min="15120" max="15120" width="9.44140625" style="88" bestFit="1" customWidth="1"/>
    <col min="15121" max="15121" width="8" style="88" bestFit="1" customWidth="1"/>
    <col min="15122" max="15122" width="7.6640625" style="88" bestFit="1" customWidth="1"/>
    <col min="15123" max="15123" width="10.44140625" style="88" bestFit="1" customWidth="1"/>
    <col min="15124" max="15124" width="8" style="88" bestFit="1" customWidth="1"/>
    <col min="15125" max="15125" width="7.6640625" style="88" bestFit="1" customWidth="1"/>
    <col min="15126" max="15126" width="10.44140625" style="88" bestFit="1" customWidth="1"/>
    <col min="15127" max="15127" width="7.44140625" style="88" bestFit="1" customWidth="1"/>
    <col min="15128" max="15128" width="7.6640625" style="88" bestFit="1" customWidth="1"/>
    <col min="15129" max="15129" width="10.44140625" style="88" bestFit="1" customWidth="1"/>
    <col min="15130" max="15130" width="8" style="88" bestFit="1" customWidth="1"/>
    <col min="15131" max="15131" width="7.6640625" style="88" bestFit="1" customWidth="1"/>
    <col min="15132" max="15132" width="10.44140625" style="88" bestFit="1" customWidth="1"/>
    <col min="15133" max="15133" width="7.44140625" style="88" bestFit="1" customWidth="1"/>
    <col min="15134" max="15134" width="7.6640625" style="88" bestFit="1" customWidth="1"/>
    <col min="15135" max="15135" width="10.44140625" style="88" bestFit="1" customWidth="1"/>
    <col min="15136" max="15136" width="7.44140625" style="88" bestFit="1" customWidth="1"/>
    <col min="15137" max="15137" width="7.6640625" style="88" bestFit="1" customWidth="1"/>
    <col min="15138" max="15138" width="10.44140625" style="88" bestFit="1" customWidth="1"/>
    <col min="15139" max="15139" width="5.109375" style="88" customWidth="1"/>
    <col min="15140" max="15362" width="9.109375" style="88"/>
    <col min="15363" max="15363" width="3.44140625" style="88" customWidth="1"/>
    <col min="15364" max="15364" width="7" style="88" customWidth="1"/>
    <col min="15365" max="15365" width="25.44140625" style="88" customWidth="1"/>
    <col min="15366" max="15366" width="12" style="88" customWidth="1"/>
    <col min="15367" max="15367" width="12.6640625" style="88" bestFit="1" customWidth="1"/>
    <col min="15368" max="15368" width="7.44140625" style="88" bestFit="1" customWidth="1"/>
    <col min="15369" max="15369" width="7.6640625" style="88" bestFit="1" customWidth="1"/>
    <col min="15370" max="15370" width="15" style="88" customWidth="1"/>
    <col min="15371" max="15371" width="7.44140625" style="88" bestFit="1" customWidth="1"/>
    <col min="15372" max="15372" width="7.6640625" style="88" bestFit="1" customWidth="1"/>
    <col min="15373" max="15373" width="15" style="88" bestFit="1" customWidth="1"/>
    <col min="15374" max="15374" width="7.44140625" style="88" bestFit="1" customWidth="1"/>
    <col min="15375" max="15375" width="7.6640625" style="88" bestFit="1" customWidth="1"/>
    <col min="15376" max="15376" width="9.44140625" style="88" bestFit="1" customWidth="1"/>
    <col min="15377" max="15377" width="8" style="88" bestFit="1" customWidth="1"/>
    <col min="15378" max="15378" width="7.6640625" style="88" bestFit="1" customWidth="1"/>
    <col min="15379" max="15379" width="10.44140625" style="88" bestFit="1" customWidth="1"/>
    <col min="15380" max="15380" width="8" style="88" bestFit="1" customWidth="1"/>
    <col min="15381" max="15381" width="7.6640625" style="88" bestFit="1" customWidth="1"/>
    <col min="15382" max="15382" width="10.44140625" style="88" bestFit="1" customWidth="1"/>
    <col min="15383" max="15383" width="7.44140625" style="88" bestFit="1" customWidth="1"/>
    <col min="15384" max="15384" width="7.6640625" style="88" bestFit="1" customWidth="1"/>
    <col min="15385" max="15385" width="10.44140625" style="88" bestFit="1" customWidth="1"/>
    <col min="15386" max="15386" width="8" style="88" bestFit="1" customWidth="1"/>
    <col min="15387" max="15387" width="7.6640625" style="88" bestFit="1" customWidth="1"/>
    <col min="15388" max="15388" width="10.44140625" style="88" bestFit="1" customWidth="1"/>
    <col min="15389" max="15389" width="7.44140625" style="88" bestFit="1" customWidth="1"/>
    <col min="15390" max="15390" width="7.6640625" style="88" bestFit="1" customWidth="1"/>
    <col min="15391" max="15391" width="10.44140625" style="88" bestFit="1" customWidth="1"/>
    <col min="15392" max="15392" width="7.44140625" style="88" bestFit="1" customWidth="1"/>
    <col min="15393" max="15393" width="7.6640625" style="88" bestFit="1" customWidth="1"/>
    <col min="15394" max="15394" width="10.44140625" style="88" bestFit="1" customWidth="1"/>
    <col min="15395" max="15395" width="5.109375" style="88" customWidth="1"/>
    <col min="15396" max="15618" width="9.109375" style="88"/>
    <col min="15619" max="15619" width="3.44140625" style="88" customWidth="1"/>
    <col min="15620" max="15620" width="7" style="88" customWidth="1"/>
    <col min="15621" max="15621" width="25.44140625" style="88" customWidth="1"/>
    <col min="15622" max="15622" width="12" style="88" customWidth="1"/>
    <col min="15623" max="15623" width="12.6640625" style="88" bestFit="1" customWidth="1"/>
    <col min="15624" max="15624" width="7.44140625" style="88" bestFit="1" customWidth="1"/>
    <col min="15625" max="15625" width="7.6640625" style="88" bestFit="1" customWidth="1"/>
    <col min="15626" max="15626" width="15" style="88" customWidth="1"/>
    <col min="15627" max="15627" width="7.44140625" style="88" bestFit="1" customWidth="1"/>
    <col min="15628" max="15628" width="7.6640625" style="88" bestFit="1" customWidth="1"/>
    <col min="15629" max="15629" width="15" style="88" bestFit="1" customWidth="1"/>
    <col min="15630" max="15630" width="7.44140625" style="88" bestFit="1" customWidth="1"/>
    <col min="15631" max="15631" width="7.6640625" style="88" bestFit="1" customWidth="1"/>
    <col min="15632" max="15632" width="9.44140625" style="88" bestFit="1" customWidth="1"/>
    <col min="15633" max="15633" width="8" style="88" bestFit="1" customWidth="1"/>
    <col min="15634" max="15634" width="7.6640625" style="88" bestFit="1" customWidth="1"/>
    <col min="15635" max="15635" width="10.44140625" style="88" bestFit="1" customWidth="1"/>
    <col min="15636" max="15636" width="8" style="88" bestFit="1" customWidth="1"/>
    <col min="15637" max="15637" width="7.6640625" style="88" bestFit="1" customWidth="1"/>
    <col min="15638" max="15638" width="10.44140625" style="88" bestFit="1" customWidth="1"/>
    <col min="15639" max="15639" width="7.44140625" style="88" bestFit="1" customWidth="1"/>
    <col min="15640" max="15640" width="7.6640625" style="88" bestFit="1" customWidth="1"/>
    <col min="15641" max="15641" width="10.44140625" style="88" bestFit="1" customWidth="1"/>
    <col min="15642" max="15642" width="8" style="88" bestFit="1" customWidth="1"/>
    <col min="15643" max="15643" width="7.6640625" style="88" bestFit="1" customWidth="1"/>
    <col min="15644" max="15644" width="10.44140625" style="88" bestFit="1" customWidth="1"/>
    <col min="15645" max="15645" width="7.44140625" style="88" bestFit="1" customWidth="1"/>
    <col min="15646" max="15646" width="7.6640625" style="88" bestFit="1" customWidth="1"/>
    <col min="15647" max="15647" width="10.44140625" style="88" bestFit="1" customWidth="1"/>
    <col min="15648" max="15648" width="7.44140625" style="88" bestFit="1" customWidth="1"/>
    <col min="15649" max="15649" width="7.6640625" style="88" bestFit="1" customWidth="1"/>
    <col min="15650" max="15650" width="10.44140625" style="88" bestFit="1" customWidth="1"/>
    <col min="15651" max="15651" width="5.109375" style="88" customWidth="1"/>
    <col min="15652" max="15874" width="9.109375" style="88"/>
    <col min="15875" max="15875" width="3.44140625" style="88" customWidth="1"/>
    <col min="15876" max="15876" width="7" style="88" customWidth="1"/>
    <col min="15877" max="15877" width="25.44140625" style="88" customWidth="1"/>
    <col min="15878" max="15878" width="12" style="88" customWidth="1"/>
    <col min="15879" max="15879" width="12.6640625" style="88" bestFit="1" customWidth="1"/>
    <col min="15880" max="15880" width="7.44140625" style="88" bestFit="1" customWidth="1"/>
    <col min="15881" max="15881" width="7.6640625" style="88" bestFit="1" customWidth="1"/>
    <col min="15882" max="15882" width="15" style="88" customWidth="1"/>
    <col min="15883" max="15883" width="7.44140625" style="88" bestFit="1" customWidth="1"/>
    <col min="15884" max="15884" width="7.6640625" style="88" bestFit="1" customWidth="1"/>
    <col min="15885" max="15885" width="15" style="88" bestFit="1" customWidth="1"/>
    <col min="15886" max="15886" width="7.44140625" style="88" bestFit="1" customWidth="1"/>
    <col min="15887" max="15887" width="7.6640625" style="88" bestFit="1" customWidth="1"/>
    <col min="15888" max="15888" width="9.44140625" style="88" bestFit="1" customWidth="1"/>
    <col min="15889" max="15889" width="8" style="88" bestFit="1" customWidth="1"/>
    <col min="15890" max="15890" width="7.6640625" style="88" bestFit="1" customWidth="1"/>
    <col min="15891" max="15891" width="10.44140625" style="88" bestFit="1" customWidth="1"/>
    <col min="15892" max="15892" width="8" style="88" bestFit="1" customWidth="1"/>
    <col min="15893" max="15893" width="7.6640625" style="88" bestFit="1" customWidth="1"/>
    <col min="15894" max="15894" width="10.44140625" style="88" bestFit="1" customWidth="1"/>
    <col min="15895" max="15895" width="7.44140625" style="88" bestFit="1" customWidth="1"/>
    <col min="15896" max="15896" width="7.6640625" style="88" bestFit="1" customWidth="1"/>
    <col min="15897" max="15897" width="10.44140625" style="88" bestFit="1" customWidth="1"/>
    <col min="15898" max="15898" width="8" style="88" bestFit="1" customWidth="1"/>
    <col min="15899" max="15899" width="7.6640625" style="88" bestFit="1" customWidth="1"/>
    <col min="15900" max="15900" width="10.44140625" style="88" bestFit="1" customWidth="1"/>
    <col min="15901" max="15901" width="7.44140625" style="88" bestFit="1" customWidth="1"/>
    <col min="15902" max="15902" width="7.6640625" style="88" bestFit="1" customWidth="1"/>
    <col min="15903" max="15903" width="10.44140625" style="88" bestFit="1" customWidth="1"/>
    <col min="15904" max="15904" width="7.44140625" style="88" bestFit="1" customWidth="1"/>
    <col min="15905" max="15905" width="7.6640625" style="88" bestFit="1" customWidth="1"/>
    <col min="15906" max="15906" width="10.44140625" style="88" bestFit="1" customWidth="1"/>
    <col min="15907" max="15907" width="5.109375" style="88" customWidth="1"/>
    <col min="15908" max="16130" width="9.109375" style="88"/>
    <col min="16131" max="16131" width="3.44140625" style="88" customWidth="1"/>
    <col min="16132" max="16132" width="7" style="88" customWidth="1"/>
    <col min="16133" max="16133" width="25.44140625" style="88" customWidth="1"/>
    <col min="16134" max="16134" width="12" style="88" customWidth="1"/>
    <col min="16135" max="16135" width="12.6640625" style="88" bestFit="1" customWidth="1"/>
    <col min="16136" max="16136" width="7.44140625" style="88" bestFit="1" customWidth="1"/>
    <col min="16137" max="16137" width="7.6640625" style="88" bestFit="1" customWidth="1"/>
    <col min="16138" max="16138" width="15" style="88" customWidth="1"/>
    <col min="16139" max="16139" width="7.44140625" style="88" bestFit="1" customWidth="1"/>
    <col min="16140" max="16140" width="7.6640625" style="88" bestFit="1" customWidth="1"/>
    <col min="16141" max="16141" width="15" style="88" bestFit="1" customWidth="1"/>
    <col min="16142" max="16142" width="7.44140625" style="88" bestFit="1" customWidth="1"/>
    <col min="16143" max="16143" width="7.6640625" style="88" bestFit="1" customWidth="1"/>
    <col min="16144" max="16144" width="9.44140625" style="88" bestFit="1" customWidth="1"/>
    <col min="16145" max="16145" width="8" style="88" bestFit="1" customWidth="1"/>
    <col min="16146" max="16146" width="7.6640625" style="88" bestFit="1" customWidth="1"/>
    <col min="16147" max="16147" width="10.44140625" style="88" bestFit="1" customWidth="1"/>
    <col min="16148" max="16148" width="8" style="88" bestFit="1" customWidth="1"/>
    <col min="16149" max="16149" width="7.6640625" style="88" bestFit="1" customWidth="1"/>
    <col min="16150" max="16150" width="10.44140625" style="88" bestFit="1" customWidth="1"/>
    <col min="16151" max="16151" width="7.44140625" style="88" bestFit="1" customWidth="1"/>
    <col min="16152" max="16152" width="7.6640625" style="88" bestFit="1" customWidth="1"/>
    <col min="16153" max="16153" width="10.44140625" style="88" bestFit="1" customWidth="1"/>
    <col min="16154" max="16154" width="8" style="88" bestFit="1" customWidth="1"/>
    <col min="16155" max="16155" width="7.6640625" style="88" bestFit="1" customWidth="1"/>
    <col min="16156" max="16156" width="10.44140625" style="88" bestFit="1" customWidth="1"/>
    <col min="16157" max="16157" width="7.44140625" style="88" bestFit="1" customWidth="1"/>
    <col min="16158" max="16158" width="7.6640625" style="88" bestFit="1" customWidth="1"/>
    <col min="16159" max="16159" width="10.44140625" style="88" bestFit="1" customWidth="1"/>
    <col min="16160" max="16160" width="7.44140625" style="88" bestFit="1" customWidth="1"/>
    <col min="16161" max="16161" width="7.6640625" style="88" bestFit="1" customWidth="1"/>
    <col min="16162" max="16162" width="10.44140625" style="88" bestFit="1" customWidth="1"/>
    <col min="16163" max="16163" width="5.109375" style="88" customWidth="1"/>
    <col min="16164" max="16366" width="9.109375" style="88"/>
    <col min="16367" max="16384" width="9.109375" style="88" customWidth="1"/>
  </cols>
  <sheetData>
    <row r="1" spans="2:127" s="86" customFormat="1" ht="21.9" customHeight="1" thickBot="1">
      <c r="B1" s="695">
        <f>QQP!G55</f>
        <v>733060.91</v>
      </c>
      <c r="C1" s="696"/>
      <c r="D1" s="210" t="s">
        <v>205</v>
      </c>
      <c r="E1" s="211">
        <v>1</v>
      </c>
      <c r="F1" s="83" t="str">
        <f>QQP!B8</f>
        <v>1.1</v>
      </c>
      <c r="G1" s="760">
        <f>H150</f>
        <v>106622.07172464996</v>
      </c>
      <c r="H1" s="760"/>
      <c r="I1" s="83" t="str">
        <f>QQP!B9</f>
        <v>1.2</v>
      </c>
      <c r="J1" s="760">
        <f>K150</f>
        <v>51826.932612205579</v>
      </c>
      <c r="K1" s="760"/>
      <c r="L1" s="83" t="str">
        <f>QQP!B10</f>
        <v>1.3</v>
      </c>
      <c r="M1" s="760">
        <f>N150</f>
        <v>17990.88221922953</v>
      </c>
      <c r="N1" s="760"/>
      <c r="O1" s="83" t="str">
        <f>QQP!B11</f>
        <v>1.4</v>
      </c>
      <c r="P1" s="760">
        <f>Q150</f>
        <v>25672.986884554823</v>
      </c>
      <c r="Q1" s="760"/>
      <c r="R1" s="83" t="str">
        <f>QQP!B12</f>
        <v>1.5</v>
      </c>
      <c r="S1" s="760">
        <f>T150</f>
        <v>13167.76215728209</v>
      </c>
      <c r="T1" s="760"/>
      <c r="U1" s="83" t="str">
        <f>QQP!B14</f>
        <v>2.1</v>
      </c>
      <c r="V1" s="760">
        <f>W150</f>
        <v>9351.772014242033</v>
      </c>
      <c r="W1" s="760"/>
      <c r="X1" s="83" t="str">
        <f>QQP!B15</f>
        <v>2.2</v>
      </c>
      <c r="Y1" s="760">
        <f>Z150</f>
        <v>9204.0034991514876</v>
      </c>
      <c r="Z1" s="760"/>
      <c r="AA1" s="83" t="str">
        <f>QQP!B16</f>
        <v>2.3</v>
      </c>
      <c r="AB1" s="760">
        <f>AC150</f>
        <v>7903.5662502032546</v>
      </c>
      <c r="AC1" s="760"/>
      <c r="AD1" s="83" t="str">
        <f>QQP!B17</f>
        <v>2.4</v>
      </c>
      <c r="AE1" s="760">
        <f>AF150</f>
        <v>7903.5662502032546</v>
      </c>
      <c r="AF1" s="760"/>
      <c r="AG1" s="83" t="str">
        <f>QQP!B18</f>
        <v>2.5</v>
      </c>
      <c r="AH1" s="760">
        <f>AI150</f>
        <v>7903.5662502032546</v>
      </c>
      <c r="AI1" s="760"/>
      <c r="AJ1" s="83" t="str">
        <f>QQP!B19</f>
        <v>2.6</v>
      </c>
      <c r="AK1" s="760">
        <f>AL150</f>
        <v>7903.5662502032546</v>
      </c>
      <c r="AL1" s="760"/>
      <c r="AM1" s="83" t="str">
        <f>QQP!B20</f>
        <v>2.7</v>
      </c>
      <c r="AN1" s="760">
        <f>AO150</f>
        <v>12924.693364891382</v>
      </c>
      <c r="AO1" s="760"/>
      <c r="AP1" s="83" t="str">
        <f>QQP!B23</f>
        <v>3.1.1</v>
      </c>
      <c r="AQ1" s="760">
        <f>AR150</f>
        <v>76.971853173333074</v>
      </c>
      <c r="AR1" s="760"/>
      <c r="AS1" s="83" t="str">
        <f>QQP!B24</f>
        <v>3.1.2</v>
      </c>
      <c r="AT1" s="760">
        <f>AU150</f>
        <v>1003.7756593856199</v>
      </c>
      <c r="AU1" s="760"/>
      <c r="AV1" s="83" t="str">
        <f>QQP!B25</f>
        <v>3.1.3</v>
      </c>
      <c r="AW1" s="760">
        <f>AX150</f>
        <v>91.206581836348008</v>
      </c>
      <c r="AX1" s="760"/>
      <c r="AY1" s="83" t="str">
        <f>QQP!B26</f>
        <v>3.1.4</v>
      </c>
      <c r="AZ1" s="760">
        <f>BA150</f>
        <v>235.90821687278773</v>
      </c>
      <c r="BA1" s="760"/>
      <c r="BB1" s="83" t="str">
        <f>QQP!B27</f>
        <v>3.1.5</v>
      </c>
      <c r="BC1" s="760">
        <f>BD150</f>
        <v>205.77454819404866</v>
      </c>
      <c r="BD1" s="760"/>
      <c r="BE1" s="83" t="str">
        <f>QQP!B28</f>
        <v>3.1.6</v>
      </c>
      <c r="BF1" s="760">
        <f>BG150</f>
        <v>2737.6548009013809</v>
      </c>
      <c r="BG1" s="760"/>
      <c r="BH1" s="83" t="str">
        <f>QQP!B30</f>
        <v>3.2.1</v>
      </c>
      <c r="BI1" s="760">
        <f>BJ150</f>
        <v>25.925539909458905</v>
      </c>
      <c r="BJ1" s="760"/>
      <c r="BK1" s="83" t="str">
        <f>QQP!B31</f>
        <v>3.2.2</v>
      </c>
      <c r="BL1" s="760">
        <f>BM150</f>
        <v>865.18916890769765</v>
      </c>
      <c r="BM1" s="760"/>
      <c r="BN1" s="83" t="str">
        <f>QQP!B32</f>
        <v>3.2.3</v>
      </c>
      <c r="BO1" s="760">
        <f>BP150</f>
        <v>59715.972541691895</v>
      </c>
      <c r="BP1" s="760"/>
      <c r="BQ1" s="83" t="str">
        <f>QQP!B33</f>
        <v>3.2.4</v>
      </c>
      <c r="BR1" s="760">
        <f>BS150</f>
        <v>125689.24195689432</v>
      </c>
      <c r="BS1" s="760"/>
      <c r="BT1" s="83" t="str">
        <f>QQP!B34</f>
        <v>3.2.5</v>
      </c>
      <c r="BU1" s="760">
        <f>BV150</f>
        <v>2088.1275279204656</v>
      </c>
      <c r="BV1" s="760"/>
      <c r="BW1" s="83" t="str">
        <f>QQP!B35</f>
        <v>3.2.6</v>
      </c>
      <c r="BX1" s="760">
        <f>BY150</f>
        <v>1574.9150926724683</v>
      </c>
      <c r="BY1" s="760"/>
      <c r="BZ1" s="83" t="str">
        <f>QQP!B37</f>
        <v>3.3.1</v>
      </c>
      <c r="CA1" s="760">
        <f>CB150</f>
        <v>2259.1983396697983</v>
      </c>
      <c r="CB1" s="760"/>
      <c r="CC1" s="83" t="str">
        <f>QQP!B38</f>
        <v>3.3.2</v>
      </c>
      <c r="CD1" s="760">
        <f>CE150</f>
        <v>291.74339388231425</v>
      </c>
      <c r="CE1" s="760"/>
      <c r="CF1" s="83" t="str">
        <f>QQP!B39</f>
        <v>3.3.3</v>
      </c>
      <c r="CG1" s="760">
        <f>CH150</f>
        <v>1090.2144593826931</v>
      </c>
      <c r="CH1" s="760"/>
      <c r="CI1" s="83" t="str">
        <f>QQP!B40</f>
        <v>3.3.4</v>
      </c>
      <c r="CJ1" s="760">
        <f>CK150</f>
        <v>805.09643980047258</v>
      </c>
      <c r="CK1" s="760"/>
      <c r="CL1" s="83" t="str">
        <f>QQP!B41</f>
        <v>3.3.5</v>
      </c>
      <c r="CM1" s="760">
        <f>CN150</f>
        <v>134773.34177970511</v>
      </c>
      <c r="CN1" s="760"/>
      <c r="CO1" s="83" t="str">
        <f>QQP!B42</f>
        <v>3.3.6</v>
      </c>
      <c r="CP1" s="760">
        <f>CQ150</f>
        <v>10251.193766954671</v>
      </c>
      <c r="CQ1" s="760"/>
      <c r="CR1" s="83" t="str">
        <f>QQP!B45</f>
        <v>4.1.1</v>
      </c>
      <c r="CS1" s="760">
        <f>CT150</f>
        <v>6506.1805956699936</v>
      </c>
      <c r="CT1" s="760"/>
      <c r="CU1" s="83" t="str">
        <f>QQP!B46</f>
        <v>4.1.2</v>
      </c>
      <c r="CV1" s="760">
        <f>CW150</f>
        <v>10951.44366743391</v>
      </c>
      <c r="CW1" s="760"/>
      <c r="CX1" s="83" t="str">
        <f>QQP!B47</f>
        <v>4.1.3</v>
      </c>
      <c r="CY1" s="760">
        <f>CZ150</f>
        <v>6225.1563434902482</v>
      </c>
      <c r="CZ1" s="760"/>
      <c r="DA1" s="83" t="str">
        <f>QQP!B48</f>
        <v>4.1.4</v>
      </c>
      <c r="DB1" s="760">
        <f>DC150</f>
        <v>4812.7721717934</v>
      </c>
      <c r="DC1" s="760"/>
      <c r="DD1" s="83" t="str">
        <f>QQP!B50</f>
        <v>4.2.1</v>
      </c>
      <c r="DE1" s="760">
        <f>DF150</f>
        <v>7243.782945156001</v>
      </c>
      <c r="DF1" s="760"/>
      <c r="DG1" s="83" t="str">
        <f>QQP!B51</f>
        <v>4.2.2</v>
      </c>
      <c r="DH1" s="760">
        <f>DI150</f>
        <v>5598.4715663693405</v>
      </c>
      <c r="DI1" s="760"/>
      <c r="DJ1" s="83" t="str">
        <f>QQP!B53</f>
        <v>4.3.1</v>
      </c>
      <c r="DK1" s="760">
        <f>DL150</f>
        <v>17115.651217875955</v>
      </c>
      <c r="DL1" s="760"/>
      <c r="DM1" s="83" t="str">
        <f>QQP!B54</f>
        <v>4.3.2</v>
      </c>
      <c r="DN1" s="760">
        <f>DO150</f>
        <v>10534.405702729318</v>
      </c>
      <c r="DO1" s="760"/>
      <c r="DP1" s="84"/>
      <c r="DQ1" s="697"/>
      <c r="DR1" s="697"/>
      <c r="DS1" s="697"/>
      <c r="DT1" s="85"/>
    </row>
    <row r="2" spans="2:127" ht="75.75" customHeight="1" thickBot="1">
      <c r="B2" s="698" t="s">
        <v>206</v>
      </c>
      <c r="C2" s="699"/>
      <c r="D2" s="699"/>
      <c r="E2" s="700"/>
      <c r="F2" s="754" t="str">
        <f>_xlfn.XLOOKUP(F1,QQP!$B$8:$B$54,QQP!$C$8:$C$54)</f>
        <v xml:space="preserve">Mobilização </v>
      </c>
      <c r="G2" s="755"/>
      <c r="H2" s="756"/>
      <c r="I2" s="754" t="str">
        <f>_xlfn.XLOOKUP(I1,QQP!$B$8:$B$54,QQP!$C$8:$C$54)</f>
        <v>Desmobilização</v>
      </c>
      <c r="J2" s="755"/>
      <c r="K2" s="756"/>
      <c r="L2" s="754" t="str">
        <f>_xlfn.XLOOKUP(L1,QQP!$B$8:$B$54,QQP!$C$8:$C$54)</f>
        <v>Canteiro de Obras</v>
      </c>
      <c r="M2" s="755"/>
      <c r="N2" s="756"/>
      <c r="O2" s="754" t="str">
        <f>_xlfn.XLOOKUP(O1,QQP!$B$8:$B$54,QQP!$C$8:$C$54)</f>
        <v xml:space="preserve">Comissionamento e Start Up </v>
      </c>
      <c r="P2" s="755"/>
      <c r="Q2" s="756"/>
      <c r="R2" s="754" t="str">
        <f>_xlfn.XLOOKUP(R1,QQP!$B$8:$B$54,QQP!$C$8:$C$54)</f>
        <v>Databook</v>
      </c>
      <c r="S2" s="755"/>
      <c r="T2" s="756"/>
      <c r="U2" s="754" t="str">
        <f>_xlfn.XLOOKUP(U1,QQP!$B$8:$B$54,QQP!$C$8:$C$54)</f>
        <v>Levantamento de Campo</v>
      </c>
      <c r="V2" s="755"/>
      <c r="W2" s="756"/>
      <c r="X2" s="754" t="str">
        <f>_xlfn.XLOOKUP(X1,QQP!$B$8:$B$54,QQP!$C$8:$C$54)</f>
        <v>Topografia</v>
      </c>
      <c r="Y2" s="755"/>
      <c r="Z2" s="756"/>
      <c r="AA2" s="754" t="str">
        <f>_xlfn.XLOOKUP(AA1,QQP!$B$8:$B$54,QQP!$C$8:$C$54)</f>
        <v>Lista de Desenhos e Documentos (LDD)</v>
      </c>
      <c r="AB2" s="755"/>
      <c r="AC2" s="756"/>
      <c r="AD2" s="754" t="str">
        <f>_xlfn.XLOOKUP(AD1,QQP!$B$8:$B$54,QQP!$C$8:$C$54)</f>
        <v>Memorial de Cálculo</v>
      </c>
      <c r="AE2" s="755"/>
      <c r="AF2" s="756"/>
      <c r="AG2" s="754" t="str">
        <f>_xlfn.XLOOKUP(AG1,QQP!$B$8:$B$54,QQP!$C$8:$C$54)</f>
        <v>Especificação Técnica dos Perfis</v>
      </c>
      <c r="AH2" s="755"/>
      <c r="AI2" s="756"/>
      <c r="AJ2" s="754" t="str">
        <f>_xlfn.XLOOKUP(AJ1,QQP!$B$8:$B$54,QQP!$C$8:$C$54)</f>
        <v>Planilha de Quantidades (PQ)</v>
      </c>
      <c r="AK2" s="755"/>
      <c r="AL2" s="756"/>
      <c r="AM2" s="754" t="str">
        <f>_xlfn.XLOOKUP(AM1,QQP!$B$8:$B$54,QQP!$C$8:$C$54)</f>
        <v xml:space="preserve"> As-Built</v>
      </c>
      <c r="AN2" s="755"/>
      <c r="AO2" s="756"/>
      <c r="AP2" s="754" t="str">
        <f>_xlfn.XLOOKUP(AP1,QQP!$B$8:$B$54,QQP!$C$8:$C$54)</f>
        <v>Cabo múltiplo de energia (tetrapolar), condutores flexíveis de cobre (classe 5), classe 
de tensão de 0.6/1kV, isolamento de PVC 70ºC, nas cores preto, vermelho e azul e 
verde, condutor flexível de cobre nú, capa externa de PVC na cor laranja, retardante à 
chama, imune a radiação ultravioleta, Seção 1x4/c # 10.0mm².</v>
      </c>
      <c r="AQ2" s="755"/>
      <c r="AR2" s="756"/>
      <c r="AS2" s="754" t="str">
        <f>_xlfn.XLOOKUP(AS1,QQP!$B$8:$B$54,QQP!$C$8:$C$54)</f>
        <v>Chave seccionadora 30A TYPE 3R/4/12 CLAS S H 600V, NCM:8536.50.90 CF:5102 
MR:ROCKWELL</v>
      </c>
      <c r="AT2" s="755"/>
      <c r="AU2" s="756"/>
      <c r="AV2" s="754" t="str">
        <f>_xlfn.XLOOKUP(AV1,QQP!$B$8:$B$54,QQP!$C$8:$C$54)</f>
        <v>Terminal olhal de cobre à compressão #10mm² com furo M8, TM-10-8 da Intelli ou 
similar.</v>
      </c>
      <c r="AW2" s="755"/>
      <c r="AX2" s="756"/>
      <c r="AY2" s="754" t="str">
        <f>_xlfn.XLOOKUP(AY1,QQP!$B$8:$B$54,QQP!$C$8:$C$54)</f>
        <v>Fusível NH Sitor Ultra Rápido Gr 32A 1000V 100Ka T-0, Indicador Frontal 3NE4 101 
da Siemens ou similar</v>
      </c>
      <c r="AZ2" s="755"/>
      <c r="BA2" s="756"/>
      <c r="BB2" s="754" t="str">
        <f>_xlfn.XLOOKUP(BB1,QQP!$B$8:$B$54,QQP!$C$8:$C$54)</f>
        <v>Base para Fusível NH Sitor Ultra Rápido Gr 32A 1000V 100Ka, T-0 tipo: 3NH3 230-
0RC da Siemens ou similar</v>
      </c>
      <c r="BC2" s="755"/>
      <c r="BD2" s="756"/>
      <c r="BE2" s="754" t="str">
        <f>_xlfn.XLOOKUP(BE1,QQP!$B$8:$B$54,QQP!$C$8:$C$54)</f>
        <v>Miscelâneas</v>
      </c>
      <c r="BF2" s="755"/>
      <c r="BG2" s="756"/>
      <c r="BH2" s="754" t="str">
        <f>_xlfn.XLOOKUP(BH1,QQP!$B$8:$B$54,QQP!$C$8:$C$54)</f>
        <v>Desmontagem do Cabo de Alimentação do Quadro de Distribuição QD-161T-11 até a 
Chave Seccionadora 440V no Campo</v>
      </c>
      <c r="BI2" s="755"/>
      <c r="BJ2" s="756"/>
      <c r="BK2" s="754" t="str">
        <f>_xlfn.XLOOKUP(BK1,QQP!$B$8:$B$54,QQP!$C$8:$C$54)</f>
        <v xml:space="preserve">Desmontagem da Caixa da Chave Seccionadora 440V no Campo </v>
      </c>
      <c r="BL2" s="755"/>
      <c r="BM2" s="756"/>
      <c r="BN2" s="754" t="str">
        <f>_xlfn.XLOOKUP(BN1,QQP!$B$8:$B$54,QQP!$C$8:$C$54)</f>
        <v xml:space="preserve">Desmontagem da Cortina de Cabos Existente com Trole no Campo </v>
      </c>
      <c r="BO2" s="755"/>
      <c r="BP2" s="756"/>
      <c r="BQ2" s="754" t="str">
        <f>_xlfn.XLOOKUP(BQ1,QQP!$B$8:$B$54,QQP!$C$8:$C$54)</f>
        <v>Desmontagem da Talha Elétrica 1 Tonelada no Campo</v>
      </c>
      <c r="BR2" s="755"/>
      <c r="BS2" s="756"/>
      <c r="BT2" s="754" t="str">
        <f>_xlfn.XLOOKUP(BT1,QQP!$B$8:$B$54,QQP!$C$8:$C$54)</f>
        <v>Desmontagem dos Componentes Internos do Quadro de distribuição QD-161T-11</v>
      </c>
      <c r="BU2" s="755"/>
      <c r="BV2" s="756"/>
      <c r="BW2" s="754" t="str">
        <f>_xlfn.XLOOKUP(BW1,QQP!$B$8:$B$54,QQP!$C$8:$C$54)</f>
        <v>Desmontagem do Suporte Existente da Chave Seccionadora no Campo</v>
      </c>
      <c r="BX2" s="755"/>
      <c r="BY2" s="756"/>
      <c r="BZ2" s="754" t="str">
        <f>_xlfn.XLOOKUP(BZ1,QQP!$B$8:$B$54,QQP!$C$8:$C$54)</f>
        <v>Montagem dos Componentes Internos do Quadro de distribuição QD-161T-11</v>
      </c>
      <c r="CA2" s="755"/>
      <c r="CB2" s="756"/>
      <c r="CC2" s="754" t="str">
        <f>_xlfn.XLOOKUP(CC1,QQP!$B$8:$B$54,QQP!$C$8:$C$54)</f>
        <v>Montagem do Cabo de Alimentação do Quadro de Distribuição QD-161T-11 até a 
Chave Seccionadora 440V no Campo</v>
      </c>
      <c r="CD2" s="755"/>
      <c r="CE2" s="756"/>
      <c r="CF2" s="754" t="str">
        <f>_xlfn.XLOOKUP(CF1,QQP!$B$8:$B$54,QQP!$C$8:$C$54)</f>
        <v>Montagem do Suporte Existente da Chave Seccionadora no Campo</v>
      </c>
      <c r="CG2" s="755"/>
      <c r="CH2" s="756"/>
      <c r="CI2" s="754" t="str">
        <f>_xlfn.XLOOKUP(CI1,QQP!$B$8:$B$54,QQP!$C$8:$C$54)</f>
        <v>Montagem da Caixa da Chave Seccionadora no Campo</v>
      </c>
      <c r="CJ2" s="755"/>
      <c r="CK2" s="756"/>
      <c r="CL2" s="754" t="str">
        <f>_xlfn.XLOOKUP(CL1,QQP!$B$8:$B$54,QQP!$C$8:$C$54)</f>
        <v>Montagem da Talha Elétrica 1 Tonelada do Tipo CTX– Konecranes</v>
      </c>
      <c r="CM2" s="755"/>
      <c r="CN2" s="756"/>
      <c r="CO2" s="754" t="str">
        <f>_xlfn.XLOOKUP(CO1,QQP!$B$8:$B$54,QQP!$C$8:$C$54)</f>
        <v>Montagem da Cortina de Cabos Completo Tipo Festoon com Troles Arrastador</v>
      </c>
      <c r="CP2" s="755"/>
      <c r="CQ2" s="756"/>
      <c r="CR2" s="754" t="str">
        <f>_xlfn.XLOOKUP(CR1,QQP!$B$8:$B$54,QQP!$C$8:$C$54)</f>
        <v>Fornecimento de perfis metálicos leve (&lt; 25kg/m)</v>
      </c>
      <c r="CS2" s="755"/>
      <c r="CT2" s="756"/>
      <c r="CU2" s="754" t="str">
        <f>_xlfn.XLOOKUP(CU1,QQP!$B$8:$B$54,QQP!$C$8:$C$54)</f>
        <v>Fornecimento de perfis metálicos médio (&gt; 25kg/m &lt; 80kg/m)</v>
      </c>
      <c r="CV2" s="755"/>
      <c r="CW2" s="756"/>
      <c r="CX2" s="754" t="str">
        <f>_xlfn.XLOOKUP(CX1,QQP!$B$8:$B$54,QQP!$C$8:$C$54)</f>
        <v>Fornecimento de perfis metálicos médio pesado (&gt; 80kg/m)</v>
      </c>
      <c r="CY2" s="755"/>
      <c r="CZ2" s="756"/>
      <c r="DA2" s="754" t="str">
        <f>_xlfn.XLOOKUP(DA1,QQP!$B$8:$B$54,QQP!$C$8:$C$54)</f>
        <v>Miscelâneas</v>
      </c>
      <c r="DB2" s="755"/>
      <c r="DC2" s="756"/>
      <c r="DD2" s="754" t="str">
        <f>_xlfn.XLOOKUP(DD1,QQP!$B$8:$B$54,QQP!$C$8:$C$54)</f>
        <v>Desmontagem da monovia existente</v>
      </c>
      <c r="DE2" s="755"/>
      <c r="DF2" s="756"/>
      <c r="DG2" s="754" t="str">
        <f>_xlfn.XLOOKUP(DG1,QQP!$B$8:$B$54,QQP!$C$8:$C$54)</f>
        <v xml:space="preserve">Desmontagem das estruturas transversais de apoio </v>
      </c>
      <c r="DH2" s="755"/>
      <c r="DI2" s="756"/>
      <c r="DJ2" s="754" t="str">
        <f>_xlfn.XLOOKUP(DJ1,QQP!$B$8:$B$54,QQP!$C$8:$C$54)</f>
        <v>Montagem da monovia existente</v>
      </c>
      <c r="DK2" s="755"/>
      <c r="DL2" s="756"/>
      <c r="DM2" s="754" t="str">
        <f>_xlfn.XLOOKUP(DM1,QQP!$B$8:$B$54,QQP!$C$8:$C$54)</f>
        <v>Montagem das estruturas transversais de apoio</v>
      </c>
      <c r="DN2" s="755"/>
      <c r="DO2" s="756"/>
      <c r="DP2" s="87"/>
      <c r="DQ2" s="757" t="s">
        <v>93</v>
      </c>
      <c r="DR2" s="758"/>
      <c r="DS2" s="759"/>
    </row>
    <row r="3" spans="2:127" ht="20.25" customHeight="1">
      <c r="B3" s="710"/>
      <c r="C3" s="710"/>
      <c r="D3" s="710"/>
      <c r="E3" s="710"/>
      <c r="F3" s="89"/>
      <c r="G3" s="90" t="str">
        <f>_xlfn.XLOOKUP(F1,QQP!$B$8:$B$54,QQP!$D$8:$D$54)</f>
        <v>VB</v>
      </c>
      <c r="H3" s="91">
        <f>_xlfn.XLOOKUP(F1,QQP!$B$8:$B$54,QQP!$E$8:$E$54)</f>
        <v>1</v>
      </c>
      <c r="I3" s="89"/>
      <c r="J3" s="90" t="str">
        <f>_xlfn.XLOOKUP(I1,QQP!$B$8:$B$54,QQP!$D$8:$D$54)</f>
        <v>VB</v>
      </c>
      <c r="K3" s="91">
        <f>_xlfn.XLOOKUP(I1,QQP!$B$8:$B$54,QQP!$E$8:$E$54)</f>
        <v>1</v>
      </c>
      <c r="L3" s="89"/>
      <c r="M3" s="90" t="str">
        <f>_xlfn.XLOOKUP(L1,QQP!$B$8:$B$54,QQP!$D$8:$D$54)</f>
        <v>VB</v>
      </c>
      <c r="N3" s="91">
        <f>_xlfn.XLOOKUP(L1,QQP!$B$8:$B$54,QQP!$E$8:$E$54)</f>
        <v>1</v>
      </c>
      <c r="O3" s="89"/>
      <c r="P3" s="90" t="str">
        <f>_xlfn.XLOOKUP(O1,QQP!$B$8:$B$54,QQP!$D$8:$D$54)</f>
        <v>VB</v>
      </c>
      <c r="Q3" s="91">
        <f>_xlfn.XLOOKUP(O1,QQP!$B$8:$B$54,QQP!$E$8:$E$54)</f>
        <v>1</v>
      </c>
      <c r="R3" s="89"/>
      <c r="S3" s="90" t="str">
        <f>_xlfn.XLOOKUP(R1,QQP!$B$8:$B$54,QQP!$D$8:$D$54)</f>
        <v>VB</v>
      </c>
      <c r="T3" s="91">
        <f>_xlfn.XLOOKUP(R1,QQP!$B$8:$B$54,QQP!$E$8:$E$54)</f>
        <v>1</v>
      </c>
      <c r="U3" s="89"/>
      <c r="V3" s="90" t="str">
        <f>_xlfn.XLOOKUP(U1,QQP!$B$8:$B$54,QQP!$D$8:$D$54)</f>
        <v>VB</v>
      </c>
      <c r="W3" s="91">
        <f>_xlfn.XLOOKUP(U1,QQP!$B$8:$B$54,QQP!$E$8:$E$54)</f>
        <v>1</v>
      </c>
      <c r="X3" s="89"/>
      <c r="Y3" s="90" t="str">
        <f>_xlfn.XLOOKUP(X1,QQP!$B$8:$B$54,QQP!$D$8:$D$54)</f>
        <v>VB</v>
      </c>
      <c r="Z3" s="91">
        <f>_xlfn.XLOOKUP(X1,QQP!$B$8:$B$54,QQP!$E$8:$E$54)</f>
        <v>1</v>
      </c>
      <c r="AA3" s="89"/>
      <c r="AB3" s="90" t="str">
        <f>_xlfn.XLOOKUP(AA1,QQP!$B$8:$B$54,QQP!$D$8:$D$54)</f>
        <v>VB</v>
      </c>
      <c r="AC3" s="91">
        <f>_xlfn.XLOOKUP(AA1,QQP!$B$8:$B$54,QQP!$E$8:$E$54)</f>
        <v>1</v>
      </c>
      <c r="AD3" s="89"/>
      <c r="AE3" s="90" t="str">
        <f>_xlfn.XLOOKUP(AD1,QQP!$B$8:$B$54,QQP!$D$8:$D$54)</f>
        <v>VB</v>
      </c>
      <c r="AF3" s="91">
        <f>_xlfn.XLOOKUP(AD1,QQP!$B$8:$B$54,QQP!$E$8:$E$54)</f>
        <v>1</v>
      </c>
      <c r="AG3" s="89"/>
      <c r="AH3" s="90" t="str">
        <f>_xlfn.XLOOKUP(AG1,QQP!$B$8:$B$54,QQP!$D$8:$D$54)</f>
        <v>VB</v>
      </c>
      <c r="AI3" s="91">
        <f>_xlfn.XLOOKUP(AG1,QQP!$B$8:$B$54,QQP!$E$8:$E$54)</f>
        <v>1</v>
      </c>
      <c r="AJ3" s="89"/>
      <c r="AK3" s="90" t="str">
        <f>_xlfn.XLOOKUP(AJ1,QQP!$B$8:$B$54,QQP!$D$8:$D$54)</f>
        <v>VB</v>
      </c>
      <c r="AL3" s="91">
        <f>_xlfn.XLOOKUP(AJ1,QQP!$B$8:$B$54,QQP!$E$8:$E$54)</f>
        <v>1</v>
      </c>
      <c r="AM3" s="89"/>
      <c r="AN3" s="90" t="str">
        <f>_xlfn.XLOOKUP(AM1,QQP!$B$8:$B$54,QQP!$D$8:$D$54)</f>
        <v>VB</v>
      </c>
      <c r="AO3" s="91">
        <f>_xlfn.XLOOKUP(AM1,QQP!$B$8:$B$54,QQP!$E$8:$E$54)</f>
        <v>1</v>
      </c>
      <c r="AP3" s="89"/>
      <c r="AQ3" s="90" t="str">
        <f>_xlfn.XLOOKUP(AP1,QQP!$B$8:$B$54,QQP!$D$8:$D$54)</f>
        <v>M</v>
      </c>
      <c r="AR3" s="91">
        <f>_xlfn.XLOOKUP(AP1,QQP!$B$8:$B$54,QQP!$E$8:$E$54)</f>
        <v>100</v>
      </c>
      <c r="AS3" s="89"/>
      <c r="AT3" s="90" t="str">
        <f>_xlfn.XLOOKUP(AS1,QQP!$B$8:$B$54,QQP!$D$8:$D$54)</f>
        <v>UND</v>
      </c>
      <c r="AU3" s="91">
        <f>_xlfn.XLOOKUP(AS1,QQP!$B$8:$B$54,QQP!$E$8:$E$54)</f>
        <v>1</v>
      </c>
      <c r="AV3" s="89"/>
      <c r="AW3" s="90" t="str">
        <f>_xlfn.XLOOKUP(AV1,QQP!$B$8:$B$54,QQP!$D$8:$D$54)</f>
        <v>UND</v>
      </c>
      <c r="AX3" s="91">
        <f>_xlfn.XLOOKUP(AV1,QQP!$B$8:$B$54,QQP!$E$8:$E$54)</f>
        <v>8</v>
      </c>
      <c r="AY3" s="89"/>
      <c r="AZ3" s="90" t="str">
        <f>_xlfn.XLOOKUP(AY1,QQP!$B$8:$B$54,QQP!$D$8:$D$54)</f>
        <v>UND</v>
      </c>
      <c r="BA3" s="91">
        <f>_xlfn.XLOOKUP(AY1,QQP!$B$8:$B$54,QQP!$E$8:$E$54)</f>
        <v>6</v>
      </c>
      <c r="BB3" s="89"/>
      <c r="BC3" s="90" t="str">
        <f>_xlfn.XLOOKUP(BB1,QQP!$B$8:$B$54,QQP!$D$8:$D$54)</f>
        <v>UND</v>
      </c>
      <c r="BD3" s="91">
        <f>_xlfn.XLOOKUP(BB1,QQP!$B$8:$B$54,QQP!$E$8:$E$54)</f>
        <v>6</v>
      </c>
      <c r="BE3" s="89"/>
      <c r="BF3" s="90" t="str">
        <f>_xlfn.XLOOKUP(BE1,QQP!$B$8:$B$54,QQP!$D$8:$D$54)</f>
        <v>VB</v>
      </c>
      <c r="BG3" s="91">
        <f>_xlfn.XLOOKUP(BE1,QQP!$B$8:$B$54,QQP!$E$8:$E$54)</f>
        <v>1</v>
      </c>
      <c r="BH3" s="89"/>
      <c r="BI3" s="90" t="str">
        <f>_xlfn.XLOOKUP(BH1,QQP!$B$8:$B$54,QQP!$D$8:$D$54)</f>
        <v>M</v>
      </c>
      <c r="BJ3" s="91">
        <f>_xlfn.XLOOKUP(BH1,QQP!$B$8:$B$54,QQP!$E$8:$E$54)</f>
        <v>100</v>
      </c>
      <c r="BK3" s="89"/>
      <c r="BL3" s="90" t="str">
        <f>_xlfn.XLOOKUP(BK1,QQP!$B$8:$B$54,QQP!$D$8:$D$54)</f>
        <v>UND</v>
      </c>
      <c r="BM3" s="91">
        <f>_xlfn.XLOOKUP(BK1,QQP!$B$8:$B$54,QQP!$E$8:$E$54)</f>
        <v>1</v>
      </c>
      <c r="BN3" s="89"/>
      <c r="BO3" s="90" t="str">
        <f>_xlfn.XLOOKUP(BN1,QQP!$B$8:$B$54,QQP!$D$8:$D$54)</f>
        <v>UND</v>
      </c>
      <c r="BP3" s="91">
        <f>_xlfn.XLOOKUP(BN1,QQP!$B$8:$B$54,QQP!$E$8:$E$54)</f>
        <v>1</v>
      </c>
      <c r="BQ3" s="89"/>
      <c r="BR3" s="90" t="str">
        <f>_xlfn.XLOOKUP(BQ1,QQP!$B$8:$B$54,QQP!$D$8:$D$54)</f>
        <v>UND</v>
      </c>
      <c r="BS3" s="91">
        <f>_xlfn.XLOOKUP(BQ1,QQP!$B$8:$B$54,QQP!$E$8:$E$54)</f>
        <v>1</v>
      </c>
      <c r="BT3" s="89"/>
      <c r="BU3" s="90" t="str">
        <f>_xlfn.XLOOKUP(BT1,QQP!$B$8:$B$54,QQP!$D$8:$D$54)</f>
        <v>UND</v>
      </c>
      <c r="BV3" s="91">
        <f>_xlfn.XLOOKUP(BT1,QQP!$B$8:$B$54,QQP!$E$8:$E$54)</f>
        <v>1</v>
      </c>
      <c r="BW3" s="89"/>
      <c r="BX3" s="90" t="str">
        <f>_xlfn.XLOOKUP(BW1,QQP!$B$8:$B$54,QQP!$D$8:$D$54)</f>
        <v>UND</v>
      </c>
      <c r="BY3" s="91">
        <f>_xlfn.XLOOKUP(BW1,QQP!$B$8:$B$54,QQP!$E$8:$E$54)</f>
        <v>1</v>
      </c>
      <c r="BZ3" s="89"/>
      <c r="CA3" s="90" t="str">
        <f>_xlfn.XLOOKUP(BZ1,QQP!$B$8:$B$54,QQP!$D$8:$D$54)</f>
        <v>UND</v>
      </c>
      <c r="CB3" s="91">
        <f>_xlfn.XLOOKUP(BZ1,QQP!$B$8:$B$54,QQP!$E$8:$E$54)</f>
        <v>1</v>
      </c>
      <c r="CC3" s="89"/>
      <c r="CD3" s="90" t="str">
        <f>_xlfn.XLOOKUP(CC1,QQP!$B$8:$B$54,QQP!$D$8:$D$54)</f>
        <v>M</v>
      </c>
      <c r="CE3" s="91">
        <f>_xlfn.XLOOKUP(CC1,QQP!$B$8:$B$54,QQP!$E$8:$E$54)</f>
        <v>100</v>
      </c>
      <c r="CF3" s="89"/>
      <c r="CG3" s="90" t="str">
        <f>_xlfn.XLOOKUP(CF1,QQP!$B$8:$B$54,QQP!$D$8:$D$54)</f>
        <v>UND</v>
      </c>
      <c r="CH3" s="91">
        <f>_xlfn.XLOOKUP(CF1,QQP!$B$8:$B$54,QQP!$E$8:$E$54)</f>
        <v>1</v>
      </c>
      <c r="CI3" s="89"/>
      <c r="CJ3" s="90" t="str">
        <f>_xlfn.XLOOKUP(CI1,QQP!$B$8:$B$54,QQP!$D$8:$D$54)</f>
        <v>UND</v>
      </c>
      <c r="CK3" s="91">
        <f>_xlfn.XLOOKUP(CI1,QQP!$B$8:$B$54,QQP!$E$8:$E$54)</f>
        <v>1</v>
      </c>
      <c r="CL3" s="89"/>
      <c r="CM3" s="90" t="str">
        <f>_xlfn.XLOOKUP(CL1,QQP!$B$8:$B$54,QQP!$D$8:$D$54)</f>
        <v>UND</v>
      </c>
      <c r="CN3" s="91">
        <f>_xlfn.XLOOKUP(CL1,QQP!$B$8:$B$54,QQP!$E$8:$E$54)</f>
        <v>1</v>
      </c>
      <c r="CO3" s="89"/>
      <c r="CP3" s="90" t="str">
        <f>_xlfn.XLOOKUP(CO1,QQP!$B$8:$B$54,QQP!$D$8:$D$54)</f>
        <v>UND</v>
      </c>
      <c r="CQ3" s="91">
        <f>_xlfn.XLOOKUP(CO1,QQP!$B$8:$B$54,QQP!$E$8:$E$54)</f>
        <v>1</v>
      </c>
      <c r="CR3" s="89"/>
      <c r="CS3" s="90" t="str">
        <f>_xlfn.XLOOKUP(CR1,QQP!$B$8:$B$54,QQP!$D$8:$D$54)</f>
        <v>VB</v>
      </c>
      <c r="CT3" s="91">
        <f>_xlfn.XLOOKUP(CR1,QQP!$B$8:$B$54,QQP!$E$8:$E$54)</f>
        <v>1</v>
      </c>
      <c r="CU3" s="89"/>
      <c r="CV3" s="90" t="str">
        <f>_xlfn.XLOOKUP(CU1,QQP!$B$8:$B$54,QQP!$D$8:$D$54)</f>
        <v>VB</v>
      </c>
      <c r="CW3" s="91">
        <f>_xlfn.XLOOKUP(CU1,QQP!$B$8:$B$54,QQP!$E$8:$E$54)</f>
        <v>1</v>
      </c>
      <c r="CX3" s="89"/>
      <c r="CY3" s="90" t="str">
        <f>_xlfn.XLOOKUP(CX1,QQP!$B$8:$B$54,QQP!$D$8:$D$54)</f>
        <v>VB</v>
      </c>
      <c r="CZ3" s="91">
        <f>_xlfn.XLOOKUP(CX1,QQP!$B$8:$B$54,QQP!$E$8:$E$54)</f>
        <v>1</v>
      </c>
      <c r="DA3" s="89"/>
      <c r="DB3" s="90" t="str">
        <f>_xlfn.XLOOKUP(DA1,QQP!$B$8:$B$54,QQP!$D$8:$D$54)</f>
        <v>VB</v>
      </c>
      <c r="DC3" s="91">
        <f>_xlfn.XLOOKUP(DA1,QQP!$B$8:$B$54,QQP!$E$8:$E$54)</f>
        <v>1</v>
      </c>
      <c r="DD3" s="89"/>
      <c r="DE3" s="90" t="str">
        <f>_xlfn.XLOOKUP(DD1,QQP!$B$8:$B$54,QQP!$D$8:$D$54)</f>
        <v>VB</v>
      </c>
      <c r="DF3" s="91">
        <f>_xlfn.XLOOKUP(DD1,QQP!$B$8:$B$54,QQP!$E$8:$E$54)</f>
        <v>1</v>
      </c>
      <c r="DG3" s="89"/>
      <c r="DH3" s="90" t="str">
        <f>_xlfn.XLOOKUP(DG1,QQP!$B$8:$B$54,QQP!$D$8:$D$54)</f>
        <v>VB</v>
      </c>
      <c r="DI3" s="91">
        <f>_xlfn.XLOOKUP(DG1,QQP!$B$8:$B$54,QQP!$E$8:$E$54)</f>
        <v>1</v>
      </c>
      <c r="DJ3" s="89"/>
      <c r="DK3" s="90" t="str">
        <f>_xlfn.XLOOKUP(DJ1,QQP!$B$8:$B$54,QQP!$D$8:$D$54)</f>
        <v>VB</v>
      </c>
      <c r="DL3" s="91">
        <f>_xlfn.XLOOKUP(DJ1,QQP!$B$8:$B$54,QQP!$E$8:$E$54)</f>
        <v>1</v>
      </c>
      <c r="DM3" s="89"/>
      <c r="DN3" s="90" t="str">
        <f>_xlfn.XLOOKUP(DM1,QQP!$B$8:$B$54,QQP!$D$8:$D$54)</f>
        <v>VB</v>
      </c>
      <c r="DO3" s="91">
        <f>_xlfn.XLOOKUP(DM1,QQP!$B$8:$B$54,QQP!$E$8:$E$54)</f>
        <v>1</v>
      </c>
      <c r="DP3" s="92"/>
      <c r="DQ3" s="711"/>
      <c r="DR3" s="712"/>
      <c r="DS3" s="93"/>
    </row>
    <row r="4" spans="2:127" ht="15.75" customHeight="1" thickBot="1">
      <c r="B4" s="450"/>
      <c r="C4" s="450"/>
      <c r="D4" s="450"/>
      <c r="E4" s="450"/>
      <c r="F4" s="94">
        <v>8</v>
      </c>
      <c r="G4" s="567">
        <v>20</v>
      </c>
      <c r="H4" s="567" t="s">
        <v>207</v>
      </c>
      <c r="I4" s="568">
        <v>8</v>
      </c>
      <c r="J4" s="567">
        <v>10</v>
      </c>
      <c r="K4" s="567" t="s">
        <v>207</v>
      </c>
      <c r="L4" s="568">
        <v>8</v>
      </c>
      <c r="M4" s="567">
        <v>10</v>
      </c>
      <c r="N4" s="567" t="s">
        <v>207</v>
      </c>
      <c r="O4" s="96">
        <v>8</v>
      </c>
      <c r="P4" s="95">
        <v>14</v>
      </c>
      <c r="Q4" s="95" t="s">
        <v>207</v>
      </c>
      <c r="R4" s="96">
        <v>8</v>
      </c>
      <c r="S4" s="95">
        <v>7</v>
      </c>
      <c r="T4" s="95" t="s">
        <v>207</v>
      </c>
      <c r="U4" s="96">
        <v>8</v>
      </c>
      <c r="V4" s="95">
        <v>3</v>
      </c>
      <c r="W4" s="95" t="s">
        <v>207</v>
      </c>
      <c r="X4" s="96">
        <v>8</v>
      </c>
      <c r="Y4" s="95">
        <v>10</v>
      </c>
      <c r="Z4" s="95" t="s">
        <v>207</v>
      </c>
      <c r="AA4" s="96">
        <v>8</v>
      </c>
      <c r="AB4" s="95">
        <v>5</v>
      </c>
      <c r="AC4" s="95" t="s">
        <v>207</v>
      </c>
      <c r="AD4" s="96">
        <v>8</v>
      </c>
      <c r="AE4" s="95">
        <v>5</v>
      </c>
      <c r="AF4" s="95" t="s">
        <v>207</v>
      </c>
      <c r="AG4" s="96">
        <v>8</v>
      </c>
      <c r="AH4" s="95">
        <v>5</v>
      </c>
      <c r="AI4" s="95" t="s">
        <v>207</v>
      </c>
      <c r="AJ4" s="96">
        <v>8</v>
      </c>
      <c r="AK4" s="95">
        <v>5</v>
      </c>
      <c r="AL4" s="95" t="s">
        <v>207</v>
      </c>
      <c r="AM4" s="96">
        <v>8</v>
      </c>
      <c r="AN4" s="95">
        <v>8</v>
      </c>
      <c r="AO4" s="95" t="s">
        <v>207</v>
      </c>
      <c r="AP4" s="96">
        <v>8.8000000000000007</v>
      </c>
      <c r="AQ4" s="95">
        <v>5</v>
      </c>
      <c r="AR4" s="95" t="s">
        <v>207</v>
      </c>
      <c r="AS4" s="96">
        <v>8.8000000000000007</v>
      </c>
      <c r="AT4" s="95">
        <v>5</v>
      </c>
      <c r="AU4" s="95" t="s">
        <v>207</v>
      </c>
      <c r="AV4" s="96">
        <v>8.8000000000000007</v>
      </c>
      <c r="AW4" s="95">
        <v>5</v>
      </c>
      <c r="AX4" s="95" t="s">
        <v>207</v>
      </c>
      <c r="AY4" s="96">
        <v>8.8000000000000007</v>
      </c>
      <c r="AZ4" s="95">
        <v>5</v>
      </c>
      <c r="BA4" s="95" t="s">
        <v>207</v>
      </c>
      <c r="BB4" s="96">
        <v>8.8000000000000007</v>
      </c>
      <c r="BC4" s="95">
        <v>5</v>
      </c>
      <c r="BD4" s="95" t="s">
        <v>207</v>
      </c>
      <c r="BE4" s="96">
        <v>8.8000000000000007</v>
      </c>
      <c r="BF4" s="95">
        <v>5</v>
      </c>
      <c r="BG4" s="95" t="s">
        <v>207</v>
      </c>
      <c r="BH4" s="96"/>
      <c r="BI4" s="95"/>
      <c r="BJ4" s="95"/>
      <c r="BK4" s="96"/>
      <c r="BL4" s="95"/>
      <c r="BM4" s="95"/>
      <c r="BN4" s="96">
        <v>8</v>
      </c>
      <c r="BO4" s="95">
        <v>2</v>
      </c>
      <c r="BP4" s="95" t="s">
        <v>207</v>
      </c>
      <c r="BQ4" s="96">
        <v>8</v>
      </c>
      <c r="BR4" s="95">
        <v>6</v>
      </c>
      <c r="BS4" s="95" t="s">
        <v>207</v>
      </c>
      <c r="BT4" s="96">
        <v>8</v>
      </c>
      <c r="BU4" s="95">
        <v>0.5</v>
      </c>
      <c r="BV4" s="95" t="s">
        <v>689</v>
      </c>
      <c r="BW4" s="96">
        <v>8</v>
      </c>
      <c r="BX4" s="95">
        <v>0.32</v>
      </c>
      <c r="BY4" s="95" t="s">
        <v>689</v>
      </c>
      <c r="BZ4" s="96">
        <v>8</v>
      </c>
      <c r="CA4" s="95">
        <v>0.56000000000000005</v>
      </c>
      <c r="CB4" s="95" t="s">
        <v>689</v>
      </c>
      <c r="CC4" s="96">
        <v>8</v>
      </c>
      <c r="CD4" s="95">
        <v>0.1</v>
      </c>
      <c r="CE4" s="95" t="s">
        <v>689</v>
      </c>
      <c r="CF4" s="96">
        <v>8</v>
      </c>
      <c r="CG4" s="95">
        <v>0.15</v>
      </c>
      <c r="CH4" s="95" t="s">
        <v>689</v>
      </c>
      <c r="CI4" s="96">
        <v>8</v>
      </c>
      <c r="CJ4" s="95">
        <v>0.05</v>
      </c>
      <c r="CK4" s="95" t="s">
        <v>689</v>
      </c>
      <c r="CL4" s="96">
        <v>8</v>
      </c>
      <c r="CM4" s="95">
        <v>7</v>
      </c>
      <c r="CN4" s="95" t="s">
        <v>207</v>
      </c>
      <c r="CO4" s="96">
        <v>8</v>
      </c>
      <c r="CP4" s="95">
        <v>3</v>
      </c>
      <c r="CQ4" s="95" t="s">
        <v>207</v>
      </c>
      <c r="CR4" s="96"/>
      <c r="CS4" s="95"/>
      <c r="CT4" s="95"/>
      <c r="CU4" s="96"/>
      <c r="CV4" s="95"/>
      <c r="CW4" s="95"/>
      <c r="CX4" s="96"/>
      <c r="CY4" s="95"/>
      <c r="CZ4" s="95"/>
      <c r="DA4" s="96"/>
      <c r="DB4" s="95"/>
      <c r="DC4" s="95"/>
      <c r="DD4" s="96">
        <v>8</v>
      </c>
      <c r="DE4" s="95">
        <v>2</v>
      </c>
      <c r="DF4" s="95" t="s">
        <v>207</v>
      </c>
      <c r="DG4" s="96">
        <v>8</v>
      </c>
      <c r="DH4" s="95">
        <v>1.5</v>
      </c>
      <c r="DI4" s="95" t="s">
        <v>207</v>
      </c>
      <c r="DJ4" s="96">
        <v>8</v>
      </c>
      <c r="DK4" s="95">
        <v>5</v>
      </c>
      <c r="DL4" s="95" t="s">
        <v>207</v>
      </c>
      <c r="DM4" s="96">
        <v>8</v>
      </c>
      <c r="DN4" s="95">
        <v>3</v>
      </c>
      <c r="DO4" s="95" t="s">
        <v>207</v>
      </c>
      <c r="DP4" s="92"/>
      <c r="DQ4" s="97"/>
      <c r="DR4" s="98"/>
      <c r="DS4" s="93"/>
    </row>
    <row r="5" spans="2:127" ht="21.9" customHeight="1" thickBot="1">
      <c r="B5" s="707" t="s">
        <v>94</v>
      </c>
      <c r="C5" s="708"/>
      <c r="D5" s="708"/>
      <c r="E5" s="709"/>
      <c r="F5" s="96"/>
      <c r="G5" s="96"/>
      <c r="H5" s="96"/>
      <c r="I5" s="96"/>
      <c r="J5" s="96"/>
      <c r="K5" s="96"/>
      <c r="L5" s="96"/>
      <c r="M5" s="96"/>
      <c r="N5" s="96"/>
      <c r="O5" s="96"/>
      <c r="P5" s="96"/>
      <c r="Q5" s="96"/>
      <c r="R5" s="96"/>
      <c r="S5" s="96"/>
      <c r="T5" s="96"/>
      <c r="U5" s="96"/>
      <c r="V5" s="96"/>
      <c r="W5" s="96"/>
      <c r="X5" s="96"/>
      <c r="Y5" s="96"/>
      <c r="Z5" s="96"/>
      <c r="AA5" s="96"/>
      <c r="AB5" s="96"/>
      <c r="AC5" s="96"/>
      <c r="AD5" s="96"/>
      <c r="AE5" s="96"/>
      <c r="AF5" s="96"/>
      <c r="AG5" s="96"/>
      <c r="AH5" s="96"/>
      <c r="AI5" s="96"/>
      <c r="AJ5" s="96"/>
      <c r="AK5" s="96"/>
      <c r="AL5" s="96"/>
      <c r="AM5" s="96"/>
      <c r="AN5" s="96"/>
      <c r="AO5" s="96"/>
      <c r="AP5" s="96"/>
      <c r="AQ5" s="96"/>
      <c r="AR5" s="96"/>
      <c r="AS5" s="96"/>
      <c r="AT5" s="96"/>
      <c r="AU5" s="96"/>
      <c r="AV5" s="96"/>
      <c r="AW5" s="96"/>
      <c r="AX5" s="96"/>
      <c r="AY5" s="96"/>
      <c r="AZ5" s="96"/>
      <c r="BA5" s="96"/>
      <c r="BB5" s="96"/>
      <c r="BC5" s="96"/>
      <c r="BD5" s="96"/>
      <c r="BE5" s="96"/>
      <c r="BF5" s="96"/>
      <c r="BG5" s="96"/>
      <c r="BH5" s="96"/>
      <c r="BI5" s="96"/>
      <c r="BJ5" s="96"/>
      <c r="BK5" s="96"/>
      <c r="BL5" s="96"/>
      <c r="BM5" s="96"/>
      <c r="BN5" s="96"/>
      <c r="BO5" s="96"/>
      <c r="BP5" s="96"/>
      <c r="BQ5" s="96"/>
      <c r="BR5" s="96"/>
      <c r="BS5" s="96"/>
      <c r="BT5" s="96"/>
      <c r="BU5" s="96"/>
      <c r="BV5" s="96"/>
      <c r="BW5" s="96"/>
      <c r="BX5" s="96"/>
      <c r="BY5" s="96"/>
      <c r="BZ5" s="96"/>
      <c r="CA5" s="96"/>
      <c r="CB5" s="96"/>
      <c r="CC5" s="96"/>
      <c r="CD5" s="96"/>
      <c r="CE5" s="96"/>
      <c r="CF5" s="96"/>
      <c r="CG5" s="96"/>
      <c r="CH5" s="96"/>
      <c r="CI5" s="96"/>
      <c r="CJ5" s="96"/>
      <c r="CK5" s="96"/>
      <c r="CL5" s="96"/>
      <c r="CM5" s="96"/>
      <c r="CN5" s="96"/>
      <c r="CO5" s="96"/>
      <c r="CP5" s="96"/>
      <c r="CQ5" s="96"/>
      <c r="CR5" s="96"/>
      <c r="CS5" s="96"/>
      <c r="CT5" s="96"/>
      <c r="CU5" s="96"/>
      <c r="CV5" s="96"/>
      <c r="CW5" s="96"/>
      <c r="CX5" s="96"/>
      <c r="CY5" s="96"/>
      <c r="CZ5" s="96"/>
      <c r="DA5" s="96"/>
      <c r="DB5" s="96"/>
      <c r="DC5" s="96"/>
      <c r="DD5" s="96"/>
      <c r="DE5" s="96"/>
      <c r="DF5" s="96"/>
      <c r="DG5" s="96"/>
      <c r="DH5" s="96"/>
      <c r="DI5" s="96"/>
      <c r="DJ5" s="96"/>
      <c r="DK5" s="96"/>
      <c r="DL5" s="96"/>
      <c r="DM5" s="96"/>
      <c r="DN5" s="96"/>
      <c r="DO5" s="96"/>
      <c r="DP5" s="99"/>
      <c r="DQ5" s="713"/>
      <c r="DR5" s="713"/>
      <c r="DS5" s="713"/>
    </row>
    <row r="6" spans="2:127" s="103" customFormat="1" ht="21.9" customHeight="1" thickBot="1">
      <c r="B6" s="197" t="s">
        <v>95</v>
      </c>
      <c r="C6" s="198" t="s">
        <v>96</v>
      </c>
      <c r="D6" s="199" t="s">
        <v>97</v>
      </c>
      <c r="E6" s="200" t="s">
        <v>98</v>
      </c>
      <c r="F6" s="197" t="s">
        <v>99</v>
      </c>
      <c r="G6" s="200" t="s">
        <v>100</v>
      </c>
      <c r="H6" s="201" t="s">
        <v>101</v>
      </c>
      <c r="I6" s="197" t="s">
        <v>99</v>
      </c>
      <c r="J6" s="200" t="s">
        <v>100</v>
      </c>
      <c r="K6" s="201" t="s">
        <v>101</v>
      </c>
      <c r="L6" s="197" t="s">
        <v>99</v>
      </c>
      <c r="M6" s="200" t="s">
        <v>100</v>
      </c>
      <c r="N6" s="201" t="s">
        <v>101</v>
      </c>
      <c r="O6" s="197" t="s">
        <v>99</v>
      </c>
      <c r="P6" s="200" t="s">
        <v>100</v>
      </c>
      <c r="Q6" s="201" t="s">
        <v>101</v>
      </c>
      <c r="R6" s="197" t="s">
        <v>99</v>
      </c>
      <c r="S6" s="200" t="s">
        <v>100</v>
      </c>
      <c r="T6" s="201" t="s">
        <v>101</v>
      </c>
      <c r="U6" s="197" t="s">
        <v>99</v>
      </c>
      <c r="V6" s="200" t="s">
        <v>100</v>
      </c>
      <c r="W6" s="201" t="s">
        <v>101</v>
      </c>
      <c r="X6" s="197" t="s">
        <v>99</v>
      </c>
      <c r="Y6" s="200" t="s">
        <v>100</v>
      </c>
      <c r="Z6" s="201" t="s">
        <v>101</v>
      </c>
      <c r="AA6" s="197" t="s">
        <v>99</v>
      </c>
      <c r="AB6" s="200" t="s">
        <v>100</v>
      </c>
      <c r="AC6" s="201" t="s">
        <v>101</v>
      </c>
      <c r="AD6" s="197" t="s">
        <v>99</v>
      </c>
      <c r="AE6" s="200" t="s">
        <v>100</v>
      </c>
      <c r="AF6" s="201" t="s">
        <v>101</v>
      </c>
      <c r="AG6" s="197" t="s">
        <v>99</v>
      </c>
      <c r="AH6" s="200" t="s">
        <v>100</v>
      </c>
      <c r="AI6" s="201" t="s">
        <v>101</v>
      </c>
      <c r="AJ6" s="197" t="s">
        <v>99</v>
      </c>
      <c r="AK6" s="200" t="s">
        <v>100</v>
      </c>
      <c r="AL6" s="201" t="s">
        <v>101</v>
      </c>
      <c r="AM6" s="197" t="s">
        <v>99</v>
      </c>
      <c r="AN6" s="200" t="s">
        <v>100</v>
      </c>
      <c r="AO6" s="201" t="s">
        <v>101</v>
      </c>
      <c r="AP6" s="197" t="s">
        <v>99</v>
      </c>
      <c r="AQ6" s="200" t="s">
        <v>100</v>
      </c>
      <c r="AR6" s="201" t="s">
        <v>101</v>
      </c>
      <c r="AS6" s="197" t="s">
        <v>99</v>
      </c>
      <c r="AT6" s="200" t="s">
        <v>100</v>
      </c>
      <c r="AU6" s="201" t="s">
        <v>101</v>
      </c>
      <c r="AV6" s="197" t="s">
        <v>99</v>
      </c>
      <c r="AW6" s="200" t="s">
        <v>100</v>
      </c>
      <c r="AX6" s="201" t="s">
        <v>101</v>
      </c>
      <c r="AY6" s="197" t="s">
        <v>99</v>
      </c>
      <c r="AZ6" s="200" t="s">
        <v>100</v>
      </c>
      <c r="BA6" s="201" t="s">
        <v>101</v>
      </c>
      <c r="BB6" s="197" t="s">
        <v>99</v>
      </c>
      <c r="BC6" s="200" t="s">
        <v>100</v>
      </c>
      <c r="BD6" s="201" t="s">
        <v>101</v>
      </c>
      <c r="BE6" s="197" t="s">
        <v>99</v>
      </c>
      <c r="BF6" s="200" t="s">
        <v>100</v>
      </c>
      <c r="BG6" s="201" t="s">
        <v>101</v>
      </c>
      <c r="BH6" s="197" t="s">
        <v>99</v>
      </c>
      <c r="BI6" s="200" t="s">
        <v>100</v>
      </c>
      <c r="BJ6" s="201" t="s">
        <v>101</v>
      </c>
      <c r="BK6" s="197" t="s">
        <v>99</v>
      </c>
      <c r="BL6" s="200" t="s">
        <v>100</v>
      </c>
      <c r="BM6" s="201" t="s">
        <v>101</v>
      </c>
      <c r="BN6" s="197" t="s">
        <v>99</v>
      </c>
      <c r="BO6" s="200" t="s">
        <v>100</v>
      </c>
      <c r="BP6" s="201" t="s">
        <v>101</v>
      </c>
      <c r="BQ6" s="197" t="s">
        <v>99</v>
      </c>
      <c r="BR6" s="200" t="s">
        <v>100</v>
      </c>
      <c r="BS6" s="201" t="s">
        <v>101</v>
      </c>
      <c r="BT6" s="197" t="s">
        <v>99</v>
      </c>
      <c r="BU6" s="200" t="s">
        <v>100</v>
      </c>
      <c r="BV6" s="201" t="s">
        <v>101</v>
      </c>
      <c r="BW6" s="197" t="s">
        <v>99</v>
      </c>
      <c r="BX6" s="200" t="s">
        <v>100</v>
      </c>
      <c r="BY6" s="201" t="s">
        <v>101</v>
      </c>
      <c r="BZ6" s="197" t="s">
        <v>99</v>
      </c>
      <c r="CA6" s="200" t="s">
        <v>100</v>
      </c>
      <c r="CB6" s="201" t="s">
        <v>101</v>
      </c>
      <c r="CC6" s="197" t="s">
        <v>99</v>
      </c>
      <c r="CD6" s="200" t="s">
        <v>100</v>
      </c>
      <c r="CE6" s="201" t="s">
        <v>101</v>
      </c>
      <c r="CF6" s="197" t="s">
        <v>99</v>
      </c>
      <c r="CG6" s="200" t="s">
        <v>100</v>
      </c>
      <c r="CH6" s="201" t="s">
        <v>101</v>
      </c>
      <c r="CI6" s="197" t="s">
        <v>99</v>
      </c>
      <c r="CJ6" s="200" t="s">
        <v>100</v>
      </c>
      <c r="CK6" s="201" t="s">
        <v>101</v>
      </c>
      <c r="CL6" s="197" t="s">
        <v>99</v>
      </c>
      <c r="CM6" s="200" t="s">
        <v>100</v>
      </c>
      <c r="CN6" s="201" t="s">
        <v>101</v>
      </c>
      <c r="CO6" s="197" t="s">
        <v>99</v>
      </c>
      <c r="CP6" s="200" t="s">
        <v>100</v>
      </c>
      <c r="CQ6" s="201" t="s">
        <v>101</v>
      </c>
      <c r="CR6" s="197" t="s">
        <v>99</v>
      </c>
      <c r="CS6" s="200" t="s">
        <v>100</v>
      </c>
      <c r="CT6" s="201" t="s">
        <v>101</v>
      </c>
      <c r="CU6" s="197" t="s">
        <v>99</v>
      </c>
      <c r="CV6" s="200" t="s">
        <v>100</v>
      </c>
      <c r="CW6" s="201" t="s">
        <v>101</v>
      </c>
      <c r="CX6" s="197" t="s">
        <v>99</v>
      </c>
      <c r="CY6" s="200" t="s">
        <v>100</v>
      </c>
      <c r="CZ6" s="201" t="s">
        <v>101</v>
      </c>
      <c r="DA6" s="197" t="s">
        <v>99</v>
      </c>
      <c r="DB6" s="200" t="s">
        <v>100</v>
      </c>
      <c r="DC6" s="201" t="s">
        <v>101</v>
      </c>
      <c r="DD6" s="197" t="s">
        <v>99</v>
      </c>
      <c r="DE6" s="200" t="s">
        <v>100</v>
      </c>
      <c r="DF6" s="201" t="s">
        <v>101</v>
      </c>
      <c r="DG6" s="197" t="s">
        <v>99</v>
      </c>
      <c r="DH6" s="200" t="s">
        <v>100</v>
      </c>
      <c r="DI6" s="201" t="s">
        <v>101</v>
      </c>
      <c r="DJ6" s="197" t="s">
        <v>99</v>
      </c>
      <c r="DK6" s="200" t="s">
        <v>100</v>
      </c>
      <c r="DL6" s="201" t="s">
        <v>101</v>
      </c>
      <c r="DM6" s="197" t="s">
        <v>99</v>
      </c>
      <c r="DN6" s="200" t="s">
        <v>100</v>
      </c>
      <c r="DO6" s="201" t="s">
        <v>101</v>
      </c>
      <c r="DP6" s="100"/>
      <c r="DQ6" s="197" t="s">
        <v>99</v>
      </c>
      <c r="DR6" s="200" t="s">
        <v>100</v>
      </c>
      <c r="DS6" s="201" t="s">
        <v>101</v>
      </c>
      <c r="DT6" s="101"/>
      <c r="DU6" s="102"/>
    </row>
    <row r="7" spans="2:127" s="86" customFormat="1" ht="21.9" customHeight="1" outlineLevel="1">
      <c r="B7" s="104" t="str">
        <f>MO!B3</f>
        <v>P01</v>
      </c>
      <c r="C7" s="569" t="str">
        <f>MO!C3</f>
        <v>Técnico SSMA</v>
      </c>
      <c r="D7" s="105" t="s">
        <v>208</v>
      </c>
      <c r="E7" s="106">
        <f>MO!I3</f>
        <v>30.027272727272727</v>
      </c>
      <c r="F7" s="107">
        <f>$F$4*$G$4</f>
        <v>160</v>
      </c>
      <c r="G7" s="108">
        <v>1</v>
      </c>
      <c r="H7" s="109">
        <f t="shared" ref="H7:H17" si="0">G7*F7*$E7</f>
        <v>4804.363636363636</v>
      </c>
      <c r="I7" s="107">
        <f>$I$4*$J$4</f>
        <v>80</v>
      </c>
      <c r="J7" s="108">
        <v>1</v>
      </c>
      <c r="K7" s="109">
        <f t="shared" ref="K7:K17" si="1">J7*I7*$E7</f>
        <v>2402.181818181818</v>
      </c>
      <c r="L7" s="107"/>
      <c r="M7" s="108"/>
      <c r="N7" s="109">
        <f t="shared" ref="N7:N17" si="2">M7*L7*$E7</f>
        <v>0</v>
      </c>
      <c r="O7" s="107"/>
      <c r="P7" s="108"/>
      <c r="Q7" s="109">
        <f t="shared" ref="Q7:Q15" si="3">P7*O7*$E7</f>
        <v>0</v>
      </c>
      <c r="R7" s="107"/>
      <c r="S7" s="108"/>
      <c r="T7" s="109">
        <f t="shared" ref="T7:T15" si="4">S7*R7*$E7</f>
        <v>0</v>
      </c>
      <c r="U7" s="107"/>
      <c r="V7" s="108"/>
      <c r="W7" s="109">
        <f t="shared" ref="W7:W15" si="5">V7*U7*$E7</f>
        <v>0</v>
      </c>
      <c r="X7" s="107"/>
      <c r="Y7" s="108"/>
      <c r="Z7" s="109">
        <f t="shared" ref="Z7:Z15" si="6">Y7*X7*$E7</f>
        <v>0</v>
      </c>
      <c r="AA7" s="107"/>
      <c r="AB7" s="108"/>
      <c r="AC7" s="109">
        <f t="shared" ref="AC7:AC15" si="7">AB7*AA7*$E7</f>
        <v>0</v>
      </c>
      <c r="AD7" s="107"/>
      <c r="AE7" s="108"/>
      <c r="AF7" s="109">
        <f t="shared" ref="AF7:AF15" si="8">AE7*AD7*$E7</f>
        <v>0</v>
      </c>
      <c r="AG7" s="107"/>
      <c r="AH7" s="108"/>
      <c r="AI7" s="109">
        <f t="shared" ref="AI7:AI15" si="9">AH7*AG7*$E7</f>
        <v>0</v>
      </c>
      <c r="AJ7" s="107"/>
      <c r="AK7" s="108"/>
      <c r="AL7" s="109">
        <f t="shared" ref="AL7:AL15" si="10">AK7*AJ7*$E7</f>
        <v>0</v>
      </c>
      <c r="AM7" s="107"/>
      <c r="AN7" s="108"/>
      <c r="AO7" s="109">
        <f t="shared" ref="AO7:AO15" si="11">AN7*AM7*$E7</f>
        <v>0</v>
      </c>
      <c r="AP7" s="107"/>
      <c r="AQ7" s="108"/>
      <c r="AR7" s="109">
        <f t="shared" ref="AR7:AR15" si="12">AQ7*AP7*$E7</f>
        <v>0</v>
      </c>
      <c r="AS7" s="107"/>
      <c r="AT7" s="108"/>
      <c r="AU7" s="109">
        <f t="shared" ref="AU7:AU15" si="13">AT7*AS7*$E7</f>
        <v>0</v>
      </c>
      <c r="AV7" s="107"/>
      <c r="AW7" s="108"/>
      <c r="AX7" s="109">
        <f t="shared" ref="AX7:AX15" si="14">AW7*AV7*$E7</f>
        <v>0</v>
      </c>
      <c r="AY7" s="107"/>
      <c r="AZ7" s="108"/>
      <c r="BA7" s="109">
        <f t="shared" ref="BA7:BA15" si="15">AZ7*AY7*$E7</f>
        <v>0</v>
      </c>
      <c r="BB7" s="107"/>
      <c r="BC7" s="108"/>
      <c r="BD7" s="109">
        <f t="shared" ref="BD7:BD15" si="16">BC7*BB7*$E7</f>
        <v>0</v>
      </c>
      <c r="BE7" s="107"/>
      <c r="BF7" s="108"/>
      <c r="BG7" s="109">
        <f t="shared" ref="BG7:BG15" si="17">BF7*BE7*$E7</f>
        <v>0</v>
      </c>
      <c r="BH7" s="107">
        <v>0.12</v>
      </c>
      <c r="BI7" s="116">
        <v>1</v>
      </c>
      <c r="BJ7" s="109">
        <f t="shared" ref="BJ7:BJ15" si="18">BI7*BH7*$E7</f>
        <v>3.603272727272727</v>
      </c>
      <c r="BK7" s="107">
        <v>1.26</v>
      </c>
      <c r="BL7" s="116">
        <v>1</v>
      </c>
      <c r="BM7" s="109">
        <f t="shared" ref="BM7:BM15" si="19">BL7*BK7*$E7</f>
        <v>37.834363636363634</v>
      </c>
      <c r="BN7" s="107">
        <f>$BN$4*$BO$4</f>
        <v>16</v>
      </c>
      <c r="BO7" s="116">
        <v>1</v>
      </c>
      <c r="BP7" s="109">
        <f t="shared" ref="BP7:BP15" si="20">BO7*BN7*$E7</f>
        <v>480.43636363636364</v>
      </c>
      <c r="BQ7" s="107">
        <f>$BQ$4*$BR$4</f>
        <v>48</v>
      </c>
      <c r="BR7" s="116">
        <v>1</v>
      </c>
      <c r="BS7" s="109">
        <f t="shared" ref="BS7:BS15" si="21">BR7*BQ7*$E7</f>
        <v>1441.3090909090909</v>
      </c>
      <c r="BT7" s="107">
        <f>$BT$4*$BU$4</f>
        <v>4</v>
      </c>
      <c r="BU7" s="116">
        <v>1</v>
      </c>
      <c r="BV7" s="109">
        <f t="shared" ref="BV7:BV15" si="22">BU7*BT7*$E7</f>
        <v>120.10909090909091</v>
      </c>
      <c r="BW7" s="107">
        <f>$BW$4*$BX$4</f>
        <v>2.56</v>
      </c>
      <c r="BX7" s="116">
        <v>1</v>
      </c>
      <c r="BY7" s="109">
        <f t="shared" ref="BY7:BY15" si="23">BX7*BW7*$E7</f>
        <v>76.869818181818189</v>
      </c>
      <c r="BZ7" s="107">
        <f>$BZ$4*$CA$4</f>
        <v>4.4800000000000004</v>
      </c>
      <c r="CA7" s="116">
        <v>1</v>
      </c>
      <c r="CB7" s="109">
        <f t="shared" ref="CB7:CB9" si="24">CA7*BZ7*$E7</f>
        <v>134.52218181818182</v>
      </c>
      <c r="CC7" s="107">
        <f>$CC$4*$CD$4</f>
        <v>0.8</v>
      </c>
      <c r="CD7" s="108">
        <v>1</v>
      </c>
      <c r="CE7" s="109">
        <f t="shared" ref="CE7:CE9" si="25">CD7*CC7*$E7</f>
        <v>24.021818181818183</v>
      </c>
      <c r="CF7" s="107">
        <f>$CF$4*$CG$4</f>
        <v>1.2</v>
      </c>
      <c r="CG7" s="108">
        <v>1</v>
      </c>
      <c r="CH7" s="109">
        <f t="shared" ref="CH7:CH9" si="26">CG7*CF7*$E7</f>
        <v>36.032727272727271</v>
      </c>
      <c r="CI7" s="107">
        <f>$CI$4*$CJ$4</f>
        <v>0.4</v>
      </c>
      <c r="CJ7" s="108">
        <v>1</v>
      </c>
      <c r="CK7" s="109">
        <f t="shared" ref="CK7:CK9" si="27">CJ7*CI7*$E7</f>
        <v>12.010909090909092</v>
      </c>
      <c r="CL7" s="107">
        <f>$CL$4*$CM$4</f>
        <v>56</v>
      </c>
      <c r="CM7" s="108">
        <v>1</v>
      </c>
      <c r="CN7" s="109">
        <f t="shared" ref="CN7:CN9" si="28">CM7*CL7*$E7</f>
        <v>1681.5272727272727</v>
      </c>
      <c r="CO7" s="107">
        <f>$CO$4*$CP$4</f>
        <v>24</v>
      </c>
      <c r="CP7" s="108">
        <v>1</v>
      </c>
      <c r="CQ7" s="109">
        <f t="shared" ref="CQ7:CQ9" si="29">CP7*CO7*$E7</f>
        <v>720.65454545454543</v>
      </c>
      <c r="CR7" s="107"/>
      <c r="CS7" s="108"/>
      <c r="CT7" s="109">
        <f t="shared" ref="CT7:CT9" si="30">CS7*CR7*$E7</f>
        <v>0</v>
      </c>
      <c r="CU7" s="107"/>
      <c r="CV7" s="108"/>
      <c r="CW7" s="109">
        <f t="shared" ref="CW7:CW9" si="31">CV7*CU7*$E7</f>
        <v>0</v>
      </c>
      <c r="CX7" s="107"/>
      <c r="CY7" s="108"/>
      <c r="CZ7" s="109">
        <f t="shared" ref="CZ7:CZ9" si="32">CY7*CX7*$E7</f>
        <v>0</v>
      </c>
      <c r="DA7" s="107"/>
      <c r="DB7" s="108"/>
      <c r="DC7" s="109">
        <f t="shared" ref="DC7:DC9" si="33">DB7*DA7*$E7</f>
        <v>0</v>
      </c>
      <c r="DD7" s="107">
        <f>$DD$4*$DE$4</f>
        <v>16</v>
      </c>
      <c r="DE7" s="108">
        <v>1</v>
      </c>
      <c r="DF7" s="109">
        <f t="shared" ref="DF7:DF9" si="34">DE7*DD7*$E7</f>
        <v>480.43636363636364</v>
      </c>
      <c r="DG7" s="107">
        <f>$DG$4*$DH$4</f>
        <v>12</v>
      </c>
      <c r="DH7" s="108">
        <v>1</v>
      </c>
      <c r="DI7" s="109">
        <f t="shared" ref="DI7:DI9" si="35">DH7*DG7*$E7</f>
        <v>360.32727272727271</v>
      </c>
      <c r="DJ7" s="107">
        <f>$DJ$4*$DK$4</f>
        <v>40</v>
      </c>
      <c r="DK7" s="108">
        <v>1</v>
      </c>
      <c r="DL7" s="109">
        <f t="shared" ref="DL7:DL9" si="36">DK7*DJ7*$E7</f>
        <v>1201.090909090909</v>
      </c>
      <c r="DM7" s="107">
        <f>$DM$4*$DN$4</f>
        <v>24</v>
      </c>
      <c r="DN7" s="108">
        <v>1</v>
      </c>
      <c r="DO7" s="109">
        <f t="shared" ref="DO7:DO9" si="37">DN7*DM7*$E7</f>
        <v>720.65454545454543</v>
      </c>
      <c r="DP7" s="100"/>
      <c r="DQ7" s="110"/>
      <c r="DR7" s="111"/>
      <c r="DS7" s="112">
        <f>($H$3*H7+$K$3*K7+$N$3*N7+$Q$3*Q7+$T$3*T7+$W$3*W7+$Z$3*Z7+$AC$3*AC7+$AF$3*AF7+$AI$3*AI7+$AL$3*AL7+$AO$3*AO7+$AR$3*AR7+$AU$3*AU7+$AX$3*AX7+$BA$3*BA7+$BD$3*BD7+$BG$3*BG7+$BJ$3*BJ7+$BM$3*BM7+$BP$3*BP7+$BS$3*BS7+$BV$3*BV7+$BY$3*BY7+$CB$3*CB7+$CE$3*CE7+$CH$3*CH7+$CK$3*CK7+$CN$3*CN7+$CQ$3*CQ7+$CT$3*CT7+$CW$3*CW7+$CZ$3*CZ7+$DC$3*DC7+$DF$3*DF7+$DI$3*DI7+$DL$3*DL7+$DO$3*DO7)</f>
        <v>17472.87</v>
      </c>
      <c r="DT7" s="113">
        <f t="shared" ref="DT7:DT15" si="38">DS7/$DS$130</f>
        <v>3.5329604113162917E-2</v>
      </c>
      <c r="DU7" s="114"/>
    </row>
    <row r="8" spans="2:127" s="86" customFormat="1" ht="21.9" customHeight="1" outlineLevel="1">
      <c r="B8" s="104" t="str">
        <f>MO!B4</f>
        <v>P02</v>
      </c>
      <c r="C8" s="569" t="str">
        <f>MO!C4</f>
        <v>Eletricista de força e controle</v>
      </c>
      <c r="D8" s="105" t="s">
        <v>208</v>
      </c>
      <c r="E8" s="106">
        <f>MO!I4</f>
        <v>35.639369999999992</v>
      </c>
      <c r="F8" s="107">
        <f>$F$4*$G$4</f>
        <v>160</v>
      </c>
      <c r="G8" s="108">
        <v>1</v>
      </c>
      <c r="H8" s="109">
        <f t="shared" si="0"/>
        <v>5702.2991999999986</v>
      </c>
      <c r="I8" s="107">
        <f>$I$4*$J$4</f>
        <v>80</v>
      </c>
      <c r="J8" s="108">
        <v>1</v>
      </c>
      <c r="K8" s="109">
        <f t="shared" si="1"/>
        <v>2851.1495999999993</v>
      </c>
      <c r="L8" s="107"/>
      <c r="M8" s="116"/>
      <c r="N8" s="109">
        <f t="shared" si="2"/>
        <v>0</v>
      </c>
      <c r="O8" s="107"/>
      <c r="P8" s="116"/>
      <c r="Q8" s="109">
        <f t="shared" si="3"/>
        <v>0</v>
      </c>
      <c r="R8" s="107"/>
      <c r="S8" s="116"/>
      <c r="T8" s="109">
        <f t="shared" si="4"/>
        <v>0</v>
      </c>
      <c r="U8" s="107"/>
      <c r="V8" s="116"/>
      <c r="W8" s="109">
        <f t="shared" si="5"/>
        <v>0</v>
      </c>
      <c r="X8" s="107"/>
      <c r="Y8" s="116"/>
      <c r="Z8" s="109">
        <f t="shared" si="6"/>
        <v>0</v>
      </c>
      <c r="AA8" s="107"/>
      <c r="AB8" s="116"/>
      <c r="AC8" s="109">
        <f t="shared" si="7"/>
        <v>0</v>
      </c>
      <c r="AD8" s="107"/>
      <c r="AE8" s="116"/>
      <c r="AF8" s="109">
        <f t="shared" si="8"/>
        <v>0</v>
      </c>
      <c r="AG8" s="107"/>
      <c r="AH8" s="116"/>
      <c r="AI8" s="109">
        <f t="shared" si="9"/>
        <v>0</v>
      </c>
      <c r="AJ8" s="107"/>
      <c r="AK8" s="116"/>
      <c r="AL8" s="109">
        <f t="shared" si="10"/>
        <v>0</v>
      </c>
      <c r="AM8" s="107"/>
      <c r="AN8" s="116"/>
      <c r="AO8" s="109">
        <f t="shared" si="11"/>
        <v>0</v>
      </c>
      <c r="AP8" s="107"/>
      <c r="AQ8" s="116"/>
      <c r="AR8" s="109">
        <f t="shared" si="12"/>
        <v>0</v>
      </c>
      <c r="AS8" s="107"/>
      <c r="AT8" s="116"/>
      <c r="AU8" s="109">
        <f t="shared" si="13"/>
        <v>0</v>
      </c>
      <c r="AV8" s="107"/>
      <c r="AW8" s="116"/>
      <c r="AX8" s="109">
        <f t="shared" si="14"/>
        <v>0</v>
      </c>
      <c r="AY8" s="107"/>
      <c r="AZ8" s="116"/>
      <c r="BA8" s="109">
        <f t="shared" si="15"/>
        <v>0</v>
      </c>
      <c r="BB8" s="107"/>
      <c r="BC8" s="116"/>
      <c r="BD8" s="109">
        <f t="shared" si="16"/>
        <v>0</v>
      </c>
      <c r="BE8" s="107"/>
      <c r="BF8" s="116"/>
      <c r="BG8" s="109">
        <f t="shared" si="17"/>
        <v>0</v>
      </c>
      <c r="BH8" s="107">
        <v>0.12</v>
      </c>
      <c r="BI8" s="116">
        <v>1</v>
      </c>
      <c r="BJ8" s="109">
        <f t="shared" si="18"/>
        <v>4.2767243999999991</v>
      </c>
      <c r="BK8" s="107">
        <v>1.26</v>
      </c>
      <c r="BL8" s="116">
        <v>1</v>
      </c>
      <c r="BM8" s="109">
        <f t="shared" si="19"/>
        <v>44.905606199999994</v>
      </c>
      <c r="BN8" s="107">
        <f>$BN$4*$BO$4</f>
        <v>16</v>
      </c>
      <c r="BO8" s="116">
        <v>1</v>
      </c>
      <c r="BP8" s="109">
        <f t="shared" si="20"/>
        <v>570.22991999999988</v>
      </c>
      <c r="BQ8" s="107">
        <f>$BQ$4*$BR$4</f>
        <v>48</v>
      </c>
      <c r="BR8" s="116">
        <v>1</v>
      </c>
      <c r="BS8" s="109">
        <f t="shared" si="21"/>
        <v>1710.6897599999998</v>
      </c>
      <c r="BT8" s="107">
        <f>$BT$4*$BU$4</f>
        <v>4</v>
      </c>
      <c r="BU8" s="116">
        <v>1</v>
      </c>
      <c r="BV8" s="109">
        <f t="shared" si="22"/>
        <v>142.55747999999997</v>
      </c>
      <c r="BW8" s="107">
        <f>$BW$4*$BX$4</f>
        <v>2.56</v>
      </c>
      <c r="BX8" s="116">
        <v>1</v>
      </c>
      <c r="BY8" s="109">
        <f t="shared" si="23"/>
        <v>91.236787199999981</v>
      </c>
      <c r="BZ8" s="107">
        <f>$BZ$4*$CA$4</f>
        <v>4.4800000000000004</v>
      </c>
      <c r="CA8" s="116">
        <v>1</v>
      </c>
      <c r="CB8" s="109">
        <f t="shared" si="24"/>
        <v>159.66437759999999</v>
      </c>
      <c r="CC8" s="107">
        <f>$CC$4*$CD$4</f>
        <v>0.8</v>
      </c>
      <c r="CD8" s="108">
        <v>1</v>
      </c>
      <c r="CE8" s="109">
        <f t="shared" si="25"/>
        <v>28.511495999999994</v>
      </c>
      <c r="CF8" s="107">
        <f>$CF$4*$CG$4</f>
        <v>1.2</v>
      </c>
      <c r="CG8" s="108">
        <v>1</v>
      </c>
      <c r="CH8" s="109">
        <f t="shared" si="26"/>
        <v>42.767243999999991</v>
      </c>
      <c r="CI8" s="107">
        <f>$CI$4*$CJ$4</f>
        <v>0.4</v>
      </c>
      <c r="CJ8" s="108">
        <v>1</v>
      </c>
      <c r="CK8" s="109">
        <f t="shared" si="27"/>
        <v>14.255747999999997</v>
      </c>
      <c r="CL8" s="107">
        <f>$CL$4*$CM$4</f>
        <v>56</v>
      </c>
      <c r="CM8" s="108">
        <v>1</v>
      </c>
      <c r="CN8" s="109">
        <f t="shared" si="28"/>
        <v>1995.8047199999996</v>
      </c>
      <c r="CO8" s="107">
        <f>$CO$4*$CP$4</f>
        <v>24</v>
      </c>
      <c r="CP8" s="108">
        <v>1</v>
      </c>
      <c r="CQ8" s="109">
        <f t="shared" si="29"/>
        <v>855.34487999999988</v>
      </c>
      <c r="CR8" s="107"/>
      <c r="CS8" s="116"/>
      <c r="CT8" s="109">
        <f t="shared" si="30"/>
        <v>0</v>
      </c>
      <c r="CU8" s="107"/>
      <c r="CV8" s="116"/>
      <c r="CW8" s="109">
        <f t="shared" si="31"/>
        <v>0</v>
      </c>
      <c r="CX8" s="107"/>
      <c r="CY8" s="116"/>
      <c r="CZ8" s="109">
        <f t="shared" si="32"/>
        <v>0</v>
      </c>
      <c r="DA8" s="107"/>
      <c r="DB8" s="116"/>
      <c r="DC8" s="109">
        <f t="shared" si="33"/>
        <v>0</v>
      </c>
      <c r="DD8" s="107"/>
      <c r="DE8" s="116"/>
      <c r="DF8" s="109">
        <f t="shared" si="34"/>
        <v>0</v>
      </c>
      <c r="DG8" s="107"/>
      <c r="DH8" s="116"/>
      <c r="DI8" s="109">
        <f t="shared" si="35"/>
        <v>0</v>
      </c>
      <c r="DJ8" s="107"/>
      <c r="DK8" s="116"/>
      <c r="DL8" s="109">
        <f t="shared" si="36"/>
        <v>0</v>
      </c>
      <c r="DM8" s="107"/>
      <c r="DN8" s="116"/>
      <c r="DO8" s="109">
        <f t="shared" si="37"/>
        <v>0</v>
      </c>
      <c r="DP8" s="117"/>
      <c r="DQ8" s="110"/>
      <c r="DR8" s="111"/>
      <c r="DS8" s="112">
        <f t="shared" ref="DS8:DS20" si="39">($H$3*H8+$K$3*K8+$N$3*N8+$Q$3*Q8+$T$3*T8+$W$3*W8+$Z$3*Z8+$AC$3*AC8+$AF$3*AF8+$AI$3*AI8+$AL$3*AL8+$AO$3*AO8+$AR$3*AR8+$AU$3*AU8+$AX$3*AX8+$BA$3*BA8+$BD$3*BD8+$BG$3*BG8+$BJ$3*BJ8+$BM$3*BM8+$BP$3*BP8+$BS$3*BS8+$BV$3*BV8+$BY$3*BY8+$CB$3*CB8+$CE$3*CE8+$CH$3*CH8+$CK$3*CK8+$CN$3*CN8+$CQ$3*CQ8+$CT$3*CT8+$CW$3*CW8+$CZ$3*CZ8+$DC$3*DC8+$DF$3*DF8+$DI$3*DI8+$DL$3*DL8+$DO$3*DO8)</f>
        <v>17459.727362999995</v>
      </c>
      <c r="DT8" s="113">
        <f t="shared" si="38"/>
        <v>3.5303030106590833E-2</v>
      </c>
    </row>
    <row r="9" spans="2:127" s="86" customFormat="1" ht="21.9" customHeight="1" outlineLevel="1">
      <c r="B9" s="104" t="str">
        <f>MO!B5</f>
        <v>P03</v>
      </c>
      <c r="C9" s="569" t="str">
        <f>MO!C5</f>
        <v>Ajudante de elétrica</v>
      </c>
      <c r="D9" s="105" t="s">
        <v>208</v>
      </c>
      <c r="E9" s="106">
        <f>MO!I5</f>
        <v>21.211866000000001</v>
      </c>
      <c r="F9" s="107">
        <f>$F$4*$G$4</f>
        <v>160</v>
      </c>
      <c r="G9" s="108">
        <v>2</v>
      </c>
      <c r="H9" s="109">
        <f t="shared" si="0"/>
        <v>6787.7971200000002</v>
      </c>
      <c r="I9" s="107">
        <f>$I$4*$J$4</f>
        <v>80</v>
      </c>
      <c r="J9" s="108">
        <v>2</v>
      </c>
      <c r="K9" s="109">
        <f t="shared" si="1"/>
        <v>3393.8985600000001</v>
      </c>
      <c r="L9" s="107"/>
      <c r="M9" s="108"/>
      <c r="N9" s="109">
        <f t="shared" si="2"/>
        <v>0</v>
      </c>
      <c r="O9" s="107"/>
      <c r="P9" s="108"/>
      <c r="Q9" s="109">
        <f t="shared" si="3"/>
        <v>0</v>
      </c>
      <c r="R9" s="107"/>
      <c r="S9" s="108"/>
      <c r="T9" s="109">
        <f t="shared" si="4"/>
        <v>0</v>
      </c>
      <c r="U9" s="107"/>
      <c r="V9" s="108"/>
      <c r="W9" s="109">
        <f t="shared" si="5"/>
        <v>0</v>
      </c>
      <c r="X9" s="107"/>
      <c r="Y9" s="108"/>
      <c r="Z9" s="109">
        <f t="shared" si="6"/>
        <v>0</v>
      </c>
      <c r="AA9" s="107"/>
      <c r="AB9" s="108"/>
      <c r="AC9" s="109">
        <f t="shared" si="7"/>
        <v>0</v>
      </c>
      <c r="AD9" s="107"/>
      <c r="AE9" s="108"/>
      <c r="AF9" s="109">
        <f t="shared" si="8"/>
        <v>0</v>
      </c>
      <c r="AG9" s="107"/>
      <c r="AH9" s="108"/>
      <c r="AI9" s="109">
        <f t="shared" si="9"/>
        <v>0</v>
      </c>
      <c r="AJ9" s="107"/>
      <c r="AK9" s="108"/>
      <c r="AL9" s="109">
        <f t="shared" si="10"/>
        <v>0</v>
      </c>
      <c r="AM9" s="107"/>
      <c r="AN9" s="108"/>
      <c r="AO9" s="109">
        <f t="shared" si="11"/>
        <v>0</v>
      </c>
      <c r="AP9" s="107"/>
      <c r="AQ9" s="108"/>
      <c r="AR9" s="109">
        <f t="shared" si="12"/>
        <v>0</v>
      </c>
      <c r="AS9" s="107"/>
      <c r="AT9" s="108"/>
      <c r="AU9" s="109">
        <f t="shared" si="13"/>
        <v>0</v>
      </c>
      <c r="AV9" s="107"/>
      <c r="AW9" s="108"/>
      <c r="AX9" s="109">
        <f t="shared" si="14"/>
        <v>0</v>
      </c>
      <c r="AY9" s="107"/>
      <c r="AZ9" s="108"/>
      <c r="BA9" s="109">
        <f t="shared" si="15"/>
        <v>0</v>
      </c>
      <c r="BB9" s="107"/>
      <c r="BC9" s="108"/>
      <c r="BD9" s="109">
        <f t="shared" si="16"/>
        <v>0</v>
      </c>
      <c r="BE9" s="107"/>
      <c r="BF9" s="108"/>
      <c r="BG9" s="109">
        <f t="shared" si="17"/>
        <v>0</v>
      </c>
      <c r="BH9" s="107">
        <v>0.12</v>
      </c>
      <c r="BI9" s="108">
        <v>1</v>
      </c>
      <c r="BJ9" s="109">
        <f t="shared" si="18"/>
        <v>2.5454239200000002</v>
      </c>
      <c r="BK9" s="107">
        <v>1.26</v>
      </c>
      <c r="BL9" s="108">
        <v>1</v>
      </c>
      <c r="BM9" s="109">
        <f t="shared" si="19"/>
        <v>26.726951160000002</v>
      </c>
      <c r="BN9" s="107">
        <f>$BN$4*$BO$4</f>
        <v>16</v>
      </c>
      <c r="BO9" s="108">
        <v>1</v>
      </c>
      <c r="BP9" s="109">
        <f t="shared" si="20"/>
        <v>339.38985600000001</v>
      </c>
      <c r="BQ9" s="107">
        <f>$BQ$4*$BR$4</f>
        <v>48</v>
      </c>
      <c r="BR9" s="116">
        <v>1</v>
      </c>
      <c r="BS9" s="109">
        <f t="shared" si="21"/>
        <v>1018.169568</v>
      </c>
      <c r="BT9" s="107">
        <f>$BT$4*$BU$4</f>
        <v>4</v>
      </c>
      <c r="BU9" s="116">
        <v>1</v>
      </c>
      <c r="BV9" s="109">
        <f t="shared" si="22"/>
        <v>84.847464000000002</v>
      </c>
      <c r="BW9" s="107">
        <f>$BW$4*$BX$4</f>
        <v>2.56</v>
      </c>
      <c r="BX9" s="116">
        <v>1</v>
      </c>
      <c r="BY9" s="109">
        <f t="shared" si="23"/>
        <v>54.302376960000004</v>
      </c>
      <c r="BZ9" s="107">
        <f>$BZ$4*$CA$4</f>
        <v>4.4800000000000004</v>
      </c>
      <c r="CA9" s="116">
        <v>1</v>
      </c>
      <c r="CB9" s="109">
        <f t="shared" si="24"/>
        <v>95.029159680000006</v>
      </c>
      <c r="CC9" s="107">
        <f>$CC$4*$CD$4</f>
        <v>0.8</v>
      </c>
      <c r="CD9" s="108">
        <v>1</v>
      </c>
      <c r="CE9" s="109">
        <f t="shared" si="25"/>
        <v>16.969492800000001</v>
      </c>
      <c r="CF9" s="107">
        <f>$CF$4*$CG$4</f>
        <v>1.2</v>
      </c>
      <c r="CG9" s="108">
        <v>1</v>
      </c>
      <c r="CH9" s="109">
        <f t="shared" si="26"/>
        <v>25.4542392</v>
      </c>
      <c r="CI9" s="107">
        <f>$CI$4*$CJ$4</f>
        <v>0.4</v>
      </c>
      <c r="CJ9" s="108">
        <v>1</v>
      </c>
      <c r="CK9" s="109">
        <f t="shared" si="27"/>
        <v>8.4847464000000006</v>
      </c>
      <c r="CL9" s="107">
        <f>$CL$4*$CM$4</f>
        <v>56</v>
      </c>
      <c r="CM9" s="108">
        <v>1</v>
      </c>
      <c r="CN9" s="109">
        <f t="shared" si="28"/>
        <v>1187.8644960000001</v>
      </c>
      <c r="CO9" s="107">
        <f>$CO$4*$CP$4</f>
        <v>24</v>
      </c>
      <c r="CP9" s="108">
        <v>1</v>
      </c>
      <c r="CQ9" s="109">
        <f t="shared" si="29"/>
        <v>509.08478400000001</v>
      </c>
      <c r="CR9" s="107"/>
      <c r="CS9" s="108"/>
      <c r="CT9" s="109">
        <f t="shared" si="30"/>
        <v>0</v>
      </c>
      <c r="CU9" s="107"/>
      <c r="CV9" s="108"/>
      <c r="CW9" s="109">
        <f t="shared" si="31"/>
        <v>0</v>
      </c>
      <c r="CX9" s="107"/>
      <c r="CY9" s="108"/>
      <c r="CZ9" s="109">
        <f t="shared" si="32"/>
        <v>0</v>
      </c>
      <c r="DA9" s="107"/>
      <c r="DB9" s="108"/>
      <c r="DC9" s="109">
        <f t="shared" si="33"/>
        <v>0</v>
      </c>
      <c r="DD9" s="107"/>
      <c r="DE9" s="108"/>
      <c r="DF9" s="109">
        <f t="shared" si="34"/>
        <v>0</v>
      </c>
      <c r="DG9" s="107"/>
      <c r="DH9" s="108"/>
      <c r="DI9" s="109">
        <f t="shared" si="35"/>
        <v>0</v>
      </c>
      <c r="DJ9" s="107"/>
      <c r="DK9" s="108"/>
      <c r="DL9" s="109">
        <f t="shared" si="36"/>
        <v>0</v>
      </c>
      <c r="DM9" s="107"/>
      <c r="DN9" s="108"/>
      <c r="DO9" s="109">
        <f t="shared" si="37"/>
        <v>0</v>
      </c>
      <c r="DP9" s="100"/>
      <c r="DQ9" s="110"/>
      <c r="DR9" s="111"/>
      <c r="DS9" s="112">
        <f t="shared" si="39"/>
        <v>15482.540993400002</v>
      </c>
      <c r="DT9" s="113">
        <f t="shared" si="38"/>
        <v>3.1305220262191513E-2</v>
      </c>
      <c r="DU9" s="114"/>
      <c r="DW9" s="118"/>
    </row>
    <row r="10" spans="2:127" s="86" customFormat="1" ht="21.9" customHeight="1" outlineLevel="1">
      <c r="B10" s="104" t="str">
        <f>MO!B6</f>
        <v>P04</v>
      </c>
      <c r="C10" s="569" t="str">
        <f>MO!C6</f>
        <v>Engenheiro eletricista</v>
      </c>
      <c r="D10" s="105" t="s">
        <v>208</v>
      </c>
      <c r="E10" s="106">
        <f>MO!I6</f>
        <v>122.13092727272728</v>
      </c>
      <c r="F10" s="107"/>
      <c r="G10" s="108"/>
      <c r="H10" s="109">
        <f t="shared" si="0"/>
        <v>0</v>
      </c>
      <c r="I10" s="107"/>
      <c r="J10" s="108"/>
      <c r="K10" s="109">
        <f t="shared" si="1"/>
        <v>0</v>
      </c>
      <c r="L10" s="107"/>
      <c r="M10" s="116"/>
      <c r="N10" s="109">
        <f t="shared" si="2"/>
        <v>0</v>
      </c>
      <c r="O10" s="107">
        <f>$O$4*$P$4</f>
        <v>112</v>
      </c>
      <c r="P10" s="108">
        <v>1</v>
      </c>
      <c r="Q10" s="109">
        <f t="shared" si="3"/>
        <v>13678.663854545455</v>
      </c>
      <c r="R10" s="107">
        <f>$R$4*$S$4</f>
        <v>56</v>
      </c>
      <c r="S10" s="108">
        <v>1</v>
      </c>
      <c r="T10" s="109">
        <f t="shared" si="4"/>
        <v>6839.3319272727276</v>
      </c>
      <c r="U10" s="107">
        <f>$U$4*$V$4</f>
        <v>24</v>
      </c>
      <c r="V10" s="108">
        <v>1</v>
      </c>
      <c r="W10" s="109">
        <f t="shared" si="5"/>
        <v>2931.1422545454548</v>
      </c>
      <c r="X10" s="107"/>
      <c r="Y10" s="108"/>
      <c r="Z10" s="109">
        <f t="shared" si="6"/>
        <v>0</v>
      </c>
      <c r="AA10" s="107">
        <f>$AA$4*$AB$4</f>
        <v>40</v>
      </c>
      <c r="AB10" s="108">
        <v>0.4</v>
      </c>
      <c r="AC10" s="109">
        <f t="shared" si="7"/>
        <v>1954.0948363636364</v>
      </c>
      <c r="AD10" s="107">
        <f>$AD$4*$AE$4</f>
        <v>40</v>
      </c>
      <c r="AE10" s="108">
        <v>0.5</v>
      </c>
      <c r="AF10" s="109">
        <f t="shared" si="8"/>
        <v>2442.6185454545457</v>
      </c>
      <c r="AG10" s="107">
        <f>$AG$4*$AH$4</f>
        <v>40</v>
      </c>
      <c r="AH10" s="108">
        <v>0.1</v>
      </c>
      <c r="AI10" s="109">
        <f t="shared" si="9"/>
        <v>488.52370909090911</v>
      </c>
      <c r="AJ10" s="107">
        <f>$AJ$4*$AK$4</f>
        <v>40</v>
      </c>
      <c r="AK10" s="108">
        <v>0.55000000000000004</v>
      </c>
      <c r="AL10" s="109">
        <f t="shared" si="10"/>
        <v>2686.8804</v>
      </c>
      <c r="AM10" s="107">
        <f>$AM$4*$AN$4</f>
        <v>64</v>
      </c>
      <c r="AN10" s="108">
        <v>0.55000000000000004</v>
      </c>
      <c r="AO10" s="109">
        <f t="shared" si="11"/>
        <v>4299.0086400000009</v>
      </c>
      <c r="AP10" s="107"/>
      <c r="AQ10" s="108"/>
      <c r="AR10" s="109">
        <f t="shared" si="12"/>
        <v>0</v>
      </c>
      <c r="AS10" s="107"/>
      <c r="AT10" s="108"/>
      <c r="AU10" s="109">
        <f t="shared" si="13"/>
        <v>0</v>
      </c>
      <c r="AV10" s="107"/>
      <c r="AW10" s="108"/>
      <c r="AX10" s="109">
        <f t="shared" si="14"/>
        <v>0</v>
      </c>
      <c r="AY10" s="107"/>
      <c r="AZ10" s="108"/>
      <c r="BA10" s="109">
        <f t="shared" si="15"/>
        <v>0</v>
      </c>
      <c r="BB10" s="107"/>
      <c r="BC10" s="108"/>
      <c r="BD10" s="109">
        <f t="shared" si="16"/>
        <v>0</v>
      </c>
      <c r="BE10" s="107"/>
      <c r="BF10" s="108"/>
      <c r="BG10" s="109">
        <f t="shared" si="17"/>
        <v>0</v>
      </c>
      <c r="BH10" s="107"/>
      <c r="BI10" s="108"/>
      <c r="BJ10" s="109">
        <f t="shared" si="18"/>
        <v>0</v>
      </c>
      <c r="BK10" s="107"/>
      <c r="BL10" s="108"/>
      <c r="BM10" s="109">
        <f t="shared" si="19"/>
        <v>0</v>
      </c>
      <c r="BN10" s="107">
        <v>0.15</v>
      </c>
      <c r="BO10" s="108">
        <v>1</v>
      </c>
      <c r="BP10" s="109">
        <f t="shared" si="20"/>
        <v>18.319639090909092</v>
      </c>
      <c r="BQ10" s="107"/>
      <c r="BR10" s="108"/>
      <c r="BS10" s="109">
        <f t="shared" si="21"/>
        <v>0</v>
      </c>
      <c r="BT10" s="107"/>
      <c r="BU10" s="108"/>
      <c r="BV10" s="109">
        <f t="shared" si="22"/>
        <v>0</v>
      </c>
      <c r="BW10" s="107"/>
      <c r="BX10" s="108"/>
      <c r="BY10" s="109">
        <f t="shared" si="23"/>
        <v>0</v>
      </c>
      <c r="BZ10" s="107"/>
      <c r="CA10" s="108"/>
      <c r="CB10" s="109">
        <f t="shared" ref="CB10:CB20" si="40">CA10*BZ10*$E10</f>
        <v>0</v>
      </c>
      <c r="CC10" s="107"/>
      <c r="CD10" s="108"/>
      <c r="CE10" s="109">
        <f t="shared" ref="CE10:CE20" si="41">CD10*CC10*$E10</f>
        <v>0</v>
      </c>
      <c r="CF10" s="107"/>
      <c r="CG10" s="108"/>
      <c r="CH10" s="109">
        <f t="shared" ref="CH10:CH20" si="42">CG10*CF10*$E10</f>
        <v>0</v>
      </c>
      <c r="CI10" s="107"/>
      <c r="CJ10" s="108"/>
      <c r="CK10" s="109">
        <f t="shared" ref="CK10:CK20" si="43">CJ10*CI10*$E10</f>
        <v>0</v>
      </c>
      <c r="CL10" s="107">
        <f>$CL$4*$CM$4/5</f>
        <v>11.2</v>
      </c>
      <c r="CM10" s="108">
        <v>1</v>
      </c>
      <c r="CN10" s="109">
        <f t="shared" ref="CN10:CN20" si="44">CM10*CL10*$E10</f>
        <v>1367.8663854545455</v>
      </c>
      <c r="CO10" s="107"/>
      <c r="CP10" s="108"/>
      <c r="CQ10" s="109">
        <f t="shared" ref="CQ10:CQ20" si="45">CP10*CO10*$E10</f>
        <v>0</v>
      </c>
      <c r="CR10" s="107"/>
      <c r="CS10" s="108"/>
      <c r="CT10" s="109">
        <f t="shared" ref="CT10:CT20" si="46">CS10*CR10*$E10</f>
        <v>0</v>
      </c>
      <c r="CU10" s="107"/>
      <c r="CV10" s="108"/>
      <c r="CW10" s="109">
        <f t="shared" ref="CW10:CW20" si="47">CV10*CU10*$E10</f>
        <v>0</v>
      </c>
      <c r="CX10" s="107"/>
      <c r="CY10" s="108"/>
      <c r="CZ10" s="109">
        <f t="shared" ref="CZ10:CZ20" si="48">CY10*CX10*$E10</f>
        <v>0</v>
      </c>
      <c r="DA10" s="107"/>
      <c r="DB10" s="108"/>
      <c r="DC10" s="109">
        <f t="shared" ref="DC10:DC20" si="49">DB10*DA10*$E10</f>
        <v>0</v>
      </c>
      <c r="DD10" s="107"/>
      <c r="DE10" s="108"/>
      <c r="DF10" s="109">
        <f t="shared" ref="DF10:DF20" si="50">DE10*DD10*$E10</f>
        <v>0</v>
      </c>
      <c r="DG10" s="107"/>
      <c r="DH10" s="108"/>
      <c r="DI10" s="109">
        <f t="shared" ref="DI10:DI20" si="51">DH10*DG10*$E10</f>
        <v>0</v>
      </c>
      <c r="DJ10" s="107"/>
      <c r="DK10" s="108"/>
      <c r="DL10" s="109">
        <f t="shared" ref="DL10:DL20" si="52">DK10*DJ10*$E10</f>
        <v>0</v>
      </c>
      <c r="DM10" s="107"/>
      <c r="DN10" s="108"/>
      <c r="DO10" s="109">
        <f t="shared" ref="DO10:DO20" si="53">DN10*DM10*$E10</f>
        <v>0</v>
      </c>
      <c r="DP10" s="100"/>
      <c r="DQ10" s="110"/>
      <c r="DR10" s="111"/>
      <c r="DS10" s="112">
        <f t="shared" si="39"/>
        <v>36706.450191818185</v>
      </c>
      <c r="DT10" s="113">
        <f t="shared" si="38"/>
        <v>7.4219309917401638E-2</v>
      </c>
    </row>
    <row r="11" spans="2:127" s="86" customFormat="1" ht="27.6" outlineLevel="1">
      <c r="B11" s="104" t="str">
        <f>MO!B7</f>
        <v>P05</v>
      </c>
      <c r="C11" s="571" t="str">
        <f>MO!C7</f>
        <v>Engenheiro mecânico - Especialista em estruturas metálicas</v>
      </c>
      <c r="D11" s="105" t="s">
        <v>208</v>
      </c>
      <c r="E11" s="106">
        <f>MO!I7</f>
        <v>122.13092727272728</v>
      </c>
      <c r="F11" s="107"/>
      <c r="G11" s="108"/>
      <c r="H11" s="109">
        <f t="shared" ref="H11" si="54">G11*F11*$E11</f>
        <v>0</v>
      </c>
      <c r="I11" s="107"/>
      <c r="J11" s="108"/>
      <c r="K11" s="109">
        <f t="shared" ref="K11" si="55">J11*I11*$E11</f>
        <v>0</v>
      </c>
      <c r="L11" s="107"/>
      <c r="M11" s="116"/>
      <c r="N11" s="109">
        <f t="shared" ref="N11" si="56">M11*L11*$E11</f>
        <v>0</v>
      </c>
      <c r="O11" s="107"/>
      <c r="P11" s="108"/>
      <c r="Q11" s="109">
        <f t="shared" si="3"/>
        <v>0</v>
      </c>
      <c r="R11" s="107"/>
      <c r="S11" s="108"/>
      <c r="T11" s="109">
        <f t="shared" si="4"/>
        <v>0</v>
      </c>
      <c r="U11" s="107">
        <f>$U$4*$V$4</f>
        <v>24</v>
      </c>
      <c r="V11" s="108">
        <v>1</v>
      </c>
      <c r="W11" s="109">
        <f t="shared" si="5"/>
        <v>2931.1422545454548</v>
      </c>
      <c r="X11" s="107"/>
      <c r="Y11" s="108"/>
      <c r="Z11" s="109">
        <f t="shared" si="6"/>
        <v>0</v>
      </c>
      <c r="AA11" s="107">
        <f>$AA$4*$AB$4</f>
        <v>40</v>
      </c>
      <c r="AB11" s="108">
        <v>0.6</v>
      </c>
      <c r="AC11" s="109">
        <f t="shared" si="7"/>
        <v>2931.1422545454548</v>
      </c>
      <c r="AD11" s="107">
        <f>$AD$4*$AE$4</f>
        <v>40</v>
      </c>
      <c r="AE11" s="108">
        <v>0.5</v>
      </c>
      <c r="AF11" s="109">
        <f t="shared" si="8"/>
        <v>2442.6185454545457</v>
      </c>
      <c r="AG11" s="107">
        <f>$AG$4*$AH$4</f>
        <v>40</v>
      </c>
      <c r="AH11" s="108">
        <v>0.9</v>
      </c>
      <c r="AI11" s="109">
        <f t="shared" si="9"/>
        <v>4396.7133818181819</v>
      </c>
      <c r="AJ11" s="107">
        <f>$AJ$4*$AK$4</f>
        <v>40</v>
      </c>
      <c r="AK11" s="108">
        <v>0.45</v>
      </c>
      <c r="AL11" s="109">
        <f t="shared" si="10"/>
        <v>2198.356690909091</v>
      </c>
      <c r="AM11" s="107">
        <f>$AM$4*$AN$4</f>
        <v>64</v>
      </c>
      <c r="AN11" s="108">
        <v>0.45</v>
      </c>
      <c r="AO11" s="109">
        <f t="shared" si="11"/>
        <v>3517.3707054545457</v>
      </c>
      <c r="AP11" s="107"/>
      <c r="AQ11" s="108"/>
      <c r="AR11" s="109">
        <f t="shared" si="12"/>
        <v>0</v>
      </c>
      <c r="AS11" s="107"/>
      <c r="AT11" s="108"/>
      <c r="AU11" s="109">
        <f t="shared" si="13"/>
        <v>0</v>
      </c>
      <c r="AV11" s="107"/>
      <c r="AW11" s="108"/>
      <c r="AX11" s="109">
        <f t="shared" si="14"/>
        <v>0</v>
      </c>
      <c r="AY11" s="107"/>
      <c r="AZ11" s="108"/>
      <c r="BA11" s="109">
        <f t="shared" si="15"/>
        <v>0</v>
      </c>
      <c r="BB11" s="107"/>
      <c r="BC11" s="108"/>
      <c r="BD11" s="109">
        <f t="shared" si="16"/>
        <v>0</v>
      </c>
      <c r="BE11" s="107"/>
      <c r="BF11" s="108"/>
      <c r="BG11" s="109">
        <f t="shared" si="17"/>
        <v>0</v>
      </c>
      <c r="BH11" s="107"/>
      <c r="BI11" s="108"/>
      <c r="BJ11" s="109">
        <f t="shared" si="18"/>
        <v>0</v>
      </c>
      <c r="BK11" s="107"/>
      <c r="BL11" s="108"/>
      <c r="BM11" s="109">
        <f t="shared" si="19"/>
        <v>0</v>
      </c>
      <c r="BN11" s="107">
        <v>0.15</v>
      </c>
      <c r="BO11" s="108">
        <v>1</v>
      </c>
      <c r="BP11" s="109">
        <f t="shared" si="20"/>
        <v>18.319639090909092</v>
      </c>
      <c r="BQ11" s="107"/>
      <c r="BR11" s="108"/>
      <c r="BS11" s="109">
        <f t="shared" si="21"/>
        <v>0</v>
      </c>
      <c r="BT11" s="107"/>
      <c r="BU11" s="108"/>
      <c r="BV11" s="109">
        <f t="shared" si="22"/>
        <v>0</v>
      </c>
      <c r="BW11" s="107"/>
      <c r="BX11" s="108"/>
      <c r="BY11" s="109">
        <f t="shared" si="23"/>
        <v>0</v>
      </c>
      <c r="BZ11" s="107"/>
      <c r="CA11" s="108"/>
      <c r="CB11" s="109">
        <f t="shared" si="40"/>
        <v>0</v>
      </c>
      <c r="CC11" s="107"/>
      <c r="CD11" s="108"/>
      <c r="CE11" s="109">
        <f t="shared" si="41"/>
        <v>0</v>
      </c>
      <c r="CF11" s="107"/>
      <c r="CG11" s="108"/>
      <c r="CH11" s="109">
        <f t="shared" si="42"/>
        <v>0</v>
      </c>
      <c r="CI11" s="107"/>
      <c r="CJ11" s="108"/>
      <c r="CK11" s="109">
        <f t="shared" si="43"/>
        <v>0</v>
      </c>
      <c r="CL11" s="107">
        <f>$CL$4*$CM$4/5</f>
        <v>11.2</v>
      </c>
      <c r="CM11" s="108">
        <v>1</v>
      </c>
      <c r="CN11" s="109">
        <f t="shared" si="44"/>
        <v>1367.8663854545455</v>
      </c>
      <c r="CO11" s="107"/>
      <c r="CP11" s="108"/>
      <c r="CQ11" s="109">
        <f t="shared" si="45"/>
        <v>0</v>
      </c>
      <c r="CR11" s="107"/>
      <c r="CS11" s="108"/>
      <c r="CT11" s="109">
        <f t="shared" si="46"/>
        <v>0</v>
      </c>
      <c r="CU11" s="107"/>
      <c r="CV11" s="108"/>
      <c r="CW11" s="109">
        <f t="shared" si="47"/>
        <v>0</v>
      </c>
      <c r="CX11" s="107"/>
      <c r="CY11" s="108"/>
      <c r="CZ11" s="109">
        <f t="shared" si="48"/>
        <v>0</v>
      </c>
      <c r="DA11" s="107"/>
      <c r="DB11" s="108"/>
      <c r="DC11" s="109">
        <f t="shared" si="49"/>
        <v>0</v>
      </c>
      <c r="DD11" s="107"/>
      <c r="DE11" s="108"/>
      <c r="DF11" s="109">
        <f t="shared" si="50"/>
        <v>0</v>
      </c>
      <c r="DG11" s="107"/>
      <c r="DH11" s="108"/>
      <c r="DI11" s="109">
        <f t="shared" si="51"/>
        <v>0</v>
      </c>
      <c r="DJ11" s="107"/>
      <c r="DK11" s="108"/>
      <c r="DL11" s="109">
        <f t="shared" si="52"/>
        <v>0</v>
      </c>
      <c r="DM11" s="107"/>
      <c r="DN11" s="108"/>
      <c r="DO11" s="109">
        <f t="shared" si="53"/>
        <v>0</v>
      </c>
      <c r="DP11" s="100"/>
      <c r="DQ11" s="110"/>
      <c r="DR11" s="111"/>
      <c r="DS11" s="112">
        <f t="shared" si="39"/>
        <v>19803.52985727273</v>
      </c>
      <c r="DT11" s="113">
        <f t="shared" si="38"/>
        <v>4.0042126445206043E-2</v>
      </c>
    </row>
    <row r="12" spans="2:127" s="86" customFormat="1" ht="21.9" customHeight="1" outlineLevel="1">
      <c r="B12" s="104" t="str">
        <f>MO!B8</f>
        <v>P06</v>
      </c>
      <c r="C12" s="569" t="str">
        <f>MO!C8</f>
        <v>Projetista (Cadista)</v>
      </c>
      <c r="D12" s="105" t="s">
        <v>208</v>
      </c>
      <c r="E12" s="106">
        <f>MO!I8</f>
        <v>28.525909090909089</v>
      </c>
      <c r="F12" s="107"/>
      <c r="G12" s="108"/>
      <c r="H12" s="109">
        <f t="shared" si="0"/>
        <v>0</v>
      </c>
      <c r="I12" s="107"/>
      <c r="J12" s="116"/>
      <c r="K12" s="109">
        <f t="shared" si="1"/>
        <v>0</v>
      </c>
      <c r="L12" s="107"/>
      <c r="M12" s="116"/>
      <c r="N12" s="109">
        <f t="shared" si="2"/>
        <v>0</v>
      </c>
      <c r="O12" s="107">
        <f>$O$4*$P$4</f>
        <v>112</v>
      </c>
      <c r="P12" s="108">
        <v>1</v>
      </c>
      <c r="Q12" s="109">
        <f t="shared" si="3"/>
        <v>3194.9018181818178</v>
      </c>
      <c r="R12" s="107">
        <f>$R$4*$S$4</f>
        <v>56</v>
      </c>
      <c r="S12" s="108">
        <v>1</v>
      </c>
      <c r="T12" s="109">
        <f t="shared" si="4"/>
        <v>1597.4509090909089</v>
      </c>
      <c r="U12" s="107"/>
      <c r="V12" s="116"/>
      <c r="W12" s="109">
        <f t="shared" si="5"/>
        <v>0</v>
      </c>
      <c r="X12" s="107"/>
      <c r="Y12" s="116"/>
      <c r="Z12" s="109">
        <f t="shared" si="6"/>
        <v>0</v>
      </c>
      <c r="AA12" s="107"/>
      <c r="AB12" s="116"/>
      <c r="AC12" s="109">
        <f t="shared" si="7"/>
        <v>0</v>
      </c>
      <c r="AD12" s="107"/>
      <c r="AE12" s="116"/>
      <c r="AF12" s="109">
        <f t="shared" si="8"/>
        <v>0</v>
      </c>
      <c r="AG12" s="107"/>
      <c r="AH12" s="116"/>
      <c r="AI12" s="109">
        <f t="shared" si="9"/>
        <v>0</v>
      </c>
      <c r="AJ12" s="107"/>
      <c r="AK12" s="116"/>
      <c r="AL12" s="109">
        <f t="shared" si="10"/>
        <v>0</v>
      </c>
      <c r="AM12" s="107">
        <f>$AM$4*$AN$4</f>
        <v>64</v>
      </c>
      <c r="AN12" s="108">
        <v>0.25</v>
      </c>
      <c r="AO12" s="109">
        <f t="shared" si="11"/>
        <v>456.41454545454542</v>
      </c>
      <c r="AP12" s="107"/>
      <c r="AQ12" s="116"/>
      <c r="AR12" s="109">
        <f t="shared" si="12"/>
        <v>0</v>
      </c>
      <c r="AS12" s="107"/>
      <c r="AT12" s="116"/>
      <c r="AU12" s="109">
        <f t="shared" si="13"/>
        <v>0</v>
      </c>
      <c r="AV12" s="107"/>
      <c r="AW12" s="116"/>
      <c r="AX12" s="109">
        <f t="shared" si="14"/>
        <v>0</v>
      </c>
      <c r="AY12" s="107"/>
      <c r="AZ12" s="116"/>
      <c r="BA12" s="109">
        <f t="shared" si="15"/>
        <v>0</v>
      </c>
      <c r="BB12" s="107"/>
      <c r="BC12" s="116"/>
      <c r="BD12" s="109">
        <f t="shared" si="16"/>
        <v>0</v>
      </c>
      <c r="BE12" s="107"/>
      <c r="BF12" s="116"/>
      <c r="BG12" s="109">
        <f t="shared" si="17"/>
        <v>0</v>
      </c>
      <c r="BH12" s="107"/>
      <c r="BI12" s="116"/>
      <c r="BJ12" s="109">
        <f t="shared" si="18"/>
        <v>0</v>
      </c>
      <c r="BK12" s="107"/>
      <c r="BL12" s="116"/>
      <c r="BM12" s="109">
        <f t="shared" si="19"/>
        <v>0</v>
      </c>
      <c r="BN12" s="107">
        <v>0.15</v>
      </c>
      <c r="BO12" s="116">
        <v>1</v>
      </c>
      <c r="BP12" s="109">
        <f t="shared" si="20"/>
        <v>4.2788863636363628</v>
      </c>
      <c r="BQ12" s="107"/>
      <c r="BR12" s="116"/>
      <c r="BS12" s="109">
        <f t="shared" si="21"/>
        <v>0</v>
      </c>
      <c r="BT12" s="107"/>
      <c r="BU12" s="116"/>
      <c r="BV12" s="109">
        <f t="shared" si="22"/>
        <v>0</v>
      </c>
      <c r="BW12" s="107"/>
      <c r="BX12" s="116"/>
      <c r="BY12" s="109">
        <f t="shared" si="23"/>
        <v>0</v>
      </c>
      <c r="BZ12" s="107"/>
      <c r="CA12" s="108"/>
      <c r="CB12" s="109">
        <f t="shared" si="40"/>
        <v>0</v>
      </c>
      <c r="CC12" s="107"/>
      <c r="CD12" s="108"/>
      <c r="CE12" s="109">
        <f t="shared" si="41"/>
        <v>0</v>
      </c>
      <c r="CF12" s="107"/>
      <c r="CG12" s="108"/>
      <c r="CH12" s="109">
        <f t="shared" si="42"/>
        <v>0</v>
      </c>
      <c r="CI12" s="107"/>
      <c r="CJ12" s="108"/>
      <c r="CK12" s="109">
        <f t="shared" si="43"/>
        <v>0</v>
      </c>
      <c r="CL12" s="107"/>
      <c r="CM12" s="108"/>
      <c r="CN12" s="109">
        <f t="shared" si="44"/>
        <v>0</v>
      </c>
      <c r="CO12" s="107"/>
      <c r="CP12" s="108"/>
      <c r="CQ12" s="109">
        <f t="shared" si="45"/>
        <v>0</v>
      </c>
      <c r="CR12" s="107"/>
      <c r="CS12" s="108"/>
      <c r="CT12" s="109">
        <f t="shared" si="46"/>
        <v>0</v>
      </c>
      <c r="CU12" s="107"/>
      <c r="CV12" s="108"/>
      <c r="CW12" s="109">
        <f t="shared" si="47"/>
        <v>0</v>
      </c>
      <c r="CX12" s="107"/>
      <c r="CY12" s="108"/>
      <c r="CZ12" s="109">
        <f t="shared" si="48"/>
        <v>0</v>
      </c>
      <c r="DA12" s="107"/>
      <c r="DB12" s="108"/>
      <c r="DC12" s="109">
        <f t="shared" si="49"/>
        <v>0</v>
      </c>
      <c r="DD12" s="107"/>
      <c r="DE12" s="108"/>
      <c r="DF12" s="109">
        <f t="shared" si="50"/>
        <v>0</v>
      </c>
      <c r="DG12" s="107"/>
      <c r="DH12" s="108"/>
      <c r="DI12" s="109">
        <f t="shared" si="51"/>
        <v>0</v>
      </c>
      <c r="DJ12" s="107"/>
      <c r="DK12" s="108"/>
      <c r="DL12" s="109">
        <f t="shared" si="52"/>
        <v>0</v>
      </c>
      <c r="DM12" s="107"/>
      <c r="DN12" s="108"/>
      <c r="DO12" s="109">
        <f t="shared" si="53"/>
        <v>0</v>
      </c>
      <c r="DP12" s="117"/>
      <c r="DQ12" s="110"/>
      <c r="DR12" s="111"/>
      <c r="DS12" s="112">
        <f t="shared" si="39"/>
        <v>5253.0461590909081</v>
      </c>
      <c r="DT12" s="113">
        <f t="shared" si="38"/>
        <v>1.0621497280575704E-2</v>
      </c>
    </row>
    <row r="13" spans="2:127" s="86" customFormat="1" ht="21.9" customHeight="1" outlineLevel="1">
      <c r="B13" s="104" t="str">
        <f>MO!B9</f>
        <v>P07</v>
      </c>
      <c r="C13" s="569" t="str">
        <f>MO!C9</f>
        <v>Alpinista industrial (Montador de andaime)</v>
      </c>
      <c r="D13" s="105" t="s">
        <v>208</v>
      </c>
      <c r="E13" s="106">
        <f>MO!I9</f>
        <v>34.667187000000006</v>
      </c>
      <c r="F13" s="107">
        <f>$F$4*$G$4</f>
        <v>160</v>
      </c>
      <c r="G13" s="108">
        <v>1</v>
      </c>
      <c r="H13" s="109">
        <f t="shared" si="0"/>
        <v>5546.7499200000011</v>
      </c>
      <c r="I13" s="107">
        <f>$I$4*$J$4</f>
        <v>80</v>
      </c>
      <c r="J13" s="108">
        <v>1</v>
      </c>
      <c r="K13" s="109">
        <f t="shared" si="1"/>
        <v>2773.3749600000006</v>
      </c>
      <c r="L13" s="107"/>
      <c r="M13" s="116"/>
      <c r="N13" s="109">
        <f t="shared" si="2"/>
        <v>0</v>
      </c>
      <c r="O13" s="107"/>
      <c r="P13" s="116"/>
      <c r="Q13" s="109">
        <f t="shared" si="3"/>
        <v>0</v>
      </c>
      <c r="R13" s="107"/>
      <c r="S13" s="116"/>
      <c r="T13" s="109">
        <f t="shared" si="4"/>
        <v>0</v>
      </c>
      <c r="U13" s="107"/>
      <c r="V13" s="116"/>
      <c r="W13" s="109">
        <f t="shared" si="5"/>
        <v>0</v>
      </c>
      <c r="X13" s="107"/>
      <c r="Y13" s="116"/>
      <c r="Z13" s="109">
        <f t="shared" si="6"/>
        <v>0</v>
      </c>
      <c r="AA13" s="107"/>
      <c r="AB13" s="116"/>
      <c r="AC13" s="109">
        <f t="shared" si="7"/>
        <v>0</v>
      </c>
      <c r="AD13" s="107"/>
      <c r="AE13" s="116"/>
      <c r="AF13" s="109">
        <f t="shared" si="8"/>
        <v>0</v>
      </c>
      <c r="AG13" s="107"/>
      <c r="AH13" s="116"/>
      <c r="AI13" s="109">
        <f t="shared" si="9"/>
        <v>0</v>
      </c>
      <c r="AJ13" s="107"/>
      <c r="AK13" s="116"/>
      <c r="AL13" s="109">
        <f t="shared" si="10"/>
        <v>0</v>
      </c>
      <c r="AM13" s="107"/>
      <c r="AN13" s="116"/>
      <c r="AO13" s="109">
        <f t="shared" si="11"/>
        <v>0</v>
      </c>
      <c r="AP13" s="107"/>
      <c r="AQ13" s="116"/>
      <c r="AR13" s="109">
        <f t="shared" si="12"/>
        <v>0</v>
      </c>
      <c r="AS13" s="107"/>
      <c r="AT13" s="116"/>
      <c r="AU13" s="109">
        <f t="shared" si="13"/>
        <v>0</v>
      </c>
      <c r="AV13" s="107"/>
      <c r="AW13" s="116"/>
      <c r="AX13" s="109">
        <f t="shared" si="14"/>
        <v>0</v>
      </c>
      <c r="AY13" s="107"/>
      <c r="AZ13" s="116"/>
      <c r="BA13" s="109">
        <f t="shared" si="15"/>
        <v>0</v>
      </c>
      <c r="BB13" s="107"/>
      <c r="BC13" s="116"/>
      <c r="BD13" s="109">
        <f t="shared" si="16"/>
        <v>0</v>
      </c>
      <c r="BE13" s="107"/>
      <c r="BF13" s="116"/>
      <c r="BG13" s="109">
        <f t="shared" si="17"/>
        <v>0</v>
      </c>
      <c r="BH13" s="107"/>
      <c r="BI13" s="116"/>
      <c r="BJ13" s="109">
        <f t="shared" si="18"/>
        <v>0</v>
      </c>
      <c r="BK13" s="107"/>
      <c r="BL13" s="116"/>
      <c r="BM13" s="109">
        <f t="shared" si="19"/>
        <v>0</v>
      </c>
      <c r="BN13" s="107">
        <f>$BN$4*$BO$4</f>
        <v>16</v>
      </c>
      <c r="BO13" s="116">
        <v>1</v>
      </c>
      <c r="BP13" s="109">
        <f t="shared" si="20"/>
        <v>554.67499200000009</v>
      </c>
      <c r="BQ13" s="107">
        <f>$BQ$4*$BR$4</f>
        <v>48</v>
      </c>
      <c r="BR13" s="116">
        <v>1</v>
      </c>
      <c r="BS13" s="109">
        <f t="shared" si="21"/>
        <v>1664.0249760000002</v>
      </c>
      <c r="BT13" s="107"/>
      <c r="BU13" s="116"/>
      <c r="BV13" s="109">
        <f t="shared" si="22"/>
        <v>0</v>
      </c>
      <c r="BW13" s="107"/>
      <c r="BX13" s="116"/>
      <c r="BY13" s="109">
        <f t="shared" si="23"/>
        <v>0</v>
      </c>
      <c r="BZ13" s="107"/>
      <c r="CA13" s="108"/>
      <c r="CB13" s="109">
        <f t="shared" si="40"/>
        <v>0</v>
      </c>
      <c r="CC13" s="107"/>
      <c r="CD13" s="108"/>
      <c r="CE13" s="109">
        <f t="shared" si="41"/>
        <v>0</v>
      </c>
      <c r="CF13" s="107"/>
      <c r="CG13" s="108"/>
      <c r="CH13" s="109">
        <f t="shared" si="42"/>
        <v>0</v>
      </c>
      <c r="CI13" s="107"/>
      <c r="CJ13" s="108"/>
      <c r="CK13" s="109">
        <f t="shared" si="43"/>
        <v>0</v>
      </c>
      <c r="CL13" s="107"/>
      <c r="CM13" s="108"/>
      <c r="CN13" s="109">
        <f t="shared" si="44"/>
        <v>0</v>
      </c>
      <c r="CO13" s="107"/>
      <c r="CP13" s="108"/>
      <c r="CQ13" s="109">
        <f t="shared" si="45"/>
        <v>0</v>
      </c>
      <c r="CR13" s="107"/>
      <c r="CS13" s="108"/>
      <c r="CT13" s="109">
        <f t="shared" si="46"/>
        <v>0</v>
      </c>
      <c r="CU13" s="107"/>
      <c r="CV13" s="108"/>
      <c r="CW13" s="109">
        <f t="shared" si="47"/>
        <v>0</v>
      </c>
      <c r="CX13" s="107"/>
      <c r="CY13" s="108"/>
      <c r="CZ13" s="109">
        <f t="shared" si="48"/>
        <v>0</v>
      </c>
      <c r="DA13" s="107"/>
      <c r="DB13" s="108"/>
      <c r="DC13" s="109">
        <f t="shared" si="49"/>
        <v>0</v>
      </c>
      <c r="DD13" s="107">
        <f>$DD$4*$DE$4</f>
        <v>16</v>
      </c>
      <c r="DE13" s="108">
        <v>1</v>
      </c>
      <c r="DF13" s="109">
        <f t="shared" si="50"/>
        <v>554.67499200000009</v>
      </c>
      <c r="DG13" s="107">
        <f>$DG$4*$DH$4</f>
        <v>12</v>
      </c>
      <c r="DH13" s="108">
        <v>1</v>
      </c>
      <c r="DI13" s="109">
        <f t="shared" si="51"/>
        <v>416.00624400000004</v>
      </c>
      <c r="DJ13" s="107">
        <f>$DJ$4*$DK$4</f>
        <v>40</v>
      </c>
      <c r="DK13" s="108">
        <v>1</v>
      </c>
      <c r="DL13" s="109">
        <f t="shared" si="52"/>
        <v>1386.6874800000003</v>
      </c>
      <c r="DM13" s="107">
        <f>$DM$4*$DN$4</f>
        <v>24</v>
      </c>
      <c r="DN13" s="108">
        <v>1</v>
      </c>
      <c r="DO13" s="109">
        <f t="shared" si="53"/>
        <v>832.01248800000008</v>
      </c>
      <c r="DP13" s="117"/>
      <c r="DQ13" s="110"/>
      <c r="DR13" s="111"/>
      <c r="DS13" s="112">
        <f t="shared" si="39"/>
        <v>13728.206052000003</v>
      </c>
      <c r="DT13" s="113">
        <f t="shared" si="38"/>
        <v>2.7758009130788894E-2</v>
      </c>
    </row>
    <row r="14" spans="2:127" s="86" customFormat="1" ht="21.9" customHeight="1" outlineLevel="1">
      <c r="B14" s="104" t="str">
        <f>MO!B10</f>
        <v>P08</v>
      </c>
      <c r="C14" s="569" t="str">
        <f>MO!C10</f>
        <v>Encarregado de elétrica ou andaimes</v>
      </c>
      <c r="D14" s="105" t="s">
        <v>208</v>
      </c>
      <c r="E14" s="106">
        <f>MO!I10</f>
        <v>42.538636363636364</v>
      </c>
      <c r="F14" s="107">
        <f>$F$4*$G$4</f>
        <v>160</v>
      </c>
      <c r="G14" s="108">
        <v>1</v>
      </c>
      <c r="H14" s="109">
        <f t="shared" si="0"/>
        <v>6806.181818181818</v>
      </c>
      <c r="I14" s="107">
        <f>$I$4*$J$4</f>
        <v>80</v>
      </c>
      <c r="J14" s="108">
        <v>1</v>
      </c>
      <c r="K14" s="109">
        <f t="shared" si="1"/>
        <v>3403.090909090909</v>
      </c>
      <c r="L14" s="107"/>
      <c r="M14" s="116"/>
      <c r="N14" s="109">
        <f t="shared" si="2"/>
        <v>0</v>
      </c>
      <c r="O14" s="107"/>
      <c r="P14" s="116"/>
      <c r="Q14" s="109">
        <f t="shared" si="3"/>
        <v>0</v>
      </c>
      <c r="R14" s="107"/>
      <c r="S14" s="116"/>
      <c r="T14" s="109">
        <f t="shared" si="4"/>
        <v>0</v>
      </c>
      <c r="U14" s="107"/>
      <c r="V14" s="116"/>
      <c r="W14" s="109">
        <f t="shared" si="5"/>
        <v>0</v>
      </c>
      <c r="X14" s="107"/>
      <c r="Y14" s="116"/>
      <c r="Z14" s="109">
        <f t="shared" si="6"/>
        <v>0</v>
      </c>
      <c r="AA14" s="107"/>
      <c r="AB14" s="116"/>
      <c r="AC14" s="109">
        <f t="shared" si="7"/>
        <v>0</v>
      </c>
      <c r="AD14" s="107"/>
      <c r="AE14" s="116"/>
      <c r="AF14" s="109">
        <f t="shared" si="8"/>
        <v>0</v>
      </c>
      <c r="AG14" s="107"/>
      <c r="AH14" s="116"/>
      <c r="AI14" s="109">
        <f t="shared" si="9"/>
        <v>0</v>
      </c>
      <c r="AJ14" s="107"/>
      <c r="AK14" s="116"/>
      <c r="AL14" s="109">
        <f t="shared" si="10"/>
        <v>0</v>
      </c>
      <c r="AM14" s="107"/>
      <c r="AN14" s="116"/>
      <c r="AO14" s="109">
        <f t="shared" si="11"/>
        <v>0</v>
      </c>
      <c r="AP14" s="107"/>
      <c r="AQ14" s="116"/>
      <c r="AR14" s="109">
        <f t="shared" si="12"/>
        <v>0</v>
      </c>
      <c r="AS14" s="107"/>
      <c r="AT14" s="116"/>
      <c r="AU14" s="109">
        <f t="shared" si="13"/>
        <v>0</v>
      </c>
      <c r="AV14" s="107"/>
      <c r="AW14" s="116"/>
      <c r="AX14" s="109">
        <f t="shared" si="14"/>
        <v>0</v>
      </c>
      <c r="AY14" s="107"/>
      <c r="AZ14" s="116"/>
      <c r="BA14" s="109">
        <f t="shared" si="15"/>
        <v>0</v>
      </c>
      <c r="BB14" s="107"/>
      <c r="BC14" s="116"/>
      <c r="BD14" s="109">
        <f t="shared" si="16"/>
        <v>0</v>
      </c>
      <c r="BE14" s="107"/>
      <c r="BF14" s="116"/>
      <c r="BG14" s="109">
        <f t="shared" si="17"/>
        <v>0</v>
      </c>
      <c r="BH14" s="107"/>
      <c r="BI14" s="116"/>
      <c r="BJ14" s="109">
        <f t="shared" si="18"/>
        <v>0</v>
      </c>
      <c r="BK14" s="107"/>
      <c r="BL14" s="116"/>
      <c r="BM14" s="109">
        <f t="shared" si="19"/>
        <v>0</v>
      </c>
      <c r="BN14" s="107">
        <f>$BN$4*$BO$4</f>
        <v>16</v>
      </c>
      <c r="BO14" s="116">
        <v>1</v>
      </c>
      <c r="BP14" s="109">
        <f t="shared" si="20"/>
        <v>680.61818181818182</v>
      </c>
      <c r="BQ14" s="107">
        <f>$BQ$4*$BR$4</f>
        <v>48</v>
      </c>
      <c r="BR14" s="116">
        <v>1</v>
      </c>
      <c r="BS14" s="109">
        <f t="shared" si="21"/>
        <v>2041.8545454545456</v>
      </c>
      <c r="BT14" s="107">
        <f>$BT$4*$BU$4</f>
        <v>4</v>
      </c>
      <c r="BU14" s="116">
        <v>1</v>
      </c>
      <c r="BV14" s="109">
        <f t="shared" si="22"/>
        <v>170.15454545454546</v>
      </c>
      <c r="BW14" s="107">
        <f>$BW$4*$BX$4</f>
        <v>2.56</v>
      </c>
      <c r="BX14" s="116">
        <v>1</v>
      </c>
      <c r="BY14" s="109">
        <f t="shared" si="23"/>
        <v>108.8989090909091</v>
      </c>
      <c r="BZ14" s="107">
        <f>$BZ$4*$CA$4</f>
        <v>4.4800000000000004</v>
      </c>
      <c r="CA14" s="116">
        <v>1</v>
      </c>
      <c r="CB14" s="109">
        <f t="shared" si="40"/>
        <v>190.57309090909092</v>
      </c>
      <c r="CC14" s="107">
        <f>$CC$4*$CD$4</f>
        <v>0.8</v>
      </c>
      <c r="CD14" s="108">
        <v>1</v>
      </c>
      <c r="CE14" s="109">
        <f t="shared" si="41"/>
        <v>34.030909090909091</v>
      </c>
      <c r="CF14" s="107">
        <f>$CF$4*$CG$4</f>
        <v>1.2</v>
      </c>
      <c r="CG14" s="108">
        <v>1</v>
      </c>
      <c r="CH14" s="109">
        <f t="shared" si="42"/>
        <v>51.046363636363637</v>
      </c>
      <c r="CI14" s="107">
        <f>$CI$4*$CJ$4</f>
        <v>0.4</v>
      </c>
      <c r="CJ14" s="108">
        <v>1</v>
      </c>
      <c r="CK14" s="109">
        <f t="shared" si="43"/>
        <v>17.015454545454546</v>
      </c>
      <c r="CL14" s="107">
        <f>$CL$4*$CM$4</f>
        <v>56</v>
      </c>
      <c r="CM14" s="108">
        <v>1</v>
      </c>
      <c r="CN14" s="109">
        <f t="shared" si="44"/>
        <v>2382.1636363636362</v>
      </c>
      <c r="CO14" s="107">
        <f>$CO$4*$CP$4</f>
        <v>24</v>
      </c>
      <c r="CP14" s="108">
        <v>1</v>
      </c>
      <c r="CQ14" s="109">
        <f t="shared" si="45"/>
        <v>1020.9272727272728</v>
      </c>
      <c r="CR14" s="107"/>
      <c r="CS14" s="108"/>
      <c r="CT14" s="109">
        <f t="shared" si="46"/>
        <v>0</v>
      </c>
      <c r="CU14" s="107"/>
      <c r="CV14" s="108"/>
      <c r="CW14" s="109">
        <f t="shared" si="47"/>
        <v>0</v>
      </c>
      <c r="CX14" s="107"/>
      <c r="CY14" s="108"/>
      <c r="CZ14" s="109">
        <f t="shared" si="48"/>
        <v>0</v>
      </c>
      <c r="DA14" s="107"/>
      <c r="DB14" s="108"/>
      <c r="DC14" s="109">
        <f t="shared" si="49"/>
        <v>0</v>
      </c>
      <c r="DD14" s="107">
        <f>$DD$4*$DE$4</f>
        <v>16</v>
      </c>
      <c r="DE14" s="108">
        <v>1</v>
      </c>
      <c r="DF14" s="109">
        <f t="shared" si="50"/>
        <v>680.61818181818182</v>
      </c>
      <c r="DG14" s="107">
        <f>$DG$4*$DH$4</f>
        <v>12</v>
      </c>
      <c r="DH14" s="108">
        <v>1</v>
      </c>
      <c r="DI14" s="109">
        <f t="shared" si="51"/>
        <v>510.4636363636364</v>
      </c>
      <c r="DJ14" s="107">
        <f>$DJ$4*$DK$4</f>
        <v>40</v>
      </c>
      <c r="DK14" s="108">
        <v>1</v>
      </c>
      <c r="DL14" s="109">
        <f t="shared" si="52"/>
        <v>1701.5454545454545</v>
      </c>
      <c r="DM14" s="107">
        <f>$DM$4*$DN$4</f>
        <v>24</v>
      </c>
      <c r="DN14" s="108">
        <v>1</v>
      </c>
      <c r="DO14" s="109">
        <f t="shared" si="53"/>
        <v>1020.9272727272728</v>
      </c>
      <c r="DP14" s="117"/>
      <c r="DQ14" s="110"/>
      <c r="DR14" s="111"/>
      <c r="DS14" s="112">
        <f t="shared" si="39"/>
        <v>24189.170181818179</v>
      </c>
      <c r="DT14" s="113">
        <f t="shared" si="38"/>
        <v>4.8909755887244701E-2</v>
      </c>
    </row>
    <row r="15" spans="2:127" s="86" customFormat="1" ht="21.9" customHeight="1" outlineLevel="1">
      <c r="B15" s="104" t="str">
        <f>MO!B11</f>
        <v>P09</v>
      </c>
      <c r="C15" s="569" t="str">
        <f>MO!C11</f>
        <v>Montador de estruturas metálicas</v>
      </c>
      <c r="D15" s="105" t="s">
        <v>208</v>
      </c>
      <c r="E15" s="106">
        <f>MO!I11</f>
        <v>30.145380000000003</v>
      </c>
      <c r="F15" s="107">
        <f>$F$4*$G$4</f>
        <v>160</v>
      </c>
      <c r="G15" s="108">
        <v>1</v>
      </c>
      <c r="H15" s="109">
        <f t="shared" si="0"/>
        <v>4823.2608</v>
      </c>
      <c r="I15" s="107">
        <f>$I$4*$J$4</f>
        <v>80</v>
      </c>
      <c r="J15" s="108">
        <v>1</v>
      </c>
      <c r="K15" s="109">
        <f t="shared" si="1"/>
        <v>2411.6304</v>
      </c>
      <c r="L15" s="107"/>
      <c r="M15" s="116"/>
      <c r="N15" s="109">
        <f t="shared" si="2"/>
        <v>0</v>
      </c>
      <c r="O15" s="107"/>
      <c r="P15" s="116"/>
      <c r="Q15" s="109">
        <f t="shared" si="3"/>
        <v>0</v>
      </c>
      <c r="R15" s="107"/>
      <c r="S15" s="116"/>
      <c r="T15" s="109">
        <f t="shared" si="4"/>
        <v>0</v>
      </c>
      <c r="U15" s="107"/>
      <c r="V15" s="116"/>
      <c r="W15" s="109">
        <f t="shared" si="5"/>
        <v>0</v>
      </c>
      <c r="X15" s="107"/>
      <c r="Y15" s="116"/>
      <c r="Z15" s="109">
        <f t="shared" si="6"/>
        <v>0</v>
      </c>
      <c r="AA15" s="107"/>
      <c r="AB15" s="116"/>
      <c r="AC15" s="109">
        <f t="shared" si="7"/>
        <v>0</v>
      </c>
      <c r="AD15" s="107"/>
      <c r="AE15" s="116"/>
      <c r="AF15" s="109">
        <f t="shared" si="8"/>
        <v>0</v>
      </c>
      <c r="AG15" s="107"/>
      <c r="AH15" s="116"/>
      <c r="AI15" s="109">
        <f t="shared" si="9"/>
        <v>0</v>
      </c>
      <c r="AJ15" s="107"/>
      <c r="AK15" s="116"/>
      <c r="AL15" s="109">
        <f t="shared" si="10"/>
        <v>0</v>
      </c>
      <c r="AM15" s="107"/>
      <c r="AN15" s="116"/>
      <c r="AO15" s="109">
        <f t="shared" si="11"/>
        <v>0</v>
      </c>
      <c r="AP15" s="107"/>
      <c r="AQ15" s="116"/>
      <c r="AR15" s="109">
        <f t="shared" si="12"/>
        <v>0</v>
      </c>
      <c r="AS15" s="107"/>
      <c r="AT15" s="116"/>
      <c r="AU15" s="109">
        <f t="shared" si="13"/>
        <v>0</v>
      </c>
      <c r="AV15" s="107"/>
      <c r="AW15" s="116"/>
      <c r="AX15" s="109">
        <f t="shared" si="14"/>
        <v>0</v>
      </c>
      <c r="AY15" s="107"/>
      <c r="AZ15" s="116"/>
      <c r="BA15" s="109">
        <f t="shared" si="15"/>
        <v>0</v>
      </c>
      <c r="BB15" s="107"/>
      <c r="BC15" s="116"/>
      <c r="BD15" s="109">
        <f t="shared" si="16"/>
        <v>0</v>
      </c>
      <c r="BE15" s="107"/>
      <c r="BF15" s="116"/>
      <c r="BG15" s="109">
        <f t="shared" si="17"/>
        <v>0</v>
      </c>
      <c r="BH15" s="107"/>
      <c r="BI15" s="116"/>
      <c r="BJ15" s="109">
        <f t="shared" si="18"/>
        <v>0</v>
      </c>
      <c r="BK15" s="107"/>
      <c r="BL15" s="116"/>
      <c r="BM15" s="109">
        <f t="shared" si="19"/>
        <v>0</v>
      </c>
      <c r="BN15" s="107">
        <f>$BN$4*$BO$4</f>
        <v>16</v>
      </c>
      <c r="BO15" s="116">
        <v>1</v>
      </c>
      <c r="BP15" s="109">
        <f t="shared" si="20"/>
        <v>482.32608000000005</v>
      </c>
      <c r="BQ15" s="107">
        <f>$BQ$4*$BR$4</f>
        <v>48</v>
      </c>
      <c r="BR15" s="116">
        <v>1</v>
      </c>
      <c r="BS15" s="109">
        <f t="shared" si="21"/>
        <v>1446.9782400000001</v>
      </c>
      <c r="BT15" s="107"/>
      <c r="BU15" s="116"/>
      <c r="BV15" s="109">
        <f t="shared" si="22"/>
        <v>0</v>
      </c>
      <c r="BW15" s="107"/>
      <c r="BX15" s="116"/>
      <c r="BY15" s="109">
        <f t="shared" si="23"/>
        <v>0</v>
      </c>
      <c r="BZ15" s="107"/>
      <c r="CA15" s="108"/>
      <c r="CB15" s="109">
        <f t="shared" si="40"/>
        <v>0</v>
      </c>
      <c r="CC15" s="107"/>
      <c r="CD15" s="108"/>
      <c r="CE15" s="109">
        <f t="shared" si="41"/>
        <v>0</v>
      </c>
      <c r="CF15" s="107"/>
      <c r="CG15" s="108"/>
      <c r="CH15" s="109">
        <f t="shared" si="42"/>
        <v>0</v>
      </c>
      <c r="CI15" s="107"/>
      <c r="CJ15" s="108"/>
      <c r="CK15" s="109">
        <f t="shared" si="43"/>
        <v>0</v>
      </c>
      <c r="CL15" s="107"/>
      <c r="CM15" s="108"/>
      <c r="CN15" s="109">
        <f t="shared" si="44"/>
        <v>0</v>
      </c>
      <c r="CO15" s="107"/>
      <c r="CP15" s="108"/>
      <c r="CQ15" s="109">
        <f t="shared" si="45"/>
        <v>0</v>
      </c>
      <c r="CR15" s="107"/>
      <c r="CS15" s="108"/>
      <c r="CT15" s="109">
        <f t="shared" si="46"/>
        <v>0</v>
      </c>
      <c r="CU15" s="107"/>
      <c r="CV15" s="108"/>
      <c r="CW15" s="109">
        <f t="shared" si="47"/>
        <v>0</v>
      </c>
      <c r="CX15" s="107"/>
      <c r="CY15" s="108"/>
      <c r="CZ15" s="109">
        <f t="shared" si="48"/>
        <v>0</v>
      </c>
      <c r="DA15" s="107"/>
      <c r="DB15" s="108"/>
      <c r="DC15" s="109">
        <f t="shared" si="49"/>
        <v>0</v>
      </c>
      <c r="DD15" s="107">
        <f>$DD$4*$DE$4</f>
        <v>16</v>
      </c>
      <c r="DE15" s="108">
        <v>1</v>
      </c>
      <c r="DF15" s="109">
        <f t="shared" si="50"/>
        <v>482.32608000000005</v>
      </c>
      <c r="DG15" s="107">
        <f>$DG$4*$DH$4</f>
        <v>12</v>
      </c>
      <c r="DH15" s="108">
        <v>1</v>
      </c>
      <c r="DI15" s="109">
        <f t="shared" si="51"/>
        <v>361.74456000000004</v>
      </c>
      <c r="DJ15" s="107">
        <f>$DJ$4*$DK$4</f>
        <v>40</v>
      </c>
      <c r="DK15" s="108">
        <v>1</v>
      </c>
      <c r="DL15" s="109">
        <f t="shared" si="52"/>
        <v>1205.8152</v>
      </c>
      <c r="DM15" s="107">
        <f>$DM$4*$DN$4</f>
        <v>24</v>
      </c>
      <c r="DN15" s="108">
        <v>1</v>
      </c>
      <c r="DO15" s="109">
        <f t="shared" si="53"/>
        <v>723.48912000000007</v>
      </c>
      <c r="DP15" s="117"/>
      <c r="DQ15" s="110"/>
      <c r="DR15" s="111"/>
      <c r="DS15" s="112">
        <f t="shared" si="39"/>
        <v>11937.57048</v>
      </c>
      <c r="DT15" s="113">
        <f t="shared" si="38"/>
        <v>2.4137399244164252E-2</v>
      </c>
    </row>
    <row r="16" spans="2:127" s="86" customFormat="1" ht="21.9" customHeight="1" outlineLevel="1">
      <c r="B16" s="104" t="str">
        <f>MO!B12</f>
        <v>P10</v>
      </c>
      <c r="C16" s="569" t="str">
        <f>MO!C12</f>
        <v>Topógrafo</v>
      </c>
      <c r="D16" s="105" t="s">
        <v>208</v>
      </c>
      <c r="E16" s="106">
        <f>MO!I12</f>
        <v>31.028181818181817</v>
      </c>
      <c r="F16" s="107"/>
      <c r="G16" s="108"/>
      <c r="H16" s="109">
        <f t="shared" si="0"/>
        <v>0</v>
      </c>
      <c r="I16" s="107"/>
      <c r="J16" s="108"/>
      <c r="K16" s="109">
        <f t="shared" si="1"/>
        <v>0</v>
      </c>
      <c r="L16" s="107"/>
      <c r="M16" s="116"/>
      <c r="N16" s="109">
        <f t="shared" si="2"/>
        <v>0</v>
      </c>
      <c r="O16" s="107"/>
      <c r="P16" s="116"/>
      <c r="Q16" s="109">
        <f t="shared" ref="Q16:Q17" si="57">P16*O16*$E16</f>
        <v>0</v>
      </c>
      <c r="R16" s="107"/>
      <c r="S16" s="116"/>
      <c r="T16" s="109">
        <f t="shared" ref="T16:T17" si="58">S16*R16*$E16</f>
        <v>0</v>
      </c>
      <c r="U16" s="107"/>
      <c r="V16" s="116"/>
      <c r="W16" s="109">
        <f t="shared" ref="W16:W17" si="59">V16*U16*$E16</f>
        <v>0</v>
      </c>
      <c r="X16" s="107">
        <f>$X$4*$Y$4</f>
        <v>80</v>
      </c>
      <c r="Y16" s="116">
        <v>1</v>
      </c>
      <c r="Z16" s="109">
        <f t="shared" ref="Z16:Z17" si="60">Y16*X16*$E16</f>
        <v>2482.2545454545452</v>
      </c>
      <c r="AA16" s="107"/>
      <c r="AB16" s="116"/>
      <c r="AC16" s="109">
        <f t="shared" ref="AC16:AC17" si="61">AB16*AA16*$E16</f>
        <v>0</v>
      </c>
      <c r="AD16" s="107"/>
      <c r="AE16" s="116"/>
      <c r="AF16" s="109">
        <f t="shared" ref="AF16:AF17" si="62">AE16*AD16*$E16</f>
        <v>0</v>
      </c>
      <c r="AG16" s="107"/>
      <c r="AH16" s="116"/>
      <c r="AI16" s="109">
        <f t="shared" ref="AI16:AI17" si="63">AH16*AG16*$E16</f>
        <v>0</v>
      </c>
      <c r="AJ16" s="107"/>
      <c r="AK16" s="116"/>
      <c r="AL16" s="109">
        <f t="shared" ref="AL16:AL17" si="64">AK16*AJ16*$E16</f>
        <v>0</v>
      </c>
      <c r="AM16" s="107"/>
      <c r="AN16" s="116"/>
      <c r="AO16" s="109">
        <f t="shared" ref="AO16:AO17" si="65">AN16*AM16*$E16</f>
        <v>0</v>
      </c>
      <c r="AP16" s="107"/>
      <c r="AQ16" s="116"/>
      <c r="AR16" s="109">
        <f t="shared" ref="AR16:AR17" si="66">AQ16*AP16*$E16</f>
        <v>0</v>
      </c>
      <c r="AS16" s="107"/>
      <c r="AT16" s="116"/>
      <c r="AU16" s="109">
        <f t="shared" ref="AU16:AU17" si="67">AT16*AS16*$E16</f>
        <v>0</v>
      </c>
      <c r="AV16" s="107"/>
      <c r="AW16" s="116"/>
      <c r="AX16" s="109">
        <f t="shared" ref="AX16:AX17" si="68">AW16*AV16*$E16</f>
        <v>0</v>
      </c>
      <c r="AY16" s="107"/>
      <c r="AZ16" s="116"/>
      <c r="BA16" s="109">
        <f t="shared" ref="BA16:BA17" si="69">AZ16*AY16*$E16</f>
        <v>0</v>
      </c>
      <c r="BB16" s="107"/>
      <c r="BC16" s="116"/>
      <c r="BD16" s="109">
        <f t="shared" ref="BD16:BD17" si="70">BC16*BB16*$E16</f>
        <v>0</v>
      </c>
      <c r="BE16" s="107"/>
      <c r="BF16" s="116"/>
      <c r="BG16" s="109">
        <f t="shared" ref="BG16:BG17" si="71">BF16*BE16*$E16</f>
        <v>0</v>
      </c>
      <c r="BH16" s="107"/>
      <c r="BI16" s="116"/>
      <c r="BJ16" s="109">
        <f t="shared" ref="BJ16:BJ17" si="72">BI16*BH16*$E16</f>
        <v>0</v>
      </c>
      <c r="BK16" s="107"/>
      <c r="BL16" s="116"/>
      <c r="BM16" s="109">
        <f t="shared" ref="BM16:BM17" si="73">BL16*BK16*$E16</f>
        <v>0</v>
      </c>
      <c r="BN16" s="107">
        <f>$BN$4*$BO$4</f>
        <v>16</v>
      </c>
      <c r="BO16" s="116">
        <v>1</v>
      </c>
      <c r="BP16" s="109">
        <f t="shared" ref="BP16:BP17" si="74">BO16*BN16*$E16</f>
        <v>496.45090909090908</v>
      </c>
      <c r="BQ16" s="107">
        <f>$BQ$4*$BR$4</f>
        <v>48</v>
      </c>
      <c r="BR16" s="116">
        <v>1</v>
      </c>
      <c r="BS16" s="109">
        <f t="shared" ref="BS16:BS17" si="75">BR16*BQ16*$E16</f>
        <v>1489.3527272727272</v>
      </c>
      <c r="BT16" s="107"/>
      <c r="BU16" s="116"/>
      <c r="BV16" s="109">
        <f t="shared" ref="BV16:BV17" si="76">BU16*BT16*$E16</f>
        <v>0</v>
      </c>
      <c r="BW16" s="107"/>
      <c r="BX16" s="116"/>
      <c r="BY16" s="109">
        <f t="shared" ref="BY16:BY17" si="77">BX16*BW16*$E16</f>
        <v>0</v>
      </c>
      <c r="BZ16" s="107"/>
      <c r="CA16" s="108"/>
      <c r="CB16" s="109">
        <f t="shared" si="40"/>
        <v>0</v>
      </c>
      <c r="CC16" s="107"/>
      <c r="CD16" s="108"/>
      <c r="CE16" s="109">
        <f t="shared" si="41"/>
        <v>0</v>
      </c>
      <c r="CF16" s="107"/>
      <c r="CG16" s="108"/>
      <c r="CH16" s="109">
        <f t="shared" si="42"/>
        <v>0</v>
      </c>
      <c r="CI16" s="107"/>
      <c r="CJ16" s="108"/>
      <c r="CK16" s="109">
        <f t="shared" si="43"/>
        <v>0</v>
      </c>
      <c r="CL16" s="107"/>
      <c r="CM16" s="108"/>
      <c r="CN16" s="109">
        <f t="shared" si="44"/>
        <v>0</v>
      </c>
      <c r="CO16" s="107"/>
      <c r="CP16" s="108"/>
      <c r="CQ16" s="109">
        <f t="shared" si="45"/>
        <v>0</v>
      </c>
      <c r="CR16" s="107"/>
      <c r="CS16" s="108"/>
      <c r="CT16" s="109">
        <f t="shared" si="46"/>
        <v>0</v>
      </c>
      <c r="CU16" s="107"/>
      <c r="CV16" s="108"/>
      <c r="CW16" s="109">
        <f t="shared" si="47"/>
        <v>0</v>
      </c>
      <c r="CX16" s="107"/>
      <c r="CY16" s="108"/>
      <c r="CZ16" s="109">
        <f t="shared" si="48"/>
        <v>0</v>
      </c>
      <c r="DA16" s="107"/>
      <c r="DB16" s="108"/>
      <c r="DC16" s="109">
        <f t="shared" si="49"/>
        <v>0</v>
      </c>
      <c r="DD16" s="107"/>
      <c r="DE16" s="108"/>
      <c r="DF16" s="109">
        <f t="shared" si="50"/>
        <v>0</v>
      </c>
      <c r="DG16" s="107"/>
      <c r="DH16" s="108"/>
      <c r="DI16" s="109">
        <f t="shared" si="51"/>
        <v>0</v>
      </c>
      <c r="DJ16" s="107"/>
      <c r="DK16" s="108"/>
      <c r="DL16" s="109">
        <f t="shared" si="52"/>
        <v>0</v>
      </c>
      <c r="DM16" s="107"/>
      <c r="DN16" s="108"/>
      <c r="DO16" s="109">
        <f t="shared" si="53"/>
        <v>0</v>
      </c>
      <c r="DP16" s="117"/>
      <c r="DQ16" s="110"/>
      <c r="DR16" s="111"/>
      <c r="DS16" s="112">
        <f t="shared" si="39"/>
        <v>4468.0581818181818</v>
      </c>
      <c r="DT16" s="113">
        <f t="shared" ref="DT16:DT20" si="78">DS16/$DS$130</f>
        <v>9.0342758069060693E-3</v>
      </c>
    </row>
    <row r="17" spans="2:125" s="86" customFormat="1" ht="21.9" customHeight="1" outlineLevel="1">
      <c r="B17" s="104" t="str">
        <f>MO!B13</f>
        <v>P11</v>
      </c>
      <c r="C17" s="569" t="str">
        <f>MO!C13</f>
        <v>Auxiliar de topografia</v>
      </c>
      <c r="D17" s="105" t="s">
        <v>208</v>
      </c>
      <c r="E17" s="106">
        <f>MO!I13</f>
        <v>16.515000000000001</v>
      </c>
      <c r="F17" s="107"/>
      <c r="G17" s="108"/>
      <c r="H17" s="109">
        <f t="shared" si="0"/>
        <v>0</v>
      </c>
      <c r="I17" s="107"/>
      <c r="J17" s="108"/>
      <c r="K17" s="109">
        <f t="shared" si="1"/>
        <v>0</v>
      </c>
      <c r="L17" s="107"/>
      <c r="M17" s="116"/>
      <c r="N17" s="109">
        <f t="shared" si="2"/>
        <v>0</v>
      </c>
      <c r="O17" s="107"/>
      <c r="P17" s="116"/>
      <c r="Q17" s="109">
        <f t="shared" si="57"/>
        <v>0</v>
      </c>
      <c r="R17" s="107"/>
      <c r="S17" s="116"/>
      <c r="T17" s="109">
        <f t="shared" si="58"/>
        <v>0</v>
      </c>
      <c r="U17" s="107"/>
      <c r="V17" s="116"/>
      <c r="W17" s="109">
        <f t="shared" si="59"/>
        <v>0</v>
      </c>
      <c r="X17" s="107">
        <f>$X$4*$Y$4</f>
        <v>80</v>
      </c>
      <c r="Y17" s="116">
        <v>1</v>
      </c>
      <c r="Z17" s="109">
        <f t="shared" si="60"/>
        <v>1321.2</v>
      </c>
      <c r="AA17" s="107"/>
      <c r="AB17" s="116"/>
      <c r="AC17" s="109">
        <f t="shared" si="61"/>
        <v>0</v>
      </c>
      <c r="AD17" s="107"/>
      <c r="AE17" s="116"/>
      <c r="AF17" s="109">
        <f t="shared" si="62"/>
        <v>0</v>
      </c>
      <c r="AG17" s="107"/>
      <c r="AH17" s="116"/>
      <c r="AI17" s="109">
        <f t="shared" si="63"/>
        <v>0</v>
      </c>
      <c r="AJ17" s="107"/>
      <c r="AK17" s="116"/>
      <c r="AL17" s="109">
        <f t="shared" si="64"/>
        <v>0</v>
      </c>
      <c r="AM17" s="107"/>
      <c r="AN17" s="116"/>
      <c r="AO17" s="109">
        <f t="shared" si="65"/>
        <v>0</v>
      </c>
      <c r="AP17" s="107"/>
      <c r="AQ17" s="116"/>
      <c r="AR17" s="109">
        <f t="shared" si="66"/>
        <v>0</v>
      </c>
      <c r="AS17" s="107"/>
      <c r="AT17" s="116"/>
      <c r="AU17" s="109">
        <f t="shared" si="67"/>
        <v>0</v>
      </c>
      <c r="AV17" s="107"/>
      <c r="AW17" s="116"/>
      <c r="AX17" s="109">
        <f t="shared" si="68"/>
        <v>0</v>
      </c>
      <c r="AY17" s="107"/>
      <c r="AZ17" s="116"/>
      <c r="BA17" s="109">
        <f t="shared" si="69"/>
        <v>0</v>
      </c>
      <c r="BB17" s="107"/>
      <c r="BC17" s="116"/>
      <c r="BD17" s="109">
        <f t="shared" si="70"/>
        <v>0</v>
      </c>
      <c r="BE17" s="107"/>
      <c r="BF17" s="116"/>
      <c r="BG17" s="109">
        <f t="shared" si="71"/>
        <v>0</v>
      </c>
      <c r="BH17" s="107"/>
      <c r="BI17" s="116"/>
      <c r="BJ17" s="109">
        <f t="shared" si="72"/>
        <v>0</v>
      </c>
      <c r="BK17" s="107"/>
      <c r="BL17" s="116"/>
      <c r="BM17" s="109">
        <f t="shared" si="73"/>
        <v>0</v>
      </c>
      <c r="BN17" s="107">
        <f>$BN$4*$BO$4</f>
        <v>16</v>
      </c>
      <c r="BO17" s="116">
        <v>1</v>
      </c>
      <c r="BP17" s="109">
        <f t="shared" si="74"/>
        <v>264.24</v>
      </c>
      <c r="BQ17" s="107">
        <f>$BQ$4*$BR$4</f>
        <v>48</v>
      </c>
      <c r="BR17" s="116">
        <v>1</v>
      </c>
      <c r="BS17" s="109">
        <f t="shared" si="75"/>
        <v>792.72</v>
      </c>
      <c r="BT17" s="107"/>
      <c r="BU17" s="116"/>
      <c r="BV17" s="109">
        <f t="shared" si="76"/>
        <v>0</v>
      </c>
      <c r="BW17" s="107"/>
      <c r="BX17" s="116"/>
      <c r="BY17" s="109">
        <f t="shared" si="77"/>
        <v>0</v>
      </c>
      <c r="BZ17" s="107"/>
      <c r="CA17" s="108"/>
      <c r="CB17" s="109">
        <f t="shared" si="40"/>
        <v>0</v>
      </c>
      <c r="CC17" s="107"/>
      <c r="CD17" s="108"/>
      <c r="CE17" s="109">
        <f t="shared" si="41"/>
        <v>0</v>
      </c>
      <c r="CF17" s="107"/>
      <c r="CG17" s="108"/>
      <c r="CH17" s="109">
        <f t="shared" si="42"/>
        <v>0</v>
      </c>
      <c r="CI17" s="107"/>
      <c r="CJ17" s="108"/>
      <c r="CK17" s="109">
        <f t="shared" si="43"/>
        <v>0</v>
      </c>
      <c r="CL17" s="107"/>
      <c r="CM17" s="108"/>
      <c r="CN17" s="109">
        <f t="shared" si="44"/>
        <v>0</v>
      </c>
      <c r="CO17" s="107"/>
      <c r="CP17" s="108"/>
      <c r="CQ17" s="109">
        <f t="shared" si="45"/>
        <v>0</v>
      </c>
      <c r="CR17" s="107"/>
      <c r="CS17" s="108"/>
      <c r="CT17" s="109">
        <f t="shared" si="46"/>
        <v>0</v>
      </c>
      <c r="CU17" s="107"/>
      <c r="CV17" s="108"/>
      <c r="CW17" s="109">
        <f t="shared" si="47"/>
        <v>0</v>
      </c>
      <c r="CX17" s="107"/>
      <c r="CY17" s="108"/>
      <c r="CZ17" s="109">
        <f t="shared" si="48"/>
        <v>0</v>
      </c>
      <c r="DA17" s="107"/>
      <c r="DB17" s="108"/>
      <c r="DC17" s="109">
        <f t="shared" si="49"/>
        <v>0</v>
      </c>
      <c r="DD17" s="107"/>
      <c r="DE17" s="108"/>
      <c r="DF17" s="109">
        <f t="shared" si="50"/>
        <v>0</v>
      </c>
      <c r="DG17" s="107"/>
      <c r="DH17" s="108"/>
      <c r="DI17" s="109">
        <f t="shared" si="51"/>
        <v>0</v>
      </c>
      <c r="DJ17" s="107"/>
      <c r="DK17" s="108"/>
      <c r="DL17" s="109">
        <f t="shared" si="52"/>
        <v>0</v>
      </c>
      <c r="DM17" s="107"/>
      <c r="DN17" s="108"/>
      <c r="DO17" s="109">
        <f t="shared" si="53"/>
        <v>0</v>
      </c>
      <c r="DP17" s="117"/>
      <c r="DQ17" s="110"/>
      <c r="DR17" s="111"/>
      <c r="DS17" s="112">
        <f t="shared" si="39"/>
        <v>2378.16</v>
      </c>
      <c r="DT17" s="113">
        <f t="shared" si="78"/>
        <v>4.8085661552887144E-3</v>
      </c>
    </row>
    <row r="18" spans="2:125" s="86" customFormat="1" ht="21.9" customHeight="1" outlineLevel="1">
      <c r="B18" s="104" t="str">
        <f>MO!B14</f>
        <v>P12</v>
      </c>
      <c r="C18" s="569" t="str">
        <f>MO!C14</f>
        <v>Sinaleiro de rigger</v>
      </c>
      <c r="D18" s="105" t="s">
        <v>208</v>
      </c>
      <c r="E18" s="106">
        <f>MO!I14</f>
        <v>21.887879999999999</v>
      </c>
      <c r="F18" s="107">
        <f>$F$4*$G$4</f>
        <v>160</v>
      </c>
      <c r="G18" s="108">
        <v>1</v>
      </c>
      <c r="H18" s="109">
        <f t="shared" ref="H18:H20" si="79">G18*F18*$E18</f>
        <v>3502.0607999999997</v>
      </c>
      <c r="I18" s="107">
        <f>$I$4*$J$4</f>
        <v>80</v>
      </c>
      <c r="J18" s="108">
        <v>1</v>
      </c>
      <c r="K18" s="109">
        <f t="shared" ref="K18:K20" si="80">J18*I18*$E18</f>
        <v>1751.0303999999999</v>
      </c>
      <c r="L18" s="107"/>
      <c r="M18" s="116"/>
      <c r="N18" s="109">
        <f t="shared" ref="N18:N20" si="81">M18*L18*$E18</f>
        <v>0</v>
      </c>
      <c r="O18" s="107"/>
      <c r="P18" s="116"/>
      <c r="Q18" s="109">
        <f t="shared" ref="Q18:Q20" si="82">P18*O18*$E18</f>
        <v>0</v>
      </c>
      <c r="R18" s="107"/>
      <c r="S18" s="116"/>
      <c r="T18" s="109">
        <f t="shared" ref="T18:T20" si="83">S18*R18*$E18</f>
        <v>0</v>
      </c>
      <c r="U18" s="107"/>
      <c r="V18" s="116"/>
      <c r="W18" s="109">
        <f t="shared" ref="W18:W20" si="84">V18*U18*$E18</f>
        <v>0</v>
      </c>
      <c r="X18" s="107"/>
      <c r="Y18" s="116"/>
      <c r="Z18" s="109">
        <f t="shared" ref="Z18:Z20" si="85">Y18*X18*$E18</f>
        <v>0</v>
      </c>
      <c r="AA18" s="107"/>
      <c r="AB18" s="116"/>
      <c r="AC18" s="109">
        <f t="shared" ref="AC18:AC20" si="86">AB18*AA18*$E18</f>
        <v>0</v>
      </c>
      <c r="AD18" s="107"/>
      <c r="AE18" s="116"/>
      <c r="AF18" s="109">
        <f t="shared" ref="AF18:AF20" si="87">AE18*AD18*$E18</f>
        <v>0</v>
      </c>
      <c r="AG18" s="107"/>
      <c r="AH18" s="116"/>
      <c r="AI18" s="109">
        <f t="shared" ref="AI18:AI20" si="88">AH18*AG18*$E18</f>
        <v>0</v>
      </c>
      <c r="AJ18" s="107"/>
      <c r="AK18" s="116"/>
      <c r="AL18" s="109">
        <f t="shared" ref="AL18:AL20" si="89">AK18*AJ18*$E18</f>
        <v>0</v>
      </c>
      <c r="AM18" s="107"/>
      <c r="AN18" s="116"/>
      <c r="AO18" s="109">
        <f t="shared" ref="AO18:AO20" si="90">AN18*AM18*$E18</f>
        <v>0</v>
      </c>
      <c r="AP18" s="107"/>
      <c r="AQ18" s="116"/>
      <c r="AR18" s="109">
        <f t="shared" ref="AR18:AR20" si="91">AQ18*AP18*$E18</f>
        <v>0</v>
      </c>
      <c r="AS18" s="107"/>
      <c r="AT18" s="116"/>
      <c r="AU18" s="109">
        <f t="shared" ref="AU18:AU20" si="92">AT18*AS18*$E18</f>
        <v>0</v>
      </c>
      <c r="AV18" s="107"/>
      <c r="AW18" s="116"/>
      <c r="AX18" s="109">
        <f t="shared" ref="AX18:AX20" si="93">AW18*AV18*$E18</f>
        <v>0</v>
      </c>
      <c r="AY18" s="107"/>
      <c r="AZ18" s="116"/>
      <c r="BA18" s="109">
        <f t="shared" ref="BA18:BA20" si="94">AZ18*AY18*$E18</f>
        <v>0</v>
      </c>
      <c r="BB18" s="107"/>
      <c r="BC18" s="116"/>
      <c r="BD18" s="109">
        <f t="shared" ref="BD18:BD20" si="95">BC18*BB18*$E18</f>
        <v>0</v>
      </c>
      <c r="BE18" s="107"/>
      <c r="BF18" s="116"/>
      <c r="BG18" s="109">
        <f t="shared" ref="BG18:BG20" si="96">BF18*BE18*$E18</f>
        <v>0</v>
      </c>
      <c r="BH18" s="107"/>
      <c r="BI18" s="116"/>
      <c r="BJ18" s="109">
        <f t="shared" ref="BJ18:BJ20" si="97">BI18*BH18*$E18</f>
        <v>0</v>
      </c>
      <c r="BK18" s="107"/>
      <c r="BL18" s="116"/>
      <c r="BM18" s="109">
        <f t="shared" ref="BM18:BM20" si="98">BL18*BK18*$E18</f>
        <v>0</v>
      </c>
      <c r="BN18" s="107">
        <f>$BN$4*$BO$4</f>
        <v>16</v>
      </c>
      <c r="BO18" s="116">
        <v>1</v>
      </c>
      <c r="BP18" s="109">
        <f t="shared" ref="BP18:BP20" si="99">BO18*BN18*$E18</f>
        <v>350.20607999999999</v>
      </c>
      <c r="BQ18" s="107">
        <f>$BQ$4*$BR$4</f>
        <v>48</v>
      </c>
      <c r="BR18" s="116">
        <v>1</v>
      </c>
      <c r="BS18" s="109">
        <f t="shared" ref="BS18:BS20" si="100">BR18*BQ18*$E18</f>
        <v>1050.61824</v>
      </c>
      <c r="BT18" s="107"/>
      <c r="BU18" s="116"/>
      <c r="BV18" s="109">
        <f t="shared" ref="BV18:BV20" si="101">BU18*BT18*$E18</f>
        <v>0</v>
      </c>
      <c r="BW18" s="107"/>
      <c r="BX18" s="116"/>
      <c r="BY18" s="109">
        <f t="shared" ref="BY18:BY20" si="102">BX18*BW18*$E18</f>
        <v>0</v>
      </c>
      <c r="BZ18" s="107"/>
      <c r="CA18" s="108"/>
      <c r="CB18" s="109">
        <f t="shared" si="40"/>
        <v>0</v>
      </c>
      <c r="CC18" s="107"/>
      <c r="CD18" s="108"/>
      <c r="CE18" s="109">
        <f t="shared" si="41"/>
        <v>0</v>
      </c>
      <c r="CF18" s="107"/>
      <c r="CG18" s="108"/>
      <c r="CH18" s="109">
        <f t="shared" si="42"/>
        <v>0</v>
      </c>
      <c r="CI18" s="107"/>
      <c r="CJ18" s="108"/>
      <c r="CK18" s="109">
        <f t="shared" si="43"/>
        <v>0</v>
      </c>
      <c r="CL18" s="107">
        <f>$CL$4*$CM$4</f>
        <v>56</v>
      </c>
      <c r="CM18" s="108">
        <v>1</v>
      </c>
      <c r="CN18" s="109">
        <f t="shared" si="44"/>
        <v>1225.72128</v>
      </c>
      <c r="CO18" s="107">
        <f>$CO$4*$CP$4</f>
        <v>24</v>
      </c>
      <c r="CP18" s="108">
        <v>1</v>
      </c>
      <c r="CQ18" s="109">
        <f t="shared" si="45"/>
        <v>525.30912000000001</v>
      </c>
      <c r="CR18" s="107"/>
      <c r="CS18" s="108"/>
      <c r="CT18" s="109">
        <f t="shared" si="46"/>
        <v>0</v>
      </c>
      <c r="CU18" s="107"/>
      <c r="CV18" s="108"/>
      <c r="CW18" s="109">
        <f t="shared" si="47"/>
        <v>0</v>
      </c>
      <c r="CX18" s="107"/>
      <c r="CY18" s="108"/>
      <c r="CZ18" s="109">
        <f t="shared" si="48"/>
        <v>0</v>
      </c>
      <c r="DA18" s="107"/>
      <c r="DB18" s="108"/>
      <c r="DC18" s="109">
        <f t="shared" si="49"/>
        <v>0</v>
      </c>
      <c r="DD18" s="107">
        <f>$DD$4*$DE$4</f>
        <v>16</v>
      </c>
      <c r="DE18" s="108">
        <v>1</v>
      </c>
      <c r="DF18" s="109">
        <f t="shared" si="50"/>
        <v>350.20607999999999</v>
      </c>
      <c r="DG18" s="107">
        <f>$DG$4*$DH$4</f>
        <v>12</v>
      </c>
      <c r="DH18" s="108">
        <v>1</v>
      </c>
      <c r="DI18" s="109">
        <f t="shared" si="51"/>
        <v>262.65456</v>
      </c>
      <c r="DJ18" s="107">
        <f>$DJ$4*$DK$4</f>
        <v>40</v>
      </c>
      <c r="DK18" s="108">
        <v>1</v>
      </c>
      <c r="DL18" s="109">
        <f t="shared" si="52"/>
        <v>875.51519999999994</v>
      </c>
      <c r="DM18" s="107">
        <f>$DM$4*$DN$4</f>
        <v>24</v>
      </c>
      <c r="DN18" s="108">
        <v>1</v>
      </c>
      <c r="DO18" s="109">
        <f t="shared" si="53"/>
        <v>525.30912000000001</v>
      </c>
      <c r="DP18" s="117"/>
      <c r="DQ18" s="110"/>
      <c r="DR18" s="111"/>
      <c r="DS18" s="112">
        <f t="shared" si="39"/>
        <v>10418.630880000001</v>
      </c>
      <c r="DT18" s="113">
        <f t="shared" si="78"/>
        <v>2.1066150231277073E-2</v>
      </c>
    </row>
    <row r="19" spans="2:125" s="86" customFormat="1" ht="21.9" customHeight="1" outlineLevel="1">
      <c r="B19" s="104" t="str">
        <f>MO!B15</f>
        <v>P13</v>
      </c>
      <c r="C19" s="569" t="str">
        <f>MO!C15</f>
        <v>Servente/Auxiliar de obras</v>
      </c>
      <c r="D19" s="105" t="s">
        <v>208</v>
      </c>
      <c r="E19" s="106">
        <f>MO!I15</f>
        <v>15.722280000000001</v>
      </c>
      <c r="F19" s="107">
        <f>$F$4*$G$4</f>
        <v>160</v>
      </c>
      <c r="G19" s="108">
        <v>2</v>
      </c>
      <c r="H19" s="109">
        <f t="shared" si="79"/>
        <v>5031.1296000000002</v>
      </c>
      <c r="I19" s="107">
        <f>$I$4*$J$4</f>
        <v>80</v>
      </c>
      <c r="J19" s="108">
        <v>2</v>
      </c>
      <c r="K19" s="109">
        <f t="shared" si="80"/>
        <v>2515.5648000000001</v>
      </c>
      <c r="L19" s="107">
        <f>$L$4*$M$4</f>
        <v>80</v>
      </c>
      <c r="M19" s="116">
        <v>2</v>
      </c>
      <c r="N19" s="109">
        <f t="shared" si="81"/>
        <v>2515.5648000000001</v>
      </c>
      <c r="O19" s="107"/>
      <c r="P19" s="116"/>
      <c r="Q19" s="109">
        <f t="shared" si="82"/>
        <v>0</v>
      </c>
      <c r="R19" s="107"/>
      <c r="S19" s="116"/>
      <c r="T19" s="109">
        <f t="shared" si="83"/>
        <v>0</v>
      </c>
      <c r="U19" s="107"/>
      <c r="V19" s="116"/>
      <c r="W19" s="109">
        <f t="shared" si="84"/>
        <v>0</v>
      </c>
      <c r="X19" s="107"/>
      <c r="Y19" s="116"/>
      <c r="Z19" s="109">
        <f t="shared" si="85"/>
        <v>0</v>
      </c>
      <c r="AA19" s="107"/>
      <c r="AB19" s="116"/>
      <c r="AC19" s="109">
        <f t="shared" si="86"/>
        <v>0</v>
      </c>
      <c r="AD19" s="107"/>
      <c r="AE19" s="116"/>
      <c r="AF19" s="109">
        <f t="shared" si="87"/>
        <v>0</v>
      </c>
      <c r="AG19" s="107"/>
      <c r="AH19" s="116"/>
      <c r="AI19" s="109">
        <f t="shared" si="88"/>
        <v>0</v>
      </c>
      <c r="AJ19" s="107"/>
      <c r="AK19" s="116"/>
      <c r="AL19" s="109">
        <f t="shared" si="89"/>
        <v>0</v>
      </c>
      <c r="AM19" s="107"/>
      <c r="AN19" s="116"/>
      <c r="AO19" s="109">
        <f t="shared" si="90"/>
        <v>0</v>
      </c>
      <c r="AP19" s="107"/>
      <c r="AQ19" s="116"/>
      <c r="AR19" s="109">
        <f t="shared" si="91"/>
        <v>0</v>
      </c>
      <c r="AS19" s="107"/>
      <c r="AT19" s="116"/>
      <c r="AU19" s="109">
        <f t="shared" si="92"/>
        <v>0</v>
      </c>
      <c r="AV19" s="107"/>
      <c r="AW19" s="116"/>
      <c r="AX19" s="109">
        <f t="shared" si="93"/>
        <v>0</v>
      </c>
      <c r="AY19" s="107"/>
      <c r="AZ19" s="116"/>
      <c r="BA19" s="109">
        <f t="shared" si="94"/>
        <v>0</v>
      </c>
      <c r="BB19" s="107"/>
      <c r="BC19" s="116"/>
      <c r="BD19" s="109">
        <f t="shared" si="95"/>
        <v>0</v>
      </c>
      <c r="BE19" s="107"/>
      <c r="BF19" s="116"/>
      <c r="BG19" s="109">
        <f t="shared" si="96"/>
        <v>0</v>
      </c>
      <c r="BH19" s="107"/>
      <c r="BI19" s="116"/>
      <c r="BJ19" s="109">
        <f t="shared" si="97"/>
        <v>0</v>
      </c>
      <c r="BK19" s="107"/>
      <c r="BL19" s="116"/>
      <c r="BM19" s="109">
        <f t="shared" si="98"/>
        <v>0</v>
      </c>
      <c r="BN19" s="107">
        <f>$BN$4*$BO$4</f>
        <v>16</v>
      </c>
      <c r="BO19" s="116">
        <v>1</v>
      </c>
      <c r="BP19" s="109">
        <f t="shared" si="99"/>
        <v>251.55648000000002</v>
      </c>
      <c r="BQ19" s="107">
        <f>$BQ$4*$BR$4</f>
        <v>48</v>
      </c>
      <c r="BR19" s="116">
        <v>1</v>
      </c>
      <c r="BS19" s="109">
        <f t="shared" si="100"/>
        <v>754.66944000000012</v>
      </c>
      <c r="BT19" s="107">
        <f>$BT$4*$BU$4</f>
        <v>4</v>
      </c>
      <c r="BU19" s="116">
        <v>1</v>
      </c>
      <c r="BV19" s="109">
        <f t="shared" si="101"/>
        <v>62.889120000000005</v>
      </c>
      <c r="BW19" s="107">
        <f>$BW$4*$BX$4</f>
        <v>2.56</v>
      </c>
      <c r="BX19" s="116">
        <v>1</v>
      </c>
      <c r="BY19" s="109">
        <f t="shared" si="102"/>
        <v>40.249036800000006</v>
      </c>
      <c r="BZ19" s="107">
        <f>$BZ$4*$CA$4</f>
        <v>4.4800000000000004</v>
      </c>
      <c r="CA19" s="116">
        <v>1</v>
      </c>
      <c r="CB19" s="109">
        <f t="shared" si="40"/>
        <v>70.435814400000012</v>
      </c>
      <c r="CC19" s="107">
        <f>$CC$4*$CD$4</f>
        <v>0.8</v>
      </c>
      <c r="CD19" s="108">
        <v>1</v>
      </c>
      <c r="CE19" s="109">
        <f t="shared" si="41"/>
        <v>12.577824000000001</v>
      </c>
      <c r="CF19" s="107">
        <f>$CF$4*$CG$4</f>
        <v>1.2</v>
      </c>
      <c r="CG19" s="108">
        <v>1</v>
      </c>
      <c r="CH19" s="109">
        <f t="shared" si="42"/>
        <v>18.866736</v>
      </c>
      <c r="CI19" s="107">
        <f>$CI$4*$CJ$4</f>
        <v>0.4</v>
      </c>
      <c r="CJ19" s="108">
        <v>1</v>
      </c>
      <c r="CK19" s="109">
        <f t="shared" si="43"/>
        <v>6.2889120000000007</v>
      </c>
      <c r="CL19" s="107">
        <f>$CL$4*$CM$4</f>
        <v>56</v>
      </c>
      <c r="CM19" s="108">
        <v>1</v>
      </c>
      <c r="CN19" s="109">
        <f t="shared" si="44"/>
        <v>880.4476800000001</v>
      </c>
      <c r="CO19" s="107">
        <f>$CO$4*$CP$4</f>
        <v>24</v>
      </c>
      <c r="CP19" s="108">
        <v>1</v>
      </c>
      <c r="CQ19" s="109">
        <f t="shared" si="45"/>
        <v>377.33472000000006</v>
      </c>
      <c r="CR19" s="107"/>
      <c r="CS19" s="108"/>
      <c r="CT19" s="109">
        <f t="shared" si="46"/>
        <v>0</v>
      </c>
      <c r="CU19" s="107"/>
      <c r="CV19" s="108"/>
      <c r="CW19" s="109">
        <f t="shared" si="47"/>
        <v>0</v>
      </c>
      <c r="CX19" s="107"/>
      <c r="CY19" s="108"/>
      <c r="CZ19" s="109">
        <f t="shared" si="48"/>
        <v>0</v>
      </c>
      <c r="DA19" s="107"/>
      <c r="DB19" s="108"/>
      <c r="DC19" s="109">
        <f t="shared" si="49"/>
        <v>0</v>
      </c>
      <c r="DD19" s="107">
        <f>$DD$4*$DE$4</f>
        <v>16</v>
      </c>
      <c r="DE19" s="108">
        <v>1</v>
      </c>
      <c r="DF19" s="109">
        <f t="shared" si="50"/>
        <v>251.55648000000002</v>
      </c>
      <c r="DG19" s="107">
        <f>$DG$4*$DH$4</f>
        <v>12</v>
      </c>
      <c r="DH19" s="108">
        <v>1</v>
      </c>
      <c r="DI19" s="109">
        <f t="shared" si="51"/>
        <v>188.66736000000003</v>
      </c>
      <c r="DJ19" s="107">
        <f>$DJ$4*$DK$4</f>
        <v>40</v>
      </c>
      <c r="DK19" s="108">
        <v>1</v>
      </c>
      <c r="DL19" s="109">
        <f t="shared" si="52"/>
        <v>628.89120000000003</v>
      </c>
      <c r="DM19" s="107">
        <f>$DM$4*$DN$4</f>
        <v>24</v>
      </c>
      <c r="DN19" s="108">
        <v>1</v>
      </c>
      <c r="DO19" s="109">
        <f t="shared" si="53"/>
        <v>377.33472000000006</v>
      </c>
      <c r="DP19" s="117"/>
      <c r="DQ19" s="110"/>
      <c r="DR19" s="111"/>
      <c r="DS19" s="112">
        <f t="shared" si="39"/>
        <v>15229.229299199998</v>
      </c>
      <c r="DT19" s="113">
        <f t="shared" si="78"/>
        <v>3.0793031831022465E-2</v>
      </c>
    </row>
    <row r="20" spans="2:125" s="86" customFormat="1" ht="21.9" customHeight="1" outlineLevel="1" thickBot="1">
      <c r="B20" s="104" t="str">
        <f>MO!B16</f>
        <v>P14</v>
      </c>
      <c r="C20" s="569" t="str">
        <f>MO!C16</f>
        <v>Supervisor de obras</v>
      </c>
      <c r="D20" s="105" t="s">
        <v>208</v>
      </c>
      <c r="E20" s="106">
        <f>MO!I16</f>
        <v>52.047272727272727</v>
      </c>
      <c r="F20" s="107">
        <f>$F$4*$G$4</f>
        <v>160</v>
      </c>
      <c r="G20" s="108">
        <v>1</v>
      </c>
      <c r="H20" s="109">
        <f t="shared" si="79"/>
        <v>8327.5636363636368</v>
      </c>
      <c r="I20" s="107">
        <f>$I$4*$J$4</f>
        <v>80</v>
      </c>
      <c r="J20" s="108">
        <v>1</v>
      </c>
      <c r="K20" s="109">
        <f t="shared" si="80"/>
        <v>4163.7818181818184</v>
      </c>
      <c r="L20" s="107"/>
      <c r="M20" s="116"/>
      <c r="N20" s="109">
        <f t="shared" si="81"/>
        <v>0</v>
      </c>
      <c r="O20" s="107"/>
      <c r="P20" s="116"/>
      <c r="Q20" s="109">
        <f t="shared" si="82"/>
        <v>0</v>
      </c>
      <c r="R20" s="107"/>
      <c r="S20" s="116"/>
      <c r="T20" s="109">
        <f t="shared" si="83"/>
        <v>0</v>
      </c>
      <c r="U20" s="107"/>
      <c r="V20" s="116"/>
      <c r="W20" s="109">
        <f t="shared" si="84"/>
        <v>0</v>
      </c>
      <c r="X20" s="107"/>
      <c r="Y20" s="116"/>
      <c r="Z20" s="109">
        <f t="shared" si="85"/>
        <v>0</v>
      </c>
      <c r="AA20" s="107"/>
      <c r="AB20" s="116"/>
      <c r="AC20" s="109">
        <f t="shared" si="86"/>
        <v>0</v>
      </c>
      <c r="AD20" s="107"/>
      <c r="AE20" s="116"/>
      <c r="AF20" s="109">
        <f t="shared" si="87"/>
        <v>0</v>
      </c>
      <c r="AG20" s="107"/>
      <c r="AH20" s="116"/>
      <c r="AI20" s="109">
        <f t="shared" si="88"/>
        <v>0</v>
      </c>
      <c r="AJ20" s="107"/>
      <c r="AK20" s="116"/>
      <c r="AL20" s="109">
        <f t="shared" si="89"/>
        <v>0</v>
      </c>
      <c r="AM20" s="107"/>
      <c r="AN20" s="116"/>
      <c r="AO20" s="109">
        <f t="shared" si="90"/>
        <v>0</v>
      </c>
      <c r="AP20" s="107"/>
      <c r="AQ20" s="116"/>
      <c r="AR20" s="109">
        <f t="shared" si="91"/>
        <v>0</v>
      </c>
      <c r="AS20" s="107"/>
      <c r="AT20" s="116"/>
      <c r="AU20" s="109">
        <f t="shared" si="92"/>
        <v>0</v>
      </c>
      <c r="AV20" s="107"/>
      <c r="AW20" s="116"/>
      <c r="AX20" s="109">
        <f t="shared" si="93"/>
        <v>0</v>
      </c>
      <c r="AY20" s="107"/>
      <c r="AZ20" s="116"/>
      <c r="BA20" s="109">
        <f t="shared" si="94"/>
        <v>0</v>
      </c>
      <c r="BB20" s="107"/>
      <c r="BC20" s="116"/>
      <c r="BD20" s="109">
        <f t="shared" si="95"/>
        <v>0</v>
      </c>
      <c r="BE20" s="107"/>
      <c r="BF20" s="116"/>
      <c r="BG20" s="109">
        <f t="shared" si="96"/>
        <v>0</v>
      </c>
      <c r="BH20" s="107"/>
      <c r="BI20" s="116"/>
      <c r="BJ20" s="109">
        <f t="shared" si="97"/>
        <v>0</v>
      </c>
      <c r="BK20" s="107"/>
      <c r="BL20" s="116"/>
      <c r="BM20" s="109">
        <f t="shared" si="98"/>
        <v>0</v>
      </c>
      <c r="BN20" s="107">
        <f>$BN$4*$BO$4</f>
        <v>16</v>
      </c>
      <c r="BO20" s="116">
        <v>1</v>
      </c>
      <c r="BP20" s="109">
        <f t="shared" si="99"/>
        <v>832.75636363636363</v>
      </c>
      <c r="BQ20" s="107">
        <f>$BQ$4*$BR$4</f>
        <v>48</v>
      </c>
      <c r="BR20" s="116">
        <v>1</v>
      </c>
      <c r="BS20" s="109">
        <f t="shared" si="100"/>
        <v>2498.2690909090907</v>
      </c>
      <c r="BT20" s="107">
        <f>$BT$4*$BU$4</f>
        <v>4</v>
      </c>
      <c r="BU20" s="116">
        <v>1</v>
      </c>
      <c r="BV20" s="109">
        <f t="shared" si="101"/>
        <v>208.18909090909091</v>
      </c>
      <c r="BW20" s="107">
        <f>$BW$4*$BX$4</f>
        <v>2.56</v>
      </c>
      <c r="BX20" s="116">
        <v>1</v>
      </c>
      <c r="BY20" s="109">
        <f t="shared" si="102"/>
        <v>133.24101818181819</v>
      </c>
      <c r="BZ20" s="107">
        <f>$BZ$4*$CA$4</f>
        <v>4.4800000000000004</v>
      </c>
      <c r="CA20" s="116">
        <v>1</v>
      </c>
      <c r="CB20" s="109">
        <f t="shared" si="40"/>
        <v>233.17178181818184</v>
      </c>
      <c r="CC20" s="107">
        <f>$CC$4*$CD$4</f>
        <v>0.8</v>
      </c>
      <c r="CD20" s="108">
        <v>1</v>
      </c>
      <c r="CE20" s="109">
        <f t="shared" si="41"/>
        <v>41.637818181818183</v>
      </c>
      <c r="CF20" s="107">
        <f>$CF$4*$CG$4</f>
        <v>1.2</v>
      </c>
      <c r="CG20" s="108">
        <v>1</v>
      </c>
      <c r="CH20" s="109">
        <f t="shared" si="42"/>
        <v>62.456727272727271</v>
      </c>
      <c r="CI20" s="107">
        <f>$CI$4*$CJ$4</f>
        <v>0.4</v>
      </c>
      <c r="CJ20" s="108">
        <v>1</v>
      </c>
      <c r="CK20" s="109">
        <f t="shared" si="43"/>
        <v>20.818909090909091</v>
      </c>
      <c r="CL20" s="107">
        <f>$CL$4*$CM$4</f>
        <v>56</v>
      </c>
      <c r="CM20" s="108">
        <v>1</v>
      </c>
      <c r="CN20" s="109">
        <f t="shared" si="44"/>
        <v>2914.6472727272726</v>
      </c>
      <c r="CO20" s="107">
        <f>$CO$4*$CP$4</f>
        <v>24</v>
      </c>
      <c r="CP20" s="108">
        <v>1</v>
      </c>
      <c r="CQ20" s="109">
        <f t="shared" si="45"/>
        <v>1249.1345454545453</v>
      </c>
      <c r="CR20" s="107"/>
      <c r="CS20" s="108"/>
      <c r="CT20" s="109">
        <f t="shared" si="46"/>
        <v>0</v>
      </c>
      <c r="CU20" s="107"/>
      <c r="CV20" s="108"/>
      <c r="CW20" s="109">
        <f t="shared" si="47"/>
        <v>0</v>
      </c>
      <c r="CX20" s="107"/>
      <c r="CY20" s="108"/>
      <c r="CZ20" s="109">
        <f t="shared" si="48"/>
        <v>0</v>
      </c>
      <c r="DA20" s="107"/>
      <c r="DB20" s="108"/>
      <c r="DC20" s="109">
        <f t="shared" si="49"/>
        <v>0</v>
      </c>
      <c r="DD20" s="107">
        <f>$DD$4*$DE$4</f>
        <v>16</v>
      </c>
      <c r="DE20" s="108">
        <v>1</v>
      </c>
      <c r="DF20" s="109">
        <f t="shared" si="50"/>
        <v>832.75636363636363</v>
      </c>
      <c r="DG20" s="107">
        <f>$DG$4*$DH$4</f>
        <v>12</v>
      </c>
      <c r="DH20" s="108">
        <v>1</v>
      </c>
      <c r="DI20" s="109">
        <f t="shared" si="51"/>
        <v>624.56727272727267</v>
      </c>
      <c r="DJ20" s="107">
        <f>$DJ$4*$DK$4</f>
        <v>40</v>
      </c>
      <c r="DK20" s="108">
        <v>1</v>
      </c>
      <c r="DL20" s="109">
        <f t="shared" si="52"/>
        <v>2081.8909090909092</v>
      </c>
      <c r="DM20" s="107">
        <f>$DM$4*$DN$4</f>
        <v>24</v>
      </c>
      <c r="DN20" s="108">
        <v>1</v>
      </c>
      <c r="DO20" s="109">
        <f t="shared" si="53"/>
        <v>1249.1345454545453</v>
      </c>
      <c r="DP20" s="117"/>
      <c r="DQ20" s="110"/>
      <c r="DR20" s="111"/>
      <c r="DS20" s="112">
        <f t="shared" si="39"/>
        <v>29596.161163636367</v>
      </c>
      <c r="DT20" s="113">
        <f t="shared" si="78"/>
        <v>5.9842524850275886E-2</v>
      </c>
    </row>
    <row r="21" spans="2:125" s="86" customFormat="1" ht="21.9" customHeight="1" thickBot="1">
      <c r="B21" s="705" t="s">
        <v>102</v>
      </c>
      <c r="C21" s="706"/>
      <c r="D21" s="706"/>
      <c r="E21" s="706"/>
      <c r="F21" s="202">
        <f t="shared" ref="F21:AK21" si="103">SUM(F7:F20)</f>
        <v>1440</v>
      </c>
      <c r="G21" s="202">
        <f t="shared" si="103"/>
        <v>11</v>
      </c>
      <c r="H21" s="202">
        <f t="shared" si="103"/>
        <v>51331.406530909095</v>
      </c>
      <c r="I21" s="202">
        <f t="shared" si="103"/>
        <v>720</v>
      </c>
      <c r="J21" s="202">
        <f t="shared" si="103"/>
        <v>11</v>
      </c>
      <c r="K21" s="202">
        <f t="shared" si="103"/>
        <v>25665.703265454547</v>
      </c>
      <c r="L21" s="202">
        <f t="shared" si="103"/>
        <v>80</v>
      </c>
      <c r="M21" s="202">
        <f t="shared" si="103"/>
        <v>2</v>
      </c>
      <c r="N21" s="202">
        <f t="shared" si="103"/>
        <v>2515.5648000000001</v>
      </c>
      <c r="O21" s="202">
        <f t="shared" si="103"/>
        <v>224</v>
      </c>
      <c r="P21" s="202">
        <f t="shared" si="103"/>
        <v>2</v>
      </c>
      <c r="Q21" s="202">
        <f t="shared" si="103"/>
        <v>16873.565672727273</v>
      </c>
      <c r="R21" s="202">
        <f t="shared" si="103"/>
        <v>112</v>
      </c>
      <c r="S21" s="202">
        <f t="shared" si="103"/>
        <v>2</v>
      </c>
      <c r="T21" s="202">
        <f t="shared" si="103"/>
        <v>8436.7828363636363</v>
      </c>
      <c r="U21" s="202">
        <f t="shared" si="103"/>
        <v>48</v>
      </c>
      <c r="V21" s="202">
        <f t="shared" si="103"/>
        <v>2</v>
      </c>
      <c r="W21" s="202">
        <f t="shared" si="103"/>
        <v>5862.2845090909095</v>
      </c>
      <c r="X21" s="202">
        <f t="shared" si="103"/>
        <v>160</v>
      </c>
      <c r="Y21" s="202">
        <f t="shared" si="103"/>
        <v>2</v>
      </c>
      <c r="Z21" s="202">
        <f t="shared" si="103"/>
        <v>3803.454545454545</v>
      </c>
      <c r="AA21" s="202">
        <f t="shared" si="103"/>
        <v>80</v>
      </c>
      <c r="AB21" s="202">
        <f t="shared" si="103"/>
        <v>1</v>
      </c>
      <c r="AC21" s="202">
        <f t="shared" si="103"/>
        <v>4885.2370909090914</v>
      </c>
      <c r="AD21" s="202">
        <f t="shared" si="103"/>
        <v>80</v>
      </c>
      <c r="AE21" s="202">
        <f t="shared" si="103"/>
        <v>1</v>
      </c>
      <c r="AF21" s="202">
        <f t="shared" si="103"/>
        <v>4885.2370909090914</v>
      </c>
      <c r="AG21" s="202">
        <f t="shared" si="103"/>
        <v>80</v>
      </c>
      <c r="AH21" s="202">
        <f t="shared" si="103"/>
        <v>1</v>
      </c>
      <c r="AI21" s="202">
        <f t="shared" si="103"/>
        <v>4885.2370909090914</v>
      </c>
      <c r="AJ21" s="202">
        <f t="shared" si="103"/>
        <v>80</v>
      </c>
      <c r="AK21" s="202">
        <f t="shared" si="103"/>
        <v>1</v>
      </c>
      <c r="AL21" s="202">
        <f t="shared" ref="AL21:BO21" si="104">SUM(AL7:AL20)</f>
        <v>4885.2370909090914</v>
      </c>
      <c r="AM21" s="202">
        <f t="shared" si="104"/>
        <v>192</v>
      </c>
      <c r="AN21" s="202">
        <f t="shared" si="104"/>
        <v>1.25</v>
      </c>
      <c r="AO21" s="202">
        <f t="shared" si="104"/>
        <v>8272.7938909090917</v>
      </c>
      <c r="AP21" s="202">
        <f t="shared" si="104"/>
        <v>0</v>
      </c>
      <c r="AQ21" s="202">
        <f t="shared" si="104"/>
        <v>0</v>
      </c>
      <c r="AR21" s="202">
        <f t="shared" si="104"/>
        <v>0</v>
      </c>
      <c r="AS21" s="202">
        <f t="shared" si="104"/>
        <v>0</v>
      </c>
      <c r="AT21" s="202">
        <f t="shared" si="104"/>
        <v>0</v>
      </c>
      <c r="AU21" s="202">
        <f t="shared" si="104"/>
        <v>0</v>
      </c>
      <c r="AV21" s="202">
        <f t="shared" si="104"/>
        <v>0</v>
      </c>
      <c r="AW21" s="202">
        <f t="shared" si="104"/>
        <v>0</v>
      </c>
      <c r="AX21" s="202">
        <f t="shared" si="104"/>
        <v>0</v>
      </c>
      <c r="AY21" s="202">
        <f t="shared" si="104"/>
        <v>0</v>
      </c>
      <c r="AZ21" s="202">
        <f t="shared" si="104"/>
        <v>0</v>
      </c>
      <c r="BA21" s="202">
        <f t="shared" si="104"/>
        <v>0</v>
      </c>
      <c r="BB21" s="202">
        <f t="shared" si="104"/>
        <v>0</v>
      </c>
      <c r="BC21" s="202">
        <f t="shared" si="104"/>
        <v>0</v>
      </c>
      <c r="BD21" s="202">
        <f t="shared" si="104"/>
        <v>0</v>
      </c>
      <c r="BE21" s="202">
        <f t="shared" si="104"/>
        <v>0</v>
      </c>
      <c r="BF21" s="202">
        <f t="shared" si="104"/>
        <v>0</v>
      </c>
      <c r="BG21" s="202">
        <f t="shared" si="104"/>
        <v>0</v>
      </c>
      <c r="BH21" s="202">
        <f t="shared" si="104"/>
        <v>0.36</v>
      </c>
      <c r="BI21" s="202">
        <f t="shared" si="104"/>
        <v>3</v>
      </c>
      <c r="BJ21" s="202">
        <f t="shared" si="104"/>
        <v>10.425421047272726</v>
      </c>
      <c r="BK21" s="202">
        <f t="shared" si="104"/>
        <v>3.7800000000000002</v>
      </c>
      <c r="BL21" s="202">
        <f t="shared" si="104"/>
        <v>3</v>
      </c>
      <c r="BM21" s="202">
        <f t="shared" si="104"/>
        <v>109.46692099636363</v>
      </c>
      <c r="BN21" s="202">
        <f t="shared" si="104"/>
        <v>176.45</v>
      </c>
      <c r="BO21" s="202">
        <f t="shared" si="104"/>
        <v>14</v>
      </c>
      <c r="BP21" s="202">
        <f t="shared" ref="BP21:DO21" si="105">SUM(BP7:BP20)</f>
        <v>5343.8033907272729</v>
      </c>
      <c r="BQ21" s="202">
        <f t="shared" si="105"/>
        <v>528</v>
      </c>
      <c r="BR21" s="202">
        <f t="shared" si="105"/>
        <v>11</v>
      </c>
      <c r="BS21" s="202">
        <f t="shared" si="105"/>
        <v>15908.655678545454</v>
      </c>
      <c r="BT21" s="202">
        <f t="shared" si="105"/>
        <v>24</v>
      </c>
      <c r="BU21" s="202">
        <f t="shared" si="105"/>
        <v>6</v>
      </c>
      <c r="BV21" s="202">
        <f t="shared" si="105"/>
        <v>788.74679127272725</v>
      </c>
      <c r="BW21" s="202">
        <f t="shared" si="105"/>
        <v>15.360000000000001</v>
      </c>
      <c r="BX21" s="202">
        <f t="shared" si="105"/>
        <v>6</v>
      </c>
      <c r="BY21" s="202">
        <f t="shared" si="105"/>
        <v>504.79794641454544</v>
      </c>
      <c r="BZ21" s="202">
        <f t="shared" si="105"/>
        <v>26.880000000000003</v>
      </c>
      <c r="CA21" s="202">
        <f t="shared" si="105"/>
        <v>6</v>
      </c>
      <c r="CB21" s="202">
        <f t="shared" si="105"/>
        <v>883.39640622545471</v>
      </c>
      <c r="CC21" s="202">
        <f t="shared" si="105"/>
        <v>4.8</v>
      </c>
      <c r="CD21" s="202">
        <f t="shared" si="105"/>
        <v>6</v>
      </c>
      <c r="CE21" s="202">
        <f t="shared" si="105"/>
        <v>157.74935825454546</v>
      </c>
      <c r="CF21" s="202">
        <f t="shared" si="105"/>
        <v>7.2</v>
      </c>
      <c r="CG21" s="202">
        <f t="shared" si="105"/>
        <v>6</v>
      </c>
      <c r="CH21" s="202">
        <f t="shared" si="105"/>
        <v>236.6240373818182</v>
      </c>
      <c r="CI21" s="202">
        <f t="shared" si="105"/>
        <v>2.4</v>
      </c>
      <c r="CJ21" s="202">
        <f t="shared" si="105"/>
        <v>6</v>
      </c>
      <c r="CK21" s="202">
        <f t="shared" si="105"/>
        <v>78.874679127272728</v>
      </c>
      <c r="CL21" s="202">
        <f t="shared" si="105"/>
        <v>414.4</v>
      </c>
      <c r="CM21" s="202">
        <f t="shared" si="105"/>
        <v>9</v>
      </c>
      <c r="CN21" s="202">
        <f t="shared" si="105"/>
        <v>15003.909128727271</v>
      </c>
      <c r="CO21" s="202">
        <f t="shared" si="105"/>
        <v>168</v>
      </c>
      <c r="CP21" s="202">
        <f t="shared" si="105"/>
        <v>7</v>
      </c>
      <c r="CQ21" s="202">
        <f t="shared" si="105"/>
        <v>5257.7898676363639</v>
      </c>
      <c r="CR21" s="202">
        <f t="shared" si="105"/>
        <v>0</v>
      </c>
      <c r="CS21" s="202">
        <f t="shared" si="105"/>
        <v>0</v>
      </c>
      <c r="CT21" s="202">
        <f t="shared" si="105"/>
        <v>0</v>
      </c>
      <c r="CU21" s="202">
        <f t="shared" si="105"/>
        <v>0</v>
      </c>
      <c r="CV21" s="202">
        <f t="shared" si="105"/>
        <v>0</v>
      </c>
      <c r="CW21" s="202">
        <f t="shared" si="105"/>
        <v>0</v>
      </c>
      <c r="CX21" s="202">
        <f t="shared" si="105"/>
        <v>0</v>
      </c>
      <c r="CY21" s="202">
        <f t="shared" si="105"/>
        <v>0</v>
      </c>
      <c r="CZ21" s="202">
        <f t="shared" si="105"/>
        <v>0</v>
      </c>
      <c r="DA21" s="202">
        <f t="shared" si="105"/>
        <v>0</v>
      </c>
      <c r="DB21" s="202">
        <f t="shared" si="105"/>
        <v>0</v>
      </c>
      <c r="DC21" s="202">
        <f t="shared" si="105"/>
        <v>0</v>
      </c>
      <c r="DD21" s="202">
        <f t="shared" si="105"/>
        <v>112</v>
      </c>
      <c r="DE21" s="202">
        <f t="shared" si="105"/>
        <v>7</v>
      </c>
      <c r="DF21" s="202">
        <f t="shared" si="105"/>
        <v>3632.5745410909094</v>
      </c>
      <c r="DG21" s="202">
        <f t="shared" si="105"/>
        <v>84</v>
      </c>
      <c r="DH21" s="202">
        <f t="shared" si="105"/>
        <v>7</v>
      </c>
      <c r="DI21" s="202">
        <f t="shared" si="105"/>
        <v>2724.4309058181821</v>
      </c>
      <c r="DJ21" s="202">
        <f t="shared" si="105"/>
        <v>280</v>
      </c>
      <c r="DK21" s="202">
        <f t="shared" si="105"/>
        <v>7</v>
      </c>
      <c r="DL21" s="202">
        <f t="shared" si="105"/>
        <v>9081.4363527272726</v>
      </c>
      <c r="DM21" s="202">
        <f t="shared" si="105"/>
        <v>168</v>
      </c>
      <c r="DN21" s="202">
        <f t="shared" si="105"/>
        <v>7</v>
      </c>
      <c r="DO21" s="202">
        <f t="shared" si="105"/>
        <v>5448.8618116363641</v>
      </c>
      <c r="DP21" s="117"/>
      <c r="DQ21" s="202">
        <f t="shared" ref="DQ21" si="106">SUM(DQ7:DQ20)</f>
        <v>0</v>
      </c>
      <c r="DR21" s="202">
        <f t="shared" ref="DR21" si="107">SUM(DR7:DR20)</f>
        <v>0</v>
      </c>
      <c r="DS21" s="202">
        <f>SUM(DS7:DS20)</f>
        <v>224123.35080305461</v>
      </c>
      <c r="DT21" s="113"/>
    </row>
    <row r="22" spans="2:125" s="86" customFormat="1" ht="21.9" customHeight="1" thickBot="1">
      <c r="B22" s="707" t="s">
        <v>103</v>
      </c>
      <c r="C22" s="708"/>
      <c r="D22" s="708"/>
      <c r="E22" s="709"/>
      <c r="F22" s="120"/>
      <c r="G22" s="120"/>
      <c r="H22" s="120"/>
      <c r="I22" s="120"/>
      <c r="J22" s="120"/>
      <c r="K22" s="120"/>
      <c r="L22" s="120"/>
      <c r="M22" s="120"/>
      <c r="N22" s="120"/>
      <c r="P22" s="120"/>
      <c r="Q22" s="120"/>
      <c r="S22" s="120"/>
      <c r="T22" s="120"/>
      <c r="V22" s="120"/>
      <c r="W22" s="120"/>
      <c r="Y22" s="120"/>
      <c r="Z22" s="120"/>
      <c r="AB22" s="120"/>
      <c r="AC22" s="120"/>
      <c r="AE22" s="120"/>
      <c r="AF22" s="120"/>
      <c r="AH22" s="120"/>
      <c r="AI22" s="120"/>
      <c r="AK22" s="120"/>
      <c r="AL22" s="120"/>
      <c r="AN22" s="120"/>
      <c r="AO22" s="120"/>
      <c r="AQ22" s="120"/>
      <c r="AR22" s="120"/>
      <c r="AT22" s="120"/>
      <c r="AU22" s="120"/>
      <c r="AW22" s="120"/>
      <c r="AX22" s="120"/>
      <c r="AZ22" s="120"/>
      <c r="BA22" s="120"/>
      <c r="BC22" s="120"/>
      <c r="BD22" s="120"/>
      <c r="BF22" s="120"/>
      <c r="BG22" s="120"/>
      <c r="BI22" s="120"/>
      <c r="BJ22" s="120"/>
      <c r="BL22" s="120"/>
      <c r="BM22" s="120"/>
      <c r="BO22" s="120"/>
      <c r="BP22" s="120"/>
      <c r="BR22" s="120"/>
      <c r="BS22" s="120"/>
      <c r="BU22" s="120"/>
      <c r="BV22" s="120"/>
      <c r="BX22" s="120"/>
      <c r="BY22" s="120"/>
      <c r="CA22" s="120"/>
      <c r="CB22" s="120"/>
      <c r="CD22" s="120"/>
      <c r="CE22" s="120"/>
      <c r="CG22" s="120"/>
      <c r="CH22" s="120"/>
      <c r="CJ22" s="120"/>
      <c r="CK22" s="120"/>
      <c r="CM22" s="120"/>
      <c r="CN22" s="120"/>
      <c r="CP22" s="120"/>
      <c r="CQ22" s="120"/>
      <c r="CS22" s="120"/>
      <c r="CT22" s="120"/>
      <c r="CV22" s="120"/>
      <c r="CW22" s="120"/>
      <c r="CY22" s="120"/>
      <c r="CZ22" s="120"/>
      <c r="DB22" s="120"/>
      <c r="DC22" s="120"/>
      <c r="DE22" s="120"/>
      <c r="DF22" s="120"/>
      <c r="DH22" s="120"/>
      <c r="DI22" s="120"/>
      <c r="DK22" s="120"/>
      <c r="DL22" s="120"/>
      <c r="DN22" s="120"/>
      <c r="DO22" s="120"/>
      <c r="DP22" s="117"/>
      <c r="DQ22" s="121"/>
      <c r="DR22" s="121"/>
      <c r="DS22" s="121"/>
      <c r="DT22" s="113"/>
    </row>
    <row r="23" spans="2:125" s="103" customFormat="1" ht="21.9" customHeight="1" thickBot="1">
      <c r="B23" s="197" t="s">
        <v>95</v>
      </c>
      <c r="C23" s="198" t="s">
        <v>96</v>
      </c>
      <c r="D23" s="199" t="s">
        <v>97</v>
      </c>
      <c r="E23" s="200" t="s">
        <v>98</v>
      </c>
      <c r="F23" s="197" t="s">
        <v>99</v>
      </c>
      <c r="G23" s="200" t="s">
        <v>100</v>
      </c>
      <c r="H23" s="201" t="s">
        <v>101</v>
      </c>
      <c r="I23" s="197" t="s">
        <v>99</v>
      </c>
      <c r="J23" s="200" t="s">
        <v>100</v>
      </c>
      <c r="K23" s="201" t="s">
        <v>101</v>
      </c>
      <c r="L23" s="197" t="s">
        <v>99</v>
      </c>
      <c r="M23" s="200" t="s">
        <v>100</v>
      </c>
      <c r="N23" s="201" t="s">
        <v>101</v>
      </c>
      <c r="O23" s="197" t="s">
        <v>99</v>
      </c>
      <c r="P23" s="200" t="s">
        <v>100</v>
      </c>
      <c r="Q23" s="201" t="s">
        <v>101</v>
      </c>
      <c r="R23" s="197" t="s">
        <v>99</v>
      </c>
      <c r="S23" s="200" t="s">
        <v>100</v>
      </c>
      <c r="T23" s="201" t="s">
        <v>101</v>
      </c>
      <c r="U23" s="197" t="s">
        <v>99</v>
      </c>
      <c r="V23" s="200" t="s">
        <v>100</v>
      </c>
      <c r="W23" s="201" t="s">
        <v>101</v>
      </c>
      <c r="X23" s="197" t="s">
        <v>99</v>
      </c>
      <c r="Y23" s="200" t="s">
        <v>100</v>
      </c>
      <c r="Z23" s="201" t="s">
        <v>101</v>
      </c>
      <c r="AA23" s="197" t="s">
        <v>99</v>
      </c>
      <c r="AB23" s="200" t="s">
        <v>100</v>
      </c>
      <c r="AC23" s="201" t="s">
        <v>101</v>
      </c>
      <c r="AD23" s="197" t="s">
        <v>99</v>
      </c>
      <c r="AE23" s="200" t="s">
        <v>100</v>
      </c>
      <c r="AF23" s="201" t="s">
        <v>101</v>
      </c>
      <c r="AG23" s="197" t="s">
        <v>99</v>
      </c>
      <c r="AH23" s="200" t="s">
        <v>100</v>
      </c>
      <c r="AI23" s="201" t="s">
        <v>101</v>
      </c>
      <c r="AJ23" s="197" t="s">
        <v>99</v>
      </c>
      <c r="AK23" s="200" t="s">
        <v>100</v>
      </c>
      <c r="AL23" s="201" t="s">
        <v>101</v>
      </c>
      <c r="AM23" s="197" t="s">
        <v>99</v>
      </c>
      <c r="AN23" s="200" t="s">
        <v>100</v>
      </c>
      <c r="AO23" s="201" t="s">
        <v>101</v>
      </c>
      <c r="AP23" s="197" t="s">
        <v>99</v>
      </c>
      <c r="AQ23" s="200" t="s">
        <v>100</v>
      </c>
      <c r="AR23" s="201" t="s">
        <v>101</v>
      </c>
      <c r="AS23" s="197" t="s">
        <v>99</v>
      </c>
      <c r="AT23" s="200" t="s">
        <v>100</v>
      </c>
      <c r="AU23" s="201" t="s">
        <v>101</v>
      </c>
      <c r="AV23" s="197" t="s">
        <v>99</v>
      </c>
      <c r="AW23" s="200" t="s">
        <v>100</v>
      </c>
      <c r="AX23" s="201" t="s">
        <v>101</v>
      </c>
      <c r="AY23" s="197" t="s">
        <v>99</v>
      </c>
      <c r="AZ23" s="200" t="s">
        <v>100</v>
      </c>
      <c r="BA23" s="201" t="s">
        <v>101</v>
      </c>
      <c r="BB23" s="197" t="s">
        <v>99</v>
      </c>
      <c r="BC23" s="200" t="s">
        <v>100</v>
      </c>
      <c r="BD23" s="201" t="s">
        <v>101</v>
      </c>
      <c r="BE23" s="197" t="s">
        <v>99</v>
      </c>
      <c r="BF23" s="200" t="s">
        <v>100</v>
      </c>
      <c r="BG23" s="201" t="s">
        <v>101</v>
      </c>
      <c r="BH23" s="197" t="s">
        <v>99</v>
      </c>
      <c r="BI23" s="200" t="s">
        <v>100</v>
      </c>
      <c r="BJ23" s="201" t="s">
        <v>101</v>
      </c>
      <c r="BK23" s="197" t="s">
        <v>99</v>
      </c>
      <c r="BL23" s="200" t="s">
        <v>100</v>
      </c>
      <c r="BM23" s="201" t="s">
        <v>101</v>
      </c>
      <c r="BN23" s="197" t="s">
        <v>99</v>
      </c>
      <c r="BO23" s="200" t="s">
        <v>100</v>
      </c>
      <c r="BP23" s="201" t="s">
        <v>101</v>
      </c>
      <c r="BQ23" s="197" t="s">
        <v>99</v>
      </c>
      <c r="BR23" s="200" t="s">
        <v>100</v>
      </c>
      <c r="BS23" s="201" t="s">
        <v>101</v>
      </c>
      <c r="BT23" s="197" t="s">
        <v>99</v>
      </c>
      <c r="BU23" s="200" t="s">
        <v>100</v>
      </c>
      <c r="BV23" s="201" t="s">
        <v>101</v>
      </c>
      <c r="BW23" s="197" t="s">
        <v>99</v>
      </c>
      <c r="BX23" s="200" t="s">
        <v>100</v>
      </c>
      <c r="BY23" s="201" t="s">
        <v>101</v>
      </c>
      <c r="BZ23" s="197" t="s">
        <v>99</v>
      </c>
      <c r="CA23" s="200" t="s">
        <v>100</v>
      </c>
      <c r="CB23" s="201" t="s">
        <v>101</v>
      </c>
      <c r="CC23" s="197" t="s">
        <v>99</v>
      </c>
      <c r="CD23" s="200" t="s">
        <v>100</v>
      </c>
      <c r="CE23" s="201" t="s">
        <v>101</v>
      </c>
      <c r="CF23" s="197" t="s">
        <v>99</v>
      </c>
      <c r="CG23" s="200" t="s">
        <v>100</v>
      </c>
      <c r="CH23" s="201" t="s">
        <v>101</v>
      </c>
      <c r="CI23" s="197" t="s">
        <v>99</v>
      </c>
      <c r="CJ23" s="200" t="s">
        <v>100</v>
      </c>
      <c r="CK23" s="201" t="s">
        <v>101</v>
      </c>
      <c r="CL23" s="197" t="s">
        <v>99</v>
      </c>
      <c r="CM23" s="200" t="s">
        <v>100</v>
      </c>
      <c r="CN23" s="201" t="s">
        <v>101</v>
      </c>
      <c r="CO23" s="197" t="s">
        <v>99</v>
      </c>
      <c r="CP23" s="200" t="s">
        <v>100</v>
      </c>
      <c r="CQ23" s="201" t="s">
        <v>101</v>
      </c>
      <c r="CR23" s="197" t="s">
        <v>99</v>
      </c>
      <c r="CS23" s="200" t="s">
        <v>100</v>
      </c>
      <c r="CT23" s="201" t="s">
        <v>101</v>
      </c>
      <c r="CU23" s="197" t="s">
        <v>99</v>
      </c>
      <c r="CV23" s="200" t="s">
        <v>100</v>
      </c>
      <c r="CW23" s="201" t="s">
        <v>101</v>
      </c>
      <c r="CX23" s="197" t="s">
        <v>99</v>
      </c>
      <c r="CY23" s="200" t="s">
        <v>100</v>
      </c>
      <c r="CZ23" s="201" t="s">
        <v>101</v>
      </c>
      <c r="DA23" s="197" t="s">
        <v>99</v>
      </c>
      <c r="DB23" s="200" t="s">
        <v>100</v>
      </c>
      <c r="DC23" s="201" t="s">
        <v>101</v>
      </c>
      <c r="DD23" s="197" t="s">
        <v>99</v>
      </c>
      <c r="DE23" s="200" t="s">
        <v>100</v>
      </c>
      <c r="DF23" s="201" t="s">
        <v>101</v>
      </c>
      <c r="DG23" s="197" t="s">
        <v>99</v>
      </c>
      <c r="DH23" s="200" t="s">
        <v>100</v>
      </c>
      <c r="DI23" s="201" t="s">
        <v>101</v>
      </c>
      <c r="DJ23" s="197" t="s">
        <v>99</v>
      </c>
      <c r="DK23" s="200" t="s">
        <v>100</v>
      </c>
      <c r="DL23" s="201" t="s">
        <v>101</v>
      </c>
      <c r="DM23" s="197" t="s">
        <v>99</v>
      </c>
      <c r="DN23" s="200" t="s">
        <v>100</v>
      </c>
      <c r="DO23" s="201" t="s">
        <v>101</v>
      </c>
      <c r="DP23" s="100"/>
      <c r="DQ23" s="197" t="s">
        <v>99</v>
      </c>
      <c r="DR23" s="200" t="s">
        <v>100</v>
      </c>
      <c r="DS23" s="201" t="s">
        <v>101</v>
      </c>
      <c r="DT23" s="101"/>
      <c r="DU23" s="102"/>
    </row>
    <row r="24" spans="2:125" s="86" customFormat="1" ht="21.9" customHeight="1" outlineLevel="1">
      <c r="B24" s="122" t="s">
        <v>209</v>
      </c>
      <c r="C24" s="128" t="s">
        <v>661</v>
      </c>
      <c r="D24" s="127" t="s">
        <v>214</v>
      </c>
      <c r="E24" s="130">
        <v>1700</v>
      </c>
      <c r="F24" s="119"/>
      <c r="G24" s="116"/>
      <c r="H24" s="109">
        <f>G24*F24*$E24</f>
        <v>0</v>
      </c>
      <c r="I24" s="119"/>
      <c r="J24" s="116"/>
      <c r="K24" s="109">
        <f>J24*I24*$E24</f>
        <v>0</v>
      </c>
      <c r="L24" s="119">
        <v>1</v>
      </c>
      <c r="M24" s="116">
        <f>29/22</f>
        <v>1.3181818181818181</v>
      </c>
      <c r="N24" s="109">
        <f>M24*L24*$E24</f>
        <v>2240.909090909091</v>
      </c>
      <c r="O24" s="119"/>
      <c r="P24" s="116"/>
      <c r="Q24" s="109">
        <f>P24*O24*$E24</f>
        <v>0</v>
      </c>
      <c r="R24" s="119"/>
      <c r="S24" s="116"/>
      <c r="T24" s="109">
        <f>S24*R24*$E24</f>
        <v>0</v>
      </c>
      <c r="U24" s="119"/>
      <c r="V24" s="116"/>
      <c r="W24" s="109">
        <f>V24*U24*$E24</f>
        <v>0</v>
      </c>
      <c r="X24" s="119"/>
      <c r="Y24" s="116"/>
      <c r="Z24" s="109">
        <f>Y24*X24*$E24</f>
        <v>0</v>
      </c>
      <c r="AA24" s="119"/>
      <c r="AB24" s="116"/>
      <c r="AC24" s="109">
        <f>AB24*AA24*$E24</f>
        <v>0</v>
      </c>
      <c r="AD24" s="119"/>
      <c r="AE24" s="116"/>
      <c r="AF24" s="109">
        <f>AE24*AD24*$E24</f>
        <v>0</v>
      </c>
      <c r="AG24" s="119"/>
      <c r="AH24" s="116"/>
      <c r="AI24" s="109">
        <f>AH24*AG24*$E24</f>
        <v>0</v>
      </c>
      <c r="AJ24" s="119"/>
      <c r="AK24" s="116"/>
      <c r="AL24" s="109">
        <f>AK24*AJ24*$E24</f>
        <v>0</v>
      </c>
      <c r="AM24" s="119"/>
      <c r="AN24" s="116"/>
      <c r="AO24" s="109">
        <f>AN24*AM24*$E24</f>
        <v>0</v>
      </c>
      <c r="AP24" s="119"/>
      <c r="AQ24" s="116"/>
      <c r="AR24" s="109">
        <f>AQ24*AP24*$E24</f>
        <v>0</v>
      </c>
      <c r="AS24" s="119"/>
      <c r="AT24" s="116"/>
      <c r="AU24" s="109">
        <f>AT24*AS24*$E24</f>
        <v>0</v>
      </c>
      <c r="AV24" s="119"/>
      <c r="AW24" s="116"/>
      <c r="AX24" s="109">
        <f>AW24*AV24*$E24</f>
        <v>0</v>
      </c>
      <c r="AY24" s="119"/>
      <c r="AZ24" s="116"/>
      <c r="BA24" s="109">
        <f>AZ24*AY24*$E24</f>
        <v>0</v>
      </c>
      <c r="BB24" s="119"/>
      <c r="BC24" s="116"/>
      <c r="BD24" s="109">
        <f>BC24*BB24*$E24</f>
        <v>0</v>
      </c>
      <c r="BE24" s="119"/>
      <c r="BF24" s="116"/>
      <c r="BG24" s="109">
        <f>BF24*BE24*$E24</f>
        <v>0</v>
      </c>
      <c r="BH24" s="119"/>
      <c r="BI24" s="116"/>
      <c r="BJ24" s="109">
        <f>BI24*BH24*$E24</f>
        <v>0</v>
      </c>
      <c r="BK24" s="119"/>
      <c r="BL24" s="116"/>
      <c r="BM24" s="109">
        <f>BL24*BK24*$E24</f>
        <v>0</v>
      </c>
      <c r="BN24" s="119"/>
      <c r="BO24" s="116"/>
      <c r="BP24" s="109">
        <f>BO24*BN24*$E24</f>
        <v>0</v>
      </c>
      <c r="BQ24" s="119"/>
      <c r="BR24" s="116"/>
      <c r="BS24" s="109">
        <f>BR24*BQ24*$E24</f>
        <v>0</v>
      </c>
      <c r="BT24" s="119"/>
      <c r="BU24" s="116"/>
      <c r="BV24" s="109">
        <f>BU24*BT24*$E24</f>
        <v>0</v>
      </c>
      <c r="BW24" s="119"/>
      <c r="BX24" s="116"/>
      <c r="BY24" s="109">
        <f>BX24*BW24*$E24</f>
        <v>0</v>
      </c>
      <c r="BZ24" s="119"/>
      <c r="CA24" s="116"/>
      <c r="CB24" s="109">
        <f>CA24*BZ24*$E24</f>
        <v>0</v>
      </c>
      <c r="CC24" s="119"/>
      <c r="CD24" s="116"/>
      <c r="CE24" s="109">
        <f>CD24*CC24*$E24</f>
        <v>0</v>
      </c>
      <c r="CF24" s="119"/>
      <c r="CG24" s="116"/>
      <c r="CH24" s="109">
        <f>CG24*CF24*$E24</f>
        <v>0</v>
      </c>
      <c r="CI24" s="119"/>
      <c r="CJ24" s="116"/>
      <c r="CK24" s="109">
        <f>CJ24*CI24*$E24</f>
        <v>0</v>
      </c>
      <c r="CL24" s="119"/>
      <c r="CM24" s="116"/>
      <c r="CN24" s="109">
        <f>CM24*CL24*$E24</f>
        <v>0</v>
      </c>
      <c r="CO24" s="119"/>
      <c r="CP24" s="116"/>
      <c r="CQ24" s="109">
        <f>CP24*CO24*$E24</f>
        <v>0</v>
      </c>
      <c r="CR24" s="119"/>
      <c r="CS24" s="116"/>
      <c r="CT24" s="109">
        <f>CS24*CR24*$E24</f>
        <v>0</v>
      </c>
      <c r="CU24" s="119"/>
      <c r="CV24" s="116"/>
      <c r="CW24" s="109">
        <f>CV24*CU24*$E24</f>
        <v>0</v>
      </c>
      <c r="CX24" s="119"/>
      <c r="CY24" s="116"/>
      <c r="CZ24" s="109">
        <f>CY24*CX24*$E24</f>
        <v>0</v>
      </c>
      <c r="DA24" s="119"/>
      <c r="DB24" s="116"/>
      <c r="DC24" s="109">
        <f>DB24*DA24*$E24</f>
        <v>0</v>
      </c>
      <c r="DD24" s="119"/>
      <c r="DE24" s="116"/>
      <c r="DF24" s="109">
        <f>DE24*DD24*$E24</f>
        <v>0</v>
      </c>
      <c r="DG24" s="119"/>
      <c r="DH24" s="116"/>
      <c r="DI24" s="109">
        <f>DH24*DG24*$E24</f>
        <v>0</v>
      </c>
      <c r="DJ24" s="119"/>
      <c r="DK24" s="116"/>
      <c r="DL24" s="109">
        <f>DK24*DJ24*$E24</f>
        <v>0</v>
      </c>
      <c r="DM24" s="119"/>
      <c r="DN24" s="116"/>
      <c r="DO24" s="109">
        <f>DN24*DM24*$E24</f>
        <v>0</v>
      </c>
      <c r="DP24" s="126"/>
      <c r="DQ24" s="110"/>
      <c r="DR24" s="111"/>
      <c r="DS24" s="112">
        <f t="shared" ref="DS24:DS77" si="108">($H$3*H24+$K$3*K24+$N$3*N24+$Q$3*Q24+$T$3*T24+$W$3*W24+$Z$3*Z24+$AC$3*AC24+$AF$3*AF24+$AI$3*AI24+$AL$3*AL24+$AO$3*AO24+$AR$3*AR24+$AU$3*AU24+$AX$3*AX24+$BA$3*BA24+$BD$3*BD24+$BG$3*BG24+$BJ$3*BJ24+$BM$3*BM24+$BP$3*BP24+$BS$3*BS24+$BV$3*BV24+$BY$3*BY24+$CB$3*CB24+$CE$3*CE24+$CH$3*CH24+$CK$3*CK24+$CN$3*CN24+$CQ$3*CQ24+$CT$3*CT24+$CW$3*CW24+$CZ$3*CZ24+$DC$3*DC24+$DF$3*DF24+$DI$3*DI24+$DL$3*DL24+$DO$3*DO24)</f>
        <v>2240.909090909091</v>
      </c>
      <c r="DT24" s="113">
        <f t="shared" ref="DT24:DT55" si="109">DS24/$DS$130</f>
        <v>4.5310490512094461E-3</v>
      </c>
    </row>
    <row r="25" spans="2:125" s="86" customFormat="1" ht="21.9" customHeight="1" outlineLevel="1">
      <c r="B25" s="122" t="s">
        <v>210</v>
      </c>
      <c r="C25" s="128" t="s">
        <v>662</v>
      </c>
      <c r="D25" s="124" t="s">
        <v>214</v>
      </c>
      <c r="E25" s="130">
        <v>1200</v>
      </c>
      <c r="F25" s="119"/>
      <c r="G25" s="116"/>
      <c r="H25" s="109">
        <f>G25*F25*$E25</f>
        <v>0</v>
      </c>
      <c r="I25" s="119"/>
      <c r="J25" s="116"/>
      <c r="K25" s="109">
        <f>J25*I25*$E25</f>
        <v>0</v>
      </c>
      <c r="L25" s="119">
        <v>1</v>
      </c>
      <c r="M25" s="116">
        <f>29/22</f>
        <v>1.3181818181818181</v>
      </c>
      <c r="N25" s="109">
        <f>M25*L25*$E25</f>
        <v>1581.8181818181818</v>
      </c>
      <c r="O25" s="119"/>
      <c r="P25" s="116"/>
      <c r="Q25" s="109">
        <f>P25*O25*$E25</f>
        <v>0</v>
      </c>
      <c r="R25" s="119"/>
      <c r="S25" s="116"/>
      <c r="T25" s="109">
        <f>S25*R25*$E25</f>
        <v>0</v>
      </c>
      <c r="U25" s="119"/>
      <c r="V25" s="116"/>
      <c r="W25" s="109">
        <f>V25*U25*$E25</f>
        <v>0</v>
      </c>
      <c r="X25" s="119"/>
      <c r="Y25" s="116"/>
      <c r="Z25" s="109">
        <f>Y25*X25*$E25</f>
        <v>0</v>
      </c>
      <c r="AA25" s="119"/>
      <c r="AB25" s="116"/>
      <c r="AC25" s="109">
        <f>AB25*AA25*$E25</f>
        <v>0</v>
      </c>
      <c r="AD25" s="119"/>
      <c r="AE25" s="116"/>
      <c r="AF25" s="109">
        <f>AE25*AD25*$E25</f>
        <v>0</v>
      </c>
      <c r="AG25" s="119"/>
      <c r="AH25" s="116"/>
      <c r="AI25" s="109">
        <f>AH25*AG25*$E25</f>
        <v>0</v>
      </c>
      <c r="AJ25" s="119"/>
      <c r="AK25" s="116"/>
      <c r="AL25" s="109">
        <f>AK25*AJ25*$E25</f>
        <v>0</v>
      </c>
      <c r="AM25" s="119"/>
      <c r="AN25" s="116"/>
      <c r="AO25" s="109">
        <f>AN25*AM25*$E25</f>
        <v>0</v>
      </c>
      <c r="AP25" s="119"/>
      <c r="AQ25" s="116"/>
      <c r="AR25" s="109">
        <f>AQ25*AP25*$E25</f>
        <v>0</v>
      </c>
      <c r="AS25" s="119"/>
      <c r="AT25" s="116"/>
      <c r="AU25" s="109">
        <f>AT25*AS25*$E25</f>
        <v>0</v>
      </c>
      <c r="AV25" s="119"/>
      <c r="AW25" s="116"/>
      <c r="AX25" s="109">
        <f>AW25*AV25*$E25</f>
        <v>0</v>
      </c>
      <c r="AY25" s="119"/>
      <c r="AZ25" s="116"/>
      <c r="BA25" s="109">
        <f>AZ25*AY25*$E25</f>
        <v>0</v>
      </c>
      <c r="BB25" s="119"/>
      <c r="BC25" s="116"/>
      <c r="BD25" s="109">
        <f>BC25*BB25*$E25</f>
        <v>0</v>
      </c>
      <c r="BE25" s="119"/>
      <c r="BF25" s="116"/>
      <c r="BG25" s="109">
        <f>BF25*BE25*$E25</f>
        <v>0</v>
      </c>
      <c r="BH25" s="119"/>
      <c r="BI25" s="116"/>
      <c r="BJ25" s="109">
        <f>BI25*BH25*$E25</f>
        <v>0</v>
      </c>
      <c r="BK25" s="119"/>
      <c r="BL25" s="116"/>
      <c r="BM25" s="109">
        <f>BL25*BK25*$E25</f>
        <v>0</v>
      </c>
      <c r="BN25" s="119"/>
      <c r="BO25" s="116"/>
      <c r="BP25" s="109">
        <f>BO25*BN25*$E25</f>
        <v>0</v>
      </c>
      <c r="BQ25" s="119"/>
      <c r="BR25" s="116"/>
      <c r="BS25" s="109">
        <f>BR25*BQ25*$E25</f>
        <v>0</v>
      </c>
      <c r="BT25" s="119"/>
      <c r="BU25" s="116"/>
      <c r="BV25" s="109">
        <f>BU25*BT25*$E25</f>
        <v>0</v>
      </c>
      <c r="BW25" s="119"/>
      <c r="BX25" s="116"/>
      <c r="BY25" s="109">
        <f>BX25*BW25*$E25</f>
        <v>0</v>
      </c>
      <c r="BZ25" s="119"/>
      <c r="CA25" s="116"/>
      <c r="CB25" s="109">
        <f>CA25*BZ25*$E25</f>
        <v>0</v>
      </c>
      <c r="CC25" s="119"/>
      <c r="CD25" s="116"/>
      <c r="CE25" s="109">
        <f>CD25*CC25*$E25</f>
        <v>0</v>
      </c>
      <c r="CF25" s="119"/>
      <c r="CG25" s="116"/>
      <c r="CH25" s="109">
        <f>CG25*CF25*$E25</f>
        <v>0</v>
      </c>
      <c r="CI25" s="119"/>
      <c r="CJ25" s="116"/>
      <c r="CK25" s="109">
        <f>CJ25*CI25*$E25</f>
        <v>0</v>
      </c>
      <c r="CL25" s="119"/>
      <c r="CM25" s="116"/>
      <c r="CN25" s="109">
        <f>CM25*CL25*$E25</f>
        <v>0</v>
      </c>
      <c r="CO25" s="119"/>
      <c r="CP25" s="116"/>
      <c r="CQ25" s="109">
        <f>CP25*CO25*$E25</f>
        <v>0</v>
      </c>
      <c r="CR25" s="119"/>
      <c r="CS25" s="116"/>
      <c r="CT25" s="109">
        <f>CS25*CR25*$E25</f>
        <v>0</v>
      </c>
      <c r="CU25" s="119"/>
      <c r="CV25" s="116"/>
      <c r="CW25" s="109">
        <f>CV25*CU25*$E25</f>
        <v>0</v>
      </c>
      <c r="CX25" s="119"/>
      <c r="CY25" s="116"/>
      <c r="CZ25" s="109">
        <f>CY25*CX25*$E25</f>
        <v>0</v>
      </c>
      <c r="DA25" s="119"/>
      <c r="DB25" s="116"/>
      <c r="DC25" s="109">
        <f>DB25*DA25*$E25</f>
        <v>0</v>
      </c>
      <c r="DD25" s="119"/>
      <c r="DE25" s="116"/>
      <c r="DF25" s="109">
        <f>DE25*DD25*$E25</f>
        <v>0</v>
      </c>
      <c r="DG25" s="119"/>
      <c r="DH25" s="116"/>
      <c r="DI25" s="109">
        <f>DH25*DG25*$E25</f>
        <v>0</v>
      </c>
      <c r="DJ25" s="119"/>
      <c r="DK25" s="116"/>
      <c r="DL25" s="109">
        <f>DK25*DJ25*$E25</f>
        <v>0</v>
      </c>
      <c r="DM25" s="119"/>
      <c r="DN25" s="116"/>
      <c r="DO25" s="109">
        <f>DN25*DM25*$E25</f>
        <v>0</v>
      </c>
      <c r="DP25" s="126"/>
      <c r="DQ25" s="110"/>
      <c r="DR25" s="111"/>
      <c r="DS25" s="112">
        <f t="shared" si="108"/>
        <v>1581.8181818181818</v>
      </c>
      <c r="DT25" s="113">
        <f t="shared" si="109"/>
        <v>3.1983875655596087E-3</v>
      </c>
    </row>
    <row r="26" spans="2:125" s="86" customFormat="1" ht="27.6" outlineLevel="1">
      <c r="B26" s="122" t="s">
        <v>211</v>
      </c>
      <c r="C26" s="123" t="s">
        <v>663</v>
      </c>
      <c r="D26" s="127" t="s">
        <v>273</v>
      </c>
      <c r="E26" s="125">
        <v>4500</v>
      </c>
      <c r="F26" s="119"/>
      <c r="G26" s="116"/>
      <c r="H26" s="109">
        <f>G26*F26*$E26</f>
        <v>0</v>
      </c>
      <c r="I26" s="119"/>
      <c r="J26" s="116"/>
      <c r="K26" s="109">
        <f>J26*I26*$E26</f>
        <v>0</v>
      </c>
      <c r="L26" s="119">
        <v>1</v>
      </c>
      <c r="M26" s="116">
        <v>1</v>
      </c>
      <c r="N26" s="109">
        <f>M26*L26*$E26</f>
        <v>4500</v>
      </c>
      <c r="O26" s="119"/>
      <c r="P26" s="116"/>
      <c r="Q26" s="109">
        <f>P26*O26*$E26</f>
        <v>0</v>
      </c>
      <c r="R26" s="119"/>
      <c r="S26" s="116"/>
      <c r="T26" s="109">
        <f>S26*R26*$E26</f>
        <v>0</v>
      </c>
      <c r="U26" s="119"/>
      <c r="V26" s="116"/>
      <c r="W26" s="109">
        <f>V26*U26*$E26</f>
        <v>0</v>
      </c>
      <c r="X26" s="119"/>
      <c r="Y26" s="116"/>
      <c r="Z26" s="109">
        <f>Y26*X26*$E26</f>
        <v>0</v>
      </c>
      <c r="AA26" s="119"/>
      <c r="AB26" s="116"/>
      <c r="AC26" s="109">
        <f>AB26*AA26*$E26</f>
        <v>0</v>
      </c>
      <c r="AD26" s="119"/>
      <c r="AE26" s="116"/>
      <c r="AF26" s="109">
        <f>AE26*AD26*$E26</f>
        <v>0</v>
      </c>
      <c r="AG26" s="119"/>
      <c r="AH26" s="116"/>
      <c r="AI26" s="109">
        <f>AH26*AG26*$E26</f>
        <v>0</v>
      </c>
      <c r="AJ26" s="119"/>
      <c r="AK26" s="116"/>
      <c r="AL26" s="109">
        <f>AK26*AJ26*$E26</f>
        <v>0</v>
      </c>
      <c r="AM26" s="119"/>
      <c r="AN26" s="116"/>
      <c r="AO26" s="109">
        <f>AN26*AM26*$E26</f>
        <v>0</v>
      </c>
      <c r="AP26" s="119"/>
      <c r="AQ26" s="116"/>
      <c r="AR26" s="109">
        <f>AQ26*AP26*$E26</f>
        <v>0</v>
      </c>
      <c r="AS26" s="119"/>
      <c r="AT26" s="116"/>
      <c r="AU26" s="109">
        <f>AT26*AS26*$E26</f>
        <v>0</v>
      </c>
      <c r="AV26" s="119"/>
      <c r="AW26" s="116"/>
      <c r="AX26" s="109">
        <f>AW26*AV26*$E26</f>
        <v>0</v>
      </c>
      <c r="AY26" s="119"/>
      <c r="AZ26" s="116"/>
      <c r="BA26" s="109">
        <f>AZ26*AY26*$E26</f>
        <v>0</v>
      </c>
      <c r="BB26" s="119"/>
      <c r="BC26" s="116"/>
      <c r="BD26" s="109">
        <f>BC26*BB26*$E26</f>
        <v>0</v>
      </c>
      <c r="BE26" s="119"/>
      <c r="BF26" s="116"/>
      <c r="BG26" s="109">
        <f>BF26*BE26*$E26</f>
        <v>0</v>
      </c>
      <c r="BH26" s="119"/>
      <c r="BI26" s="116"/>
      <c r="BJ26" s="109">
        <f>BI26*BH26*$E26</f>
        <v>0</v>
      </c>
      <c r="BK26" s="119"/>
      <c r="BL26" s="116"/>
      <c r="BM26" s="109">
        <f>BL26*BK26*$E26</f>
        <v>0</v>
      </c>
      <c r="BN26" s="119"/>
      <c r="BO26" s="116"/>
      <c r="BP26" s="109">
        <f>BO26*BN26*$E26</f>
        <v>0</v>
      </c>
      <c r="BQ26" s="119"/>
      <c r="BR26" s="116"/>
      <c r="BS26" s="109">
        <f>BR26*BQ26*$E26</f>
        <v>0</v>
      </c>
      <c r="BT26" s="119"/>
      <c r="BU26" s="116"/>
      <c r="BV26" s="109">
        <f>BU26*BT26*$E26</f>
        <v>0</v>
      </c>
      <c r="BW26" s="119"/>
      <c r="BX26" s="116"/>
      <c r="BY26" s="109">
        <f>BX26*BW26*$E26</f>
        <v>0</v>
      </c>
      <c r="BZ26" s="119"/>
      <c r="CA26" s="116"/>
      <c r="CB26" s="109">
        <f>CA26*BZ26*$E26</f>
        <v>0</v>
      </c>
      <c r="CC26" s="119"/>
      <c r="CD26" s="116"/>
      <c r="CE26" s="109">
        <f>CD26*CC26*$E26</f>
        <v>0</v>
      </c>
      <c r="CF26" s="119"/>
      <c r="CG26" s="116"/>
      <c r="CH26" s="109">
        <f>CG26*CF26*$E26</f>
        <v>0</v>
      </c>
      <c r="CI26" s="119"/>
      <c r="CJ26" s="116"/>
      <c r="CK26" s="109">
        <f>CJ26*CI26*$E26</f>
        <v>0</v>
      </c>
      <c r="CL26" s="119"/>
      <c r="CM26" s="116"/>
      <c r="CN26" s="109">
        <f>CM26*CL26*$E26</f>
        <v>0</v>
      </c>
      <c r="CO26" s="119"/>
      <c r="CP26" s="116"/>
      <c r="CQ26" s="109">
        <f>CP26*CO26*$E26</f>
        <v>0</v>
      </c>
      <c r="CR26" s="119"/>
      <c r="CS26" s="116"/>
      <c r="CT26" s="109">
        <f>CS26*CR26*$E26</f>
        <v>0</v>
      </c>
      <c r="CU26" s="119"/>
      <c r="CV26" s="116"/>
      <c r="CW26" s="109">
        <f>CV26*CU26*$E26</f>
        <v>0</v>
      </c>
      <c r="CX26" s="119"/>
      <c r="CY26" s="116"/>
      <c r="CZ26" s="109">
        <f>CY26*CX26*$E26</f>
        <v>0</v>
      </c>
      <c r="DA26" s="119"/>
      <c r="DB26" s="116"/>
      <c r="DC26" s="109">
        <f>DB26*DA26*$E26</f>
        <v>0</v>
      </c>
      <c r="DD26" s="119"/>
      <c r="DE26" s="116"/>
      <c r="DF26" s="109">
        <f>DE26*DD26*$E26</f>
        <v>0</v>
      </c>
      <c r="DG26" s="119"/>
      <c r="DH26" s="116"/>
      <c r="DI26" s="109">
        <f>DH26*DG26*$E26</f>
        <v>0</v>
      </c>
      <c r="DJ26" s="119"/>
      <c r="DK26" s="116"/>
      <c r="DL26" s="109">
        <f>DK26*DJ26*$E26</f>
        <v>0</v>
      </c>
      <c r="DM26" s="119"/>
      <c r="DN26" s="116"/>
      <c r="DO26" s="109">
        <f>DN26*DM26*$E26</f>
        <v>0</v>
      </c>
      <c r="DP26" s="126"/>
      <c r="DQ26" s="110"/>
      <c r="DR26" s="111"/>
      <c r="DS26" s="112">
        <f t="shared" si="108"/>
        <v>4500</v>
      </c>
      <c r="DT26" s="113">
        <f t="shared" si="109"/>
        <v>9.0988611778850936E-3</v>
      </c>
    </row>
    <row r="27" spans="2:125" s="86" customFormat="1" ht="21.9" customHeight="1" outlineLevel="1">
      <c r="B27" s="122" t="s">
        <v>212</v>
      </c>
      <c r="C27" s="123" t="s">
        <v>664</v>
      </c>
      <c r="D27" s="127" t="s">
        <v>273</v>
      </c>
      <c r="E27" s="125">
        <v>852.46</v>
      </c>
      <c r="F27" s="119"/>
      <c r="G27" s="116"/>
      <c r="H27" s="109">
        <f>G27*F27*$E27</f>
        <v>0</v>
      </c>
      <c r="I27" s="119"/>
      <c r="J27" s="116"/>
      <c r="K27" s="109">
        <f>J27*I27*$E27</f>
        <v>0</v>
      </c>
      <c r="L27" s="119">
        <v>1</v>
      </c>
      <c r="M27" s="116">
        <v>1</v>
      </c>
      <c r="N27" s="109">
        <f>M27*L27*$E27</f>
        <v>852.46</v>
      </c>
      <c r="O27" s="119"/>
      <c r="P27" s="116"/>
      <c r="Q27" s="109">
        <f>P27*O27*$E27</f>
        <v>0</v>
      </c>
      <c r="R27" s="119"/>
      <c r="S27" s="116"/>
      <c r="T27" s="109">
        <f>S27*R27*$E27</f>
        <v>0</v>
      </c>
      <c r="U27" s="119"/>
      <c r="V27" s="116"/>
      <c r="W27" s="109">
        <f>V27*U27*$E27</f>
        <v>0</v>
      </c>
      <c r="X27" s="119"/>
      <c r="Y27" s="116"/>
      <c r="Z27" s="109">
        <f>Y27*X27*$E27</f>
        <v>0</v>
      </c>
      <c r="AA27" s="119"/>
      <c r="AB27" s="116"/>
      <c r="AC27" s="109">
        <f>AB27*AA27*$E27</f>
        <v>0</v>
      </c>
      <c r="AD27" s="119"/>
      <c r="AE27" s="116"/>
      <c r="AF27" s="109">
        <f>AE27*AD27*$E27</f>
        <v>0</v>
      </c>
      <c r="AG27" s="119"/>
      <c r="AH27" s="116"/>
      <c r="AI27" s="109">
        <f>AH27*AG27*$E27</f>
        <v>0</v>
      </c>
      <c r="AJ27" s="119"/>
      <c r="AK27" s="116"/>
      <c r="AL27" s="109">
        <f>AK27*AJ27*$E27</f>
        <v>0</v>
      </c>
      <c r="AM27" s="119"/>
      <c r="AN27" s="116"/>
      <c r="AO27" s="109">
        <f>AN27*AM27*$E27</f>
        <v>0</v>
      </c>
      <c r="AP27" s="119"/>
      <c r="AQ27" s="116"/>
      <c r="AR27" s="109">
        <f>AQ27*AP27*$E27</f>
        <v>0</v>
      </c>
      <c r="AS27" s="119"/>
      <c r="AT27" s="116"/>
      <c r="AU27" s="109">
        <f>AT27*AS27*$E27</f>
        <v>0</v>
      </c>
      <c r="AV27" s="119"/>
      <c r="AW27" s="116"/>
      <c r="AX27" s="109">
        <f>AW27*AV27*$E27</f>
        <v>0</v>
      </c>
      <c r="AY27" s="119"/>
      <c r="AZ27" s="116"/>
      <c r="BA27" s="109">
        <f>AZ27*AY27*$E27</f>
        <v>0</v>
      </c>
      <c r="BB27" s="119"/>
      <c r="BC27" s="116"/>
      <c r="BD27" s="109">
        <f>BC27*BB27*$E27</f>
        <v>0</v>
      </c>
      <c r="BE27" s="119"/>
      <c r="BF27" s="116"/>
      <c r="BG27" s="109">
        <f>BF27*BE27*$E27</f>
        <v>0</v>
      </c>
      <c r="BH27" s="119"/>
      <c r="BI27" s="116"/>
      <c r="BJ27" s="109">
        <f>BI27*BH27*$E27</f>
        <v>0</v>
      </c>
      <c r="BK27" s="119"/>
      <c r="BL27" s="116"/>
      <c r="BM27" s="109">
        <f>BL27*BK27*$E27</f>
        <v>0</v>
      </c>
      <c r="BN27" s="119"/>
      <c r="BO27" s="116"/>
      <c r="BP27" s="109">
        <f>BO27*BN27*$E27</f>
        <v>0</v>
      </c>
      <c r="BQ27" s="119"/>
      <c r="BR27" s="116"/>
      <c r="BS27" s="109">
        <f>BR27*BQ27*$E27</f>
        <v>0</v>
      </c>
      <c r="BT27" s="119"/>
      <c r="BU27" s="116"/>
      <c r="BV27" s="109">
        <f>BU27*BT27*$E27</f>
        <v>0</v>
      </c>
      <c r="BW27" s="119"/>
      <c r="BX27" s="116"/>
      <c r="BY27" s="109">
        <f>BX27*BW27*$E27</f>
        <v>0</v>
      </c>
      <c r="BZ27" s="119"/>
      <c r="CA27" s="116"/>
      <c r="CB27" s="109">
        <f>CA27*BZ27*$E27</f>
        <v>0</v>
      </c>
      <c r="CC27" s="119"/>
      <c r="CD27" s="116"/>
      <c r="CE27" s="109">
        <f>CD27*CC27*$E27</f>
        <v>0</v>
      </c>
      <c r="CF27" s="119"/>
      <c r="CG27" s="116"/>
      <c r="CH27" s="109">
        <f>CG27*CF27*$E27</f>
        <v>0</v>
      </c>
      <c r="CI27" s="119"/>
      <c r="CJ27" s="116"/>
      <c r="CK27" s="109">
        <f>CJ27*CI27*$E27</f>
        <v>0</v>
      </c>
      <c r="CL27" s="119"/>
      <c r="CM27" s="116"/>
      <c r="CN27" s="109">
        <f>CM27*CL27*$E27</f>
        <v>0</v>
      </c>
      <c r="CO27" s="119"/>
      <c r="CP27" s="116"/>
      <c r="CQ27" s="109">
        <f>CP27*CO27*$E27</f>
        <v>0</v>
      </c>
      <c r="CR27" s="119"/>
      <c r="CS27" s="116"/>
      <c r="CT27" s="109">
        <f>CS27*CR27*$E27</f>
        <v>0</v>
      </c>
      <c r="CU27" s="119"/>
      <c r="CV27" s="116"/>
      <c r="CW27" s="109">
        <f>CV27*CU27*$E27</f>
        <v>0</v>
      </c>
      <c r="CX27" s="119"/>
      <c r="CY27" s="116"/>
      <c r="CZ27" s="109">
        <f>CY27*CX27*$E27</f>
        <v>0</v>
      </c>
      <c r="DA27" s="119"/>
      <c r="DB27" s="116"/>
      <c r="DC27" s="109">
        <f>DB27*DA27*$E27</f>
        <v>0</v>
      </c>
      <c r="DD27" s="119"/>
      <c r="DE27" s="116"/>
      <c r="DF27" s="109">
        <f>DE27*DD27*$E27</f>
        <v>0</v>
      </c>
      <c r="DG27" s="119"/>
      <c r="DH27" s="116"/>
      <c r="DI27" s="109">
        <f>DH27*DG27*$E27</f>
        <v>0</v>
      </c>
      <c r="DJ27" s="119"/>
      <c r="DK27" s="116"/>
      <c r="DL27" s="109">
        <f>DK27*DJ27*$E27</f>
        <v>0</v>
      </c>
      <c r="DM27" s="119"/>
      <c r="DN27" s="116"/>
      <c r="DO27" s="109">
        <f>DN27*DM27*$E27</f>
        <v>0</v>
      </c>
      <c r="DP27" s="126"/>
      <c r="DQ27" s="110"/>
      <c r="DR27" s="111"/>
      <c r="DS27" s="112">
        <f t="shared" si="108"/>
        <v>852.46</v>
      </c>
      <c r="DT27" s="113">
        <f t="shared" si="109"/>
        <v>1.7236478221555394E-3</v>
      </c>
    </row>
    <row r="28" spans="2:125" s="86" customFormat="1" ht="27.6" outlineLevel="1">
      <c r="B28" s="122" t="s">
        <v>213</v>
      </c>
      <c r="C28" s="128" t="s">
        <v>665</v>
      </c>
      <c r="D28" s="127" t="s">
        <v>214</v>
      </c>
      <c r="E28" s="130">
        <v>15852.96</v>
      </c>
      <c r="F28" s="119">
        <v>1</v>
      </c>
      <c r="G28" s="116">
        <f>QQP!$L$15</f>
        <v>2.8195865140458663E-2</v>
      </c>
      <c r="H28" s="109">
        <f t="shared" ref="H28:H76" si="110">G28*F28*$E28</f>
        <v>446.98792223708551</v>
      </c>
      <c r="I28" s="119">
        <v>1</v>
      </c>
      <c r="J28" s="116">
        <f>QQP!$L$15</f>
        <v>2.8195865140458663E-2</v>
      </c>
      <c r="K28" s="109">
        <f t="shared" ref="K28:K76" si="111">J28*I28*$E28</f>
        <v>446.98792223708551</v>
      </c>
      <c r="L28" s="119">
        <v>1</v>
      </c>
      <c r="M28" s="116">
        <f>QQP!$L$15</f>
        <v>2.8195865140458663E-2</v>
      </c>
      <c r="N28" s="109">
        <f t="shared" ref="N28:N76" si="112">M28*L28*$E28</f>
        <v>446.98792223708551</v>
      </c>
      <c r="O28" s="119">
        <v>1</v>
      </c>
      <c r="P28" s="116">
        <f>QQP!$L$15</f>
        <v>2.8195865140458663E-2</v>
      </c>
      <c r="Q28" s="109">
        <f t="shared" ref="Q28:Q77" si="113">P28*O28*$E28</f>
        <v>446.98792223708551</v>
      </c>
      <c r="R28" s="119">
        <v>1</v>
      </c>
      <c r="S28" s="116">
        <f>QQP!$L$15</f>
        <v>2.8195865140458663E-2</v>
      </c>
      <c r="T28" s="109">
        <f t="shared" ref="T28:T77" si="114">S28*R28*$E28</f>
        <v>446.98792223708551</v>
      </c>
      <c r="U28" s="119">
        <v>1</v>
      </c>
      <c r="V28" s="116">
        <f>QQP!$L$15</f>
        <v>2.8195865140458663E-2</v>
      </c>
      <c r="W28" s="109">
        <f t="shared" ref="W28:W51" si="115">V28*U28*$E28</f>
        <v>446.98792223708551</v>
      </c>
      <c r="X28" s="119">
        <v>1</v>
      </c>
      <c r="Y28" s="116">
        <f>QQP!$L$15</f>
        <v>2.8195865140458663E-2</v>
      </c>
      <c r="Z28" s="109">
        <f t="shared" ref="Z28:Z51" si="116">Y28*X28*$E28</f>
        <v>446.98792223708551</v>
      </c>
      <c r="AA28" s="119">
        <v>1</v>
      </c>
      <c r="AB28" s="116">
        <f>QQP!$L$15</f>
        <v>2.8195865140458663E-2</v>
      </c>
      <c r="AC28" s="109">
        <f t="shared" ref="AC28:AC51" si="117">AB28*AA28*$E28</f>
        <v>446.98792223708551</v>
      </c>
      <c r="AD28" s="119">
        <v>1</v>
      </c>
      <c r="AE28" s="116">
        <f>QQP!$L$15</f>
        <v>2.8195865140458663E-2</v>
      </c>
      <c r="AF28" s="109">
        <f t="shared" ref="AF28:AF51" si="118">AE28*AD28*$E28</f>
        <v>446.98792223708551</v>
      </c>
      <c r="AG28" s="119">
        <v>1</v>
      </c>
      <c r="AH28" s="116">
        <f>QQP!$L$15</f>
        <v>2.8195865140458663E-2</v>
      </c>
      <c r="AI28" s="109">
        <f t="shared" ref="AI28:AI51" si="119">AH28*AG28*$E28</f>
        <v>446.98792223708551</v>
      </c>
      <c r="AJ28" s="119">
        <v>1</v>
      </c>
      <c r="AK28" s="116">
        <f>QQP!$L$15</f>
        <v>2.8195865140458663E-2</v>
      </c>
      <c r="AL28" s="109">
        <f t="shared" ref="AL28:AL51" si="120">AK28*AJ28*$E28</f>
        <v>446.98792223708551</v>
      </c>
      <c r="AM28" s="119">
        <v>1</v>
      </c>
      <c r="AN28" s="116">
        <f>QQP!$L$15</f>
        <v>2.8195865140458663E-2</v>
      </c>
      <c r="AO28" s="109">
        <f t="shared" ref="AO28:AO51" si="121">AN28*AM28*$E28</f>
        <v>446.98792223708551</v>
      </c>
      <c r="AP28" s="119">
        <v>1</v>
      </c>
      <c r="AQ28" s="116">
        <f>QQP!$L$15/AR3</f>
        <v>2.8195865140458664E-4</v>
      </c>
      <c r="AR28" s="109">
        <f t="shared" ref="AR28:AR51" si="122">AQ28*AP28*$E28</f>
        <v>4.4698792223708557</v>
      </c>
      <c r="AS28" s="119">
        <v>1</v>
      </c>
      <c r="AT28" s="116">
        <f>QQP!$L$15</f>
        <v>2.8195865140458663E-2</v>
      </c>
      <c r="AU28" s="109">
        <f t="shared" ref="AU28:AU51" si="123">AT28*AS28*$E28</f>
        <v>446.98792223708551</v>
      </c>
      <c r="AV28" s="119">
        <v>1</v>
      </c>
      <c r="AW28" s="116">
        <f>QQP!$L$15/AX3</f>
        <v>3.5244831425573328E-3</v>
      </c>
      <c r="AX28" s="109">
        <f t="shared" ref="AX28:AX51" si="124">AW28*AV28*$E28</f>
        <v>55.873490279635689</v>
      </c>
      <c r="AY28" s="119">
        <v>1</v>
      </c>
      <c r="AZ28" s="116">
        <f>QQP!$L$15/BA3</f>
        <v>4.6993108567431104E-3</v>
      </c>
      <c r="BA28" s="109">
        <f t="shared" ref="BA28:BA51" si="125">AZ28*AY28*$E28</f>
        <v>74.497987039514257</v>
      </c>
      <c r="BB28" s="119">
        <v>1</v>
      </c>
      <c r="BC28" s="116">
        <f>QQP!$L$15/BD3</f>
        <v>4.6993108567431104E-3</v>
      </c>
      <c r="BD28" s="109">
        <f t="shared" ref="BD28:BD51" si="126">BC28*BB28*$E28</f>
        <v>74.497987039514257</v>
      </c>
      <c r="BE28" s="119">
        <v>1</v>
      </c>
      <c r="BF28" s="116">
        <f>QQP!$L$15</f>
        <v>2.8195865140458663E-2</v>
      </c>
      <c r="BG28" s="109">
        <f t="shared" ref="BG28:BG51" si="127">BF28*BE28*$E28</f>
        <v>446.98792223708551</v>
      </c>
      <c r="BH28" s="119">
        <v>1</v>
      </c>
      <c r="BI28" s="116">
        <f>QQP!$L$15/BJ3</f>
        <v>2.8195865140458664E-4</v>
      </c>
      <c r="BJ28" s="109">
        <f t="shared" ref="BJ28:BJ51" si="128">BI28*BH28*$E28</f>
        <v>4.4698792223708557</v>
      </c>
      <c r="BK28" s="119">
        <v>1</v>
      </c>
      <c r="BL28" s="116">
        <f>QQP!$L$15</f>
        <v>2.8195865140458663E-2</v>
      </c>
      <c r="BM28" s="109">
        <f t="shared" ref="BM28:BM51" si="129">BL28*BK28*$E28</f>
        <v>446.98792223708551</v>
      </c>
      <c r="BN28" s="119">
        <v>1</v>
      </c>
      <c r="BO28" s="116">
        <f>QQP!$L$15</f>
        <v>2.8195865140458663E-2</v>
      </c>
      <c r="BP28" s="109">
        <f t="shared" ref="BP28:BP51" si="130">BO28*BN28*$E28</f>
        <v>446.98792223708551</v>
      </c>
      <c r="BQ28" s="119">
        <v>1</v>
      </c>
      <c r="BR28" s="116">
        <f>QQP!$L$15</f>
        <v>2.8195865140458663E-2</v>
      </c>
      <c r="BS28" s="109">
        <f t="shared" ref="BS28:BS51" si="131">BR28*BQ28*$E28</f>
        <v>446.98792223708551</v>
      </c>
      <c r="BT28" s="119">
        <v>1</v>
      </c>
      <c r="BU28" s="116">
        <f>QQP!$L$15</f>
        <v>2.8195865140458663E-2</v>
      </c>
      <c r="BV28" s="109">
        <f t="shared" ref="BV28:BV51" si="132">BU28*BT28*$E28</f>
        <v>446.98792223708551</v>
      </c>
      <c r="BW28" s="119">
        <v>1</v>
      </c>
      <c r="BX28" s="116">
        <f>QQP!$L$15</f>
        <v>2.8195865140458663E-2</v>
      </c>
      <c r="BY28" s="109">
        <f t="shared" ref="BY28:BY51" si="133">BX28*BW28*$E28</f>
        <v>446.98792223708551</v>
      </c>
      <c r="BZ28" s="119">
        <v>1</v>
      </c>
      <c r="CA28" s="116">
        <f>QQP!$L$15</f>
        <v>2.8195865140458663E-2</v>
      </c>
      <c r="CB28" s="109">
        <f t="shared" ref="CB28:CB51" si="134">CA28*BZ28*$E28</f>
        <v>446.98792223708551</v>
      </c>
      <c r="CC28" s="119">
        <v>1</v>
      </c>
      <c r="CD28" s="116">
        <f>QQP!$L$15/CE3</f>
        <v>2.8195865140458664E-4</v>
      </c>
      <c r="CE28" s="109">
        <f t="shared" ref="CE28:CE51" si="135">CD28*CC28*$E28</f>
        <v>4.4698792223708557</v>
      </c>
      <c r="CF28" s="119">
        <v>1</v>
      </c>
      <c r="CG28" s="116">
        <f>QQP!$L$15</f>
        <v>2.8195865140458663E-2</v>
      </c>
      <c r="CH28" s="109">
        <f t="shared" ref="CH28:CH51" si="136">CG28*CF28*$E28</f>
        <v>446.98792223708551</v>
      </c>
      <c r="CI28" s="119">
        <v>1</v>
      </c>
      <c r="CJ28" s="116">
        <f>QQP!$L$15</f>
        <v>2.8195865140458663E-2</v>
      </c>
      <c r="CK28" s="109">
        <f t="shared" ref="CK28:CK51" si="137">CJ28*CI28*$E28</f>
        <v>446.98792223708551</v>
      </c>
      <c r="CL28" s="119">
        <v>1</v>
      </c>
      <c r="CM28" s="116">
        <f>QQP!$L$15</f>
        <v>2.8195865140458663E-2</v>
      </c>
      <c r="CN28" s="109">
        <f t="shared" ref="CN28:CN51" si="138">CM28*CL28*$E28</f>
        <v>446.98792223708551</v>
      </c>
      <c r="CO28" s="119">
        <v>1</v>
      </c>
      <c r="CP28" s="116">
        <f>QQP!$L$15</f>
        <v>2.8195865140458663E-2</v>
      </c>
      <c r="CQ28" s="109">
        <f t="shared" ref="CQ28:CQ51" si="139">CP28*CO28*$E28</f>
        <v>446.98792223708551</v>
      </c>
      <c r="CR28" s="119">
        <v>1</v>
      </c>
      <c r="CS28" s="116">
        <f>QQP!$L$15</f>
        <v>2.8195865140458663E-2</v>
      </c>
      <c r="CT28" s="109">
        <f t="shared" ref="CT28:CT51" si="140">CS28*CR28*$E28</f>
        <v>446.98792223708551</v>
      </c>
      <c r="CU28" s="119">
        <v>1</v>
      </c>
      <c r="CV28" s="116">
        <f>QQP!$L$15</f>
        <v>2.8195865140458663E-2</v>
      </c>
      <c r="CW28" s="109">
        <f t="shared" ref="CW28:CW51" si="141">CV28*CU28*$E28</f>
        <v>446.98792223708551</v>
      </c>
      <c r="CX28" s="119">
        <v>1</v>
      </c>
      <c r="CY28" s="116">
        <f>QQP!$L$15</f>
        <v>2.8195865140458663E-2</v>
      </c>
      <c r="CZ28" s="109">
        <f t="shared" ref="CZ28:CZ51" si="142">CY28*CX28*$E28</f>
        <v>446.98792223708551</v>
      </c>
      <c r="DA28" s="119">
        <v>1</v>
      </c>
      <c r="DB28" s="116">
        <f>QQP!$L$15</f>
        <v>2.8195865140458663E-2</v>
      </c>
      <c r="DC28" s="109">
        <f t="shared" ref="DC28:DC51" si="143">DB28*DA28*$E28</f>
        <v>446.98792223708551</v>
      </c>
      <c r="DD28" s="119">
        <v>1</v>
      </c>
      <c r="DE28" s="116">
        <f>QQP!$L$15</f>
        <v>2.8195865140458663E-2</v>
      </c>
      <c r="DF28" s="109">
        <f t="shared" ref="DF28:DF51" si="144">DE28*DD28*$E28</f>
        <v>446.98792223708551</v>
      </c>
      <c r="DG28" s="119">
        <v>1</v>
      </c>
      <c r="DH28" s="116">
        <f>QQP!$L$15</f>
        <v>2.8195865140458663E-2</v>
      </c>
      <c r="DI28" s="109">
        <f t="shared" ref="DI28:DI51" si="145">DH28*DG28*$E28</f>
        <v>446.98792223708551</v>
      </c>
      <c r="DJ28" s="119">
        <v>1</v>
      </c>
      <c r="DK28" s="116">
        <f>QQP!$L$15</f>
        <v>2.8195865140458663E-2</v>
      </c>
      <c r="DL28" s="109">
        <f t="shared" ref="DL28:DL51" si="146">DK28*DJ28*$E28</f>
        <v>446.98792223708551</v>
      </c>
      <c r="DM28" s="119">
        <v>1</v>
      </c>
      <c r="DN28" s="116">
        <f>QQP!$L$15</f>
        <v>2.8195865140458663E-2</v>
      </c>
      <c r="DO28" s="109">
        <f t="shared" ref="DO28:DO51" si="147">DN28*DM28*$E28</f>
        <v>446.98792223708551</v>
      </c>
      <c r="DP28" s="126"/>
      <c r="DQ28" s="110"/>
      <c r="DR28" s="111"/>
      <c r="DS28" s="112">
        <f t="shared" si="108"/>
        <v>16985.541045009253</v>
      </c>
      <c r="DT28" s="113">
        <f t="shared" si="109"/>
        <v>3.4344239999957449E-2</v>
      </c>
    </row>
    <row r="29" spans="2:125" s="86" customFormat="1" ht="21.9" customHeight="1" outlineLevel="1">
      <c r="B29" s="122" t="s">
        <v>215</v>
      </c>
      <c r="C29" s="123" t="s">
        <v>672</v>
      </c>
      <c r="D29" s="124" t="s">
        <v>673</v>
      </c>
      <c r="E29" s="125">
        <v>275</v>
      </c>
      <c r="F29" s="119"/>
      <c r="G29" s="116"/>
      <c r="H29" s="109">
        <f t="shared" si="110"/>
        <v>0</v>
      </c>
      <c r="I29" s="119"/>
      <c r="J29" s="116"/>
      <c r="K29" s="109">
        <f t="shared" si="111"/>
        <v>0</v>
      </c>
      <c r="L29" s="119"/>
      <c r="M29" s="116"/>
      <c r="N29" s="109">
        <f t="shared" si="112"/>
        <v>0</v>
      </c>
      <c r="O29" s="119"/>
      <c r="P29" s="116"/>
      <c r="Q29" s="109">
        <f t="shared" si="113"/>
        <v>0</v>
      </c>
      <c r="R29" s="119"/>
      <c r="S29" s="116"/>
      <c r="T29" s="109">
        <f t="shared" si="114"/>
        <v>0</v>
      </c>
      <c r="U29" s="119"/>
      <c r="V29" s="116"/>
      <c r="W29" s="109">
        <f t="shared" si="115"/>
        <v>0</v>
      </c>
      <c r="X29" s="116">
        <v>1</v>
      </c>
      <c r="Y29" s="116">
        <f>$Y$4/22</f>
        <v>0.45454545454545453</v>
      </c>
      <c r="Z29" s="109">
        <f t="shared" si="116"/>
        <v>125</v>
      </c>
      <c r="AA29" s="119"/>
      <c r="AB29" s="116"/>
      <c r="AC29" s="109">
        <f t="shared" si="117"/>
        <v>0</v>
      </c>
      <c r="AD29" s="119"/>
      <c r="AE29" s="116"/>
      <c r="AF29" s="109">
        <f t="shared" si="118"/>
        <v>0</v>
      </c>
      <c r="AG29" s="119"/>
      <c r="AH29" s="116"/>
      <c r="AI29" s="109">
        <f t="shared" si="119"/>
        <v>0</v>
      </c>
      <c r="AJ29" s="119"/>
      <c r="AK29" s="116"/>
      <c r="AL29" s="109">
        <f t="shared" si="120"/>
        <v>0</v>
      </c>
      <c r="AM29" s="119"/>
      <c r="AN29" s="116"/>
      <c r="AO29" s="109">
        <f t="shared" si="121"/>
        <v>0</v>
      </c>
      <c r="AP29" s="119"/>
      <c r="AQ29" s="116"/>
      <c r="AR29" s="109">
        <f t="shared" si="122"/>
        <v>0</v>
      </c>
      <c r="AS29" s="119"/>
      <c r="AT29" s="116"/>
      <c r="AU29" s="109">
        <f t="shared" si="123"/>
        <v>0</v>
      </c>
      <c r="AV29" s="119"/>
      <c r="AW29" s="116"/>
      <c r="AX29" s="109">
        <f t="shared" si="124"/>
        <v>0</v>
      </c>
      <c r="AY29" s="119"/>
      <c r="AZ29" s="116"/>
      <c r="BA29" s="109">
        <f t="shared" si="125"/>
        <v>0</v>
      </c>
      <c r="BB29" s="119"/>
      <c r="BC29" s="116"/>
      <c r="BD29" s="109">
        <f t="shared" si="126"/>
        <v>0</v>
      </c>
      <c r="BE29" s="119"/>
      <c r="BF29" s="116"/>
      <c r="BG29" s="109">
        <f t="shared" si="127"/>
        <v>0</v>
      </c>
      <c r="BH29" s="119"/>
      <c r="BI29" s="116"/>
      <c r="BJ29" s="109">
        <f t="shared" si="128"/>
        <v>0</v>
      </c>
      <c r="BK29" s="119"/>
      <c r="BL29" s="116"/>
      <c r="BM29" s="109">
        <f t="shared" si="129"/>
        <v>0</v>
      </c>
      <c r="BN29" s="119"/>
      <c r="BO29" s="116"/>
      <c r="BP29" s="109">
        <f t="shared" si="130"/>
        <v>0</v>
      </c>
      <c r="BQ29" s="119"/>
      <c r="BR29" s="116"/>
      <c r="BS29" s="109">
        <f t="shared" si="131"/>
        <v>0</v>
      </c>
      <c r="BT29" s="119"/>
      <c r="BU29" s="116"/>
      <c r="BV29" s="109">
        <f t="shared" si="132"/>
        <v>0</v>
      </c>
      <c r="BW29" s="119"/>
      <c r="BX29" s="116"/>
      <c r="BY29" s="109">
        <f t="shared" si="133"/>
        <v>0</v>
      </c>
      <c r="BZ29" s="119"/>
      <c r="CA29" s="116"/>
      <c r="CB29" s="109">
        <f t="shared" si="134"/>
        <v>0</v>
      </c>
      <c r="CC29" s="119"/>
      <c r="CD29" s="116"/>
      <c r="CE29" s="109">
        <f t="shared" si="135"/>
        <v>0</v>
      </c>
      <c r="CF29" s="119"/>
      <c r="CG29" s="116"/>
      <c r="CH29" s="109">
        <f t="shared" si="136"/>
        <v>0</v>
      </c>
      <c r="CI29" s="119"/>
      <c r="CJ29" s="116"/>
      <c r="CK29" s="109">
        <f t="shared" si="137"/>
        <v>0</v>
      </c>
      <c r="CL29" s="119"/>
      <c r="CM29" s="116"/>
      <c r="CN29" s="109">
        <f t="shared" si="138"/>
        <v>0</v>
      </c>
      <c r="CO29" s="119"/>
      <c r="CP29" s="116"/>
      <c r="CQ29" s="109">
        <f t="shared" si="139"/>
        <v>0</v>
      </c>
      <c r="CR29" s="119"/>
      <c r="CS29" s="116"/>
      <c r="CT29" s="109">
        <f t="shared" si="140"/>
        <v>0</v>
      </c>
      <c r="CU29" s="119"/>
      <c r="CV29" s="116"/>
      <c r="CW29" s="109">
        <f t="shared" si="141"/>
        <v>0</v>
      </c>
      <c r="CX29" s="119"/>
      <c r="CY29" s="116"/>
      <c r="CZ29" s="109">
        <f t="shared" si="142"/>
        <v>0</v>
      </c>
      <c r="DA29" s="119"/>
      <c r="DB29" s="116"/>
      <c r="DC29" s="109">
        <f t="shared" si="143"/>
        <v>0</v>
      </c>
      <c r="DD29" s="119"/>
      <c r="DE29" s="116"/>
      <c r="DF29" s="109">
        <f t="shared" si="144"/>
        <v>0</v>
      </c>
      <c r="DG29" s="119"/>
      <c r="DH29" s="116"/>
      <c r="DI29" s="109">
        <f t="shared" si="145"/>
        <v>0</v>
      </c>
      <c r="DJ29" s="119"/>
      <c r="DK29" s="116"/>
      <c r="DL29" s="109">
        <f t="shared" si="146"/>
        <v>0</v>
      </c>
      <c r="DM29" s="119"/>
      <c r="DN29" s="116"/>
      <c r="DO29" s="109">
        <f t="shared" si="147"/>
        <v>0</v>
      </c>
      <c r="DP29" s="126"/>
      <c r="DQ29" s="110"/>
      <c r="DR29" s="111"/>
      <c r="DS29" s="112">
        <f t="shared" si="108"/>
        <v>125</v>
      </c>
      <c r="DT29" s="113">
        <f t="shared" si="109"/>
        <v>2.5274614383014152E-4</v>
      </c>
    </row>
    <row r="30" spans="2:125" s="86" customFormat="1" ht="21.9" customHeight="1" outlineLevel="1">
      <c r="B30" s="122" t="s">
        <v>216</v>
      </c>
      <c r="C30" s="123" t="s">
        <v>674</v>
      </c>
      <c r="D30" s="127" t="s">
        <v>673</v>
      </c>
      <c r="E30" s="125">
        <v>1250</v>
      </c>
      <c r="F30" s="119"/>
      <c r="G30" s="116"/>
      <c r="H30" s="109">
        <f t="shared" si="110"/>
        <v>0</v>
      </c>
      <c r="I30" s="119"/>
      <c r="J30" s="116"/>
      <c r="K30" s="109">
        <f t="shared" si="111"/>
        <v>0</v>
      </c>
      <c r="L30" s="119"/>
      <c r="M30" s="116"/>
      <c r="N30" s="109">
        <f t="shared" si="112"/>
        <v>0</v>
      </c>
      <c r="O30" s="119"/>
      <c r="P30" s="116"/>
      <c r="Q30" s="109">
        <f t="shared" si="113"/>
        <v>0</v>
      </c>
      <c r="R30" s="119"/>
      <c r="S30" s="116"/>
      <c r="T30" s="109">
        <f t="shared" si="114"/>
        <v>0</v>
      </c>
      <c r="U30" s="119"/>
      <c r="V30" s="116"/>
      <c r="W30" s="109">
        <f t="shared" si="115"/>
        <v>0</v>
      </c>
      <c r="X30" s="116">
        <v>1</v>
      </c>
      <c r="Y30" s="116">
        <f>$Y$4/22</f>
        <v>0.45454545454545453</v>
      </c>
      <c r="Z30" s="109">
        <f t="shared" si="116"/>
        <v>568.18181818181813</v>
      </c>
      <c r="AA30" s="119"/>
      <c r="AB30" s="116"/>
      <c r="AC30" s="109">
        <f t="shared" si="117"/>
        <v>0</v>
      </c>
      <c r="AD30" s="119"/>
      <c r="AE30" s="116"/>
      <c r="AF30" s="109">
        <f t="shared" si="118"/>
        <v>0</v>
      </c>
      <c r="AG30" s="119"/>
      <c r="AH30" s="116"/>
      <c r="AI30" s="109">
        <f t="shared" si="119"/>
        <v>0</v>
      </c>
      <c r="AJ30" s="119"/>
      <c r="AK30" s="116"/>
      <c r="AL30" s="109">
        <f t="shared" si="120"/>
        <v>0</v>
      </c>
      <c r="AM30" s="119"/>
      <c r="AN30" s="116"/>
      <c r="AO30" s="109">
        <f t="shared" si="121"/>
        <v>0</v>
      </c>
      <c r="AP30" s="119"/>
      <c r="AQ30" s="116"/>
      <c r="AR30" s="109">
        <f t="shared" si="122"/>
        <v>0</v>
      </c>
      <c r="AS30" s="119"/>
      <c r="AT30" s="116"/>
      <c r="AU30" s="109">
        <f t="shared" si="123"/>
        <v>0</v>
      </c>
      <c r="AV30" s="119"/>
      <c r="AW30" s="116"/>
      <c r="AX30" s="109">
        <f t="shared" si="124"/>
        <v>0</v>
      </c>
      <c r="AY30" s="119"/>
      <c r="AZ30" s="116"/>
      <c r="BA30" s="109">
        <f t="shared" si="125"/>
        <v>0</v>
      </c>
      <c r="BB30" s="119"/>
      <c r="BC30" s="116"/>
      <c r="BD30" s="109">
        <f t="shared" si="126"/>
        <v>0</v>
      </c>
      <c r="BE30" s="119"/>
      <c r="BF30" s="116"/>
      <c r="BG30" s="109">
        <f t="shared" si="127"/>
        <v>0</v>
      </c>
      <c r="BH30" s="119"/>
      <c r="BI30" s="116"/>
      <c r="BJ30" s="109">
        <f t="shared" si="128"/>
        <v>0</v>
      </c>
      <c r="BK30" s="119"/>
      <c r="BL30" s="116"/>
      <c r="BM30" s="109">
        <f t="shared" si="129"/>
        <v>0</v>
      </c>
      <c r="BN30" s="119"/>
      <c r="BO30" s="116"/>
      <c r="BP30" s="109">
        <f t="shared" si="130"/>
        <v>0</v>
      </c>
      <c r="BQ30" s="119"/>
      <c r="BR30" s="116"/>
      <c r="BS30" s="109">
        <f t="shared" si="131"/>
        <v>0</v>
      </c>
      <c r="BT30" s="119"/>
      <c r="BU30" s="116"/>
      <c r="BV30" s="109">
        <f t="shared" si="132"/>
        <v>0</v>
      </c>
      <c r="BW30" s="119"/>
      <c r="BX30" s="116"/>
      <c r="BY30" s="109">
        <f t="shared" si="133"/>
        <v>0</v>
      </c>
      <c r="BZ30" s="119"/>
      <c r="CA30" s="116"/>
      <c r="CB30" s="109">
        <f t="shared" si="134"/>
        <v>0</v>
      </c>
      <c r="CC30" s="119"/>
      <c r="CD30" s="116"/>
      <c r="CE30" s="109">
        <f t="shared" si="135"/>
        <v>0</v>
      </c>
      <c r="CF30" s="119"/>
      <c r="CG30" s="116"/>
      <c r="CH30" s="109">
        <f t="shared" si="136"/>
        <v>0</v>
      </c>
      <c r="CI30" s="119"/>
      <c r="CJ30" s="116"/>
      <c r="CK30" s="109">
        <f t="shared" si="137"/>
        <v>0</v>
      </c>
      <c r="CL30" s="119"/>
      <c r="CM30" s="116"/>
      <c r="CN30" s="109">
        <f t="shared" si="138"/>
        <v>0</v>
      </c>
      <c r="CO30" s="119"/>
      <c r="CP30" s="116"/>
      <c r="CQ30" s="109">
        <f t="shared" si="139"/>
        <v>0</v>
      </c>
      <c r="CR30" s="119"/>
      <c r="CS30" s="116"/>
      <c r="CT30" s="109">
        <f t="shared" si="140"/>
        <v>0</v>
      </c>
      <c r="CU30" s="119"/>
      <c r="CV30" s="116"/>
      <c r="CW30" s="109">
        <f t="shared" si="141"/>
        <v>0</v>
      </c>
      <c r="CX30" s="119"/>
      <c r="CY30" s="116"/>
      <c r="CZ30" s="109">
        <f t="shared" si="142"/>
        <v>0</v>
      </c>
      <c r="DA30" s="119"/>
      <c r="DB30" s="116"/>
      <c r="DC30" s="109">
        <f t="shared" si="143"/>
        <v>0</v>
      </c>
      <c r="DD30" s="119"/>
      <c r="DE30" s="116"/>
      <c r="DF30" s="109">
        <f t="shared" si="144"/>
        <v>0</v>
      </c>
      <c r="DG30" s="119"/>
      <c r="DH30" s="116"/>
      <c r="DI30" s="109">
        <f t="shared" si="145"/>
        <v>0</v>
      </c>
      <c r="DJ30" s="119"/>
      <c r="DK30" s="116"/>
      <c r="DL30" s="109">
        <f t="shared" si="146"/>
        <v>0</v>
      </c>
      <c r="DM30" s="119"/>
      <c r="DN30" s="116"/>
      <c r="DO30" s="109">
        <f t="shared" si="147"/>
        <v>0</v>
      </c>
      <c r="DP30" s="126"/>
      <c r="DQ30" s="110"/>
      <c r="DR30" s="111"/>
      <c r="DS30" s="112">
        <f t="shared" si="108"/>
        <v>568.18181818181813</v>
      </c>
      <c r="DT30" s="113">
        <f t="shared" si="109"/>
        <v>1.1488461083188249E-3</v>
      </c>
    </row>
    <row r="31" spans="2:125" s="86" customFormat="1" ht="21.9" customHeight="1" outlineLevel="1">
      <c r="B31" s="122" t="s">
        <v>217</v>
      </c>
      <c r="C31" s="123" t="s">
        <v>675</v>
      </c>
      <c r="D31" s="124" t="s">
        <v>673</v>
      </c>
      <c r="E31" s="125">
        <v>1750</v>
      </c>
      <c r="F31" s="119"/>
      <c r="G31" s="116"/>
      <c r="H31" s="109">
        <f t="shared" si="110"/>
        <v>0</v>
      </c>
      <c r="I31" s="119"/>
      <c r="J31" s="116"/>
      <c r="K31" s="109">
        <f t="shared" si="111"/>
        <v>0</v>
      </c>
      <c r="L31" s="119"/>
      <c r="M31" s="116"/>
      <c r="N31" s="109">
        <f t="shared" si="112"/>
        <v>0</v>
      </c>
      <c r="O31" s="119"/>
      <c r="P31" s="116"/>
      <c r="Q31" s="109">
        <f t="shared" si="113"/>
        <v>0</v>
      </c>
      <c r="R31" s="119"/>
      <c r="S31" s="116"/>
      <c r="T31" s="109">
        <f t="shared" si="114"/>
        <v>0</v>
      </c>
      <c r="U31" s="119"/>
      <c r="V31" s="116"/>
      <c r="W31" s="109">
        <f t="shared" si="115"/>
        <v>0</v>
      </c>
      <c r="X31" s="116">
        <v>1</v>
      </c>
      <c r="Y31" s="116">
        <f>$Y$4/22</f>
        <v>0.45454545454545453</v>
      </c>
      <c r="Z31" s="109">
        <f t="shared" si="116"/>
        <v>795.45454545454538</v>
      </c>
      <c r="AA31" s="119"/>
      <c r="AB31" s="116"/>
      <c r="AC31" s="109">
        <f t="shared" si="117"/>
        <v>0</v>
      </c>
      <c r="AD31" s="119"/>
      <c r="AE31" s="116"/>
      <c r="AF31" s="109">
        <f t="shared" si="118"/>
        <v>0</v>
      </c>
      <c r="AG31" s="119"/>
      <c r="AH31" s="116"/>
      <c r="AI31" s="109">
        <f t="shared" si="119"/>
        <v>0</v>
      </c>
      <c r="AJ31" s="119"/>
      <c r="AK31" s="116"/>
      <c r="AL31" s="109">
        <f t="shared" si="120"/>
        <v>0</v>
      </c>
      <c r="AM31" s="119"/>
      <c r="AN31" s="116"/>
      <c r="AO31" s="109">
        <f t="shared" si="121"/>
        <v>0</v>
      </c>
      <c r="AP31" s="119"/>
      <c r="AQ31" s="116"/>
      <c r="AR31" s="109">
        <f t="shared" si="122"/>
        <v>0</v>
      </c>
      <c r="AS31" s="119"/>
      <c r="AT31" s="116"/>
      <c r="AU31" s="109">
        <f t="shared" si="123"/>
        <v>0</v>
      </c>
      <c r="AV31" s="119"/>
      <c r="AW31" s="116"/>
      <c r="AX31" s="109">
        <f t="shared" si="124"/>
        <v>0</v>
      </c>
      <c r="AY31" s="119"/>
      <c r="AZ31" s="116"/>
      <c r="BA31" s="109">
        <f t="shared" si="125"/>
        <v>0</v>
      </c>
      <c r="BB31" s="119"/>
      <c r="BC31" s="116"/>
      <c r="BD31" s="109">
        <f t="shared" si="126"/>
        <v>0</v>
      </c>
      <c r="BE31" s="119"/>
      <c r="BF31" s="116"/>
      <c r="BG31" s="109">
        <f t="shared" si="127"/>
        <v>0</v>
      </c>
      <c r="BH31" s="119"/>
      <c r="BI31" s="116"/>
      <c r="BJ31" s="109">
        <f t="shared" si="128"/>
        <v>0</v>
      </c>
      <c r="BK31" s="119"/>
      <c r="BL31" s="116"/>
      <c r="BM31" s="109">
        <f t="shared" si="129"/>
        <v>0</v>
      </c>
      <c r="BN31" s="119"/>
      <c r="BO31" s="116"/>
      <c r="BP31" s="109">
        <f t="shared" si="130"/>
        <v>0</v>
      </c>
      <c r="BQ31" s="119"/>
      <c r="BR31" s="116"/>
      <c r="BS31" s="109">
        <f t="shared" si="131"/>
        <v>0</v>
      </c>
      <c r="BT31" s="119"/>
      <c r="BU31" s="116"/>
      <c r="BV31" s="109">
        <f t="shared" si="132"/>
        <v>0</v>
      </c>
      <c r="BW31" s="119"/>
      <c r="BX31" s="116"/>
      <c r="BY31" s="109">
        <f t="shared" si="133"/>
        <v>0</v>
      </c>
      <c r="BZ31" s="119"/>
      <c r="CA31" s="116"/>
      <c r="CB31" s="109">
        <f t="shared" si="134"/>
        <v>0</v>
      </c>
      <c r="CC31" s="119"/>
      <c r="CD31" s="116"/>
      <c r="CE31" s="109">
        <f t="shared" si="135"/>
        <v>0</v>
      </c>
      <c r="CF31" s="119"/>
      <c r="CG31" s="116"/>
      <c r="CH31" s="109">
        <f t="shared" si="136"/>
        <v>0</v>
      </c>
      <c r="CI31" s="119"/>
      <c r="CJ31" s="116"/>
      <c r="CK31" s="109">
        <f t="shared" si="137"/>
        <v>0</v>
      </c>
      <c r="CL31" s="119"/>
      <c r="CM31" s="116"/>
      <c r="CN31" s="109">
        <f t="shared" si="138"/>
        <v>0</v>
      </c>
      <c r="CO31" s="119"/>
      <c r="CP31" s="116"/>
      <c r="CQ31" s="109">
        <f t="shared" si="139"/>
        <v>0</v>
      </c>
      <c r="CR31" s="119"/>
      <c r="CS31" s="116"/>
      <c r="CT31" s="109">
        <f t="shared" si="140"/>
        <v>0</v>
      </c>
      <c r="CU31" s="119"/>
      <c r="CV31" s="116"/>
      <c r="CW31" s="109">
        <f t="shared" si="141"/>
        <v>0</v>
      </c>
      <c r="CX31" s="119"/>
      <c r="CY31" s="116"/>
      <c r="CZ31" s="109">
        <f t="shared" si="142"/>
        <v>0</v>
      </c>
      <c r="DA31" s="119"/>
      <c r="DB31" s="116"/>
      <c r="DC31" s="109">
        <f t="shared" si="143"/>
        <v>0</v>
      </c>
      <c r="DD31" s="119"/>
      <c r="DE31" s="116"/>
      <c r="DF31" s="109">
        <f t="shared" si="144"/>
        <v>0</v>
      </c>
      <c r="DG31" s="119"/>
      <c r="DH31" s="116"/>
      <c r="DI31" s="109">
        <f t="shared" si="145"/>
        <v>0</v>
      </c>
      <c r="DJ31" s="119"/>
      <c r="DK31" s="116"/>
      <c r="DL31" s="109">
        <f t="shared" si="146"/>
        <v>0</v>
      </c>
      <c r="DM31" s="119"/>
      <c r="DN31" s="116"/>
      <c r="DO31" s="109">
        <f t="shared" si="147"/>
        <v>0</v>
      </c>
      <c r="DP31" s="126"/>
      <c r="DQ31" s="110"/>
      <c r="DR31" s="111"/>
      <c r="DS31" s="112">
        <f t="shared" si="108"/>
        <v>795.45454545454538</v>
      </c>
      <c r="DT31" s="113">
        <f t="shared" si="109"/>
        <v>1.6083845516463549E-3</v>
      </c>
    </row>
    <row r="32" spans="2:125" s="86" customFormat="1" ht="21.9" customHeight="1" outlineLevel="1">
      <c r="B32" s="122" t="s">
        <v>218</v>
      </c>
      <c r="C32" s="123" t="s">
        <v>688</v>
      </c>
      <c r="D32" s="124" t="s">
        <v>687</v>
      </c>
      <c r="E32" s="125">
        <v>7852.5</v>
      </c>
      <c r="F32" s="119"/>
      <c r="G32" s="116"/>
      <c r="H32" s="109">
        <f t="shared" si="110"/>
        <v>0</v>
      </c>
      <c r="I32" s="119"/>
      <c r="J32" s="116"/>
      <c r="K32" s="109">
        <f t="shared" si="111"/>
        <v>0</v>
      </c>
      <c r="L32" s="119"/>
      <c r="M32" s="116"/>
      <c r="N32" s="109">
        <f t="shared" si="112"/>
        <v>0</v>
      </c>
      <c r="O32" s="119"/>
      <c r="P32" s="116"/>
      <c r="Q32" s="109">
        <f t="shared" si="113"/>
        <v>0</v>
      </c>
      <c r="R32" s="119"/>
      <c r="S32" s="116"/>
      <c r="T32" s="109">
        <f t="shared" si="114"/>
        <v>0</v>
      </c>
      <c r="U32" s="119"/>
      <c r="V32" s="116"/>
      <c r="W32" s="109">
        <f t="shared" si="115"/>
        <v>0</v>
      </c>
      <c r="X32" s="119"/>
      <c r="Y32" s="116"/>
      <c r="Z32" s="109">
        <f t="shared" si="116"/>
        <v>0</v>
      </c>
      <c r="AA32" s="119"/>
      <c r="AB32" s="116"/>
      <c r="AC32" s="109">
        <f t="shared" si="117"/>
        <v>0</v>
      </c>
      <c r="AD32" s="119"/>
      <c r="AE32" s="116"/>
      <c r="AF32" s="109">
        <f t="shared" si="118"/>
        <v>0</v>
      </c>
      <c r="AG32" s="119"/>
      <c r="AH32" s="116"/>
      <c r="AI32" s="109">
        <f t="shared" si="119"/>
        <v>0</v>
      </c>
      <c r="AJ32" s="119"/>
      <c r="AK32" s="116"/>
      <c r="AL32" s="109">
        <f t="shared" si="120"/>
        <v>0</v>
      </c>
      <c r="AM32" s="119"/>
      <c r="AN32" s="116"/>
      <c r="AO32" s="109">
        <f t="shared" si="121"/>
        <v>0</v>
      </c>
      <c r="AP32" s="119"/>
      <c r="AQ32" s="116"/>
      <c r="AR32" s="109">
        <f t="shared" si="122"/>
        <v>0</v>
      </c>
      <c r="AS32" s="119"/>
      <c r="AT32" s="116"/>
      <c r="AU32" s="109">
        <f t="shared" si="123"/>
        <v>0</v>
      </c>
      <c r="AV32" s="119"/>
      <c r="AW32" s="116"/>
      <c r="AX32" s="109">
        <f t="shared" si="124"/>
        <v>0</v>
      </c>
      <c r="AY32" s="119"/>
      <c r="AZ32" s="116"/>
      <c r="BA32" s="109">
        <f t="shared" si="125"/>
        <v>0</v>
      </c>
      <c r="BB32" s="119"/>
      <c r="BC32" s="116"/>
      <c r="BD32" s="109">
        <f t="shared" si="126"/>
        <v>0</v>
      </c>
      <c r="BE32" s="119"/>
      <c r="BF32" s="116"/>
      <c r="BG32" s="109">
        <f t="shared" si="127"/>
        <v>0</v>
      </c>
      <c r="BH32" s="119"/>
      <c r="BI32" s="116"/>
      <c r="BJ32" s="109">
        <f t="shared" si="128"/>
        <v>0</v>
      </c>
      <c r="BK32" s="119"/>
      <c r="BL32" s="116"/>
      <c r="BM32" s="109">
        <f t="shared" si="129"/>
        <v>0</v>
      </c>
      <c r="BN32" s="119">
        <v>1</v>
      </c>
      <c r="BO32" s="116">
        <f>BO4</f>
        <v>2</v>
      </c>
      <c r="BP32" s="109">
        <f t="shared" si="130"/>
        <v>15705</v>
      </c>
      <c r="BQ32" s="119">
        <v>1</v>
      </c>
      <c r="BR32" s="116">
        <f>BR4</f>
        <v>6</v>
      </c>
      <c r="BS32" s="109">
        <f t="shared" si="131"/>
        <v>47115</v>
      </c>
      <c r="BT32" s="119"/>
      <c r="BU32" s="116"/>
      <c r="BV32" s="109">
        <f t="shared" si="132"/>
        <v>0</v>
      </c>
      <c r="BW32" s="119"/>
      <c r="BX32" s="116"/>
      <c r="BY32" s="109">
        <f t="shared" si="133"/>
        <v>0</v>
      </c>
      <c r="BZ32" s="119"/>
      <c r="CA32" s="116"/>
      <c r="CB32" s="109">
        <f t="shared" si="134"/>
        <v>0</v>
      </c>
      <c r="CC32" s="119"/>
      <c r="CD32" s="116"/>
      <c r="CE32" s="109">
        <f t="shared" si="135"/>
        <v>0</v>
      </c>
      <c r="CF32" s="119"/>
      <c r="CG32" s="116"/>
      <c r="CH32" s="109">
        <f t="shared" si="136"/>
        <v>0</v>
      </c>
      <c r="CI32" s="119"/>
      <c r="CJ32" s="116"/>
      <c r="CK32" s="109">
        <f t="shared" si="137"/>
        <v>0</v>
      </c>
      <c r="CL32" s="119">
        <f>CM4</f>
        <v>7</v>
      </c>
      <c r="CM32" s="116">
        <v>1</v>
      </c>
      <c r="CN32" s="109">
        <f t="shared" si="138"/>
        <v>54967.5</v>
      </c>
      <c r="CO32" s="119"/>
      <c r="CP32" s="116"/>
      <c r="CQ32" s="109">
        <f t="shared" si="139"/>
        <v>0</v>
      </c>
      <c r="CR32" s="119"/>
      <c r="CS32" s="116"/>
      <c r="CT32" s="109">
        <f t="shared" si="140"/>
        <v>0</v>
      </c>
      <c r="CU32" s="119"/>
      <c r="CV32" s="116"/>
      <c r="CW32" s="109">
        <f t="shared" si="141"/>
        <v>0</v>
      </c>
      <c r="CX32" s="119"/>
      <c r="CY32" s="116"/>
      <c r="CZ32" s="109">
        <f t="shared" si="142"/>
        <v>0</v>
      </c>
      <c r="DA32" s="119"/>
      <c r="DB32" s="116"/>
      <c r="DC32" s="109">
        <f t="shared" si="143"/>
        <v>0</v>
      </c>
      <c r="DD32" s="119"/>
      <c r="DE32" s="116"/>
      <c r="DF32" s="109">
        <f t="shared" si="144"/>
        <v>0</v>
      </c>
      <c r="DG32" s="119"/>
      <c r="DH32" s="116"/>
      <c r="DI32" s="109">
        <f t="shared" si="145"/>
        <v>0</v>
      </c>
      <c r="DJ32" s="119"/>
      <c r="DK32" s="116"/>
      <c r="DL32" s="109">
        <f t="shared" si="146"/>
        <v>0</v>
      </c>
      <c r="DM32" s="119"/>
      <c r="DN32" s="116"/>
      <c r="DO32" s="109">
        <f t="shared" si="147"/>
        <v>0</v>
      </c>
      <c r="DP32" s="126"/>
      <c r="DQ32" s="110"/>
      <c r="DR32" s="111"/>
      <c r="DS32" s="112">
        <f t="shared" si="108"/>
        <v>117787.5</v>
      </c>
      <c r="DT32" s="113">
        <f t="shared" si="109"/>
        <v>0.23816269133114235</v>
      </c>
    </row>
    <row r="33" spans="2:124" s="86" customFormat="1" ht="21.9" customHeight="1" outlineLevel="1">
      <c r="B33" s="122" t="s">
        <v>219</v>
      </c>
      <c r="C33" s="123" t="s">
        <v>686</v>
      </c>
      <c r="D33" s="127" t="s">
        <v>273</v>
      </c>
      <c r="E33" s="125">
        <v>15000</v>
      </c>
      <c r="F33" s="119"/>
      <c r="G33" s="116"/>
      <c r="H33" s="109">
        <f t="shared" si="110"/>
        <v>0</v>
      </c>
      <c r="I33" s="119"/>
      <c r="J33" s="116"/>
      <c r="K33" s="109">
        <f t="shared" si="111"/>
        <v>0</v>
      </c>
      <c r="L33" s="119"/>
      <c r="M33" s="116"/>
      <c r="N33" s="109">
        <f t="shared" si="112"/>
        <v>0</v>
      </c>
      <c r="O33" s="119"/>
      <c r="P33" s="116"/>
      <c r="Q33" s="109">
        <f t="shared" si="113"/>
        <v>0</v>
      </c>
      <c r="R33" s="119"/>
      <c r="S33" s="116"/>
      <c r="T33" s="109">
        <f t="shared" si="114"/>
        <v>0</v>
      </c>
      <c r="U33" s="119"/>
      <c r="V33" s="116"/>
      <c r="W33" s="109">
        <f t="shared" si="115"/>
        <v>0</v>
      </c>
      <c r="X33" s="119"/>
      <c r="Y33" s="116"/>
      <c r="Z33" s="109">
        <f t="shared" si="116"/>
        <v>0</v>
      </c>
      <c r="AA33" s="119"/>
      <c r="AB33" s="116"/>
      <c r="AC33" s="109">
        <f t="shared" si="117"/>
        <v>0</v>
      </c>
      <c r="AD33" s="119"/>
      <c r="AE33" s="116"/>
      <c r="AF33" s="109">
        <f t="shared" si="118"/>
        <v>0</v>
      </c>
      <c r="AG33" s="119"/>
      <c r="AH33" s="116"/>
      <c r="AI33" s="109">
        <f t="shared" si="119"/>
        <v>0</v>
      </c>
      <c r="AJ33" s="119"/>
      <c r="AK33" s="116"/>
      <c r="AL33" s="109">
        <f t="shared" si="120"/>
        <v>0</v>
      </c>
      <c r="AM33" s="119"/>
      <c r="AN33" s="116"/>
      <c r="AO33" s="109">
        <f t="shared" si="121"/>
        <v>0</v>
      </c>
      <c r="AP33" s="119"/>
      <c r="AQ33" s="116"/>
      <c r="AR33" s="109">
        <f t="shared" si="122"/>
        <v>0</v>
      </c>
      <c r="AS33" s="119"/>
      <c r="AT33" s="116"/>
      <c r="AU33" s="109">
        <f t="shared" si="123"/>
        <v>0</v>
      </c>
      <c r="AV33" s="119"/>
      <c r="AW33" s="116"/>
      <c r="AX33" s="109">
        <f t="shared" si="124"/>
        <v>0</v>
      </c>
      <c r="AY33" s="119"/>
      <c r="AZ33" s="116"/>
      <c r="BA33" s="109">
        <f t="shared" si="125"/>
        <v>0</v>
      </c>
      <c r="BB33" s="119"/>
      <c r="BC33" s="116"/>
      <c r="BD33" s="109">
        <f t="shared" si="126"/>
        <v>0</v>
      </c>
      <c r="BE33" s="119"/>
      <c r="BF33" s="116"/>
      <c r="BG33" s="109">
        <f t="shared" si="127"/>
        <v>0</v>
      </c>
      <c r="BH33" s="119"/>
      <c r="BI33" s="116"/>
      <c r="BJ33" s="109">
        <f t="shared" si="128"/>
        <v>0</v>
      </c>
      <c r="BK33" s="119"/>
      <c r="BL33" s="116"/>
      <c r="BM33" s="109">
        <f t="shared" si="129"/>
        <v>0</v>
      </c>
      <c r="BN33" s="119">
        <v>1</v>
      </c>
      <c r="BO33" s="116">
        <v>1</v>
      </c>
      <c r="BP33" s="109">
        <f t="shared" si="130"/>
        <v>15000</v>
      </c>
      <c r="BQ33" s="119">
        <v>1</v>
      </c>
      <c r="BR33" s="116">
        <v>1</v>
      </c>
      <c r="BS33" s="109">
        <f t="shared" si="131"/>
        <v>15000</v>
      </c>
      <c r="BT33" s="119"/>
      <c r="BU33" s="116"/>
      <c r="BV33" s="109">
        <f t="shared" si="132"/>
        <v>0</v>
      </c>
      <c r="BW33" s="119"/>
      <c r="BX33" s="116"/>
      <c r="BY33" s="109">
        <f t="shared" si="133"/>
        <v>0</v>
      </c>
      <c r="BZ33" s="119"/>
      <c r="CA33" s="116"/>
      <c r="CB33" s="109">
        <f t="shared" si="134"/>
        <v>0</v>
      </c>
      <c r="CC33" s="119"/>
      <c r="CD33" s="116"/>
      <c r="CE33" s="109">
        <f t="shared" si="135"/>
        <v>0</v>
      </c>
      <c r="CF33" s="119"/>
      <c r="CG33" s="116"/>
      <c r="CH33" s="109">
        <f t="shared" si="136"/>
        <v>0</v>
      </c>
      <c r="CI33" s="119"/>
      <c r="CJ33" s="116"/>
      <c r="CK33" s="109">
        <f t="shared" si="137"/>
        <v>0</v>
      </c>
      <c r="CL33" s="119">
        <v>1</v>
      </c>
      <c r="CM33" s="116">
        <v>1</v>
      </c>
      <c r="CN33" s="109">
        <f t="shared" si="138"/>
        <v>15000</v>
      </c>
      <c r="CO33" s="119"/>
      <c r="CP33" s="116"/>
      <c r="CQ33" s="109">
        <f t="shared" si="139"/>
        <v>0</v>
      </c>
      <c r="CR33" s="119"/>
      <c r="CS33" s="116"/>
      <c r="CT33" s="109">
        <f t="shared" si="140"/>
        <v>0</v>
      </c>
      <c r="CU33" s="119"/>
      <c r="CV33" s="116"/>
      <c r="CW33" s="109">
        <f t="shared" si="141"/>
        <v>0</v>
      </c>
      <c r="CX33" s="119"/>
      <c r="CY33" s="116"/>
      <c r="CZ33" s="109">
        <f t="shared" si="142"/>
        <v>0</v>
      </c>
      <c r="DA33" s="119"/>
      <c r="DB33" s="116"/>
      <c r="DC33" s="109">
        <f t="shared" si="143"/>
        <v>0</v>
      </c>
      <c r="DD33" s="119"/>
      <c r="DE33" s="116"/>
      <c r="DF33" s="109">
        <f t="shared" si="144"/>
        <v>0</v>
      </c>
      <c r="DG33" s="119"/>
      <c r="DH33" s="116"/>
      <c r="DI33" s="109">
        <f t="shared" si="145"/>
        <v>0</v>
      </c>
      <c r="DJ33" s="119"/>
      <c r="DK33" s="116"/>
      <c r="DL33" s="109">
        <f t="shared" si="146"/>
        <v>0</v>
      </c>
      <c r="DM33" s="119"/>
      <c r="DN33" s="116"/>
      <c r="DO33" s="109">
        <f t="shared" si="147"/>
        <v>0</v>
      </c>
      <c r="DP33" s="126"/>
      <c r="DQ33" s="110"/>
      <c r="DR33" s="111"/>
      <c r="DS33" s="112">
        <f t="shared" si="108"/>
        <v>45000</v>
      </c>
      <c r="DT33" s="113">
        <f t="shared" si="109"/>
        <v>9.0988611778850939E-2</v>
      </c>
    </row>
    <row r="34" spans="2:124" s="86" customFormat="1" ht="21.9" customHeight="1" outlineLevel="1">
      <c r="B34" s="122" t="s">
        <v>220</v>
      </c>
      <c r="C34" s="123" t="s">
        <v>690</v>
      </c>
      <c r="D34" s="127" t="s">
        <v>273</v>
      </c>
      <c r="E34" s="125">
        <v>2520</v>
      </c>
      <c r="F34" s="119"/>
      <c r="G34" s="116"/>
      <c r="H34" s="109">
        <f t="shared" si="110"/>
        <v>0</v>
      </c>
      <c r="I34" s="119"/>
      <c r="J34" s="116"/>
      <c r="K34" s="109">
        <f t="shared" si="111"/>
        <v>0</v>
      </c>
      <c r="L34" s="119"/>
      <c r="M34" s="116"/>
      <c r="N34" s="109">
        <f t="shared" si="112"/>
        <v>0</v>
      </c>
      <c r="O34" s="119"/>
      <c r="P34" s="116"/>
      <c r="Q34" s="109">
        <f t="shared" si="113"/>
        <v>0</v>
      </c>
      <c r="R34" s="119"/>
      <c r="S34" s="116"/>
      <c r="T34" s="109">
        <f t="shared" si="114"/>
        <v>0</v>
      </c>
      <c r="U34" s="119"/>
      <c r="V34" s="116"/>
      <c r="W34" s="109">
        <f t="shared" si="115"/>
        <v>0</v>
      </c>
      <c r="X34" s="119"/>
      <c r="Y34" s="116"/>
      <c r="Z34" s="109">
        <f t="shared" si="116"/>
        <v>0</v>
      </c>
      <c r="AA34" s="119"/>
      <c r="AB34" s="116"/>
      <c r="AC34" s="109">
        <f t="shared" si="117"/>
        <v>0</v>
      </c>
      <c r="AD34" s="119"/>
      <c r="AE34" s="116"/>
      <c r="AF34" s="109">
        <f t="shared" si="118"/>
        <v>0</v>
      </c>
      <c r="AG34" s="119"/>
      <c r="AH34" s="116"/>
      <c r="AI34" s="109">
        <f t="shared" si="119"/>
        <v>0</v>
      </c>
      <c r="AJ34" s="119"/>
      <c r="AK34" s="116"/>
      <c r="AL34" s="109">
        <f t="shared" si="120"/>
        <v>0</v>
      </c>
      <c r="AM34" s="119"/>
      <c r="AN34" s="116"/>
      <c r="AO34" s="109">
        <f t="shared" si="121"/>
        <v>0</v>
      </c>
      <c r="AP34" s="119"/>
      <c r="AQ34" s="116"/>
      <c r="AR34" s="109">
        <f t="shared" si="122"/>
        <v>0</v>
      </c>
      <c r="AS34" s="119"/>
      <c r="AT34" s="116"/>
      <c r="AU34" s="109">
        <f t="shared" si="123"/>
        <v>0</v>
      </c>
      <c r="AV34" s="119"/>
      <c r="AW34" s="116"/>
      <c r="AX34" s="109">
        <f t="shared" si="124"/>
        <v>0</v>
      </c>
      <c r="AY34" s="119"/>
      <c r="AZ34" s="116"/>
      <c r="BA34" s="109">
        <f t="shared" si="125"/>
        <v>0</v>
      </c>
      <c r="BB34" s="119"/>
      <c r="BC34" s="116"/>
      <c r="BD34" s="109">
        <f t="shared" si="126"/>
        <v>0</v>
      </c>
      <c r="BE34" s="119"/>
      <c r="BF34" s="116"/>
      <c r="BG34" s="109">
        <f t="shared" si="127"/>
        <v>0</v>
      </c>
      <c r="BH34" s="119"/>
      <c r="BI34" s="116"/>
      <c r="BJ34" s="109">
        <f t="shared" si="128"/>
        <v>0</v>
      </c>
      <c r="BK34" s="119"/>
      <c r="BL34" s="116"/>
      <c r="BM34" s="109">
        <f t="shared" si="129"/>
        <v>0</v>
      </c>
      <c r="BN34" s="119">
        <v>1</v>
      </c>
      <c r="BO34" s="116">
        <v>1</v>
      </c>
      <c r="BP34" s="109">
        <f t="shared" si="130"/>
        <v>2520</v>
      </c>
      <c r="BQ34" s="119">
        <v>1</v>
      </c>
      <c r="BR34" s="116">
        <v>1</v>
      </c>
      <c r="BS34" s="109">
        <f t="shared" si="131"/>
        <v>2520</v>
      </c>
      <c r="BT34" s="119"/>
      <c r="BU34" s="116"/>
      <c r="BV34" s="109">
        <f t="shared" si="132"/>
        <v>0</v>
      </c>
      <c r="BW34" s="119"/>
      <c r="BX34" s="116"/>
      <c r="BY34" s="109">
        <f t="shared" si="133"/>
        <v>0</v>
      </c>
      <c r="BZ34" s="119"/>
      <c r="CA34" s="116"/>
      <c r="CB34" s="109">
        <f t="shared" si="134"/>
        <v>0</v>
      </c>
      <c r="CC34" s="119"/>
      <c r="CD34" s="116"/>
      <c r="CE34" s="109">
        <f t="shared" si="135"/>
        <v>0</v>
      </c>
      <c r="CF34" s="119"/>
      <c r="CG34" s="116"/>
      <c r="CH34" s="109">
        <f t="shared" si="136"/>
        <v>0</v>
      </c>
      <c r="CI34" s="119"/>
      <c r="CJ34" s="116"/>
      <c r="CK34" s="109">
        <f t="shared" si="137"/>
        <v>0</v>
      </c>
      <c r="CL34" s="119">
        <v>1</v>
      </c>
      <c r="CM34" s="116">
        <v>1</v>
      </c>
      <c r="CN34" s="109">
        <f t="shared" si="138"/>
        <v>2520</v>
      </c>
      <c r="CO34" s="119"/>
      <c r="CP34" s="116"/>
      <c r="CQ34" s="109">
        <f t="shared" si="139"/>
        <v>0</v>
      </c>
      <c r="CR34" s="119"/>
      <c r="CS34" s="116"/>
      <c r="CT34" s="109">
        <f t="shared" si="140"/>
        <v>0</v>
      </c>
      <c r="CU34" s="119"/>
      <c r="CV34" s="116"/>
      <c r="CW34" s="109">
        <f t="shared" si="141"/>
        <v>0</v>
      </c>
      <c r="CX34" s="119"/>
      <c r="CY34" s="116"/>
      <c r="CZ34" s="109">
        <f t="shared" si="142"/>
        <v>0</v>
      </c>
      <c r="DA34" s="119"/>
      <c r="DB34" s="116"/>
      <c r="DC34" s="109">
        <f t="shared" si="143"/>
        <v>0</v>
      </c>
      <c r="DD34" s="119"/>
      <c r="DE34" s="116"/>
      <c r="DF34" s="109">
        <f t="shared" si="144"/>
        <v>0</v>
      </c>
      <c r="DG34" s="119"/>
      <c r="DH34" s="116"/>
      <c r="DI34" s="109">
        <f t="shared" si="145"/>
        <v>0</v>
      </c>
      <c r="DJ34" s="119"/>
      <c r="DK34" s="116"/>
      <c r="DL34" s="109">
        <f t="shared" si="146"/>
        <v>0</v>
      </c>
      <c r="DM34" s="119"/>
      <c r="DN34" s="116"/>
      <c r="DO34" s="109">
        <f t="shared" si="147"/>
        <v>0</v>
      </c>
      <c r="DP34" s="126"/>
      <c r="DQ34" s="110"/>
      <c r="DR34" s="111"/>
      <c r="DS34" s="112">
        <f t="shared" si="108"/>
        <v>7560</v>
      </c>
      <c r="DT34" s="113">
        <f t="shared" si="109"/>
        <v>1.5286086778846958E-2</v>
      </c>
    </row>
    <row r="35" spans="2:124" s="86" customFormat="1" ht="36" customHeight="1" outlineLevel="1">
      <c r="B35" s="122" t="s">
        <v>221</v>
      </c>
      <c r="C35" s="123"/>
      <c r="D35" s="124"/>
      <c r="E35" s="125"/>
      <c r="F35" s="119"/>
      <c r="G35" s="116"/>
      <c r="H35" s="109">
        <f t="shared" si="110"/>
        <v>0</v>
      </c>
      <c r="I35" s="119"/>
      <c r="J35" s="116"/>
      <c r="K35" s="109">
        <f t="shared" si="111"/>
        <v>0</v>
      </c>
      <c r="L35" s="119"/>
      <c r="M35" s="116"/>
      <c r="N35" s="109">
        <f t="shared" si="112"/>
        <v>0</v>
      </c>
      <c r="O35" s="119"/>
      <c r="P35" s="116"/>
      <c r="Q35" s="109">
        <f t="shared" si="113"/>
        <v>0</v>
      </c>
      <c r="R35" s="119"/>
      <c r="S35" s="116"/>
      <c r="T35" s="109">
        <f t="shared" si="114"/>
        <v>0</v>
      </c>
      <c r="U35" s="119"/>
      <c r="V35" s="116"/>
      <c r="W35" s="109">
        <f t="shared" si="115"/>
        <v>0</v>
      </c>
      <c r="X35" s="119"/>
      <c r="Y35" s="116"/>
      <c r="Z35" s="109">
        <f t="shared" si="116"/>
        <v>0</v>
      </c>
      <c r="AA35" s="119"/>
      <c r="AB35" s="116"/>
      <c r="AC35" s="109">
        <f t="shared" si="117"/>
        <v>0</v>
      </c>
      <c r="AD35" s="119"/>
      <c r="AE35" s="116"/>
      <c r="AF35" s="109">
        <f t="shared" si="118"/>
        <v>0</v>
      </c>
      <c r="AG35" s="119"/>
      <c r="AH35" s="116"/>
      <c r="AI35" s="109">
        <f t="shared" si="119"/>
        <v>0</v>
      </c>
      <c r="AJ35" s="119"/>
      <c r="AK35" s="116"/>
      <c r="AL35" s="109">
        <f t="shared" si="120"/>
        <v>0</v>
      </c>
      <c r="AM35" s="119"/>
      <c r="AN35" s="116"/>
      <c r="AO35" s="109">
        <f t="shared" si="121"/>
        <v>0</v>
      </c>
      <c r="AP35" s="119"/>
      <c r="AQ35" s="116"/>
      <c r="AR35" s="109">
        <f t="shared" si="122"/>
        <v>0</v>
      </c>
      <c r="AS35" s="119"/>
      <c r="AT35" s="116"/>
      <c r="AU35" s="109">
        <f t="shared" si="123"/>
        <v>0</v>
      </c>
      <c r="AV35" s="119"/>
      <c r="AW35" s="116"/>
      <c r="AX35" s="109">
        <f t="shared" si="124"/>
        <v>0</v>
      </c>
      <c r="AY35" s="119"/>
      <c r="AZ35" s="116"/>
      <c r="BA35" s="109">
        <f t="shared" si="125"/>
        <v>0</v>
      </c>
      <c r="BB35" s="119"/>
      <c r="BC35" s="116"/>
      <c r="BD35" s="109">
        <f t="shared" si="126"/>
        <v>0</v>
      </c>
      <c r="BE35" s="119"/>
      <c r="BF35" s="116"/>
      <c r="BG35" s="109">
        <f t="shared" si="127"/>
        <v>0</v>
      </c>
      <c r="BH35" s="119"/>
      <c r="BI35" s="116"/>
      <c r="BJ35" s="109">
        <f t="shared" si="128"/>
        <v>0</v>
      </c>
      <c r="BK35" s="119"/>
      <c r="BL35" s="116"/>
      <c r="BM35" s="109">
        <f t="shared" si="129"/>
        <v>0</v>
      </c>
      <c r="BN35" s="119"/>
      <c r="BO35" s="116"/>
      <c r="BP35" s="109">
        <f t="shared" si="130"/>
        <v>0</v>
      </c>
      <c r="BQ35" s="119"/>
      <c r="BR35" s="116"/>
      <c r="BS35" s="109">
        <f t="shared" si="131"/>
        <v>0</v>
      </c>
      <c r="BT35" s="119"/>
      <c r="BU35" s="116"/>
      <c r="BV35" s="109">
        <f t="shared" si="132"/>
        <v>0</v>
      </c>
      <c r="BW35" s="119"/>
      <c r="BX35" s="116"/>
      <c r="BY35" s="109">
        <f t="shared" si="133"/>
        <v>0</v>
      </c>
      <c r="BZ35" s="119"/>
      <c r="CA35" s="116"/>
      <c r="CB35" s="109">
        <f t="shared" si="134"/>
        <v>0</v>
      </c>
      <c r="CC35" s="119"/>
      <c r="CD35" s="116"/>
      <c r="CE35" s="109">
        <f t="shared" si="135"/>
        <v>0</v>
      </c>
      <c r="CF35" s="119"/>
      <c r="CG35" s="116"/>
      <c r="CH35" s="109">
        <f t="shared" si="136"/>
        <v>0</v>
      </c>
      <c r="CI35" s="119"/>
      <c r="CJ35" s="116"/>
      <c r="CK35" s="109">
        <f t="shared" si="137"/>
        <v>0</v>
      </c>
      <c r="CL35" s="119"/>
      <c r="CM35" s="116"/>
      <c r="CN35" s="109">
        <f t="shared" si="138"/>
        <v>0</v>
      </c>
      <c r="CO35" s="119"/>
      <c r="CP35" s="116"/>
      <c r="CQ35" s="109">
        <f t="shared" si="139"/>
        <v>0</v>
      </c>
      <c r="CR35" s="119"/>
      <c r="CS35" s="116"/>
      <c r="CT35" s="109">
        <f t="shared" si="140"/>
        <v>0</v>
      </c>
      <c r="CU35" s="119"/>
      <c r="CV35" s="116"/>
      <c r="CW35" s="109">
        <f t="shared" si="141"/>
        <v>0</v>
      </c>
      <c r="CX35" s="119"/>
      <c r="CY35" s="116"/>
      <c r="CZ35" s="109">
        <f t="shared" si="142"/>
        <v>0</v>
      </c>
      <c r="DA35" s="119"/>
      <c r="DB35" s="116"/>
      <c r="DC35" s="109">
        <f t="shared" si="143"/>
        <v>0</v>
      </c>
      <c r="DD35" s="119"/>
      <c r="DE35" s="116"/>
      <c r="DF35" s="109">
        <f t="shared" si="144"/>
        <v>0</v>
      </c>
      <c r="DG35" s="119"/>
      <c r="DH35" s="116"/>
      <c r="DI35" s="109">
        <f t="shared" si="145"/>
        <v>0</v>
      </c>
      <c r="DJ35" s="119"/>
      <c r="DK35" s="116"/>
      <c r="DL35" s="109">
        <f t="shared" si="146"/>
        <v>0</v>
      </c>
      <c r="DM35" s="119"/>
      <c r="DN35" s="116"/>
      <c r="DO35" s="109">
        <f t="shared" si="147"/>
        <v>0</v>
      </c>
      <c r="DP35" s="126"/>
      <c r="DQ35" s="110"/>
      <c r="DR35" s="111"/>
      <c r="DS35" s="112">
        <f t="shared" si="108"/>
        <v>0</v>
      </c>
      <c r="DT35" s="113">
        <f t="shared" si="109"/>
        <v>0</v>
      </c>
    </row>
    <row r="36" spans="2:124" s="86" customFormat="1" ht="21.9" customHeight="1" outlineLevel="1">
      <c r="B36" s="122" t="s">
        <v>222</v>
      </c>
      <c r="C36" s="128"/>
      <c r="D36" s="127"/>
      <c r="E36" s="130"/>
      <c r="F36" s="119"/>
      <c r="G36" s="116"/>
      <c r="H36" s="109">
        <f t="shared" si="110"/>
        <v>0</v>
      </c>
      <c r="I36" s="119"/>
      <c r="J36" s="116"/>
      <c r="K36" s="109">
        <f t="shared" si="111"/>
        <v>0</v>
      </c>
      <c r="L36" s="119"/>
      <c r="M36" s="116"/>
      <c r="N36" s="109">
        <f t="shared" si="112"/>
        <v>0</v>
      </c>
      <c r="O36" s="119"/>
      <c r="P36" s="116"/>
      <c r="Q36" s="109">
        <f t="shared" si="113"/>
        <v>0</v>
      </c>
      <c r="R36" s="119"/>
      <c r="S36" s="116"/>
      <c r="T36" s="109">
        <f t="shared" si="114"/>
        <v>0</v>
      </c>
      <c r="U36" s="119"/>
      <c r="V36" s="116"/>
      <c r="W36" s="109">
        <f t="shared" si="115"/>
        <v>0</v>
      </c>
      <c r="X36" s="119"/>
      <c r="Y36" s="116"/>
      <c r="Z36" s="109">
        <f t="shared" si="116"/>
        <v>0</v>
      </c>
      <c r="AA36" s="119"/>
      <c r="AB36" s="116"/>
      <c r="AC36" s="109">
        <f t="shared" si="117"/>
        <v>0</v>
      </c>
      <c r="AD36" s="119"/>
      <c r="AE36" s="116"/>
      <c r="AF36" s="109">
        <f t="shared" si="118"/>
        <v>0</v>
      </c>
      <c r="AG36" s="119"/>
      <c r="AH36" s="116"/>
      <c r="AI36" s="109">
        <f t="shared" si="119"/>
        <v>0</v>
      </c>
      <c r="AJ36" s="119"/>
      <c r="AK36" s="116"/>
      <c r="AL36" s="109">
        <f t="shared" si="120"/>
        <v>0</v>
      </c>
      <c r="AM36" s="119"/>
      <c r="AN36" s="116"/>
      <c r="AO36" s="109">
        <f t="shared" si="121"/>
        <v>0</v>
      </c>
      <c r="AP36" s="119"/>
      <c r="AQ36" s="116"/>
      <c r="AR36" s="109">
        <f t="shared" si="122"/>
        <v>0</v>
      </c>
      <c r="AS36" s="119"/>
      <c r="AT36" s="116"/>
      <c r="AU36" s="109">
        <f t="shared" si="123"/>
        <v>0</v>
      </c>
      <c r="AV36" s="119"/>
      <c r="AW36" s="116"/>
      <c r="AX36" s="109">
        <f t="shared" si="124"/>
        <v>0</v>
      </c>
      <c r="AY36" s="119"/>
      <c r="AZ36" s="116"/>
      <c r="BA36" s="109">
        <f t="shared" si="125"/>
        <v>0</v>
      </c>
      <c r="BB36" s="119"/>
      <c r="BC36" s="116"/>
      <c r="BD36" s="109">
        <f t="shared" si="126"/>
        <v>0</v>
      </c>
      <c r="BE36" s="119"/>
      <c r="BF36" s="116"/>
      <c r="BG36" s="109">
        <f t="shared" si="127"/>
        <v>0</v>
      </c>
      <c r="BH36" s="119"/>
      <c r="BI36" s="116"/>
      <c r="BJ36" s="109">
        <f t="shared" si="128"/>
        <v>0</v>
      </c>
      <c r="BK36" s="119"/>
      <c r="BL36" s="116"/>
      <c r="BM36" s="109">
        <f t="shared" si="129"/>
        <v>0</v>
      </c>
      <c r="BN36" s="119"/>
      <c r="BO36" s="116"/>
      <c r="BP36" s="109">
        <f t="shared" si="130"/>
        <v>0</v>
      </c>
      <c r="BQ36" s="119"/>
      <c r="BR36" s="116"/>
      <c r="BS36" s="109">
        <f t="shared" si="131"/>
        <v>0</v>
      </c>
      <c r="BT36" s="119"/>
      <c r="BU36" s="116"/>
      <c r="BV36" s="109">
        <f t="shared" si="132"/>
        <v>0</v>
      </c>
      <c r="BW36" s="119"/>
      <c r="BX36" s="116"/>
      <c r="BY36" s="109">
        <f t="shared" si="133"/>
        <v>0</v>
      </c>
      <c r="BZ36" s="119"/>
      <c r="CA36" s="116"/>
      <c r="CB36" s="109">
        <f t="shared" si="134"/>
        <v>0</v>
      </c>
      <c r="CC36" s="119"/>
      <c r="CD36" s="116"/>
      <c r="CE36" s="109">
        <f t="shared" si="135"/>
        <v>0</v>
      </c>
      <c r="CF36" s="119"/>
      <c r="CG36" s="116"/>
      <c r="CH36" s="109">
        <f t="shared" si="136"/>
        <v>0</v>
      </c>
      <c r="CI36" s="119"/>
      <c r="CJ36" s="116"/>
      <c r="CK36" s="109">
        <f t="shared" si="137"/>
        <v>0</v>
      </c>
      <c r="CL36" s="119"/>
      <c r="CM36" s="116"/>
      <c r="CN36" s="109">
        <f t="shared" si="138"/>
        <v>0</v>
      </c>
      <c r="CO36" s="119"/>
      <c r="CP36" s="116"/>
      <c r="CQ36" s="109">
        <f t="shared" si="139"/>
        <v>0</v>
      </c>
      <c r="CR36" s="119"/>
      <c r="CS36" s="116"/>
      <c r="CT36" s="109">
        <f t="shared" si="140"/>
        <v>0</v>
      </c>
      <c r="CU36" s="119"/>
      <c r="CV36" s="116"/>
      <c r="CW36" s="109">
        <f t="shared" si="141"/>
        <v>0</v>
      </c>
      <c r="CX36" s="119"/>
      <c r="CY36" s="116"/>
      <c r="CZ36" s="109">
        <f t="shared" si="142"/>
        <v>0</v>
      </c>
      <c r="DA36" s="119"/>
      <c r="DB36" s="116"/>
      <c r="DC36" s="109">
        <f t="shared" si="143"/>
        <v>0</v>
      </c>
      <c r="DD36" s="119"/>
      <c r="DE36" s="116"/>
      <c r="DF36" s="109">
        <f t="shared" si="144"/>
        <v>0</v>
      </c>
      <c r="DG36" s="119"/>
      <c r="DH36" s="116"/>
      <c r="DI36" s="109">
        <f t="shared" si="145"/>
        <v>0</v>
      </c>
      <c r="DJ36" s="119"/>
      <c r="DK36" s="116"/>
      <c r="DL36" s="109">
        <f t="shared" si="146"/>
        <v>0</v>
      </c>
      <c r="DM36" s="119"/>
      <c r="DN36" s="116"/>
      <c r="DO36" s="109">
        <f t="shared" si="147"/>
        <v>0</v>
      </c>
      <c r="DP36" s="126"/>
      <c r="DQ36" s="110"/>
      <c r="DR36" s="111"/>
      <c r="DS36" s="112">
        <f t="shared" si="108"/>
        <v>0</v>
      </c>
      <c r="DT36" s="113">
        <f t="shared" si="109"/>
        <v>0</v>
      </c>
    </row>
    <row r="37" spans="2:124" s="86" customFormat="1" ht="21.9" customHeight="1" outlineLevel="1">
      <c r="B37" s="122" t="s">
        <v>223</v>
      </c>
      <c r="C37" s="128"/>
      <c r="D37" s="124"/>
      <c r="E37" s="130"/>
      <c r="F37" s="119"/>
      <c r="G37" s="116"/>
      <c r="H37" s="109">
        <f t="shared" si="110"/>
        <v>0</v>
      </c>
      <c r="I37" s="119"/>
      <c r="J37" s="116"/>
      <c r="K37" s="109">
        <f t="shared" si="111"/>
        <v>0</v>
      </c>
      <c r="L37" s="119"/>
      <c r="M37" s="116"/>
      <c r="N37" s="109">
        <f t="shared" si="112"/>
        <v>0</v>
      </c>
      <c r="O37" s="119"/>
      <c r="P37" s="116"/>
      <c r="Q37" s="109">
        <f t="shared" si="113"/>
        <v>0</v>
      </c>
      <c r="R37" s="119"/>
      <c r="S37" s="116"/>
      <c r="T37" s="109">
        <f t="shared" si="114"/>
        <v>0</v>
      </c>
      <c r="U37" s="119"/>
      <c r="V37" s="116"/>
      <c r="W37" s="109">
        <f t="shared" si="115"/>
        <v>0</v>
      </c>
      <c r="X37" s="119"/>
      <c r="Y37" s="116"/>
      <c r="Z37" s="109">
        <f t="shared" si="116"/>
        <v>0</v>
      </c>
      <c r="AA37" s="119"/>
      <c r="AB37" s="116"/>
      <c r="AC37" s="109">
        <f t="shared" si="117"/>
        <v>0</v>
      </c>
      <c r="AD37" s="119"/>
      <c r="AE37" s="116"/>
      <c r="AF37" s="109">
        <f t="shared" si="118"/>
        <v>0</v>
      </c>
      <c r="AG37" s="119"/>
      <c r="AH37" s="116"/>
      <c r="AI37" s="109">
        <f t="shared" si="119"/>
        <v>0</v>
      </c>
      <c r="AJ37" s="119"/>
      <c r="AK37" s="116"/>
      <c r="AL37" s="109">
        <f t="shared" si="120"/>
        <v>0</v>
      </c>
      <c r="AM37" s="119"/>
      <c r="AN37" s="116"/>
      <c r="AO37" s="109">
        <f t="shared" si="121"/>
        <v>0</v>
      </c>
      <c r="AP37" s="119"/>
      <c r="AQ37" s="116"/>
      <c r="AR37" s="109">
        <f t="shared" si="122"/>
        <v>0</v>
      </c>
      <c r="AS37" s="119"/>
      <c r="AT37" s="116"/>
      <c r="AU37" s="109">
        <f t="shared" si="123"/>
        <v>0</v>
      </c>
      <c r="AV37" s="119"/>
      <c r="AW37" s="116"/>
      <c r="AX37" s="109">
        <f t="shared" si="124"/>
        <v>0</v>
      </c>
      <c r="AY37" s="119"/>
      <c r="AZ37" s="116"/>
      <c r="BA37" s="109">
        <f t="shared" si="125"/>
        <v>0</v>
      </c>
      <c r="BB37" s="119"/>
      <c r="BC37" s="116"/>
      <c r="BD37" s="109">
        <f t="shared" si="126"/>
        <v>0</v>
      </c>
      <c r="BE37" s="119"/>
      <c r="BF37" s="116"/>
      <c r="BG37" s="109">
        <f t="shared" si="127"/>
        <v>0</v>
      </c>
      <c r="BH37" s="119"/>
      <c r="BI37" s="116"/>
      <c r="BJ37" s="109">
        <f t="shared" si="128"/>
        <v>0</v>
      </c>
      <c r="BK37" s="119"/>
      <c r="BL37" s="116"/>
      <c r="BM37" s="109">
        <f t="shared" si="129"/>
        <v>0</v>
      </c>
      <c r="BN37" s="119"/>
      <c r="BO37" s="116"/>
      <c r="BP37" s="109">
        <f t="shared" si="130"/>
        <v>0</v>
      </c>
      <c r="BQ37" s="119"/>
      <c r="BR37" s="116"/>
      <c r="BS37" s="109">
        <f t="shared" si="131"/>
        <v>0</v>
      </c>
      <c r="BT37" s="119"/>
      <c r="BU37" s="116"/>
      <c r="BV37" s="109">
        <f t="shared" si="132"/>
        <v>0</v>
      </c>
      <c r="BW37" s="119"/>
      <c r="BX37" s="116"/>
      <c r="BY37" s="109">
        <f t="shared" si="133"/>
        <v>0</v>
      </c>
      <c r="BZ37" s="119"/>
      <c r="CA37" s="116"/>
      <c r="CB37" s="109">
        <f t="shared" si="134"/>
        <v>0</v>
      </c>
      <c r="CC37" s="119"/>
      <c r="CD37" s="116"/>
      <c r="CE37" s="109">
        <f t="shared" si="135"/>
        <v>0</v>
      </c>
      <c r="CF37" s="119"/>
      <c r="CG37" s="116"/>
      <c r="CH37" s="109">
        <f t="shared" si="136"/>
        <v>0</v>
      </c>
      <c r="CI37" s="119"/>
      <c r="CJ37" s="116"/>
      <c r="CK37" s="109">
        <f t="shared" si="137"/>
        <v>0</v>
      </c>
      <c r="CL37" s="119"/>
      <c r="CM37" s="116"/>
      <c r="CN37" s="109">
        <f t="shared" si="138"/>
        <v>0</v>
      </c>
      <c r="CO37" s="119"/>
      <c r="CP37" s="116"/>
      <c r="CQ37" s="109">
        <f t="shared" si="139"/>
        <v>0</v>
      </c>
      <c r="CR37" s="119"/>
      <c r="CS37" s="116"/>
      <c r="CT37" s="109">
        <f t="shared" si="140"/>
        <v>0</v>
      </c>
      <c r="CU37" s="119"/>
      <c r="CV37" s="116"/>
      <c r="CW37" s="109">
        <f t="shared" si="141"/>
        <v>0</v>
      </c>
      <c r="CX37" s="119"/>
      <c r="CY37" s="116"/>
      <c r="CZ37" s="109">
        <f t="shared" si="142"/>
        <v>0</v>
      </c>
      <c r="DA37" s="119"/>
      <c r="DB37" s="116"/>
      <c r="DC37" s="109">
        <f t="shared" si="143"/>
        <v>0</v>
      </c>
      <c r="DD37" s="119"/>
      <c r="DE37" s="116"/>
      <c r="DF37" s="109">
        <f t="shared" si="144"/>
        <v>0</v>
      </c>
      <c r="DG37" s="119"/>
      <c r="DH37" s="116"/>
      <c r="DI37" s="109">
        <f t="shared" si="145"/>
        <v>0</v>
      </c>
      <c r="DJ37" s="119"/>
      <c r="DK37" s="116"/>
      <c r="DL37" s="109">
        <f t="shared" si="146"/>
        <v>0</v>
      </c>
      <c r="DM37" s="119"/>
      <c r="DN37" s="116"/>
      <c r="DO37" s="109">
        <f t="shared" si="147"/>
        <v>0</v>
      </c>
      <c r="DP37" s="126"/>
      <c r="DQ37" s="110"/>
      <c r="DR37" s="111"/>
      <c r="DS37" s="112">
        <f t="shared" si="108"/>
        <v>0</v>
      </c>
      <c r="DT37" s="113">
        <f t="shared" si="109"/>
        <v>0</v>
      </c>
    </row>
    <row r="38" spans="2:124" s="86" customFormat="1" ht="21.9" customHeight="1" outlineLevel="1">
      <c r="B38" s="122" t="s">
        <v>224</v>
      </c>
      <c r="C38" s="123"/>
      <c r="D38" s="124"/>
      <c r="E38" s="125"/>
      <c r="F38" s="119"/>
      <c r="G38" s="116"/>
      <c r="H38" s="109">
        <f t="shared" si="110"/>
        <v>0</v>
      </c>
      <c r="I38" s="119"/>
      <c r="J38" s="116"/>
      <c r="K38" s="109">
        <f t="shared" si="111"/>
        <v>0</v>
      </c>
      <c r="L38" s="119"/>
      <c r="M38" s="116"/>
      <c r="N38" s="109">
        <f t="shared" si="112"/>
        <v>0</v>
      </c>
      <c r="O38" s="119"/>
      <c r="P38" s="116"/>
      <c r="Q38" s="109">
        <f t="shared" si="113"/>
        <v>0</v>
      </c>
      <c r="R38" s="119"/>
      <c r="S38" s="116"/>
      <c r="T38" s="109">
        <f t="shared" si="114"/>
        <v>0</v>
      </c>
      <c r="U38" s="119"/>
      <c r="V38" s="116"/>
      <c r="W38" s="109">
        <f t="shared" si="115"/>
        <v>0</v>
      </c>
      <c r="X38" s="119"/>
      <c r="Y38" s="116"/>
      <c r="Z38" s="109">
        <f t="shared" si="116"/>
        <v>0</v>
      </c>
      <c r="AA38" s="119"/>
      <c r="AB38" s="116"/>
      <c r="AC38" s="109">
        <f t="shared" si="117"/>
        <v>0</v>
      </c>
      <c r="AD38" s="119"/>
      <c r="AE38" s="116"/>
      <c r="AF38" s="109">
        <f t="shared" si="118"/>
        <v>0</v>
      </c>
      <c r="AG38" s="119"/>
      <c r="AH38" s="116"/>
      <c r="AI38" s="109">
        <f t="shared" si="119"/>
        <v>0</v>
      </c>
      <c r="AJ38" s="119"/>
      <c r="AK38" s="116"/>
      <c r="AL38" s="109">
        <f t="shared" si="120"/>
        <v>0</v>
      </c>
      <c r="AM38" s="119"/>
      <c r="AN38" s="116"/>
      <c r="AO38" s="109">
        <f t="shared" si="121"/>
        <v>0</v>
      </c>
      <c r="AP38" s="119"/>
      <c r="AQ38" s="116"/>
      <c r="AR38" s="109">
        <f t="shared" si="122"/>
        <v>0</v>
      </c>
      <c r="AS38" s="119"/>
      <c r="AT38" s="116"/>
      <c r="AU38" s="109">
        <f t="shared" si="123"/>
        <v>0</v>
      </c>
      <c r="AV38" s="119"/>
      <c r="AW38" s="116"/>
      <c r="AX38" s="109">
        <f t="shared" si="124"/>
        <v>0</v>
      </c>
      <c r="AY38" s="119"/>
      <c r="AZ38" s="116"/>
      <c r="BA38" s="109">
        <f t="shared" si="125"/>
        <v>0</v>
      </c>
      <c r="BB38" s="119"/>
      <c r="BC38" s="116"/>
      <c r="BD38" s="109">
        <f t="shared" si="126"/>
        <v>0</v>
      </c>
      <c r="BE38" s="119"/>
      <c r="BF38" s="116"/>
      <c r="BG38" s="109">
        <f t="shared" si="127"/>
        <v>0</v>
      </c>
      <c r="BH38" s="119"/>
      <c r="BI38" s="116"/>
      <c r="BJ38" s="109">
        <f t="shared" si="128"/>
        <v>0</v>
      </c>
      <c r="BK38" s="119"/>
      <c r="BL38" s="116"/>
      <c r="BM38" s="109">
        <f t="shared" si="129"/>
        <v>0</v>
      </c>
      <c r="BN38" s="119"/>
      <c r="BO38" s="116"/>
      <c r="BP38" s="109">
        <f t="shared" si="130"/>
        <v>0</v>
      </c>
      <c r="BQ38" s="119"/>
      <c r="BR38" s="116"/>
      <c r="BS38" s="109">
        <f t="shared" si="131"/>
        <v>0</v>
      </c>
      <c r="BT38" s="119"/>
      <c r="BU38" s="116"/>
      <c r="BV38" s="109">
        <f t="shared" si="132"/>
        <v>0</v>
      </c>
      <c r="BW38" s="119"/>
      <c r="BX38" s="116"/>
      <c r="BY38" s="109">
        <f t="shared" si="133"/>
        <v>0</v>
      </c>
      <c r="BZ38" s="119"/>
      <c r="CA38" s="116"/>
      <c r="CB38" s="109">
        <f t="shared" si="134"/>
        <v>0</v>
      </c>
      <c r="CC38" s="119"/>
      <c r="CD38" s="116"/>
      <c r="CE38" s="109">
        <f t="shared" si="135"/>
        <v>0</v>
      </c>
      <c r="CF38" s="119"/>
      <c r="CG38" s="116"/>
      <c r="CH38" s="109">
        <f t="shared" si="136"/>
        <v>0</v>
      </c>
      <c r="CI38" s="119"/>
      <c r="CJ38" s="116"/>
      <c r="CK38" s="109">
        <f t="shared" si="137"/>
        <v>0</v>
      </c>
      <c r="CL38" s="119"/>
      <c r="CM38" s="116"/>
      <c r="CN38" s="109">
        <f t="shared" si="138"/>
        <v>0</v>
      </c>
      <c r="CO38" s="119"/>
      <c r="CP38" s="116"/>
      <c r="CQ38" s="109">
        <f t="shared" si="139"/>
        <v>0</v>
      </c>
      <c r="CR38" s="119"/>
      <c r="CS38" s="116"/>
      <c r="CT38" s="109">
        <f t="shared" si="140"/>
        <v>0</v>
      </c>
      <c r="CU38" s="119"/>
      <c r="CV38" s="116"/>
      <c r="CW38" s="109">
        <f t="shared" si="141"/>
        <v>0</v>
      </c>
      <c r="CX38" s="119"/>
      <c r="CY38" s="116"/>
      <c r="CZ38" s="109">
        <f t="shared" si="142"/>
        <v>0</v>
      </c>
      <c r="DA38" s="119"/>
      <c r="DB38" s="116"/>
      <c r="DC38" s="109">
        <f t="shared" si="143"/>
        <v>0</v>
      </c>
      <c r="DD38" s="119"/>
      <c r="DE38" s="116"/>
      <c r="DF38" s="109">
        <f t="shared" si="144"/>
        <v>0</v>
      </c>
      <c r="DG38" s="119"/>
      <c r="DH38" s="116"/>
      <c r="DI38" s="109">
        <f t="shared" si="145"/>
        <v>0</v>
      </c>
      <c r="DJ38" s="119"/>
      <c r="DK38" s="116"/>
      <c r="DL38" s="109">
        <f t="shared" si="146"/>
        <v>0</v>
      </c>
      <c r="DM38" s="119"/>
      <c r="DN38" s="116"/>
      <c r="DO38" s="109">
        <f t="shared" si="147"/>
        <v>0</v>
      </c>
      <c r="DP38" s="126"/>
      <c r="DQ38" s="110"/>
      <c r="DR38" s="111"/>
      <c r="DS38" s="112">
        <f t="shared" si="108"/>
        <v>0</v>
      </c>
      <c r="DT38" s="113">
        <f t="shared" si="109"/>
        <v>0</v>
      </c>
    </row>
    <row r="39" spans="2:124" s="86" customFormat="1" ht="21.9" customHeight="1" outlineLevel="1">
      <c r="B39" s="122" t="s">
        <v>225</v>
      </c>
      <c r="C39" s="123"/>
      <c r="D39" s="124"/>
      <c r="E39" s="125"/>
      <c r="F39" s="119"/>
      <c r="G39" s="116"/>
      <c r="H39" s="109">
        <f t="shared" si="110"/>
        <v>0</v>
      </c>
      <c r="I39" s="119"/>
      <c r="J39" s="116"/>
      <c r="K39" s="109">
        <f t="shared" si="111"/>
        <v>0</v>
      </c>
      <c r="L39" s="119"/>
      <c r="M39" s="116"/>
      <c r="N39" s="109">
        <f t="shared" si="112"/>
        <v>0</v>
      </c>
      <c r="O39" s="119"/>
      <c r="P39" s="116"/>
      <c r="Q39" s="109">
        <f t="shared" si="113"/>
        <v>0</v>
      </c>
      <c r="R39" s="119"/>
      <c r="S39" s="116"/>
      <c r="T39" s="109">
        <f t="shared" si="114"/>
        <v>0</v>
      </c>
      <c r="U39" s="119"/>
      <c r="V39" s="116"/>
      <c r="W39" s="109">
        <f t="shared" si="115"/>
        <v>0</v>
      </c>
      <c r="X39" s="119"/>
      <c r="Y39" s="116"/>
      <c r="Z39" s="109">
        <f t="shared" si="116"/>
        <v>0</v>
      </c>
      <c r="AA39" s="119"/>
      <c r="AB39" s="116"/>
      <c r="AC39" s="109">
        <f t="shared" si="117"/>
        <v>0</v>
      </c>
      <c r="AD39" s="119"/>
      <c r="AE39" s="116"/>
      <c r="AF39" s="109">
        <f t="shared" si="118"/>
        <v>0</v>
      </c>
      <c r="AG39" s="119"/>
      <c r="AH39" s="116"/>
      <c r="AI39" s="109">
        <f t="shared" si="119"/>
        <v>0</v>
      </c>
      <c r="AJ39" s="119"/>
      <c r="AK39" s="116"/>
      <c r="AL39" s="109">
        <f t="shared" si="120"/>
        <v>0</v>
      </c>
      <c r="AM39" s="119"/>
      <c r="AN39" s="116"/>
      <c r="AO39" s="109">
        <f t="shared" si="121"/>
        <v>0</v>
      </c>
      <c r="AP39" s="119"/>
      <c r="AQ39" s="116"/>
      <c r="AR39" s="109">
        <f t="shared" si="122"/>
        <v>0</v>
      </c>
      <c r="AS39" s="119"/>
      <c r="AT39" s="116"/>
      <c r="AU39" s="109">
        <f t="shared" si="123"/>
        <v>0</v>
      </c>
      <c r="AV39" s="119"/>
      <c r="AW39" s="116"/>
      <c r="AX39" s="109">
        <f t="shared" si="124"/>
        <v>0</v>
      </c>
      <c r="AY39" s="119"/>
      <c r="AZ39" s="116"/>
      <c r="BA39" s="109">
        <f t="shared" si="125"/>
        <v>0</v>
      </c>
      <c r="BB39" s="119"/>
      <c r="BC39" s="116"/>
      <c r="BD39" s="109">
        <f t="shared" si="126"/>
        <v>0</v>
      </c>
      <c r="BE39" s="119"/>
      <c r="BF39" s="116"/>
      <c r="BG39" s="109">
        <f t="shared" si="127"/>
        <v>0</v>
      </c>
      <c r="BH39" s="119"/>
      <c r="BI39" s="116"/>
      <c r="BJ39" s="109">
        <f t="shared" si="128"/>
        <v>0</v>
      </c>
      <c r="BK39" s="119"/>
      <c r="BL39" s="116"/>
      <c r="BM39" s="109">
        <f t="shared" si="129"/>
        <v>0</v>
      </c>
      <c r="BN39" s="119"/>
      <c r="BO39" s="116"/>
      <c r="BP39" s="109">
        <f t="shared" si="130"/>
        <v>0</v>
      </c>
      <c r="BQ39" s="119"/>
      <c r="BR39" s="116"/>
      <c r="BS39" s="109">
        <f t="shared" si="131"/>
        <v>0</v>
      </c>
      <c r="BT39" s="119"/>
      <c r="BU39" s="116"/>
      <c r="BV39" s="109">
        <f t="shared" si="132"/>
        <v>0</v>
      </c>
      <c r="BW39" s="119"/>
      <c r="BX39" s="116"/>
      <c r="BY39" s="109">
        <f t="shared" si="133"/>
        <v>0</v>
      </c>
      <c r="BZ39" s="119"/>
      <c r="CA39" s="116"/>
      <c r="CB39" s="109">
        <f t="shared" si="134"/>
        <v>0</v>
      </c>
      <c r="CC39" s="119"/>
      <c r="CD39" s="116"/>
      <c r="CE39" s="109">
        <f t="shared" si="135"/>
        <v>0</v>
      </c>
      <c r="CF39" s="119"/>
      <c r="CG39" s="116"/>
      <c r="CH39" s="109">
        <f t="shared" si="136"/>
        <v>0</v>
      </c>
      <c r="CI39" s="119"/>
      <c r="CJ39" s="116"/>
      <c r="CK39" s="109">
        <f t="shared" si="137"/>
        <v>0</v>
      </c>
      <c r="CL39" s="119"/>
      <c r="CM39" s="116"/>
      <c r="CN39" s="109">
        <f t="shared" si="138"/>
        <v>0</v>
      </c>
      <c r="CO39" s="119"/>
      <c r="CP39" s="116"/>
      <c r="CQ39" s="109">
        <f t="shared" si="139"/>
        <v>0</v>
      </c>
      <c r="CR39" s="119"/>
      <c r="CS39" s="116"/>
      <c r="CT39" s="109">
        <f t="shared" si="140"/>
        <v>0</v>
      </c>
      <c r="CU39" s="119"/>
      <c r="CV39" s="116"/>
      <c r="CW39" s="109">
        <f t="shared" si="141"/>
        <v>0</v>
      </c>
      <c r="CX39" s="119"/>
      <c r="CY39" s="116"/>
      <c r="CZ39" s="109">
        <f t="shared" si="142"/>
        <v>0</v>
      </c>
      <c r="DA39" s="119"/>
      <c r="DB39" s="116"/>
      <c r="DC39" s="109">
        <f t="shared" si="143"/>
        <v>0</v>
      </c>
      <c r="DD39" s="119"/>
      <c r="DE39" s="116"/>
      <c r="DF39" s="109">
        <f t="shared" si="144"/>
        <v>0</v>
      </c>
      <c r="DG39" s="119"/>
      <c r="DH39" s="116"/>
      <c r="DI39" s="109">
        <f t="shared" si="145"/>
        <v>0</v>
      </c>
      <c r="DJ39" s="119"/>
      <c r="DK39" s="116"/>
      <c r="DL39" s="109">
        <f t="shared" si="146"/>
        <v>0</v>
      </c>
      <c r="DM39" s="119"/>
      <c r="DN39" s="116"/>
      <c r="DO39" s="109">
        <f t="shared" si="147"/>
        <v>0</v>
      </c>
      <c r="DP39" s="126"/>
      <c r="DQ39" s="110"/>
      <c r="DR39" s="111"/>
      <c r="DS39" s="112">
        <f t="shared" si="108"/>
        <v>0</v>
      </c>
      <c r="DT39" s="113">
        <f t="shared" si="109"/>
        <v>0</v>
      </c>
    </row>
    <row r="40" spans="2:124" s="86" customFormat="1" ht="21.9" customHeight="1" outlineLevel="1">
      <c r="B40" s="122" t="s">
        <v>226</v>
      </c>
      <c r="C40" s="123"/>
      <c r="D40" s="124"/>
      <c r="E40" s="125"/>
      <c r="F40" s="119"/>
      <c r="G40" s="116"/>
      <c r="H40" s="109">
        <f t="shared" si="110"/>
        <v>0</v>
      </c>
      <c r="I40" s="119"/>
      <c r="J40" s="116"/>
      <c r="K40" s="109">
        <f t="shared" si="111"/>
        <v>0</v>
      </c>
      <c r="L40" s="119"/>
      <c r="M40" s="116"/>
      <c r="N40" s="109">
        <f t="shared" si="112"/>
        <v>0</v>
      </c>
      <c r="O40" s="119"/>
      <c r="P40" s="116"/>
      <c r="Q40" s="109">
        <f t="shared" si="113"/>
        <v>0</v>
      </c>
      <c r="R40" s="119"/>
      <c r="S40" s="116"/>
      <c r="T40" s="109">
        <f t="shared" si="114"/>
        <v>0</v>
      </c>
      <c r="U40" s="119"/>
      <c r="V40" s="116"/>
      <c r="W40" s="109">
        <f t="shared" si="115"/>
        <v>0</v>
      </c>
      <c r="X40" s="119"/>
      <c r="Y40" s="116"/>
      <c r="Z40" s="109">
        <f t="shared" si="116"/>
        <v>0</v>
      </c>
      <c r="AA40" s="119"/>
      <c r="AB40" s="116"/>
      <c r="AC40" s="109">
        <f t="shared" si="117"/>
        <v>0</v>
      </c>
      <c r="AD40" s="119"/>
      <c r="AE40" s="116"/>
      <c r="AF40" s="109">
        <f t="shared" si="118"/>
        <v>0</v>
      </c>
      <c r="AG40" s="119"/>
      <c r="AH40" s="116"/>
      <c r="AI40" s="109">
        <f t="shared" si="119"/>
        <v>0</v>
      </c>
      <c r="AJ40" s="119"/>
      <c r="AK40" s="116"/>
      <c r="AL40" s="109">
        <f t="shared" si="120"/>
        <v>0</v>
      </c>
      <c r="AM40" s="119"/>
      <c r="AN40" s="116"/>
      <c r="AO40" s="109">
        <f t="shared" si="121"/>
        <v>0</v>
      </c>
      <c r="AP40" s="119"/>
      <c r="AQ40" s="116"/>
      <c r="AR40" s="109">
        <f t="shared" si="122"/>
        <v>0</v>
      </c>
      <c r="AS40" s="119"/>
      <c r="AT40" s="116"/>
      <c r="AU40" s="109">
        <f t="shared" si="123"/>
        <v>0</v>
      </c>
      <c r="AV40" s="119"/>
      <c r="AW40" s="116"/>
      <c r="AX40" s="109">
        <f t="shared" si="124"/>
        <v>0</v>
      </c>
      <c r="AY40" s="119"/>
      <c r="AZ40" s="116"/>
      <c r="BA40" s="109">
        <f t="shared" si="125"/>
        <v>0</v>
      </c>
      <c r="BB40" s="119"/>
      <c r="BC40" s="116"/>
      <c r="BD40" s="109">
        <f t="shared" si="126"/>
        <v>0</v>
      </c>
      <c r="BE40" s="119"/>
      <c r="BF40" s="116"/>
      <c r="BG40" s="109">
        <f t="shared" si="127"/>
        <v>0</v>
      </c>
      <c r="BH40" s="119"/>
      <c r="BI40" s="116"/>
      <c r="BJ40" s="109">
        <f t="shared" si="128"/>
        <v>0</v>
      </c>
      <c r="BK40" s="119"/>
      <c r="BL40" s="116"/>
      <c r="BM40" s="109">
        <f t="shared" si="129"/>
        <v>0</v>
      </c>
      <c r="BN40" s="119"/>
      <c r="BO40" s="116"/>
      <c r="BP40" s="109">
        <f t="shared" si="130"/>
        <v>0</v>
      </c>
      <c r="BQ40" s="119"/>
      <c r="BR40" s="116"/>
      <c r="BS40" s="109">
        <f t="shared" si="131"/>
        <v>0</v>
      </c>
      <c r="BT40" s="119"/>
      <c r="BU40" s="116"/>
      <c r="BV40" s="109">
        <f t="shared" si="132"/>
        <v>0</v>
      </c>
      <c r="BW40" s="119"/>
      <c r="BX40" s="116"/>
      <c r="BY40" s="109">
        <f t="shared" si="133"/>
        <v>0</v>
      </c>
      <c r="BZ40" s="119"/>
      <c r="CA40" s="116"/>
      <c r="CB40" s="109">
        <f t="shared" si="134"/>
        <v>0</v>
      </c>
      <c r="CC40" s="119"/>
      <c r="CD40" s="116"/>
      <c r="CE40" s="109">
        <f t="shared" si="135"/>
        <v>0</v>
      </c>
      <c r="CF40" s="119"/>
      <c r="CG40" s="116"/>
      <c r="CH40" s="109">
        <f t="shared" si="136"/>
        <v>0</v>
      </c>
      <c r="CI40" s="119"/>
      <c r="CJ40" s="116"/>
      <c r="CK40" s="109">
        <f t="shared" si="137"/>
        <v>0</v>
      </c>
      <c r="CL40" s="119"/>
      <c r="CM40" s="116"/>
      <c r="CN40" s="109">
        <f t="shared" si="138"/>
        <v>0</v>
      </c>
      <c r="CO40" s="119"/>
      <c r="CP40" s="116"/>
      <c r="CQ40" s="109">
        <f t="shared" si="139"/>
        <v>0</v>
      </c>
      <c r="CR40" s="119"/>
      <c r="CS40" s="116"/>
      <c r="CT40" s="109">
        <f t="shared" si="140"/>
        <v>0</v>
      </c>
      <c r="CU40" s="119"/>
      <c r="CV40" s="116"/>
      <c r="CW40" s="109">
        <f t="shared" si="141"/>
        <v>0</v>
      </c>
      <c r="CX40" s="119"/>
      <c r="CY40" s="116"/>
      <c r="CZ40" s="109">
        <f t="shared" si="142"/>
        <v>0</v>
      </c>
      <c r="DA40" s="119"/>
      <c r="DB40" s="116"/>
      <c r="DC40" s="109">
        <f t="shared" si="143"/>
        <v>0</v>
      </c>
      <c r="DD40" s="119"/>
      <c r="DE40" s="116"/>
      <c r="DF40" s="109">
        <f t="shared" si="144"/>
        <v>0</v>
      </c>
      <c r="DG40" s="119"/>
      <c r="DH40" s="116"/>
      <c r="DI40" s="109">
        <f t="shared" si="145"/>
        <v>0</v>
      </c>
      <c r="DJ40" s="119"/>
      <c r="DK40" s="116"/>
      <c r="DL40" s="109">
        <f t="shared" si="146"/>
        <v>0</v>
      </c>
      <c r="DM40" s="119"/>
      <c r="DN40" s="116"/>
      <c r="DO40" s="109">
        <f t="shared" si="147"/>
        <v>0</v>
      </c>
      <c r="DP40" s="126"/>
      <c r="DQ40" s="110"/>
      <c r="DR40" s="111"/>
      <c r="DS40" s="112">
        <f t="shared" si="108"/>
        <v>0</v>
      </c>
      <c r="DT40" s="113">
        <f t="shared" si="109"/>
        <v>0</v>
      </c>
    </row>
    <row r="41" spans="2:124" s="86" customFormat="1" ht="21.9" customHeight="1" outlineLevel="1">
      <c r="B41" s="122" t="s">
        <v>228</v>
      </c>
      <c r="C41" s="128"/>
      <c r="D41" s="127"/>
      <c r="E41" s="130"/>
      <c r="F41" s="119"/>
      <c r="G41" s="116"/>
      <c r="H41" s="109">
        <f t="shared" si="110"/>
        <v>0</v>
      </c>
      <c r="I41" s="119"/>
      <c r="J41" s="116"/>
      <c r="K41" s="109">
        <f t="shared" si="111"/>
        <v>0</v>
      </c>
      <c r="L41" s="119"/>
      <c r="M41" s="116"/>
      <c r="N41" s="109">
        <f t="shared" si="112"/>
        <v>0</v>
      </c>
      <c r="O41" s="119"/>
      <c r="P41" s="116"/>
      <c r="Q41" s="109">
        <f t="shared" si="113"/>
        <v>0</v>
      </c>
      <c r="R41" s="119"/>
      <c r="S41" s="116"/>
      <c r="T41" s="109">
        <f t="shared" si="114"/>
        <v>0</v>
      </c>
      <c r="U41" s="119"/>
      <c r="V41" s="116"/>
      <c r="W41" s="109">
        <f t="shared" si="115"/>
        <v>0</v>
      </c>
      <c r="X41" s="119"/>
      <c r="Y41" s="116"/>
      <c r="Z41" s="109">
        <f t="shared" si="116"/>
        <v>0</v>
      </c>
      <c r="AA41" s="119"/>
      <c r="AB41" s="116"/>
      <c r="AC41" s="109">
        <f t="shared" si="117"/>
        <v>0</v>
      </c>
      <c r="AD41" s="119"/>
      <c r="AE41" s="116"/>
      <c r="AF41" s="109">
        <f t="shared" si="118"/>
        <v>0</v>
      </c>
      <c r="AG41" s="119"/>
      <c r="AH41" s="116"/>
      <c r="AI41" s="109">
        <f t="shared" si="119"/>
        <v>0</v>
      </c>
      <c r="AJ41" s="119"/>
      <c r="AK41" s="116"/>
      <c r="AL41" s="109">
        <f t="shared" si="120"/>
        <v>0</v>
      </c>
      <c r="AM41" s="119"/>
      <c r="AN41" s="116"/>
      <c r="AO41" s="109">
        <f t="shared" si="121"/>
        <v>0</v>
      </c>
      <c r="AP41" s="119"/>
      <c r="AQ41" s="116"/>
      <c r="AR41" s="109">
        <f t="shared" si="122"/>
        <v>0</v>
      </c>
      <c r="AS41" s="119"/>
      <c r="AT41" s="116"/>
      <c r="AU41" s="109">
        <f t="shared" si="123"/>
        <v>0</v>
      </c>
      <c r="AV41" s="119"/>
      <c r="AW41" s="116"/>
      <c r="AX41" s="109">
        <f t="shared" si="124"/>
        <v>0</v>
      </c>
      <c r="AY41" s="119"/>
      <c r="AZ41" s="116"/>
      <c r="BA41" s="109">
        <f t="shared" si="125"/>
        <v>0</v>
      </c>
      <c r="BB41" s="119"/>
      <c r="BC41" s="116"/>
      <c r="BD41" s="109">
        <f t="shared" si="126"/>
        <v>0</v>
      </c>
      <c r="BE41" s="119"/>
      <c r="BF41" s="116"/>
      <c r="BG41" s="109">
        <f t="shared" si="127"/>
        <v>0</v>
      </c>
      <c r="BH41" s="119"/>
      <c r="BI41" s="116"/>
      <c r="BJ41" s="109">
        <f t="shared" si="128"/>
        <v>0</v>
      </c>
      <c r="BK41" s="119"/>
      <c r="BL41" s="116"/>
      <c r="BM41" s="109">
        <f t="shared" si="129"/>
        <v>0</v>
      </c>
      <c r="BN41" s="119"/>
      <c r="BO41" s="116"/>
      <c r="BP41" s="109">
        <f t="shared" si="130"/>
        <v>0</v>
      </c>
      <c r="BQ41" s="119"/>
      <c r="BR41" s="116"/>
      <c r="BS41" s="109">
        <f t="shared" si="131"/>
        <v>0</v>
      </c>
      <c r="BT41" s="119"/>
      <c r="BU41" s="116"/>
      <c r="BV41" s="109">
        <f t="shared" si="132"/>
        <v>0</v>
      </c>
      <c r="BW41" s="119"/>
      <c r="BX41" s="116"/>
      <c r="BY41" s="109">
        <f t="shared" si="133"/>
        <v>0</v>
      </c>
      <c r="BZ41" s="119"/>
      <c r="CA41" s="116"/>
      <c r="CB41" s="109">
        <f t="shared" si="134"/>
        <v>0</v>
      </c>
      <c r="CC41" s="119"/>
      <c r="CD41" s="116"/>
      <c r="CE41" s="109">
        <f t="shared" si="135"/>
        <v>0</v>
      </c>
      <c r="CF41" s="119"/>
      <c r="CG41" s="116"/>
      <c r="CH41" s="109">
        <f t="shared" si="136"/>
        <v>0</v>
      </c>
      <c r="CI41" s="119"/>
      <c r="CJ41" s="116"/>
      <c r="CK41" s="109">
        <f t="shared" si="137"/>
        <v>0</v>
      </c>
      <c r="CL41" s="119"/>
      <c r="CM41" s="116"/>
      <c r="CN41" s="109">
        <f t="shared" si="138"/>
        <v>0</v>
      </c>
      <c r="CO41" s="119"/>
      <c r="CP41" s="116"/>
      <c r="CQ41" s="109">
        <f t="shared" si="139"/>
        <v>0</v>
      </c>
      <c r="CR41" s="119"/>
      <c r="CS41" s="116"/>
      <c r="CT41" s="109">
        <f t="shared" si="140"/>
        <v>0</v>
      </c>
      <c r="CU41" s="119"/>
      <c r="CV41" s="116"/>
      <c r="CW41" s="109">
        <f t="shared" si="141"/>
        <v>0</v>
      </c>
      <c r="CX41" s="119"/>
      <c r="CY41" s="116"/>
      <c r="CZ41" s="109">
        <f t="shared" si="142"/>
        <v>0</v>
      </c>
      <c r="DA41" s="119"/>
      <c r="DB41" s="116"/>
      <c r="DC41" s="109">
        <f t="shared" si="143"/>
        <v>0</v>
      </c>
      <c r="DD41" s="119"/>
      <c r="DE41" s="116"/>
      <c r="DF41" s="109">
        <f t="shared" si="144"/>
        <v>0</v>
      </c>
      <c r="DG41" s="119"/>
      <c r="DH41" s="116"/>
      <c r="DI41" s="109">
        <f t="shared" si="145"/>
        <v>0</v>
      </c>
      <c r="DJ41" s="119"/>
      <c r="DK41" s="116"/>
      <c r="DL41" s="109">
        <f t="shared" si="146"/>
        <v>0</v>
      </c>
      <c r="DM41" s="119"/>
      <c r="DN41" s="116"/>
      <c r="DO41" s="109">
        <f t="shared" si="147"/>
        <v>0</v>
      </c>
      <c r="DP41" s="126"/>
      <c r="DQ41" s="110"/>
      <c r="DR41" s="111"/>
      <c r="DS41" s="112">
        <f t="shared" si="108"/>
        <v>0</v>
      </c>
      <c r="DT41" s="113">
        <f t="shared" si="109"/>
        <v>0</v>
      </c>
    </row>
    <row r="42" spans="2:124" s="86" customFormat="1" ht="21.9" customHeight="1" outlineLevel="1">
      <c r="B42" s="122" t="s">
        <v>230</v>
      </c>
      <c r="C42" s="128"/>
      <c r="D42" s="124"/>
      <c r="E42" s="130"/>
      <c r="F42" s="119"/>
      <c r="G42" s="116"/>
      <c r="H42" s="109">
        <f t="shared" si="110"/>
        <v>0</v>
      </c>
      <c r="I42" s="119"/>
      <c r="J42" s="116"/>
      <c r="K42" s="109">
        <f t="shared" si="111"/>
        <v>0</v>
      </c>
      <c r="L42" s="119"/>
      <c r="M42" s="116"/>
      <c r="N42" s="109">
        <f t="shared" si="112"/>
        <v>0</v>
      </c>
      <c r="O42" s="119"/>
      <c r="P42" s="116"/>
      <c r="Q42" s="109">
        <f t="shared" si="113"/>
        <v>0</v>
      </c>
      <c r="R42" s="119"/>
      <c r="S42" s="116"/>
      <c r="T42" s="109">
        <f t="shared" si="114"/>
        <v>0</v>
      </c>
      <c r="U42" s="119"/>
      <c r="V42" s="116"/>
      <c r="W42" s="109">
        <f t="shared" si="115"/>
        <v>0</v>
      </c>
      <c r="X42" s="119"/>
      <c r="Y42" s="116"/>
      <c r="Z42" s="109">
        <f t="shared" si="116"/>
        <v>0</v>
      </c>
      <c r="AA42" s="119"/>
      <c r="AB42" s="116"/>
      <c r="AC42" s="109">
        <f t="shared" si="117"/>
        <v>0</v>
      </c>
      <c r="AD42" s="119"/>
      <c r="AE42" s="116"/>
      <c r="AF42" s="109">
        <f t="shared" si="118"/>
        <v>0</v>
      </c>
      <c r="AG42" s="119"/>
      <c r="AH42" s="116"/>
      <c r="AI42" s="109">
        <f t="shared" si="119"/>
        <v>0</v>
      </c>
      <c r="AJ42" s="119"/>
      <c r="AK42" s="116"/>
      <c r="AL42" s="109">
        <f t="shared" si="120"/>
        <v>0</v>
      </c>
      <c r="AM42" s="119"/>
      <c r="AN42" s="116"/>
      <c r="AO42" s="109">
        <f t="shared" si="121"/>
        <v>0</v>
      </c>
      <c r="AP42" s="119"/>
      <c r="AQ42" s="116"/>
      <c r="AR42" s="109">
        <f t="shared" si="122"/>
        <v>0</v>
      </c>
      <c r="AS42" s="119"/>
      <c r="AT42" s="116"/>
      <c r="AU42" s="109">
        <f t="shared" si="123"/>
        <v>0</v>
      </c>
      <c r="AV42" s="119"/>
      <c r="AW42" s="116"/>
      <c r="AX42" s="109">
        <f t="shared" si="124"/>
        <v>0</v>
      </c>
      <c r="AY42" s="119"/>
      <c r="AZ42" s="116"/>
      <c r="BA42" s="109">
        <f t="shared" si="125"/>
        <v>0</v>
      </c>
      <c r="BB42" s="119"/>
      <c r="BC42" s="116"/>
      <c r="BD42" s="109">
        <f t="shared" si="126"/>
        <v>0</v>
      </c>
      <c r="BE42" s="119"/>
      <c r="BF42" s="116"/>
      <c r="BG42" s="109">
        <f t="shared" si="127"/>
        <v>0</v>
      </c>
      <c r="BH42" s="119"/>
      <c r="BI42" s="116"/>
      <c r="BJ42" s="109">
        <f t="shared" si="128"/>
        <v>0</v>
      </c>
      <c r="BK42" s="119"/>
      <c r="BL42" s="116"/>
      <c r="BM42" s="109">
        <f t="shared" si="129"/>
        <v>0</v>
      </c>
      <c r="BN42" s="119"/>
      <c r="BO42" s="116"/>
      <c r="BP42" s="109">
        <f t="shared" si="130"/>
        <v>0</v>
      </c>
      <c r="BQ42" s="119"/>
      <c r="BR42" s="116"/>
      <c r="BS42" s="109">
        <f t="shared" si="131"/>
        <v>0</v>
      </c>
      <c r="BT42" s="119"/>
      <c r="BU42" s="116"/>
      <c r="BV42" s="109">
        <f t="shared" si="132"/>
        <v>0</v>
      </c>
      <c r="BW42" s="119"/>
      <c r="BX42" s="116"/>
      <c r="BY42" s="109">
        <f t="shared" si="133"/>
        <v>0</v>
      </c>
      <c r="BZ42" s="119"/>
      <c r="CA42" s="116"/>
      <c r="CB42" s="109">
        <f t="shared" si="134"/>
        <v>0</v>
      </c>
      <c r="CC42" s="119"/>
      <c r="CD42" s="116"/>
      <c r="CE42" s="109">
        <f t="shared" si="135"/>
        <v>0</v>
      </c>
      <c r="CF42" s="119"/>
      <c r="CG42" s="116"/>
      <c r="CH42" s="109">
        <f t="shared" si="136"/>
        <v>0</v>
      </c>
      <c r="CI42" s="119"/>
      <c r="CJ42" s="116"/>
      <c r="CK42" s="109">
        <f t="shared" si="137"/>
        <v>0</v>
      </c>
      <c r="CL42" s="119"/>
      <c r="CM42" s="116"/>
      <c r="CN42" s="109">
        <f t="shared" si="138"/>
        <v>0</v>
      </c>
      <c r="CO42" s="119"/>
      <c r="CP42" s="116"/>
      <c r="CQ42" s="109">
        <f t="shared" si="139"/>
        <v>0</v>
      </c>
      <c r="CR42" s="119"/>
      <c r="CS42" s="116"/>
      <c r="CT42" s="109">
        <f t="shared" si="140"/>
        <v>0</v>
      </c>
      <c r="CU42" s="119"/>
      <c r="CV42" s="116"/>
      <c r="CW42" s="109">
        <f t="shared" si="141"/>
        <v>0</v>
      </c>
      <c r="CX42" s="119"/>
      <c r="CY42" s="116"/>
      <c r="CZ42" s="109">
        <f t="shared" si="142"/>
        <v>0</v>
      </c>
      <c r="DA42" s="119"/>
      <c r="DB42" s="116"/>
      <c r="DC42" s="109">
        <f t="shared" si="143"/>
        <v>0</v>
      </c>
      <c r="DD42" s="119"/>
      <c r="DE42" s="116"/>
      <c r="DF42" s="109">
        <f t="shared" si="144"/>
        <v>0</v>
      </c>
      <c r="DG42" s="119"/>
      <c r="DH42" s="116"/>
      <c r="DI42" s="109">
        <f t="shared" si="145"/>
        <v>0</v>
      </c>
      <c r="DJ42" s="119"/>
      <c r="DK42" s="116"/>
      <c r="DL42" s="109">
        <f t="shared" si="146"/>
        <v>0</v>
      </c>
      <c r="DM42" s="119"/>
      <c r="DN42" s="116"/>
      <c r="DO42" s="109">
        <f t="shared" si="147"/>
        <v>0</v>
      </c>
      <c r="DP42" s="126"/>
      <c r="DQ42" s="110"/>
      <c r="DR42" s="111"/>
      <c r="DS42" s="112">
        <f t="shared" si="108"/>
        <v>0</v>
      </c>
      <c r="DT42" s="113">
        <f t="shared" si="109"/>
        <v>0</v>
      </c>
    </row>
    <row r="43" spans="2:124" s="86" customFormat="1" ht="36" customHeight="1" outlineLevel="1">
      <c r="B43" s="122" t="s">
        <v>231</v>
      </c>
      <c r="C43" s="128"/>
      <c r="D43" s="127"/>
      <c r="E43" s="130"/>
      <c r="F43" s="119"/>
      <c r="G43" s="116"/>
      <c r="H43" s="109">
        <f t="shared" si="110"/>
        <v>0</v>
      </c>
      <c r="I43" s="119"/>
      <c r="J43" s="116"/>
      <c r="K43" s="109">
        <f t="shared" si="111"/>
        <v>0</v>
      </c>
      <c r="L43" s="119"/>
      <c r="M43" s="116"/>
      <c r="N43" s="109">
        <f t="shared" si="112"/>
        <v>0</v>
      </c>
      <c r="O43" s="119"/>
      <c r="P43" s="116"/>
      <c r="Q43" s="109">
        <f t="shared" si="113"/>
        <v>0</v>
      </c>
      <c r="R43" s="119"/>
      <c r="S43" s="116"/>
      <c r="T43" s="109">
        <f t="shared" si="114"/>
        <v>0</v>
      </c>
      <c r="U43" s="119"/>
      <c r="V43" s="116"/>
      <c r="W43" s="109">
        <f t="shared" si="115"/>
        <v>0</v>
      </c>
      <c r="X43" s="119"/>
      <c r="Y43" s="116"/>
      <c r="Z43" s="109">
        <f t="shared" si="116"/>
        <v>0</v>
      </c>
      <c r="AA43" s="119"/>
      <c r="AB43" s="116"/>
      <c r="AC43" s="109">
        <f t="shared" si="117"/>
        <v>0</v>
      </c>
      <c r="AD43" s="119"/>
      <c r="AE43" s="116"/>
      <c r="AF43" s="109">
        <f t="shared" si="118"/>
        <v>0</v>
      </c>
      <c r="AG43" s="119"/>
      <c r="AH43" s="116"/>
      <c r="AI43" s="109">
        <f t="shared" si="119"/>
        <v>0</v>
      </c>
      <c r="AJ43" s="119"/>
      <c r="AK43" s="116"/>
      <c r="AL43" s="109">
        <f t="shared" si="120"/>
        <v>0</v>
      </c>
      <c r="AM43" s="119"/>
      <c r="AN43" s="116"/>
      <c r="AO43" s="109">
        <f t="shared" si="121"/>
        <v>0</v>
      </c>
      <c r="AP43" s="119"/>
      <c r="AQ43" s="116"/>
      <c r="AR43" s="109">
        <f t="shared" si="122"/>
        <v>0</v>
      </c>
      <c r="AS43" s="119"/>
      <c r="AT43" s="116"/>
      <c r="AU43" s="109">
        <f t="shared" si="123"/>
        <v>0</v>
      </c>
      <c r="AV43" s="119"/>
      <c r="AW43" s="116"/>
      <c r="AX43" s="109">
        <f t="shared" si="124"/>
        <v>0</v>
      </c>
      <c r="AY43" s="119"/>
      <c r="AZ43" s="116"/>
      <c r="BA43" s="109">
        <f t="shared" si="125"/>
        <v>0</v>
      </c>
      <c r="BB43" s="119"/>
      <c r="BC43" s="116"/>
      <c r="BD43" s="109">
        <f t="shared" si="126"/>
        <v>0</v>
      </c>
      <c r="BE43" s="119"/>
      <c r="BF43" s="116"/>
      <c r="BG43" s="109">
        <f t="shared" si="127"/>
        <v>0</v>
      </c>
      <c r="BH43" s="119"/>
      <c r="BI43" s="116"/>
      <c r="BJ43" s="109">
        <f t="shared" si="128"/>
        <v>0</v>
      </c>
      <c r="BK43" s="119"/>
      <c r="BL43" s="116"/>
      <c r="BM43" s="109">
        <f t="shared" si="129"/>
        <v>0</v>
      </c>
      <c r="BN43" s="119"/>
      <c r="BO43" s="116"/>
      <c r="BP43" s="109">
        <f t="shared" si="130"/>
        <v>0</v>
      </c>
      <c r="BQ43" s="119"/>
      <c r="BR43" s="116"/>
      <c r="BS43" s="109">
        <f t="shared" si="131"/>
        <v>0</v>
      </c>
      <c r="BT43" s="119"/>
      <c r="BU43" s="116"/>
      <c r="BV43" s="109">
        <f t="shared" si="132"/>
        <v>0</v>
      </c>
      <c r="BW43" s="119"/>
      <c r="BX43" s="116"/>
      <c r="BY43" s="109">
        <f t="shared" si="133"/>
        <v>0</v>
      </c>
      <c r="BZ43" s="119"/>
      <c r="CA43" s="116"/>
      <c r="CB43" s="109">
        <f t="shared" si="134"/>
        <v>0</v>
      </c>
      <c r="CC43" s="119"/>
      <c r="CD43" s="116"/>
      <c r="CE43" s="109">
        <f t="shared" si="135"/>
        <v>0</v>
      </c>
      <c r="CF43" s="119"/>
      <c r="CG43" s="116"/>
      <c r="CH43" s="109">
        <f t="shared" si="136"/>
        <v>0</v>
      </c>
      <c r="CI43" s="119"/>
      <c r="CJ43" s="116"/>
      <c r="CK43" s="109">
        <f t="shared" si="137"/>
        <v>0</v>
      </c>
      <c r="CL43" s="119"/>
      <c r="CM43" s="116"/>
      <c r="CN43" s="109">
        <f t="shared" si="138"/>
        <v>0</v>
      </c>
      <c r="CO43" s="119"/>
      <c r="CP43" s="116"/>
      <c r="CQ43" s="109">
        <f t="shared" si="139"/>
        <v>0</v>
      </c>
      <c r="CR43" s="119"/>
      <c r="CS43" s="116"/>
      <c r="CT43" s="109">
        <f t="shared" si="140"/>
        <v>0</v>
      </c>
      <c r="CU43" s="119"/>
      <c r="CV43" s="116"/>
      <c r="CW43" s="109">
        <f t="shared" si="141"/>
        <v>0</v>
      </c>
      <c r="CX43" s="119"/>
      <c r="CY43" s="116"/>
      <c r="CZ43" s="109">
        <f t="shared" si="142"/>
        <v>0</v>
      </c>
      <c r="DA43" s="119"/>
      <c r="DB43" s="116"/>
      <c r="DC43" s="109">
        <f t="shared" si="143"/>
        <v>0</v>
      </c>
      <c r="DD43" s="119"/>
      <c r="DE43" s="116"/>
      <c r="DF43" s="109">
        <f t="shared" si="144"/>
        <v>0</v>
      </c>
      <c r="DG43" s="119"/>
      <c r="DH43" s="116"/>
      <c r="DI43" s="109">
        <f t="shared" si="145"/>
        <v>0</v>
      </c>
      <c r="DJ43" s="119"/>
      <c r="DK43" s="116"/>
      <c r="DL43" s="109">
        <f t="shared" si="146"/>
        <v>0</v>
      </c>
      <c r="DM43" s="119"/>
      <c r="DN43" s="116"/>
      <c r="DO43" s="109">
        <f t="shared" si="147"/>
        <v>0</v>
      </c>
      <c r="DP43" s="126"/>
      <c r="DQ43" s="110"/>
      <c r="DR43" s="111"/>
      <c r="DS43" s="112">
        <f t="shared" si="108"/>
        <v>0</v>
      </c>
      <c r="DT43" s="113">
        <f t="shared" si="109"/>
        <v>0</v>
      </c>
    </row>
    <row r="44" spans="2:124" s="86" customFormat="1" ht="21.9" customHeight="1" outlineLevel="1">
      <c r="B44" s="122" t="s">
        <v>232</v>
      </c>
      <c r="C44" s="123"/>
      <c r="D44" s="124"/>
      <c r="E44" s="125"/>
      <c r="F44" s="119"/>
      <c r="G44" s="116"/>
      <c r="H44" s="109">
        <f t="shared" si="110"/>
        <v>0</v>
      </c>
      <c r="I44" s="119"/>
      <c r="J44" s="116"/>
      <c r="K44" s="109">
        <f t="shared" si="111"/>
        <v>0</v>
      </c>
      <c r="L44" s="119"/>
      <c r="M44" s="116"/>
      <c r="N44" s="109">
        <f t="shared" si="112"/>
        <v>0</v>
      </c>
      <c r="O44" s="119"/>
      <c r="P44" s="116"/>
      <c r="Q44" s="109">
        <f t="shared" si="113"/>
        <v>0</v>
      </c>
      <c r="R44" s="119"/>
      <c r="S44" s="116"/>
      <c r="T44" s="109">
        <f t="shared" si="114"/>
        <v>0</v>
      </c>
      <c r="U44" s="119"/>
      <c r="V44" s="116"/>
      <c r="W44" s="109">
        <f t="shared" si="115"/>
        <v>0</v>
      </c>
      <c r="X44" s="119"/>
      <c r="Y44" s="116"/>
      <c r="Z44" s="109">
        <f t="shared" si="116"/>
        <v>0</v>
      </c>
      <c r="AA44" s="119"/>
      <c r="AB44" s="116"/>
      <c r="AC44" s="109">
        <f t="shared" si="117"/>
        <v>0</v>
      </c>
      <c r="AD44" s="119"/>
      <c r="AE44" s="116"/>
      <c r="AF44" s="109">
        <f t="shared" si="118"/>
        <v>0</v>
      </c>
      <c r="AG44" s="119"/>
      <c r="AH44" s="116"/>
      <c r="AI44" s="109">
        <f t="shared" si="119"/>
        <v>0</v>
      </c>
      <c r="AJ44" s="119"/>
      <c r="AK44" s="116"/>
      <c r="AL44" s="109">
        <f t="shared" si="120"/>
        <v>0</v>
      </c>
      <c r="AM44" s="119"/>
      <c r="AN44" s="116"/>
      <c r="AO44" s="109">
        <f t="shared" si="121"/>
        <v>0</v>
      </c>
      <c r="AP44" s="119"/>
      <c r="AQ44" s="116"/>
      <c r="AR44" s="109">
        <f t="shared" si="122"/>
        <v>0</v>
      </c>
      <c r="AS44" s="119"/>
      <c r="AT44" s="116"/>
      <c r="AU44" s="109">
        <f t="shared" si="123"/>
        <v>0</v>
      </c>
      <c r="AV44" s="119"/>
      <c r="AW44" s="116"/>
      <c r="AX44" s="109">
        <f t="shared" si="124"/>
        <v>0</v>
      </c>
      <c r="AY44" s="119"/>
      <c r="AZ44" s="116"/>
      <c r="BA44" s="109">
        <f t="shared" si="125"/>
        <v>0</v>
      </c>
      <c r="BB44" s="119"/>
      <c r="BC44" s="116"/>
      <c r="BD44" s="109">
        <f t="shared" si="126"/>
        <v>0</v>
      </c>
      <c r="BE44" s="119"/>
      <c r="BF44" s="116"/>
      <c r="BG44" s="109">
        <f t="shared" si="127"/>
        <v>0</v>
      </c>
      <c r="BH44" s="119"/>
      <c r="BI44" s="116"/>
      <c r="BJ44" s="109">
        <f t="shared" si="128"/>
        <v>0</v>
      </c>
      <c r="BK44" s="119"/>
      <c r="BL44" s="116"/>
      <c r="BM44" s="109">
        <f t="shared" si="129"/>
        <v>0</v>
      </c>
      <c r="BN44" s="119"/>
      <c r="BO44" s="116"/>
      <c r="BP44" s="109">
        <f t="shared" si="130"/>
        <v>0</v>
      </c>
      <c r="BQ44" s="119"/>
      <c r="BR44" s="116"/>
      <c r="BS44" s="109">
        <f t="shared" si="131"/>
        <v>0</v>
      </c>
      <c r="BT44" s="119"/>
      <c r="BU44" s="116"/>
      <c r="BV44" s="109">
        <f t="shared" si="132"/>
        <v>0</v>
      </c>
      <c r="BW44" s="119"/>
      <c r="BX44" s="116"/>
      <c r="BY44" s="109">
        <f t="shared" si="133"/>
        <v>0</v>
      </c>
      <c r="BZ44" s="119"/>
      <c r="CA44" s="116"/>
      <c r="CB44" s="109">
        <f t="shared" si="134"/>
        <v>0</v>
      </c>
      <c r="CC44" s="119"/>
      <c r="CD44" s="116"/>
      <c r="CE44" s="109">
        <f t="shared" si="135"/>
        <v>0</v>
      </c>
      <c r="CF44" s="119"/>
      <c r="CG44" s="116"/>
      <c r="CH44" s="109">
        <f t="shared" si="136"/>
        <v>0</v>
      </c>
      <c r="CI44" s="119"/>
      <c r="CJ44" s="116"/>
      <c r="CK44" s="109">
        <f t="shared" si="137"/>
        <v>0</v>
      </c>
      <c r="CL44" s="119"/>
      <c r="CM44" s="116"/>
      <c r="CN44" s="109">
        <f t="shared" si="138"/>
        <v>0</v>
      </c>
      <c r="CO44" s="119"/>
      <c r="CP44" s="116"/>
      <c r="CQ44" s="109">
        <f t="shared" si="139"/>
        <v>0</v>
      </c>
      <c r="CR44" s="119"/>
      <c r="CS44" s="116"/>
      <c r="CT44" s="109">
        <f t="shared" si="140"/>
        <v>0</v>
      </c>
      <c r="CU44" s="119"/>
      <c r="CV44" s="116"/>
      <c r="CW44" s="109">
        <f t="shared" si="141"/>
        <v>0</v>
      </c>
      <c r="CX44" s="119"/>
      <c r="CY44" s="116"/>
      <c r="CZ44" s="109">
        <f t="shared" si="142"/>
        <v>0</v>
      </c>
      <c r="DA44" s="119"/>
      <c r="DB44" s="116"/>
      <c r="DC44" s="109">
        <f t="shared" si="143"/>
        <v>0</v>
      </c>
      <c r="DD44" s="119"/>
      <c r="DE44" s="116"/>
      <c r="DF44" s="109">
        <f t="shared" si="144"/>
        <v>0</v>
      </c>
      <c r="DG44" s="119"/>
      <c r="DH44" s="116"/>
      <c r="DI44" s="109">
        <f t="shared" si="145"/>
        <v>0</v>
      </c>
      <c r="DJ44" s="119"/>
      <c r="DK44" s="116"/>
      <c r="DL44" s="109">
        <f t="shared" si="146"/>
        <v>0</v>
      </c>
      <c r="DM44" s="119"/>
      <c r="DN44" s="116"/>
      <c r="DO44" s="109">
        <f t="shared" si="147"/>
        <v>0</v>
      </c>
      <c r="DP44" s="126"/>
      <c r="DQ44" s="110"/>
      <c r="DR44" s="111"/>
      <c r="DS44" s="112">
        <f t="shared" si="108"/>
        <v>0</v>
      </c>
      <c r="DT44" s="113">
        <f t="shared" si="109"/>
        <v>0</v>
      </c>
    </row>
    <row r="45" spans="2:124" s="86" customFormat="1" ht="21.9" customHeight="1" outlineLevel="1">
      <c r="B45" s="122" t="s">
        <v>233</v>
      </c>
      <c r="C45" s="128"/>
      <c r="D45" s="124"/>
      <c r="E45" s="130"/>
      <c r="F45" s="119"/>
      <c r="G45" s="116"/>
      <c r="H45" s="109">
        <f>G45*F45*$E45</f>
        <v>0</v>
      </c>
      <c r="I45" s="119"/>
      <c r="J45" s="116"/>
      <c r="K45" s="109">
        <f>J45*I45*$E45</f>
        <v>0</v>
      </c>
      <c r="L45" s="119"/>
      <c r="M45" s="116"/>
      <c r="N45" s="109">
        <f>M45*L45*$E45</f>
        <v>0</v>
      </c>
      <c r="O45" s="119"/>
      <c r="P45" s="116"/>
      <c r="Q45" s="109">
        <f t="shared" si="113"/>
        <v>0</v>
      </c>
      <c r="R45" s="119"/>
      <c r="S45" s="116"/>
      <c r="T45" s="109">
        <f t="shared" si="114"/>
        <v>0</v>
      </c>
      <c r="U45" s="119"/>
      <c r="V45" s="116"/>
      <c r="W45" s="109">
        <f t="shared" si="115"/>
        <v>0</v>
      </c>
      <c r="X45" s="119"/>
      <c r="Y45" s="116"/>
      <c r="Z45" s="109">
        <f t="shared" si="116"/>
        <v>0</v>
      </c>
      <c r="AA45" s="119"/>
      <c r="AB45" s="116"/>
      <c r="AC45" s="109">
        <f t="shared" si="117"/>
        <v>0</v>
      </c>
      <c r="AD45" s="119"/>
      <c r="AE45" s="116"/>
      <c r="AF45" s="109">
        <f t="shared" si="118"/>
        <v>0</v>
      </c>
      <c r="AG45" s="119"/>
      <c r="AH45" s="116"/>
      <c r="AI45" s="109">
        <f t="shared" si="119"/>
        <v>0</v>
      </c>
      <c r="AJ45" s="119"/>
      <c r="AK45" s="116"/>
      <c r="AL45" s="109">
        <f t="shared" si="120"/>
        <v>0</v>
      </c>
      <c r="AM45" s="119"/>
      <c r="AN45" s="116"/>
      <c r="AO45" s="109">
        <f t="shared" si="121"/>
        <v>0</v>
      </c>
      <c r="AP45" s="119"/>
      <c r="AQ45" s="116"/>
      <c r="AR45" s="109">
        <f t="shared" si="122"/>
        <v>0</v>
      </c>
      <c r="AS45" s="119"/>
      <c r="AT45" s="116"/>
      <c r="AU45" s="109">
        <f t="shared" si="123"/>
        <v>0</v>
      </c>
      <c r="AV45" s="119"/>
      <c r="AW45" s="116"/>
      <c r="AX45" s="109">
        <f t="shared" si="124"/>
        <v>0</v>
      </c>
      <c r="AY45" s="119"/>
      <c r="AZ45" s="116"/>
      <c r="BA45" s="109">
        <f t="shared" si="125"/>
        <v>0</v>
      </c>
      <c r="BB45" s="119"/>
      <c r="BC45" s="116"/>
      <c r="BD45" s="109">
        <f t="shared" si="126"/>
        <v>0</v>
      </c>
      <c r="BE45" s="119"/>
      <c r="BF45" s="116"/>
      <c r="BG45" s="109">
        <f t="shared" si="127"/>
        <v>0</v>
      </c>
      <c r="BH45" s="119"/>
      <c r="BI45" s="116"/>
      <c r="BJ45" s="109">
        <f t="shared" si="128"/>
        <v>0</v>
      </c>
      <c r="BK45" s="119"/>
      <c r="BL45" s="116"/>
      <c r="BM45" s="109">
        <f t="shared" si="129"/>
        <v>0</v>
      </c>
      <c r="BN45" s="119"/>
      <c r="BO45" s="116"/>
      <c r="BP45" s="109">
        <f t="shared" si="130"/>
        <v>0</v>
      </c>
      <c r="BQ45" s="119"/>
      <c r="BR45" s="116"/>
      <c r="BS45" s="109">
        <f t="shared" si="131"/>
        <v>0</v>
      </c>
      <c r="BT45" s="119"/>
      <c r="BU45" s="116"/>
      <c r="BV45" s="109">
        <f t="shared" si="132"/>
        <v>0</v>
      </c>
      <c r="BW45" s="119"/>
      <c r="BX45" s="116"/>
      <c r="BY45" s="109">
        <f t="shared" si="133"/>
        <v>0</v>
      </c>
      <c r="BZ45" s="119"/>
      <c r="CA45" s="116"/>
      <c r="CB45" s="109">
        <f t="shared" si="134"/>
        <v>0</v>
      </c>
      <c r="CC45" s="119"/>
      <c r="CD45" s="116"/>
      <c r="CE45" s="109">
        <f t="shared" si="135"/>
        <v>0</v>
      </c>
      <c r="CF45" s="119"/>
      <c r="CG45" s="116"/>
      <c r="CH45" s="109">
        <f t="shared" si="136"/>
        <v>0</v>
      </c>
      <c r="CI45" s="119"/>
      <c r="CJ45" s="116"/>
      <c r="CK45" s="109">
        <f t="shared" si="137"/>
        <v>0</v>
      </c>
      <c r="CL45" s="119"/>
      <c r="CM45" s="116"/>
      <c r="CN45" s="109">
        <f t="shared" si="138"/>
        <v>0</v>
      </c>
      <c r="CO45" s="119"/>
      <c r="CP45" s="116"/>
      <c r="CQ45" s="109">
        <f t="shared" si="139"/>
        <v>0</v>
      </c>
      <c r="CR45" s="119"/>
      <c r="CS45" s="116"/>
      <c r="CT45" s="109">
        <f t="shared" si="140"/>
        <v>0</v>
      </c>
      <c r="CU45" s="119"/>
      <c r="CV45" s="116"/>
      <c r="CW45" s="109">
        <f t="shared" si="141"/>
        <v>0</v>
      </c>
      <c r="CX45" s="119"/>
      <c r="CY45" s="116"/>
      <c r="CZ45" s="109">
        <f t="shared" si="142"/>
        <v>0</v>
      </c>
      <c r="DA45" s="119"/>
      <c r="DB45" s="116"/>
      <c r="DC45" s="109">
        <f t="shared" si="143"/>
        <v>0</v>
      </c>
      <c r="DD45" s="119"/>
      <c r="DE45" s="116"/>
      <c r="DF45" s="109">
        <f t="shared" si="144"/>
        <v>0</v>
      </c>
      <c r="DG45" s="119"/>
      <c r="DH45" s="116"/>
      <c r="DI45" s="109">
        <f t="shared" si="145"/>
        <v>0</v>
      </c>
      <c r="DJ45" s="119"/>
      <c r="DK45" s="116"/>
      <c r="DL45" s="109">
        <f t="shared" si="146"/>
        <v>0</v>
      </c>
      <c r="DM45" s="119"/>
      <c r="DN45" s="116"/>
      <c r="DO45" s="109">
        <f t="shared" si="147"/>
        <v>0</v>
      </c>
      <c r="DP45" s="126"/>
      <c r="DQ45" s="110"/>
      <c r="DR45" s="111"/>
      <c r="DS45" s="112">
        <f t="shared" si="108"/>
        <v>0</v>
      </c>
      <c r="DT45" s="113">
        <f t="shared" si="109"/>
        <v>0</v>
      </c>
    </row>
    <row r="46" spans="2:124" s="86" customFormat="1" ht="21.9" customHeight="1" outlineLevel="1">
      <c r="B46" s="122" t="s">
        <v>234</v>
      </c>
      <c r="C46" s="123"/>
      <c r="D46" s="124"/>
      <c r="E46" s="125"/>
      <c r="F46" s="119"/>
      <c r="G46" s="116"/>
      <c r="H46" s="109">
        <f>G46*F46*$E46</f>
        <v>0</v>
      </c>
      <c r="I46" s="119"/>
      <c r="J46" s="116"/>
      <c r="K46" s="109">
        <f>J46*I46*$E46</f>
        <v>0</v>
      </c>
      <c r="L46" s="119"/>
      <c r="M46" s="116"/>
      <c r="N46" s="109">
        <f>M46*L46*$E46</f>
        <v>0</v>
      </c>
      <c r="O46" s="119"/>
      <c r="P46" s="116"/>
      <c r="Q46" s="109">
        <f t="shared" si="113"/>
        <v>0</v>
      </c>
      <c r="R46" s="119"/>
      <c r="S46" s="116"/>
      <c r="T46" s="109">
        <f t="shared" si="114"/>
        <v>0</v>
      </c>
      <c r="U46" s="119"/>
      <c r="V46" s="116"/>
      <c r="W46" s="109">
        <f t="shared" si="115"/>
        <v>0</v>
      </c>
      <c r="X46" s="119"/>
      <c r="Y46" s="116"/>
      <c r="Z46" s="109">
        <f t="shared" si="116"/>
        <v>0</v>
      </c>
      <c r="AA46" s="119"/>
      <c r="AB46" s="116"/>
      <c r="AC46" s="109">
        <f t="shared" si="117"/>
        <v>0</v>
      </c>
      <c r="AD46" s="119"/>
      <c r="AE46" s="116"/>
      <c r="AF46" s="109">
        <f t="shared" si="118"/>
        <v>0</v>
      </c>
      <c r="AG46" s="119"/>
      <c r="AH46" s="116"/>
      <c r="AI46" s="109">
        <f t="shared" si="119"/>
        <v>0</v>
      </c>
      <c r="AJ46" s="119"/>
      <c r="AK46" s="116"/>
      <c r="AL46" s="109">
        <f t="shared" si="120"/>
        <v>0</v>
      </c>
      <c r="AM46" s="119"/>
      <c r="AN46" s="116"/>
      <c r="AO46" s="109">
        <f t="shared" si="121"/>
        <v>0</v>
      </c>
      <c r="AP46" s="119"/>
      <c r="AQ46" s="116"/>
      <c r="AR46" s="109">
        <f t="shared" si="122"/>
        <v>0</v>
      </c>
      <c r="AS46" s="119"/>
      <c r="AT46" s="116"/>
      <c r="AU46" s="109">
        <f t="shared" si="123"/>
        <v>0</v>
      </c>
      <c r="AV46" s="119"/>
      <c r="AW46" s="116"/>
      <c r="AX46" s="109">
        <f t="shared" si="124"/>
        <v>0</v>
      </c>
      <c r="AY46" s="119"/>
      <c r="AZ46" s="116"/>
      <c r="BA46" s="109">
        <f t="shared" si="125"/>
        <v>0</v>
      </c>
      <c r="BB46" s="119"/>
      <c r="BC46" s="116"/>
      <c r="BD46" s="109">
        <f t="shared" si="126"/>
        <v>0</v>
      </c>
      <c r="BE46" s="119"/>
      <c r="BF46" s="116"/>
      <c r="BG46" s="109">
        <f t="shared" si="127"/>
        <v>0</v>
      </c>
      <c r="BH46" s="119"/>
      <c r="BI46" s="116"/>
      <c r="BJ46" s="109">
        <f t="shared" si="128"/>
        <v>0</v>
      </c>
      <c r="BK46" s="119"/>
      <c r="BL46" s="116"/>
      <c r="BM46" s="109">
        <f t="shared" si="129"/>
        <v>0</v>
      </c>
      <c r="BN46" s="119"/>
      <c r="BO46" s="116"/>
      <c r="BP46" s="109">
        <f t="shared" si="130"/>
        <v>0</v>
      </c>
      <c r="BQ46" s="119"/>
      <c r="BR46" s="116"/>
      <c r="BS46" s="109">
        <f t="shared" si="131"/>
        <v>0</v>
      </c>
      <c r="BT46" s="119"/>
      <c r="BU46" s="116"/>
      <c r="BV46" s="109">
        <f t="shared" si="132"/>
        <v>0</v>
      </c>
      <c r="BW46" s="119"/>
      <c r="BX46" s="116"/>
      <c r="BY46" s="109">
        <f t="shared" si="133"/>
        <v>0</v>
      </c>
      <c r="BZ46" s="119"/>
      <c r="CA46" s="116"/>
      <c r="CB46" s="109">
        <f t="shared" si="134"/>
        <v>0</v>
      </c>
      <c r="CC46" s="119"/>
      <c r="CD46" s="116"/>
      <c r="CE46" s="109">
        <f t="shared" si="135"/>
        <v>0</v>
      </c>
      <c r="CF46" s="119"/>
      <c r="CG46" s="116"/>
      <c r="CH46" s="109">
        <f t="shared" si="136"/>
        <v>0</v>
      </c>
      <c r="CI46" s="119"/>
      <c r="CJ46" s="116"/>
      <c r="CK46" s="109">
        <f t="shared" si="137"/>
        <v>0</v>
      </c>
      <c r="CL46" s="119"/>
      <c r="CM46" s="116"/>
      <c r="CN46" s="109">
        <f t="shared" si="138"/>
        <v>0</v>
      </c>
      <c r="CO46" s="119"/>
      <c r="CP46" s="116"/>
      <c r="CQ46" s="109">
        <f t="shared" si="139"/>
        <v>0</v>
      </c>
      <c r="CR46" s="119"/>
      <c r="CS46" s="116"/>
      <c r="CT46" s="109">
        <f t="shared" si="140"/>
        <v>0</v>
      </c>
      <c r="CU46" s="119"/>
      <c r="CV46" s="116"/>
      <c r="CW46" s="109">
        <f t="shared" si="141"/>
        <v>0</v>
      </c>
      <c r="CX46" s="119"/>
      <c r="CY46" s="116"/>
      <c r="CZ46" s="109">
        <f t="shared" si="142"/>
        <v>0</v>
      </c>
      <c r="DA46" s="119"/>
      <c r="DB46" s="116"/>
      <c r="DC46" s="109">
        <f t="shared" si="143"/>
        <v>0</v>
      </c>
      <c r="DD46" s="119"/>
      <c r="DE46" s="116"/>
      <c r="DF46" s="109">
        <f t="shared" si="144"/>
        <v>0</v>
      </c>
      <c r="DG46" s="119"/>
      <c r="DH46" s="116"/>
      <c r="DI46" s="109">
        <f t="shared" si="145"/>
        <v>0</v>
      </c>
      <c r="DJ46" s="119"/>
      <c r="DK46" s="116"/>
      <c r="DL46" s="109">
        <f t="shared" si="146"/>
        <v>0</v>
      </c>
      <c r="DM46" s="119"/>
      <c r="DN46" s="116"/>
      <c r="DO46" s="109">
        <f t="shared" si="147"/>
        <v>0</v>
      </c>
      <c r="DP46" s="126"/>
      <c r="DQ46" s="110"/>
      <c r="DR46" s="111"/>
      <c r="DS46" s="112">
        <f t="shared" si="108"/>
        <v>0</v>
      </c>
      <c r="DT46" s="113">
        <f t="shared" si="109"/>
        <v>0</v>
      </c>
    </row>
    <row r="47" spans="2:124" s="86" customFormat="1" ht="21.9" customHeight="1" outlineLevel="1">
      <c r="B47" s="122" t="s">
        <v>235</v>
      </c>
      <c r="C47" s="123"/>
      <c r="D47" s="124"/>
      <c r="E47" s="125"/>
      <c r="F47" s="119"/>
      <c r="G47" s="116"/>
      <c r="H47" s="109">
        <f>G47*F47*$E47</f>
        <v>0</v>
      </c>
      <c r="I47" s="119"/>
      <c r="J47" s="116"/>
      <c r="K47" s="109">
        <f>J47*I47*$E47</f>
        <v>0</v>
      </c>
      <c r="L47" s="119"/>
      <c r="M47" s="116"/>
      <c r="N47" s="109">
        <f>M47*L47*$E47</f>
        <v>0</v>
      </c>
      <c r="O47" s="119"/>
      <c r="P47" s="116"/>
      <c r="Q47" s="109">
        <f t="shared" si="113"/>
        <v>0</v>
      </c>
      <c r="R47" s="119"/>
      <c r="S47" s="116"/>
      <c r="T47" s="109">
        <f t="shared" si="114"/>
        <v>0</v>
      </c>
      <c r="U47" s="119"/>
      <c r="V47" s="116"/>
      <c r="W47" s="109">
        <f t="shared" si="115"/>
        <v>0</v>
      </c>
      <c r="X47" s="119"/>
      <c r="Y47" s="116"/>
      <c r="Z47" s="109">
        <f t="shared" si="116"/>
        <v>0</v>
      </c>
      <c r="AA47" s="119"/>
      <c r="AB47" s="116"/>
      <c r="AC47" s="109">
        <f t="shared" si="117"/>
        <v>0</v>
      </c>
      <c r="AD47" s="119"/>
      <c r="AE47" s="116"/>
      <c r="AF47" s="109">
        <f t="shared" si="118"/>
        <v>0</v>
      </c>
      <c r="AG47" s="119"/>
      <c r="AH47" s="116"/>
      <c r="AI47" s="109">
        <f t="shared" si="119"/>
        <v>0</v>
      </c>
      <c r="AJ47" s="119"/>
      <c r="AK47" s="116"/>
      <c r="AL47" s="109">
        <f t="shared" si="120"/>
        <v>0</v>
      </c>
      <c r="AM47" s="119"/>
      <c r="AN47" s="116"/>
      <c r="AO47" s="109">
        <f t="shared" si="121"/>
        <v>0</v>
      </c>
      <c r="AP47" s="119"/>
      <c r="AQ47" s="116"/>
      <c r="AR47" s="109">
        <f t="shared" si="122"/>
        <v>0</v>
      </c>
      <c r="AS47" s="119"/>
      <c r="AT47" s="116"/>
      <c r="AU47" s="109">
        <f t="shared" si="123"/>
        <v>0</v>
      </c>
      <c r="AV47" s="119"/>
      <c r="AW47" s="116"/>
      <c r="AX47" s="109">
        <f t="shared" si="124"/>
        <v>0</v>
      </c>
      <c r="AY47" s="119"/>
      <c r="AZ47" s="116"/>
      <c r="BA47" s="109">
        <f t="shared" si="125"/>
        <v>0</v>
      </c>
      <c r="BB47" s="119"/>
      <c r="BC47" s="116"/>
      <c r="BD47" s="109">
        <f t="shared" si="126"/>
        <v>0</v>
      </c>
      <c r="BE47" s="119"/>
      <c r="BF47" s="116"/>
      <c r="BG47" s="109">
        <f t="shared" si="127"/>
        <v>0</v>
      </c>
      <c r="BH47" s="119"/>
      <c r="BI47" s="116"/>
      <c r="BJ47" s="109">
        <f t="shared" si="128"/>
        <v>0</v>
      </c>
      <c r="BK47" s="119"/>
      <c r="BL47" s="116"/>
      <c r="BM47" s="109">
        <f t="shared" si="129"/>
        <v>0</v>
      </c>
      <c r="BN47" s="119"/>
      <c r="BO47" s="116"/>
      <c r="BP47" s="109">
        <f t="shared" si="130"/>
        <v>0</v>
      </c>
      <c r="BQ47" s="119"/>
      <c r="BR47" s="116"/>
      <c r="BS47" s="109">
        <f t="shared" si="131"/>
        <v>0</v>
      </c>
      <c r="BT47" s="119"/>
      <c r="BU47" s="116"/>
      <c r="BV47" s="109">
        <f t="shared" si="132"/>
        <v>0</v>
      </c>
      <c r="BW47" s="119"/>
      <c r="BX47" s="116"/>
      <c r="BY47" s="109">
        <f t="shared" si="133"/>
        <v>0</v>
      </c>
      <c r="BZ47" s="119"/>
      <c r="CA47" s="116"/>
      <c r="CB47" s="109">
        <f t="shared" si="134"/>
        <v>0</v>
      </c>
      <c r="CC47" s="119"/>
      <c r="CD47" s="116"/>
      <c r="CE47" s="109">
        <f t="shared" si="135"/>
        <v>0</v>
      </c>
      <c r="CF47" s="119"/>
      <c r="CG47" s="116"/>
      <c r="CH47" s="109">
        <f t="shared" si="136"/>
        <v>0</v>
      </c>
      <c r="CI47" s="119"/>
      <c r="CJ47" s="116"/>
      <c r="CK47" s="109">
        <f t="shared" si="137"/>
        <v>0</v>
      </c>
      <c r="CL47" s="119"/>
      <c r="CM47" s="116"/>
      <c r="CN47" s="109">
        <f t="shared" si="138"/>
        <v>0</v>
      </c>
      <c r="CO47" s="119"/>
      <c r="CP47" s="116"/>
      <c r="CQ47" s="109">
        <f t="shared" si="139"/>
        <v>0</v>
      </c>
      <c r="CR47" s="119"/>
      <c r="CS47" s="116"/>
      <c r="CT47" s="109">
        <f t="shared" si="140"/>
        <v>0</v>
      </c>
      <c r="CU47" s="119"/>
      <c r="CV47" s="116"/>
      <c r="CW47" s="109">
        <f t="shared" si="141"/>
        <v>0</v>
      </c>
      <c r="CX47" s="119"/>
      <c r="CY47" s="116"/>
      <c r="CZ47" s="109">
        <f t="shared" si="142"/>
        <v>0</v>
      </c>
      <c r="DA47" s="119"/>
      <c r="DB47" s="116"/>
      <c r="DC47" s="109">
        <f t="shared" si="143"/>
        <v>0</v>
      </c>
      <c r="DD47" s="119"/>
      <c r="DE47" s="116"/>
      <c r="DF47" s="109">
        <f t="shared" si="144"/>
        <v>0</v>
      </c>
      <c r="DG47" s="119"/>
      <c r="DH47" s="116"/>
      <c r="DI47" s="109">
        <f t="shared" si="145"/>
        <v>0</v>
      </c>
      <c r="DJ47" s="119"/>
      <c r="DK47" s="116"/>
      <c r="DL47" s="109">
        <f t="shared" si="146"/>
        <v>0</v>
      </c>
      <c r="DM47" s="119"/>
      <c r="DN47" s="116"/>
      <c r="DO47" s="109">
        <f t="shared" si="147"/>
        <v>0</v>
      </c>
      <c r="DP47" s="126"/>
      <c r="DQ47" s="110"/>
      <c r="DR47" s="111"/>
      <c r="DS47" s="112">
        <f t="shared" si="108"/>
        <v>0</v>
      </c>
      <c r="DT47" s="113">
        <f t="shared" si="109"/>
        <v>0</v>
      </c>
    </row>
    <row r="48" spans="2:124" s="86" customFormat="1" ht="21.9" customHeight="1" outlineLevel="1">
      <c r="B48" s="122" t="s">
        <v>237</v>
      </c>
      <c r="C48" s="123"/>
      <c r="D48" s="124"/>
      <c r="E48" s="125"/>
      <c r="F48" s="119"/>
      <c r="G48" s="116"/>
      <c r="H48" s="109">
        <f t="shared" si="110"/>
        <v>0</v>
      </c>
      <c r="I48" s="119"/>
      <c r="J48" s="116"/>
      <c r="K48" s="109">
        <f t="shared" si="111"/>
        <v>0</v>
      </c>
      <c r="L48" s="119"/>
      <c r="M48" s="116"/>
      <c r="N48" s="109">
        <f t="shared" si="112"/>
        <v>0</v>
      </c>
      <c r="O48" s="119"/>
      <c r="P48" s="116"/>
      <c r="Q48" s="109">
        <f t="shared" si="113"/>
        <v>0</v>
      </c>
      <c r="R48" s="119"/>
      <c r="S48" s="116"/>
      <c r="T48" s="109">
        <f t="shared" si="114"/>
        <v>0</v>
      </c>
      <c r="U48" s="119"/>
      <c r="V48" s="116"/>
      <c r="W48" s="109">
        <f t="shared" si="115"/>
        <v>0</v>
      </c>
      <c r="X48" s="119"/>
      <c r="Y48" s="116"/>
      <c r="Z48" s="109">
        <f t="shared" si="116"/>
        <v>0</v>
      </c>
      <c r="AA48" s="119"/>
      <c r="AB48" s="116"/>
      <c r="AC48" s="109">
        <f t="shared" si="117"/>
        <v>0</v>
      </c>
      <c r="AD48" s="119"/>
      <c r="AE48" s="116"/>
      <c r="AF48" s="109">
        <f t="shared" si="118"/>
        <v>0</v>
      </c>
      <c r="AG48" s="119"/>
      <c r="AH48" s="116"/>
      <c r="AI48" s="109">
        <f t="shared" si="119"/>
        <v>0</v>
      </c>
      <c r="AJ48" s="119"/>
      <c r="AK48" s="116"/>
      <c r="AL48" s="109">
        <f t="shared" si="120"/>
        <v>0</v>
      </c>
      <c r="AM48" s="119"/>
      <c r="AN48" s="116"/>
      <c r="AO48" s="109">
        <f t="shared" si="121"/>
        <v>0</v>
      </c>
      <c r="AP48" s="119"/>
      <c r="AQ48" s="116"/>
      <c r="AR48" s="109">
        <f t="shared" si="122"/>
        <v>0</v>
      </c>
      <c r="AS48" s="119"/>
      <c r="AT48" s="116"/>
      <c r="AU48" s="109">
        <f t="shared" si="123"/>
        <v>0</v>
      </c>
      <c r="AV48" s="119"/>
      <c r="AW48" s="116"/>
      <c r="AX48" s="109">
        <f t="shared" si="124"/>
        <v>0</v>
      </c>
      <c r="AY48" s="119"/>
      <c r="AZ48" s="116"/>
      <c r="BA48" s="109">
        <f t="shared" si="125"/>
        <v>0</v>
      </c>
      <c r="BB48" s="119"/>
      <c r="BC48" s="116"/>
      <c r="BD48" s="109">
        <f t="shared" si="126"/>
        <v>0</v>
      </c>
      <c r="BE48" s="119"/>
      <c r="BF48" s="116"/>
      <c r="BG48" s="109">
        <f t="shared" si="127"/>
        <v>0</v>
      </c>
      <c r="BH48" s="119"/>
      <c r="BI48" s="116"/>
      <c r="BJ48" s="109">
        <f t="shared" si="128"/>
        <v>0</v>
      </c>
      <c r="BK48" s="119"/>
      <c r="BL48" s="116"/>
      <c r="BM48" s="109">
        <f t="shared" si="129"/>
        <v>0</v>
      </c>
      <c r="BN48" s="119"/>
      <c r="BO48" s="116"/>
      <c r="BP48" s="109">
        <f t="shared" si="130"/>
        <v>0</v>
      </c>
      <c r="BQ48" s="119"/>
      <c r="BR48" s="116"/>
      <c r="BS48" s="109">
        <f t="shared" si="131"/>
        <v>0</v>
      </c>
      <c r="BT48" s="119"/>
      <c r="BU48" s="116"/>
      <c r="BV48" s="109">
        <f t="shared" si="132"/>
        <v>0</v>
      </c>
      <c r="BW48" s="119"/>
      <c r="BX48" s="116"/>
      <c r="BY48" s="109">
        <f t="shared" si="133"/>
        <v>0</v>
      </c>
      <c r="BZ48" s="119"/>
      <c r="CA48" s="116"/>
      <c r="CB48" s="109">
        <f t="shared" si="134"/>
        <v>0</v>
      </c>
      <c r="CC48" s="119"/>
      <c r="CD48" s="116"/>
      <c r="CE48" s="109">
        <f t="shared" si="135"/>
        <v>0</v>
      </c>
      <c r="CF48" s="119"/>
      <c r="CG48" s="116"/>
      <c r="CH48" s="109">
        <f t="shared" si="136"/>
        <v>0</v>
      </c>
      <c r="CI48" s="119"/>
      <c r="CJ48" s="116"/>
      <c r="CK48" s="109">
        <f t="shared" si="137"/>
        <v>0</v>
      </c>
      <c r="CL48" s="119"/>
      <c r="CM48" s="116"/>
      <c r="CN48" s="109">
        <f t="shared" si="138"/>
        <v>0</v>
      </c>
      <c r="CO48" s="119"/>
      <c r="CP48" s="116"/>
      <c r="CQ48" s="109">
        <f t="shared" si="139"/>
        <v>0</v>
      </c>
      <c r="CR48" s="119"/>
      <c r="CS48" s="116"/>
      <c r="CT48" s="109">
        <f t="shared" si="140"/>
        <v>0</v>
      </c>
      <c r="CU48" s="119"/>
      <c r="CV48" s="116"/>
      <c r="CW48" s="109">
        <f t="shared" si="141"/>
        <v>0</v>
      </c>
      <c r="CX48" s="119"/>
      <c r="CY48" s="116"/>
      <c r="CZ48" s="109">
        <f t="shared" si="142"/>
        <v>0</v>
      </c>
      <c r="DA48" s="119"/>
      <c r="DB48" s="116"/>
      <c r="DC48" s="109">
        <f t="shared" si="143"/>
        <v>0</v>
      </c>
      <c r="DD48" s="119"/>
      <c r="DE48" s="116"/>
      <c r="DF48" s="109">
        <f t="shared" si="144"/>
        <v>0</v>
      </c>
      <c r="DG48" s="119"/>
      <c r="DH48" s="116"/>
      <c r="DI48" s="109">
        <f t="shared" si="145"/>
        <v>0</v>
      </c>
      <c r="DJ48" s="119"/>
      <c r="DK48" s="116"/>
      <c r="DL48" s="109">
        <f t="shared" si="146"/>
        <v>0</v>
      </c>
      <c r="DM48" s="119"/>
      <c r="DN48" s="116"/>
      <c r="DO48" s="109">
        <f t="shared" si="147"/>
        <v>0</v>
      </c>
      <c r="DP48" s="126"/>
      <c r="DQ48" s="110"/>
      <c r="DR48" s="111"/>
      <c r="DS48" s="112">
        <f t="shared" si="108"/>
        <v>0</v>
      </c>
      <c r="DT48" s="113">
        <f t="shared" si="109"/>
        <v>0</v>
      </c>
    </row>
    <row r="49" spans="2:124" s="86" customFormat="1" ht="21.9" customHeight="1" outlineLevel="1">
      <c r="B49" s="122" t="s">
        <v>238</v>
      </c>
      <c r="C49" s="123"/>
      <c r="D49" s="124"/>
      <c r="E49" s="125"/>
      <c r="F49" s="119"/>
      <c r="G49" s="116"/>
      <c r="H49" s="109">
        <f t="shared" si="110"/>
        <v>0</v>
      </c>
      <c r="I49" s="119"/>
      <c r="J49" s="116"/>
      <c r="K49" s="109">
        <f t="shared" si="111"/>
        <v>0</v>
      </c>
      <c r="L49" s="119"/>
      <c r="M49" s="116"/>
      <c r="N49" s="109">
        <f t="shared" si="112"/>
        <v>0</v>
      </c>
      <c r="O49" s="119"/>
      <c r="P49" s="116"/>
      <c r="Q49" s="109">
        <f t="shared" si="113"/>
        <v>0</v>
      </c>
      <c r="R49" s="119"/>
      <c r="S49" s="116"/>
      <c r="T49" s="109">
        <f t="shared" si="114"/>
        <v>0</v>
      </c>
      <c r="U49" s="119"/>
      <c r="V49" s="116"/>
      <c r="W49" s="109">
        <f t="shared" si="115"/>
        <v>0</v>
      </c>
      <c r="X49" s="119"/>
      <c r="Y49" s="116"/>
      <c r="Z49" s="109">
        <f t="shared" si="116"/>
        <v>0</v>
      </c>
      <c r="AA49" s="119"/>
      <c r="AB49" s="116"/>
      <c r="AC49" s="109">
        <f t="shared" si="117"/>
        <v>0</v>
      </c>
      <c r="AD49" s="119"/>
      <c r="AE49" s="116"/>
      <c r="AF49" s="109">
        <f t="shared" si="118"/>
        <v>0</v>
      </c>
      <c r="AG49" s="119"/>
      <c r="AH49" s="116"/>
      <c r="AI49" s="109">
        <f t="shared" si="119"/>
        <v>0</v>
      </c>
      <c r="AJ49" s="119"/>
      <c r="AK49" s="116"/>
      <c r="AL49" s="109">
        <f t="shared" si="120"/>
        <v>0</v>
      </c>
      <c r="AM49" s="119"/>
      <c r="AN49" s="116"/>
      <c r="AO49" s="109">
        <f t="shared" si="121"/>
        <v>0</v>
      </c>
      <c r="AP49" s="119"/>
      <c r="AQ49" s="116"/>
      <c r="AR49" s="109">
        <f t="shared" si="122"/>
        <v>0</v>
      </c>
      <c r="AS49" s="119"/>
      <c r="AT49" s="116"/>
      <c r="AU49" s="109">
        <f t="shared" si="123"/>
        <v>0</v>
      </c>
      <c r="AV49" s="119"/>
      <c r="AW49" s="116"/>
      <c r="AX49" s="109">
        <f t="shared" si="124"/>
        <v>0</v>
      </c>
      <c r="AY49" s="119"/>
      <c r="AZ49" s="116"/>
      <c r="BA49" s="109">
        <f t="shared" si="125"/>
        <v>0</v>
      </c>
      <c r="BB49" s="119"/>
      <c r="BC49" s="116"/>
      <c r="BD49" s="109">
        <f t="shared" si="126"/>
        <v>0</v>
      </c>
      <c r="BE49" s="119"/>
      <c r="BF49" s="116"/>
      <c r="BG49" s="109">
        <f t="shared" si="127"/>
        <v>0</v>
      </c>
      <c r="BH49" s="119"/>
      <c r="BI49" s="116"/>
      <c r="BJ49" s="109">
        <f t="shared" si="128"/>
        <v>0</v>
      </c>
      <c r="BK49" s="119"/>
      <c r="BL49" s="116"/>
      <c r="BM49" s="109">
        <f t="shared" si="129"/>
        <v>0</v>
      </c>
      <c r="BN49" s="119"/>
      <c r="BO49" s="116"/>
      <c r="BP49" s="109">
        <f t="shared" si="130"/>
        <v>0</v>
      </c>
      <c r="BQ49" s="119"/>
      <c r="BR49" s="116"/>
      <c r="BS49" s="109">
        <f t="shared" si="131"/>
        <v>0</v>
      </c>
      <c r="BT49" s="119"/>
      <c r="BU49" s="116"/>
      <c r="BV49" s="109">
        <f t="shared" si="132"/>
        <v>0</v>
      </c>
      <c r="BW49" s="119"/>
      <c r="BX49" s="116"/>
      <c r="BY49" s="109">
        <f t="shared" si="133"/>
        <v>0</v>
      </c>
      <c r="BZ49" s="119"/>
      <c r="CA49" s="116"/>
      <c r="CB49" s="109">
        <f t="shared" si="134"/>
        <v>0</v>
      </c>
      <c r="CC49" s="119"/>
      <c r="CD49" s="116"/>
      <c r="CE49" s="109">
        <f t="shared" si="135"/>
        <v>0</v>
      </c>
      <c r="CF49" s="119"/>
      <c r="CG49" s="116"/>
      <c r="CH49" s="109">
        <f t="shared" si="136"/>
        <v>0</v>
      </c>
      <c r="CI49" s="119"/>
      <c r="CJ49" s="116"/>
      <c r="CK49" s="109">
        <f t="shared" si="137"/>
        <v>0</v>
      </c>
      <c r="CL49" s="119"/>
      <c r="CM49" s="116"/>
      <c r="CN49" s="109">
        <f t="shared" si="138"/>
        <v>0</v>
      </c>
      <c r="CO49" s="119"/>
      <c r="CP49" s="116"/>
      <c r="CQ49" s="109">
        <f t="shared" si="139"/>
        <v>0</v>
      </c>
      <c r="CR49" s="119"/>
      <c r="CS49" s="116"/>
      <c r="CT49" s="109">
        <f t="shared" si="140"/>
        <v>0</v>
      </c>
      <c r="CU49" s="119"/>
      <c r="CV49" s="116"/>
      <c r="CW49" s="109">
        <f t="shared" si="141"/>
        <v>0</v>
      </c>
      <c r="CX49" s="119"/>
      <c r="CY49" s="116"/>
      <c r="CZ49" s="109">
        <f t="shared" si="142"/>
        <v>0</v>
      </c>
      <c r="DA49" s="119"/>
      <c r="DB49" s="116"/>
      <c r="DC49" s="109">
        <f t="shared" si="143"/>
        <v>0</v>
      </c>
      <c r="DD49" s="119"/>
      <c r="DE49" s="116"/>
      <c r="DF49" s="109">
        <f t="shared" si="144"/>
        <v>0</v>
      </c>
      <c r="DG49" s="119"/>
      <c r="DH49" s="116"/>
      <c r="DI49" s="109">
        <f t="shared" si="145"/>
        <v>0</v>
      </c>
      <c r="DJ49" s="119"/>
      <c r="DK49" s="116"/>
      <c r="DL49" s="109">
        <f t="shared" si="146"/>
        <v>0</v>
      </c>
      <c r="DM49" s="119"/>
      <c r="DN49" s="116"/>
      <c r="DO49" s="109">
        <f t="shared" si="147"/>
        <v>0</v>
      </c>
      <c r="DP49" s="126"/>
      <c r="DQ49" s="110"/>
      <c r="DR49" s="111"/>
      <c r="DS49" s="112">
        <f t="shared" si="108"/>
        <v>0</v>
      </c>
      <c r="DT49" s="113">
        <f t="shared" si="109"/>
        <v>0</v>
      </c>
    </row>
    <row r="50" spans="2:124" s="86" customFormat="1" ht="21.9" customHeight="1" outlineLevel="1">
      <c r="B50" s="122" t="s">
        <v>239</v>
      </c>
      <c r="C50" s="128"/>
      <c r="D50" s="124"/>
      <c r="E50" s="130"/>
      <c r="F50" s="119"/>
      <c r="G50" s="116"/>
      <c r="H50" s="109">
        <f t="shared" si="110"/>
        <v>0</v>
      </c>
      <c r="I50" s="119"/>
      <c r="J50" s="116"/>
      <c r="K50" s="109">
        <f t="shared" si="111"/>
        <v>0</v>
      </c>
      <c r="L50" s="119"/>
      <c r="M50" s="116"/>
      <c r="N50" s="109">
        <f t="shared" si="112"/>
        <v>0</v>
      </c>
      <c r="O50" s="119"/>
      <c r="P50" s="116"/>
      <c r="Q50" s="109">
        <f t="shared" si="113"/>
        <v>0</v>
      </c>
      <c r="R50" s="119"/>
      <c r="S50" s="116"/>
      <c r="T50" s="109">
        <f t="shared" si="114"/>
        <v>0</v>
      </c>
      <c r="U50" s="119"/>
      <c r="V50" s="116"/>
      <c r="W50" s="109">
        <f t="shared" si="115"/>
        <v>0</v>
      </c>
      <c r="X50" s="119"/>
      <c r="Y50" s="116"/>
      <c r="Z50" s="109">
        <f t="shared" si="116"/>
        <v>0</v>
      </c>
      <c r="AA50" s="119"/>
      <c r="AB50" s="116"/>
      <c r="AC50" s="109">
        <f t="shared" si="117"/>
        <v>0</v>
      </c>
      <c r="AD50" s="119"/>
      <c r="AE50" s="116"/>
      <c r="AF50" s="109">
        <f t="shared" si="118"/>
        <v>0</v>
      </c>
      <c r="AG50" s="119"/>
      <c r="AH50" s="116"/>
      <c r="AI50" s="109">
        <f t="shared" si="119"/>
        <v>0</v>
      </c>
      <c r="AJ50" s="119"/>
      <c r="AK50" s="116"/>
      <c r="AL50" s="109">
        <f t="shared" si="120"/>
        <v>0</v>
      </c>
      <c r="AM50" s="119"/>
      <c r="AN50" s="116"/>
      <c r="AO50" s="109">
        <f t="shared" si="121"/>
        <v>0</v>
      </c>
      <c r="AP50" s="119"/>
      <c r="AQ50" s="116"/>
      <c r="AR50" s="109">
        <f t="shared" si="122"/>
        <v>0</v>
      </c>
      <c r="AS50" s="119"/>
      <c r="AT50" s="116"/>
      <c r="AU50" s="109">
        <f t="shared" si="123"/>
        <v>0</v>
      </c>
      <c r="AV50" s="119"/>
      <c r="AW50" s="116"/>
      <c r="AX50" s="109">
        <f t="shared" si="124"/>
        <v>0</v>
      </c>
      <c r="AY50" s="119"/>
      <c r="AZ50" s="116"/>
      <c r="BA50" s="109">
        <f t="shared" si="125"/>
        <v>0</v>
      </c>
      <c r="BB50" s="119"/>
      <c r="BC50" s="116"/>
      <c r="BD50" s="109">
        <f t="shared" si="126"/>
        <v>0</v>
      </c>
      <c r="BE50" s="119"/>
      <c r="BF50" s="116"/>
      <c r="BG50" s="109">
        <f t="shared" si="127"/>
        <v>0</v>
      </c>
      <c r="BH50" s="119"/>
      <c r="BI50" s="116"/>
      <c r="BJ50" s="109">
        <f t="shared" si="128"/>
        <v>0</v>
      </c>
      <c r="BK50" s="119"/>
      <c r="BL50" s="116"/>
      <c r="BM50" s="109">
        <f t="shared" si="129"/>
        <v>0</v>
      </c>
      <c r="BN50" s="119"/>
      <c r="BO50" s="116"/>
      <c r="BP50" s="109">
        <f t="shared" si="130"/>
        <v>0</v>
      </c>
      <c r="BQ50" s="119"/>
      <c r="BR50" s="116"/>
      <c r="BS50" s="109">
        <f t="shared" si="131"/>
        <v>0</v>
      </c>
      <c r="BT50" s="119"/>
      <c r="BU50" s="116"/>
      <c r="BV50" s="109">
        <f t="shared" si="132"/>
        <v>0</v>
      </c>
      <c r="BW50" s="119"/>
      <c r="BX50" s="116"/>
      <c r="BY50" s="109">
        <f t="shared" si="133"/>
        <v>0</v>
      </c>
      <c r="BZ50" s="119"/>
      <c r="CA50" s="116"/>
      <c r="CB50" s="109">
        <f t="shared" si="134"/>
        <v>0</v>
      </c>
      <c r="CC50" s="119"/>
      <c r="CD50" s="116"/>
      <c r="CE50" s="109">
        <f t="shared" si="135"/>
        <v>0</v>
      </c>
      <c r="CF50" s="119"/>
      <c r="CG50" s="116"/>
      <c r="CH50" s="109">
        <f t="shared" si="136"/>
        <v>0</v>
      </c>
      <c r="CI50" s="119"/>
      <c r="CJ50" s="116"/>
      <c r="CK50" s="109">
        <f t="shared" si="137"/>
        <v>0</v>
      </c>
      <c r="CL50" s="119"/>
      <c r="CM50" s="116"/>
      <c r="CN50" s="109">
        <f t="shared" si="138"/>
        <v>0</v>
      </c>
      <c r="CO50" s="119"/>
      <c r="CP50" s="116"/>
      <c r="CQ50" s="109">
        <f t="shared" si="139"/>
        <v>0</v>
      </c>
      <c r="CR50" s="119"/>
      <c r="CS50" s="116"/>
      <c r="CT50" s="109">
        <f t="shared" si="140"/>
        <v>0</v>
      </c>
      <c r="CU50" s="119"/>
      <c r="CV50" s="116"/>
      <c r="CW50" s="109">
        <f t="shared" si="141"/>
        <v>0</v>
      </c>
      <c r="CX50" s="119"/>
      <c r="CY50" s="116"/>
      <c r="CZ50" s="109">
        <f t="shared" si="142"/>
        <v>0</v>
      </c>
      <c r="DA50" s="119"/>
      <c r="DB50" s="116"/>
      <c r="DC50" s="109">
        <f t="shared" si="143"/>
        <v>0</v>
      </c>
      <c r="DD50" s="119"/>
      <c r="DE50" s="116"/>
      <c r="DF50" s="109">
        <f t="shared" si="144"/>
        <v>0</v>
      </c>
      <c r="DG50" s="119"/>
      <c r="DH50" s="116"/>
      <c r="DI50" s="109">
        <f t="shared" si="145"/>
        <v>0</v>
      </c>
      <c r="DJ50" s="119"/>
      <c r="DK50" s="116"/>
      <c r="DL50" s="109">
        <f t="shared" si="146"/>
        <v>0</v>
      </c>
      <c r="DM50" s="119"/>
      <c r="DN50" s="116"/>
      <c r="DO50" s="109">
        <f t="shared" si="147"/>
        <v>0</v>
      </c>
      <c r="DP50" s="126"/>
      <c r="DQ50" s="110"/>
      <c r="DR50" s="111"/>
      <c r="DS50" s="112">
        <f t="shared" si="108"/>
        <v>0</v>
      </c>
      <c r="DT50" s="113">
        <f t="shared" si="109"/>
        <v>0</v>
      </c>
    </row>
    <row r="51" spans="2:124" s="86" customFormat="1" ht="21.9" customHeight="1" outlineLevel="1">
      <c r="B51" s="122" t="s">
        <v>240</v>
      </c>
      <c r="C51" s="123"/>
      <c r="D51" s="115"/>
      <c r="E51" s="125"/>
      <c r="F51" s="119"/>
      <c r="G51" s="116"/>
      <c r="H51" s="109">
        <f t="shared" si="110"/>
        <v>0</v>
      </c>
      <c r="I51" s="119"/>
      <c r="J51" s="116"/>
      <c r="K51" s="109">
        <f t="shared" si="111"/>
        <v>0</v>
      </c>
      <c r="L51" s="119"/>
      <c r="M51" s="116"/>
      <c r="N51" s="109">
        <f t="shared" si="112"/>
        <v>0</v>
      </c>
      <c r="O51" s="119"/>
      <c r="P51" s="116"/>
      <c r="Q51" s="109">
        <f t="shared" si="113"/>
        <v>0</v>
      </c>
      <c r="R51" s="119"/>
      <c r="S51" s="116"/>
      <c r="T51" s="109">
        <f t="shared" si="114"/>
        <v>0</v>
      </c>
      <c r="U51" s="119"/>
      <c r="V51" s="116"/>
      <c r="W51" s="109">
        <f t="shared" si="115"/>
        <v>0</v>
      </c>
      <c r="X51" s="119"/>
      <c r="Y51" s="116"/>
      <c r="Z51" s="109">
        <f t="shared" si="116"/>
        <v>0</v>
      </c>
      <c r="AA51" s="119"/>
      <c r="AB51" s="116"/>
      <c r="AC51" s="109">
        <f t="shared" si="117"/>
        <v>0</v>
      </c>
      <c r="AD51" s="119"/>
      <c r="AE51" s="116"/>
      <c r="AF51" s="109">
        <f t="shared" si="118"/>
        <v>0</v>
      </c>
      <c r="AG51" s="119"/>
      <c r="AH51" s="116"/>
      <c r="AI51" s="109">
        <f t="shared" si="119"/>
        <v>0</v>
      </c>
      <c r="AJ51" s="119"/>
      <c r="AK51" s="116"/>
      <c r="AL51" s="109">
        <f t="shared" si="120"/>
        <v>0</v>
      </c>
      <c r="AM51" s="119"/>
      <c r="AN51" s="116"/>
      <c r="AO51" s="109">
        <f t="shared" si="121"/>
        <v>0</v>
      </c>
      <c r="AP51" s="119"/>
      <c r="AQ51" s="116"/>
      <c r="AR51" s="109">
        <f t="shared" si="122"/>
        <v>0</v>
      </c>
      <c r="AS51" s="119"/>
      <c r="AT51" s="116"/>
      <c r="AU51" s="109">
        <f t="shared" si="123"/>
        <v>0</v>
      </c>
      <c r="AV51" s="119"/>
      <c r="AW51" s="116"/>
      <c r="AX51" s="109">
        <f t="shared" si="124"/>
        <v>0</v>
      </c>
      <c r="AY51" s="119"/>
      <c r="AZ51" s="116"/>
      <c r="BA51" s="109">
        <f t="shared" si="125"/>
        <v>0</v>
      </c>
      <c r="BB51" s="119"/>
      <c r="BC51" s="116"/>
      <c r="BD51" s="109">
        <f t="shared" si="126"/>
        <v>0</v>
      </c>
      <c r="BE51" s="119"/>
      <c r="BF51" s="116"/>
      <c r="BG51" s="109">
        <f t="shared" si="127"/>
        <v>0</v>
      </c>
      <c r="BH51" s="119"/>
      <c r="BI51" s="116"/>
      <c r="BJ51" s="109">
        <f t="shared" si="128"/>
        <v>0</v>
      </c>
      <c r="BK51" s="119"/>
      <c r="BL51" s="116"/>
      <c r="BM51" s="109">
        <f t="shared" si="129"/>
        <v>0</v>
      </c>
      <c r="BN51" s="119"/>
      <c r="BO51" s="116"/>
      <c r="BP51" s="109">
        <f t="shared" si="130"/>
        <v>0</v>
      </c>
      <c r="BQ51" s="119"/>
      <c r="BR51" s="116"/>
      <c r="BS51" s="109">
        <f t="shared" si="131"/>
        <v>0</v>
      </c>
      <c r="BT51" s="119"/>
      <c r="BU51" s="116"/>
      <c r="BV51" s="109">
        <f t="shared" si="132"/>
        <v>0</v>
      </c>
      <c r="BW51" s="119"/>
      <c r="BX51" s="116"/>
      <c r="BY51" s="109">
        <f t="shared" si="133"/>
        <v>0</v>
      </c>
      <c r="BZ51" s="119"/>
      <c r="CA51" s="116"/>
      <c r="CB51" s="109">
        <f t="shared" si="134"/>
        <v>0</v>
      </c>
      <c r="CC51" s="119"/>
      <c r="CD51" s="116"/>
      <c r="CE51" s="109">
        <f t="shared" si="135"/>
        <v>0</v>
      </c>
      <c r="CF51" s="119"/>
      <c r="CG51" s="116"/>
      <c r="CH51" s="109">
        <f t="shared" si="136"/>
        <v>0</v>
      </c>
      <c r="CI51" s="119"/>
      <c r="CJ51" s="116"/>
      <c r="CK51" s="109">
        <f t="shared" si="137"/>
        <v>0</v>
      </c>
      <c r="CL51" s="119"/>
      <c r="CM51" s="116"/>
      <c r="CN51" s="109">
        <f t="shared" si="138"/>
        <v>0</v>
      </c>
      <c r="CO51" s="119"/>
      <c r="CP51" s="116"/>
      <c r="CQ51" s="109">
        <f t="shared" si="139"/>
        <v>0</v>
      </c>
      <c r="CR51" s="119"/>
      <c r="CS51" s="116"/>
      <c r="CT51" s="109">
        <f t="shared" si="140"/>
        <v>0</v>
      </c>
      <c r="CU51" s="119"/>
      <c r="CV51" s="116"/>
      <c r="CW51" s="109">
        <f t="shared" si="141"/>
        <v>0</v>
      </c>
      <c r="CX51" s="119"/>
      <c r="CY51" s="116"/>
      <c r="CZ51" s="109">
        <f t="shared" si="142"/>
        <v>0</v>
      </c>
      <c r="DA51" s="119"/>
      <c r="DB51" s="116"/>
      <c r="DC51" s="109">
        <f t="shared" si="143"/>
        <v>0</v>
      </c>
      <c r="DD51" s="119"/>
      <c r="DE51" s="116"/>
      <c r="DF51" s="109">
        <f t="shared" si="144"/>
        <v>0</v>
      </c>
      <c r="DG51" s="119"/>
      <c r="DH51" s="116"/>
      <c r="DI51" s="109">
        <f t="shared" si="145"/>
        <v>0</v>
      </c>
      <c r="DJ51" s="119"/>
      <c r="DK51" s="116"/>
      <c r="DL51" s="109">
        <f t="shared" si="146"/>
        <v>0</v>
      </c>
      <c r="DM51" s="119"/>
      <c r="DN51" s="116"/>
      <c r="DO51" s="109">
        <f t="shared" si="147"/>
        <v>0</v>
      </c>
      <c r="DP51" s="126"/>
      <c r="DQ51" s="110"/>
      <c r="DR51" s="111"/>
      <c r="DS51" s="112">
        <f t="shared" si="108"/>
        <v>0</v>
      </c>
      <c r="DT51" s="113">
        <f t="shared" si="109"/>
        <v>0</v>
      </c>
    </row>
    <row r="52" spans="2:124" s="86" customFormat="1" ht="21.9" customHeight="1" outlineLevel="1">
      <c r="B52" s="122" t="s">
        <v>241</v>
      </c>
      <c r="C52" s="123"/>
      <c r="D52" s="115"/>
      <c r="E52" s="125"/>
      <c r="F52" s="119"/>
      <c r="G52" s="116"/>
      <c r="H52" s="109">
        <f t="shared" si="110"/>
        <v>0</v>
      </c>
      <c r="I52" s="119"/>
      <c r="J52" s="116"/>
      <c r="K52" s="109">
        <f t="shared" si="111"/>
        <v>0</v>
      </c>
      <c r="L52" s="119"/>
      <c r="M52" s="116"/>
      <c r="N52" s="109">
        <f t="shared" si="112"/>
        <v>0</v>
      </c>
      <c r="O52" s="119"/>
      <c r="P52" s="116"/>
      <c r="Q52" s="109">
        <f>P52*O52*$E52</f>
        <v>0</v>
      </c>
      <c r="R52" s="119"/>
      <c r="S52" s="116"/>
      <c r="T52" s="109">
        <f>S52*R52*$E52</f>
        <v>0</v>
      </c>
      <c r="U52" s="119"/>
      <c r="V52" s="116"/>
      <c r="W52" s="109">
        <f>V52*U52*$E52</f>
        <v>0</v>
      </c>
      <c r="X52" s="119"/>
      <c r="Y52" s="116"/>
      <c r="Z52" s="109">
        <f>Y52*X52*$E52</f>
        <v>0</v>
      </c>
      <c r="AA52" s="119"/>
      <c r="AB52" s="116"/>
      <c r="AC52" s="109">
        <f>AB52*AA52*$E52</f>
        <v>0</v>
      </c>
      <c r="AD52" s="119"/>
      <c r="AE52" s="116"/>
      <c r="AF52" s="109">
        <f>AE52*AD52*$E52</f>
        <v>0</v>
      </c>
      <c r="AG52" s="119"/>
      <c r="AH52" s="116"/>
      <c r="AI52" s="109">
        <f>AH52*AG52*$E52</f>
        <v>0</v>
      </c>
      <c r="AJ52" s="119"/>
      <c r="AK52" s="116"/>
      <c r="AL52" s="109">
        <f>AK52*AJ52*$E52</f>
        <v>0</v>
      </c>
      <c r="AM52" s="119"/>
      <c r="AN52" s="116"/>
      <c r="AO52" s="109">
        <f>AN52*AM52*$E52</f>
        <v>0</v>
      </c>
      <c r="AP52" s="119"/>
      <c r="AQ52" s="116"/>
      <c r="AR52" s="109">
        <f>AQ52*AP52*$E52</f>
        <v>0</v>
      </c>
      <c r="AS52" s="119"/>
      <c r="AT52" s="116"/>
      <c r="AU52" s="109">
        <f>AT52*AS52*$E52</f>
        <v>0</v>
      </c>
      <c r="AV52" s="119"/>
      <c r="AW52" s="116"/>
      <c r="AX52" s="109">
        <f>AW52*AV52*$E52</f>
        <v>0</v>
      </c>
      <c r="AY52" s="119"/>
      <c r="AZ52" s="116"/>
      <c r="BA52" s="109">
        <f>AZ52*AY52*$E52</f>
        <v>0</v>
      </c>
      <c r="BB52" s="119"/>
      <c r="BC52" s="116"/>
      <c r="BD52" s="109">
        <f>BC52*BB52*$E52</f>
        <v>0</v>
      </c>
      <c r="BE52" s="119"/>
      <c r="BF52" s="116"/>
      <c r="BG52" s="109">
        <f>BF52*BE52*$E52</f>
        <v>0</v>
      </c>
      <c r="BH52" s="119"/>
      <c r="BI52" s="116"/>
      <c r="BJ52" s="109">
        <f>BI52*BH52*$E52</f>
        <v>0</v>
      </c>
      <c r="BK52" s="119"/>
      <c r="BL52" s="116"/>
      <c r="BM52" s="109">
        <f>BL52*BK52*$E52</f>
        <v>0</v>
      </c>
      <c r="BN52" s="119"/>
      <c r="BO52" s="116"/>
      <c r="BP52" s="109">
        <f>BO52*BN52*$E52</f>
        <v>0</v>
      </c>
      <c r="BQ52" s="119"/>
      <c r="BR52" s="116"/>
      <c r="BS52" s="109">
        <f>BR52*BQ52*$E52</f>
        <v>0</v>
      </c>
      <c r="BT52" s="119"/>
      <c r="BU52" s="116"/>
      <c r="BV52" s="109">
        <f>BU52*BT52*$E52</f>
        <v>0</v>
      </c>
      <c r="BW52" s="119"/>
      <c r="BX52" s="116"/>
      <c r="BY52" s="109">
        <f>BX52*BW52*$E52</f>
        <v>0</v>
      </c>
      <c r="BZ52" s="119"/>
      <c r="CA52" s="116"/>
      <c r="CB52" s="109">
        <f>CA52*BZ52*$E52</f>
        <v>0</v>
      </c>
      <c r="CC52" s="119"/>
      <c r="CD52" s="116"/>
      <c r="CE52" s="109">
        <f>CD52*CC52*$E52</f>
        <v>0</v>
      </c>
      <c r="CF52" s="119"/>
      <c r="CG52" s="116"/>
      <c r="CH52" s="109">
        <f>CG52*CF52*$E52</f>
        <v>0</v>
      </c>
      <c r="CI52" s="119"/>
      <c r="CJ52" s="116"/>
      <c r="CK52" s="109">
        <f>CJ52*CI52*$E52</f>
        <v>0</v>
      </c>
      <c r="CL52" s="119"/>
      <c r="CM52" s="116"/>
      <c r="CN52" s="109">
        <f>CM52*CL52*$E52</f>
        <v>0</v>
      </c>
      <c r="CO52" s="119"/>
      <c r="CP52" s="116"/>
      <c r="CQ52" s="109">
        <f>CP52*CO52*$E52</f>
        <v>0</v>
      </c>
      <c r="CR52" s="119"/>
      <c r="CS52" s="116"/>
      <c r="CT52" s="109">
        <f>CS52*CR52*$E52</f>
        <v>0</v>
      </c>
      <c r="CU52" s="119"/>
      <c r="CV52" s="116"/>
      <c r="CW52" s="109">
        <f>CV52*CU52*$E52</f>
        <v>0</v>
      </c>
      <c r="CX52" s="119"/>
      <c r="CY52" s="116"/>
      <c r="CZ52" s="109">
        <f>CY52*CX52*$E52</f>
        <v>0</v>
      </c>
      <c r="DA52" s="119"/>
      <c r="DB52" s="116"/>
      <c r="DC52" s="109">
        <f>DB52*DA52*$E52</f>
        <v>0</v>
      </c>
      <c r="DD52" s="119"/>
      <c r="DE52" s="116"/>
      <c r="DF52" s="109">
        <f>DE52*DD52*$E52</f>
        <v>0</v>
      </c>
      <c r="DG52" s="119"/>
      <c r="DH52" s="116"/>
      <c r="DI52" s="109">
        <f>DH52*DG52*$E52</f>
        <v>0</v>
      </c>
      <c r="DJ52" s="119"/>
      <c r="DK52" s="116"/>
      <c r="DL52" s="109">
        <f>DK52*DJ52*$E52</f>
        <v>0</v>
      </c>
      <c r="DM52" s="119"/>
      <c r="DN52" s="116"/>
      <c r="DO52" s="109">
        <f>DN52*DM52*$E52</f>
        <v>0</v>
      </c>
      <c r="DP52" s="126"/>
      <c r="DQ52" s="110"/>
      <c r="DR52" s="111"/>
      <c r="DS52" s="112">
        <f t="shared" si="108"/>
        <v>0</v>
      </c>
      <c r="DT52" s="113">
        <f t="shared" si="109"/>
        <v>0</v>
      </c>
    </row>
    <row r="53" spans="2:124" s="86" customFormat="1" ht="21.9" customHeight="1" outlineLevel="1">
      <c r="B53" s="122" t="s">
        <v>242</v>
      </c>
      <c r="C53" s="123"/>
      <c r="D53" s="115"/>
      <c r="E53" s="125"/>
      <c r="F53" s="119"/>
      <c r="G53" s="116"/>
      <c r="H53" s="109">
        <f t="shared" si="110"/>
        <v>0</v>
      </c>
      <c r="I53" s="119"/>
      <c r="J53" s="116"/>
      <c r="K53" s="109">
        <f t="shared" si="111"/>
        <v>0</v>
      </c>
      <c r="L53" s="119"/>
      <c r="M53" s="116"/>
      <c r="N53" s="109">
        <f t="shared" si="112"/>
        <v>0</v>
      </c>
      <c r="O53" s="119"/>
      <c r="P53" s="116"/>
      <c r="Q53" s="109">
        <f>P53*O53*$E53</f>
        <v>0</v>
      </c>
      <c r="R53" s="119"/>
      <c r="S53" s="116"/>
      <c r="T53" s="109">
        <f>S53*R53*$E53</f>
        <v>0</v>
      </c>
      <c r="U53" s="119"/>
      <c r="V53" s="116"/>
      <c r="W53" s="109">
        <f>V53*U53*$E53</f>
        <v>0</v>
      </c>
      <c r="X53" s="119"/>
      <c r="Y53" s="116"/>
      <c r="Z53" s="109">
        <f>Y53*X53*$E53</f>
        <v>0</v>
      </c>
      <c r="AA53" s="119"/>
      <c r="AB53" s="116"/>
      <c r="AC53" s="109">
        <f>AB53*AA53*$E53</f>
        <v>0</v>
      </c>
      <c r="AD53" s="119"/>
      <c r="AE53" s="116"/>
      <c r="AF53" s="109">
        <f>AE53*AD53*$E53</f>
        <v>0</v>
      </c>
      <c r="AG53" s="119"/>
      <c r="AH53" s="116"/>
      <c r="AI53" s="109">
        <f>AH53*AG53*$E53</f>
        <v>0</v>
      </c>
      <c r="AJ53" s="119"/>
      <c r="AK53" s="116"/>
      <c r="AL53" s="109">
        <f>AK53*AJ53*$E53</f>
        <v>0</v>
      </c>
      <c r="AM53" s="119"/>
      <c r="AN53" s="116"/>
      <c r="AO53" s="109">
        <f>AN53*AM53*$E53</f>
        <v>0</v>
      </c>
      <c r="AP53" s="119"/>
      <c r="AQ53" s="116"/>
      <c r="AR53" s="109">
        <f>AQ53*AP53*$E53</f>
        <v>0</v>
      </c>
      <c r="AS53" s="119"/>
      <c r="AT53" s="116"/>
      <c r="AU53" s="109">
        <f>AT53*AS53*$E53</f>
        <v>0</v>
      </c>
      <c r="AV53" s="119"/>
      <c r="AW53" s="116"/>
      <c r="AX53" s="109">
        <f>AW53*AV53*$E53</f>
        <v>0</v>
      </c>
      <c r="AY53" s="119"/>
      <c r="AZ53" s="116"/>
      <c r="BA53" s="109">
        <f>AZ53*AY53*$E53</f>
        <v>0</v>
      </c>
      <c r="BB53" s="119"/>
      <c r="BC53" s="116"/>
      <c r="BD53" s="109">
        <f>BC53*BB53*$E53</f>
        <v>0</v>
      </c>
      <c r="BE53" s="119"/>
      <c r="BF53" s="116"/>
      <c r="BG53" s="109">
        <f>BF53*BE53*$E53</f>
        <v>0</v>
      </c>
      <c r="BH53" s="119"/>
      <c r="BI53" s="116"/>
      <c r="BJ53" s="109">
        <f>BI53*BH53*$E53</f>
        <v>0</v>
      </c>
      <c r="BK53" s="119"/>
      <c r="BL53" s="116"/>
      <c r="BM53" s="109">
        <f>BL53*BK53*$E53</f>
        <v>0</v>
      </c>
      <c r="BN53" s="119"/>
      <c r="BO53" s="116"/>
      <c r="BP53" s="109">
        <f>BO53*BN53*$E53</f>
        <v>0</v>
      </c>
      <c r="BQ53" s="119"/>
      <c r="BR53" s="116"/>
      <c r="BS53" s="109">
        <f>BR53*BQ53*$E53</f>
        <v>0</v>
      </c>
      <c r="BT53" s="119"/>
      <c r="BU53" s="116"/>
      <c r="BV53" s="109">
        <f>BU53*BT53*$E53</f>
        <v>0</v>
      </c>
      <c r="BW53" s="119"/>
      <c r="BX53" s="116"/>
      <c r="BY53" s="109">
        <f>BX53*BW53*$E53</f>
        <v>0</v>
      </c>
      <c r="BZ53" s="119"/>
      <c r="CA53" s="116"/>
      <c r="CB53" s="109">
        <f>CA53*BZ53*$E53</f>
        <v>0</v>
      </c>
      <c r="CC53" s="119"/>
      <c r="CD53" s="116"/>
      <c r="CE53" s="109">
        <f>CD53*CC53*$E53</f>
        <v>0</v>
      </c>
      <c r="CF53" s="119"/>
      <c r="CG53" s="116"/>
      <c r="CH53" s="109">
        <f>CG53*CF53*$E53</f>
        <v>0</v>
      </c>
      <c r="CI53" s="119"/>
      <c r="CJ53" s="116"/>
      <c r="CK53" s="109">
        <f>CJ53*CI53*$E53</f>
        <v>0</v>
      </c>
      <c r="CL53" s="119"/>
      <c r="CM53" s="116"/>
      <c r="CN53" s="109">
        <f>CM53*CL53*$E53</f>
        <v>0</v>
      </c>
      <c r="CO53" s="119"/>
      <c r="CP53" s="116"/>
      <c r="CQ53" s="109">
        <f>CP53*CO53*$E53</f>
        <v>0</v>
      </c>
      <c r="CR53" s="119"/>
      <c r="CS53" s="116"/>
      <c r="CT53" s="109">
        <f>CS53*CR53*$E53</f>
        <v>0</v>
      </c>
      <c r="CU53" s="119"/>
      <c r="CV53" s="116"/>
      <c r="CW53" s="109">
        <f>CV53*CU53*$E53</f>
        <v>0</v>
      </c>
      <c r="CX53" s="119"/>
      <c r="CY53" s="116"/>
      <c r="CZ53" s="109">
        <f>CY53*CX53*$E53</f>
        <v>0</v>
      </c>
      <c r="DA53" s="119"/>
      <c r="DB53" s="116"/>
      <c r="DC53" s="109">
        <f>DB53*DA53*$E53</f>
        <v>0</v>
      </c>
      <c r="DD53" s="119"/>
      <c r="DE53" s="116"/>
      <c r="DF53" s="109">
        <f>DE53*DD53*$E53</f>
        <v>0</v>
      </c>
      <c r="DG53" s="119"/>
      <c r="DH53" s="116"/>
      <c r="DI53" s="109">
        <f>DH53*DG53*$E53</f>
        <v>0</v>
      </c>
      <c r="DJ53" s="119"/>
      <c r="DK53" s="116"/>
      <c r="DL53" s="109">
        <f>DK53*DJ53*$E53</f>
        <v>0</v>
      </c>
      <c r="DM53" s="119"/>
      <c r="DN53" s="116"/>
      <c r="DO53" s="109">
        <f>DN53*DM53*$E53</f>
        <v>0</v>
      </c>
      <c r="DP53" s="126"/>
      <c r="DQ53" s="110"/>
      <c r="DR53" s="111"/>
      <c r="DS53" s="112">
        <f t="shared" si="108"/>
        <v>0</v>
      </c>
      <c r="DT53" s="113">
        <f t="shared" si="109"/>
        <v>0</v>
      </c>
    </row>
    <row r="54" spans="2:124" s="86" customFormat="1" ht="21.9" customHeight="1" outlineLevel="1">
      <c r="B54" s="122" t="s">
        <v>243</v>
      </c>
      <c r="C54" s="123"/>
      <c r="D54" s="115"/>
      <c r="E54" s="125"/>
      <c r="F54" s="119"/>
      <c r="G54" s="116"/>
      <c r="H54" s="109">
        <f t="shared" si="110"/>
        <v>0</v>
      </c>
      <c r="I54" s="119"/>
      <c r="J54" s="116"/>
      <c r="K54" s="109">
        <f t="shared" si="111"/>
        <v>0</v>
      </c>
      <c r="L54" s="119"/>
      <c r="M54" s="116"/>
      <c r="N54" s="109">
        <f t="shared" si="112"/>
        <v>0</v>
      </c>
      <c r="O54" s="119"/>
      <c r="P54" s="116"/>
      <c r="Q54" s="109">
        <f>P54*O54*$E54</f>
        <v>0</v>
      </c>
      <c r="R54" s="119"/>
      <c r="S54" s="116"/>
      <c r="T54" s="109">
        <f>S54*R54*$E54</f>
        <v>0</v>
      </c>
      <c r="U54" s="119"/>
      <c r="V54" s="116"/>
      <c r="W54" s="109">
        <f>V54*U54*$E54</f>
        <v>0</v>
      </c>
      <c r="X54" s="119"/>
      <c r="Y54" s="116"/>
      <c r="Z54" s="109">
        <f>Y54*X54*$E54</f>
        <v>0</v>
      </c>
      <c r="AA54" s="119"/>
      <c r="AB54" s="116"/>
      <c r="AC54" s="109">
        <f>AB54*AA54*$E54</f>
        <v>0</v>
      </c>
      <c r="AD54" s="119"/>
      <c r="AE54" s="116"/>
      <c r="AF54" s="109">
        <f>AE54*AD54*$E54</f>
        <v>0</v>
      </c>
      <c r="AG54" s="119"/>
      <c r="AH54" s="116"/>
      <c r="AI54" s="109">
        <f>AH54*AG54*$E54</f>
        <v>0</v>
      </c>
      <c r="AJ54" s="119"/>
      <c r="AK54" s="116"/>
      <c r="AL54" s="109">
        <f>AK54*AJ54*$E54</f>
        <v>0</v>
      </c>
      <c r="AM54" s="119"/>
      <c r="AN54" s="116"/>
      <c r="AO54" s="109">
        <f>AN54*AM54*$E54</f>
        <v>0</v>
      </c>
      <c r="AP54" s="119"/>
      <c r="AQ54" s="116"/>
      <c r="AR54" s="109">
        <f>AQ54*AP54*$E54</f>
        <v>0</v>
      </c>
      <c r="AS54" s="119"/>
      <c r="AT54" s="116"/>
      <c r="AU54" s="109">
        <f>AT54*AS54*$E54</f>
        <v>0</v>
      </c>
      <c r="AV54" s="119"/>
      <c r="AW54" s="116"/>
      <c r="AX54" s="109">
        <f>AW54*AV54*$E54</f>
        <v>0</v>
      </c>
      <c r="AY54" s="119"/>
      <c r="AZ54" s="116"/>
      <c r="BA54" s="109">
        <f>AZ54*AY54*$E54</f>
        <v>0</v>
      </c>
      <c r="BB54" s="119"/>
      <c r="BC54" s="116"/>
      <c r="BD54" s="109">
        <f>BC54*BB54*$E54</f>
        <v>0</v>
      </c>
      <c r="BE54" s="119"/>
      <c r="BF54" s="116"/>
      <c r="BG54" s="109">
        <f>BF54*BE54*$E54</f>
        <v>0</v>
      </c>
      <c r="BH54" s="119"/>
      <c r="BI54" s="116"/>
      <c r="BJ54" s="109">
        <f>BI54*BH54*$E54</f>
        <v>0</v>
      </c>
      <c r="BK54" s="119"/>
      <c r="BL54" s="116"/>
      <c r="BM54" s="109">
        <f>BL54*BK54*$E54</f>
        <v>0</v>
      </c>
      <c r="BN54" s="119"/>
      <c r="BO54" s="116"/>
      <c r="BP54" s="109">
        <f>BO54*BN54*$E54</f>
        <v>0</v>
      </c>
      <c r="BQ54" s="119"/>
      <c r="BR54" s="116"/>
      <c r="BS54" s="109">
        <f>BR54*BQ54*$E54</f>
        <v>0</v>
      </c>
      <c r="BT54" s="119"/>
      <c r="BU54" s="116"/>
      <c r="BV54" s="109">
        <f>BU54*BT54*$E54</f>
        <v>0</v>
      </c>
      <c r="BW54" s="119"/>
      <c r="BX54" s="116"/>
      <c r="BY54" s="109">
        <f>BX54*BW54*$E54</f>
        <v>0</v>
      </c>
      <c r="BZ54" s="119"/>
      <c r="CA54" s="116"/>
      <c r="CB54" s="109">
        <f>CA54*BZ54*$E54</f>
        <v>0</v>
      </c>
      <c r="CC54" s="119"/>
      <c r="CD54" s="116"/>
      <c r="CE54" s="109">
        <f>CD54*CC54*$E54</f>
        <v>0</v>
      </c>
      <c r="CF54" s="119"/>
      <c r="CG54" s="116"/>
      <c r="CH54" s="109">
        <f>CG54*CF54*$E54</f>
        <v>0</v>
      </c>
      <c r="CI54" s="119"/>
      <c r="CJ54" s="116"/>
      <c r="CK54" s="109">
        <f>CJ54*CI54*$E54</f>
        <v>0</v>
      </c>
      <c r="CL54" s="119"/>
      <c r="CM54" s="116"/>
      <c r="CN54" s="109">
        <f>CM54*CL54*$E54</f>
        <v>0</v>
      </c>
      <c r="CO54" s="119"/>
      <c r="CP54" s="116"/>
      <c r="CQ54" s="109">
        <f>CP54*CO54*$E54</f>
        <v>0</v>
      </c>
      <c r="CR54" s="119"/>
      <c r="CS54" s="116"/>
      <c r="CT54" s="109">
        <f>CS54*CR54*$E54</f>
        <v>0</v>
      </c>
      <c r="CU54" s="119"/>
      <c r="CV54" s="116"/>
      <c r="CW54" s="109">
        <f>CV54*CU54*$E54</f>
        <v>0</v>
      </c>
      <c r="CX54" s="119"/>
      <c r="CY54" s="116"/>
      <c r="CZ54" s="109">
        <f>CY54*CX54*$E54</f>
        <v>0</v>
      </c>
      <c r="DA54" s="119"/>
      <c r="DB54" s="116"/>
      <c r="DC54" s="109">
        <f>DB54*DA54*$E54</f>
        <v>0</v>
      </c>
      <c r="DD54" s="119"/>
      <c r="DE54" s="116"/>
      <c r="DF54" s="109">
        <f>DE54*DD54*$E54</f>
        <v>0</v>
      </c>
      <c r="DG54" s="119"/>
      <c r="DH54" s="116"/>
      <c r="DI54" s="109">
        <f>DH54*DG54*$E54</f>
        <v>0</v>
      </c>
      <c r="DJ54" s="119"/>
      <c r="DK54" s="116"/>
      <c r="DL54" s="109">
        <f>DK54*DJ54*$E54</f>
        <v>0</v>
      </c>
      <c r="DM54" s="119"/>
      <c r="DN54" s="116"/>
      <c r="DO54" s="109">
        <f>DN54*DM54*$E54</f>
        <v>0</v>
      </c>
      <c r="DP54" s="126"/>
      <c r="DQ54" s="110"/>
      <c r="DR54" s="111"/>
      <c r="DS54" s="112">
        <f t="shared" si="108"/>
        <v>0</v>
      </c>
      <c r="DT54" s="113">
        <f t="shared" si="109"/>
        <v>0</v>
      </c>
    </row>
    <row r="55" spans="2:124" s="86" customFormat="1" ht="21.9" customHeight="1" outlineLevel="1">
      <c r="B55" s="122" t="s">
        <v>244</v>
      </c>
      <c r="C55" s="123"/>
      <c r="D55" s="129"/>
      <c r="E55" s="130"/>
      <c r="F55" s="119"/>
      <c r="G55" s="116"/>
      <c r="H55" s="109">
        <f t="shared" si="110"/>
        <v>0</v>
      </c>
      <c r="I55" s="119"/>
      <c r="J55" s="116"/>
      <c r="K55" s="109">
        <f t="shared" si="111"/>
        <v>0</v>
      </c>
      <c r="L55" s="119"/>
      <c r="M55" s="116"/>
      <c r="N55" s="109">
        <f t="shared" si="112"/>
        <v>0</v>
      </c>
      <c r="O55" s="119"/>
      <c r="P55" s="116"/>
      <c r="Q55" s="109">
        <f>P55*O55*$E55</f>
        <v>0</v>
      </c>
      <c r="R55" s="119"/>
      <c r="S55" s="116"/>
      <c r="T55" s="109">
        <f>S55*R55*$E55</f>
        <v>0</v>
      </c>
      <c r="U55" s="119"/>
      <c r="V55" s="116"/>
      <c r="W55" s="109">
        <f>V55*U55*$E55</f>
        <v>0</v>
      </c>
      <c r="X55" s="119"/>
      <c r="Y55" s="116"/>
      <c r="Z55" s="109">
        <f>Y55*X55*$E55</f>
        <v>0</v>
      </c>
      <c r="AA55" s="119"/>
      <c r="AB55" s="116"/>
      <c r="AC55" s="109">
        <f>AB55*AA55*$E55</f>
        <v>0</v>
      </c>
      <c r="AD55" s="119"/>
      <c r="AE55" s="116"/>
      <c r="AF55" s="109">
        <f>AE55*AD55*$E55</f>
        <v>0</v>
      </c>
      <c r="AG55" s="119"/>
      <c r="AH55" s="116"/>
      <c r="AI55" s="109">
        <f>AH55*AG55*$E55</f>
        <v>0</v>
      </c>
      <c r="AJ55" s="119"/>
      <c r="AK55" s="116"/>
      <c r="AL55" s="109">
        <f>AK55*AJ55*$E55</f>
        <v>0</v>
      </c>
      <c r="AM55" s="119"/>
      <c r="AN55" s="116"/>
      <c r="AO55" s="109">
        <f>AN55*AM55*$E55</f>
        <v>0</v>
      </c>
      <c r="AP55" s="119"/>
      <c r="AQ55" s="116"/>
      <c r="AR55" s="109">
        <f>AQ55*AP55*$E55</f>
        <v>0</v>
      </c>
      <c r="AS55" s="119"/>
      <c r="AT55" s="116"/>
      <c r="AU55" s="109">
        <f>AT55*AS55*$E55</f>
        <v>0</v>
      </c>
      <c r="AV55" s="119"/>
      <c r="AW55" s="116"/>
      <c r="AX55" s="109">
        <f>AW55*AV55*$E55</f>
        <v>0</v>
      </c>
      <c r="AY55" s="119"/>
      <c r="AZ55" s="116"/>
      <c r="BA55" s="109">
        <f>AZ55*AY55*$E55</f>
        <v>0</v>
      </c>
      <c r="BB55" s="119"/>
      <c r="BC55" s="116"/>
      <c r="BD55" s="109">
        <f>BC55*BB55*$E55</f>
        <v>0</v>
      </c>
      <c r="BE55" s="119"/>
      <c r="BF55" s="116"/>
      <c r="BG55" s="109">
        <f>BF55*BE55*$E55</f>
        <v>0</v>
      </c>
      <c r="BH55" s="119"/>
      <c r="BI55" s="116"/>
      <c r="BJ55" s="109">
        <f>BI55*BH55*$E55</f>
        <v>0</v>
      </c>
      <c r="BK55" s="119"/>
      <c r="BL55" s="116"/>
      <c r="BM55" s="109">
        <f>BL55*BK55*$E55</f>
        <v>0</v>
      </c>
      <c r="BN55" s="119"/>
      <c r="BO55" s="116"/>
      <c r="BP55" s="109">
        <f>BO55*BN55*$E55</f>
        <v>0</v>
      </c>
      <c r="BQ55" s="119"/>
      <c r="BR55" s="116"/>
      <c r="BS55" s="109">
        <f>BR55*BQ55*$E55</f>
        <v>0</v>
      </c>
      <c r="BT55" s="119"/>
      <c r="BU55" s="116"/>
      <c r="BV55" s="109">
        <f>BU55*BT55*$E55</f>
        <v>0</v>
      </c>
      <c r="BW55" s="119"/>
      <c r="BX55" s="116"/>
      <c r="BY55" s="109">
        <f>BX55*BW55*$E55</f>
        <v>0</v>
      </c>
      <c r="BZ55" s="119"/>
      <c r="CA55" s="116"/>
      <c r="CB55" s="109">
        <f>CA55*BZ55*$E55</f>
        <v>0</v>
      </c>
      <c r="CC55" s="119"/>
      <c r="CD55" s="116"/>
      <c r="CE55" s="109">
        <f>CD55*CC55*$E55</f>
        <v>0</v>
      </c>
      <c r="CF55" s="119"/>
      <c r="CG55" s="116"/>
      <c r="CH55" s="109">
        <f>CG55*CF55*$E55</f>
        <v>0</v>
      </c>
      <c r="CI55" s="119"/>
      <c r="CJ55" s="116"/>
      <c r="CK55" s="109">
        <f>CJ55*CI55*$E55</f>
        <v>0</v>
      </c>
      <c r="CL55" s="119"/>
      <c r="CM55" s="116"/>
      <c r="CN55" s="109">
        <f>CM55*CL55*$E55</f>
        <v>0</v>
      </c>
      <c r="CO55" s="119"/>
      <c r="CP55" s="116"/>
      <c r="CQ55" s="109">
        <f>CP55*CO55*$E55</f>
        <v>0</v>
      </c>
      <c r="CR55" s="119"/>
      <c r="CS55" s="116"/>
      <c r="CT55" s="109">
        <f>CS55*CR55*$E55</f>
        <v>0</v>
      </c>
      <c r="CU55" s="119"/>
      <c r="CV55" s="116"/>
      <c r="CW55" s="109">
        <f>CV55*CU55*$E55</f>
        <v>0</v>
      </c>
      <c r="CX55" s="119"/>
      <c r="CY55" s="116"/>
      <c r="CZ55" s="109">
        <f>CY55*CX55*$E55</f>
        <v>0</v>
      </c>
      <c r="DA55" s="119"/>
      <c r="DB55" s="116"/>
      <c r="DC55" s="109">
        <f>DB55*DA55*$E55</f>
        <v>0</v>
      </c>
      <c r="DD55" s="119"/>
      <c r="DE55" s="116"/>
      <c r="DF55" s="109">
        <f>DE55*DD55*$E55</f>
        <v>0</v>
      </c>
      <c r="DG55" s="119"/>
      <c r="DH55" s="116"/>
      <c r="DI55" s="109">
        <f>DH55*DG55*$E55</f>
        <v>0</v>
      </c>
      <c r="DJ55" s="119"/>
      <c r="DK55" s="116"/>
      <c r="DL55" s="109">
        <f>DK55*DJ55*$E55</f>
        <v>0</v>
      </c>
      <c r="DM55" s="119"/>
      <c r="DN55" s="116"/>
      <c r="DO55" s="109">
        <f>DN55*DM55*$E55</f>
        <v>0</v>
      </c>
      <c r="DP55" s="126"/>
      <c r="DQ55" s="110"/>
      <c r="DR55" s="111"/>
      <c r="DS55" s="112">
        <f t="shared" si="108"/>
        <v>0</v>
      </c>
      <c r="DT55" s="113">
        <f t="shared" si="109"/>
        <v>0</v>
      </c>
    </row>
    <row r="56" spans="2:124" s="86" customFormat="1" ht="21.9" customHeight="1" outlineLevel="1">
      <c r="B56" s="122" t="s">
        <v>245</v>
      </c>
      <c r="C56" s="213"/>
      <c r="D56" s="129"/>
      <c r="E56" s="130"/>
      <c r="F56" s="119"/>
      <c r="G56" s="116"/>
      <c r="H56" s="109">
        <f t="shared" si="110"/>
        <v>0</v>
      </c>
      <c r="I56" s="119"/>
      <c r="J56" s="116"/>
      <c r="K56" s="109">
        <f t="shared" si="111"/>
        <v>0</v>
      </c>
      <c r="L56" s="119"/>
      <c r="M56" s="116"/>
      <c r="N56" s="109">
        <f t="shared" si="112"/>
        <v>0</v>
      </c>
      <c r="O56" s="119"/>
      <c r="P56" s="116"/>
      <c r="Q56" s="109">
        <f>P56*O56*$E56</f>
        <v>0</v>
      </c>
      <c r="R56" s="119"/>
      <c r="S56" s="116"/>
      <c r="T56" s="109">
        <f>S56*R56*$E56</f>
        <v>0</v>
      </c>
      <c r="U56" s="119"/>
      <c r="V56" s="116"/>
      <c r="W56" s="109">
        <f>V56*U56*$E56</f>
        <v>0</v>
      </c>
      <c r="X56" s="119"/>
      <c r="Y56" s="116"/>
      <c r="Z56" s="109">
        <f>Y56*X56*$E56</f>
        <v>0</v>
      </c>
      <c r="AA56" s="119"/>
      <c r="AB56" s="116"/>
      <c r="AC56" s="109">
        <f>AB56*AA56*$E56</f>
        <v>0</v>
      </c>
      <c r="AD56" s="119"/>
      <c r="AE56" s="116"/>
      <c r="AF56" s="109">
        <f>AE56*AD56*$E56</f>
        <v>0</v>
      </c>
      <c r="AG56" s="119"/>
      <c r="AH56" s="116"/>
      <c r="AI56" s="109">
        <f>AH56*AG56*$E56</f>
        <v>0</v>
      </c>
      <c r="AJ56" s="119"/>
      <c r="AK56" s="116"/>
      <c r="AL56" s="109">
        <f>AK56*AJ56*$E56</f>
        <v>0</v>
      </c>
      <c r="AM56" s="119"/>
      <c r="AN56" s="116"/>
      <c r="AO56" s="109">
        <f>AN56*AM56*$E56</f>
        <v>0</v>
      </c>
      <c r="AP56" s="119"/>
      <c r="AQ56" s="116"/>
      <c r="AR56" s="109">
        <f>AQ56*AP56*$E56</f>
        <v>0</v>
      </c>
      <c r="AS56" s="119"/>
      <c r="AT56" s="116"/>
      <c r="AU56" s="109">
        <f>AT56*AS56*$E56</f>
        <v>0</v>
      </c>
      <c r="AV56" s="119"/>
      <c r="AW56" s="116"/>
      <c r="AX56" s="109">
        <f>AW56*AV56*$E56</f>
        <v>0</v>
      </c>
      <c r="AY56" s="119"/>
      <c r="AZ56" s="116"/>
      <c r="BA56" s="109">
        <f>AZ56*AY56*$E56</f>
        <v>0</v>
      </c>
      <c r="BB56" s="119"/>
      <c r="BC56" s="116"/>
      <c r="BD56" s="109">
        <f>BC56*BB56*$E56</f>
        <v>0</v>
      </c>
      <c r="BE56" s="119"/>
      <c r="BF56" s="116"/>
      <c r="BG56" s="109">
        <f>BF56*BE56*$E56</f>
        <v>0</v>
      </c>
      <c r="BH56" s="119"/>
      <c r="BI56" s="116"/>
      <c r="BJ56" s="109">
        <f>BI56*BH56*$E56</f>
        <v>0</v>
      </c>
      <c r="BK56" s="119"/>
      <c r="BL56" s="116"/>
      <c r="BM56" s="109">
        <f>BL56*BK56*$E56</f>
        <v>0</v>
      </c>
      <c r="BN56" s="119"/>
      <c r="BO56" s="116"/>
      <c r="BP56" s="109">
        <f>BO56*BN56*$E56</f>
        <v>0</v>
      </c>
      <c r="BQ56" s="119"/>
      <c r="BR56" s="116"/>
      <c r="BS56" s="109">
        <f>BR56*BQ56*$E56</f>
        <v>0</v>
      </c>
      <c r="BT56" s="119"/>
      <c r="BU56" s="116"/>
      <c r="BV56" s="109">
        <f>BU56*BT56*$E56</f>
        <v>0</v>
      </c>
      <c r="BW56" s="119"/>
      <c r="BX56" s="116"/>
      <c r="BY56" s="109">
        <f>BX56*BW56*$E56</f>
        <v>0</v>
      </c>
      <c r="BZ56" s="119"/>
      <c r="CA56" s="116"/>
      <c r="CB56" s="109">
        <f>CA56*BZ56*$E56</f>
        <v>0</v>
      </c>
      <c r="CC56" s="119"/>
      <c r="CD56" s="116"/>
      <c r="CE56" s="109">
        <f>CD56*CC56*$E56</f>
        <v>0</v>
      </c>
      <c r="CF56" s="119"/>
      <c r="CG56" s="116"/>
      <c r="CH56" s="109">
        <f>CG56*CF56*$E56</f>
        <v>0</v>
      </c>
      <c r="CI56" s="119"/>
      <c r="CJ56" s="116"/>
      <c r="CK56" s="109">
        <f>CJ56*CI56*$E56</f>
        <v>0</v>
      </c>
      <c r="CL56" s="119"/>
      <c r="CM56" s="116"/>
      <c r="CN56" s="109">
        <f>CM56*CL56*$E56</f>
        <v>0</v>
      </c>
      <c r="CO56" s="119"/>
      <c r="CP56" s="116"/>
      <c r="CQ56" s="109">
        <f>CP56*CO56*$E56</f>
        <v>0</v>
      </c>
      <c r="CR56" s="119"/>
      <c r="CS56" s="116"/>
      <c r="CT56" s="109">
        <f>CS56*CR56*$E56</f>
        <v>0</v>
      </c>
      <c r="CU56" s="119"/>
      <c r="CV56" s="116"/>
      <c r="CW56" s="109">
        <f>CV56*CU56*$E56</f>
        <v>0</v>
      </c>
      <c r="CX56" s="119"/>
      <c r="CY56" s="116"/>
      <c r="CZ56" s="109">
        <f>CY56*CX56*$E56</f>
        <v>0</v>
      </c>
      <c r="DA56" s="119"/>
      <c r="DB56" s="116"/>
      <c r="DC56" s="109">
        <f>DB56*DA56*$E56</f>
        <v>0</v>
      </c>
      <c r="DD56" s="119"/>
      <c r="DE56" s="116"/>
      <c r="DF56" s="109">
        <f>DE56*DD56*$E56</f>
        <v>0</v>
      </c>
      <c r="DG56" s="119"/>
      <c r="DH56" s="116"/>
      <c r="DI56" s="109">
        <f>DH56*DG56*$E56</f>
        <v>0</v>
      </c>
      <c r="DJ56" s="119"/>
      <c r="DK56" s="116"/>
      <c r="DL56" s="109">
        <f>DK56*DJ56*$E56</f>
        <v>0</v>
      </c>
      <c r="DM56" s="119"/>
      <c r="DN56" s="116"/>
      <c r="DO56" s="109">
        <f>DN56*DM56*$E56</f>
        <v>0</v>
      </c>
      <c r="DP56" s="126"/>
      <c r="DQ56" s="110"/>
      <c r="DR56" s="111"/>
      <c r="DS56" s="112">
        <f t="shared" si="108"/>
        <v>0</v>
      </c>
      <c r="DT56" s="113">
        <f t="shared" ref="DT56:DT77" si="148">DS56/$DS$130</f>
        <v>0</v>
      </c>
    </row>
    <row r="57" spans="2:124" s="86" customFormat="1" ht="21.9" customHeight="1" outlineLevel="1">
      <c r="B57" s="122" t="s">
        <v>246</v>
      </c>
      <c r="C57" s="128"/>
      <c r="D57" s="129"/>
      <c r="E57" s="130"/>
      <c r="F57" s="119"/>
      <c r="G57" s="116"/>
      <c r="H57" s="109">
        <f t="shared" si="110"/>
        <v>0</v>
      </c>
      <c r="I57" s="119"/>
      <c r="J57" s="116"/>
      <c r="K57" s="109">
        <f t="shared" si="111"/>
        <v>0</v>
      </c>
      <c r="L57" s="119"/>
      <c r="M57" s="116"/>
      <c r="N57" s="109">
        <f t="shared" si="112"/>
        <v>0</v>
      </c>
      <c r="O57" s="119"/>
      <c r="P57" s="116"/>
      <c r="Q57" s="109">
        <f t="shared" ref="Q57:Q76" si="149">P57*O57*$E57</f>
        <v>0</v>
      </c>
      <c r="R57" s="119"/>
      <c r="S57" s="116"/>
      <c r="T57" s="109">
        <f t="shared" ref="T57:T76" si="150">S57*R57*$E57</f>
        <v>0</v>
      </c>
      <c r="U57" s="119"/>
      <c r="V57" s="116"/>
      <c r="W57" s="109">
        <f t="shared" ref="W57:W72" si="151">V57*U57*$E57</f>
        <v>0</v>
      </c>
      <c r="X57" s="119"/>
      <c r="Y57" s="116"/>
      <c r="Z57" s="109">
        <f t="shared" ref="Z57:Z72" si="152">Y57*X57*$E57</f>
        <v>0</v>
      </c>
      <c r="AA57" s="119"/>
      <c r="AB57" s="116"/>
      <c r="AC57" s="109">
        <f t="shared" ref="AC57:AC72" si="153">AB57*AA57*$E57</f>
        <v>0</v>
      </c>
      <c r="AD57" s="119"/>
      <c r="AE57" s="116"/>
      <c r="AF57" s="109">
        <f t="shared" ref="AF57:AF72" si="154">AE57*AD57*$E57</f>
        <v>0</v>
      </c>
      <c r="AG57" s="119"/>
      <c r="AH57" s="116"/>
      <c r="AI57" s="109">
        <f t="shared" ref="AI57:AI72" si="155">AH57*AG57*$E57</f>
        <v>0</v>
      </c>
      <c r="AJ57" s="119"/>
      <c r="AK57" s="116"/>
      <c r="AL57" s="109">
        <f t="shared" ref="AL57:AL72" si="156">AK57*AJ57*$E57</f>
        <v>0</v>
      </c>
      <c r="AM57" s="119"/>
      <c r="AN57" s="116"/>
      <c r="AO57" s="109">
        <f t="shared" ref="AO57:AO72" si="157">AN57*AM57*$E57</f>
        <v>0</v>
      </c>
      <c r="AP57" s="119"/>
      <c r="AQ57" s="116"/>
      <c r="AR57" s="109">
        <f t="shared" ref="AR57:AR72" si="158">AQ57*AP57*$E57</f>
        <v>0</v>
      </c>
      <c r="AS57" s="119"/>
      <c r="AT57" s="116"/>
      <c r="AU57" s="109">
        <f t="shared" ref="AU57:AU72" si="159">AT57*AS57*$E57</f>
        <v>0</v>
      </c>
      <c r="AV57" s="119"/>
      <c r="AW57" s="116"/>
      <c r="AX57" s="109">
        <f t="shared" ref="AX57:AX72" si="160">AW57*AV57*$E57</f>
        <v>0</v>
      </c>
      <c r="AY57" s="119"/>
      <c r="AZ57" s="116"/>
      <c r="BA57" s="109">
        <f t="shared" ref="BA57:BA72" si="161">AZ57*AY57*$E57</f>
        <v>0</v>
      </c>
      <c r="BB57" s="119"/>
      <c r="BC57" s="116"/>
      <c r="BD57" s="109">
        <f t="shared" ref="BD57:BD72" si="162">BC57*BB57*$E57</f>
        <v>0</v>
      </c>
      <c r="BE57" s="119"/>
      <c r="BF57" s="116"/>
      <c r="BG57" s="109">
        <f t="shared" ref="BG57:BG72" si="163">BF57*BE57*$E57</f>
        <v>0</v>
      </c>
      <c r="BH57" s="119"/>
      <c r="BI57" s="116"/>
      <c r="BJ57" s="109">
        <f t="shared" ref="BJ57:BJ72" si="164">BI57*BH57*$E57</f>
        <v>0</v>
      </c>
      <c r="BK57" s="119"/>
      <c r="BL57" s="116"/>
      <c r="BM57" s="109">
        <f t="shared" ref="BM57:BM72" si="165">BL57*BK57*$E57</f>
        <v>0</v>
      </c>
      <c r="BN57" s="119"/>
      <c r="BO57" s="116"/>
      <c r="BP57" s="109">
        <f t="shared" ref="BP57:BP72" si="166">BO57*BN57*$E57</f>
        <v>0</v>
      </c>
      <c r="BQ57" s="119"/>
      <c r="BR57" s="116"/>
      <c r="BS57" s="109">
        <f t="shared" ref="BS57:BS72" si="167">BR57*BQ57*$E57</f>
        <v>0</v>
      </c>
      <c r="BT57" s="119"/>
      <c r="BU57" s="116"/>
      <c r="BV57" s="109">
        <f t="shared" ref="BV57:BV72" si="168">BU57*BT57*$E57</f>
        <v>0</v>
      </c>
      <c r="BW57" s="119"/>
      <c r="BX57" s="116"/>
      <c r="BY57" s="109">
        <f t="shared" ref="BY57:BY72" si="169">BX57*BW57*$E57</f>
        <v>0</v>
      </c>
      <c r="BZ57" s="119"/>
      <c r="CA57" s="116"/>
      <c r="CB57" s="109">
        <f t="shared" ref="CB57:CB72" si="170">CA57*BZ57*$E57</f>
        <v>0</v>
      </c>
      <c r="CC57" s="119"/>
      <c r="CD57" s="116"/>
      <c r="CE57" s="109">
        <f t="shared" ref="CE57:CE72" si="171">CD57*CC57*$E57</f>
        <v>0</v>
      </c>
      <c r="CF57" s="119"/>
      <c r="CG57" s="116"/>
      <c r="CH57" s="109">
        <f t="shared" ref="CH57:CH72" si="172">CG57*CF57*$E57</f>
        <v>0</v>
      </c>
      <c r="CI57" s="119"/>
      <c r="CJ57" s="116"/>
      <c r="CK57" s="109">
        <f t="shared" ref="CK57:CK72" si="173">CJ57*CI57*$E57</f>
        <v>0</v>
      </c>
      <c r="CL57" s="119"/>
      <c r="CM57" s="116"/>
      <c r="CN57" s="109">
        <f t="shared" ref="CN57:CN72" si="174">CM57*CL57*$E57</f>
        <v>0</v>
      </c>
      <c r="CO57" s="119"/>
      <c r="CP57" s="116"/>
      <c r="CQ57" s="109">
        <f t="shared" ref="CQ57:CQ72" si="175">CP57*CO57*$E57</f>
        <v>0</v>
      </c>
      <c r="CR57" s="119"/>
      <c r="CS57" s="116"/>
      <c r="CT57" s="109">
        <f t="shared" ref="CT57:CT72" si="176">CS57*CR57*$E57</f>
        <v>0</v>
      </c>
      <c r="CU57" s="119"/>
      <c r="CV57" s="116"/>
      <c r="CW57" s="109">
        <f t="shared" ref="CW57:CW72" si="177">CV57*CU57*$E57</f>
        <v>0</v>
      </c>
      <c r="CX57" s="119"/>
      <c r="CY57" s="116"/>
      <c r="CZ57" s="109">
        <f t="shared" ref="CZ57:CZ72" si="178">CY57*CX57*$E57</f>
        <v>0</v>
      </c>
      <c r="DA57" s="119"/>
      <c r="DB57" s="116"/>
      <c r="DC57" s="109">
        <f t="shared" ref="DC57:DC72" si="179">DB57*DA57*$E57</f>
        <v>0</v>
      </c>
      <c r="DD57" s="119"/>
      <c r="DE57" s="116"/>
      <c r="DF57" s="109">
        <f t="shared" ref="DF57:DF72" si="180">DE57*DD57*$E57</f>
        <v>0</v>
      </c>
      <c r="DG57" s="119"/>
      <c r="DH57" s="116"/>
      <c r="DI57" s="109">
        <f t="shared" ref="DI57:DI72" si="181">DH57*DG57*$E57</f>
        <v>0</v>
      </c>
      <c r="DJ57" s="119"/>
      <c r="DK57" s="116"/>
      <c r="DL57" s="109">
        <f t="shared" ref="DL57:DL72" si="182">DK57*DJ57*$E57</f>
        <v>0</v>
      </c>
      <c r="DM57" s="119"/>
      <c r="DN57" s="116"/>
      <c r="DO57" s="109">
        <f t="shared" ref="DO57:DO72" si="183">DN57*DM57*$E57</f>
        <v>0</v>
      </c>
      <c r="DP57" s="126"/>
      <c r="DQ57" s="110"/>
      <c r="DR57" s="111"/>
      <c r="DS57" s="112">
        <f t="shared" si="108"/>
        <v>0</v>
      </c>
      <c r="DT57" s="113">
        <f t="shared" si="148"/>
        <v>0</v>
      </c>
    </row>
    <row r="58" spans="2:124" s="86" customFormat="1" ht="21.9" customHeight="1" outlineLevel="1">
      <c r="B58" s="122" t="s">
        <v>247</v>
      </c>
      <c r="C58" s="128"/>
      <c r="D58" s="129"/>
      <c r="E58" s="130"/>
      <c r="F58" s="119"/>
      <c r="G58" s="116"/>
      <c r="H58" s="109">
        <f t="shared" si="110"/>
        <v>0</v>
      </c>
      <c r="I58" s="119"/>
      <c r="J58" s="116"/>
      <c r="K58" s="109">
        <f t="shared" si="111"/>
        <v>0</v>
      </c>
      <c r="L58" s="119"/>
      <c r="M58" s="116"/>
      <c r="N58" s="109">
        <f t="shared" si="112"/>
        <v>0</v>
      </c>
      <c r="O58" s="119"/>
      <c r="P58" s="116"/>
      <c r="Q58" s="109">
        <f t="shared" si="149"/>
        <v>0</v>
      </c>
      <c r="R58" s="119"/>
      <c r="S58" s="116"/>
      <c r="T58" s="109">
        <f t="shared" si="150"/>
        <v>0</v>
      </c>
      <c r="U58" s="119"/>
      <c r="V58" s="116"/>
      <c r="W58" s="109">
        <f t="shared" si="151"/>
        <v>0</v>
      </c>
      <c r="X58" s="119"/>
      <c r="Y58" s="116"/>
      <c r="Z58" s="109">
        <f t="shared" si="152"/>
        <v>0</v>
      </c>
      <c r="AA58" s="119"/>
      <c r="AB58" s="116"/>
      <c r="AC58" s="109">
        <f t="shared" si="153"/>
        <v>0</v>
      </c>
      <c r="AD58" s="119"/>
      <c r="AE58" s="116"/>
      <c r="AF58" s="109">
        <f t="shared" si="154"/>
        <v>0</v>
      </c>
      <c r="AG58" s="119"/>
      <c r="AH58" s="116"/>
      <c r="AI58" s="109">
        <f t="shared" si="155"/>
        <v>0</v>
      </c>
      <c r="AJ58" s="119"/>
      <c r="AK58" s="116"/>
      <c r="AL58" s="109">
        <f t="shared" si="156"/>
        <v>0</v>
      </c>
      <c r="AM58" s="119"/>
      <c r="AN58" s="116"/>
      <c r="AO58" s="109">
        <f t="shared" si="157"/>
        <v>0</v>
      </c>
      <c r="AP58" s="119"/>
      <c r="AQ58" s="116"/>
      <c r="AR58" s="109">
        <f t="shared" si="158"/>
        <v>0</v>
      </c>
      <c r="AS58" s="119"/>
      <c r="AT58" s="116"/>
      <c r="AU58" s="109">
        <f t="shared" si="159"/>
        <v>0</v>
      </c>
      <c r="AV58" s="119"/>
      <c r="AW58" s="116"/>
      <c r="AX58" s="109">
        <f t="shared" si="160"/>
        <v>0</v>
      </c>
      <c r="AY58" s="119"/>
      <c r="AZ58" s="116"/>
      <c r="BA58" s="109">
        <f t="shared" si="161"/>
        <v>0</v>
      </c>
      <c r="BB58" s="119"/>
      <c r="BC58" s="116"/>
      <c r="BD58" s="109">
        <f t="shared" si="162"/>
        <v>0</v>
      </c>
      <c r="BE58" s="119"/>
      <c r="BF58" s="116"/>
      <c r="BG58" s="109">
        <f t="shared" si="163"/>
        <v>0</v>
      </c>
      <c r="BH58" s="119"/>
      <c r="BI58" s="116"/>
      <c r="BJ58" s="109">
        <f t="shared" si="164"/>
        <v>0</v>
      </c>
      <c r="BK58" s="119"/>
      <c r="BL58" s="116"/>
      <c r="BM58" s="109">
        <f t="shared" si="165"/>
        <v>0</v>
      </c>
      <c r="BN58" s="119"/>
      <c r="BO58" s="116"/>
      <c r="BP58" s="109">
        <f t="shared" si="166"/>
        <v>0</v>
      </c>
      <c r="BQ58" s="119"/>
      <c r="BR58" s="116"/>
      <c r="BS58" s="109">
        <f t="shared" si="167"/>
        <v>0</v>
      </c>
      <c r="BT58" s="119"/>
      <c r="BU58" s="116"/>
      <c r="BV58" s="109">
        <f t="shared" si="168"/>
        <v>0</v>
      </c>
      <c r="BW58" s="119"/>
      <c r="BX58" s="116"/>
      <c r="BY58" s="109">
        <f t="shared" si="169"/>
        <v>0</v>
      </c>
      <c r="BZ58" s="119"/>
      <c r="CA58" s="116"/>
      <c r="CB58" s="109">
        <f t="shared" si="170"/>
        <v>0</v>
      </c>
      <c r="CC58" s="119"/>
      <c r="CD58" s="116"/>
      <c r="CE58" s="109">
        <f t="shared" si="171"/>
        <v>0</v>
      </c>
      <c r="CF58" s="119"/>
      <c r="CG58" s="116"/>
      <c r="CH58" s="109">
        <f t="shared" si="172"/>
        <v>0</v>
      </c>
      <c r="CI58" s="119"/>
      <c r="CJ58" s="116"/>
      <c r="CK58" s="109">
        <f t="shared" si="173"/>
        <v>0</v>
      </c>
      <c r="CL58" s="119"/>
      <c r="CM58" s="116"/>
      <c r="CN58" s="109">
        <f t="shared" si="174"/>
        <v>0</v>
      </c>
      <c r="CO58" s="119"/>
      <c r="CP58" s="116"/>
      <c r="CQ58" s="109">
        <f t="shared" si="175"/>
        <v>0</v>
      </c>
      <c r="CR58" s="119"/>
      <c r="CS58" s="116"/>
      <c r="CT58" s="109">
        <f t="shared" si="176"/>
        <v>0</v>
      </c>
      <c r="CU58" s="119"/>
      <c r="CV58" s="116"/>
      <c r="CW58" s="109">
        <f t="shared" si="177"/>
        <v>0</v>
      </c>
      <c r="CX58" s="119"/>
      <c r="CY58" s="116"/>
      <c r="CZ58" s="109">
        <f t="shared" si="178"/>
        <v>0</v>
      </c>
      <c r="DA58" s="119"/>
      <c r="DB58" s="116"/>
      <c r="DC58" s="109">
        <f t="shared" si="179"/>
        <v>0</v>
      </c>
      <c r="DD58" s="119"/>
      <c r="DE58" s="116"/>
      <c r="DF58" s="109">
        <f t="shared" si="180"/>
        <v>0</v>
      </c>
      <c r="DG58" s="119"/>
      <c r="DH58" s="116"/>
      <c r="DI58" s="109">
        <f t="shared" si="181"/>
        <v>0</v>
      </c>
      <c r="DJ58" s="119"/>
      <c r="DK58" s="116"/>
      <c r="DL58" s="109">
        <f t="shared" si="182"/>
        <v>0</v>
      </c>
      <c r="DM58" s="119"/>
      <c r="DN58" s="116"/>
      <c r="DO58" s="109">
        <f t="shared" si="183"/>
        <v>0</v>
      </c>
      <c r="DP58" s="126"/>
      <c r="DQ58" s="110"/>
      <c r="DR58" s="111"/>
      <c r="DS58" s="112">
        <f t="shared" si="108"/>
        <v>0</v>
      </c>
      <c r="DT58" s="113">
        <f t="shared" si="148"/>
        <v>0</v>
      </c>
    </row>
    <row r="59" spans="2:124" s="86" customFormat="1" ht="21.9" customHeight="1" outlineLevel="1">
      <c r="B59" s="122" t="s">
        <v>248</v>
      </c>
      <c r="C59" s="123"/>
      <c r="D59" s="115"/>
      <c r="E59" s="125"/>
      <c r="F59" s="119"/>
      <c r="G59" s="116"/>
      <c r="H59" s="109">
        <f t="shared" si="110"/>
        <v>0</v>
      </c>
      <c r="I59" s="119"/>
      <c r="J59" s="116"/>
      <c r="K59" s="109">
        <f t="shared" si="111"/>
        <v>0</v>
      </c>
      <c r="L59" s="119"/>
      <c r="M59" s="116"/>
      <c r="N59" s="109">
        <f t="shared" si="112"/>
        <v>0</v>
      </c>
      <c r="O59" s="119"/>
      <c r="P59" s="116"/>
      <c r="Q59" s="109">
        <f t="shared" si="149"/>
        <v>0</v>
      </c>
      <c r="R59" s="119"/>
      <c r="S59" s="116"/>
      <c r="T59" s="109">
        <f t="shared" si="150"/>
        <v>0</v>
      </c>
      <c r="U59" s="119"/>
      <c r="V59" s="116"/>
      <c r="W59" s="109">
        <f t="shared" si="151"/>
        <v>0</v>
      </c>
      <c r="X59" s="119"/>
      <c r="Y59" s="116"/>
      <c r="Z59" s="109">
        <f t="shared" si="152"/>
        <v>0</v>
      </c>
      <c r="AA59" s="119"/>
      <c r="AB59" s="116"/>
      <c r="AC59" s="109">
        <f t="shared" si="153"/>
        <v>0</v>
      </c>
      <c r="AD59" s="119"/>
      <c r="AE59" s="116"/>
      <c r="AF59" s="109">
        <f t="shared" si="154"/>
        <v>0</v>
      </c>
      <c r="AG59" s="119"/>
      <c r="AH59" s="116"/>
      <c r="AI59" s="109">
        <f t="shared" si="155"/>
        <v>0</v>
      </c>
      <c r="AJ59" s="119"/>
      <c r="AK59" s="116"/>
      <c r="AL59" s="109">
        <f t="shared" si="156"/>
        <v>0</v>
      </c>
      <c r="AM59" s="119"/>
      <c r="AN59" s="116"/>
      <c r="AO59" s="109">
        <f t="shared" si="157"/>
        <v>0</v>
      </c>
      <c r="AP59" s="119"/>
      <c r="AQ59" s="116"/>
      <c r="AR59" s="109">
        <f t="shared" si="158"/>
        <v>0</v>
      </c>
      <c r="AS59" s="119"/>
      <c r="AT59" s="116"/>
      <c r="AU59" s="109">
        <f t="shared" si="159"/>
        <v>0</v>
      </c>
      <c r="AV59" s="119"/>
      <c r="AW59" s="116"/>
      <c r="AX59" s="109">
        <f t="shared" si="160"/>
        <v>0</v>
      </c>
      <c r="AY59" s="119"/>
      <c r="AZ59" s="116"/>
      <c r="BA59" s="109">
        <f t="shared" si="161"/>
        <v>0</v>
      </c>
      <c r="BB59" s="119"/>
      <c r="BC59" s="116"/>
      <c r="BD59" s="109">
        <f t="shared" si="162"/>
        <v>0</v>
      </c>
      <c r="BE59" s="119"/>
      <c r="BF59" s="116"/>
      <c r="BG59" s="109">
        <f t="shared" si="163"/>
        <v>0</v>
      </c>
      <c r="BH59" s="119"/>
      <c r="BI59" s="116"/>
      <c r="BJ59" s="109">
        <f t="shared" si="164"/>
        <v>0</v>
      </c>
      <c r="BK59" s="119"/>
      <c r="BL59" s="116"/>
      <c r="BM59" s="109">
        <f t="shared" si="165"/>
        <v>0</v>
      </c>
      <c r="BN59" s="119"/>
      <c r="BO59" s="116"/>
      <c r="BP59" s="109">
        <f t="shared" si="166"/>
        <v>0</v>
      </c>
      <c r="BQ59" s="119"/>
      <c r="BR59" s="116"/>
      <c r="BS59" s="109">
        <f t="shared" si="167"/>
        <v>0</v>
      </c>
      <c r="BT59" s="119"/>
      <c r="BU59" s="116"/>
      <c r="BV59" s="109">
        <f t="shared" si="168"/>
        <v>0</v>
      </c>
      <c r="BW59" s="119"/>
      <c r="BX59" s="116"/>
      <c r="BY59" s="109">
        <f t="shared" si="169"/>
        <v>0</v>
      </c>
      <c r="BZ59" s="119"/>
      <c r="CA59" s="116"/>
      <c r="CB59" s="109">
        <f t="shared" si="170"/>
        <v>0</v>
      </c>
      <c r="CC59" s="119"/>
      <c r="CD59" s="116"/>
      <c r="CE59" s="109">
        <f t="shared" si="171"/>
        <v>0</v>
      </c>
      <c r="CF59" s="119"/>
      <c r="CG59" s="116"/>
      <c r="CH59" s="109">
        <f t="shared" si="172"/>
        <v>0</v>
      </c>
      <c r="CI59" s="119"/>
      <c r="CJ59" s="116"/>
      <c r="CK59" s="109">
        <f t="shared" si="173"/>
        <v>0</v>
      </c>
      <c r="CL59" s="119"/>
      <c r="CM59" s="116"/>
      <c r="CN59" s="109">
        <f t="shared" si="174"/>
        <v>0</v>
      </c>
      <c r="CO59" s="119"/>
      <c r="CP59" s="116"/>
      <c r="CQ59" s="109">
        <f t="shared" si="175"/>
        <v>0</v>
      </c>
      <c r="CR59" s="119"/>
      <c r="CS59" s="116"/>
      <c r="CT59" s="109">
        <f t="shared" si="176"/>
        <v>0</v>
      </c>
      <c r="CU59" s="119"/>
      <c r="CV59" s="116"/>
      <c r="CW59" s="109">
        <f t="shared" si="177"/>
        <v>0</v>
      </c>
      <c r="CX59" s="119"/>
      <c r="CY59" s="116"/>
      <c r="CZ59" s="109">
        <f t="shared" si="178"/>
        <v>0</v>
      </c>
      <c r="DA59" s="119"/>
      <c r="DB59" s="116"/>
      <c r="DC59" s="109">
        <f t="shared" si="179"/>
        <v>0</v>
      </c>
      <c r="DD59" s="119"/>
      <c r="DE59" s="116"/>
      <c r="DF59" s="109">
        <f t="shared" si="180"/>
        <v>0</v>
      </c>
      <c r="DG59" s="119"/>
      <c r="DH59" s="116"/>
      <c r="DI59" s="109">
        <f t="shared" si="181"/>
        <v>0</v>
      </c>
      <c r="DJ59" s="119"/>
      <c r="DK59" s="116"/>
      <c r="DL59" s="109">
        <f t="shared" si="182"/>
        <v>0</v>
      </c>
      <c r="DM59" s="119"/>
      <c r="DN59" s="116"/>
      <c r="DO59" s="109">
        <f t="shared" si="183"/>
        <v>0</v>
      </c>
      <c r="DP59" s="126"/>
      <c r="DQ59" s="110"/>
      <c r="DR59" s="111"/>
      <c r="DS59" s="112">
        <f t="shared" si="108"/>
        <v>0</v>
      </c>
      <c r="DT59" s="113">
        <f t="shared" si="148"/>
        <v>0</v>
      </c>
    </row>
    <row r="60" spans="2:124" s="86" customFormat="1" ht="21.9" customHeight="1" outlineLevel="1">
      <c r="B60" s="122" t="s">
        <v>249</v>
      </c>
      <c r="C60" s="123"/>
      <c r="D60" s="115"/>
      <c r="E60" s="125"/>
      <c r="F60" s="119"/>
      <c r="G60" s="116"/>
      <c r="H60" s="109">
        <f t="shared" si="110"/>
        <v>0</v>
      </c>
      <c r="I60" s="119"/>
      <c r="J60" s="116"/>
      <c r="K60" s="109">
        <f t="shared" si="111"/>
        <v>0</v>
      </c>
      <c r="L60" s="119"/>
      <c r="M60" s="116"/>
      <c r="N60" s="109">
        <f t="shared" si="112"/>
        <v>0</v>
      </c>
      <c r="O60" s="119"/>
      <c r="P60" s="116"/>
      <c r="Q60" s="109">
        <f t="shared" si="149"/>
        <v>0</v>
      </c>
      <c r="R60" s="119"/>
      <c r="S60" s="116"/>
      <c r="T60" s="109">
        <f t="shared" si="150"/>
        <v>0</v>
      </c>
      <c r="U60" s="119"/>
      <c r="V60" s="116"/>
      <c r="W60" s="109">
        <f t="shared" si="151"/>
        <v>0</v>
      </c>
      <c r="X60" s="119"/>
      <c r="Y60" s="116"/>
      <c r="Z60" s="109">
        <f t="shared" si="152"/>
        <v>0</v>
      </c>
      <c r="AA60" s="119"/>
      <c r="AB60" s="116"/>
      <c r="AC60" s="109">
        <f t="shared" si="153"/>
        <v>0</v>
      </c>
      <c r="AD60" s="119"/>
      <c r="AE60" s="116"/>
      <c r="AF60" s="109">
        <f t="shared" si="154"/>
        <v>0</v>
      </c>
      <c r="AG60" s="119"/>
      <c r="AH60" s="116"/>
      <c r="AI60" s="109">
        <f t="shared" si="155"/>
        <v>0</v>
      </c>
      <c r="AJ60" s="119"/>
      <c r="AK60" s="116"/>
      <c r="AL60" s="109">
        <f t="shared" si="156"/>
        <v>0</v>
      </c>
      <c r="AM60" s="119"/>
      <c r="AN60" s="116"/>
      <c r="AO60" s="109">
        <f t="shared" si="157"/>
        <v>0</v>
      </c>
      <c r="AP60" s="119"/>
      <c r="AQ60" s="116"/>
      <c r="AR60" s="109">
        <f t="shared" si="158"/>
        <v>0</v>
      </c>
      <c r="AS60" s="119"/>
      <c r="AT60" s="116"/>
      <c r="AU60" s="109">
        <f t="shared" si="159"/>
        <v>0</v>
      </c>
      <c r="AV60" s="119"/>
      <c r="AW60" s="116"/>
      <c r="AX60" s="109">
        <f t="shared" si="160"/>
        <v>0</v>
      </c>
      <c r="AY60" s="119"/>
      <c r="AZ60" s="116"/>
      <c r="BA60" s="109">
        <f t="shared" si="161"/>
        <v>0</v>
      </c>
      <c r="BB60" s="119"/>
      <c r="BC60" s="116"/>
      <c r="BD60" s="109">
        <f t="shared" si="162"/>
        <v>0</v>
      </c>
      <c r="BE60" s="119"/>
      <c r="BF60" s="116"/>
      <c r="BG60" s="109">
        <f t="shared" si="163"/>
        <v>0</v>
      </c>
      <c r="BH60" s="119"/>
      <c r="BI60" s="116"/>
      <c r="BJ60" s="109">
        <f t="shared" si="164"/>
        <v>0</v>
      </c>
      <c r="BK60" s="119"/>
      <c r="BL60" s="116"/>
      <c r="BM60" s="109">
        <f t="shared" si="165"/>
        <v>0</v>
      </c>
      <c r="BN60" s="119"/>
      <c r="BO60" s="116"/>
      <c r="BP60" s="109">
        <f t="shared" si="166"/>
        <v>0</v>
      </c>
      <c r="BQ60" s="119"/>
      <c r="BR60" s="116"/>
      <c r="BS60" s="109">
        <f t="shared" si="167"/>
        <v>0</v>
      </c>
      <c r="BT60" s="119"/>
      <c r="BU60" s="116"/>
      <c r="BV60" s="109">
        <f t="shared" si="168"/>
        <v>0</v>
      </c>
      <c r="BW60" s="119"/>
      <c r="BX60" s="116"/>
      <c r="BY60" s="109">
        <f t="shared" si="169"/>
        <v>0</v>
      </c>
      <c r="BZ60" s="119"/>
      <c r="CA60" s="116"/>
      <c r="CB60" s="109">
        <f t="shared" si="170"/>
        <v>0</v>
      </c>
      <c r="CC60" s="119"/>
      <c r="CD60" s="116"/>
      <c r="CE60" s="109">
        <f t="shared" si="171"/>
        <v>0</v>
      </c>
      <c r="CF60" s="119"/>
      <c r="CG60" s="116"/>
      <c r="CH60" s="109">
        <f t="shared" si="172"/>
        <v>0</v>
      </c>
      <c r="CI60" s="119"/>
      <c r="CJ60" s="116"/>
      <c r="CK60" s="109">
        <f t="shared" si="173"/>
        <v>0</v>
      </c>
      <c r="CL60" s="119"/>
      <c r="CM60" s="116"/>
      <c r="CN60" s="109">
        <f t="shared" si="174"/>
        <v>0</v>
      </c>
      <c r="CO60" s="119"/>
      <c r="CP60" s="116"/>
      <c r="CQ60" s="109">
        <f t="shared" si="175"/>
        <v>0</v>
      </c>
      <c r="CR60" s="119"/>
      <c r="CS60" s="116"/>
      <c r="CT60" s="109">
        <f t="shared" si="176"/>
        <v>0</v>
      </c>
      <c r="CU60" s="119"/>
      <c r="CV60" s="116"/>
      <c r="CW60" s="109">
        <f t="shared" si="177"/>
        <v>0</v>
      </c>
      <c r="CX60" s="119"/>
      <c r="CY60" s="116"/>
      <c r="CZ60" s="109">
        <f t="shared" si="178"/>
        <v>0</v>
      </c>
      <c r="DA60" s="119"/>
      <c r="DB60" s="116"/>
      <c r="DC60" s="109">
        <f t="shared" si="179"/>
        <v>0</v>
      </c>
      <c r="DD60" s="119"/>
      <c r="DE60" s="116"/>
      <c r="DF60" s="109">
        <f t="shared" si="180"/>
        <v>0</v>
      </c>
      <c r="DG60" s="119"/>
      <c r="DH60" s="116"/>
      <c r="DI60" s="109">
        <f t="shared" si="181"/>
        <v>0</v>
      </c>
      <c r="DJ60" s="119"/>
      <c r="DK60" s="116"/>
      <c r="DL60" s="109">
        <f t="shared" si="182"/>
        <v>0</v>
      </c>
      <c r="DM60" s="119"/>
      <c r="DN60" s="116"/>
      <c r="DO60" s="109">
        <f t="shared" si="183"/>
        <v>0</v>
      </c>
      <c r="DP60" s="126"/>
      <c r="DQ60" s="110"/>
      <c r="DR60" s="111"/>
      <c r="DS60" s="112">
        <f t="shared" si="108"/>
        <v>0</v>
      </c>
      <c r="DT60" s="113">
        <f t="shared" si="148"/>
        <v>0</v>
      </c>
    </row>
    <row r="61" spans="2:124" s="86" customFormat="1" ht="21.9" customHeight="1" outlineLevel="1">
      <c r="B61" s="122" t="s">
        <v>250</v>
      </c>
      <c r="C61" s="123"/>
      <c r="D61" s="115"/>
      <c r="E61" s="125"/>
      <c r="F61" s="119"/>
      <c r="G61" s="116"/>
      <c r="H61" s="109">
        <f t="shared" si="110"/>
        <v>0</v>
      </c>
      <c r="I61" s="119"/>
      <c r="J61" s="116"/>
      <c r="K61" s="109">
        <f t="shared" si="111"/>
        <v>0</v>
      </c>
      <c r="L61" s="119"/>
      <c r="M61" s="116"/>
      <c r="N61" s="109">
        <f t="shared" si="112"/>
        <v>0</v>
      </c>
      <c r="O61" s="119"/>
      <c r="P61" s="116"/>
      <c r="Q61" s="109">
        <f t="shared" si="149"/>
        <v>0</v>
      </c>
      <c r="R61" s="119"/>
      <c r="S61" s="116"/>
      <c r="T61" s="109">
        <f t="shared" si="150"/>
        <v>0</v>
      </c>
      <c r="U61" s="119"/>
      <c r="V61" s="116"/>
      <c r="W61" s="109">
        <f t="shared" si="151"/>
        <v>0</v>
      </c>
      <c r="X61" s="119"/>
      <c r="Y61" s="116"/>
      <c r="Z61" s="109">
        <f t="shared" si="152"/>
        <v>0</v>
      </c>
      <c r="AA61" s="119"/>
      <c r="AB61" s="116"/>
      <c r="AC61" s="109">
        <f t="shared" si="153"/>
        <v>0</v>
      </c>
      <c r="AD61" s="119"/>
      <c r="AE61" s="116"/>
      <c r="AF61" s="109">
        <f t="shared" si="154"/>
        <v>0</v>
      </c>
      <c r="AG61" s="119"/>
      <c r="AH61" s="116"/>
      <c r="AI61" s="109">
        <f t="shared" si="155"/>
        <v>0</v>
      </c>
      <c r="AJ61" s="119"/>
      <c r="AK61" s="116"/>
      <c r="AL61" s="109">
        <f t="shared" si="156"/>
        <v>0</v>
      </c>
      <c r="AM61" s="119"/>
      <c r="AN61" s="116"/>
      <c r="AO61" s="109">
        <f t="shared" si="157"/>
        <v>0</v>
      </c>
      <c r="AP61" s="119"/>
      <c r="AQ61" s="116"/>
      <c r="AR61" s="109">
        <f t="shared" si="158"/>
        <v>0</v>
      </c>
      <c r="AS61" s="119"/>
      <c r="AT61" s="116"/>
      <c r="AU61" s="109">
        <f t="shared" si="159"/>
        <v>0</v>
      </c>
      <c r="AV61" s="119"/>
      <c r="AW61" s="116"/>
      <c r="AX61" s="109">
        <f t="shared" si="160"/>
        <v>0</v>
      </c>
      <c r="AY61" s="119"/>
      <c r="AZ61" s="116"/>
      <c r="BA61" s="109">
        <f t="shared" si="161"/>
        <v>0</v>
      </c>
      <c r="BB61" s="119"/>
      <c r="BC61" s="116"/>
      <c r="BD61" s="109">
        <f t="shared" si="162"/>
        <v>0</v>
      </c>
      <c r="BE61" s="119"/>
      <c r="BF61" s="116"/>
      <c r="BG61" s="109">
        <f t="shared" si="163"/>
        <v>0</v>
      </c>
      <c r="BH61" s="119"/>
      <c r="BI61" s="116"/>
      <c r="BJ61" s="109">
        <f t="shared" si="164"/>
        <v>0</v>
      </c>
      <c r="BK61" s="119"/>
      <c r="BL61" s="116"/>
      <c r="BM61" s="109">
        <f t="shared" si="165"/>
        <v>0</v>
      </c>
      <c r="BN61" s="119"/>
      <c r="BO61" s="116"/>
      <c r="BP61" s="109">
        <f t="shared" si="166"/>
        <v>0</v>
      </c>
      <c r="BQ61" s="119"/>
      <c r="BR61" s="116"/>
      <c r="BS61" s="109">
        <f t="shared" si="167"/>
        <v>0</v>
      </c>
      <c r="BT61" s="119"/>
      <c r="BU61" s="116"/>
      <c r="BV61" s="109">
        <f t="shared" si="168"/>
        <v>0</v>
      </c>
      <c r="BW61" s="119"/>
      <c r="BX61" s="116"/>
      <c r="BY61" s="109">
        <f t="shared" si="169"/>
        <v>0</v>
      </c>
      <c r="BZ61" s="119"/>
      <c r="CA61" s="116"/>
      <c r="CB61" s="109">
        <f t="shared" si="170"/>
        <v>0</v>
      </c>
      <c r="CC61" s="119"/>
      <c r="CD61" s="116"/>
      <c r="CE61" s="109">
        <f t="shared" si="171"/>
        <v>0</v>
      </c>
      <c r="CF61" s="119"/>
      <c r="CG61" s="116"/>
      <c r="CH61" s="109">
        <f t="shared" si="172"/>
        <v>0</v>
      </c>
      <c r="CI61" s="119"/>
      <c r="CJ61" s="116"/>
      <c r="CK61" s="109">
        <f t="shared" si="173"/>
        <v>0</v>
      </c>
      <c r="CL61" s="119"/>
      <c r="CM61" s="116"/>
      <c r="CN61" s="109">
        <f t="shared" si="174"/>
        <v>0</v>
      </c>
      <c r="CO61" s="119"/>
      <c r="CP61" s="116"/>
      <c r="CQ61" s="109">
        <f t="shared" si="175"/>
        <v>0</v>
      </c>
      <c r="CR61" s="119"/>
      <c r="CS61" s="116"/>
      <c r="CT61" s="109">
        <f t="shared" si="176"/>
        <v>0</v>
      </c>
      <c r="CU61" s="119"/>
      <c r="CV61" s="116"/>
      <c r="CW61" s="109">
        <f t="shared" si="177"/>
        <v>0</v>
      </c>
      <c r="CX61" s="119"/>
      <c r="CY61" s="116"/>
      <c r="CZ61" s="109">
        <f t="shared" si="178"/>
        <v>0</v>
      </c>
      <c r="DA61" s="119"/>
      <c r="DB61" s="116"/>
      <c r="DC61" s="109">
        <f t="shared" si="179"/>
        <v>0</v>
      </c>
      <c r="DD61" s="119"/>
      <c r="DE61" s="116"/>
      <c r="DF61" s="109">
        <f t="shared" si="180"/>
        <v>0</v>
      </c>
      <c r="DG61" s="119"/>
      <c r="DH61" s="116"/>
      <c r="DI61" s="109">
        <f t="shared" si="181"/>
        <v>0</v>
      </c>
      <c r="DJ61" s="119"/>
      <c r="DK61" s="116"/>
      <c r="DL61" s="109">
        <f t="shared" si="182"/>
        <v>0</v>
      </c>
      <c r="DM61" s="119"/>
      <c r="DN61" s="116"/>
      <c r="DO61" s="109">
        <f t="shared" si="183"/>
        <v>0</v>
      </c>
      <c r="DP61" s="126"/>
      <c r="DQ61" s="110"/>
      <c r="DR61" s="111"/>
      <c r="DS61" s="112">
        <f t="shared" si="108"/>
        <v>0</v>
      </c>
      <c r="DT61" s="113">
        <f t="shared" si="148"/>
        <v>0</v>
      </c>
    </row>
    <row r="62" spans="2:124" s="86" customFormat="1" ht="21.9" customHeight="1" outlineLevel="1">
      <c r="B62" s="122" t="s">
        <v>251</v>
      </c>
      <c r="C62" s="123"/>
      <c r="D62" s="115"/>
      <c r="E62" s="125"/>
      <c r="F62" s="119"/>
      <c r="G62" s="116"/>
      <c r="H62" s="109">
        <f t="shared" si="110"/>
        <v>0</v>
      </c>
      <c r="I62" s="119"/>
      <c r="J62" s="116"/>
      <c r="K62" s="109">
        <f t="shared" si="111"/>
        <v>0</v>
      </c>
      <c r="L62" s="119"/>
      <c r="M62" s="116"/>
      <c r="N62" s="109">
        <f t="shared" si="112"/>
        <v>0</v>
      </c>
      <c r="O62" s="119"/>
      <c r="P62" s="116"/>
      <c r="Q62" s="109">
        <f t="shared" si="149"/>
        <v>0</v>
      </c>
      <c r="R62" s="119"/>
      <c r="S62" s="116"/>
      <c r="T62" s="109">
        <f t="shared" si="150"/>
        <v>0</v>
      </c>
      <c r="U62" s="119"/>
      <c r="V62" s="116"/>
      <c r="W62" s="109">
        <f t="shared" si="151"/>
        <v>0</v>
      </c>
      <c r="X62" s="119"/>
      <c r="Y62" s="116"/>
      <c r="Z62" s="109">
        <f t="shared" si="152"/>
        <v>0</v>
      </c>
      <c r="AA62" s="119"/>
      <c r="AB62" s="116"/>
      <c r="AC62" s="109">
        <f t="shared" si="153"/>
        <v>0</v>
      </c>
      <c r="AD62" s="119"/>
      <c r="AE62" s="116"/>
      <c r="AF62" s="109">
        <f t="shared" si="154"/>
        <v>0</v>
      </c>
      <c r="AG62" s="119"/>
      <c r="AH62" s="116"/>
      <c r="AI62" s="109">
        <f t="shared" si="155"/>
        <v>0</v>
      </c>
      <c r="AJ62" s="119"/>
      <c r="AK62" s="116"/>
      <c r="AL62" s="109">
        <f t="shared" si="156"/>
        <v>0</v>
      </c>
      <c r="AM62" s="119"/>
      <c r="AN62" s="116"/>
      <c r="AO62" s="109">
        <f t="shared" si="157"/>
        <v>0</v>
      </c>
      <c r="AP62" s="119"/>
      <c r="AQ62" s="116"/>
      <c r="AR62" s="109">
        <f t="shared" si="158"/>
        <v>0</v>
      </c>
      <c r="AS62" s="119"/>
      <c r="AT62" s="116"/>
      <c r="AU62" s="109">
        <f t="shared" si="159"/>
        <v>0</v>
      </c>
      <c r="AV62" s="119"/>
      <c r="AW62" s="116"/>
      <c r="AX62" s="109">
        <f t="shared" si="160"/>
        <v>0</v>
      </c>
      <c r="AY62" s="119"/>
      <c r="AZ62" s="116"/>
      <c r="BA62" s="109">
        <f t="shared" si="161"/>
        <v>0</v>
      </c>
      <c r="BB62" s="119"/>
      <c r="BC62" s="116"/>
      <c r="BD62" s="109">
        <f t="shared" si="162"/>
        <v>0</v>
      </c>
      <c r="BE62" s="119"/>
      <c r="BF62" s="116"/>
      <c r="BG62" s="109">
        <f t="shared" si="163"/>
        <v>0</v>
      </c>
      <c r="BH62" s="119"/>
      <c r="BI62" s="116"/>
      <c r="BJ62" s="109">
        <f t="shared" si="164"/>
        <v>0</v>
      </c>
      <c r="BK62" s="119"/>
      <c r="BL62" s="116"/>
      <c r="BM62" s="109">
        <f t="shared" si="165"/>
        <v>0</v>
      </c>
      <c r="BN62" s="119"/>
      <c r="BO62" s="116"/>
      <c r="BP62" s="109">
        <f t="shared" si="166"/>
        <v>0</v>
      </c>
      <c r="BQ62" s="119"/>
      <c r="BR62" s="116"/>
      <c r="BS62" s="109">
        <f t="shared" si="167"/>
        <v>0</v>
      </c>
      <c r="BT62" s="119"/>
      <c r="BU62" s="116"/>
      <c r="BV62" s="109">
        <f t="shared" si="168"/>
        <v>0</v>
      </c>
      <c r="BW62" s="119"/>
      <c r="BX62" s="116"/>
      <c r="BY62" s="109">
        <f t="shared" si="169"/>
        <v>0</v>
      </c>
      <c r="BZ62" s="119"/>
      <c r="CA62" s="116"/>
      <c r="CB62" s="109">
        <f t="shared" si="170"/>
        <v>0</v>
      </c>
      <c r="CC62" s="119"/>
      <c r="CD62" s="116"/>
      <c r="CE62" s="109">
        <f t="shared" si="171"/>
        <v>0</v>
      </c>
      <c r="CF62" s="119"/>
      <c r="CG62" s="116"/>
      <c r="CH62" s="109">
        <f t="shared" si="172"/>
        <v>0</v>
      </c>
      <c r="CI62" s="119"/>
      <c r="CJ62" s="116"/>
      <c r="CK62" s="109">
        <f t="shared" si="173"/>
        <v>0</v>
      </c>
      <c r="CL62" s="119"/>
      <c r="CM62" s="116"/>
      <c r="CN62" s="109">
        <f t="shared" si="174"/>
        <v>0</v>
      </c>
      <c r="CO62" s="119"/>
      <c r="CP62" s="116"/>
      <c r="CQ62" s="109">
        <f t="shared" si="175"/>
        <v>0</v>
      </c>
      <c r="CR62" s="119"/>
      <c r="CS62" s="116"/>
      <c r="CT62" s="109">
        <f t="shared" si="176"/>
        <v>0</v>
      </c>
      <c r="CU62" s="119"/>
      <c r="CV62" s="116"/>
      <c r="CW62" s="109">
        <f t="shared" si="177"/>
        <v>0</v>
      </c>
      <c r="CX62" s="119"/>
      <c r="CY62" s="116"/>
      <c r="CZ62" s="109">
        <f t="shared" si="178"/>
        <v>0</v>
      </c>
      <c r="DA62" s="119"/>
      <c r="DB62" s="116"/>
      <c r="DC62" s="109">
        <f t="shared" si="179"/>
        <v>0</v>
      </c>
      <c r="DD62" s="119"/>
      <c r="DE62" s="116"/>
      <c r="DF62" s="109">
        <f t="shared" si="180"/>
        <v>0</v>
      </c>
      <c r="DG62" s="119"/>
      <c r="DH62" s="116"/>
      <c r="DI62" s="109">
        <f t="shared" si="181"/>
        <v>0</v>
      </c>
      <c r="DJ62" s="119"/>
      <c r="DK62" s="116"/>
      <c r="DL62" s="109">
        <f t="shared" si="182"/>
        <v>0</v>
      </c>
      <c r="DM62" s="119"/>
      <c r="DN62" s="116"/>
      <c r="DO62" s="109">
        <f t="shared" si="183"/>
        <v>0</v>
      </c>
      <c r="DP62" s="126"/>
      <c r="DQ62" s="110"/>
      <c r="DR62" s="111"/>
      <c r="DS62" s="112">
        <f t="shared" si="108"/>
        <v>0</v>
      </c>
      <c r="DT62" s="113">
        <f t="shared" si="148"/>
        <v>0</v>
      </c>
    </row>
    <row r="63" spans="2:124" s="86" customFormat="1" ht="21.9" customHeight="1" outlineLevel="1">
      <c r="B63" s="122" t="s">
        <v>252</v>
      </c>
      <c r="C63" s="128"/>
      <c r="D63" s="129"/>
      <c r="E63" s="130"/>
      <c r="F63" s="119"/>
      <c r="G63" s="116"/>
      <c r="H63" s="109">
        <f t="shared" si="110"/>
        <v>0</v>
      </c>
      <c r="I63" s="119"/>
      <c r="J63" s="116"/>
      <c r="K63" s="109">
        <f t="shared" si="111"/>
        <v>0</v>
      </c>
      <c r="L63" s="119"/>
      <c r="M63" s="116"/>
      <c r="N63" s="109">
        <f t="shared" si="112"/>
        <v>0</v>
      </c>
      <c r="O63" s="119"/>
      <c r="P63" s="116"/>
      <c r="Q63" s="109">
        <f t="shared" si="149"/>
        <v>0</v>
      </c>
      <c r="R63" s="119"/>
      <c r="S63" s="116"/>
      <c r="T63" s="109">
        <f t="shared" si="150"/>
        <v>0</v>
      </c>
      <c r="U63" s="119"/>
      <c r="V63" s="116"/>
      <c r="W63" s="109">
        <f t="shared" si="151"/>
        <v>0</v>
      </c>
      <c r="X63" s="119"/>
      <c r="Y63" s="116"/>
      <c r="Z63" s="109">
        <f t="shared" si="152"/>
        <v>0</v>
      </c>
      <c r="AA63" s="119"/>
      <c r="AB63" s="116"/>
      <c r="AC63" s="109">
        <f t="shared" si="153"/>
        <v>0</v>
      </c>
      <c r="AD63" s="119"/>
      <c r="AE63" s="116"/>
      <c r="AF63" s="109">
        <f t="shared" si="154"/>
        <v>0</v>
      </c>
      <c r="AG63" s="119"/>
      <c r="AH63" s="116"/>
      <c r="AI63" s="109">
        <f t="shared" si="155"/>
        <v>0</v>
      </c>
      <c r="AJ63" s="119"/>
      <c r="AK63" s="116"/>
      <c r="AL63" s="109">
        <f t="shared" si="156"/>
        <v>0</v>
      </c>
      <c r="AM63" s="119"/>
      <c r="AN63" s="116"/>
      <c r="AO63" s="109">
        <f t="shared" si="157"/>
        <v>0</v>
      </c>
      <c r="AP63" s="119"/>
      <c r="AQ63" s="116"/>
      <c r="AR63" s="109">
        <f t="shared" si="158"/>
        <v>0</v>
      </c>
      <c r="AS63" s="119"/>
      <c r="AT63" s="116"/>
      <c r="AU63" s="109">
        <f t="shared" si="159"/>
        <v>0</v>
      </c>
      <c r="AV63" s="119"/>
      <c r="AW63" s="116"/>
      <c r="AX63" s="109">
        <f t="shared" si="160"/>
        <v>0</v>
      </c>
      <c r="AY63" s="119"/>
      <c r="AZ63" s="116"/>
      <c r="BA63" s="109">
        <f t="shared" si="161"/>
        <v>0</v>
      </c>
      <c r="BB63" s="119"/>
      <c r="BC63" s="116"/>
      <c r="BD63" s="109">
        <f t="shared" si="162"/>
        <v>0</v>
      </c>
      <c r="BE63" s="119"/>
      <c r="BF63" s="116"/>
      <c r="BG63" s="109">
        <f t="shared" si="163"/>
        <v>0</v>
      </c>
      <c r="BH63" s="119"/>
      <c r="BI63" s="116"/>
      <c r="BJ63" s="109">
        <f t="shared" si="164"/>
        <v>0</v>
      </c>
      <c r="BK63" s="119"/>
      <c r="BL63" s="116"/>
      <c r="BM63" s="109">
        <f t="shared" si="165"/>
        <v>0</v>
      </c>
      <c r="BN63" s="119"/>
      <c r="BO63" s="116"/>
      <c r="BP63" s="109">
        <f t="shared" si="166"/>
        <v>0</v>
      </c>
      <c r="BQ63" s="119"/>
      <c r="BR63" s="116"/>
      <c r="BS63" s="109">
        <f t="shared" si="167"/>
        <v>0</v>
      </c>
      <c r="BT63" s="119"/>
      <c r="BU63" s="116"/>
      <c r="BV63" s="109">
        <f t="shared" si="168"/>
        <v>0</v>
      </c>
      <c r="BW63" s="119"/>
      <c r="BX63" s="116"/>
      <c r="BY63" s="109">
        <f t="shared" si="169"/>
        <v>0</v>
      </c>
      <c r="BZ63" s="119"/>
      <c r="CA63" s="116"/>
      <c r="CB63" s="109">
        <f t="shared" si="170"/>
        <v>0</v>
      </c>
      <c r="CC63" s="119"/>
      <c r="CD63" s="116"/>
      <c r="CE63" s="109">
        <f t="shared" si="171"/>
        <v>0</v>
      </c>
      <c r="CF63" s="119"/>
      <c r="CG63" s="116"/>
      <c r="CH63" s="109">
        <f t="shared" si="172"/>
        <v>0</v>
      </c>
      <c r="CI63" s="119"/>
      <c r="CJ63" s="116"/>
      <c r="CK63" s="109">
        <f t="shared" si="173"/>
        <v>0</v>
      </c>
      <c r="CL63" s="119"/>
      <c r="CM63" s="116"/>
      <c r="CN63" s="109">
        <f t="shared" si="174"/>
        <v>0</v>
      </c>
      <c r="CO63" s="119"/>
      <c r="CP63" s="116"/>
      <c r="CQ63" s="109">
        <f t="shared" si="175"/>
        <v>0</v>
      </c>
      <c r="CR63" s="119"/>
      <c r="CS63" s="116"/>
      <c r="CT63" s="109">
        <f t="shared" si="176"/>
        <v>0</v>
      </c>
      <c r="CU63" s="119"/>
      <c r="CV63" s="116"/>
      <c r="CW63" s="109">
        <f t="shared" si="177"/>
        <v>0</v>
      </c>
      <c r="CX63" s="119"/>
      <c r="CY63" s="116"/>
      <c r="CZ63" s="109">
        <f t="shared" si="178"/>
        <v>0</v>
      </c>
      <c r="DA63" s="119"/>
      <c r="DB63" s="116"/>
      <c r="DC63" s="109">
        <f t="shared" si="179"/>
        <v>0</v>
      </c>
      <c r="DD63" s="119"/>
      <c r="DE63" s="116"/>
      <c r="DF63" s="109">
        <f t="shared" si="180"/>
        <v>0</v>
      </c>
      <c r="DG63" s="119"/>
      <c r="DH63" s="116"/>
      <c r="DI63" s="109">
        <f t="shared" si="181"/>
        <v>0</v>
      </c>
      <c r="DJ63" s="119"/>
      <c r="DK63" s="116"/>
      <c r="DL63" s="109">
        <f t="shared" si="182"/>
        <v>0</v>
      </c>
      <c r="DM63" s="119"/>
      <c r="DN63" s="116"/>
      <c r="DO63" s="109">
        <f t="shared" si="183"/>
        <v>0</v>
      </c>
      <c r="DP63" s="126"/>
      <c r="DQ63" s="110"/>
      <c r="DR63" s="111"/>
      <c r="DS63" s="112">
        <f t="shared" si="108"/>
        <v>0</v>
      </c>
      <c r="DT63" s="113">
        <f t="shared" si="148"/>
        <v>0</v>
      </c>
    </row>
    <row r="64" spans="2:124" s="86" customFormat="1" ht="21.9" customHeight="1" outlineLevel="1">
      <c r="B64" s="122" t="s">
        <v>253</v>
      </c>
      <c r="C64" s="128"/>
      <c r="D64" s="129"/>
      <c r="E64" s="130"/>
      <c r="F64" s="119"/>
      <c r="G64" s="116"/>
      <c r="H64" s="109">
        <f t="shared" si="110"/>
        <v>0</v>
      </c>
      <c r="I64" s="119"/>
      <c r="J64" s="116"/>
      <c r="K64" s="109">
        <f t="shared" si="111"/>
        <v>0</v>
      </c>
      <c r="L64" s="119"/>
      <c r="M64" s="116"/>
      <c r="N64" s="109">
        <f t="shared" si="112"/>
        <v>0</v>
      </c>
      <c r="O64" s="119"/>
      <c r="P64" s="116"/>
      <c r="Q64" s="109">
        <f t="shared" si="149"/>
        <v>0</v>
      </c>
      <c r="R64" s="119"/>
      <c r="S64" s="116"/>
      <c r="T64" s="109">
        <f t="shared" si="150"/>
        <v>0</v>
      </c>
      <c r="U64" s="119"/>
      <c r="V64" s="116"/>
      <c r="W64" s="109">
        <f t="shared" si="151"/>
        <v>0</v>
      </c>
      <c r="X64" s="119"/>
      <c r="Y64" s="116"/>
      <c r="Z64" s="109">
        <f t="shared" si="152"/>
        <v>0</v>
      </c>
      <c r="AA64" s="119"/>
      <c r="AB64" s="116"/>
      <c r="AC64" s="109">
        <f t="shared" si="153"/>
        <v>0</v>
      </c>
      <c r="AD64" s="119"/>
      <c r="AE64" s="116"/>
      <c r="AF64" s="109">
        <f t="shared" si="154"/>
        <v>0</v>
      </c>
      <c r="AG64" s="119"/>
      <c r="AH64" s="116"/>
      <c r="AI64" s="109">
        <f t="shared" si="155"/>
        <v>0</v>
      </c>
      <c r="AJ64" s="119"/>
      <c r="AK64" s="116"/>
      <c r="AL64" s="109">
        <f t="shared" si="156"/>
        <v>0</v>
      </c>
      <c r="AM64" s="119"/>
      <c r="AN64" s="116"/>
      <c r="AO64" s="109">
        <f t="shared" si="157"/>
        <v>0</v>
      </c>
      <c r="AP64" s="119"/>
      <c r="AQ64" s="116"/>
      <c r="AR64" s="109">
        <f t="shared" si="158"/>
        <v>0</v>
      </c>
      <c r="AS64" s="119"/>
      <c r="AT64" s="116"/>
      <c r="AU64" s="109">
        <f t="shared" si="159"/>
        <v>0</v>
      </c>
      <c r="AV64" s="119"/>
      <c r="AW64" s="116"/>
      <c r="AX64" s="109">
        <f t="shared" si="160"/>
        <v>0</v>
      </c>
      <c r="AY64" s="119"/>
      <c r="AZ64" s="116"/>
      <c r="BA64" s="109">
        <f t="shared" si="161"/>
        <v>0</v>
      </c>
      <c r="BB64" s="119"/>
      <c r="BC64" s="116"/>
      <c r="BD64" s="109">
        <f t="shared" si="162"/>
        <v>0</v>
      </c>
      <c r="BE64" s="119"/>
      <c r="BF64" s="116"/>
      <c r="BG64" s="109">
        <f t="shared" si="163"/>
        <v>0</v>
      </c>
      <c r="BH64" s="119"/>
      <c r="BI64" s="116"/>
      <c r="BJ64" s="109">
        <f t="shared" si="164"/>
        <v>0</v>
      </c>
      <c r="BK64" s="119"/>
      <c r="BL64" s="116"/>
      <c r="BM64" s="109">
        <f t="shared" si="165"/>
        <v>0</v>
      </c>
      <c r="BN64" s="119"/>
      <c r="BO64" s="116"/>
      <c r="BP64" s="109">
        <f t="shared" si="166"/>
        <v>0</v>
      </c>
      <c r="BQ64" s="119"/>
      <c r="BR64" s="116"/>
      <c r="BS64" s="109">
        <f t="shared" si="167"/>
        <v>0</v>
      </c>
      <c r="BT64" s="119"/>
      <c r="BU64" s="116"/>
      <c r="BV64" s="109">
        <f t="shared" si="168"/>
        <v>0</v>
      </c>
      <c r="BW64" s="119"/>
      <c r="BX64" s="116"/>
      <c r="BY64" s="109">
        <f t="shared" si="169"/>
        <v>0</v>
      </c>
      <c r="BZ64" s="119"/>
      <c r="CA64" s="116"/>
      <c r="CB64" s="109">
        <f t="shared" si="170"/>
        <v>0</v>
      </c>
      <c r="CC64" s="119"/>
      <c r="CD64" s="116"/>
      <c r="CE64" s="109">
        <f t="shared" si="171"/>
        <v>0</v>
      </c>
      <c r="CF64" s="119"/>
      <c r="CG64" s="116"/>
      <c r="CH64" s="109">
        <f t="shared" si="172"/>
        <v>0</v>
      </c>
      <c r="CI64" s="119"/>
      <c r="CJ64" s="116"/>
      <c r="CK64" s="109">
        <f t="shared" si="173"/>
        <v>0</v>
      </c>
      <c r="CL64" s="119"/>
      <c r="CM64" s="116"/>
      <c r="CN64" s="109">
        <f t="shared" si="174"/>
        <v>0</v>
      </c>
      <c r="CO64" s="119"/>
      <c r="CP64" s="116"/>
      <c r="CQ64" s="109">
        <f t="shared" si="175"/>
        <v>0</v>
      </c>
      <c r="CR64" s="119"/>
      <c r="CS64" s="116"/>
      <c r="CT64" s="109">
        <f t="shared" si="176"/>
        <v>0</v>
      </c>
      <c r="CU64" s="119"/>
      <c r="CV64" s="116"/>
      <c r="CW64" s="109">
        <f t="shared" si="177"/>
        <v>0</v>
      </c>
      <c r="CX64" s="119"/>
      <c r="CY64" s="116"/>
      <c r="CZ64" s="109">
        <f t="shared" si="178"/>
        <v>0</v>
      </c>
      <c r="DA64" s="119"/>
      <c r="DB64" s="116"/>
      <c r="DC64" s="109">
        <f t="shared" si="179"/>
        <v>0</v>
      </c>
      <c r="DD64" s="119"/>
      <c r="DE64" s="116"/>
      <c r="DF64" s="109">
        <f t="shared" si="180"/>
        <v>0</v>
      </c>
      <c r="DG64" s="119"/>
      <c r="DH64" s="116"/>
      <c r="DI64" s="109">
        <f t="shared" si="181"/>
        <v>0</v>
      </c>
      <c r="DJ64" s="119"/>
      <c r="DK64" s="116"/>
      <c r="DL64" s="109">
        <f t="shared" si="182"/>
        <v>0</v>
      </c>
      <c r="DM64" s="119"/>
      <c r="DN64" s="116"/>
      <c r="DO64" s="109">
        <f t="shared" si="183"/>
        <v>0</v>
      </c>
      <c r="DP64" s="126"/>
      <c r="DQ64" s="110"/>
      <c r="DR64" s="111"/>
      <c r="DS64" s="112">
        <f t="shared" si="108"/>
        <v>0</v>
      </c>
      <c r="DT64" s="113">
        <f t="shared" si="148"/>
        <v>0</v>
      </c>
    </row>
    <row r="65" spans="2:125" s="86" customFormat="1" ht="21.9" customHeight="1" outlineLevel="1">
      <c r="B65" s="122" t="s">
        <v>254</v>
      </c>
      <c r="C65" s="123"/>
      <c r="D65" s="115"/>
      <c r="E65" s="125"/>
      <c r="F65" s="119"/>
      <c r="G65" s="116"/>
      <c r="H65" s="109">
        <f t="shared" si="110"/>
        <v>0</v>
      </c>
      <c r="I65" s="119"/>
      <c r="J65" s="116"/>
      <c r="K65" s="109">
        <f t="shared" si="111"/>
        <v>0</v>
      </c>
      <c r="L65" s="119"/>
      <c r="M65" s="116"/>
      <c r="N65" s="109">
        <f t="shared" si="112"/>
        <v>0</v>
      </c>
      <c r="O65" s="119"/>
      <c r="P65" s="116"/>
      <c r="Q65" s="109">
        <f t="shared" si="149"/>
        <v>0</v>
      </c>
      <c r="R65" s="119"/>
      <c r="S65" s="116"/>
      <c r="T65" s="109">
        <f t="shared" si="150"/>
        <v>0</v>
      </c>
      <c r="U65" s="119"/>
      <c r="V65" s="116"/>
      <c r="W65" s="109">
        <f t="shared" si="151"/>
        <v>0</v>
      </c>
      <c r="X65" s="119"/>
      <c r="Y65" s="116"/>
      <c r="Z65" s="109">
        <f t="shared" si="152"/>
        <v>0</v>
      </c>
      <c r="AA65" s="119"/>
      <c r="AB65" s="116"/>
      <c r="AC65" s="109">
        <f t="shared" si="153"/>
        <v>0</v>
      </c>
      <c r="AD65" s="119"/>
      <c r="AE65" s="116"/>
      <c r="AF65" s="109">
        <f t="shared" si="154"/>
        <v>0</v>
      </c>
      <c r="AG65" s="119"/>
      <c r="AH65" s="116"/>
      <c r="AI65" s="109">
        <f t="shared" si="155"/>
        <v>0</v>
      </c>
      <c r="AJ65" s="119"/>
      <c r="AK65" s="116"/>
      <c r="AL65" s="109">
        <f t="shared" si="156"/>
        <v>0</v>
      </c>
      <c r="AM65" s="119"/>
      <c r="AN65" s="116"/>
      <c r="AO65" s="109">
        <f t="shared" si="157"/>
        <v>0</v>
      </c>
      <c r="AP65" s="119"/>
      <c r="AQ65" s="116"/>
      <c r="AR65" s="109">
        <f t="shared" si="158"/>
        <v>0</v>
      </c>
      <c r="AS65" s="119"/>
      <c r="AT65" s="116"/>
      <c r="AU65" s="109">
        <f t="shared" si="159"/>
        <v>0</v>
      </c>
      <c r="AV65" s="119"/>
      <c r="AW65" s="116"/>
      <c r="AX65" s="109">
        <f t="shared" si="160"/>
        <v>0</v>
      </c>
      <c r="AY65" s="119"/>
      <c r="AZ65" s="116"/>
      <c r="BA65" s="109">
        <f t="shared" si="161"/>
        <v>0</v>
      </c>
      <c r="BB65" s="119"/>
      <c r="BC65" s="116"/>
      <c r="BD65" s="109">
        <f t="shared" si="162"/>
        <v>0</v>
      </c>
      <c r="BE65" s="119"/>
      <c r="BF65" s="116"/>
      <c r="BG65" s="109">
        <f t="shared" si="163"/>
        <v>0</v>
      </c>
      <c r="BH65" s="119"/>
      <c r="BI65" s="116"/>
      <c r="BJ65" s="109">
        <f t="shared" si="164"/>
        <v>0</v>
      </c>
      <c r="BK65" s="119"/>
      <c r="BL65" s="116"/>
      <c r="BM65" s="109">
        <f t="shared" si="165"/>
        <v>0</v>
      </c>
      <c r="BN65" s="119"/>
      <c r="BO65" s="116"/>
      <c r="BP65" s="109">
        <f t="shared" si="166"/>
        <v>0</v>
      </c>
      <c r="BQ65" s="119"/>
      <c r="BR65" s="116"/>
      <c r="BS65" s="109">
        <f t="shared" si="167"/>
        <v>0</v>
      </c>
      <c r="BT65" s="119"/>
      <c r="BU65" s="116"/>
      <c r="BV65" s="109">
        <f t="shared" si="168"/>
        <v>0</v>
      </c>
      <c r="BW65" s="119"/>
      <c r="BX65" s="116"/>
      <c r="BY65" s="109">
        <f t="shared" si="169"/>
        <v>0</v>
      </c>
      <c r="BZ65" s="119"/>
      <c r="CA65" s="116"/>
      <c r="CB65" s="109">
        <f t="shared" si="170"/>
        <v>0</v>
      </c>
      <c r="CC65" s="119"/>
      <c r="CD65" s="116"/>
      <c r="CE65" s="109">
        <f t="shared" si="171"/>
        <v>0</v>
      </c>
      <c r="CF65" s="119"/>
      <c r="CG65" s="116"/>
      <c r="CH65" s="109">
        <f t="shared" si="172"/>
        <v>0</v>
      </c>
      <c r="CI65" s="119"/>
      <c r="CJ65" s="116"/>
      <c r="CK65" s="109">
        <f t="shared" si="173"/>
        <v>0</v>
      </c>
      <c r="CL65" s="119"/>
      <c r="CM65" s="116"/>
      <c r="CN65" s="109">
        <f t="shared" si="174"/>
        <v>0</v>
      </c>
      <c r="CO65" s="119"/>
      <c r="CP65" s="116"/>
      <c r="CQ65" s="109">
        <f t="shared" si="175"/>
        <v>0</v>
      </c>
      <c r="CR65" s="119"/>
      <c r="CS65" s="116"/>
      <c r="CT65" s="109">
        <f t="shared" si="176"/>
        <v>0</v>
      </c>
      <c r="CU65" s="119"/>
      <c r="CV65" s="116"/>
      <c r="CW65" s="109">
        <f t="shared" si="177"/>
        <v>0</v>
      </c>
      <c r="CX65" s="119"/>
      <c r="CY65" s="116"/>
      <c r="CZ65" s="109">
        <f t="shared" si="178"/>
        <v>0</v>
      </c>
      <c r="DA65" s="119"/>
      <c r="DB65" s="116"/>
      <c r="DC65" s="109">
        <f t="shared" si="179"/>
        <v>0</v>
      </c>
      <c r="DD65" s="119"/>
      <c r="DE65" s="116"/>
      <c r="DF65" s="109">
        <f t="shared" si="180"/>
        <v>0</v>
      </c>
      <c r="DG65" s="119"/>
      <c r="DH65" s="116"/>
      <c r="DI65" s="109">
        <f t="shared" si="181"/>
        <v>0</v>
      </c>
      <c r="DJ65" s="119"/>
      <c r="DK65" s="116"/>
      <c r="DL65" s="109">
        <f t="shared" si="182"/>
        <v>0</v>
      </c>
      <c r="DM65" s="119"/>
      <c r="DN65" s="116"/>
      <c r="DO65" s="109">
        <f t="shared" si="183"/>
        <v>0</v>
      </c>
      <c r="DP65" s="126"/>
      <c r="DQ65" s="110"/>
      <c r="DR65" s="111"/>
      <c r="DS65" s="112">
        <f t="shared" si="108"/>
        <v>0</v>
      </c>
      <c r="DT65" s="113">
        <f t="shared" si="148"/>
        <v>0</v>
      </c>
    </row>
    <row r="66" spans="2:125" s="86" customFormat="1" ht="21.9" customHeight="1" outlineLevel="1">
      <c r="B66" s="122" t="s">
        <v>255</v>
      </c>
      <c r="C66" s="123"/>
      <c r="D66" s="115"/>
      <c r="E66" s="125"/>
      <c r="F66" s="119"/>
      <c r="G66" s="116"/>
      <c r="H66" s="109">
        <f t="shared" si="110"/>
        <v>0</v>
      </c>
      <c r="I66" s="119"/>
      <c r="J66" s="116"/>
      <c r="K66" s="109">
        <f t="shared" si="111"/>
        <v>0</v>
      </c>
      <c r="L66" s="119"/>
      <c r="M66" s="116"/>
      <c r="N66" s="109">
        <f t="shared" si="112"/>
        <v>0</v>
      </c>
      <c r="O66" s="119"/>
      <c r="P66" s="116"/>
      <c r="Q66" s="109">
        <f t="shared" si="149"/>
        <v>0</v>
      </c>
      <c r="R66" s="119"/>
      <c r="S66" s="116"/>
      <c r="T66" s="109">
        <f t="shared" si="150"/>
        <v>0</v>
      </c>
      <c r="U66" s="119"/>
      <c r="V66" s="116"/>
      <c r="W66" s="109">
        <f t="shared" si="151"/>
        <v>0</v>
      </c>
      <c r="X66" s="119"/>
      <c r="Y66" s="116"/>
      <c r="Z66" s="109">
        <f t="shared" si="152"/>
        <v>0</v>
      </c>
      <c r="AA66" s="119"/>
      <c r="AB66" s="116"/>
      <c r="AC66" s="109">
        <f t="shared" si="153"/>
        <v>0</v>
      </c>
      <c r="AD66" s="119"/>
      <c r="AE66" s="116"/>
      <c r="AF66" s="109">
        <f t="shared" si="154"/>
        <v>0</v>
      </c>
      <c r="AG66" s="119"/>
      <c r="AH66" s="116"/>
      <c r="AI66" s="109">
        <f t="shared" si="155"/>
        <v>0</v>
      </c>
      <c r="AJ66" s="119"/>
      <c r="AK66" s="116"/>
      <c r="AL66" s="109">
        <f t="shared" si="156"/>
        <v>0</v>
      </c>
      <c r="AM66" s="119"/>
      <c r="AN66" s="116"/>
      <c r="AO66" s="109">
        <f t="shared" si="157"/>
        <v>0</v>
      </c>
      <c r="AP66" s="119"/>
      <c r="AQ66" s="116"/>
      <c r="AR66" s="109">
        <f t="shared" si="158"/>
        <v>0</v>
      </c>
      <c r="AS66" s="119"/>
      <c r="AT66" s="116"/>
      <c r="AU66" s="109">
        <f t="shared" si="159"/>
        <v>0</v>
      </c>
      <c r="AV66" s="119"/>
      <c r="AW66" s="116"/>
      <c r="AX66" s="109">
        <f t="shared" si="160"/>
        <v>0</v>
      </c>
      <c r="AY66" s="119"/>
      <c r="AZ66" s="116"/>
      <c r="BA66" s="109">
        <f t="shared" si="161"/>
        <v>0</v>
      </c>
      <c r="BB66" s="119"/>
      <c r="BC66" s="116"/>
      <c r="BD66" s="109">
        <f t="shared" si="162"/>
        <v>0</v>
      </c>
      <c r="BE66" s="119"/>
      <c r="BF66" s="116"/>
      <c r="BG66" s="109">
        <f t="shared" si="163"/>
        <v>0</v>
      </c>
      <c r="BH66" s="119"/>
      <c r="BI66" s="116"/>
      <c r="BJ66" s="109">
        <f t="shared" si="164"/>
        <v>0</v>
      </c>
      <c r="BK66" s="119"/>
      <c r="BL66" s="116"/>
      <c r="BM66" s="109">
        <f t="shared" si="165"/>
        <v>0</v>
      </c>
      <c r="BN66" s="119"/>
      <c r="BO66" s="116"/>
      <c r="BP66" s="109">
        <f t="shared" si="166"/>
        <v>0</v>
      </c>
      <c r="BQ66" s="119"/>
      <c r="BR66" s="116"/>
      <c r="BS66" s="109">
        <f t="shared" si="167"/>
        <v>0</v>
      </c>
      <c r="BT66" s="119"/>
      <c r="BU66" s="116"/>
      <c r="BV66" s="109">
        <f t="shared" si="168"/>
        <v>0</v>
      </c>
      <c r="BW66" s="119"/>
      <c r="BX66" s="116"/>
      <c r="BY66" s="109">
        <f t="shared" si="169"/>
        <v>0</v>
      </c>
      <c r="BZ66" s="119"/>
      <c r="CA66" s="116"/>
      <c r="CB66" s="109">
        <f t="shared" si="170"/>
        <v>0</v>
      </c>
      <c r="CC66" s="119"/>
      <c r="CD66" s="116"/>
      <c r="CE66" s="109">
        <f t="shared" si="171"/>
        <v>0</v>
      </c>
      <c r="CF66" s="119"/>
      <c r="CG66" s="116"/>
      <c r="CH66" s="109">
        <f t="shared" si="172"/>
        <v>0</v>
      </c>
      <c r="CI66" s="119"/>
      <c r="CJ66" s="116"/>
      <c r="CK66" s="109">
        <f t="shared" si="173"/>
        <v>0</v>
      </c>
      <c r="CL66" s="119"/>
      <c r="CM66" s="116"/>
      <c r="CN66" s="109">
        <f t="shared" si="174"/>
        <v>0</v>
      </c>
      <c r="CO66" s="119"/>
      <c r="CP66" s="116"/>
      <c r="CQ66" s="109">
        <f t="shared" si="175"/>
        <v>0</v>
      </c>
      <c r="CR66" s="119"/>
      <c r="CS66" s="116"/>
      <c r="CT66" s="109">
        <f t="shared" si="176"/>
        <v>0</v>
      </c>
      <c r="CU66" s="119"/>
      <c r="CV66" s="116"/>
      <c r="CW66" s="109">
        <f t="shared" si="177"/>
        <v>0</v>
      </c>
      <c r="CX66" s="119"/>
      <c r="CY66" s="116"/>
      <c r="CZ66" s="109">
        <f t="shared" si="178"/>
        <v>0</v>
      </c>
      <c r="DA66" s="119"/>
      <c r="DB66" s="116"/>
      <c r="DC66" s="109">
        <f t="shared" si="179"/>
        <v>0</v>
      </c>
      <c r="DD66" s="119"/>
      <c r="DE66" s="116"/>
      <c r="DF66" s="109">
        <f t="shared" si="180"/>
        <v>0</v>
      </c>
      <c r="DG66" s="119"/>
      <c r="DH66" s="116"/>
      <c r="DI66" s="109">
        <f t="shared" si="181"/>
        <v>0</v>
      </c>
      <c r="DJ66" s="119"/>
      <c r="DK66" s="116"/>
      <c r="DL66" s="109">
        <f t="shared" si="182"/>
        <v>0</v>
      </c>
      <c r="DM66" s="119"/>
      <c r="DN66" s="116"/>
      <c r="DO66" s="109">
        <f t="shared" si="183"/>
        <v>0</v>
      </c>
      <c r="DP66" s="126"/>
      <c r="DQ66" s="110"/>
      <c r="DR66" s="111"/>
      <c r="DS66" s="112">
        <f t="shared" si="108"/>
        <v>0</v>
      </c>
      <c r="DT66" s="113">
        <f t="shared" si="148"/>
        <v>0</v>
      </c>
    </row>
    <row r="67" spans="2:125" s="86" customFormat="1" ht="21.9" customHeight="1" outlineLevel="1">
      <c r="B67" s="122" t="s">
        <v>256</v>
      </c>
      <c r="C67" s="128"/>
      <c r="D67" s="115"/>
      <c r="E67" s="130"/>
      <c r="F67" s="119"/>
      <c r="G67" s="116"/>
      <c r="H67" s="109">
        <f t="shared" si="110"/>
        <v>0</v>
      </c>
      <c r="I67" s="119"/>
      <c r="J67" s="116"/>
      <c r="K67" s="109">
        <f t="shared" si="111"/>
        <v>0</v>
      </c>
      <c r="L67" s="119"/>
      <c r="M67" s="116"/>
      <c r="N67" s="109">
        <f t="shared" si="112"/>
        <v>0</v>
      </c>
      <c r="O67" s="119"/>
      <c r="P67" s="116"/>
      <c r="Q67" s="109">
        <f t="shared" si="149"/>
        <v>0</v>
      </c>
      <c r="R67" s="119"/>
      <c r="S67" s="116"/>
      <c r="T67" s="109">
        <f t="shared" si="150"/>
        <v>0</v>
      </c>
      <c r="U67" s="119"/>
      <c r="V67" s="116"/>
      <c r="W67" s="109">
        <f t="shared" si="151"/>
        <v>0</v>
      </c>
      <c r="X67" s="119"/>
      <c r="Y67" s="116"/>
      <c r="Z67" s="109">
        <f t="shared" si="152"/>
        <v>0</v>
      </c>
      <c r="AA67" s="119"/>
      <c r="AB67" s="116"/>
      <c r="AC67" s="109">
        <f t="shared" si="153"/>
        <v>0</v>
      </c>
      <c r="AD67" s="119"/>
      <c r="AE67" s="116"/>
      <c r="AF67" s="109">
        <f t="shared" si="154"/>
        <v>0</v>
      </c>
      <c r="AG67" s="119"/>
      <c r="AH67" s="116"/>
      <c r="AI67" s="109">
        <f t="shared" si="155"/>
        <v>0</v>
      </c>
      <c r="AJ67" s="119"/>
      <c r="AK67" s="116"/>
      <c r="AL67" s="109">
        <f t="shared" si="156"/>
        <v>0</v>
      </c>
      <c r="AM67" s="119"/>
      <c r="AN67" s="116"/>
      <c r="AO67" s="109">
        <f t="shared" si="157"/>
        <v>0</v>
      </c>
      <c r="AP67" s="119"/>
      <c r="AQ67" s="116"/>
      <c r="AR67" s="109">
        <f t="shared" si="158"/>
        <v>0</v>
      </c>
      <c r="AS67" s="119"/>
      <c r="AT67" s="116"/>
      <c r="AU67" s="109">
        <f t="shared" si="159"/>
        <v>0</v>
      </c>
      <c r="AV67" s="119"/>
      <c r="AW67" s="116"/>
      <c r="AX67" s="109">
        <f t="shared" si="160"/>
        <v>0</v>
      </c>
      <c r="AY67" s="119"/>
      <c r="AZ67" s="116"/>
      <c r="BA67" s="109">
        <f t="shared" si="161"/>
        <v>0</v>
      </c>
      <c r="BB67" s="119"/>
      <c r="BC67" s="116"/>
      <c r="BD67" s="109">
        <f t="shared" si="162"/>
        <v>0</v>
      </c>
      <c r="BE67" s="119"/>
      <c r="BF67" s="116"/>
      <c r="BG67" s="109">
        <f t="shared" si="163"/>
        <v>0</v>
      </c>
      <c r="BH67" s="119"/>
      <c r="BI67" s="116"/>
      <c r="BJ67" s="109">
        <f t="shared" si="164"/>
        <v>0</v>
      </c>
      <c r="BK67" s="119"/>
      <c r="BL67" s="116"/>
      <c r="BM67" s="109">
        <f t="shared" si="165"/>
        <v>0</v>
      </c>
      <c r="BN67" s="119"/>
      <c r="BO67" s="116"/>
      <c r="BP67" s="109">
        <f t="shared" si="166"/>
        <v>0</v>
      </c>
      <c r="BQ67" s="119"/>
      <c r="BR67" s="116"/>
      <c r="BS67" s="109">
        <f t="shared" si="167"/>
        <v>0</v>
      </c>
      <c r="BT67" s="119"/>
      <c r="BU67" s="116"/>
      <c r="BV67" s="109">
        <f t="shared" si="168"/>
        <v>0</v>
      </c>
      <c r="BW67" s="119"/>
      <c r="BX67" s="116"/>
      <c r="BY67" s="109">
        <f t="shared" si="169"/>
        <v>0</v>
      </c>
      <c r="BZ67" s="119"/>
      <c r="CA67" s="116"/>
      <c r="CB67" s="109">
        <f t="shared" si="170"/>
        <v>0</v>
      </c>
      <c r="CC67" s="119"/>
      <c r="CD67" s="116"/>
      <c r="CE67" s="109">
        <f t="shared" si="171"/>
        <v>0</v>
      </c>
      <c r="CF67" s="119"/>
      <c r="CG67" s="116"/>
      <c r="CH67" s="109">
        <f t="shared" si="172"/>
        <v>0</v>
      </c>
      <c r="CI67" s="119"/>
      <c r="CJ67" s="116"/>
      <c r="CK67" s="109">
        <f t="shared" si="173"/>
        <v>0</v>
      </c>
      <c r="CL67" s="119"/>
      <c r="CM67" s="116"/>
      <c r="CN67" s="109">
        <f t="shared" si="174"/>
        <v>0</v>
      </c>
      <c r="CO67" s="119"/>
      <c r="CP67" s="116"/>
      <c r="CQ67" s="109">
        <f t="shared" si="175"/>
        <v>0</v>
      </c>
      <c r="CR67" s="119"/>
      <c r="CS67" s="116"/>
      <c r="CT67" s="109">
        <f t="shared" si="176"/>
        <v>0</v>
      </c>
      <c r="CU67" s="119"/>
      <c r="CV67" s="116"/>
      <c r="CW67" s="109">
        <f t="shared" si="177"/>
        <v>0</v>
      </c>
      <c r="CX67" s="119"/>
      <c r="CY67" s="116"/>
      <c r="CZ67" s="109">
        <f t="shared" si="178"/>
        <v>0</v>
      </c>
      <c r="DA67" s="119"/>
      <c r="DB67" s="116"/>
      <c r="DC67" s="109">
        <f t="shared" si="179"/>
        <v>0</v>
      </c>
      <c r="DD67" s="119"/>
      <c r="DE67" s="116"/>
      <c r="DF67" s="109">
        <f t="shared" si="180"/>
        <v>0</v>
      </c>
      <c r="DG67" s="119"/>
      <c r="DH67" s="116"/>
      <c r="DI67" s="109">
        <f t="shared" si="181"/>
        <v>0</v>
      </c>
      <c r="DJ67" s="119"/>
      <c r="DK67" s="116"/>
      <c r="DL67" s="109">
        <f t="shared" si="182"/>
        <v>0</v>
      </c>
      <c r="DM67" s="119"/>
      <c r="DN67" s="116"/>
      <c r="DO67" s="109">
        <f t="shared" si="183"/>
        <v>0</v>
      </c>
      <c r="DP67" s="126"/>
      <c r="DQ67" s="110"/>
      <c r="DR67" s="111"/>
      <c r="DS67" s="112">
        <f t="shared" si="108"/>
        <v>0</v>
      </c>
      <c r="DT67" s="113">
        <f t="shared" si="148"/>
        <v>0</v>
      </c>
    </row>
    <row r="68" spans="2:125" s="86" customFormat="1" ht="21.9" customHeight="1" outlineLevel="1">
      <c r="B68" s="122" t="s">
        <v>257</v>
      </c>
      <c r="C68" s="128"/>
      <c r="D68" s="129"/>
      <c r="E68" s="130"/>
      <c r="F68" s="119"/>
      <c r="G68" s="116"/>
      <c r="H68" s="109">
        <f t="shared" si="110"/>
        <v>0</v>
      </c>
      <c r="I68" s="119"/>
      <c r="J68" s="116"/>
      <c r="K68" s="109">
        <f t="shared" si="111"/>
        <v>0</v>
      </c>
      <c r="L68" s="119"/>
      <c r="M68" s="116"/>
      <c r="N68" s="109">
        <f t="shared" si="112"/>
        <v>0</v>
      </c>
      <c r="O68" s="119"/>
      <c r="P68" s="116"/>
      <c r="Q68" s="109">
        <f t="shared" si="149"/>
        <v>0</v>
      </c>
      <c r="R68" s="119"/>
      <c r="S68" s="116"/>
      <c r="T68" s="109">
        <f t="shared" si="150"/>
        <v>0</v>
      </c>
      <c r="U68" s="119"/>
      <c r="V68" s="116"/>
      <c r="W68" s="109">
        <f t="shared" si="151"/>
        <v>0</v>
      </c>
      <c r="X68" s="119"/>
      <c r="Y68" s="116"/>
      <c r="Z68" s="109">
        <f t="shared" si="152"/>
        <v>0</v>
      </c>
      <c r="AA68" s="119"/>
      <c r="AB68" s="116"/>
      <c r="AC68" s="109">
        <f t="shared" si="153"/>
        <v>0</v>
      </c>
      <c r="AD68" s="119"/>
      <c r="AE68" s="116"/>
      <c r="AF68" s="109">
        <f t="shared" si="154"/>
        <v>0</v>
      </c>
      <c r="AG68" s="119"/>
      <c r="AH68" s="116"/>
      <c r="AI68" s="109">
        <f t="shared" si="155"/>
        <v>0</v>
      </c>
      <c r="AJ68" s="119"/>
      <c r="AK68" s="116"/>
      <c r="AL68" s="109">
        <f t="shared" si="156"/>
        <v>0</v>
      </c>
      <c r="AM68" s="119"/>
      <c r="AN68" s="116"/>
      <c r="AO68" s="109">
        <f t="shared" si="157"/>
        <v>0</v>
      </c>
      <c r="AP68" s="119"/>
      <c r="AQ68" s="116"/>
      <c r="AR68" s="109">
        <f t="shared" si="158"/>
        <v>0</v>
      </c>
      <c r="AS68" s="119"/>
      <c r="AT68" s="116"/>
      <c r="AU68" s="109">
        <f t="shared" si="159"/>
        <v>0</v>
      </c>
      <c r="AV68" s="119"/>
      <c r="AW68" s="116"/>
      <c r="AX68" s="109">
        <f t="shared" si="160"/>
        <v>0</v>
      </c>
      <c r="AY68" s="119"/>
      <c r="AZ68" s="116"/>
      <c r="BA68" s="109">
        <f t="shared" si="161"/>
        <v>0</v>
      </c>
      <c r="BB68" s="119"/>
      <c r="BC68" s="116"/>
      <c r="BD68" s="109">
        <f t="shared" si="162"/>
        <v>0</v>
      </c>
      <c r="BE68" s="119"/>
      <c r="BF68" s="116"/>
      <c r="BG68" s="109">
        <f t="shared" si="163"/>
        <v>0</v>
      </c>
      <c r="BH68" s="119"/>
      <c r="BI68" s="116"/>
      <c r="BJ68" s="109">
        <f t="shared" si="164"/>
        <v>0</v>
      </c>
      <c r="BK68" s="119"/>
      <c r="BL68" s="116"/>
      <c r="BM68" s="109">
        <f t="shared" si="165"/>
        <v>0</v>
      </c>
      <c r="BN68" s="119"/>
      <c r="BO68" s="116"/>
      <c r="BP68" s="109">
        <f t="shared" si="166"/>
        <v>0</v>
      </c>
      <c r="BQ68" s="119"/>
      <c r="BR68" s="116"/>
      <c r="BS68" s="109">
        <f t="shared" si="167"/>
        <v>0</v>
      </c>
      <c r="BT68" s="119"/>
      <c r="BU68" s="116"/>
      <c r="BV68" s="109">
        <f t="shared" si="168"/>
        <v>0</v>
      </c>
      <c r="BW68" s="119"/>
      <c r="BX68" s="116"/>
      <c r="BY68" s="109">
        <f t="shared" si="169"/>
        <v>0</v>
      </c>
      <c r="BZ68" s="119"/>
      <c r="CA68" s="116"/>
      <c r="CB68" s="109">
        <f t="shared" si="170"/>
        <v>0</v>
      </c>
      <c r="CC68" s="119"/>
      <c r="CD68" s="116"/>
      <c r="CE68" s="109">
        <f t="shared" si="171"/>
        <v>0</v>
      </c>
      <c r="CF68" s="119"/>
      <c r="CG68" s="116"/>
      <c r="CH68" s="109">
        <f t="shared" si="172"/>
        <v>0</v>
      </c>
      <c r="CI68" s="119"/>
      <c r="CJ68" s="116"/>
      <c r="CK68" s="109">
        <f t="shared" si="173"/>
        <v>0</v>
      </c>
      <c r="CL68" s="119"/>
      <c r="CM68" s="116"/>
      <c r="CN68" s="109">
        <f t="shared" si="174"/>
        <v>0</v>
      </c>
      <c r="CO68" s="119"/>
      <c r="CP68" s="116"/>
      <c r="CQ68" s="109">
        <f t="shared" si="175"/>
        <v>0</v>
      </c>
      <c r="CR68" s="119"/>
      <c r="CS68" s="116"/>
      <c r="CT68" s="109">
        <f t="shared" si="176"/>
        <v>0</v>
      </c>
      <c r="CU68" s="119"/>
      <c r="CV68" s="116"/>
      <c r="CW68" s="109">
        <f t="shared" si="177"/>
        <v>0</v>
      </c>
      <c r="CX68" s="119"/>
      <c r="CY68" s="116"/>
      <c r="CZ68" s="109">
        <f t="shared" si="178"/>
        <v>0</v>
      </c>
      <c r="DA68" s="119"/>
      <c r="DB68" s="116"/>
      <c r="DC68" s="109">
        <f t="shared" si="179"/>
        <v>0</v>
      </c>
      <c r="DD68" s="119"/>
      <c r="DE68" s="116"/>
      <c r="DF68" s="109">
        <f t="shared" si="180"/>
        <v>0</v>
      </c>
      <c r="DG68" s="119"/>
      <c r="DH68" s="116"/>
      <c r="DI68" s="109">
        <f t="shared" si="181"/>
        <v>0</v>
      </c>
      <c r="DJ68" s="119"/>
      <c r="DK68" s="116"/>
      <c r="DL68" s="109">
        <f t="shared" si="182"/>
        <v>0</v>
      </c>
      <c r="DM68" s="119"/>
      <c r="DN68" s="116"/>
      <c r="DO68" s="109">
        <f t="shared" si="183"/>
        <v>0</v>
      </c>
      <c r="DP68" s="126"/>
      <c r="DQ68" s="110"/>
      <c r="DR68" s="111"/>
      <c r="DS68" s="112">
        <f t="shared" si="108"/>
        <v>0</v>
      </c>
      <c r="DT68" s="113">
        <f t="shared" si="148"/>
        <v>0</v>
      </c>
    </row>
    <row r="69" spans="2:125" s="86" customFormat="1" ht="21.9" customHeight="1" outlineLevel="1">
      <c r="B69" s="122" t="s">
        <v>258</v>
      </c>
      <c r="C69" s="128"/>
      <c r="D69" s="129"/>
      <c r="E69" s="130"/>
      <c r="F69" s="119"/>
      <c r="G69" s="116"/>
      <c r="H69" s="109">
        <f t="shared" si="110"/>
        <v>0</v>
      </c>
      <c r="I69" s="119"/>
      <c r="J69" s="116"/>
      <c r="K69" s="109">
        <f t="shared" si="111"/>
        <v>0</v>
      </c>
      <c r="L69" s="119"/>
      <c r="M69" s="116"/>
      <c r="N69" s="109">
        <f t="shared" si="112"/>
        <v>0</v>
      </c>
      <c r="O69" s="119"/>
      <c r="P69" s="116"/>
      <c r="Q69" s="109">
        <f t="shared" si="149"/>
        <v>0</v>
      </c>
      <c r="R69" s="119"/>
      <c r="S69" s="116"/>
      <c r="T69" s="109">
        <f t="shared" si="150"/>
        <v>0</v>
      </c>
      <c r="U69" s="119"/>
      <c r="V69" s="116"/>
      <c r="W69" s="109">
        <f t="shared" si="151"/>
        <v>0</v>
      </c>
      <c r="X69" s="119"/>
      <c r="Y69" s="116"/>
      <c r="Z69" s="109">
        <f t="shared" si="152"/>
        <v>0</v>
      </c>
      <c r="AA69" s="119"/>
      <c r="AB69" s="116"/>
      <c r="AC69" s="109">
        <f t="shared" si="153"/>
        <v>0</v>
      </c>
      <c r="AD69" s="119"/>
      <c r="AE69" s="116"/>
      <c r="AF69" s="109">
        <f t="shared" si="154"/>
        <v>0</v>
      </c>
      <c r="AG69" s="119"/>
      <c r="AH69" s="116"/>
      <c r="AI69" s="109">
        <f t="shared" si="155"/>
        <v>0</v>
      </c>
      <c r="AJ69" s="119"/>
      <c r="AK69" s="116"/>
      <c r="AL69" s="109">
        <f t="shared" si="156"/>
        <v>0</v>
      </c>
      <c r="AM69" s="119"/>
      <c r="AN69" s="116"/>
      <c r="AO69" s="109">
        <f t="shared" si="157"/>
        <v>0</v>
      </c>
      <c r="AP69" s="119"/>
      <c r="AQ69" s="116"/>
      <c r="AR69" s="109">
        <f t="shared" si="158"/>
        <v>0</v>
      </c>
      <c r="AS69" s="119"/>
      <c r="AT69" s="116"/>
      <c r="AU69" s="109">
        <f t="shared" si="159"/>
        <v>0</v>
      </c>
      <c r="AV69" s="119"/>
      <c r="AW69" s="116"/>
      <c r="AX69" s="109">
        <f t="shared" si="160"/>
        <v>0</v>
      </c>
      <c r="AY69" s="119"/>
      <c r="AZ69" s="116"/>
      <c r="BA69" s="109">
        <f t="shared" si="161"/>
        <v>0</v>
      </c>
      <c r="BB69" s="119"/>
      <c r="BC69" s="116"/>
      <c r="BD69" s="109">
        <f t="shared" si="162"/>
        <v>0</v>
      </c>
      <c r="BE69" s="119"/>
      <c r="BF69" s="116"/>
      <c r="BG69" s="109">
        <f t="shared" si="163"/>
        <v>0</v>
      </c>
      <c r="BH69" s="119"/>
      <c r="BI69" s="116"/>
      <c r="BJ69" s="109">
        <f t="shared" si="164"/>
        <v>0</v>
      </c>
      <c r="BK69" s="119"/>
      <c r="BL69" s="116"/>
      <c r="BM69" s="109">
        <f t="shared" si="165"/>
        <v>0</v>
      </c>
      <c r="BN69" s="119"/>
      <c r="BO69" s="116"/>
      <c r="BP69" s="109">
        <f t="shared" si="166"/>
        <v>0</v>
      </c>
      <c r="BQ69" s="119"/>
      <c r="BR69" s="116"/>
      <c r="BS69" s="109">
        <f t="shared" si="167"/>
        <v>0</v>
      </c>
      <c r="BT69" s="119"/>
      <c r="BU69" s="116"/>
      <c r="BV69" s="109">
        <f t="shared" si="168"/>
        <v>0</v>
      </c>
      <c r="BW69" s="119"/>
      <c r="BX69" s="116"/>
      <c r="BY69" s="109">
        <f t="shared" si="169"/>
        <v>0</v>
      </c>
      <c r="BZ69" s="119"/>
      <c r="CA69" s="116"/>
      <c r="CB69" s="109">
        <f t="shared" si="170"/>
        <v>0</v>
      </c>
      <c r="CC69" s="119"/>
      <c r="CD69" s="116"/>
      <c r="CE69" s="109">
        <f t="shared" si="171"/>
        <v>0</v>
      </c>
      <c r="CF69" s="119"/>
      <c r="CG69" s="116"/>
      <c r="CH69" s="109">
        <f t="shared" si="172"/>
        <v>0</v>
      </c>
      <c r="CI69" s="119"/>
      <c r="CJ69" s="116"/>
      <c r="CK69" s="109">
        <f t="shared" si="173"/>
        <v>0</v>
      </c>
      <c r="CL69" s="119"/>
      <c r="CM69" s="116"/>
      <c r="CN69" s="109">
        <f t="shared" si="174"/>
        <v>0</v>
      </c>
      <c r="CO69" s="119"/>
      <c r="CP69" s="116"/>
      <c r="CQ69" s="109">
        <f t="shared" si="175"/>
        <v>0</v>
      </c>
      <c r="CR69" s="119"/>
      <c r="CS69" s="116"/>
      <c r="CT69" s="109">
        <f t="shared" si="176"/>
        <v>0</v>
      </c>
      <c r="CU69" s="119"/>
      <c r="CV69" s="116"/>
      <c r="CW69" s="109">
        <f t="shared" si="177"/>
        <v>0</v>
      </c>
      <c r="CX69" s="119"/>
      <c r="CY69" s="116"/>
      <c r="CZ69" s="109">
        <f t="shared" si="178"/>
        <v>0</v>
      </c>
      <c r="DA69" s="119"/>
      <c r="DB69" s="116"/>
      <c r="DC69" s="109">
        <f t="shared" si="179"/>
        <v>0</v>
      </c>
      <c r="DD69" s="119"/>
      <c r="DE69" s="116"/>
      <c r="DF69" s="109">
        <f t="shared" si="180"/>
        <v>0</v>
      </c>
      <c r="DG69" s="119"/>
      <c r="DH69" s="116"/>
      <c r="DI69" s="109">
        <f t="shared" si="181"/>
        <v>0</v>
      </c>
      <c r="DJ69" s="119"/>
      <c r="DK69" s="116"/>
      <c r="DL69" s="109">
        <f t="shared" si="182"/>
        <v>0</v>
      </c>
      <c r="DM69" s="119"/>
      <c r="DN69" s="116"/>
      <c r="DO69" s="109">
        <f t="shared" si="183"/>
        <v>0</v>
      </c>
      <c r="DP69" s="126"/>
      <c r="DQ69" s="110"/>
      <c r="DR69" s="111"/>
      <c r="DS69" s="112">
        <f t="shared" si="108"/>
        <v>0</v>
      </c>
      <c r="DT69" s="113">
        <f t="shared" si="148"/>
        <v>0</v>
      </c>
    </row>
    <row r="70" spans="2:125" s="86" customFormat="1" ht="21.9" customHeight="1" outlineLevel="1">
      <c r="B70" s="122" t="s">
        <v>259</v>
      </c>
      <c r="C70" s="128"/>
      <c r="D70" s="129"/>
      <c r="E70" s="130"/>
      <c r="F70" s="119"/>
      <c r="G70" s="116"/>
      <c r="H70" s="109">
        <f t="shared" si="110"/>
        <v>0</v>
      </c>
      <c r="I70" s="119"/>
      <c r="J70" s="116"/>
      <c r="K70" s="109">
        <f t="shared" si="111"/>
        <v>0</v>
      </c>
      <c r="L70" s="119"/>
      <c r="M70" s="116"/>
      <c r="N70" s="109">
        <f t="shared" si="112"/>
        <v>0</v>
      </c>
      <c r="O70" s="119"/>
      <c r="P70" s="116"/>
      <c r="Q70" s="109">
        <f t="shared" si="149"/>
        <v>0</v>
      </c>
      <c r="R70" s="119"/>
      <c r="S70" s="116"/>
      <c r="T70" s="109">
        <f t="shared" si="150"/>
        <v>0</v>
      </c>
      <c r="U70" s="119"/>
      <c r="V70" s="116"/>
      <c r="W70" s="109">
        <f t="shared" si="151"/>
        <v>0</v>
      </c>
      <c r="X70" s="119"/>
      <c r="Y70" s="116"/>
      <c r="Z70" s="109">
        <f t="shared" si="152"/>
        <v>0</v>
      </c>
      <c r="AA70" s="119"/>
      <c r="AB70" s="116"/>
      <c r="AC70" s="109">
        <f t="shared" si="153"/>
        <v>0</v>
      </c>
      <c r="AD70" s="119"/>
      <c r="AE70" s="116"/>
      <c r="AF70" s="109">
        <f t="shared" si="154"/>
        <v>0</v>
      </c>
      <c r="AG70" s="119"/>
      <c r="AH70" s="116"/>
      <c r="AI70" s="109">
        <f t="shared" si="155"/>
        <v>0</v>
      </c>
      <c r="AJ70" s="119"/>
      <c r="AK70" s="116"/>
      <c r="AL70" s="109">
        <f t="shared" si="156"/>
        <v>0</v>
      </c>
      <c r="AM70" s="119"/>
      <c r="AN70" s="116"/>
      <c r="AO70" s="109">
        <f t="shared" si="157"/>
        <v>0</v>
      </c>
      <c r="AP70" s="119"/>
      <c r="AQ70" s="116"/>
      <c r="AR70" s="109">
        <f t="shared" si="158"/>
        <v>0</v>
      </c>
      <c r="AS70" s="119"/>
      <c r="AT70" s="116"/>
      <c r="AU70" s="109">
        <f t="shared" si="159"/>
        <v>0</v>
      </c>
      <c r="AV70" s="119"/>
      <c r="AW70" s="116"/>
      <c r="AX70" s="109">
        <f t="shared" si="160"/>
        <v>0</v>
      </c>
      <c r="AY70" s="119"/>
      <c r="AZ70" s="116"/>
      <c r="BA70" s="109">
        <f t="shared" si="161"/>
        <v>0</v>
      </c>
      <c r="BB70" s="119"/>
      <c r="BC70" s="116"/>
      <c r="BD70" s="109">
        <f t="shared" si="162"/>
        <v>0</v>
      </c>
      <c r="BE70" s="119"/>
      <c r="BF70" s="116"/>
      <c r="BG70" s="109">
        <f t="shared" si="163"/>
        <v>0</v>
      </c>
      <c r="BH70" s="119"/>
      <c r="BI70" s="116"/>
      <c r="BJ70" s="109">
        <f t="shared" si="164"/>
        <v>0</v>
      </c>
      <c r="BK70" s="119"/>
      <c r="BL70" s="116"/>
      <c r="BM70" s="109">
        <f t="shared" si="165"/>
        <v>0</v>
      </c>
      <c r="BN70" s="119"/>
      <c r="BO70" s="116"/>
      <c r="BP70" s="109">
        <f t="shared" si="166"/>
        <v>0</v>
      </c>
      <c r="BQ70" s="119"/>
      <c r="BR70" s="116"/>
      <c r="BS70" s="109">
        <f t="shared" si="167"/>
        <v>0</v>
      </c>
      <c r="BT70" s="119"/>
      <c r="BU70" s="116"/>
      <c r="BV70" s="109">
        <f t="shared" si="168"/>
        <v>0</v>
      </c>
      <c r="BW70" s="119"/>
      <c r="BX70" s="116"/>
      <c r="BY70" s="109">
        <f t="shared" si="169"/>
        <v>0</v>
      </c>
      <c r="BZ70" s="119"/>
      <c r="CA70" s="116"/>
      <c r="CB70" s="109">
        <f t="shared" si="170"/>
        <v>0</v>
      </c>
      <c r="CC70" s="119"/>
      <c r="CD70" s="116"/>
      <c r="CE70" s="109">
        <f t="shared" si="171"/>
        <v>0</v>
      </c>
      <c r="CF70" s="119"/>
      <c r="CG70" s="116"/>
      <c r="CH70" s="109">
        <f t="shared" si="172"/>
        <v>0</v>
      </c>
      <c r="CI70" s="119"/>
      <c r="CJ70" s="116"/>
      <c r="CK70" s="109">
        <f t="shared" si="173"/>
        <v>0</v>
      </c>
      <c r="CL70" s="119"/>
      <c r="CM70" s="116"/>
      <c r="CN70" s="109">
        <f t="shared" si="174"/>
        <v>0</v>
      </c>
      <c r="CO70" s="119"/>
      <c r="CP70" s="116"/>
      <c r="CQ70" s="109">
        <f t="shared" si="175"/>
        <v>0</v>
      </c>
      <c r="CR70" s="119"/>
      <c r="CS70" s="116"/>
      <c r="CT70" s="109">
        <f t="shared" si="176"/>
        <v>0</v>
      </c>
      <c r="CU70" s="119"/>
      <c r="CV70" s="116"/>
      <c r="CW70" s="109">
        <f t="shared" si="177"/>
        <v>0</v>
      </c>
      <c r="CX70" s="119"/>
      <c r="CY70" s="116"/>
      <c r="CZ70" s="109">
        <f t="shared" si="178"/>
        <v>0</v>
      </c>
      <c r="DA70" s="119"/>
      <c r="DB70" s="116"/>
      <c r="DC70" s="109">
        <f t="shared" si="179"/>
        <v>0</v>
      </c>
      <c r="DD70" s="119"/>
      <c r="DE70" s="116"/>
      <c r="DF70" s="109">
        <f t="shared" si="180"/>
        <v>0</v>
      </c>
      <c r="DG70" s="119"/>
      <c r="DH70" s="116"/>
      <c r="DI70" s="109">
        <f t="shared" si="181"/>
        <v>0</v>
      </c>
      <c r="DJ70" s="119"/>
      <c r="DK70" s="116"/>
      <c r="DL70" s="109">
        <f t="shared" si="182"/>
        <v>0</v>
      </c>
      <c r="DM70" s="119"/>
      <c r="DN70" s="116"/>
      <c r="DO70" s="109">
        <f t="shared" si="183"/>
        <v>0</v>
      </c>
      <c r="DP70" s="126"/>
      <c r="DQ70" s="110"/>
      <c r="DR70" s="111"/>
      <c r="DS70" s="112">
        <f t="shared" si="108"/>
        <v>0</v>
      </c>
      <c r="DT70" s="113">
        <f t="shared" si="148"/>
        <v>0</v>
      </c>
    </row>
    <row r="71" spans="2:125" s="86" customFormat="1" ht="21.9" customHeight="1" outlineLevel="1">
      <c r="B71" s="122" t="s">
        <v>260</v>
      </c>
      <c r="C71" s="128"/>
      <c r="D71" s="129"/>
      <c r="E71" s="130"/>
      <c r="F71" s="119"/>
      <c r="G71" s="116"/>
      <c r="H71" s="109">
        <f t="shared" si="110"/>
        <v>0</v>
      </c>
      <c r="I71" s="119"/>
      <c r="J71" s="116"/>
      <c r="K71" s="109">
        <f t="shared" si="111"/>
        <v>0</v>
      </c>
      <c r="L71" s="119"/>
      <c r="M71" s="116"/>
      <c r="N71" s="109">
        <f t="shared" si="112"/>
        <v>0</v>
      </c>
      <c r="O71" s="119"/>
      <c r="P71" s="116"/>
      <c r="Q71" s="109">
        <f t="shared" si="149"/>
        <v>0</v>
      </c>
      <c r="R71" s="119"/>
      <c r="S71" s="116"/>
      <c r="T71" s="109">
        <f t="shared" si="150"/>
        <v>0</v>
      </c>
      <c r="U71" s="119"/>
      <c r="V71" s="116"/>
      <c r="W71" s="109">
        <f t="shared" si="151"/>
        <v>0</v>
      </c>
      <c r="X71" s="119"/>
      <c r="Y71" s="116"/>
      <c r="Z71" s="109">
        <f t="shared" si="152"/>
        <v>0</v>
      </c>
      <c r="AA71" s="119"/>
      <c r="AB71" s="116"/>
      <c r="AC71" s="109">
        <f t="shared" si="153"/>
        <v>0</v>
      </c>
      <c r="AD71" s="119"/>
      <c r="AE71" s="116"/>
      <c r="AF71" s="109">
        <f t="shared" si="154"/>
        <v>0</v>
      </c>
      <c r="AG71" s="119"/>
      <c r="AH71" s="116"/>
      <c r="AI71" s="109">
        <f t="shared" si="155"/>
        <v>0</v>
      </c>
      <c r="AJ71" s="119"/>
      <c r="AK71" s="116"/>
      <c r="AL71" s="109">
        <f t="shared" si="156"/>
        <v>0</v>
      </c>
      <c r="AM71" s="119"/>
      <c r="AN71" s="116"/>
      <c r="AO71" s="109">
        <f t="shared" si="157"/>
        <v>0</v>
      </c>
      <c r="AP71" s="119"/>
      <c r="AQ71" s="116"/>
      <c r="AR71" s="109">
        <f t="shared" si="158"/>
        <v>0</v>
      </c>
      <c r="AS71" s="119"/>
      <c r="AT71" s="116"/>
      <c r="AU71" s="109">
        <f t="shared" si="159"/>
        <v>0</v>
      </c>
      <c r="AV71" s="119"/>
      <c r="AW71" s="116"/>
      <c r="AX71" s="109">
        <f t="shared" si="160"/>
        <v>0</v>
      </c>
      <c r="AY71" s="119"/>
      <c r="AZ71" s="116"/>
      <c r="BA71" s="109">
        <f t="shared" si="161"/>
        <v>0</v>
      </c>
      <c r="BB71" s="119"/>
      <c r="BC71" s="116"/>
      <c r="BD71" s="109">
        <f t="shared" si="162"/>
        <v>0</v>
      </c>
      <c r="BE71" s="119"/>
      <c r="BF71" s="116"/>
      <c r="BG71" s="109">
        <f t="shared" si="163"/>
        <v>0</v>
      </c>
      <c r="BH71" s="119"/>
      <c r="BI71" s="116"/>
      <c r="BJ71" s="109">
        <f t="shared" si="164"/>
        <v>0</v>
      </c>
      <c r="BK71" s="119"/>
      <c r="BL71" s="116"/>
      <c r="BM71" s="109">
        <f t="shared" si="165"/>
        <v>0</v>
      </c>
      <c r="BN71" s="119"/>
      <c r="BO71" s="116"/>
      <c r="BP71" s="109">
        <f t="shared" si="166"/>
        <v>0</v>
      </c>
      <c r="BQ71" s="119"/>
      <c r="BR71" s="116"/>
      <c r="BS71" s="109">
        <f t="shared" si="167"/>
        <v>0</v>
      </c>
      <c r="BT71" s="119"/>
      <c r="BU71" s="116"/>
      <c r="BV71" s="109">
        <f t="shared" si="168"/>
        <v>0</v>
      </c>
      <c r="BW71" s="119"/>
      <c r="BX71" s="116"/>
      <c r="BY71" s="109">
        <f t="shared" si="169"/>
        <v>0</v>
      </c>
      <c r="BZ71" s="119"/>
      <c r="CA71" s="116"/>
      <c r="CB71" s="109">
        <f t="shared" si="170"/>
        <v>0</v>
      </c>
      <c r="CC71" s="119"/>
      <c r="CD71" s="116"/>
      <c r="CE71" s="109">
        <f t="shared" si="171"/>
        <v>0</v>
      </c>
      <c r="CF71" s="119"/>
      <c r="CG71" s="116"/>
      <c r="CH71" s="109">
        <f t="shared" si="172"/>
        <v>0</v>
      </c>
      <c r="CI71" s="119"/>
      <c r="CJ71" s="116"/>
      <c r="CK71" s="109">
        <f t="shared" si="173"/>
        <v>0</v>
      </c>
      <c r="CL71" s="119"/>
      <c r="CM71" s="116"/>
      <c r="CN71" s="109">
        <f t="shared" si="174"/>
        <v>0</v>
      </c>
      <c r="CO71" s="119"/>
      <c r="CP71" s="116"/>
      <c r="CQ71" s="109">
        <f t="shared" si="175"/>
        <v>0</v>
      </c>
      <c r="CR71" s="119"/>
      <c r="CS71" s="116"/>
      <c r="CT71" s="109">
        <f t="shared" si="176"/>
        <v>0</v>
      </c>
      <c r="CU71" s="119"/>
      <c r="CV71" s="116"/>
      <c r="CW71" s="109">
        <f t="shared" si="177"/>
        <v>0</v>
      </c>
      <c r="CX71" s="119"/>
      <c r="CY71" s="116"/>
      <c r="CZ71" s="109">
        <f t="shared" si="178"/>
        <v>0</v>
      </c>
      <c r="DA71" s="119"/>
      <c r="DB71" s="116"/>
      <c r="DC71" s="109">
        <f t="shared" si="179"/>
        <v>0</v>
      </c>
      <c r="DD71" s="119"/>
      <c r="DE71" s="116"/>
      <c r="DF71" s="109">
        <f t="shared" si="180"/>
        <v>0</v>
      </c>
      <c r="DG71" s="119"/>
      <c r="DH71" s="116"/>
      <c r="DI71" s="109">
        <f t="shared" si="181"/>
        <v>0</v>
      </c>
      <c r="DJ71" s="119"/>
      <c r="DK71" s="116"/>
      <c r="DL71" s="109">
        <f t="shared" si="182"/>
        <v>0</v>
      </c>
      <c r="DM71" s="119"/>
      <c r="DN71" s="116"/>
      <c r="DO71" s="109">
        <f t="shared" si="183"/>
        <v>0</v>
      </c>
      <c r="DP71" s="126"/>
      <c r="DQ71" s="110"/>
      <c r="DR71" s="111"/>
      <c r="DS71" s="112">
        <f t="shared" si="108"/>
        <v>0</v>
      </c>
      <c r="DT71" s="113">
        <f t="shared" si="148"/>
        <v>0</v>
      </c>
    </row>
    <row r="72" spans="2:125" s="86" customFormat="1" ht="21.9" customHeight="1" outlineLevel="1">
      <c r="B72" s="122" t="s">
        <v>261</v>
      </c>
      <c r="C72" s="128"/>
      <c r="D72" s="129"/>
      <c r="E72" s="130"/>
      <c r="F72" s="119"/>
      <c r="G72" s="116"/>
      <c r="H72" s="109">
        <f t="shared" si="110"/>
        <v>0</v>
      </c>
      <c r="I72" s="119"/>
      <c r="J72" s="116"/>
      <c r="K72" s="109">
        <f t="shared" si="111"/>
        <v>0</v>
      </c>
      <c r="L72" s="119"/>
      <c r="M72" s="116"/>
      <c r="N72" s="109">
        <f t="shared" si="112"/>
        <v>0</v>
      </c>
      <c r="O72" s="119"/>
      <c r="P72" s="116"/>
      <c r="Q72" s="109">
        <f t="shared" si="149"/>
        <v>0</v>
      </c>
      <c r="R72" s="119"/>
      <c r="S72" s="116"/>
      <c r="T72" s="109">
        <f t="shared" si="150"/>
        <v>0</v>
      </c>
      <c r="U72" s="119"/>
      <c r="V72" s="116"/>
      <c r="W72" s="109">
        <f t="shared" si="151"/>
        <v>0</v>
      </c>
      <c r="X72" s="119"/>
      <c r="Y72" s="116"/>
      <c r="Z72" s="109">
        <f t="shared" si="152"/>
        <v>0</v>
      </c>
      <c r="AA72" s="119"/>
      <c r="AB72" s="116"/>
      <c r="AC72" s="109">
        <f t="shared" si="153"/>
        <v>0</v>
      </c>
      <c r="AD72" s="119"/>
      <c r="AE72" s="116"/>
      <c r="AF72" s="109">
        <f t="shared" si="154"/>
        <v>0</v>
      </c>
      <c r="AG72" s="119"/>
      <c r="AH72" s="116"/>
      <c r="AI72" s="109">
        <f t="shared" si="155"/>
        <v>0</v>
      </c>
      <c r="AJ72" s="119"/>
      <c r="AK72" s="116"/>
      <c r="AL72" s="109">
        <f t="shared" si="156"/>
        <v>0</v>
      </c>
      <c r="AM72" s="119"/>
      <c r="AN72" s="116"/>
      <c r="AO72" s="109">
        <f t="shared" si="157"/>
        <v>0</v>
      </c>
      <c r="AP72" s="119"/>
      <c r="AQ72" s="116"/>
      <c r="AR72" s="109">
        <f t="shared" si="158"/>
        <v>0</v>
      </c>
      <c r="AS72" s="119"/>
      <c r="AT72" s="116"/>
      <c r="AU72" s="109">
        <f t="shared" si="159"/>
        <v>0</v>
      </c>
      <c r="AV72" s="119"/>
      <c r="AW72" s="116"/>
      <c r="AX72" s="109">
        <f t="shared" si="160"/>
        <v>0</v>
      </c>
      <c r="AY72" s="119"/>
      <c r="AZ72" s="116"/>
      <c r="BA72" s="109">
        <f t="shared" si="161"/>
        <v>0</v>
      </c>
      <c r="BB72" s="119"/>
      <c r="BC72" s="116"/>
      <c r="BD72" s="109">
        <f t="shared" si="162"/>
        <v>0</v>
      </c>
      <c r="BE72" s="119"/>
      <c r="BF72" s="116"/>
      <c r="BG72" s="109">
        <f t="shared" si="163"/>
        <v>0</v>
      </c>
      <c r="BH72" s="119"/>
      <c r="BI72" s="116"/>
      <c r="BJ72" s="109">
        <f t="shared" si="164"/>
        <v>0</v>
      </c>
      <c r="BK72" s="119"/>
      <c r="BL72" s="116"/>
      <c r="BM72" s="109">
        <f t="shared" si="165"/>
        <v>0</v>
      </c>
      <c r="BN72" s="119"/>
      <c r="BO72" s="116"/>
      <c r="BP72" s="109">
        <f t="shared" si="166"/>
        <v>0</v>
      </c>
      <c r="BQ72" s="119"/>
      <c r="BR72" s="116"/>
      <c r="BS72" s="109">
        <f t="shared" si="167"/>
        <v>0</v>
      </c>
      <c r="BT72" s="119"/>
      <c r="BU72" s="116"/>
      <c r="BV72" s="109">
        <f t="shared" si="168"/>
        <v>0</v>
      </c>
      <c r="BW72" s="119"/>
      <c r="BX72" s="116"/>
      <c r="BY72" s="109">
        <f t="shared" si="169"/>
        <v>0</v>
      </c>
      <c r="BZ72" s="119"/>
      <c r="CA72" s="116"/>
      <c r="CB72" s="109">
        <f t="shared" si="170"/>
        <v>0</v>
      </c>
      <c r="CC72" s="119"/>
      <c r="CD72" s="116"/>
      <c r="CE72" s="109">
        <f t="shared" si="171"/>
        <v>0</v>
      </c>
      <c r="CF72" s="119"/>
      <c r="CG72" s="116"/>
      <c r="CH72" s="109">
        <f t="shared" si="172"/>
        <v>0</v>
      </c>
      <c r="CI72" s="119"/>
      <c r="CJ72" s="116"/>
      <c r="CK72" s="109">
        <f t="shared" si="173"/>
        <v>0</v>
      </c>
      <c r="CL72" s="119"/>
      <c r="CM72" s="116"/>
      <c r="CN72" s="109">
        <f t="shared" si="174"/>
        <v>0</v>
      </c>
      <c r="CO72" s="119"/>
      <c r="CP72" s="116"/>
      <c r="CQ72" s="109">
        <f t="shared" si="175"/>
        <v>0</v>
      </c>
      <c r="CR72" s="119"/>
      <c r="CS72" s="116"/>
      <c r="CT72" s="109">
        <f t="shared" si="176"/>
        <v>0</v>
      </c>
      <c r="CU72" s="119"/>
      <c r="CV72" s="116"/>
      <c r="CW72" s="109">
        <f t="shared" si="177"/>
        <v>0</v>
      </c>
      <c r="CX72" s="119"/>
      <c r="CY72" s="116"/>
      <c r="CZ72" s="109">
        <f t="shared" si="178"/>
        <v>0</v>
      </c>
      <c r="DA72" s="119"/>
      <c r="DB72" s="116"/>
      <c r="DC72" s="109">
        <f t="shared" si="179"/>
        <v>0</v>
      </c>
      <c r="DD72" s="119"/>
      <c r="DE72" s="116"/>
      <c r="DF72" s="109">
        <f t="shared" si="180"/>
        <v>0</v>
      </c>
      <c r="DG72" s="119"/>
      <c r="DH72" s="116"/>
      <c r="DI72" s="109">
        <f t="shared" si="181"/>
        <v>0</v>
      </c>
      <c r="DJ72" s="119"/>
      <c r="DK72" s="116"/>
      <c r="DL72" s="109">
        <f t="shared" si="182"/>
        <v>0</v>
      </c>
      <c r="DM72" s="119"/>
      <c r="DN72" s="116"/>
      <c r="DO72" s="109">
        <f t="shared" si="183"/>
        <v>0</v>
      </c>
      <c r="DP72" s="126"/>
      <c r="DQ72" s="110"/>
      <c r="DR72" s="111"/>
      <c r="DS72" s="112">
        <f t="shared" si="108"/>
        <v>0</v>
      </c>
      <c r="DT72" s="113">
        <f t="shared" si="148"/>
        <v>0</v>
      </c>
    </row>
    <row r="73" spans="2:125" s="86" customFormat="1" ht="21.9" customHeight="1" outlineLevel="1">
      <c r="B73" s="122" t="s">
        <v>262</v>
      </c>
      <c r="C73" s="128"/>
      <c r="D73" s="129"/>
      <c r="E73" s="130"/>
      <c r="F73" s="119"/>
      <c r="G73" s="116"/>
      <c r="H73" s="109">
        <f>G73*F73*$E73</f>
        <v>0</v>
      </c>
      <c r="I73" s="119"/>
      <c r="J73" s="116"/>
      <c r="K73" s="109">
        <f>J73*I73*$E73</f>
        <v>0</v>
      </c>
      <c r="L73" s="119"/>
      <c r="M73" s="116"/>
      <c r="N73" s="109">
        <f>M73*L73*$E73</f>
        <v>0</v>
      </c>
      <c r="O73" s="119"/>
      <c r="P73" s="116"/>
      <c r="Q73" s="109">
        <f>P73*O73*$E73</f>
        <v>0</v>
      </c>
      <c r="R73" s="119"/>
      <c r="S73" s="116"/>
      <c r="T73" s="109">
        <f>S73*R73*$E73</f>
        <v>0</v>
      </c>
      <c r="U73" s="119"/>
      <c r="V73" s="116"/>
      <c r="W73" s="109">
        <f>V73*U73*$E73</f>
        <v>0</v>
      </c>
      <c r="X73" s="119"/>
      <c r="Y73" s="116"/>
      <c r="Z73" s="109">
        <f>Y73*X73*$E73</f>
        <v>0</v>
      </c>
      <c r="AA73" s="119"/>
      <c r="AB73" s="116"/>
      <c r="AC73" s="109">
        <f>AB73*AA73*$E73</f>
        <v>0</v>
      </c>
      <c r="AD73" s="119"/>
      <c r="AE73" s="116"/>
      <c r="AF73" s="109">
        <f>AE73*AD73*$E73</f>
        <v>0</v>
      </c>
      <c r="AG73" s="119"/>
      <c r="AH73" s="116"/>
      <c r="AI73" s="109">
        <f>AH73*AG73*$E73</f>
        <v>0</v>
      </c>
      <c r="AJ73" s="119"/>
      <c r="AK73" s="116"/>
      <c r="AL73" s="109">
        <f>AK73*AJ73*$E73</f>
        <v>0</v>
      </c>
      <c r="AM73" s="119"/>
      <c r="AN73" s="116"/>
      <c r="AO73" s="109">
        <f>AN73*AM73*$E73</f>
        <v>0</v>
      </c>
      <c r="AP73" s="119"/>
      <c r="AQ73" s="116"/>
      <c r="AR73" s="109">
        <f>AQ73*AP73*$E73</f>
        <v>0</v>
      </c>
      <c r="AS73" s="119"/>
      <c r="AT73" s="116"/>
      <c r="AU73" s="109">
        <f>AT73*AS73*$E73</f>
        <v>0</v>
      </c>
      <c r="AV73" s="119"/>
      <c r="AW73" s="116"/>
      <c r="AX73" s="109">
        <f>AW73*AV73*$E73</f>
        <v>0</v>
      </c>
      <c r="AY73" s="119"/>
      <c r="AZ73" s="116"/>
      <c r="BA73" s="109">
        <f>AZ73*AY73*$E73</f>
        <v>0</v>
      </c>
      <c r="BB73" s="119"/>
      <c r="BC73" s="116"/>
      <c r="BD73" s="109">
        <f>BC73*BB73*$E73</f>
        <v>0</v>
      </c>
      <c r="BE73" s="119"/>
      <c r="BF73" s="116"/>
      <c r="BG73" s="109">
        <f>BF73*BE73*$E73</f>
        <v>0</v>
      </c>
      <c r="BH73" s="119"/>
      <c r="BI73" s="116"/>
      <c r="BJ73" s="109">
        <f>BI73*BH73*$E73</f>
        <v>0</v>
      </c>
      <c r="BK73" s="119"/>
      <c r="BL73" s="116"/>
      <c r="BM73" s="109">
        <f>BL73*BK73*$E73</f>
        <v>0</v>
      </c>
      <c r="BN73" s="119"/>
      <c r="BO73" s="116"/>
      <c r="BP73" s="109">
        <f>BO73*BN73*$E73</f>
        <v>0</v>
      </c>
      <c r="BQ73" s="119"/>
      <c r="BR73" s="116"/>
      <c r="BS73" s="109">
        <f>BR73*BQ73*$E73</f>
        <v>0</v>
      </c>
      <c r="BT73" s="119"/>
      <c r="BU73" s="116"/>
      <c r="BV73" s="109">
        <f>BU73*BT73*$E73</f>
        <v>0</v>
      </c>
      <c r="BW73" s="119"/>
      <c r="BX73" s="116"/>
      <c r="BY73" s="109">
        <f>BX73*BW73*$E73</f>
        <v>0</v>
      </c>
      <c r="BZ73" s="119"/>
      <c r="CA73" s="116"/>
      <c r="CB73" s="109">
        <f>CA73*BZ73*$E73</f>
        <v>0</v>
      </c>
      <c r="CC73" s="119"/>
      <c r="CD73" s="116"/>
      <c r="CE73" s="109">
        <f>CD73*CC73*$E73</f>
        <v>0</v>
      </c>
      <c r="CF73" s="119"/>
      <c r="CG73" s="116"/>
      <c r="CH73" s="109">
        <f>CG73*CF73*$E73</f>
        <v>0</v>
      </c>
      <c r="CI73" s="119"/>
      <c r="CJ73" s="116"/>
      <c r="CK73" s="109">
        <f>CJ73*CI73*$E73</f>
        <v>0</v>
      </c>
      <c r="CL73" s="119"/>
      <c r="CM73" s="116"/>
      <c r="CN73" s="109">
        <f>CM73*CL73*$E73</f>
        <v>0</v>
      </c>
      <c r="CO73" s="119"/>
      <c r="CP73" s="116"/>
      <c r="CQ73" s="109">
        <f>CP73*CO73*$E73</f>
        <v>0</v>
      </c>
      <c r="CR73" s="119"/>
      <c r="CS73" s="116"/>
      <c r="CT73" s="109">
        <f>CS73*CR73*$E73</f>
        <v>0</v>
      </c>
      <c r="CU73" s="119"/>
      <c r="CV73" s="116"/>
      <c r="CW73" s="109">
        <f>CV73*CU73*$E73</f>
        <v>0</v>
      </c>
      <c r="CX73" s="119"/>
      <c r="CY73" s="116"/>
      <c r="CZ73" s="109">
        <f>CY73*CX73*$E73</f>
        <v>0</v>
      </c>
      <c r="DA73" s="119"/>
      <c r="DB73" s="116"/>
      <c r="DC73" s="109">
        <f>DB73*DA73*$E73</f>
        <v>0</v>
      </c>
      <c r="DD73" s="119"/>
      <c r="DE73" s="116"/>
      <c r="DF73" s="109">
        <f>DE73*DD73*$E73</f>
        <v>0</v>
      </c>
      <c r="DG73" s="119"/>
      <c r="DH73" s="116"/>
      <c r="DI73" s="109">
        <f>DH73*DG73*$E73</f>
        <v>0</v>
      </c>
      <c r="DJ73" s="119"/>
      <c r="DK73" s="116"/>
      <c r="DL73" s="109">
        <f>DK73*DJ73*$E73</f>
        <v>0</v>
      </c>
      <c r="DM73" s="119"/>
      <c r="DN73" s="116"/>
      <c r="DO73" s="109">
        <f>DN73*DM73*$E73</f>
        <v>0</v>
      </c>
      <c r="DP73" s="126"/>
      <c r="DQ73" s="110"/>
      <c r="DR73" s="111"/>
      <c r="DS73" s="112">
        <f t="shared" si="108"/>
        <v>0</v>
      </c>
      <c r="DT73" s="113">
        <f t="shared" si="148"/>
        <v>0</v>
      </c>
    </row>
    <row r="74" spans="2:125" s="86" customFormat="1" ht="21.9" customHeight="1" outlineLevel="1">
      <c r="B74" s="122" t="s">
        <v>263</v>
      </c>
      <c r="C74" s="128"/>
      <c r="D74" s="129"/>
      <c r="E74" s="130"/>
      <c r="F74" s="119"/>
      <c r="G74" s="116"/>
      <c r="H74" s="109">
        <f>G74*F74*$E74</f>
        <v>0</v>
      </c>
      <c r="I74" s="119"/>
      <c r="J74" s="116"/>
      <c r="K74" s="109">
        <f>J74*I74*$E74</f>
        <v>0</v>
      </c>
      <c r="L74" s="119"/>
      <c r="M74" s="116"/>
      <c r="N74" s="109">
        <f>M74*L74*$E74</f>
        <v>0</v>
      </c>
      <c r="O74" s="119"/>
      <c r="P74" s="116"/>
      <c r="Q74" s="109">
        <f>P74*O74*$E74</f>
        <v>0</v>
      </c>
      <c r="R74" s="119"/>
      <c r="S74" s="116"/>
      <c r="T74" s="109">
        <f>S74*R74*$E74</f>
        <v>0</v>
      </c>
      <c r="U74" s="119"/>
      <c r="V74" s="116"/>
      <c r="W74" s="109">
        <f>V74*U74*$E74</f>
        <v>0</v>
      </c>
      <c r="X74" s="119"/>
      <c r="Y74" s="116"/>
      <c r="Z74" s="109">
        <f>Y74*X74*$E74</f>
        <v>0</v>
      </c>
      <c r="AA74" s="119"/>
      <c r="AB74" s="116"/>
      <c r="AC74" s="109">
        <f>AB74*AA74*$E74</f>
        <v>0</v>
      </c>
      <c r="AD74" s="119"/>
      <c r="AE74" s="116"/>
      <c r="AF74" s="109">
        <f>AE74*AD74*$E74</f>
        <v>0</v>
      </c>
      <c r="AG74" s="119"/>
      <c r="AH74" s="116"/>
      <c r="AI74" s="109">
        <f>AH74*AG74*$E74</f>
        <v>0</v>
      </c>
      <c r="AJ74" s="119"/>
      <c r="AK74" s="116"/>
      <c r="AL74" s="109">
        <f>AK74*AJ74*$E74</f>
        <v>0</v>
      </c>
      <c r="AM74" s="119"/>
      <c r="AN74" s="116"/>
      <c r="AO74" s="109">
        <f>AN74*AM74*$E74</f>
        <v>0</v>
      </c>
      <c r="AP74" s="119"/>
      <c r="AQ74" s="116"/>
      <c r="AR74" s="109">
        <f>AQ74*AP74*$E74</f>
        <v>0</v>
      </c>
      <c r="AS74" s="119"/>
      <c r="AT74" s="116"/>
      <c r="AU74" s="109">
        <f>AT74*AS74*$E74</f>
        <v>0</v>
      </c>
      <c r="AV74" s="119"/>
      <c r="AW74" s="116"/>
      <c r="AX74" s="109">
        <f>AW74*AV74*$E74</f>
        <v>0</v>
      </c>
      <c r="AY74" s="119"/>
      <c r="AZ74" s="116"/>
      <c r="BA74" s="109">
        <f>AZ74*AY74*$E74</f>
        <v>0</v>
      </c>
      <c r="BB74" s="119"/>
      <c r="BC74" s="116"/>
      <c r="BD74" s="109">
        <f>BC74*BB74*$E74</f>
        <v>0</v>
      </c>
      <c r="BE74" s="119"/>
      <c r="BF74" s="116"/>
      <c r="BG74" s="109">
        <f>BF74*BE74*$E74</f>
        <v>0</v>
      </c>
      <c r="BH74" s="119"/>
      <c r="BI74" s="116"/>
      <c r="BJ74" s="109">
        <f>BI74*BH74*$E74</f>
        <v>0</v>
      </c>
      <c r="BK74" s="119"/>
      <c r="BL74" s="116"/>
      <c r="BM74" s="109">
        <f>BL74*BK74*$E74</f>
        <v>0</v>
      </c>
      <c r="BN74" s="119"/>
      <c r="BO74" s="116"/>
      <c r="BP74" s="109">
        <f>BO74*BN74*$E74</f>
        <v>0</v>
      </c>
      <c r="BQ74" s="119"/>
      <c r="BR74" s="116"/>
      <c r="BS74" s="109">
        <f>BR74*BQ74*$E74</f>
        <v>0</v>
      </c>
      <c r="BT74" s="119"/>
      <c r="BU74" s="116"/>
      <c r="BV74" s="109">
        <f>BU74*BT74*$E74</f>
        <v>0</v>
      </c>
      <c r="BW74" s="119"/>
      <c r="BX74" s="116"/>
      <c r="BY74" s="109">
        <f>BX74*BW74*$E74</f>
        <v>0</v>
      </c>
      <c r="BZ74" s="119"/>
      <c r="CA74" s="116"/>
      <c r="CB74" s="109">
        <f>CA74*BZ74*$E74</f>
        <v>0</v>
      </c>
      <c r="CC74" s="119"/>
      <c r="CD74" s="116"/>
      <c r="CE74" s="109">
        <f>CD74*CC74*$E74</f>
        <v>0</v>
      </c>
      <c r="CF74" s="119"/>
      <c r="CG74" s="116"/>
      <c r="CH74" s="109">
        <f>CG74*CF74*$E74</f>
        <v>0</v>
      </c>
      <c r="CI74" s="119"/>
      <c r="CJ74" s="116"/>
      <c r="CK74" s="109">
        <f>CJ74*CI74*$E74</f>
        <v>0</v>
      </c>
      <c r="CL74" s="119"/>
      <c r="CM74" s="116"/>
      <c r="CN74" s="109">
        <f>CM74*CL74*$E74</f>
        <v>0</v>
      </c>
      <c r="CO74" s="119"/>
      <c r="CP74" s="116"/>
      <c r="CQ74" s="109">
        <f>CP74*CO74*$E74</f>
        <v>0</v>
      </c>
      <c r="CR74" s="119"/>
      <c r="CS74" s="116"/>
      <c r="CT74" s="109">
        <f>CS74*CR74*$E74</f>
        <v>0</v>
      </c>
      <c r="CU74" s="119"/>
      <c r="CV74" s="116"/>
      <c r="CW74" s="109">
        <f>CV74*CU74*$E74</f>
        <v>0</v>
      </c>
      <c r="CX74" s="119"/>
      <c r="CY74" s="116"/>
      <c r="CZ74" s="109">
        <f>CY74*CX74*$E74</f>
        <v>0</v>
      </c>
      <c r="DA74" s="119"/>
      <c r="DB74" s="116"/>
      <c r="DC74" s="109">
        <f>DB74*DA74*$E74</f>
        <v>0</v>
      </c>
      <c r="DD74" s="119"/>
      <c r="DE74" s="116"/>
      <c r="DF74" s="109">
        <f>DE74*DD74*$E74</f>
        <v>0</v>
      </c>
      <c r="DG74" s="119"/>
      <c r="DH74" s="116"/>
      <c r="DI74" s="109">
        <f>DH74*DG74*$E74</f>
        <v>0</v>
      </c>
      <c r="DJ74" s="119"/>
      <c r="DK74" s="116"/>
      <c r="DL74" s="109">
        <f>DK74*DJ74*$E74</f>
        <v>0</v>
      </c>
      <c r="DM74" s="119"/>
      <c r="DN74" s="116"/>
      <c r="DO74" s="109">
        <f>DN74*DM74*$E74</f>
        <v>0</v>
      </c>
      <c r="DP74" s="126"/>
      <c r="DQ74" s="110"/>
      <c r="DR74" s="111"/>
      <c r="DS74" s="112">
        <f t="shared" si="108"/>
        <v>0</v>
      </c>
      <c r="DT74" s="113">
        <f t="shared" si="148"/>
        <v>0</v>
      </c>
    </row>
    <row r="75" spans="2:125" s="86" customFormat="1" ht="21.9" customHeight="1" outlineLevel="1">
      <c r="B75" s="122" t="s">
        <v>264</v>
      </c>
      <c r="C75" s="128"/>
      <c r="D75" s="129"/>
      <c r="E75" s="130"/>
      <c r="F75" s="119"/>
      <c r="G75" s="116"/>
      <c r="H75" s="109">
        <f t="shared" si="110"/>
        <v>0</v>
      </c>
      <c r="I75" s="119"/>
      <c r="J75" s="116"/>
      <c r="K75" s="109">
        <f t="shared" si="111"/>
        <v>0</v>
      </c>
      <c r="L75" s="119"/>
      <c r="M75" s="116"/>
      <c r="N75" s="109">
        <f t="shared" si="112"/>
        <v>0</v>
      </c>
      <c r="O75" s="119"/>
      <c r="P75" s="116"/>
      <c r="Q75" s="109">
        <f t="shared" si="149"/>
        <v>0</v>
      </c>
      <c r="R75" s="119"/>
      <c r="S75" s="116"/>
      <c r="T75" s="109">
        <f t="shared" si="150"/>
        <v>0</v>
      </c>
      <c r="U75" s="119"/>
      <c r="V75" s="116"/>
      <c r="W75" s="109">
        <f t="shared" ref="W75:W77" si="184">V75*U75*$E75</f>
        <v>0</v>
      </c>
      <c r="X75" s="119"/>
      <c r="Y75" s="116"/>
      <c r="Z75" s="109">
        <f t="shared" ref="Z75:Z77" si="185">Y75*X75*$E75</f>
        <v>0</v>
      </c>
      <c r="AA75" s="119"/>
      <c r="AB75" s="116"/>
      <c r="AC75" s="109">
        <f t="shared" ref="AC75:AC77" si="186">AB75*AA75*$E75</f>
        <v>0</v>
      </c>
      <c r="AD75" s="119"/>
      <c r="AE75" s="116"/>
      <c r="AF75" s="109">
        <f t="shared" ref="AF75:AF77" si="187">AE75*AD75*$E75</f>
        <v>0</v>
      </c>
      <c r="AG75" s="119"/>
      <c r="AH75" s="116"/>
      <c r="AI75" s="109">
        <f t="shared" ref="AI75:AI77" si="188">AH75*AG75*$E75</f>
        <v>0</v>
      </c>
      <c r="AJ75" s="119"/>
      <c r="AK75" s="116"/>
      <c r="AL75" s="109">
        <f t="shared" ref="AL75:AL77" si="189">AK75*AJ75*$E75</f>
        <v>0</v>
      </c>
      <c r="AM75" s="119"/>
      <c r="AN75" s="116"/>
      <c r="AO75" s="109">
        <f t="shared" ref="AO75:AO77" si="190">AN75*AM75*$E75</f>
        <v>0</v>
      </c>
      <c r="AP75" s="119"/>
      <c r="AQ75" s="116"/>
      <c r="AR75" s="109">
        <f t="shared" ref="AR75:AR77" si="191">AQ75*AP75*$E75</f>
        <v>0</v>
      </c>
      <c r="AS75" s="119"/>
      <c r="AT75" s="116"/>
      <c r="AU75" s="109">
        <f t="shared" ref="AU75:AU77" si="192">AT75*AS75*$E75</f>
        <v>0</v>
      </c>
      <c r="AV75" s="119"/>
      <c r="AW75" s="116"/>
      <c r="AX75" s="109">
        <f t="shared" ref="AX75:AX77" si="193">AW75*AV75*$E75</f>
        <v>0</v>
      </c>
      <c r="AY75" s="119"/>
      <c r="AZ75" s="116"/>
      <c r="BA75" s="109">
        <f t="shared" ref="BA75:BA77" si="194">AZ75*AY75*$E75</f>
        <v>0</v>
      </c>
      <c r="BB75" s="119"/>
      <c r="BC75" s="116"/>
      <c r="BD75" s="109">
        <f t="shared" ref="BD75:BD77" si="195">BC75*BB75*$E75</f>
        <v>0</v>
      </c>
      <c r="BE75" s="119"/>
      <c r="BF75" s="116"/>
      <c r="BG75" s="109">
        <f t="shared" ref="BG75:BG77" si="196">BF75*BE75*$E75</f>
        <v>0</v>
      </c>
      <c r="BH75" s="119"/>
      <c r="BI75" s="116"/>
      <c r="BJ75" s="109">
        <f t="shared" ref="BJ75:BJ77" si="197">BI75*BH75*$E75</f>
        <v>0</v>
      </c>
      <c r="BK75" s="119"/>
      <c r="BL75" s="116"/>
      <c r="BM75" s="109">
        <f t="shared" ref="BM75:BM77" si="198">BL75*BK75*$E75</f>
        <v>0</v>
      </c>
      <c r="BN75" s="119"/>
      <c r="BO75" s="116"/>
      <c r="BP75" s="109">
        <f t="shared" ref="BP75:BP77" si="199">BO75*BN75*$E75</f>
        <v>0</v>
      </c>
      <c r="BQ75" s="119"/>
      <c r="BR75" s="116"/>
      <c r="BS75" s="109">
        <f t="shared" ref="BS75:BS77" si="200">BR75*BQ75*$E75</f>
        <v>0</v>
      </c>
      <c r="BT75" s="119"/>
      <c r="BU75" s="116"/>
      <c r="BV75" s="109">
        <f t="shared" ref="BV75:BV77" si="201">BU75*BT75*$E75</f>
        <v>0</v>
      </c>
      <c r="BW75" s="119"/>
      <c r="BX75" s="116"/>
      <c r="BY75" s="109">
        <f t="shared" ref="BY75:BY77" si="202">BX75*BW75*$E75</f>
        <v>0</v>
      </c>
      <c r="BZ75" s="119"/>
      <c r="CA75" s="116"/>
      <c r="CB75" s="109">
        <f t="shared" ref="CB75:CB77" si="203">CA75*BZ75*$E75</f>
        <v>0</v>
      </c>
      <c r="CC75" s="119"/>
      <c r="CD75" s="116"/>
      <c r="CE75" s="109">
        <f t="shared" ref="CE75:CE77" si="204">CD75*CC75*$E75</f>
        <v>0</v>
      </c>
      <c r="CF75" s="119"/>
      <c r="CG75" s="116"/>
      <c r="CH75" s="109">
        <f t="shared" ref="CH75:CH77" si="205">CG75*CF75*$E75</f>
        <v>0</v>
      </c>
      <c r="CI75" s="119"/>
      <c r="CJ75" s="116"/>
      <c r="CK75" s="109">
        <f t="shared" ref="CK75:CK77" si="206">CJ75*CI75*$E75</f>
        <v>0</v>
      </c>
      <c r="CL75" s="119"/>
      <c r="CM75" s="116"/>
      <c r="CN75" s="109">
        <f t="shared" ref="CN75:CN77" si="207">CM75*CL75*$E75</f>
        <v>0</v>
      </c>
      <c r="CO75" s="119"/>
      <c r="CP75" s="116"/>
      <c r="CQ75" s="109">
        <f t="shared" ref="CQ75:CQ77" si="208">CP75*CO75*$E75</f>
        <v>0</v>
      </c>
      <c r="CR75" s="119"/>
      <c r="CS75" s="116"/>
      <c r="CT75" s="109">
        <f t="shared" ref="CT75:CT77" si="209">CS75*CR75*$E75</f>
        <v>0</v>
      </c>
      <c r="CU75" s="119"/>
      <c r="CV75" s="116"/>
      <c r="CW75" s="109">
        <f t="shared" ref="CW75:CW77" si="210">CV75*CU75*$E75</f>
        <v>0</v>
      </c>
      <c r="CX75" s="119"/>
      <c r="CY75" s="116"/>
      <c r="CZ75" s="109">
        <f t="shared" ref="CZ75:CZ77" si="211">CY75*CX75*$E75</f>
        <v>0</v>
      </c>
      <c r="DA75" s="119"/>
      <c r="DB75" s="116"/>
      <c r="DC75" s="109">
        <f t="shared" ref="DC75:DC77" si="212">DB75*DA75*$E75</f>
        <v>0</v>
      </c>
      <c r="DD75" s="119"/>
      <c r="DE75" s="116"/>
      <c r="DF75" s="109">
        <f t="shared" ref="DF75:DF77" si="213">DE75*DD75*$E75</f>
        <v>0</v>
      </c>
      <c r="DG75" s="119"/>
      <c r="DH75" s="116"/>
      <c r="DI75" s="109">
        <f t="shared" ref="DI75:DI77" si="214">DH75*DG75*$E75</f>
        <v>0</v>
      </c>
      <c r="DJ75" s="119"/>
      <c r="DK75" s="116"/>
      <c r="DL75" s="109">
        <f t="shared" ref="DL75:DL77" si="215">DK75*DJ75*$E75</f>
        <v>0</v>
      </c>
      <c r="DM75" s="119"/>
      <c r="DN75" s="116"/>
      <c r="DO75" s="109">
        <f t="shared" ref="DO75:DO77" si="216">DN75*DM75*$E75</f>
        <v>0</v>
      </c>
      <c r="DP75" s="126"/>
      <c r="DQ75" s="110"/>
      <c r="DR75" s="111"/>
      <c r="DS75" s="112">
        <f t="shared" si="108"/>
        <v>0</v>
      </c>
      <c r="DT75" s="113">
        <f t="shared" si="148"/>
        <v>0</v>
      </c>
    </row>
    <row r="76" spans="2:125" s="86" customFormat="1" ht="21.9" customHeight="1" outlineLevel="1">
      <c r="B76" s="122" t="s">
        <v>265</v>
      </c>
      <c r="C76" s="128"/>
      <c r="D76" s="129"/>
      <c r="E76" s="130"/>
      <c r="F76" s="119"/>
      <c r="G76" s="116"/>
      <c r="H76" s="109">
        <f t="shared" si="110"/>
        <v>0</v>
      </c>
      <c r="I76" s="119"/>
      <c r="J76" s="116"/>
      <c r="K76" s="109">
        <f t="shared" si="111"/>
        <v>0</v>
      </c>
      <c r="L76" s="119"/>
      <c r="M76" s="116"/>
      <c r="N76" s="109">
        <f t="shared" si="112"/>
        <v>0</v>
      </c>
      <c r="O76" s="119"/>
      <c r="P76" s="116"/>
      <c r="Q76" s="109">
        <f t="shared" si="149"/>
        <v>0</v>
      </c>
      <c r="R76" s="119"/>
      <c r="S76" s="116"/>
      <c r="T76" s="109">
        <f t="shared" si="150"/>
        <v>0</v>
      </c>
      <c r="U76" s="119"/>
      <c r="V76" s="116"/>
      <c r="W76" s="109">
        <f t="shared" si="184"/>
        <v>0</v>
      </c>
      <c r="X76" s="119"/>
      <c r="Y76" s="116"/>
      <c r="Z76" s="109">
        <f t="shared" si="185"/>
        <v>0</v>
      </c>
      <c r="AA76" s="119"/>
      <c r="AB76" s="116"/>
      <c r="AC76" s="109">
        <f t="shared" si="186"/>
        <v>0</v>
      </c>
      <c r="AD76" s="119"/>
      <c r="AE76" s="116"/>
      <c r="AF76" s="109">
        <f t="shared" si="187"/>
        <v>0</v>
      </c>
      <c r="AG76" s="119"/>
      <c r="AH76" s="116"/>
      <c r="AI76" s="109">
        <f t="shared" si="188"/>
        <v>0</v>
      </c>
      <c r="AJ76" s="119"/>
      <c r="AK76" s="116"/>
      <c r="AL76" s="109">
        <f t="shared" si="189"/>
        <v>0</v>
      </c>
      <c r="AM76" s="119"/>
      <c r="AN76" s="116"/>
      <c r="AO76" s="109">
        <f t="shared" si="190"/>
        <v>0</v>
      </c>
      <c r="AP76" s="119"/>
      <c r="AQ76" s="116"/>
      <c r="AR76" s="109">
        <f t="shared" si="191"/>
        <v>0</v>
      </c>
      <c r="AS76" s="119"/>
      <c r="AT76" s="116"/>
      <c r="AU76" s="109">
        <f t="shared" si="192"/>
        <v>0</v>
      </c>
      <c r="AV76" s="119"/>
      <c r="AW76" s="116"/>
      <c r="AX76" s="109">
        <f t="shared" si="193"/>
        <v>0</v>
      </c>
      <c r="AY76" s="119"/>
      <c r="AZ76" s="116"/>
      <c r="BA76" s="109">
        <f t="shared" si="194"/>
        <v>0</v>
      </c>
      <c r="BB76" s="119"/>
      <c r="BC76" s="116"/>
      <c r="BD76" s="109">
        <f t="shared" si="195"/>
        <v>0</v>
      </c>
      <c r="BE76" s="119"/>
      <c r="BF76" s="116"/>
      <c r="BG76" s="109">
        <f t="shared" si="196"/>
        <v>0</v>
      </c>
      <c r="BH76" s="119"/>
      <c r="BI76" s="116"/>
      <c r="BJ76" s="109">
        <f t="shared" si="197"/>
        <v>0</v>
      </c>
      <c r="BK76" s="119"/>
      <c r="BL76" s="116"/>
      <c r="BM76" s="109">
        <f t="shared" si="198"/>
        <v>0</v>
      </c>
      <c r="BN76" s="119"/>
      <c r="BO76" s="116"/>
      <c r="BP76" s="109">
        <f t="shared" si="199"/>
        <v>0</v>
      </c>
      <c r="BQ76" s="119"/>
      <c r="BR76" s="116"/>
      <c r="BS76" s="109">
        <f t="shared" si="200"/>
        <v>0</v>
      </c>
      <c r="BT76" s="119"/>
      <c r="BU76" s="116"/>
      <c r="BV76" s="109">
        <f t="shared" si="201"/>
        <v>0</v>
      </c>
      <c r="BW76" s="119"/>
      <c r="BX76" s="116"/>
      <c r="BY76" s="109">
        <f t="shared" si="202"/>
        <v>0</v>
      </c>
      <c r="BZ76" s="119"/>
      <c r="CA76" s="116"/>
      <c r="CB76" s="109">
        <f t="shared" si="203"/>
        <v>0</v>
      </c>
      <c r="CC76" s="119"/>
      <c r="CD76" s="116"/>
      <c r="CE76" s="109">
        <f t="shared" si="204"/>
        <v>0</v>
      </c>
      <c r="CF76" s="119"/>
      <c r="CG76" s="116"/>
      <c r="CH76" s="109">
        <f t="shared" si="205"/>
        <v>0</v>
      </c>
      <c r="CI76" s="119"/>
      <c r="CJ76" s="116"/>
      <c r="CK76" s="109">
        <f t="shared" si="206"/>
        <v>0</v>
      </c>
      <c r="CL76" s="119"/>
      <c r="CM76" s="116"/>
      <c r="CN76" s="109">
        <f t="shared" si="207"/>
        <v>0</v>
      </c>
      <c r="CO76" s="119"/>
      <c r="CP76" s="116"/>
      <c r="CQ76" s="109">
        <f t="shared" si="208"/>
        <v>0</v>
      </c>
      <c r="CR76" s="119"/>
      <c r="CS76" s="116"/>
      <c r="CT76" s="109">
        <f t="shared" si="209"/>
        <v>0</v>
      </c>
      <c r="CU76" s="119"/>
      <c r="CV76" s="116"/>
      <c r="CW76" s="109">
        <f t="shared" si="210"/>
        <v>0</v>
      </c>
      <c r="CX76" s="119"/>
      <c r="CY76" s="116"/>
      <c r="CZ76" s="109">
        <f t="shared" si="211"/>
        <v>0</v>
      </c>
      <c r="DA76" s="119"/>
      <c r="DB76" s="116"/>
      <c r="DC76" s="109">
        <f t="shared" si="212"/>
        <v>0</v>
      </c>
      <c r="DD76" s="119"/>
      <c r="DE76" s="116"/>
      <c r="DF76" s="109">
        <f t="shared" si="213"/>
        <v>0</v>
      </c>
      <c r="DG76" s="119"/>
      <c r="DH76" s="116"/>
      <c r="DI76" s="109">
        <f t="shared" si="214"/>
        <v>0</v>
      </c>
      <c r="DJ76" s="119"/>
      <c r="DK76" s="116"/>
      <c r="DL76" s="109">
        <f t="shared" si="215"/>
        <v>0</v>
      </c>
      <c r="DM76" s="119"/>
      <c r="DN76" s="116"/>
      <c r="DO76" s="109">
        <f t="shared" si="216"/>
        <v>0</v>
      </c>
      <c r="DP76" s="126"/>
      <c r="DQ76" s="110"/>
      <c r="DR76" s="111"/>
      <c r="DS76" s="112">
        <f t="shared" si="108"/>
        <v>0</v>
      </c>
      <c r="DT76" s="113">
        <f t="shared" si="148"/>
        <v>0</v>
      </c>
    </row>
    <row r="77" spans="2:125" s="86" customFormat="1" ht="21.9" customHeight="1" outlineLevel="1" thickBot="1">
      <c r="B77" s="122" t="s">
        <v>266</v>
      </c>
      <c r="C77" s="123"/>
      <c r="D77" s="127"/>
      <c r="E77" s="125"/>
      <c r="F77" s="119"/>
      <c r="G77" s="116"/>
      <c r="H77" s="109">
        <f>G77*F77*$E77</f>
        <v>0</v>
      </c>
      <c r="I77" s="119"/>
      <c r="J77" s="116"/>
      <c r="K77" s="109">
        <f>J77*I77*$E77</f>
        <v>0</v>
      </c>
      <c r="L77" s="119"/>
      <c r="M77" s="116"/>
      <c r="N77" s="109">
        <f>M77*L77*$E77</f>
        <v>0</v>
      </c>
      <c r="O77" s="119"/>
      <c r="P77" s="116"/>
      <c r="Q77" s="109">
        <f t="shared" si="113"/>
        <v>0</v>
      </c>
      <c r="R77" s="119"/>
      <c r="S77" s="116"/>
      <c r="T77" s="109">
        <f t="shared" si="114"/>
        <v>0</v>
      </c>
      <c r="U77" s="119"/>
      <c r="V77" s="116"/>
      <c r="W77" s="109">
        <f t="shared" si="184"/>
        <v>0</v>
      </c>
      <c r="X77" s="119"/>
      <c r="Y77" s="116"/>
      <c r="Z77" s="109">
        <f t="shared" si="185"/>
        <v>0</v>
      </c>
      <c r="AA77" s="119"/>
      <c r="AB77" s="116"/>
      <c r="AC77" s="109">
        <f t="shared" si="186"/>
        <v>0</v>
      </c>
      <c r="AD77" s="119"/>
      <c r="AE77" s="116"/>
      <c r="AF77" s="109">
        <f t="shared" si="187"/>
        <v>0</v>
      </c>
      <c r="AG77" s="119"/>
      <c r="AH77" s="116"/>
      <c r="AI77" s="109">
        <f t="shared" si="188"/>
        <v>0</v>
      </c>
      <c r="AJ77" s="119"/>
      <c r="AK77" s="116"/>
      <c r="AL77" s="109">
        <f t="shared" si="189"/>
        <v>0</v>
      </c>
      <c r="AM77" s="119"/>
      <c r="AN77" s="116"/>
      <c r="AO77" s="109">
        <f t="shared" si="190"/>
        <v>0</v>
      </c>
      <c r="AP77" s="119"/>
      <c r="AQ77" s="116"/>
      <c r="AR77" s="109">
        <f t="shared" si="191"/>
        <v>0</v>
      </c>
      <c r="AS77" s="119"/>
      <c r="AT77" s="116"/>
      <c r="AU77" s="109">
        <f t="shared" si="192"/>
        <v>0</v>
      </c>
      <c r="AV77" s="119"/>
      <c r="AW77" s="116"/>
      <c r="AX77" s="109">
        <f t="shared" si="193"/>
        <v>0</v>
      </c>
      <c r="AY77" s="119"/>
      <c r="AZ77" s="116"/>
      <c r="BA77" s="109">
        <f t="shared" si="194"/>
        <v>0</v>
      </c>
      <c r="BB77" s="119"/>
      <c r="BC77" s="116"/>
      <c r="BD77" s="109">
        <f t="shared" si="195"/>
        <v>0</v>
      </c>
      <c r="BE77" s="119"/>
      <c r="BF77" s="116"/>
      <c r="BG77" s="109">
        <f t="shared" si="196"/>
        <v>0</v>
      </c>
      <c r="BH77" s="119"/>
      <c r="BI77" s="116"/>
      <c r="BJ77" s="109">
        <f t="shared" si="197"/>
        <v>0</v>
      </c>
      <c r="BK77" s="119"/>
      <c r="BL77" s="116"/>
      <c r="BM77" s="109">
        <f t="shared" si="198"/>
        <v>0</v>
      </c>
      <c r="BN77" s="119"/>
      <c r="BO77" s="116"/>
      <c r="BP77" s="109">
        <f t="shared" si="199"/>
        <v>0</v>
      </c>
      <c r="BQ77" s="119"/>
      <c r="BR77" s="116"/>
      <c r="BS77" s="109">
        <f t="shared" si="200"/>
        <v>0</v>
      </c>
      <c r="BT77" s="119"/>
      <c r="BU77" s="116"/>
      <c r="BV77" s="109">
        <f t="shared" si="201"/>
        <v>0</v>
      </c>
      <c r="BW77" s="119"/>
      <c r="BX77" s="116"/>
      <c r="BY77" s="109">
        <f t="shared" si="202"/>
        <v>0</v>
      </c>
      <c r="BZ77" s="119"/>
      <c r="CA77" s="116"/>
      <c r="CB77" s="109">
        <f t="shared" si="203"/>
        <v>0</v>
      </c>
      <c r="CC77" s="119"/>
      <c r="CD77" s="116"/>
      <c r="CE77" s="109">
        <f t="shared" si="204"/>
        <v>0</v>
      </c>
      <c r="CF77" s="119"/>
      <c r="CG77" s="116"/>
      <c r="CH77" s="109">
        <f t="shared" si="205"/>
        <v>0</v>
      </c>
      <c r="CI77" s="119"/>
      <c r="CJ77" s="116"/>
      <c r="CK77" s="109">
        <f t="shared" si="206"/>
        <v>0</v>
      </c>
      <c r="CL77" s="119"/>
      <c r="CM77" s="116"/>
      <c r="CN77" s="109">
        <f t="shared" si="207"/>
        <v>0</v>
      </c>
      <c r="CO77" s="119"/>
      <c r="CP77" s="116"/>
      <c r="CQ77" s="109">
        <f t="shared" si="208"/>
        <v>0</v>
      </c>
      <c r="CR77" s="119"/>
      <c r="CS77" s="116"/>
      <c r="CT77" s="109">
        <f t="shared" si="209"/>
        <v>0</v>
      </c>
      <c r="CU77" s="119"/>
      <c r="CV77" s="116"/>
      <c r="CW77" s="109">
        <f t="shared" si="210"/>
        <v>0</v>
      </c>
      <c r="CX77" s="119"/>
      <c r="CY77" s="116"/>
      <c r="CZ77" s="109">
        <f t="shared" si="211"/>
        <v>0</v>
      </c>
      <c r="DA77" s="119"/>
      <c r="DB77" s="116"/>
      <c r="DC77" s="109">
        <f t="shared" si="212"/>
        <v>0</v>
      </c>
      <c r="DD77" s="119"/>
      <c r="DE77" s="116"/>
      <c r="DF77" s="109">
        <f t="shared" si="213"/>
        <v>0</v>
      </c>
      <c r="DG77" s="119"/>
      <c r="DH77" s="116"/>
      <c r="DI77" s="109">
        <f t="shared" si="214"/>
        <v>0</v>
      </c>
      <c r="DJ77" s="119"/>
      <c r="DK77" s="116"/>
      <c r="DL77" s="109">
        <f t="shared" si="215"/>
        <v>0</v>
      </c>
      <c r="DM77" s="119"/>
      <c r="DN77" s="116"/>
      <c r="DO77" s="109">
        <f t="shared" si="216"/>
        <v>0</v>
      </c>
      <c r="DP77" s="126"/>
      <c r="DQ77" s="110"/>
      <c r="DR77" s="111"/>
      <c r="DS77" s="112">
        <f t="shared" si="108"/>
        <v>0</v>
      </c>
      <c r="DT77" s="113">
        <f t="shared" si="148"/>
        <v>0</v>
      </c>
    </row>
    <row r="78" spans="2:125" s="86" customFormat="1" ht="21.9" customHeight="1" thickBot="1">
      <c r="B78" s="705" t="s">
        <v>104</v>
      </c>
      <c r="C78" s="706"/>
      <c r="D78" s="706"/>
      <c r="E78" s="706" t="e">
        <f>SUM(#REF!)</f>
        <v>#REF!</v>
      </c>
      <c r="F78" s="202"/>
      <c r="G78" s="203"/>
      <c r="H78" s="204">
        <f>SUM(H24:H77)</f>
        <v>446.98792223708551</v>
      </c>
      <c r="I78" s="202"/>
      <c r="J78" s="203"/>
      <c r="K78" s="204">
        <f>SUM(K24:K77)</f>
        <v>446.98792223708551</v>
      </c>
      <c r="L78" s="202"/>
      <c r="M78" s="203"/>
      <c r="N78" s="204">
        <f>SUM(N24:N77)</f>
        <v>9622.1751949643567</v>
      </c>
      <c r="O78" s="202"/>
      <c r="P78" s="203"/>
      <c r="Q78" s="204">
        <f>SUM(Q24:Q77)</f>
        <v>446.98792223708551</v>
      </c>
      <c r="R78" s="202"/>
      <c r="S78" s="203"/>
      <c r="T78" s="204">
        <f>SUM(T24:T77)</f>
        <v>446.98792223708551</v>
      </c>
      <c r="U78" s="202"/>
      <c r="V78" s="203"/>
      <c r="W78" s="204">
        <f>SUM(W24:W77)</f>
        <v>446.98792223708551</v>
      </c>
      <c r="X78" s="202"/>
      <c r="Y78" s="203"/>
      <c r="Z78" s="204">
        <f>SUM(Z24:Z77)</f>
        <v>1935.624285873449</v>
      </c>
      <c r="AA78" s="202"/>
      <c r="AB78" s="203"/>
      <c r="AC78" s="204">
        <f>SUM(AC24:AC77)</f>
        <v>446.98792223708551</v>
      </c>
      <c r="AD78" s="202"/>
      <c r="AE78" s="203"/>
      <c r="AF78" s="204">
        <f>SUM(AF24:AF77)</f>
        <v>446.98792223708551</v>
      </c>
      <c r="AG78" s="202"/>
      <c r="AH78" s="203"/>
      <c r="AI78" s="204">
        <f>SUM(AI24:AI77)</f>
        <v>446.98792223708551</v>
      </c>
      <c r="AJ78" s="202"/>
      <c r="AK78" s="203"/>
      <c r="AL78" s="204">
        <f>SUM(AL24:AL77)</f>
        <v>446.98792223708551</v>
      </c>
      <c r="AM78" s="202"/>
      <c r="AN78" s="203"/>
      <c r="AO78" s="204">
        <f>SUM(AO24:AO77)</f>
        <v>446.98792223708551</v>
      </c>
      <c r="AP78" s="202"/>
      <c r="AQ78" s="203"/>
      <c r="AR78" s="204">
        <f>SUM(AR24:AR77)</f>
        <v>4.4698792223708557</v>
      </c>
      <c r="AS78" s="202"/>
      <c r="AT78" s="203"/>
      <c r="AU78" s="204">
        <f>SUM(AU24:AU77)</f>
        <v>446.98792223708551</v>
      </c>
      <c r="AV78" s="202"/>
      <c r="AW78" s="203"/>
      <c r="AX78" s="204">
        <f>SUM(AX24:AX77)</f>
        <v>55.873490279635689</v>
      </c>
      <c r="AY78" s="202"/>
      <c r="AZ78" s="203"/>
      <c r="BA78" s="204">
        <f>SUM(BA24:BA77)</f>
        <v>74.497987039514257</v>
      </c>
      <c r="BB78" s="202"/>
      <c r="BC78" s="203"/>
      <c r="BD78" s="204">
        <f>SUM(BD24:BD77)</f>
        <v>74.497987039514257</v>
      </c>
      <c r="BE78" s="202"/>
      <c r="BF78" s="203"/>
      <c r="BG78" s="204">
        <f>SUM(BG24:BG77)</f>
        <v>446.98792223708551</v>
      </c>
      <c r="BH78" s="202"/>
      <c r="BI78" s="203"/>
      <c r="BJ78" s="204">
        <f>SUM(BJ24:BJ77)</f>
        <v>4.4698792223708557</v>
      </c>
      <c r="BK78" s="202"/>
      <c r="BL78" s="203"/>
      <c r="BM78" s="204">
        <f>SUM(BM24:BM77)</f>
        <v>446.98792223708551</v>
      </c>
      <c r="BN78" s="202"/>
      <c r="BO78" s="203"/>
      <c r="BP78" s="204">
        <f>SUM(BP24:BP77)</f>
        <v>33671.987922237087</v>
      </c>
      <c r="BQ78" s="202"/>
      <c r="BR78" s="203"/>
      <c r="BS78" s="204">
        <f>SUM(BS24:BS77)</f>
        <v>65081.987922237087</v>
      </c>
      <c r="BT78" s="202"/>
      <c r="BU78" s="203"/>
      <c r="BV78" s="204">
        <f>SUM(BV24:BV77)</f>
        <v>446.98792223708551</v>
      </c>
      <c r="BW78" s="202"/>
      <c r="BX78" s="203"/>
      <c r="BY78" s="204">
        <f>SUM(BY24:BY77)</f>
        <v>446.98792223708551</v>
      </c>
      <c r="BZ78" s="202"/>
      <c r="CA78" s="203"/>
      <c r="CB78" s="204">
        <f>SUM(CB24:CB77)</f>
        <v>446.98792223708551</v>
      </c>
      <c r="CC78" s="202"/>
      <c r="CD78" s="203"/>
      <c r="CE78" s="204">
        <f>SUM(CE24:CE77)</f>
        <v>4.4698792223708557</v>
      </c>
      <c r="CF78" s="202"/>
      <c r="CG78" s="203"/>
      <c r="CH78" s="204">
        <f>SUM(CH24:CH77)</f>
        <v>446.98792223708551</v>
      </c>
      <c r="CI78" s="202"/>
      <c r="CJ78" s="203"/>
      <c r="CK78" s="204">
        <f>SUM(CK24:CK77)</f>
        <v>446.98792223708551</v>
      </c>
      <c r="CL78" s="202"/>
      <c r="CM78" s="203"/>
      <c r="CN78" s="204">
        <f>SUM(CN24:CN77)</f>
        <v>72934.48792223708</v>
      </c>
      <c r="CO78" s="202"/>
      <c r="CP78" s="203"/>
      <c r="CQ78" s="204">
        <f>SUM(CQ24:CQ77)</f>
        <v>446.98792223708551</v>
      </c>
      <c r="CR78" s="202"/>
      <c r="CS78" s="203"/>
      <c r="CT78" s="204">
        <f>SUM(CT24:CT77)</f>
        <v>446.98792223708551</v>
      </c>
      <c r="CU78" s="202"/>
      <c r="CV78" s="203"/>
      <c r="CW78" s="204">
        <f>SUM(CW24:CW77)</f>
        <v>446.98792223708551</v>
      </c>
      <c r="CX78" s="202"/>
      <c r="CY78" s="203"/>
      <c r="CZ78" s="204">
        <f>SUM(CZ24:CZ77)</f>
        <v>446.98792223708551</v>
      </c>
      <c r="DA78" s="202"/>
      <c r="DB78" s="203"/>
      <c r="DC78" s="204">
        <f>SUM(DC24:DC77)</f>
        <v>446.98792223708551</v>
      </c>
      <c r="DD78" s="202"/>
      <c r="DE78" s="203"/>
      <c r="DF78" s="204">
        <f>SUM(DF24:DF77)</f>
        <v>446.98792223708551</v>
      </c>
      <c r="DG78" s="202"/>
      <c r="DH78" s="203"/>
      <c r="DI78" s="204">
        <f>SUM(DI24:DI77)</f>
        <v>446.98792223708551</v>
      </c>
      <c r="DJ78" s="202"/>
      <c r="DK78" s="203"/>
      <c r="DL78" s="204">
        <f>SUM(DL24:DL77)</f>
        <v>446.98792223708551</v>
      </c>
      <c r="DM78" s="202"/>
      <c r="DN78" s="203"/>
      <c r="DO78" s="204">
        <f>SUM(DO24:DO77)</f>
        <v>446.98792223708551</v>
      </c>
      <c r="DP78" s="117"/>
      <c r="DQ78" s="202"/>
      <c r="DR78" s="203"/>
      <c r="DS78" s="204">
        <f>SUM(DS24:DS77)</f>
        <v>197996.86468137288</v>
      </c>
      <c r="DT78" s="113"/>
    </row>
    <row r="79" spans="2:125" s="86" customFormat="1" ht="21.9" customHeight="1" thickBot="1">
      <c r="B79" s="707" t="s">
        <v>105</v>
      </c>
      <c r="C79" s="708"/>
      <c r="D79" s="708"/>
      <c r="E79" s="709"/>
      <c r="F79" s="753"/>
      <c r="G79" s="753"/>
      <c r="H79" s="753"/>
      <c r="I79" s="753"/>
      <c r="J79" s="753"/>
      <c r="K79" s="753"/>
      <c r="L79" s="753"/>
      <c r="M79" s="753"/>
      <c r="N79" s="753"/>
      <c r="O79" s="753"/>
      <c r="P79" s="753"/>
      <c r="Q79" s="753"/>
      <c r="R79" s="753"/>
      <c r="S79" s="753"/>
      <c r="T79" s="753"/>
      <c r="U79" s="753"/>
      <c r="V79" s="753"/>
      <c r="W79" s="753"/>
      <c r="X79" s="753"/>
      <c r="Y79" s="753"/>
      <c r="Z79" s="753"/>
      <c r="AA79" s="753"/>
      <c r="AB79" s="753"/>
      <c r="AC79" s="753"/>
      <c r="AD79" s="753"/>
      <c r="AE79" s="753"/>
      <c r="AF79" s="753"/>
      <c r="AG79" s="753"/>
      <c r="AH79" s="753"/>
      <c r="AI79" s="753"/>
      <c r="AJ79" s="753"/>
      <c r="AK79" s="753"/>
      <c r="AL79" s="753"/>
      <c r="AM79" s="753"/>
      <c r="AN79" s="753"/>
      <c r="AO79" s="753"/>
      <c r="AP79" s="753"/>
      <c r="AQ79" s="753"/>
      <c r="AR79" s="753"/>
      <c r="AS79" s="753"/>
      <c r="AT79" s="753"/>
      <c r="AU79" s="753"/>
      <c r="AV79" s="753"/>
      <c r="AW79" s="753"/>
      <c r="AX79" s="753"/>
      <c r="AY79" s="753"/>
      <c r="AZ79" s="753"/>
      <c r="BA79" s="753"/>
      <c r="BB79" s="753"/>
      <c r="BC79" s="753"/>
      <c r="BD79" s="753"/>
      <c r="BE79" s="753"/>
      <c r="BF79" s="753"/>
      <c r="BG79" s="753"/>
      <c r="BH79" s="753"/>
      <c r="BI79" s="753"/>
      <c r="BJ79" s="753"/>
      <c r="BK79" s="753"/>
      <c r="BL79" s="753"/>
      <c r="BM79" s="753"/>
      <c r="BN79" s="753"/>
      <c r="BO79" s="753"/>
      <c r="BP79" s="753"/>
      <c r="BQ79" s="753"/>
      <c r="BR79" s="753"/>
      <c r="BS79" s="753"/>
      <c r="BT79" s="753"/>
      <c r="BU79" s="753"/>
      <c r="BV79" s="753"/>
      <c r="BW79" s="753"/>
      <c r="BX79" s="753"/>
      <c r="BY79" s="753"/>
      <c r="BZ79" s="753"/>
      <c r="CA79" s="753"/>
      <c r="CB79" s="753"/>
      <c r="CC79" s="753"/>
      <c r="CD79" s="753"/>
      <c r="CE79" s="753"/>
      <c r="CF79" s="753"/>
      <c r="CG79" s="753"/>
      <c r="CH79" s="753"/>
      <c r="CI79" s="753"/>
      <c r="CJ79" s="753"/>
      <c r="CK79" s="753"/>
      <c r="CL79" s="753"/>
      <c r="CM79" s="753"/>
      <c r="CN79" s="753"/>
      <c r="CO79" s="753"/>
      <c r="CP79" s="753"/>
      <c r="CQ79" s="753"/>
      <c r="CR79" s="753"/>
      <c r="CS79" s="753"/>
      <c r="CT79" s="753"/>
      <c r="CU79" s="753"/>
      <c r="CV79" s="753"/>
      <c r="CW79" s="753"/>
      <c r="CX79" s="753"/>
      <c r="CY79" s="753"/>
      <c r="CZ79" s="753"/>
      <c r="DA79" s="753"/>
      <c r="DB79" s="753"/>
      <c r="DC79" s="753"/>
      <c r="DD79" s="753"/>
      <c r="DE79" s="753"/>
      <c r="DF79" s="753"/>
      <c r="DG79" s="753"/>
      <c r="DH79" s="753"/>
      <c r="DI79" s="753"/>
      <c r="DJ79" s="753"/>
      <c r="DK79" s="753"/>
      <c r="DL79" s="753"/>
      <c r="DM79" s="753"/>
      <c r="DN79" s="753"/>
      <c r="DO79" s="753"/>
      <c r="DP79" s="117"/>
      <c r="DQ79" s="704"/>
      <c r="DR79" s="704"/>
      <c r="DS79" s="704"/>
      <c r="DT79" s="113"/>
    </row>
    <row r="80" spans="2:125" s="103" customFormat="1" ht="21.9" customHeight="1" thickBot="1">
      <c r="B80" s="197" t="s">
        <v>95</v>
      </c>
      <c r="C80" s="198" t="s">
        <v>96</v>
      </c>
      <c r="D80" s="199" t="s">
        <v>97</v>
      </c>
      <c r="E80" s="200" t="s">
        <v>98</v>
      </c>
      <c r="F80" s="197" t="s">
        <v>99</v>
      </c>
      <c r="G80" s="200" t="s">
        <v>100</v>
      </c>
      <c r="H80" s="201" t="s">
        <v>101</v>
      </c>
      <c r="I80" s="197" t="s">
        <v>99</v>
      </c>
      <c r="J80" s="200" t="s">
        <v>100</v>
      </c>
      <c r="K80" s="201" t="s">
        <v>101</v>
      </c>
      <c r="L80" s="197" t="s">
        <v>99</v>
      </c>
      <c r="M80" s="200" t="s">
        <v>100</v>
      </c>
      <c r="N80" s="201" t="s">
        <v>101</v>
      </c>
      <c r="O80" s="197" t="s">
        <v>99</v>
      </c>
      <c r="P80" s="200" t="s">
        <v>100</v>
      </c>
      <c r="Q80" s="201" t="s">
        <v>101</v>
      </c>
      <c r="R80" s="197" t="s">
        <v>99</v>
      </c>
      <c r="S80" s="200" t="s">
        <v>100</v>
      </c>
      <c r="T80" s="201" t="s">
        <v>101</v>
      </c>
      <c r="U80" s="197" t="s">
        <v>99</v>
      </c>
      <c r="V80" s="200" t="s">
        <v>100</v>
      </c>
      <c r="W80" s="201" t="s">
        <v>101</v>
      </c>
      <c r="X80" s="197" t="s">
        <v>99</v>
      </c>
      <c r="Y80" s="200" t="s">
        <v>100</v>
      </c>
      <c r="Z80" s="201" t="s">
        <v>101</v>
      </c>
      <c r="AA80" s="197" t="s">
        <v>99</v>
      </c>
      <c r="AB80" s="200" t="s">
        <v>100</v>
      </c>
      <c r="AC80" s="201" t="s">
        <v>101</v>
      </c>
      <c r="AD80" s="197" t="s">
        <v>99</v>
      </c>
      <c r="AE80" s="200" t="s">
        <v>100</v>
      </c>
      <c r="AF80" s="201" t="s">
        <v>101</v>
      </c>
      <c r="AG80" s="197" t="s">
        <v>99</v>
      </c>
      <c r="AH80" s="200" t="s">
        <v>100</v>
      </c>
      <c r="AI80" s="201" t="s">
        <v>101</v>
      </c>
      <c r="AJ80" s="197" t="s">
        <v>99</v>
      </c>
      <c r="AK80" s="200" t="s">
        <v>100</v>
      </c>
      <c r="AL80" s="201" t="s">
        <v>101</v>
      </c>
      <c r="AM80" s="197" t="s">
        <v>99</v>
      </c>
      <c r="AN80" s="200" t="s">
        <v>100</v>
      </c>
      <c r="AO80" s="201" t="s">
        <v>101</v>
      </c>
      <c r="AP80" s="197" t="s">
        <v>99</v>
      </c>
      <c r="AQ80" s="200" t="s">
        <v>100</v>
      </c>
      <c r="AR80" s="201" t="s">
        <v>101</v>
      </c>
      <c r="AS80" s="197" t="s">
        <v>99</v>
      </c>
      <c r="AT80" s="200" t="s">
        <v>100</v>
      </c>
      <c r="AU80" s="201" t="s">
        <v>101</v>
      </c>
      <c r="AV80" s="197" t="s">
        <v>99</v>
      </c>
      <c r="AW80" s="200" t="s">
        <v>100</v>
      </c>
      <c r="AX80" s="201" t="s">
        <v>101</v>
      </c>
      <c r="AY80" s="197" t="s">
        <v>99</v>
      </c>
      <c r="AZ80" s="200" t="s">
        <v>100</v>
      </c>
      <c r="BA80" s="201" t="s">
        <v>101</v>
      </c>
      <c r="BB80" s="197" t="s">
        <v>99</v>
      </c>
      <c r="BC80" s="200" t="s">
        <v>100</v>
      </c>
      <c r="BD80" s="201" t="s">
        <v>101</v>
      </c>
      <c r="BE80" s="197" t="s">
        <v>99</v>
      </c>
      <c r="BF80" s="200" t="s">
        <v>100</v>
      </c>
      <c r="BG80" s="201" t="s">
        <v>101</v>
      </c>
      <c r="BH80" s="197" t="s">
        <v>99</v>
      </c>
      <c r="BI80" s="200" t="s">
        <v>100</v>
      </c>
      <c r="BJ80" s="201" t="s">
        <v>101</v>
      </c>
      <c r="BK80" s="197" t="s">
        <v>99</v>
      </c>
      <c r="BL80" s="200" t="s">
        <v>100</v>
      </c>
      <c r="BM80" s="201" t="s">
        <v>101</v>
      </c>
      <c r="BN80" s="197" t="s">
        <v>99</v>
      </c>
      <c r="BO80" s="200" t="s">
        <v>100</v>
      </c>
      <c r="BP80" s="201" t="s">
        <v>101</v>
      </c>
      <c r="BQ80" s="197" t="s">
        <v>99</v>
      </c>
      <c r="BR80" s="200" t="s">
        <v>100</v>
      </c>
      <c r="BS80" s="201" t="s">
        <v>101</v>
      </c>
      <c r="BT80" s="197" t="s">
        <v>99</v>
      </c>
      <c r="BU80" s="200" t="s">
        <v>100</v>
      </c>
      <c r="BV80" s="201" t="s">
        <v>101</v>
      </c>
      <c r="BW80" s="197" t="s">
        <v>99</v>
      </c>
      <c r="BX80" s="200" t="s">
        <v>100</v>
      </c>
      <c r="BY80" s="201" t="s">
        <v>101</v>
      </c>
      <c r="BZ80" s="197" t="s">
        <v>99</v>
      </c>
      <c r="CA80" s="200" t="s">
        <v>100</v>
      </c>
      <c r="CB80" s="201" t="s">
        <v>101</v>
      </c>
      <c r="CC80" s="197" t="s">
        <v>99</v>
      </c>
      <c r="CD80" s="200" t="s">
        <v>100</v>
      </c>
      <c r="CE80" s="201" t="s">
        <v>101</v>
      </c>
      <c r="CF80" s="197" t="s">
        <v>99</v>
      </c>
      <c r="CG80" s="200" t="s">
        <v>100</v>
      </c>
      <c r="CH80" s="201" t="s">
        <v>101</v>
      </c>
      <c r="CI80" s="197" t="s">
        <v>99</v>
      </c>
      <c r="CJ80" s="200" t="s">
        <v>100</v>
      </c>
      <c r="CK80" s="201" t="s">
        <v>101</v>
      </c>
      <c r="CL80" s="197" t="s">
        <v>99</v>
      </c>
      <c r="CM80" s="200" t="s">
        <v>100</v>
      </c>
      <c r="CN80" s="201" t="s">
        <v>101</v>
      </c>
      <c r="CO80" s="197" t="s">
        <v>99</v>
      </c>
      <c r="CP80" s="200" t="s">
        <v>100</v>
      </c>
      <c r="CQ80" s="201" t="s">
        <v>101</v>
      </c>
      <c r="CR80" s="197" t="s">
        <v>99</v>
      </c>
      <c r="CS80" s="200" t="s">
        <v>100</v>
      </c>
      <c r="CT80" s="201" t="s">
        <v>101</v>
      </c>
      <c r="CU80" s="197" t="s">
        <v>99</v>
      </c>
      <c r="CV80" s="200" t="s">
        <v>100</v>
      </c>
      <c r="CW80" s="201" t="s">
        <v>101</v>
      </c>
      <c r="CX80" s="197" t="s">
        <v>99</v>
      </c>
      <c r="CY80" s="200" t="s">
        <v>100</v>
      </c>
      <c r="CZ80" s="201" t="s">
        <v>101</v>
      </c>
      <c r="DA80" s="197" t="s">
        <v>99</v>
      </c>
      <c r="DB80" s="200" t="s">
        <v>100</v>
      </c>
      <c r="DC80" s="201" t="s">
        <v>101</v>
      </c>
      <c r="DD80" s="197" t="s">
        <v>99</v>
      </c>
      <c r="DE80" s="200" t="s">
        <v>100</v>
      </c>
      <c r="DF80" s="201" t="s">
        <v>101</v>
      </c>
      <c r="DG80" s="197" t="s">
        <v>99</v>
      </c>
      <c r="DH80" s="200" t="s">
        <v>100</v>
      </c>
      <c r="DI80" s="201" t="s">
        <v>101</v>
      </c>
      <c r="DJ80" s="197" t="s">
        <v>99</v>
      </c>
      <c r="DK80" s="200" t="s">
        <v>100</v>
      </c>
      <c r="DL80" s="201" t="s">
        <v>101</v>
      </c>
      <c r="DM80" s="197" t="s">
        <v>99</v>
      </c>
      <c r="DN80" s="200" t="s">
        <v>100</v>
      </c>
      <c r="DO80" s="201" t="s">
        <v>101</v>
      </c>
      <c r="DP80" s="100"/>
      <c r="DQ80" s="197" t="s">
        <v>99</v>
      </c>
      <c r="DR80" s="200" t="s">
        <v>100</v>
      </c>
      <c r="DS80" s="201" t="s">
        <v>101</v>
      </c>
      <c r="DT80" s="101"/>
      <c r="DU80" s="102"/>
    </row>
    <row r="81" spans="2:124" s="86" customFormat="1" ht="55.2" outlineLevel="1">
      <c r="B81" s="122" t="s">
        <v>267</v>
      </c>
      <c r="C81" s="123" t="s">
        <v>681</v>
      </c>
      <c r="D81" s="115" t="s">
        <v>177</v>
      </c>
      <c r="E81" s="125">
        <v>45.2</v>
      </c>
      <c r="F81" s="119"/>
      <c r="G81" s="116"/>
      <c r="H81" s="109">
        <f t="shared" ref="H81:H99" si="217">G81*F81*$E81</f>
        <v>0</v>
      </c>
      <c r="I81" s="119"/>
      <c r="J81" s="116"/>
      <c r="K81" s="109">
        <f t="shared" ref="K81:K99" si="218">J81*I81*$E81</f>
        <v>0</v>
      </c>
      <c r="L81" s="119"/>
      <c r="M81" s="116"/>
      <c r="N81" s="109">
        <f t="shared" ref="N81:N87" si="219">M81*L81*$E81</f>
        <v>0</v>
      </c>
      <c r="O81" s="119"/>
      <c r="P81" s="116"/>
      <c r="Q81" s="109">
        <f t="shared" ref="Q81:Q99" si="220">P81*O81*$E81</f>
        <v>0</v>
      </c>
      <c r="R81" s="119"/>
      <c r="S81" s="116"/>
      <c r="T81" s="109">
        <f t="shared" ref="T81:T99" si="221">S81*R81*$E81</f>
        <v>0</v>
      </c>
      <c r="U81" s="119"/>
      <c r="V81" s="116"/>
      <c r="W81" s="109">
        <f t="shared" ref="W81:W94" si="222">V81*U81*$E81</f>
        <v>0</v>
      </c>
      <c r="X81" s="119"/>
      <c r="Y81" s="116"/>
      <c r="Z81" s="109">
        <f t="shared" ref="Z81:Z94" si="223">Y81*X81*$E81</f>
        <v>0</v>
      </c>
      <c r="AA81" s="119"/>
      <c r="AB81" s="116"/>
      <c r="AC81" s="109">
        <f t="shared" ref="AC81:AC94" si="224">AB81*AA81*$E81</f>
        <v>0</v>
      </c>
      <c r="AD81" s="119"/>
      <c r="AE81" s="116"/>
      <c r="AF81" s="109">
        <f t="shared" ref="AF81:AF94" si="225">AE81*AD81*$E81</f>
        <v>0</v>
      </c>
      <c r="AG81" s="119"/>
      <c r="AH81" s="116"/>
      <c r="AI81" s="109">
        <f t="shared" ref="AI81:AI94" si="226">AH81*AG81*$E81</f>
        <v>0</v>
      </c>
      <c r="AJ81" s="119"/>
      <c r="AK81" s="116"/>
      <c r="AL81" s="109">
        <f t="shared" ref="AL81:AL94" si="227">AK81*AJ81*$E81</f>
        <v>0</v>
      </c>
      <c r="AM81" s="119"/>
      <c r="AN81" s="116"/>
      <c r="AO81" s="109">
        <f t="shared" ref="AO81:AO94" si="228">AN81*AM81*$E81</f>
        <v>0</v>
      </c>
      <c r="AP81" s="119">
        <v>1.05</v>
      </c>
      <c r="AQ81" s="116">
        <v>1</v>
      </c>
      <c r="AR81" s="109">
        <f t="shared" ref="AR81:AR94" si="229">AQ81*AP81*$E81</f>
        <v>47.460000000000008</v>
      </c>
      <c r="AS81" s="119"/>
      <c r="AT81" s="116"/>
      <c r="AU81" s="109">
        <f t="shared" ref="AU81:AU94" si="230">AT81*AS81*$E81</f>
        <v>0</v>
      </c>
      <c r="AV81" s="119"/>
      <c r="AW81" s="116"/>
      <c r="AX81" s="109">
        <f t="shared" ref="AX81:AX94" si="231">AW81*AV81*$E81</f>
        <v>0</v>
      </c>
      <c r="AY81" s="119"/>
      <c r="AZ81" s="116"/>
      <c r="BA81" s="109">
        <f t="shared" ref="BA81:BA94" si="232">AZ81*AY81*$E81</f>
        <v>0</v>
      </c>
      <c r="BB81" s="119"/>
      <c r="BC81" s="116"/>
      <c r="BD81" s="109">
        <f t="shared" ref="BD81:BD94" si="233">BC81*BB81*$E81</f>
        <v>0</v>
      </c>
      <c r="BE81" s="119"/>
      <c r="BF81" s="116"/>
      <c r="BG81" s="109">
        <f t="shared" ref="BG81:BG94" si="234">BF81*BE81*$E81</f>
        <v>0</v>
      </c>
      <c r="BH81" s="119"/>
      <c r="BI81" s="116"/>
      <c r="BJ81" s="109">
        <f t="shared" ref="BJ81:BJ94" si="235">BI81*BH81*$E81</f>
        <v>0</v>
      </c>
      <c r="BK81" s="119"/>
      <c r="BL81" s="116"/>
      <c r="BM81" s="109">
        <f t="shared" ref="BM81:BM94" si="236">BL81*BK81*$E81</f>
        <v>0</v>
      </c>
      <c r="BN81" s="119"/>
      <c r="BO81" s="116"/>
      <c r="BP81" s="109">
        <f t="shared" ref="BP81:BP94" si="237">BO81*BN81*$E81</f>
        <v>0</v>
      </c>
      <c r="BQ81" s="119"/>
      <c r="BR81" s="116"/>
      <c r="BS81" s="109">
        <f t="shared" ref="BS81:BS94" si="238">BR81*BQ81*$E81</f>
        <v>0</v>
      </c>
      <c r="BT81" s="119"/>
      <c r="BU81" s="116"/>
      <c r="BV81" s="109">
        <f t="shared" ref="BV81:BV94" si="239">BU81*BT81*$E81</f>
        <v>0</v>
      </c>
      <c r="BW81" s="119"/>
      <c r="BX81" s="116"/>
      <c r="BY81" s="109">
        <f t="shared" ref="BY81:BY94" si="240">BX81*BW81*$E81</f>
        <v>0</v>
      </c>
      <c r="BZ81" s="119"/>
      <c r="CA81" s="116"/>
      <c r="CB81" s="109">
        <f t="shared" ref="CB81:CB94" si="241">CA81*BZ81*$E81</f>
        <v>0</v>
      </c>
      <c r="CC81" s="119"/>
      <c r="CD81" s="116"/>
      <c r="CE81" s="109">
        <f t="shared" ref="CE81:CE94" si="242">CD81*CC81*$E81</f>
        <v>0</v>
      </c>
      <c r="CF81" s="119"/>
      <c r="CG81" s="116"/>
      <c r="CH81" s="109">
        <f t="shared" ref="CH81:CH94" si="243">CG81*CF81*$E81</f>
        <v>0</v>
      </c>
      <c r="CI81" s="119"/>
      <c r="CJ81" s="116"/>
      <c r="CK81" s="109">
        <f t="shared" ref="CK81:CK94" si="244">CJ81*CI81*$E81</f>
        <v>0</v>
      </c>
      <c r="CL81" s="119"/>
      <c r="CM81" s="116"/>
      <c r="CN81" s="109">
        <f t="shared" ref="CN81:CN94" si="245">CM81*CL81*$E81</f>
        <v>0</v>
      </c>
      <c r="CO81" s="119"/>
      <c r="CP81" s="116"/>
      <c r="CQ81" s="109">
        <f t="shared" ref="CQ81:CQ94" si="246">CP81*CO81*$E81</f>
        <v>0</v>
      </c>
      <c r="CR81" s="119"/>
      <c r="CS81" s="116"/>
      <c r="CT81" s="109">
        <f t="shared" ref="CT81:CT94" si="247">CS81*CR81*$E81</f>
        <v>0</v>
      </c>
      <c r="CU81" s="119"/>
      <c r="CV81" s="116"/>
      <c r="CW81" s="109">
        <f t="shared" ref="CW81:CW94" si="248">CV81*CU81*$E81</f>
        <v>0</v>
      </c>
      <c r="CX81" s="119"/>
      <c r="CY81" s="116"/>
      <c r="CZ81" s="109">
        <f t="shared" ref="CZ81:CZ94" si="249">CY81*CX81*$E81</f>
        <v>0</v>
      </c>
      <c r="DA81" s="119"/>
      <c r="DB81" s="116"/>
      <c r="DC81" s="109">
        <f t="shared" ref="DC81:DC94" si="250">DB81*DA81*$E81</f>
        <v>0</v>
      </c>
      <c r="DD81" s="119"/>
      <c r="DE81" s="116"/>
      <c r="DF81" s="109">
        <f t="shared" ref="DF81:DF94" si="251">DE81*DD81*$E81</f>
        <v>0</v>
      </c>
      <c r="DG81" s="119"/>
      <c r="DH81" s="116"/>
      <c r="DI81" s="109">
        <f t="shared" ref="DI81:DI94" si="252">DH81*DG81*$E81</f>
        <v>0</v>
      </c>
      <c r="DJ81" s="119"/>
      <c r="DK81" s="116"/>
      <c r="DL81" s="109">
        <f t="shared" ref="DL81:DL94" si="253">DK81*DJ81*$E81</f>
        <v>0</v>
      </c>
      <c r="DM81" s="119"/>
      <c r="DN81" s="116"/>
      <c r="DO81" s="109">
        <f t="shared" ref="DO81:DO94" si="254">DN81*DM81*$E81</f>
        <v>0</v>
      </c>
      <c r="DP81" s="126"/>
      <c r="DQ81" s="110"/>
      <c r="DR81" s="111"/>
      <c r="DS81" s="112">
        <f t="shared" ref="DS81:DS99" si="255">($H$3*H81+$K$3*K81+$N$3*N81+$Q$3*Q81+$T$3*T81+$W$3*W81+$Z$3*Z81+$AC$3*AC81+$AF$3*AF81+$AI$3*AI81+$AL$3*AL81+$AO$3*AO81+$AR$3*AR81+$AU$3*AU81+$AX$3*AX81+$BA$3*BA81+$BD$3*BD81+$BG$3*BG81+$BJ$3*BJ81+$BM$3*BM81+$BP$3*BP81+$BS$3*BS81+$BV$3*BV81+$BY$3*BY81+$CB$3*CB81+$CE$3*CE81+$CH$3*CH81+$CK$3*CK81+$CN$3*CN81+$CQ$3*CQ81+$CT$3*CT81+$CW$3*CW81+$CZ$3*CZ81+$DC$3*DC81+$DF$3*DF81+$DI$3*DI81+$DL$3*DL81+$DO$3*DO81)</f>
        <v>4746.0000000000009</v>
      </c>
      <c r="DT81" s="113">
        <f t="shared" ref="DT81:DT99" si="256">DS81/$DS$130</f>
        <v>9.5962655889428143E-3</v>
      </c>
    </row>
    <row r="82" spans="2:124" s="86" customFormat="1" ht="41.4" outlineLevel="1">
      <c r="B82" s="122" t="s">
        <v>268</v>
      </c>
      <c r="C82" s="128" t="s">
        <v>178</v>
      </c>
      <c r="D82" s="129" t="s">
        <v>179</v>
      </c>
      <c r="E82" s="130">
        <v>230.22</v>
      </c>
      <c r="F82" s="119"/>
      <c r="G82" s="116"/>
      <c r="H82" s="109">
        <f t="shared" si="217"/>
        <v>0</v>
      </c>
      <c r="I82" s="119"/>
      <c r="J82" s="116"/>
      <c r="K82" s="109">
        <f t="shared" si="218"/>
        <v>0</v>
      </c>
      <c r="L82" s="119"/>
      <c r="M82" s="116"/>
      <c r="N82" s="109">
        <f t="shared" si="219"/>
        <v>0</v>
      </c>
      <c r="O82" s="119"/>
      <c r="P82" s="116"/>
      <c r="Q82" s="109">
        <f t="shared" si="220"/>
        <v>0</v>
      </c>
      <c r="R82" s="119"/>
      <c r="S82" s="116"/>
      <c r="T82" s="109">
        <f t="shared" si="221"/>
        <v>0</v>
      </c>
      <c r="U82" s="119"/>
      <c r="V82" s="116"/>
      <c r="W82" s="109">
        <f t="shared" si="222"/>
        <v>0</v>
      </c>
      <c r="X82" s="119"/>
      <c r="Y82" s="116"/>
      <c r="Z82" s="109">
        <f t="shared" si="223"/>
        <v>0</v>
      </c>
      <c r="AA82" s="119"/>
      <c r="AB82" s="116"/>
      <c r="AC82" s="109">
        <f t="shared" si="224"/>
        <v>0</v>
      </c>
      <c r="AD82" s="119"/>
      <c r="AE82" s="116"/>
      <c r="AF82" s="109">
        <f t="shared" si="225"/>
        <v>0</v>
      </c>
      <c r="AG82" s="119"/>
      <c r="AH82" s="116"/>
      <c r="AI82" s="109">
        <f t="shared" si="226"/>
        <v>0</v>
      </c>
      <c r="AJ82" s="119"/>
      <c r="AK82" s="116"/>
      <c r="AL82" s="109">
        <f t="shared" si="227"/>
        <v>0</v>
      </c>
      <c r="AM82" s="119"/>
      <c r="AN82" s="116"/>
      <c r="AO82" s="109">
        <f t="shared" si="228"/>
        <v>0</v>
      </c>
      <c r="AP82" s="119"/>
      <c r="AQ82" s="116"/>
      <c r="AR82" s="109">
        <f t="shared" si="229"/>
        <v>0</v>
      </c>
      <c r="AS82" s="119">
        <v>1</v>
      </c>
      <c r="AT82" s="116">
        <v>1</v>
      </c>
      <c r="AU82" s="109">
        <f t="shared" si="230"/>
        <v>230.22</v>
      </c>
      <c r="AV82" s="119"/>
      <c r="AW82" s="116"/>
      <c r="AX82" s="109">
        <f t="shared" si="231"/>
        <v>0</v>
      </c>
      <c r="AY82" s="119"/>
      <c r="AZ82" s="116"/>
      <c r="BA82" s="109">
        <f t="shared" si="232"/>
        <v>0</v>
      </c>
      <c r="BB82" s="119"/>
      <c r="BC82" s="116"/>
      <c r="BD82" s="109">
        <f t="shared" si="233"/>
        <v>0</v>
      </c>
      <c r="BE82" s="119"/>
      <c r="BF82" s="116"/>
      <c r="BG82" s="109">
        <f t="shared" si="234"/>
        <v>0</v>
      </c>
      <c r="BH82" s="119"/>
      <c r="BI82" s="116"/>
      <c r="BJ82" s="109">
        <f t="shared" si="235"/>
        <v>0</v>
      </c>
      <c r="BK82" s="119"/>
      <c r="BL82" s="116"/>
      <c r="BM82" s="109">
        <f t="shared" si="236"/>
        <v>0</v>
      </c>
      <c r="BN82" s="119"/>
      <c r="BO82" s="116"/>
      <c r="BP82" s="109">
        <f t="shared" si="237"/>
        <v>0</v>
      </c>
      <c r="BQ82" s="119"/>
      <c r="BR82" s="116"/>
      <c r="BS82" s="109">
        <f t="shared" si="238"/>
        <v>0</v>
      </c>
      <c r="BT82" s="119"/>
      <c r="BU82" s="116"/>
      <c r="BV82" s="109">
        <f t="shared" si="239"/>
        <v>0</v>
      </c>
      <c r="BW82" s="119"/>
      <c r="BX82" s="116"/>
      <c r="BY82" s="109">
        <f t="shared" si="240"/>
        <v>0</v>
      </c>
      <c r="BZ82" s="119"/>
      <c r="CA82" s="116"/>
      <c r="CB82" s="109">
        <f t="shared" si="241"/>
        <v>0</v>
      </c>
      <c r="CC82" s="119"/>
      <c r="CD82" s="116"/>
      <c r="CE82" s="109">
        <f t="shared" si="242"/>
        <v>0</v>
      </c>
      <c r="CF82" s="119"/>
      <c r="CG82" s="116"/>
      <c r="CH82" s="109">
        <f t="shared" si="243"/>
        <v>0</v>
      </c>
      <c r="CI82" s="119"/>
      <c r="CJ82" s="116"/>
      <c r="CK82" s="109">
        <f t="shared" si="244"/>
        <v>0</v>
      </c>
      <c r="CL82" s="119"/>
      <c r="CM82" s="116"/>
      <c r="CN82" s="109">
        <f t="shared" si="245"/>
        <v>0</v>
      </c>
      <c r="CO82" s="119"/>
      <c r="CP82" s="116"/>
      <c r="CQ82" s="109">
        <f t="shared" si="246"/>
        <v>0</v>
      </c>
      <c r="CR82" s="119"/>
      <c r="CS82" s="116"/>
      <c r="CT82" s="109">
        <f t="shared" si="247"/>
        <v>0</v>
      </c>
      <c r="CU82" s="119"/>
      <c r="CV82" s="116"/>
      <c r="CW82" s="109">
        <f t="shared" si="248"/>
        <v>0</v>
      </c>
      <c r="CX82" s="119"/>
      <c r="CY82" s="116"/>
      <c r="CZ82" s="109">
        <f t="shared" si="249"/>
        <v>0</v>
      </c>
      <c r="DA82" s="119"/>
      <c r="DB82" s="116"/>
      <c r="DC82" s="109">
        <f t="shared" si="250"/>
        <v>0</v>
      </c>
      <c r="DD82" s="119"/>
      <c r="DE82" s="116"/>
      <c r="DF82" s="109">
        <f t="shared" si="251"/>
        <v>0</v>
      </c>
      <c r="DG82" s="119"/>
      <c r="DH82" s="116"/>
      <c r="DI82" s="109">
        <f t="shared" si="252"/>
        <v>0</v>
      </c>
      <c r="DJ82" s="119"/>
      <c r="DK82" s="116"/>
      <c r="DL82" s="109">
        <f t="shared" si="253"/>
        <v>0</v>
      </c>
      <c r="DM82" s="119"/>
      <c r="DN82" s="116"/>
      <c r="DO82" s="109">
        <f t="shared" si="254"/>
        <v>0</v>
      </c>
      <c r="DP82" s="126"/>
      <c r="DQ82" s="110"/>
      <c r="DR82" s="111"/>
      <c r="DS82" s="112">
        <f t="shared" si="255"/>
        <v>230.22</v>
      </c>
      <c r="DT82" s="113">
        <f t="shared" si="256"/>
        <v>4.6549773786060144E-4</v>
      </c>
    </row>
    <row r="83" spans="2:124" s="86" customFormat="1" ht="41.4" outlineLevel="1">
      <c r="B83" s="122" t="s">
        <v>269</v>
      </c>
      <c r="C83" s="123" t="s">
        <v>180</v>
      </c>
      <c r="D83" s="115" t="s">
        <v>179</v>
      </c>
      <c r="E83" s="125">
        <v>5.66</v>
      </c>
      <c r="F83" s="119"/>
      <c r="G83" s="116"/>
      <c r="H83" s="109">
        <f t="shared" si="217"/>
        <v>0</v>
      </c>
      <c r="I83" s="119"/>
      <c r="J83" s="116"/>
      <c r="K83" s="109">
        <f t="shared" si="218"/>
        <v>0</v>
      </c>
      <c r="L83" s="119"/>
      <c r="M83" s="116"/>
      <c r="N83" s="109">
        <f t="shared" si="219"/>
        <v>0</v>
      </c>
      <c r="O83" s="119"/>
      <c r="P83" s="116"/>
      <c r="Q83" s="109">
        <f t="shared" si="220"/>
        <v>0</v>
      </c>
      <c r="R83" s="119"/>
      <c r="S83" s="116"/>
      <c r="T83" s="109">
        <f t="shared" si="221"/>
        <v>0</v>
      </c>
      <c r="U83" s="119"/>
      <c r="V83" s="116"/>
      <c r="W83" s="109">
        <f t="shared" si="222"/>
        <v>0</v>
      </c>
      <c r="X83" s="119"/>
      <c r="Y83" s="116"/>
      <c r="Z83" s="109">
        <f t="shared" si="223"/>
        <v>0</v>
      </c>
      <c r="AA83" s="119"/>
      <c r="AB83" s="116"/>
      <c r="AC83" s="109">
        <f t="shared" si="224"/>
        <v>0</v>
      </c>
      <c r="AD83" s="119"/>
      <c r="AE83" s="116"/>
      <c r="AF83" s="109">
        <f t="shared" si="225"/>
        <v>0</v>
      </c>
      <c r="AG83" s="119"/>
      <c r="AH83" s="116"/>
      <c r="AI83" s="109">
        <f t="shared" si="226"/>
        <v>0</v>
      </c>
      <c r="AJ83" s="119"/>
      <c r="AK83" s="116"/>
      <c r="AL83" s="109">
        <f t="shared" si="227"/>
        <v>0</v>
      </c>
      <c r="AM83" s="119"/>
      <c r="AN83" s="116"/>
      <c r="AO83" s="109">
        <f t="shared" si="228"/>
        <v>0</v>
      </c>
      <c r="AP83" s="119"/>
      <c r="AQ83" s="116"/>
      <c r="AR83" s="109">
        <f t="shared" si="229"/>
        <v>0</v>
      </c>
      <c r="AS83" s="119"/>
      <c r="AT83" s="116"/>
      <c r="AU83" s="109">
        <f t="shared" si="230"/>
        <v>0</v>
      </c>
      <c r="AV83" s="119">
        <v>1</v>
      </c>
      <c r="AW83" s="116">
        <v>1</v>
      </c>
      <c r="AX83" s="109">
        <f t="shared" si="231"/>
        <v>5.66</v>
      </c>
      <c r="AY83" s="119"/>
      <c r="AZ83" s="116"/>
      <c r="BA83" s="109">
        <f t="shared" si="232"/>
        <v>0</v>
      </c>
      <c r="BB83" s="119"/>
      <c r="BC83" s="116"/>
      <c r="BD83" s="109">
        <f t="shared" si="233"/>
        <v>0</v>
      </c>
      <c r="BE83" s="119"/>
      <c r="BF83" s="116"/>
      <c r="BG83" s="109">
        <f t="shared" si="234"/>
        <v>0</v>
      </c>
      <c r="BH83" s="119"/>
      <c r="BI83" s="116"/>
      <c r="BJ83" s="109">
        <f t="shared" si="235"/>
        <v>0</v>
      </c>
      <c r="BK83" s="119"/>
      <c r="BL83" s="116"/>
      <c r="BM83" s="109">
        <f t="shared" si="236"/>
        <v>0</v>
      </c>
      <c r="BN83" s="119"/>
      <c r="BO83" s="116"/>
      <c r="BP83" s="109">
        <f t="shared" si="237"/>
        <v>0</v>
      </c>
      <c r="BQ83" s="119"/>
      <c r="BR83" s="116"/>
      <c r="BS83" s="109">
        <f t="shared" si="238"/>
        <v>0</v>
      </c>
      <c r="BT83" s="119"/>
      <c r="BU83" s="116"/>
      <c r="BV83" s="109">
        <f t="shared" si="239"/>
        <v>0</v>
      </c>
      <c r="BW83" s="119"/>
      <c r="BX83" s="116"/>
      <c r="BY83" s="109">
        <f t="shared" si="240"/>
        <v>0</v>
      </c>
      <c r="BZ83" s="119"/>
      <c r="CA83" s="116"/>
      <c r="CB83" s="109">
        <f t="shared" si="241"/>
        <v>0</v>
      </c>
      <c r="CC83" s="119"/>
      <c r="CD83" s="116"/>
      <c r="CE83" s="109">
        <f t="shared" si="242"/>
        <v>0</v>
      </c>
      <c r="CF83" s="119"/>
      <c r="CG83" s="116"/>
      <c r="CH83" s="109">
        <f t="shared" si="243"/>
        <v>0</v>
      </c>
      <c r="CI83" s="119"/>
      <c r="CJ83" s="116"/>
      <c r="CK83" s="109">
        <f t="shared" si="244"/>
        <v>0</v>
      </c>
      <c r="CL83" s="119"/>
      <c r="CM83" s="116"/>
      <c r="CN83" s="109">
        <f t="shared" si="245"/>
        <v>0</v>
      </c>
      <c r="CO83" s="119"/>
      <c r="CP83" s="116"/>
      <c r="CQ83" s="109">
        <f t="shared" si="246"/>
        <v>0</v>
      </c>
      <c r="CR83" s="119"/>
      <c r="CS83" s="116"/>
      <c r="CT83" s="109">
        <f t="shared" si="247"/>
        <v>0</v>
      </c>
      <c r="CU83" s="119"/>
      <c r="CV83" s="116"/>
      <c r="CW83" s="109">
        <f t="shared" si="248"/>
        <v>0</v>
      </c>
      <c r="CX83" s="119"/>
      <c r="CY83" s="116"/>
      <c r="CZ83" s="109">
        <f t="shared" si="249"/>
        <v>0</v>
      </c>
      <c r="DA83" s="119"/>
      <c r="DB83" s="116"/>
      <c r="DC83" s="109">
        <f t="shared" si="250"/>
        <v>0</v>
      </c>
      <c r="DD83" s="119"/>
      <c r="DE83" s="116"/>
      <c r="DF83" s="109">
        <f t="shared" si="251"/>
        <v>0</v>
      </c>
      <c r="DG83" s="119"/>
      <c r="DH83" s="116"/>
      <c r="DI83" s="109">
        <f t="shared" si="252"/>
        <v>0</v>
      </c>
      <c r="DJ83" s="119"/>
      <c r="DK83" s="116"/>
      <c r="DL83" s="109">
        <f t="shared" si="253"/>
        <v>0</v>
      </c>
      <c r="DM83" s="119"/>
      <c r="DN83" s="116"/>
      <c r="DO83" s="109">
        <f t="shared" si="254"/>
        <v>0</v>
      </c>
      <c r="DP83" s="126"/>
      <c r="DQ83" s="110"/>
      <c r="DR83" s="111"/>
      <c r="DS83" s="112">
        <f t="shared" si="255"/>
        <v>45.28</v>
      </c>
      <c r="DT83" s="113">
        <f t="shared" si="256"/>
        <v>9.1554763141030456E-5</v>
      </c>
    </row>
    <row r="84" spans="2:124" s="86" customFormat="1" ht="41.4" outlineLevel="1">
      <c r="B84" s="122" t="s">
        <v>270</v>
      </c>
      <c r="C84" s="131" t="s">
        <v>181</v>
      </c>
      <c r="D84" s="129" t="s">
        <v>179</v>
      </c>
      <c r="E84" s="130">
        <v>84.66</v>
      </c>
      <c r="F84" s="119"/>
      <c r="G84" s="116"/>
      <c r="H84" s="109">
        <f t="shared" si="217"/>
        <v>0</v>
      </c>
      <c r="I84" s="119"/>
      <c r="J84" s="116"/>
      <c r="K84" s="109">
        <f t="shared" si="218"/>
        <v>0</v>
      </c>
      <c r="L84" s="119"/>
      <c r="M84" s="116"/>
      <c r="N84" s="109">
        <f>M84*L84*$E84</f>
        <v>0</v>
      </c>
      <c r="O84" s="119"/>
      <c r="P84" s="116"/>
      <c r="Q84" s="109">
        <f t="shared" si="220"/>
        <v>0</v>
      </c>
      <c r="R84" s="119"/>
      <c r="S84" s="116"/>
      <c r="T84" s="109">
        <f t="shared" si="221"/>
        <v>0</v>
      </c>
      <c r="U84" s="119"/>
      <c r="V84" s="116"/>
      <c r="W84" s="109">
        <f t="shared" si="222"/>
        <v>0</v>
      </c>
      <c r="X84" s="119"/>
      <c r="Y84" s="116"/>
      <c r="Z84" s="109">
        <f t="shared" si="223"/>
        <v>0</v>
      </c>
      <c r="AA84" s="119"/>
      <c r="AB84" s="116"/>
      <c r="AC84" s="109">
        <f t="shared" si="224"/>
        <v>0</v>
      </c>
      <c r="AD84" s="119"/>
      <c r="AE84" s="116"/>
      <c r="AF84" s="109">
        <f t="shared" si="225"/>
        <v>0</v>
      </c>
      <c r="AG84" s="119"/>
      <c r="AH84" s="116"/>
      <c r="AI84" s="109">
        <f t="shared" si="226"/>
        <v>0</v>
      </c>
      <c r="AJ84" s="119"/>
      <c r="AK84" s="116"/>
      <c r="AL84" s="109">
        <f t="shared" si="227"/>
        <v>0</v>
      </c>
      <c r="AM84" s="119"/>
      <c r="AN84" s="116"/>
      <c r="AO84" s="109">
        <f t="shared" si="228"/>
        <v>0</v>
      </c>
      <c r="AP84" s="119"/>
      <c r="AQ84" s="116"/>
      <c r="AR84" s="109">
        <f t="shared" si="229"/>
        <v>0</v>
      </c>
      <c r="AS84" s="119"/>
      <c r="AT84" s="116"/>
      <c r="AU84" s="109">
        <f t="shared" si="230"/>
        <v>0</v>
      </c>
      <c r="AV84" s="119"/>
      <c r="AW84" s="116"/>
      <c r="AX84" s="109">
        <f t="shared" si="231"/>
        <v>0</v>
      </c>
      <c r="AY84" s="119">
        <v>1</v>
      </c>
      <c r="AZ84" s="116">
        <v>1</v>
      </c>
      <c r="BA84" s="109">
        <f t="shared" si="232"/>
        <v>84.66</v>
      </c>
      <c r="BB84" s="119"/>
      <c r="BC84" s="116"/>
      <c r="BD84" s="109">
        <f t="shared" si="233"/>
        <v>0</v>
      </c>
      <c r="BE84" s="119"/>
      <c r="BF84" s="116"/>
      <c r="BG84" s="109">
        <f t="shared" si="234"/>
        <v>0</v>
      </c>
      <c r="BH84" s="119"/>
      <c r="BI84" s="116"/>
      <c r="BJ84" s="109">
        <f t="shared" si="235"/>
        <v>0</v>
      </c>
      <c r="BK84" s="119"/>
      <c r="BL84" s="116"/>
      <c r="BM84" s="109">
        <f t="shared" si="236"/>
        <v>0</v>
      </c>
      <c r="BN84" s="119"/>
      <c r="BO84" s="116"/>
      <c r="BP84" s="109">
        <f t="shared" si="237"/>
        <v>0</v>
      </c>
      <c r="BQ84" s="119"/>
      <c r="BR84" s="116"/>
      <c r="BS84" s="109">
        <f t="shared" si="238"/>
        <v>0</v>
      </c>
      <c r="BT84" s="119"/>
      <c r="BU84" s="116"/>
      <c r="BV84" s="109">
        <f t="shared" si="239"/>
        <v>0</v>
      </c>
      <c r="BW84" s="119"/>
      <c r="BX84" s="116"/>
      <c r="BY84" s="109">
        <f t="shared" si="240"/>
        <v>0</v>
      </c>
      <c r="BZ84" s="119"/>
      <c r="CA84" s="116"/>
      <c r="CB84" s="109">
        <f t="shared" si="241"/>
        <v>0</v>
      </c>
      <c r="CC84" s="119"/>
      <c r="CD84" s="116"/>
      <c r="CE84" s="109">
        <f t="shared" si="242"/>
        <v>0</v>
      </c>
      <c r="CF84" s="119"/>
      <c r="CG84" s="116"/>
      <c r="CH84" s="109">
        <f t="shared" si="243"/>
        <v>0</v>
      </c>
      <c r="CI84" s="119"/>
      <c r="CJ84" s="116"/>
      <c r="CK84" s="109">
        <f t="shared" si="244"/>
        <v>0</v>
      </c>
      <c r="CL84" s="119"/>
      <c r="CM84" s="116"/>
      <c r="CN84" s="109">
        <f t="shared" si="245"/>
        <v>0</v>
      </c>
      <c r="CO84" s="119"/>
      <c r="CP84" s="116"/>
      <c r="CQ84" s="109">
        <f t="shared" si="246"/>
        <v>0</v>
      </c>
      <c r="CR84" s="119"/>
      <c r="CS84" s="116"/>
      <c r="CT84" s="109">
        <f t="shared" si="247"/>
        <v>0</v>
      </c>
      <c r="CU84" s="119"/>
      <c r="CV84" s="116"/>
      <c r="CW84" s="109">
        <f t="shared" si="248"/>
        <v>0</v>
      </c>
      <c r="CX84" s="119"/>
      <c r="CY84" s="116"/>
      <c r="CZ84" s="109">
        <f t="shared" si="249"/>
        <v>0</v>
      </c>
      <c r="DA84" s="119"/>
      <c r="DB84" s="116"/>
      <c r="DC84" s="109">
        <f t="shared" si="250"/>
        <v>0</v>
      </c>
      <c r="DD84" s="119"/>
      <c r="DE84" s="116"/>
      <c r="DF84" s="109">
        <f t="shared" si="251"/>
        <v>0</v>
      </c>
      <c r="DG84" s="119"/>
      <c r="DH84" s="116"/>
      <c r="DI84" s="109">
        <f t="shared" si="252"/>
        <v>0</v>
      </c>
      <c r="DJ84" s="119"/>
      <c r="DK84" s="116"/>
      <c r="DL84" s="109">
        <f t="shared" si="253"/>
        <v>0</v>
      </c>
      <c r="DM84" s="119"/>
      <c r="DN84" s="116"/>
      <c r="DO84" s="109">
        <f t="shared" si="254"/>
        <v>0</v>
      </c>
      <c r="DP84" s="126"/>
      <c r="DQ84" s="110"/>
      <c r="DR84" s="111"/>
      <c r="DS84" s="112">
        <f t="shared" si="255"/>
        <v>507.96</v>
      </c>
      <c r="DT84" s="113">
        <f t="shared" si="256"/>
        <v>1.0270794497596694E-3</v>
      </c>
    </row>
    <row r="85" spans="2:124" s="86" customFormat="1" ht="41.4" outlineLevel="1">
      <c r="B85" s="122" t="s">
        <v>271</v>
      </c>
      <c r="C85" s="123" t="s">
        <v>182</v>
      </c>
      <c r="D85" s="115" t="s">
        <v>179</v>
      </c>
      <c r="E85" s="125">
        <v>64.33</v>
      </c>
      <c r="F85" s="119"/>
      <c r="G85" s="116"/>
      <c r="H85" s="109">
        <f t="shared" si="217"/>
        <v>0</v>
      </c>
      <c r="I85" s="119"/>
      <c r="J85" s="116"/>
      <c r="K85" s="109">
        <f t="shared" si="218"/>
        <v>0</v>
      </c>
      <c r="L85" s="119"/>
      <c r="M85" s="116"/>
      <c r="N85" s="109">
        <f t="shared" si="219"/>
        <v>0</v>
      </c>
      <c r="O85" s="119"/>
      <c r="P85" s="116"/>
      <c r="Q85" s="109">
        <f t="shared" si="220"/>
        <v>0</v>
      </c>
      <c r="R85" s="119"/>
      <c r="S85" s="116"/>
      <c r="T85" s="109">
        <f t="shared" si="221"/>
        <v>0</v>
      </c>
      <c r="U85" s="119"/>
      <c r="V85" s="116"/>
      <c r="W85" s="109">
        <f t="shared" si="222"/>
        <v>0</v>
      </c>
      <c r="X85" s="119"/>
      <c r="Y85" s="116"/>
      <c r="Z85" s="109">
        <f t="shared" si="223"/>
        <v>0</v>
      </c>
      <c r="AA85" s="119"/>
      <c r="AB85" s="116"/>
      <c r="AC85" s="109">
        <f t="shared" si="224"/>
        <v>0</v>
      </c>
      <c r="AD85" s="119"/>
      <c r="AE85" s="116"/>
      <c r="AF85" s="109">
        <f t="shared" si="225"/>
        <v>0</v>
      </c>
      <c r="AG85" s="119"/>
      <c r="AH85" s="116"/>
      <c r="AI85" s="109">
        <f t="shared" si="226"/>
        <v>0</v>
      </c>
      <c r="AJ85" s="119"/>
      <c r="AK85" s="116"/>
      <c r="AL85" s="109">
        <f t="shared" si="227"/>
        <v>0</v>
      </c>
      <c r="AM85" s="119"/>
      <c r="AN85" s="116"/>
      <c r="AO85" s="109">
        <f t="shared" si="228"/>
        <v>0</v>
      </c>
      <c r="AP85" s="119"/>
      <c r="AQ85" s="116"/>
      <c r="AR85" s="109">
        <f t="shared" si="229"/>
        <v>0</v>
      </c>
      <c r="AS85" s="119"/>
      <c r="AT85" s="116"/>
      <c r="AU85" s="109">
        <f t="shared" si="230"/>
        <v>0</v>
      </c>
      <c r="AV85" s="119"/>
      <c r="AW85" s="116"/>
      <c r="AX85" s="109">
        <f t="shared" si="231"/>
        <v>0</v>
      </c>
      <c r="AY85" s="119"/>
      <c r="AZ85" s="116"/>
      <c r="BA85" s="109">
        <f t="shared" si="232"/>
        <v>0</v>
      </c>
      <c r="BB85" s="119">
        <v>1</v>
      </c>
      <c r="BC85" s="116">
        <v>1</v>
      </c>
      <c r="BD85" s="109">
        <f t="shared" si="233"/>
        <v>64.33</v>
      </c>
      <c r="BE85" s="119"/>
      <c r="BF85" s="116"/>
      <c r="BG85" s="109">
        <f t="shared" si="234"/>
        <v>0</v>
      </c>
      <c r="BH85" s="119"/>
      <c r="BI85" s="116"/>
      <c r="BJ85" s="109">
        <f t="shared" si="235"/>
        <v>0</v>
      </c>
      <c r="BK85" s="119"/>
      <c r="BL85" s="116"/>
      <c r="BM85" s="109">
        <f t="shared" si="236"/>
        <v>0</v>
      </c>
      <c r="BN85" s="119"/>
      <c r="BO85" s="116"/>
      <c r="BP85" s="109">
        <f t="shared" si="237"/>
        <v>0</v>
      </c>
      <c r="BQ85" s="119"/>
      <c r="BR85" s="116"/>
      <c r="BS85" s="109">
        <f t="shared" si="238"/>
        <v>0</v>
      </c>
      <c r="BT85" s="119"/>
      <c r="BU85" s="116"/>
      <c r="BV85" s="109">
        <f t="shared" si="239"/>
        <v>0</v>
      </c>
      <c r="BW85" s="119"/>
      <c r="BX85" s="116"/>
      <c r="BY85" s="109">
        <f t="shared" si="240"/>
        <v>0</v>
      </c>
      <c r="BZ85" s="119"/>
      <c r="CA85" s="116"/>
      <c r="CB85" s="109">
        <f t="shared" si="241"/>
        <v>0</v>
      </c>
      <c r="CC85" s="119"/>
      <c r="CD85" s="116"/>
      <c r="CE85" s="109">
        <f t="shared" si="242"/>
        <v>0</v>
      </c>
      <c r="CF85" s="119"/>
      <c r="CG85" s="116"/>
      <c r="CH85" s="109">
        <f t="shared" si="243"/>
        <v>0</v>
      </c>
      <c r="CI85" s="119"/>
      <c r="CJ85" s="116"/>
      <c r="CK85" s="109">
        <f t="shared" si="244"/>
        <v>0</v>
      </c>
      <c r="CL85" s="119"/>
      <c r="CM85" s="116"/>
      <c r="CN85" s="109">
        <f t="shared" si="245"/>
        <v>0</v>
      </c>
      <c r="CO85" s="119"/>
      <c r="CP85" s="116"/>
      <c r="CQ85" s="109">
        <f t="shared" si="246"/>
        <v>0</v>
      </c>
      <c r="CR85" s="119"/>
      <c r="CS85" s="116"/>
      <c r="CT85" s="109">
        <f t="shared" si="247"/>
        <v>0</v>
      </c>
      <c r="CU85" s="119"/>
      <c r="CV85" s="116"/>
      <c r="CW85" s="109">
        <f t="shared" si="248"/>
        <v>0</v>
      </c>
      <c r="CX85" s="119"/>
      <c r="CY85" s="116"/>
      <c r="CZ85" s="109">
        <f t="shared" si="249"/>
        <v>0</v>
      </c>
      <c r="DA85" s="119"/>
      <c r="DB85" s="116"/>
      <c r="DC85" s="109">
        <f t="shared" si="250"/>
        <v>0</v>
      </c>
      <c r="DD85" s="119"/>
      <c r="DE85" s="116"/>
      <c r="DF85" s="109">
        <f t="shared" si="251"/>
        <v>0</v>
      </c>
      <c r="DG85" s="119"/>
      <c r="DH85" s="116"/>
      <c r="DI85" s="109">
        <f t="shared" si="252"/>
        <v>0</v>
      </c>
      <c r="DJ85" s="119"/>
      <c r="DK85" s="116"/>
      <c r="DL85" s="109">
        <f t="shared" si="253"/>
        <v>0</v>
      </c>
      <c r="DM85" s="119"/>
      <c r="DN85" s="116"/>
      <c r="DO85" s="109">
        <f t="shared" si="254"/>
        <v>0</v>
      </c>
      <c r="DP85" s="126"/>
      <c r="DQ85" s="110"/>
      <c r="DR85" s="111"/>
      <c r="DS85" s="112">
        <f t="shared" si="255"/>
        <v>385.98</v>
      </c>
      <c r="DT85" s="113">
        <f t="shared" si="256"/>
        <v>7.8043965276446419E-4</v>
      </c>
    </row>
    <row r="86" spans="2:124" s="86" customFormat="1" ht="21.9" customHeight="1" outlineLevel="1">
      <c r="B86" s="122" t="s">
        <v>272</v>
      </c>
      <c r="C86" s="123" t="s">
        <v>183</v>
      </c>
      <c r="D86" s="115" t="s">
        <v>273</v>
      </c>
      <c r="E86" s="125">
        <v>5600</v>
      </c>
      <c r="F86" s="119"/>
      <c r="G86" s="116"/>
      <c r="H86" s="109">
        <f t="shared" si="217"/>
        <v>0</v>
      </c>
      <c r="I86" s="119"/>
      <c r="J86" s="116"/>
      <c r="K86" s="109">
        <f t="shared" si="218"/>
        <v>0</v>
      </c>
      <c r="L86" s="119"/>
      <c r="M86" s="116"/>
      <c r="N86" s="109">
        <f t="shared" si="219"/>
        <v>0</v>
      </c>
      <c r="O86" s="119"/>
      <c r="P86" s="116"/>
      <c r="Q86" s="109">
        <f t="shared" si="220"/>
        <v>0</v>
      </c>
      <c r="R86" s="119"/>
      <c r="S86" s="116"/>
      <c r="T86" s="109">
        <f t="shared" si="221"/>
        <v>0</v>
      </c>
      <c r="U86" s="119"/>
      <c r="V86" s="116"/>
      <c r="W86" s="109">
        <f t="shared" si="222"/>
        <v>0</v>
      </c>
      <c r="X86" s="119"/>
      <c r="Y86" s="116"/>
      <c r="Z86" s="109">
        <f t="shared" si="223"/>
        <v>0</v>
      </c>
      <c r="AA86" s="119"/>
      <c r="AB86" s="116"/>
      <c r="AC86" s="109">
        <f t="shared" si="224"/>
        <v>0</v>
      </c>
      <c r="AD86" s="119"/>
      <c r="AE86" s="116"/>
      <c r="AF86" s="109">
        <f t="shared" si="225"/>
        <v>0</v>
      </c>
      <c r="AG86" s="119"/>
      <c r="AH86" s="116"/>
      <c r="AI86" s="109">
        <f t="shared" si="226"/>
        <v>0</v>
      </c>
      <c r="AJ86" s="119"/>
      <c r="AK86" s="116"/>
      <c r="AL86" s="109">
        <f t="shared" si="227"/>
        <v>0</v>
      </c>
      <c r="AM86" s="119"/>
      <c r="AN86" s="116"/>
      <c r="AO86" s="109">
        <f t="shared" si="228"/>
        <v>0</v>
      </c>
      <c r="AP86" s="119"/>
      <c r="AQ86" s="116"/>
      <c r="AR86" s="109">
        <f t="shared" si="229"/>
        <v>0</v>
      </c>
      <c r="AS86" s="119"/>
      <c r="AT86" s="116"/>
      <c r="AU86" s="109">
        <f t="shared" si="230"/>
        <v>0</v>
      </c>
      <c r="AV86" s="119"/>
      <c r="AW86" s="116"/>
      <c r="AX86" s="109">
        <f t="shared" si="231"/>
        <v>0</v>
      </c>
      <c r="AY86" s="119"/>
      <c r="AZ86" s="116"/>
      <c r="BA86" s="109">
        <f t="shared" si="232"/>
        <v>0</v>
      </c>
      <c r="BB86" s="119"/>
      <c r="BC86" s="116"/>
      <c r="BD86" s="109">
        <f t="shared" si="233"/>
        <v>0</v>
      </c>
      <c r="BE86" s="119">
        <v>0.25</v>
      </c>
      <c r="BF86" s="116">
        <v>1</v>
      </c>
      <c r="BG86" s="109">
        <f t="shared" si="234"/>
        <v>1400</v>
      </c>
      <c r="BH86" s="119"/>
      <c r="BI86" s="116"/>
      <c r="BJ86" s="109">
        <f t="shared" si="235"/>
        <v>0</v>
      </c>
      <c r="BK86" s="119"/>
      <c r="BL86" s="116"/>
      <c r="BM86" s="109">
        <f t="shared" si="236"/>
        <v>0</v>
      </c>
      <c r="BN86" s="119"/>
      <c r="BO86" s="116"/>
      <c r="BP86" s="109">
        <f t="shared" si="237"/>
        <v>0</v>
      </c>
      <c r="BQ86" s="119"/>
      <c r="BR86" s="116"/>
      <c r="BS86" s="109">
        <f t="shared" si="238"/>
        <v>0</v>
      </c>
      <c r="BT86" s="119"/>
      <c r="BU86" s="116"/>
      <c r="BV86" s="109">
        <f t="shared" si="239"/>
        <v>0</v>
      </c>
      <c r="BW86" s="119"/>
      <c r="BX86" s="116"/>
      <c r="BY86" s="109">
        <f t="shared" si="240"/>
        <v>0</v>
      </c>
      <c r="BZ86" s="119"/>
      <c r="CA86" s="116"/>
      <c r="CB86" s="109">
        <f t="shared" si="241"/>
        <v>0</v>
      </c>
      <c r="CC86" s="119"/>
      <c r="CD86" s="116"/>
      <c r="CE86" s="109">
        <f t="shared" si="242"/>
        <v>0</v>
      </c>
      <c r="CF86" s="119"/>
      <c r="CG86" s="116"/>
      <c r="CH86" s="109">
        <f t="shared" si="243"/>
        <v>0</v>
      </c>
      <c r="CI86" s="119"/>
      <c r="CJ86" s="116"/>
      <c r="CK86" s="109">
        <f t="shared" si="244"/>
        <v>0</v>
      </c>
      <c r="CL86" s="119"/>
      <c r="CM86" s="116"/>
      <c r="CN86" s="109">
        <f t="shared" si="245"/>
        <v>0</v>
      </c>
      <c r="CO86" s="119"/>
      <c r="CP86" s="116"/>
      <c r="CQ86" s="109">
        <f t="shared" si="246"/>
        <v>0</v>
      </c>
      <c r="CR86" s="119"/>
      <c r="CS86" s="116"/>
      <c r="CT86" s="109">
        <f t="shared" si="247"/>
        <v>0</v>
      </c>
      <c r="CU86" s="119"/>
      <c r="CV86" s="116"/>
      <c r="CW86" s="109">
        <f t="shared" si="248"/>
        <v>0</v>
      </c>
      <c r="CX86" s="119"/>
      <c r="CY86" s="116"/>
      <c r="CZ86" s="109">
        <f t="shared" si="249"/>
        <v>0</v>
      </c>
      <c r="DA86" s="119">
        <v>1</v>
      </c>
      <c r="DB86" s="116">
        <v>0.5</v>
      </c>
      <c r="DC86" s="109">
        <f t="shared" si="250"/>
        <v>2800</v>
      </c>
      <c r="DD86" s="119"/>
      <c r="DE86" s="116"/>
      <c r="DF86" s="109">
        <f t="shared" si="251"/>
        <v>0</v>
      </c>
      <c r="DG86" s="119"/>
      <c r="DH86" s="116"/>
      <c r="DI86" s="109">
        <f t="shared" si="252"/>
        <v>0</v>
      </c>
      <c r="DJ86" s="119"/>
      <c r="DK86" s="116"/>
      <c r="DL86" s="109">
        <f t="shared" si="253"/>
        <v>0</v>
      </c>
      <c r="DM86" s="119"/>
      <c r="DN86" s="116"/>
      <c r="DO86" s="109">
        <f t="shared" si="254"/>
        <v>0</v>
      </c>
      <c r="DP86" s="126"/>
      <c r="DQ86" s="110"/>
      <c r="DR86" s="111"/>
      <c r="DS86" s="112">
        <f t="shared" si="255"/>
        <v>4200</v>
      </c>
      <c r="DT86" s="113">
        <f t="shared" si="256"/>
        <v>8.4922704326927546E-3</v>
      </c>
    </row>
    <row r="87" spans="2:124" s="86" customFormat="1" ht="21.9" customHeight="1" outlineLevel="1">
      <c r="B87" s="122" t="s">
        <v>274</v>
      </c>
      <c r="C87" s="123" t="s">
        <v>275</v>
      </c>
      <c r="D87" s="115" t="s">
        <v>276</v>
      </c>
      <c r="E87" s="125">
        <v>1</v>
      </c>
      <c r="F87" s="119"/>
      <c r="G87" s="116"/>
      <c r="H87" s="109">
        <f t="shared" si="217"/>
        <v>0</v>
      </c>
      <c r="I87" s="119"/>
      <c r="J87" s="116"/>
      <c r="K87" s="109">
        <f t="shared" si="218"/>
        <v>0</v>
      </c>
      <c r="L87" s="119"/>
      <c r="M87" s="116"/>
      <c r="N87" s="109">
        <f t="shared" si="219"/>
        <v>0</v>
      </c>
      <c r="O87" s="119"/>
      <c r="P87" s="116"/>
      <c r="Q87" s="109">
        <f t="shared" si="220"/>
        <v>0</v>
      </c>
      <c r="R87" s="119"/>
      <c r="S87" s="116"/>
      <c r="T87" s="109">
        <f t="shared" si="221"/>
        <v>0</v>
      </c>
      <c r="U87" s="119"/>
      <c r="V87" s="116"/>
      <c r="W87" s="109">
        <f t="shared" si="222"/>
        <v>0</v>
      </c>
      <c r="X87" s="119"/>
      <c r="Y87" s="116"/>
      <c r="Z87" s="109">
        <f t="shared" si="223"/>
        <v>0</v>
      </c>
      <c r="AA87" s="119"/>
      <c r="AB87" s="116"/>
      <c r="AC87" s="109">
        <f t="shared" si="224"/>
        <v>0</v>
      </c>
      <c r="AD87" s="119"/>
      <c r="AE87" s="116"/>
      <c r="AF87" s="109">
        <f t="shared" si="225"/>
        <v>0</v>
      </c>
      <c r="AG87" s="119"/>
      <c r="AH87" s="116"/>
      <c r="AI87" s="109">
        <f t="shared" si="226"/>
        <v>0</v>
      </c>
      <c r="AJ87" s="119"/>
      <c r="AK87" s="116"/>
      <c r="AL87" s="109">
        <f t="shared" si="227"/>
        <v>0</v>
      </c>
      <c r="AM87" s="119"/>
      <c r="AN87" s="116"/>
      <c r="AO87" s="109">
        <f t="shared" si="228"/>
        <v>0</v>
      </c>
      <c r="AP87" s="119"/>
      <c r="AQ87" s="116"/>
      <c r="AR87" s="109">
        <f t="shared" si="229"/>
        <v>0</v>
      </c>
      <c r="AS87" s="119"/>
      <c r="AT87" s="116"/>
      <c r="AU87" s="109">
        <f t="shared" si="230"/>
        <v>0</v>
      </c>
      <c r="AV87" s="119"/>
      <c r="AW87" s="116"/>
      <c r="AX87" s="109">
        <f t="shared" si="231"/>
        <v>0</v>
      </c>
      <c r="AY87" s="119"/>
      <c r="AZ87" s="116"/>
      <c r="BA87" s="109">
        <f t="shared" si="232"/>
        <v>0</v>
      </c>
      <c r="BB87" s="119"/>
      <c r="BC87" s="116"/>
      <c r="BD87" s="109">
        <f t="shared" si="233"/>
        <v>0</v>
      </c>
      <c r="BE87" s="119"/>
      <c r="BF87" s="116"/>
      <c r="BG87" s="109">
        <f t="shared" si="234"/>
        <v>0</v>
      </c>
      <c r="BH87" s="119"/>
      <c r="BI87" s="116"/>
      <c r="BJ87" s="109">
        <f t="shared" si="235"/>
        <v>0</v>
      </c>
      <c r="BK87" s="119"/>
      <c r="BL87" s="116"/>
      <c r="BM87" s="109">
        <f t="shared" si="236"/>
        <v>0</v>
      </c>
      <c r="BN87" s="119"/>
      <c r="BO87" s="116"/>
      <c r="BP87" s="109">
        <f t="shared" si="237"/>
        <v>0</v>
      </c>
      <c r="BQ87" s="119"/>
      <c r="BR87" s="116"/>
      <c r="BS87" s="109">
        <f t="shared" si="238"/>
        <v>0</v>
      </c>
      <c r="BT87" s="119"/>
      <c r="BU87" s="116"/>
      <c r="BV87" s="109">
        <f t="shared" si="239"/>
        <v>0</v>
      </c>
      <c r="BW87" s="119"/>
      <c r="BX87" s="116"/>
      <c r="BY87" s="109">
        <f t="shared" si="240"/>
        <v>0</v>
      </c>
      <c r="BZ87" s="119"/>
      <c r="CA87" s="116"/>
      <c r="CB87" s="109">
        <f t="shared" si="241"/>
        <v>0</v>
      </c>
      <c r="CC87" s="119"/>
      <c r="CD87" s="116"/>
      <c r="CE87" s="109">
        <f t="shared" si="242"/>
        <v>0</v>
      </c>
      <c r="CF87" s="119"/>
      <c r="CG87" s="116"/>
      <c r="CH87" s="109">
        <f t="shared" si="243"/>
        <v>0</v>
      </c>
      <c r="CI87" s="119"/>
      <c r="CJ87" s="116"/>
      <c r="CK87" s="109">
        <f t="shared" si="244"/>
        <v>0</v>
      </c>
      <c r="CL87" s="119"/>
      <c r="CM87" s="116"/>
      <c r="CN87" s="109">
        <f t="shared" si="245"/>
        <v>0</v>
      </c>
      <c r="CO87" s="119"/>
      <c r="CP87" s="116"/>
      <c r="CQ87" s="109">
        <f t="shared" si="246"/>
        <v>0</v>
      </c>
      <c r="CR87" s="119"/>
      <c r="CS87" s="116"/>
      <c r="CT87" s="109">
        <f t="shared" si="247"/>
        <v>0</v>
      </c>
      <c r="CU87" s="119"/>
      <c r="CV87" s="116"/>
      <c r="CW87" s="109">
        <f t="shared" si="248"/>
        <v>0</v>
      </c>
      <c r="CX87" s="119"/>
      <c r="CY87" s="116"/>
      <c r="CZ87" s="109">
        <f t="shared" si="249"/>
        <v>0</v>
      </c>
      <c r="DA87" s="119"/>
      <c r="DB87" s="116"/>
      <c r="DC87" s="109">
        <f t="shared" si="250"/>
        <v>0</v>
      </c>
      <c r="DD87" s="119"/>
      <c r="DE87" s="116"/>
      <c r="DF87" s="109">
        <f t="shared" si="251"/>
        <v>0</v>
      </c>
      <c r="DG87" s="119"/>
      <c r="DH87" s="116"/>
      <c r="DI87" s="109">
        <f t="shared" si="252"/>
        <v>0</v>
      </c>
      <c r="DJ87" s="119"/>
      <c r="DK87" s="116"/>
      <c r="DL87" s="109">
        <f t="shared" si="253"/>
        <v>0</v>
      </c>
      <c r="DM87" s="119"/>
      <c r="DN87" s="116"/>
      <c r="DO87" s="109">
        <f t="shared" si="254"/>
        <v>0</v>
      </c>
      <c r="DP87" s="126"/>
      <c r="DQ87" s="110"/>
      <c r="DR87" s="111"/>
      <c r="DS87" s="112">
        <f t="shared" si="255"/>
        <v>0</v>
      </c>
      <c r="DT87" s="113">
        <f t="shared" si="256"/>
        <v>0</v>
      </c>
    </row>
    <row r="88" spans="2:124" s="86" customFormat="1" ht="21.9" customHeight="1" outlineLevel="1">
      <c r="B88" s="122" t="s">
        <v>277</v>
      </c>
      <c r="C88" s="123" t="s">
        <v>278</v>
      </c>
      <c r="D88" s="124" t="s">
        <v>279</v>
      </c>
      <c r="E88" s="125">
        <v>7</v>
      </c>
      <c r="F88" s="119"/>
      <c r="G88" s="116"/>
      <c r="H88" s="109">
        <f t="shared" si="217"/>
        <v>0</v>
      </c>
      <c r="I88" s="119"/>
      <c r="J88" s="116"/>
      <c r="K88" s="109">
        <f t="shared" si="218"/>
        <v>0</v>
      </c>
      <c r="L88" s="119"/>
      <c r="M88" s="116"/>
      <c r="N88" s="109">
        <f>M88*L88*$E88</f>
        <v>0</v>
      </c>
      <c r="O88" s="119"/>
      <c r="P88" s="116"/>
      <c r="Q88" s="109">
        <f t="shared" si="220"/>
        <v>0</v>
      </c>
      <c r="R88" s="119"/>
      <c r="S88" s="116"/>
      <c r="T88" s="109">
        <f t="shared" si="221"/>
        <v>0</v>
      </c>
      <c r="U88" s="119"/>
      <c r="V88" s="116"/>
      <c r="W88" s="109">
        <f t="shared" si="222"/>
        <v>0</v>
      </c>
      <c r="X88" s="119"/>
      <c r="Y88" s="116"/>
      <c r="Z88" s="109">
        <f t="shared" si="223"/>
        <v>0</v>
      </c>
      <c r="AA88" s="119"/>
      <c r="AB88" s="116"/>
      <c r="AC88" s="109">
        <f t="shared" si="224"/>
        <v>0</v>
      </c>
      <c r="AD88" s="119"/>
      <c r="AE88" s="116"/>
      <c r="AF88" s="109">
        <f t="shared" si="225"/>
        <v>0</v>
      </c>
      <c r="AG88" s="119"/>
      <c r="AH88" s="116"/>
      <c r="AI88" s="109">
        <f t="shared" si="226"/>
        <v>0</v>
      </c>
      <c r="AJ88" s="119"/>
      <c r="AK88" s="116"/>
      <c r="AL88" s="109">
        <f t="shared" si="227"/>
        <v>0</v>
      </c>
      <c r="AM88" s="119"/>
      <c r="AN88" s="116"/>
      <c r="AO88" s="109">
        <f t="shared" si="228"/>
        <v>0</v>
      </c>
      <c r="AP88" s="119"/>
      <c r="AQ88" s="116"/>
      <c r="AR88" s="109">
        <f t="shared" si="229"/>
        <v>0</v>
      </c>
      <c r="AS88" s="119"/>
      <c r="AT88" s="116"/>
      <c r="AU88" s="109">
        <f t="shared" si="230"/>
        <v>0</v>
      </c>
      <c r="AV88" s="119"/>
      <c r="AW88" s="116"/>
      <c r="AX88" s="109">
        <f t="shared" si="231"/>
        <v>0</v>
      </c>
      <c r="AY88" s="119"/>
      <c r="AZ88" s="116"/>
      <c r="BA88" s="109">
        <f t="shared" si="232"/>
        <v>0</v>
      </c>
      <c r="BB88" s="119"/>
      <c r="BC88" s="116"/>
      <c r="BD88" s="109">
        <f t="shared" si="233"/>
        <v>0</v>
      </c>
      <c r="BE88" s="119"/>
      <c r="BF88" s="116"/>
      <c r="BG88" s="109">
        <f t="shared" si="234"/>
        <v>0</v>
      </c>
      <c r="BH88" s="119"/>
      <c r="BI88" s="116"/>
      <c r="BJ88" s="109">
        <f t="shared" si="235"/>
        <v>0</v>
      </c>
      <c r="BK88" s="119"/>
      <c r="BL88" s="116"/>
      <c r="BM88" s="109">
        <f t="shared" si="236"/>
        <v>0</v>
      </c>
      <c r="BN88" s="119"/>
      <c r="BO88" s="116"/>
      <c r="BP88" s="109">
        <f t="shared" si="237"/>
        <v>0</v>
      </c>
      <c r="BQ88" s="119"/>
      <c r="BR88" s="116"/>
      <c r="BS88" s="109">
        <f t="shared" si="238"/>
        <v>0</v>
      </c>
      <c r="BT88" s="119"/>
      <c r="BU88" s="116"/>
      <c r="BV88" s="109">
        <f t="shared" si="239"/>
        <v>0</v>
      </c>
      <c r="BW88" s="119"/>
      <c r="BX88" s="116"/>
      <c r="BY88" s="109">
        <f t="shared" si="240"/>
        <v>0</v>
      </c>
      <c r="BZ88" s="119"/>
      <c r="CA88" s="116"/>
      <c r="CB88" s="109">
        <f t="shared" si="241"/>
        <v>0</v>
      </c>
      <c r="CC88" s="119"/>
      <c r="CD88" s="116"/>
      <c r="CE88" s="109">
        <f t="shared" si="242"/>
        <v>0</v>
      </c>
      <c r="CF88" s="119"/>
      <c r="CG88" s="116"/>
      <c r="CH88" s="109">
        <f t="shared" si="243"/>
        <v>0</v>
      </c>
      <c r="CI88" s="119"/>
      <c r="CJ88" s="116"/>
      <c r="CK88" s="109">
        <f t="shared" si="244"/>
        <v>0</v>
      </c>
      <c r="CL88" s="119"/>
      <c r="CM88" s="116"/>
      <c r="CN88" s="109">
        <f t="shared" si="245"/>
        <v>0</v>
      </c>
      <c r="CO88" s="119"/>
      <c r="CP88" s="116"/>
      <c r="CQ88" s="109">
        <f t="shared" si="246"/>
        <v>0</v>
      </c>
      <c r="CR88" s="119"/>
      <c r="CS88" s="116"/>
      <c r="CT88" s="109">
        <f t="shared" si="247"/>
        <v>0</v>
      </c>
      <c r="CU88" s="119"/>
      <c r="CV88" s="116"/>
      <c r="CW88" s="109">
        <f t="shared" si="248"/>
        <v>0</v>
      </c>
      <c r="CX88" s="119"/>
      <c r="CY88" s="116"/>
      <c r="CZ88" s="109">
        <f t="shared" si="249"/>
        <v>0</v>
      </c>
      <c r="DA88" s="119"/>
      <c r="DB88" s="116"/>
      <c r="DC88" s="109">
        <f t="shared" si="250"/>
        <v>0</v>
      </c>
      <c r="DD88" s="119"/>
      <c r="DE88" s="116"/>
      <c r="DF88" s="109">
        <f t="shared" si="251"/>
        <v>0</v>
      </c>
      <c r="DG88" s="119"/>
      <c r="DH88" s="116"/>
      <c r="DI88" s="109">
        <f t="shared" si="252"/>
        <v>0</v>
      </c>
      <c r="DJ88" s="119"/>
      <c r="DK88" s="116"/>
      <c r="DL88" s="109">
        <f t="shared" si="253"/>
        <v>0</v>
      </c>
      <c r="DM88" s="119"/>
      <c r="DN88" s="116"/>
      <c r="DO88" s="109">
        <f t="shared" si="254"/>
        <v>0</v>
      </c>
      <c r="DP88" s="126"/>
      <c r="DQ88" s="110"/>
      <c r="DR88" s="111"/>
      <c r="DS88" s="112">
        <f t="shared" si="255"/>
        <v>0</v>
      </c>
      <c r="DT88" s="113">
        <f t="shared" si="256"/>
        <v>0</v>
      </c>
    </row>
    <row r="89" spans="2:124" s="86" customFormat="1" ht="21.9" customHeight="1" outlineLevel="1">
      <c r="B89" s="122" t="s">
        <v>280</v>
      </c>
      <c r="C89" s="123" t="s">
        <v>236</v>
      </c>
      <c r="D89" s="115" t="s">
        <v>229</v>
      </c>
      <c r="E89" s="125">
        <v>140</v>
      </c>
      <c r="F89" s="119"/>
      <c r="G89" s="116"/>
      <c r="H89" s="109">
        <f t="shared" si="217"/>
        <v>0</v>
      </c>
      <c r="I89" s="119"/>
      <c r="J89" s="116"/>
      <c r="K89" s="109">
        <f t="shared" si="218"/>
        <v>0</v>
      </c>
      <c r="L89" s="119"/>
      <c r="M89" s="116"/>
      <c r="N89" s="109">
        <f t="shared" ref="N89:N99" si="257">M89*L89*$E89</f>
        <v>0</v>
      </c>
      <c r="O89" s="119"/>
      <c r="P89" s="116"/>
      <c r="Q89" s="109">
        <f t="shared" si="220"/>
        <v>0</v>
      </c>
      <c r="R89" s="119"/>
      <c r="S89" s="116"/>
      <c r="T89" s="109">
        <f t="shared" si="221"/>
        <v>0</v>
      </c>
      <c r="U89" s="119"/>
      <c r="V89" s="116"/>
      <c r="W89" s="109">
        <f t="shared" si="222"/>
        <v>0</v>
      </c>
      <c r="X89" s="119"/>
      <c r="Y89" s="116"/>
      <c r="Z89" s="109">
        <f t="shared" si="223"/>
        <v>0</v>
      </c>
      <c r="AA89" s="119"/>
      <c r="AB89" s="116"/>
      <c r="AC89" s="109">
        <f t="shared" si="224"/>
        <v>0</v>
      </c>
      <c r="AD89" s="119"/>
      <c r="AE89" s="116"/>
      <c r="AF89" s="109">
        <f t="shared" si="225"/>
        <v>0</v>
      </c>
      <c r="AG89" s="119"/>
      <c r="AH89" s="116"/>
      <c r="AI89" s="109">
        <f t="shared" si="226"/>
        <v>0</v>
      </c>
      <c r="AJ89" s="119"/>
      <c r="AK89" s="116"/>
      <c r="AL89" s="109">
        <f t="shared" si="227"/>
        <v>0</v>
      </c>
      <c r="AM89" s="119"/>
      <c r="AN89" s="116"/>
      <c r="AO89" s="109">
        <f t="shared" si="228"/>
        <v>0</v>
      </c>
      <c r="AP89" s="119"/>
      <c r="AQ89" s="116"/>
      <c r="AR89" s="109">
        <f t="shared" si="229"/>
        <v>0</v>
      </c>
      <c r="AS89" s="119"/>
      <c r="AT89" s="116"/>
      <c r="AU89" s="109">
        <f t="shared" si="230"/>
        <v>0</v>
      </c>
      <c r="AV89" s="119"/>
      <c r="AW89" s="116"/>
      <c r="AX89" s="109">
        <f t="shared" si="231"/>
        <v>0</v>
      </c>
      <c r="AY89" s="119"/>
      <c r="AZ89" s="116"/>
      <c r="BA89" s="109">
        <f t="shared" si="232"/>
        <v>0</v>
      </c>
      <c r="BB89" s="119"/>
      <c r="BC89" s="116"/>
      <c r="BD89" s="109">
        <f t="shared" si="233"/>
        <v>0</v>
      </c>
      <c r="BE89" s="119"/>
      <c r="BF89" s="116"/>
      <c r="BG89" s="109">
        <f t="shared" si="234"/>
        <v>0</v>
      </c>
      <c r="BH89" s="119"/>
      <c r="BI89" s="116"/>
      <c r="BJ89" s="109">
        <f t="shared" si="235"/>
        <v>0</v>
      </c>
      <c r="BK89" s="119"/>
      <c r="BL89" s="116"/>
      <c r="BM89" s="109">
        <f t="shared" si="236"/>
        <v>0</v>
      </c>
      <c r="BN89" s="119"/>
      <c r="BO89" s="116"/>
      <c r="BP89" s="109">
        <f t="shared" si="237"/>
        <v>0</v>
      </c>
      <c r="BQ89" s="119"/>
      <c r="BR89" s="116"/>
      <c r="BS89" s="109">
        <f t="shared" si="238"/>
        <v>0</v>
      </c>
      <c r="BT89" s="119"/>
      <c r="BU89" s="116"/>
      <c r="BV89" s="109">
        <f t="shared" si="239"/>
        <v>0</v>
      </c>
      <c r="BW89" s="119"/>
      <c r="BX89" s="116"/>
      <c r="BY89" s="109">
        <f t="shared" si="240"/>
        <v>0</v>
      </c>
      <c r="BZ89" s="119"/>
      <c r="CA89" s="116"/>
      <c r="CB89" s="109">
        <f t="shared" si="241"/>
        <v>0</v>
      </c>
      <c r="CC89" s="119"/>
      <c r="CD89" s="116"/>
      <c r="CE89" s="109">
        <f t="shared" si="242"/>
        <v>0</v>
      </c>
      <c r="CF89" s="119"/>
      <c r="CG89" s="116"/>
      <c r="CH89" s="109">
        <f t="shared" si="243"/>
        <v>0</v>
      </c>
      <c r="CI89" s="119"/>
      <c r="CJ89" s="116"/>
      <c r="CK89" s="109">
        <f t="shared" si="244"/>
        <v>0</v>
      </c>
      <c r="CL89" s="119"/>
      <c r="CM89" s="116"/>
      <c r="CN89" s="109">
        <f t="shared" si="245"/>
        <v>0</v>
      </c>
      <c r="CO89" s="119"/>
      <c r="CP89" s="116"/>
      <c r="CQ89" s="109">
        <f t="shared" si="246"/>
        <v>0</v>
      </c>
      <c r="CR89" s="119"/>
      <c r="CS89" s="116"/>
      <c r="CT89" s="109">
        <f t="shared" si="247"/>
        <v>0</v>
      </c>
      <c r="CU89" s="119"/>
      <c r="CV89" s="116"/>
      <c r="CW89" s="109">
        <f t="shared" si="248"/>
        <v>0</v>
      </c>
      <c r="CX89" s="119"/>
      <c r="CY89" s="116"/>
      <c r="CZ89" s="109">
        <f t="shared" si="249"/>
        <v>0</v>
      </c>
      <c r="DA89" s="119"/>
      <c r="DB89" s="116"/>
      <c r="DC89" s="109">
        <f t="shared" si="250"/>
        <v>0</v>
      </c>
      <c r="DD89" s="119"/>
      <c r="DE89" s="116"/>
      <c r="DF89" s="109">
        <f t="shared" si="251"/>
        <v>0</v>
      </c>
      <c r="DG89" s="119"/>
      <c r="DH89" s="116"/>
      <c r="DI89" s="109">
        <f t="shared" si="252"/>
        <v>0</v>
      </c>
      <c r="DJ89" s="119"/>
      <c r="DK89" s="116"/>
      <c r="DL89" s="109">
        <f t="shared" si="253"/>
        <v>0</v>
      </c>
      <c r="DM89" s="119"/>
      <c r="DN89" s="116"/>
      <c r="DO89" s="109">
        <f t="shared" si="254"/>
        <v>0</v>
      </c>
      <c r="DP89" s="126"/>
      <c r="DQ89" s="110"/>
      <c r="DR89" s="111"/>
      <c r="DS89" s="112">
        <f t="shared" si="255"/>
        <v>0</v>
      </c>
      <c r="DT89" s="113">
        <f t="shared" si="256"/>
        <v>0</v>
      </c>
    </row>
    <row r="90" spans="2:124" s="86" customFormat="1" ht="15" outlineLevel="1">
      <c r="B90" s="122" t="s">
        <v>281</v>
      </c>
      <c r="C90" s="123" t="s">
        <v>676</v>
      </c>
      <c r="D90" s="124" t="s">
        <v>229</v>
      </c>
      <c r="E90" s="125">
        <v>5</v>
      </c>
      <c r="F90" s="119"/>
      <c r="G90" s="116"/>
      <c r="H90" s="109">
        <f>G90*F90*$E90</f>
        <v>0</v>
      </c>
      <c r="I90" s="119"/>
      <c r="J90" s="116"/>
      <c r="K90" s="109">
        <f>J90*I90*$E90</f>
        <v>0</v>
      </c>
      <c r="L90" s="119"/>
      <c r="M90" s="116"/>
      <c r="N90" s="109">
        <f>M90*L90*$E90</f>
        <v>0</v>
      </c>
      <c r="O90" s="119"/>
      <c r="P90" s="116"/>
      <c r="Q90" s="109">
        <f t="shared" si="220"/>
        <v>0</v>
      </c>
      <c r="R90" s="119"/>
      <c r="S90" s="116"/>
      <c r="T90" s="109">
        <f t="shared" si="221"/>
        <v>0</v>
      </c>
      <c r="U90" s="119"/>
      <c r="V90" s="116"/>
      <c r="W90" s="109">
        <f t="shared" si="222"/>
        <v>0</v>
      </c>
      <c r="X90" s="119">
        <v>25</v>
      </c>
      <c r="Y90" s="116">
        <v>1</v>
      </c>
      <c r="Z90" s="109">
        <f t="shared" si="223"/>
        <v>125</v>
      </c>
      <c r="AA90" s="119"/>
      <c r="AB90" s="116"/>
      <c r="AC90" s="109">
        <f t="shared" si="224"/>
        <v>0</v>
      </c>
      <c r="AD90" s="119"/>
      <c r="AE90" s="116"/>
      <c r="AF90" s="109">
        <f t="shared" si="225"/>
        <v>0</v>
      </c>
      <c r="AG90" s="119"/>
      <c r="AH90" s="116"/>
      <c r="AI90" s="109">
        <f t="shared" si="226"/>
        <v>0</v>
      </c>
      <c r="AJ90" s="119"/>
      <c r="AK90" s="116"/>
      <c r="AL90" s="109">
        <f t="shared" si="227"/>
        <v>0</v>
      </c>
      <c r="AM90" s="119"/>
      <c r="AN90" s="116"/>
      <c r="AO90" s="109">
        <f t="shared" si="228"/>
        <v>0</v>
      </c>
      <c r="AP90" s="119"/>
      <c r="AQ90" s="116"/>
      <c r="AR90" s="109">
        <f t="shared" si="229"/>
        <v>0</v>
      </c>
      <c r="AS90" s="119"/>
      <c r="AT90" s="116"/>
      <c r="AU90" s="109">
        <f t="shared" si="230"/>
        <v>0</v>
      </c>
      <c r="AV90" s="119"/>
      <c r="AW90" s="116"/>
      <c r="AX90" s="109">
        <f t="shared" si="231"/>
        <v>0</v>
      </c>
      <c r="AY90" s="119"/>
      <c r="AZ90" s="116"/>
      <c r="BA90" s="109">
        <f t="shared" si="232"/>
        <v>0</v>
      </c>
      <c r="BB90" s="119"/>
      <c r="BC90" s="116"/>
      <c r="BD90" s="109">
        <f t="shared" si="233"/>
        <v>0</v>
      </c>
      <c r="BE90" s="119"/>
      <c r="BF90" s="116"/>
      <c r="BG90" s="109">
        <f t="shared" si="234"/>
        <v>0</v>
      </c>
      <c r="BH90" s="119"/>
      <c r="BI90" s="116"/>
      <c r="BJ90" s="109">
        <f t="shared" si="235"/>
        <v>0</v>
      </c>
      <c r="BK90" s="119"/>
      <c r="BL90" s="116"/>
      <c r="BM90" s="109">
        <f t="shared" si="236"/>
        <v>0</v>
      </c>
      <c r="BN90" s="119"/>
      <c r="BO90" s="116"/>
      <c r="BP90" s="109">
        <f t="shared" si="237"/>
        <v>0</v>
      </c>
      <c r="BQ90" s="119"/>
      <c r="BR90" s="116"/>
      <c r="BS90" s="109">
        <f t="shared" si="238"/>
        <v>0</v>
      </c>
      <c r="BT90" s="119"/>
      <c r="BU90" s="116"/>
      <c r="BV90" s="109">
        <f t="shared" si="239"/>
        <v>0</v>
      </c>
      <c r="BW90" s="119"/>
      <c r="BX90" s="116"/>
      <c r="BY90" s="109">
        <f t="shared" si="240"/>
        <v>0</v>
      </c>
      <c r="BZ90" s="119"/>
      <c r="CA90" s="116"/>
      <c r="CB90" s="109">
        <f t="shared" si="241"/>
        <v>0</v>
      </c>
      <c r="CC90" s="119"/>
      <c r="CD90" s="116"/>
      <c r="CE90" s="109">
        <f t="shared" si="242"/>
        <v>0</v>
      </c>
      <c r="CF90" s="119"/>
      <c r="CG90" s="116"/>
      <c r="CH90" s="109">
        <f t="shared" si="243"/>
        <v>0</v>
      </c>
      <c r="CI90" s="119"/>
      <c r="CJ90" s="116"/>
      <c r="CK90" s="109">
        <f t="shared" si="244"/>
        <v>0</v>
      </c>
      <c r="CL90" s="119"/>
      <c r="CM90" s="116"/>
      <c r="CN90" s="109">
        <f t="shared" si="245"/>
        <v>0</v>
      </c>
      <c r="CO90" s="119"/>
      <c r="CP90" s="116"/>
      <c r="CQ90" s="109">
        <f t="shared" si="246"/>
        <v>0</v>
      </c>
      <c r="CR90" s="119"/>
      <c r="CS90" s="116"/>
      <c r="CT90" s="109">
        <f t="shared" si="247"/>
        <v>0</v>
      </c>
      <c r="CU90" s="119"/>
      <c r="CV90" s="116"/>
      <c r="CW90" s="109">
        <f t="shared" si="248"/>
        <v>0</v>
      </c>
      <c r="CX90" s="119"/>
      <c r="CY90" s="116"/>
      <c r="CZ90" s="109">
        <f t="shared" si="249"/>
        <v>0</v>
      </c>
      <c r="DA90" s="119"/>
      <c r="DB90" s="116"/>
      <c r="DC90" s="109">
        <f t="shared" si="250"/>
        <v>0</v>
      </c>
      <c r="DD90" s="119"/>
      <c r="DE90" s="116"/>
      <c r="DF90" s="109">
        <f t="shared" si="251"/>
        <v>0</v>
      </c>
      <c r="DG90" s="119"/>
      <c r="DH90" s="116"/>
      <c r="DI90" s="109">
        <f t="shared" si="252"/>
        <v>0</v>
      </c>
      <c r="DJ90" s="119"/>
      <c r="DK90" s="116"/>
      <c r="DL90" s="109">
        <f t="shared" si="253"/>
        <v>0</v>
      </c>
      <c r="DM90" s="119"/>
      <c r="DN90" s="116"/>
      <c r="DO90" s="109">
        <f t="shared" si="254"/>
        <v>0</v>
      </c>
      <c r="DP90" s="126"/>
      <c r="DQ90" s="110"/>
      <c r="DR90" s="111"/>
      <c r="DS90" s="112">
        <f t="shared" si="255"/>
        <v>125</v>
      </c>
      <c r="DT90" s="113">
        <f t="shared" si="256"/>
        <v>2.5274614383014152E-4</v>
      </c>
    </row>
    <row r="91" spans="2:124" s="86" customFormat="1" ht="15" outlineLevel="1">
      <c r="B91" s="122" t="s">
        <v>282</v>
      </c>
      <c r="C91" s="123" t="s">
        <v>677</v>
      </c>
      <c r="D91" s="124" t="s">
        <v>229</v>
      </c>
      <c r="E91" s="125">
        <v>3.5</v>
      </c>
      <c r="F91" s="119"/>
      <c r="G91" s="116"/>
      <c r="H91" s="109">
        <f t="shared" si="217"/>
        <v>0</v>
      </c>
      <c r="I91" s="119"/>
      <c r="J91" s="116"/>
      <c r="K91" s="109">
        <f t="shared" si="218"/>
        <v>0</v>
      </c>
      <c r="L91" s="119"/>
      <c r="M91" s="116"/>
      <c r="N91" s="109">
        <f t="shared" si="257"/>
        <v>0</v>
      </c>
      <c r="O91" s="119"/>
      <c r="P91" s="116"/>
      <c r="Q91" s="109">
        <f t="shared" si="220"/>
        <v>0</v>
      </c>
      <c r="R91" s="119"/>
      <c r="S91" s="116"/>
      <c r="T91" s="109">
        <f t="shared" si="221"/>
        <v>0</v>
      </c>
      <c r="U91" s="119"/>
      <c r="V91" s="116"/>
      <c r="W91" s="109">
        <f t="shared" si="222"/>
        <v>0</v>
      </c>
      <c r="X91" s="119">
        <v>15</v>
      </c>
      <c r="Y91" s="116">
        <v>1</v>
      </c>
      <c r="Z91" s="109">
        <f t="shared" si="223"/>
        <v>52.5</v>
      </c>
      <c r="AA91" s="119"/>
      <c r="AB91" s="116"/>
      <c r="AC91" s="109">
        <f t="shared" si="224"/>
        <v>0</v>
      </c>
      <c r="AD91" s="119"/>
      <c r="AE91" s="116"/>
      <c r="AF91" s="109">
        <f t="shared" si="225"/>
        <v>0</v>
      </c>
      <c r="AG91" s="119"/>
      <c r="AH91" s="116"/>
      <c r="AI91" s="109">
        <f t="shared" si="226"/>
        <v>0</v>
      </c>
      <c r="AJ91" s="119"/>
      <c r="AK91" s="116"/>
      <c r="AL91" s="109">
        <f t="shared" si="227"/>
        <v>0</v>
      </c>
      <c r="AM91" s="119"/>
      <c r="AN91" s="116"/>
      <c r="AO91" s="109">
        <f t="shared" si="228"/>
        <v>0</v>
      </c>
      <c r="AP91" s="119"/>
      <c r="AQ91" s="116"/>
      <c r="AR91" s="109">
        <f t="shared" si="229"/>
        <v>0</v>
      </c>
      <c r="AS91" s="119"/>
      <c r="AT91" s="116"/>
      <c r="AU91" s="109">
        <f t="shared" si="230"/>
        <v>0</v>
      </c>
      <c r="AV91" s="119"/>
      <c r="AW91" s="116"/>
      <c r="AX91" s="109">
        <f t="shared" si="231"/>
        <v>0</v>
      </c>
      <c r="AY91" s="119"/>
      <c r="AZ91" s="116"/>
      <c r="BA91" s="109">
        <f t="shared" si="232"/>
        <v>0</v>
      </c>
      <c r="BB91" s="119"/>
      <c r="BC91" s="116"/>
      <c r="BD91" s="109">
        <f t="shared" si="233"/>
        <v>0</v>
      </c>
      <c r="BE91" s="119"/>
      <c r="BF91" s="116"/>
      <c r="BG91" s="109">
        <f t="shared" si="234"/>
        <v>0</v>
      </c>
      <c r="BH91" s="119"/>
      <c r="BI91" s="116"/>
      <c r="BJ91" s="109">
        <f t="shared" si="235"/>
        <v>0</v>
      </c>
      <c r="BK91" s="119"/>
      <c r="BL91" s="116"/>
      <c r="BM91" s="109">
        <f t="shared" si="236"/>
        <v>0</v>
      </c>
      <c r="BN91" s="119"/>
      <c r="BO91" s="116"/>
      <c r="BP91" s="109">
        <f t="shared" si="237"/>
        <v>0</v>
      </c>
      <c r="BQ91" s="119"/>
      <c r="BR91" s="116"/>
      <c r="BS91" s="109">
        <f t="shared" si="238"/>
        <v>0</v>
      </c>
      <c r="BT91" s="119"/>
      <c r="BU91" s="116"/>
      <c r="BV91" s="109">
        <f t="shared" si="239"/>
        <v>0</v>
      </c>
      <c r="BW91" s="119"/>
      <c r="BX91" s="116"/>
      <c r="BY91" s="109">
        <f t="shared" si="240"/>
        <v>0</v>
      </c>
      <c r="BZ91" s="119"/>
      <c r="CA91" s="116"/>
      <c r="CB91" s="109">
        <f t="shared" si="241"/>
        <v>0</v>
      </c>
      <c r="CC91" s="119"/>
      <c r="CD91" s="116"/>
      <c r="CE91" s="109">
        <f t="shared" si="242"/>
        <v>0</v>
      </c>
      <c r="CF91" s="119"/>
      <c r="CG91" s="116"/>
      <c r="CH91" s="109">
        <f t="shared" si="243"/>
        <v>0</v>
      </c>
      <c r="CI91" s="119"/>
      <c r="CJ91" s="116"/>
      <c r="CK91" s="109">
        <f t="shared" si="244"/>
        <v>0</v>
      </c>
      <c r="CL91" s="119"/>
      <c r="CM91" s="116"/>
      <c r="CN91" s="109">
        <f t="shared" si="245"/>
        <v>0</v>
      </c>
      <c r="CO91" s="119"/>
      <c r="CP91" s="116"/>
      <c r="CQ91" s="109">
        <f t="shared" si="246"/>
        <v>0</v>
      </c>
      <c r="CR91" s="119"/>
      <c r="CS91" s="116"/>
      <c r="CT91" s="109">
        <f t="shared" si="247"/>
        <v>0</v>
      </c>
      <c r="CU91" s="119"/>
      <c r="CV91" s="116"/>
      <c r="CW91" s="109">
        <f t="shared" si="248"/>
        <v>0</v>
      </c>
      <c r="CX91" s="119"/>
      <c r="CY91" s="116"/>
      <c r="CZ91" s="109">
        <f t="shared" si="249"/>
        <v>0</v>
      </c>
      <c r="DA91" s="119"/>
      <c r="DB91" s="116"/>
      <c r="DC91" s="109">
        <f t="shared" si="250"/>
        <v>0</v>
      </c>
      <c r="DD91" s="119"/>
      <c r="DE91" s="116"/>
      <c r="DF91" s="109">
        <f t="shared" si="251"/>
        <v>0</v>
      </c>
      <c r="DG91" s="119"/>
      <c r="DH91" s="116"/>
      <c r="DI91" s="109">
        <f t="shared" si="252"/>
        <v>0</v>
      </c>
      <c r="DJ91" s="119"/>
      <c r="DK91" s="116"/>
      <c r="DL91" s="109">
        <f t="shared" si="253"/>
        <v>0</v>
      </c>
      <c r="DM91" s="119"/>
      <c r="DN91" s="116"/>
      <c r="DO91" s="109">
        <f t="shared" si="254"/>
        <v>0</v>
      </c>
      <c r="DP91" s="126"/>
      <c r="DQ91" s="110"/>
      <c r="DR91" s="111"/>
      <c r="DS91" s="112">
        <f t="shared" si="255"/>
        <v>52.5</v>
      </c>
      <c r="DT91" s="113">
        <f t="shared" si="256"/>
        <v>1.0615338040865943E-4</v>
      </c>
    </row>
    <row r="92" spans="2:124" s="86" customFormat="1" ht="15" outlineLevel="1">
      <c r="B92" s="122" t="s">
        <v>283</v>
      </c>
      <c r="C92" s="123" t="s">
        <v>678</v>
      </c>
      <c r="D92" s="124" t="s">
        <v>229</v>
      </c>
      <c r="E92" s="125">
        <v>260</v>
      </c>
      <c r="F92" s="119"/>
      <c r="G92" s="116"/>
      <c r="H92" s="109">
        <f>G92*F92*$E92</f>
        <v>0</v>
      </c>
      <c r="I92" s="119"/>
      <c r="J92" s="116"/>
      <c r="K92" s="109">
        <f>J92*I92*$E92</f>
        <v>0</v>
      </c>
      <c r="L92" s="119"/>
      <c r="M92" s="116"/>
      <c r="N92" s="109">
        <f>M92*L92*$E92</f>
        <v>0</v>
      </c>
      <c r="O92" s="119"/>
      <c r="P92" s="116"/>
      <c r="Q92" s="109">
        <f t="shared" si="220"/>
        <v>0</v>
      </c>
      <c r="R92" s="119"/>
      <c r="S92" s="116"/>
      <c r="T92" s="109">
        <f t="shared" si="221"/>
        <v>0</v>
      </c>
      <c r="U92" s="119"/>
      <c r="V92" s="116"/>
      <c r="W92" s="109">
        <f t="shared" si="222"/>
        <v>0</v>
      </c>
      <c r="X92" s="119">
        <v>1</v>
      </c>
      <c r="Y92" s="116">
        <v>1</v>
      </c>
      <c r="Z92" s="109">
        <f t="shared" si="223"/>
        <v>260</v>
      </c>
      <c r="AA92" s="119"/>
      <c r="AB92" s="116"/>
      <c r="AC92" s="109">
        <f t="shared" si="224"/>
        <v>0</v>
      </c>
      <c r="AD92" s="119"/>
      <c r="AE92" s="116"/>
      <c r="AF92" s="109">
        <f t="shared" si="225"/>
        <v>0</v>
      </c>
      <c r="AG92" s="119"/>
      <c r="AH92" s="116"/>
      <c r="AI92" s="109">
        <f t="shared" si="226"/>
        <v>0</v>
      </c>
      <c r="AJ92" s="119"/>
      <c r="AK92" s="116"/>
      <c r="AL92" s="109">
        <f t="shared" si="227"/>
        <v>0</v>
      </c>
      <c r="AM92" s="119"/>
      <c r="AN92" s="116"/>
      <c r="AO92" s="109">
        <f t="shared" si="228"/>
        <v>0</v>
      </c>
      <c r="AP92" s="119"/>
      <c r="AQ92" s="116"/>
      <c r="AR92" s="109">
        <f t="shared" si="229"/>
        <v>0</v>
      </c>
      <c r="AS92" s="119"/>
      <c r="AT92" s="116"/>
      <c r="AU92" s="109">
        <f t="shared" si="230"/>
        <v>0</v>
      </c>
      <c r="AV92" s="119"/>
      <c r="AW92" s="116"/>
      <c r="AX92" s="109">
        <f t="shared" si="231"/>
        <v>0</v>
      </c>
      <c r="AY92" s="119"/>
      <c r="AZ92" s="116"/>
      <c r="BA92" s="109">
        <f t="shared" si="232"/>
        <v>0</v>
      </c>
      <c r="BB92" s="119"/>
      <c r="BC92" s="116"/>
      <c r="BD92" s="109">
        <f t="shared" si="233"/>
        <v>0</v>
      </c>
      <c r="BE92" s="119"/>
      <c r="BF92" s="116"/>
      <c r="BG92" s="109">
        <f t="shared" si="234"/>
        <v>0</v>
      </c>
      <c r="BH92" s="119"/>
      <c r="BI92" s="116"/>
      <c r="BJ92" s="109">
        <f t="shared" si="235"/>
        <v>0</v>
      </c>
      <c r="BK92" s="119"/>
      <c r="BL92" s="116"/>
      <c r="BM92" s="109">
        <f t="shared" si="236"/>
        <v>0</v>
      </c>
      <c r="BN92" s="119"/>
      <c r="BO92" s="116"/>
      <c r="BP92" s="109">
        <f t="shared" si="237"/>
        <v>0</v>
      </c>
      <c r="BQ92" s="119"/>
      <c r="BR92" s="116"/>
      <c r="BS92" s="109">
        <f t="shared" si="238"/>
        <v>0</v>
      </c>
      <c r="BT92" s="119"/>
      <c r="BU92" s="116"/>
      <c r="BV92" s="109">
        <f t="shared" si="239"/>
        <v>0</v>
      </c>
      <c r="BW92" s="119"/>
      <c r="BX92" s="116"/>
      <c r="BY92" s="109">
        <f t="shared" si="240"/>
        <v>0</v>
      </c>
      <c r="BZ92" s="119"/>
      <c r="CA92" s="116"/>
      <c r="CB92" s="109">
        <f t="shared" si="241"/>
        <v>0</v>
      </c>
      <c r="CC92" s="119"/>
      <c r="CD92" s="116"/>
      <c r="CE92" s="109">
        <f t="shared" si="242"/>
        <v>0</v>
      </c>
      <c r="CF92" s="119"/>
      <c r="CG92" s="116"/>
      <c r="CH92" s="109">
        <f t="shared" si="243"/>
        <v>0</v>
      </c>
      <c r="CI92" s="119"/>
      <c r="CJ92" s="116"/>
      <c r="CK92" s="109">
        <f t="shared" si="244"/>
        <v>0</v>
      </c>
      <c r="CL92" s="119"/>
      <c r="CM92" s="116"/>
      <c r="CN92" s="109">
        <f t="shared" si="245"/>
        <v>0</v>
      </c>
      <c r="CO92" s="119"/>
      <c r="CP92" s="116"/>
      <c r="CQ92" s="109">
        <f t="shared" si="246"/>
        <v>0</v>
      </c>
      <c r="CR92" s="119"/>
      <c r="CS92" s="116"/>
      <c r="CT92" s="109">
        <f t="shared" si="247"/>
        <v>0</v>
      </c>
      <c r="CU92" s="119"/>
      <c r="CV92" s="116"/>
      <c r="CW92" s="109">
        <f t="shared" si="248"/>
        <v>0</v>
      </c>
      <c r="CX92" s="119"/>
      <c r="CY92" s="116"/>
      <c r="CZ92" s="109">
        <f t="shared" si="249"/>
        <v>0</v>
      </c>
      <c r="DA92" s="119"/>
      <c r="DB92" s="116"/>
      <c r="DC92" s="109">
        <f t="shared" si="250"/>
        <v>0</v>
      </c>
      <c r="DD92" s="119"/>
      <c r="DE92" s="116"/>
      <c r="DF92" s="109">
        <f t="shared" si="251"/>
        <v>0</v>
      </c>
      <c r="DG92" s="119"/>
      <c r="DH92" s="116"/>
      <c r="DI92" s="109">
        <f t="shared" si="252"/>
        <v>0</v>
      </c>
      <c r="DJ92" s="119"/>
      <c r="DK92" s="116"/>
      <c r="DL92" s="109">
        <f t="shared" si="253"/>
        <v>0</v>
      </c>
      <c r="DM92" s="119"/>
      <c r="DN92" s="116"/>
      <c r="DO92" s="109">
        <f t="shared" si="254"/>
        <v>0</v>
      </c>
      <c r="DP92" s="126"/>
      <c r="DQ92" s="110"/>
      <c r="DR92" s="111"/>
      <c r="DS92" s="112">
        <f t="shared" si="255"/>
        <v>260</v>
      </c>
      <c r="DT92" s="113">
        <f t="shared" si="256"/>
        <v>5.2571197916669434E-4</v>
      </c>
    </row>
    <row r="93" spans="2:124" s="86" customFormat="1" ht="15" outlineLevel="1">
      <c r="B93" s="122" t="s">
        <v>284</v>
      </c>
      <c r="C93" s="123" t="s">
        <v>679</v>
      </c>
      <c r="D93" s="124" t="s">
        <v>229</v>
      </c>
      <c r="E93" s="125">
        <v>16.5</v>
      </c>
      <c r="F93" s="119"/>
      <c r="G93" s="116"/>
      <c r="H93" s="109">
        <f t="shared" si="217"/>
        <v>0</v>
      </c>
      <c r="I93" s="119"/>
      <c r="J93" s="116"/>
      <c r="K93" s="109">
        <f t="shared" si="218"/>
        <v>0</v>
      </c>
      <c r="L93" s="119"/>
      <c r="M93" s="116"/>
      <c r="N93" s="109">
        <f t="shared" si="257"/>
        <v>0</v>
      </c>
      <c r="O93" s="119"/>
      <c r="P93" s="116"/>
      <c r="Q93" s="109">
        <f t="shared" si="220"/>
        <v>0</v>
      </c>
      <c r="R93" s="119"/>
      <c r="S93" s="116"/>
      <c r="T93" s="109">
        <f t="shared" si="221"/>
        <v>0</v>
      </c>
      <c r="U93" s="119"/>
      <c r="V93" s="116"/>
      <c r="W93" s="109">
        <f t="shared" si="222"/>
        <v>0</v>
      </c>
      <c r="X93" s="119">
        <v>2</v>
      </c>
      <c r="Y93" s="116">
        <v>1</v>
      </c>
      <c r="Z93" s="109">
        <f t="shared" si="223"/>
        <v>33</v>
      </c>
      <c r="AA93" s="119"/>
      <c r="AB93" s="116"/>
      <c r="AC93" s="109">
        <f t="shared" si="224"/>
        <v>0</v>
      </c>
      <c r="AD93" s="119"/>
      <c r="AE93" s="116"/>
      <c r="AF93" s="109">
        <f t="shared" si="225"/>
        <v>0</v>
      </c>
      <c r="AG93" s="119"/>
      <c r="AH93" s="116"/>
      <c r="AI93" s="109">
        <f t="shared" si="226"/>
        <v>0</v>
      </c>
      <c r="AJ93" s="119"/>
      <c r="AK93" s="116"/>
      <c r="AL93" s="109">
        <f t="shared" si="227"/>
        <v>0</v>
      </c>
      <c r="AM93" s="119"/>
      <c r="AN93" s="116"/>
      <c r="AO93" s="109">
        <f t="shared" si="228"/>
        <v>0</v>
      </c>
      <c r="AP93" s="119"/>
      <c r="AQ93" s="116"/>
      <c r="AR93" s="109">
        <f t="shared" si="229"/>
        <v>0</v>
      </c>
      <c r="AS93" s="119"/>
      <c r="AT93" s="116"/>
      <c r="AU93" s="109">
        <f t="shared" si="230"/>
        <v>0</v>
      </c>
      <c r="AV93" s="119"/>
      <c r="AW93" s="116"/>
      <c r="AX93" s="109">
        <f t="shared" si="231"/>
        <v>0</v>
      </c>
      <c r="AY93" s="119"/>
      <c r="AZ93" s="116"/>
      <c r="BA93" s="109">
        <f t="shared" si="232"/>
        <v>0</v>
      </c>
      <c r="BB93" s="119"/>
      <c r="BC93" s="116"/>
      <c r="BD93" s="109">
        <f t="shared" si="233"/>
        <v>0</v>
      </c>
      <c r="BE93" s="119"/>
      <c r="BF93" s="116"/>
      <c r="BG93" s="109">
        <f t="shared" si="234"/>
        <v>0</v>
      </c>
      <c r="BH93" s="119"/>
      <c r="BI93" s="116"/>
      <c r="BJ93" s="109">
        <f t="shared" si="235"/>
        <v>0</v>
      </c>
      <c r="BK93" s="119"/>
      <c r="BL93" s="116"/>
      <c r="BM93" s="109">
        <f t="shared" si="236"/>
        <v>0</v>
      </c>
      <c r="BN93" s="119"/>
      <c r="BO93" s="116"/>
      <c r="BP93" s="109">
        <f t="shared" si="237"/>
        <v>0</v>
      </c>
      <c r="BQ93" s="119"/>
      <c r="BR93" s="116"/>
      <c r="BS93" s="109">
        <f t="shared" si="238"/>
        <v>0</v>
      </c>
      <c r="BT93" s="119"/>
      <c r="BU93" s="116"/>
      <c r="BV93" s="109">
        <f t="shared" si="239"/>
        <v>0</v>
      </c>
      <c r="BW93" s="119"/>
      <c r="BX93" s="116"/>
      <c r="BY93" s="109">
        <f t="shared" si="240"/>
        <v>0</v>
      </c>
      <c r="BZ93" s="119"/>
      <c r="CA93" s="116"/>
      <c r="CB93" s="109">
        <f t="shared" si="241"/>
        <v>0</v>
      </c>
      <c r="CC93" s="119"/>
      <c r="CD93" s="116"/>
      <c r="CE93" s="109">
        <f t="shared" si="242"/>
        <v>0</v>
      </c>
      <c r="CF93" s="119"/>
      <c r="CG93" s="116"/>
      <c r="CH93" s="109">
        <f t="shared" si="243"/>
        <v>0</v>
      </c>
      <c r="CI93" s="119"/>
      <c r="CJ93" s="116"/>
      <c r="CK93" s="109">
        <f t="shared" si="244"/>
        <v>0</v>
      </c>
      <c r="CL93" s="119"/>
      <c r="CM93" s="116"/>
      <c r="CN93" s="109">
        <f t="shared" si="245"/>
        <v>0</v>
      </c>
      <c r="CO93" s="119"/>
      <c r="CP93" s="116"/>
      <c r="CQ93" s="109">
        <f t="shared" si="246"/>
        <v>0</v>
      </c>
      <c r="CR93" s="119"/>
      <c r="CS93" s="116"/>
      <c r="CT93" s="109">
        <f t="shared" si="247"/>
        <v>0</v>
      </c>
      <c r="CU93" s="119"/>
      <c r="CV93" s="116"/>
      <c r="CW93" s="109">
        <f t="shared" si="248"/>
        <v>0</v>
      </c>
      <c r="CX93" s="119"/>
      <c r="CY93" s="116"/>
      <c r="CZ93" s="109">
        <f t="shared" si="249"/>
        <v>0</v>
      </c>
      <c r="DA93" s="119"/>
      <c r="DB93" s="116"/>
      <c r="DC93" s="109">
        <f t="shared" si="250"/>
        <v>0</v>
      </c>
      <c r="DD93" s="119"/>
      <c r="DE93" s="116"/>
      <c r="DF93" s="109">
        <f t="shared" si="251"/>
        <v>0</v>
      </c>
      <c r="DG93" s="119"/>
      <c r="DH93" s="116"/>
      <c r="DI93" s="109">
        <f t="shared" si="252"/>
        <v>0</v>
      </c>
      <c r="DJ93" s="119"/>
      <c r="DK93" s="116"/>
      <c r="DL93" s="109">
        <f t="shared" si="253"/>
        <v>0</v>
      </c>
      <c r="DM93" s="119"/>
      <c r="DN93" s="116"/>
      <c r="DO93" s="109">
        <f t="shared" si="254"/>
        <v>0</v>
      </c>
      <c r="DP93" s="126"/>
      <c r="DQ93" s="110"/>
      <c r="DR93" s="111"/>
      <c r="DS93" s="112">
        <f t="shared" si="255"/>
        <v>33</v>
      </c>
      <c r="DT93" s="113">
        <f t="shared" si="256"/>
        <v>6.6724981971157362E-5</v>
      </c>
    </row>
    <row r="94" spans="2:124" s="86" customFormat="1" ht="21.9" customHeight="1" outlineLevel="1">
      <c r="B94" s="122" t="s">
        <v>285</v>
      </c>
      <c r="C94" s="128" t="s">
        <v>682</v>
      </c>
      <c r="D94" s="127" t="s">
        <v>683</v>
      </c>
      <c r="E94" s="130">
        <v>9856.19</v>
      </c>
      <c r="F94" s="119"/>
      <c r="G94" s="116"/>
      <c r="H94" s="109">
        <f t="shared" si="217"/>
        <v>0</v>
      </c>
      <c r="I94" s="119"/>
      <c r="J94" s="116"/>
      <c r="K94" s="109">
        <f t="shared" si="218"/>
        <v>0</v>
      </c>
      <c r="L94" s="119"/>
      <c r="M94" s="116"/>
      <c r="N94" s="109">
        <f t="shared" si="257"/>
        <v>0</v>
      </c>
      <c r="O94" s="119"/>
      <c r="P94" s="116"/>
      <c r="Q94" s="109">
        <f t="shared" si="220"/>
        <v>0</v>
      </c>
      <c r="R94" s="119"/>
      <c r="S94" s="116"/>
      <c r="T94" s="109">
        <f t="shared" si="221"/>
        <v>0</v>
      </c>
      <c r="U94" s="119"/>
      <c r="V94" s="116"/>
      <c r="W94" s="109">
        <f t="shared" si="222"/>
        <v>0</v>
      </c>
      <c r="X94" s="119"/>
      <c r="Y94" s="116"/>
      <c r="Z94" s="109">
        <f t="shared" si="223"/>
        <v>0</v>
      </c>
      <c r="AA94" s="119"/>
      <c r="AB94" s="116"/>
      <c r="AC94" s="109">
        <f t="shared" si="224"/>
        <v>0</v>
      </c>
      <c r="AD94" s="119"/>
      <c r="AE94" s="116"/>
      <c r="AF94" s="109">
        <f t="shared" si="225"/>
        <v>0</v>
      </c>
      <c r="AG94" s="119"/>
      <c r="AH94" s="116"/>
      <c r="AI94" s="109">
        <f t="shared" si="226"/>
        <v>0</v>
      </c>
      <c r="AJ94" s="119"/>
      <c r="AK94" s="116"/>
      <c r="AL94" s="109">
        <f t="shared" si="227"/>
        <v>0</v>
      </c>
      <c r="AM94" s="119"/>
      <c r="AN94" s="116"/>
      <c r="AO94" s="109">
        <f t="shared" si="228"/>
        <v>0</v>
      </c>
      <c r="AP94" s="119"/>
      <c r="AQ94" s="116"/>
      <c r="AR94" s="109">
        <f t="shared" si="229"/>
        <v>0</v>
      </c>
      <c r="AS94" s="119"/>
      <c r="AT94" s="116"/>
      <c r="AU94" s="109">
        <f t="shared" si="230"/>
        <v>0</v>
      </c>
      <c r="AV94" s="119"/>
      <c r="AW94" s="116"/>
      <c r="AX94" s="109">
        <f t="shared" si="231"/>
        <v>0</v>
      </c>
      <c r="AY94" s="119"/>
      <c r="AZ94" s="116"/>
      <c r="BA94" s="109">
        <f t="shared" si="232"/>
        <v>0</v>
      </c>
      <c r="BB94" s="119"/>
      <c r="BC94" s="116"/>
      <c r="BD94" s="109">
        <f t="shared" si="233"/>
        <v>0</v>
      </c>
      <c r="BE94" s="119"/>
      <c r="BF94" s="116"/>
      <c r="BG94" s="109">
        <f t="shared" si="234"/>
        <v>0</v>
      </c>
      <c r="BH94" s="119"/>
      <c r="BI94" s="116"/>
      <c r="BJ94" s="109">
        <f t="shared" si="235"/>
        <v>0</v>
      </c>
      <c r="BK94" s="119"/>
      <c r="BL94" s="116"/>
      <c r="BM94" s="109">
        <f t="shared" si="236"/>
        <v>0</v>
      </c>
      <c r="BN94" s="119"/>
      <c r="BO94" s="116"/>
      <c r="BP94" s="109">
        <f t="shared" si="237"/>
        <v>0</v>
      </c>
      <c r="BQ94" s="119"/>
      <c r="BR94" s="116"/>
      <c r="BS94" s="109">
        <f t="shared" si="238"/>
        <v>0</v>
      </c>
      <c r="BT94" s="119"/>
      <c r="BU94" s="116"/>
      <c r="BV94" s="109">
        <f t="shared" si="239"/>
        <v>0</v>
      </c>
      <c r="BW94" s="119"/>
      <c r="BX94" s="116"/>
      <c r="BY94" s="109">
        <f t="shared" si="240"/>
        <v>0</v>
      </c>
      <c r="BZ94" s="119"/>
      <c r="CA94" s="116"/>
      <c r="CB94" s="109">
        <f t="shared" si="241"/>
        <v>0</v>
      </c>
      <c r="CC94" s="119"/>
      <c r="CD94" s="116"/>
      <c r="CE94" s="109">
        <f t="shared" si="242"/>
        <v>0</v>
      </c>
      <c r="CF94" s="119"/>
      <c r="CG94" s="116"/>
      <c r="CH94" s="109">
        <f t="shared" si="243"/>
        <v>0</v>
      </c>
      <c r="CI94" s="119"/>
      <c r="CJ94" s="116"/>
      <c r="CK94" s="109">
        <f t="shared" si="244"/>
        <v>0</v>
      </c>
      <c r="CL94" s="119"/>
      <c r="CM94" s="116"/>
      <c r="CN94" s="109">
        <f t="shared" si="245"/>
        <v>0</v>
      </c>
      <c r="CO94" s="119"/>
      <c r="CP94" s="116"/>
      <c r="CQ94" s="109">
        <f t="shared" si="246"/>
        <v>0</v>
      </c>
      <c r="CR94" s="119">
        <v>0.4</v>
      </c>
      <c r="CS94" s="116">
        <v>1</v>
      </c>
      <c r="CT94" s="109">
        <f t="shared" si="247"/>
        <v>3942.4760000000006</v>
      </c>
      <c r="CU94" s="119"/>
      <c r="CV94" s="116"/>
      <c r="CW94" s="109">
        <f t="shared" si="248"/>
        <v>0</v>
      </c>
      <c r="CX94" s="119"/>
      <c r="CY94" s="116"/>
      <c r="CZ94" s="109">
        <f t="shared" si="249"/>
        <v>0</v>
      </c>
      <c r="DA94" s="119"/>
      <c r="DB94" s="116"/>
      <c r="DC94" s="109">
        <f t="shared" si="250"/>
        <v>0</v>
      </c>
      <c r="DD94" s="119"/>
      <c r="DE94" s="116"/>
      <c r="DF94" s="109">
        <f t="shared" si="251"/>
        <v>0</v>
      </c>
      <c r="DG94" s="119"/>
      <c r="DH94" s="116"/>
      <c r="DI94" s="109">
        <f t="shared" si="252"/>
        <v>0</v>
      </c>
      <c r="DJ94" s="119"/>
      <c r="DK94" s="116"/>
      <c r="DL94" s="109">
        <f t="shared" si="253"/>
        <v>0</v>
      </c>
      <c r="DM94" s="119"/>
      <c r="DN94" s="116"/>
      <c r="DO94" s="109">
        <f t="shared" si="254"/>
        <v>0</v>
      </c>
      <c r="DP94" s="126"/>
      <c r="DQ94" s="110"/>
      <c r="DR94" s="111"/>
      <c r="DS94" s="112">
        <f t="shared" si="255"/>
        <v>3942.4760000000006</v>
      </c>
      <c r="DT94" s="113">
        <f t="shared" si="256"/>
        <v>7.971564849143048E-3</v>
      </c>
    </row>
    <row r="95" spans="2:124" s="86" customFormat="1" ht="21.9" customHeight="1" outlineLevel="1">
      <c r="B95" s="122" t="s">
        <v>286</v>
      </c>
      <c r="C95" s="128" t="s">
        <v>684</v>
      </c>
      <c r="D95" s="127" t="s">
        <v>683</v>
      </c>
      <c r="E95" s="130">
        <v>15425.6</v>
      </c>
      <c r="F95" s="119"/>
      <c r="G95" s="116"/>
      <c r="H95" s="109">
        <f t="shared" si="217"/>
        <v>0</v>
      </c>
      <c r="I95" s="119"/>
      <c r="J95" s="116"/>
      <c r="K95" s="109">
        <f t="shared" si="218"/>
        <v>0</v>
      </c>
      <c r="L95" s="119"/>
      <c r="M95" s="116"/>
      <c r="N95" s="109">
        <f t="shared" si="257"/>
        <v>0</v>
      </c>
      <c r="O95" s="119"/>
      <c r="P95" s="116"/>
      <c r="Q95" s="109">
        <f>P95*O95*$E95</f>
        <v>0</v>
      </c>
      <c r="R95" s="119"/>
      <c r="S95" s="116"/>
      <c r="T95" s="109">
        <f>S95*R95*$E95</f>
        <v>0</v>
      </c>
      <c r="U95" s="119"/>
      <c r="V95" s="116"/>
      <c r="W95" s="109">
        <f>V95*U95*$E95</f>
        <v>0</v>
      </c>
      <c r="X95" s="119"/>
      <c r="Y95" s="116"/>
      <c r="Z95" s="109">
        <f>Y95*X95*$E95</f>
        <v>0</v>
      </c>
      <c r="AA95" s="119"/>
      <c r="AB95" s="116"/>
      <c r="AC95" s="109">
        <f>AB95*AA95*$E95</f>
        <v>0</v>
      </c>
      <c r="AD95" s="119"/>
      <c r="AE95" s="116"/>
      <c r="AF95" s="109">
        <f>AE95*AD95*$E95</f>
        <v>0</v>
      </c>
      <c r="AG95" s="119"/>
      <c r="AH95" s="116"/>
      <c r="AI95" s="109">
        <f>AH95*AG95*$E95</f>
        <v>0</v>
      </c>
      <c r="AJ95" s="119"/>
      <c r="AK95" s="116"/>
      <c r="AL95" s="109">
        <f>AK95*AJ95*$E95</f>
        <v>0</v>
      </c>
      <c r="AM95" s="119"/>
      <c r="AN95" s="116"/>
      <c r="AO95" s="109">
        <f>AN95*AM95*$E95</f>
        <v>0</v>
      </c>
      <c r="AP95" s="119"/>
      <c r="AQ95" s="116"/>
      <c r="AR95" s="109">
        <f>AQ95*AP95*$E95</f>
        <v>0</v>
      </c>
      <c r="AS95" s="119"/>
      <c r="AT95" s="116"/>
      <c r="AU95" s="109">
        <f>AT95*AS95*$E95</f>
        <v>0</v>
      </c>
      <c r="AV95" s="119"/>
      <c r="AW95" s="116"/>
      <c r="AX95" s="109">
        <f>AW95*AV95*$E95</f>
        <v>0</v>
      </c>
      <c r="AY95" s="119"/>
      <c r="AZ95" s="116"/>
      <c r="BA95" s="109">
        <f>AZ95*AY95*$E95</f>
        <v>0</v>
      </c>
      <c r="BB95" s="119"/>
      <c r="BC95" s="116"/>
      <c r="BD95" s="109">
        <f>BC95*BB95*$E95</f>
        <v>0</v>
      </c>
      <c r="BE95" s="119"/>
      <c r="BF95" s="116"/>
      <c r="BG95" s="109">
        <f>BF95*BE95*$E95</f>
        <v>0</v>
      </c>
      <c r="BH95" s="119"/>
      <c r="BI95" s="116"/>
      <c r="BJ95" s="109">
        <f>BI95*BH95*$E95</f>
        <v>0</v>
      </c>
      <c r="BK95" s="119"/>
      <c r="BL95" s="116"/>
      <c r="BM95" s="109">
        <f>BL95*BK95*$E95</f>
        <v>0</v>
      </c>
      <c r="BN95" s="119"/>
      <c r="BO95" s="116"/>
      <c r="BP95" s="109">
        <f>BO95*BN95*$E95</f>
        <v>0</v>
      </c>
      <c r="BQ95" s="119"/>
      <c r="BR95" s="116"/>
      <c r="BS95" s="109">
        <f>BR95*BQ95*$E95</f>
        <v>0</v>
      </c>
      <c r="BT95" s="119"/>
      <c r="BU95" s="116"/>
      <c r="BV95" s="109">
        <f>BU95*BT95*$E95</f>
        <v>0</v>
      </c>
      <c r="BW95" s="119"/>
      <c r="BX95" s="116"/>
      <c r="BY95" s="109">
        <f>BX95*BW95*$E95</f>
        <v>0</v>
      </c>
      <c r="BZ95" s="119"/>
      <c r="CA95" s="116"/>
      <c r="CB95" s="109">
        <f>CA95*BZ95*$E95</f>
        <v>0</v>
      </c>
      <c r="CC95" s="119"/>
      <c r="CD95" s="116"/>
      <c r="CE95" s="109">
        <f>CD95*CC95*$E95</f>
        <v>0</v>
      </c>
      <c r="CF95" s="119"/>
      <c r="CG95" s="116"/>
      <c r="CH95" s="109">
        <f>CG95*CF95*$E95</f>
        <v>0</v>
      </c>
      <c r="CI95" s="119"/>
      <c r="CJ95" s="116"/>
      <c r="CK95" s="109">
        <f>CJ95*CI95*$E95</f>
        <v>0</v>
      </c>
      <c r="CL95" s="119"/>
      <c r="CM95" s="116"/>
      <c r="CN95" s="109">
        <f>CM95*CL95*$E95</f>
        <v>0</v>
      </c>
      <c r="CO95" s="119"/>
      <c r="CP95" s="116"/>
      <c r="CQ95" s="109">
        <f>CP95*CO95*$E95</f>
        <v>0</v>
      </c>
      <c r="CR95" s="119"/>
      <c r="CS95" s="116"/>
      <c r="CT95" s="109">
        <f>CS95*CR95*$E95</f>
        <v>0</v>
      </c>
      <c r="CU95" s="119">
        <v>0.45</v>
      </c>
      <c r="CV95" s="116">
        <v>1</v>
      </c>
      <c r="CW95" s="109">
        <f>CV95*CU95*$E95</f>
        <v>6941.52</v>
      </c>
      <c r="CX95" s="119"/>
      <c r="CY95" s="116"/>
      <c r="CZ95" s="109">
        <f>CY95*CX95*$E95</f>
        <v>0</v>
      </c>
      <c r="DA95" s="119"/>
      <c r="DB95" s="116"/>
      <c r="DC95" s="109">
        <f>DB95*DA95*$E95</f>
        <v>0</v>
      </c>
      <c r="DD95" s="119"/>
      <c r="DE95" s="116"/>
      <c r="DF95" s="109">
        <f>DE95*DD95*$E95</f>
        <v>0</v>
      </c>
      <c r="DG95" s="119"/>
      <c r="DH95" s="116"/>
      <c r="DI95" s="109">
        <f>DH95*DG95*$E95</f>
        <v>0</v>
      </c>
      <c r="DJ95" s="119"/>
      <c r="DK95" s="116"/>
      <c r="DL95" s="109">
        <f>DK95*DJ95*$E95</f>
        <v>0</v>
      </c>
      <c r="DM95" s="119"/>
      <c r="DN95" s="116"/>
      <c r="DO95" s="109">
        <f>DN95*DM95*$E95</f>
        <v>0</v>
      </c>
      <c r="DP95" s="126"/>
      <c r="DQ95" s="110"/>
      <c r="DR95" s="111"/>
      <c r="DS95" s="112">
        <f t="shared" si="255"/>
        <v>6941.52</v>
      </c>
      <c r="DT95" s="113">
        <f t="shared" si="256"/>
        <v>1.4035539298558431E-2</v>
      </c>
    </row>
    <row r="96" spans="2:124" s="86" customFormat="1" ht="36" customHeight="1" outlineLevel="1">
      <c r="B96" s="122" t="s">
        <v>287</v>
      </c>
      <c r="C96" s="128" t="s">
        <v>685</v>
      </c>
      <c r="D96" s="127" t="s">
        <v>683</v>
      </c>
      <c r="E96" s="130">
        <v>25019.200000000001</v>
      </c>
      <c r="F96" s="119"/>
      <c r="G96" s="116"/>
      <c r="H96" s="109">
        <f t="shared" si="217"/>
        <v>0</v>
      </c>
      <c r="I96" s="119"/>
      <c r="J96" s="116"/>
      <c r="K96" s="109">
        <f t="shared" si="218"/>
        <v>0</v>
      </c>
      <c r="L96" s="119"/>
      <c r="M96" s="116"/>
      <c r="N96" s="109">
        <f t="shared" si="257"/>
        <v>0</v>
      </c>
      <c r="O96" s="119"/>
      <c r="P96" s="116"/>
      <c r="Q96" s="109">
        <f t="shared" si="220"/>
        <v>0</v>
      </c>
      <c r="R96" s="119"/>
      <c r="S96" s="116"/>
      <c r="T96" s="109">
        <f t="shared" si="221"/>
        <v>0</v>
      </c>
      <c r="U96" s="119"/>
      <c r="V96" s="116"/>
      <c r="W96" s="109">
        <f t="shared" ref="W96:W99" si="258">V96*U96*$E96</f>
        <v>0</v>
      </c>
      <c r="X96" s="119"/>
      <c r="Y96" s="116"/>
      <c r="Z96" s="109">
        <f t="shared" ref="Z96:Z99" si="259">Y96*X96*$E96</f>
        <v>0</v>
      </c>
      <c r="AA96" s="119"/>
      <c r="AB96" s="116"/>
      <c r="AC96" s="109">
        <f t="shared" ref="AC96:AC99" si="260">AB96*AA96*$E96</f>
        <v>0</v>
      </c>
      <c r="AD96" s="119"/>
      <c r="AE96" s="116"/>
      <c r="AF96" s="109">
        <f t="shared" ref="AF96:AF99" si="261">AE96*AD96*$E96</f>
        <v>0</v>
      </c>
      <c r="AG96" s="119"/>
      <c r="AH96" s="116"/>
      <c r="AI96" s="109">
        <f t="shared" ref="AI96:AI99" si="262">AH96*AG96*$E96</f>
        <v>0</v>
      </c>
      <c r="AJ96" s="119"/>
      <c r="AK96" s="116"/>
      <c r="AL96" s="109">
        <f t="shared" ref="AL96:AL99" si="263">AK96*AJ96*$E96</f>
        <v>0</v>
      </c>
      <c r="AM96" s="119"/>
      <c r="AN96" s="116"/>
      <c r="AO96" s="109">
        <f t="shared" ref="AO96:AO99" si="264">AN96*AM96*$E96</f>
        <v>0</v>
      </c>
      <c r="AP96" s="119"/>
      <c r="AQ96" s="116"/>
      <c r="AR96" s="109">
        <f t="shared" ref="AR96:AR99" si="265">AQ96*AP96*$E96</f>
        <v>0</v>
      </c>
      <c r="AS96" s="119"/>
      <c r="AT96" s="116"/>
      <c r="AU96" s="109">
        <f t="shared" ref="AU96:AU99" si="266">AT96*AS96*$E96</f>
        <v>0</v>
      </c>
      <c r="AV96" s="119"/>
      <c r="AW96" s="116"/>
      <c r="AX96" s="109">
        <f t="shared" ref="AX96:AX99" si="267">AW96*AV96*$E96</f>
        <v>0</v>
      </c>
      <c r="AY96" s="119"/>
      <c r="AZ96" s="116"/>
      <c r="BA96" s="109">
        <f t="shared" ref="BA96:BA99" si="268">AZ96*AY96*$E96</f>
        <v>0</v>
      </c>
      <c r="BB96" s="119"/>
      <c r="BC96" s="116"/>
      <c r="BD96" s="109">
        <f t="shared" ref="BD96:BD99" si="269">BC96*BB96*$E96</f>
        <v>0</v>
      </c>
      <c r="BE96" s="119"/>
      <c r="BF96" s="116"/>
      <c r="BG96" s="109">
        <f t="shared" ref="BG96:BG99" si="270">BF96*BE96*$E96</f>
        <v>0</v>
      </c>
      <c r="BH96" s="119"/>
      <c r="BI96" s="116"/>
      <c r="BJ96" s="109">
        <f t="shared" ref="BJ96:BJ99" si="271">BI96*BH96*$E96</f>
        <v>0</v>
      </c>
      <c r="BK96" s="119"/>
      <c r="BL96" s="116"/>
      <c r="BM96" s="109">
        <f t="shared" ref="BM96:BM99" si="272">BL96*BK96*$E96</f>
        <v>0</v>
      </c>
      <c r="BN96" s="119"/>
      <c r="BO96" s="116"/>
      <c r="BP96" s="109">
        <f t="shared" ref="BP96:BP99" si="273">BO96*BN96*$E96</f>
        <v>0</v>
      </c>
      <c r="BQ96" s="119"/>
      <c r="BR96" s="116"/>
      <c r="BS96" s="109">
        <f t="shared" ref="BS96:BS99" si="274">BR96*BQ96*$E96</f>
        <v>0</v>
      </c>
      <c r="BT96" s="119"/>
      <c r="BU96" s="116"/>
      <c r="BV96" s="109">
        <f t="shared" ref="BV96:BV99" si="275">BU96*BT96*$E96</f>
        <v>0</v>
      </c>
      <c r="BW96" s="119"/>
      <c r="BX96" s="116"/>
      <c r="BY96" s="109">
        <f t="shared" ref="BY96:BY99" si="276">BX96*BW96*$E96</f>
        <v>0</v>
      </c>
      <c r="BZ96" s="119"/>
      <c r="CA96" s="116"/>
      <c r="CB96" s="109">
        <f t="shared" ref="CB96:CB99" si="277">CA96*BZ96*$E96</f>
        <v>0</v>
      </c>
      <c r="CC96" s="119"/>
      <c r="CD96" s="116"/>
      <c r="CE96" s="109">
        <f t="shared" ref="CE96:CE99" si="278">CD96*CC96*$E96</f>
        <v>0</v>
      </c>
      <c r="CF96" s="119"/>
      <c r="CG96" s="116"/>
      <c r="CH96" s="109">
        <f t="shared" ref="CH96:CH99" si="279">CG96*CF96*$E96</f>
        <v>0</v>
      </c>
      <c r="CI96" s="119"/>
      <c r="CJ96" s="116"/>
      <c r="CK96" s="109">
        <f t="shared" ref="CK96:CK99" si="280">CJ96*CI96*$E96</f>
        <v>0</v>
      </c>
      <c r="CL96" s="119"/>
      <c r="CM96" s="116"/>
      <c r="CN96" s="109">
        <f t="shared" ref="CN96:CN99" si="281">CM96*CL96*$E96</f>
        <v>0</v>
      </c>
      <c r="CO96" s="119"/>
      <c r="CP96" s="116"/>
      <c r="CQ96" s="109">
        <f t="shared" ref="CQ96:CQ99" si="282">CP96*CO96*$E96</f>
        <v>0</v>
      </c>
      <c r="CR96" s="119"/>
      <c r="CS96" s="116"/>
      <c r="CT96" s="109">
        <f t="shared" ref="CT96:CT99" si="283">CS96*CR96*$E96</f>
        <v>0</v>
      </c>
      <c r="CU96" s="119"/>
      <c r="CV96" s="116"/>
      <c r="CW96" s="109">
        <f t="shared" ref="CW96:CW99" si="284">CV96*CU96*$E96</f>
        <v>0</v>
      </c>
      <c r="CX96" s="119">
        <v>0.15</v>
      </c>
      <c r="CY96" s="116">
        <v>1</v>
      </c>
      <c r="CZ96" s="109">
        <f t="shared" ref="CZ96:CZ99" si="285">CY96*CX96*$E96</f>
        <v>3752.88</v>
      </c>
      <c r="DA96" s="119"/>
      <c r="DB96" s="116"/>
      <c r="DC96" s="109">
        <f t="shared" ref="DC96:DC99" si="286">DB96*DA96*$E96</f>
        <v>0</v>
      </c>
      <c r="DD96" s="119"/>
      <c r="DE96" s="116"/>
      <c r="DF96" s="109">
        <f t="shared" ref="DF96:DF99" si="287">DE96*DD96*$E96</f>
        <v>0</v>
      </c>
      <c r="DG96" s="119"/>
      <c r="DH96" s="116"/>
      <c r="DI96" s="109">
        <f t="shared" ref="DI96:DI99" si="288">DH96*DG96*$E96</f>
        <v>0</v>
      </c>
      <c r="DJ96" s="119"/>
      <c r="DK96" s="116"/>
      <c r="DL96" s="109">
        <f t="shared" ref="DL96:DL99" si="289">DK96*DJ96*$E96</f>
        <v>0</v>
      </c>
      <c r="DM96" s="119"/>
      <c r="DN96" s="116"/>
      <c r="DO96" s="109">
        <f t="shared" ref="DO96:DO99" si="290">DN96*DM96*$E96</f>
        <v>0</v>
      </c>
      <c r="DP96" s="126"/>
      <c r="DQ96" s="110"/>
      <c r="DR96" s="111"/>
      <c r="DS96" s="112">
        <f t="shared" si="255"/>
        <v>3752.88</v>
      </c>
      <c r="DT96" s="113">
        <f t="shared" si="256"/>
        <v>7.5882075860580914E-3</v>
      </c>
    </row>
    <row r="97" spans="2:125" s="86" customFormat="1" ht="36" customHeight="1" outlineLevel="1">
      <c r="B97" s="122" t="s">
        <v>288</v>
      </c>
      <c r="C97" s="123"/>
      <c r="D97" s="124"/>
      <c r="E97" s="125"/>
      <c r="F97" s="119"/>
      <c r="G97" s="116"/>
      <c r="H97" s="109">
        <f t="shared" si="217"/>
        <v>0</v>
      </c>
      <c r="I97" s="119"/>
      <c r="J97" s="116"/>
      <c r="K97" s="109">
        <f t="shared" si="218"/>
        <v>0</v>
      </c>
      <c r="L97" s="119"/>
      <c r="M97" s="116"/>
      <c r="N97" s="109">
        <f t="shared" si="257"/>
        <v>0</v>
      </c>
      <c r="O97" s="119"/>
      <c r="P97" s="116"/>
      <c r="Q97" s="109">
        <f t="shared" si="220"/>
        <v>0</v>
      </c>
      <c r="R97" s="119"/>
      <c r="S97" s="116"/>
      <c r="T97" s="109">
        <f t="shared" si="221"/>
        <v>0</v>
      </c>
      <c r="U97" s="119"/>
      <c r="V97" s="116"/>
      <c r="W97" s="109">
        <f t="shared" si="258"/>
        <v>0</v>
      </c>
      <c r="X97" s="119"/>
      <c r="Y97" s="116"/>
      <c r="Z97" s="109">
        <f t="shared" si="259"/>
        <v>0</v>
      </c>
      <c r="AA97" s="119"/>
      <c r="AB97" s="116"/>
      <c r="AC97" s="109">
        <f t="shared" si="260"/>
        <v>0</v>
      </c>
      <c r="AD97" s="119"/>
      <c r="AE97" s="116"/>
      <c r="AF97" s="109">
        <f t="shared" si="261"/>
        <v>0</v>
      </c>
      <c r="AG97" s="119"/>
      <c r="AH97" s="116"/>
      <c r="AI97" s="109">
        <f t="shared" si="262"/>
        <v>0</v>
      </c>
      <c r="AJ97" s="119"/>
      <c r="AK97" s="116"/>
      <c r="AL97" s="109">
        <f t="shared" si="263"/>
        <v>0</v>
      </c>
      <c r="AM97" s="119"/>
      <c r="AN97" s="116"/>
      <c r="AO97" s="109">
        <f t="shared" si="264"/>
        <v>0</v>
      </c>
      <c r="AP97" s="119"/>
      <c r="AQ97" s="116"/>
      <c r="AR97" s="109">
        <f t="shared" si="265"/>
        <v>0</v>
      </c>
      <c r="AS97" s="119"/>
      <c r="AT97" s="116"/>
      <c r="AU97" s="109">
        <f t="shared" si="266"/>
        <v>0</v>
      </c>
      <c r="AV97" s="119"/>
      <c r="AW97" s="116"/>
      <c r="AX97" s="109">
        <f t="shared" si="267"/>
        <v>0</v>
      </c>
      <c r="AY97" s="119"/>
      <c r="AZ97" s="116"/>
      <c r="BA97" s="109">
        <f t="shared" si="268"/>
        <v>0</v>
      </c>
      <c r="BB97" s="119"/>
      <c r="BC97" s="116"/>
      <c r="BD97" s="109">
        <f t="shared" si="269"/>
        <v>0</v>
      </c>
      <c r="BE97" s="119"/>
      <c r="BF97" s="116"/>
      <c r="BG97" s="109">
        <f t="shared" si="270"/>
        <v>0</v>
      </c>
      <c r="BH97" s="119"/>
      <c r="BI97" s="116"/>
      <c r="BJ97" s="109">
        <f t="shared" si="271"/>
        <v>0</v>
      </c>
      <c r="BK97" s="119"/>
      <c r="BL97" s="116"/>
      <c r="BM97" s="109">
        <f t="shared" si="272"/>
        <v>0</v>
      </c>
      <c r="BN97" s="119"/>
      <c r="BO97" s="116"/>
      <c r="BP97" s="109">
        <f t="shared" si="273"/>
        <v>0</v>
      </c>
      <c r="BQ97" s="119"/>
      <c r="BR97" s="116"/>
      <c r="BS97" s="109">
        <f t="shared" si="274"/>
        <v>0</v>
      </c>
      <c r="BT97" s="119"/>
      <c r="BU97" s="116"/>
      <c r="BV97" s="109">
        <f t="shared" si="275"/>
        <v>0</v>
      </c>
      <c r="BW97" s="119"/>
      <c r="BX97" s="116"/>
      <c r="BY97" s="109">
        <f t="shared" si="276"/>
        <v>0</v>
      </c>
      <c r="BZ97" s="119"/>
      <c r="CA97" s="116"/>
      <c r="CB97" s="109">
        <f t="shared" si="277"/>
        <v>0</v>
      </c>
      <c r="CC97" s="119"/>
      <c r="CD97" s="116"/>
      <c r="CE97" s="109">
        <f t="shared" si="278"/>
        <v>0</v>
      </c>
      <c r="CF97" s="119"/>
      <c r="CG97" s="116"/>
      <c r="CH97" s="109">
        <f t="shared" si="279"/>
        <v>0</v>
      </c>
      <c r="CI97" s="119"/>
      <c r="CJ97" s="116"/>
      <c r="CK97" s="109">
        <f t="shared" si="280"/>
        <v>0</v>
      </c>
      <c r="CL97" s="119"/>
      <c r="CM97" s="116"/>
      <c r="CN97" s="109">
        <f t="shared" si="281"/>
        <v>0</v>
      </c>
      <c r="CO97" s="119"/>
      <c r="CP97" s="116"/>
      <c r="CQ97" s="109">
        <f t="shared" si="282"/>
        <v>0</v>
      </c>
      <c r="CR97" s="119"/>
      <c r="CS97" s="116"/>
      <c r="CT97" s="109">
        <f t="shared" si="283"/>
        <v>0</v>
      </c>
      <c r="CU97" s="119"/>
      <c r="CV97" s="116"/>
      <c r="CW97" s="109">
        <f t="shared" si="284"/>
        <v>0</v>
      </c>
      <c r="CX97" s="119"/>
      <c r="CY97" s="116"/>
      <c r="CZ97" s="109">
        <f t="shared" si="285"/>
        <v>0</v>
      </c>
      <c r="DA97" s="119"/>
      <c r="DB97" s="116"/>
      <c r="DC97" s="109">
        <f t="shared" si="286"/>
        <v>0</v>
      </c>
      <c r="DD97" s="119"/>
      <c r="DE97" s="116"/>
      <c r="DF97" s="109">
        <f t="shared" si="287"/>
        <v>0</v>
      </c>
      <c r="DG97" s="119"/>
      <c r="DH97" s="116"/>
      <c r="DI97" s="109">
        <f t="shared" si="288"/>
        <v>0</v>
      </c>
      <c r="DJ97" s="119"/>
      <c r="DK97" s="116"/>
      <c r="DL97" s="109">
        <f t="shared" si="289"/>
        <v>0</v>
      </c>
      <c r="DM97" s="119"/>
      <c r="DN97" s="116"/>
      <c r="DO97" s="109">
        <f t="shared" si="290"/>
        <v>0</v>
      </c>
      <c r="DP97" s="126"/>
      <c r="DQ97" s="110"/>
      <c r="DR97" s="111"/>
      <c r="DS97" s="112">
        <f t="shared" si="255"/>
        <v>0</v>
      </c>
      <c r="DT97" s="113">
        <f t="shared" si="256"/>
        <v>0</v>
      </c>
    </row>
    <row r="98" spans="2:125" s="86" customFormat="1" ht="21.9" customHeight="1" outlineLevel="1">
      <c r="B98" s="122" t="s">
        <v>289</v>
      </c>
      <c r="C98" s="123"/>
      <c r="D98" s="124"/>
      <c r="E98" s="125"/>
      <c r="F98" s="119"/>
      <c r="G98" s="116"/>
      <c r="H98" s="109">
        <f t="shared" si="217"/>
        <v>0</v>
      </c>
      <c r="I98" s="119"/>
      <c r="J98" s="116"/>
      <c r="K98" s="109">
        <f t="shared" si="218"/>
        <v>0</v>
      </c>
      <c r="L98" s="119"/>
      <c r="M98" s="116"/>
      <c r="N98" s="109">
        <f t="shared" si="257"/>
        <v>0</v>
      </c>
      <c r="O98" s="119"/>
      <c r="P98" s="116"/>
      <c r="Q98" s="109">
        <f t="shared" si="220"/>
        <v>0</v>
      </c>
      <c r="R98" s="119"/>
      <c r="S98" s="116"/>
      <c r="T98" s="109">
        <f t="shared" si="221"/>
        <v>0</v>
      </c>
      <c r="U98" s="119"/>
      <c r="V98" s="116"/>
      <c r="W98" s="109">
        <f t="shared" si="258"/>
        <v>0</v>
      </c>
      <c r="X98" s="119"/>
      <c r="Y98" s="116"/>
      <c r="Z98" s="109">
        <f t="shared" si="259"/>
        <v>0</v>
      </c>
      <c r="AA98" s="119"/>
      <c r="AB98" s="116"/>
      <c r="AC98" s="109">
        <f t="shared" si="260"/>
        <v>0</v>
      </c>
      <c r="AD98" s="119"/>
      <c r="AE98" s="116"/>
      <c r="AF98" s="109">
        <f t="shared" si="261"/>
        <v>0</v>
      </c>
      <c r="AG98" s="119"/>
      <c r="AH98" s="116"/>
      <c r="AI98" s="109">
        <f t="shared" si="262"/>
        <v>0</v>
      </c>
      <c r="AJ98" s="119"/>
      <c r="AK98" s="116"/>
      <c r="AL98" s="109">
        <f t="shared" si="263"/>
        <v>0</v>
      </c>
      <c r="AM98" s="119"/>
      <c r="AN98" s="116"/>
      <c r="AO98" s="109">
        <f t="shared" si="264"/>
        <v>0</v>
      </c>
      <c r="AP98" s="119"/>
      <c r="AQ98" s="116"/>
      <c r="AR98" s="109">
        <f t="shared" si="265"/>
        <v>0</v>
      </c>
      <c r="AS98" s="119"/>
      <c r="AT98" s="116"/>
      <c r="AU98" s="109">
        <f t="shared" si="266"/>
        <v>0</v>
      </c>
      <c r="AV98" s="119"/>
      <c r="AW98" s="116"/>
      <c r="AX98" s="109">
        <f t="shared" si="267"/>
        <v>0</v>
      </c>
      <c r="AY98" s="119"/>
      <c r="AZ98" s="116"/>
      <c r="BA98" s="109">
        <f t="shared" si="268"/>
        <v>0</v>
      </c>
      <c r="BB98" s="119"/>
      <c r="BC98" s="116"/>
      <c r="BD98" s="109">
        <f t="shared" si="269"/>
        <v>0</v>
      </c>
      <c r="BE98" s="119"/>
      <c r="BF98" s="116"/>
      <c r="BG98" s="109">
        <f t="shared" si="270"/>
        <v>0</v>
      </c>
      <c r="BH98" s="119"/>
      <c r="BI98" s="116"/>
      <c r="BJ98" s="109">
        <f t="shared" si="271"/>
        <v>0</v>
      </c>
      <c r="BK98" s="119"/>
      <c r="BL98" s="116"/>
      <c r="BM98" s="109">
        <f t="shared" si="272"/>
        <v>0</v>
      </c>
      <c r="BN98" s="119"/>
      <c r="BO98" s="116"/>
      <c r="BP98" s="109">
        <f t="shared" si="273"/>
        <v>0</v>
      </c>
      <c r="BQ98" s="119"/>
      <c r="BR98" s="116"/>
      <c r="BS98" s="109">
        <f t="shared" si="274"/>
        <v>0</v>
      </c>
      <c r="BT98" s="119"/>
      <c r="BU98" s="116"/>
      <c r="BV98" s="109">
        <f t="shared" si="275"/>
        <v>0</v>
      </c>
      <c r="BW98" s="119"/>
      <c r="BX98" s="116"/>
      <c r="BY98" s="109">
        <f t="shared" si="276"/>
        <v>0</v>
      </c>
      <c r="BZ98" s="119"/>
      <c r="CA98" s="116"/>
      <c r="CB98" s="109">
        <f t="shared" si="277"/>
        <v>0</v>
      </c>
      <c r="CC98" s="119"/>
      <c r="CD98" s="116"/>
      <c r="CE98" s="109">
        <f t="shared" si="278"/>
        <v>0</v>
      </c>
      <c r="CF98" s="119"/>
      <c r="CG98" s="116"/>
      <c r="CH98" s="109">
        <f t="shared" si="279"/>
        <v>0</v>
      </c>
      <c r="CI98" s="119"/>
      <c r="CJ98" s="116"/>
      <c r="CK98" s="109">
        <f t="shared" si="280"/>
        <v>0</v>
      </c>
      <c r="CL98" s="119"/>
      <c r="CM98" s="116"/>
      <c r="CN98" s="109">
        <f t="shared" si="281"/>
        <v>0</v>
      </c>
      <c r="CO98" s="119"/>
      <c r="CP98" s="116"/>
      <c r="CQ98" s="109">
        <f t="shared" si="282"/>
        <v>0</v>
      </c>
      <c r="CR98" s="119"/>
      <c r="CS98" s="116"/>
      <c r="CT98" s="109">
        <f t="shared" si="283"/>
        <v>0</v>
      </c>
      <c r="CU98" s="119"/>
      <c r="CV98" s="116"/>
      <c r="CW98" s="109">
        <f t="shared" si="284"/>
        <v>0</v>
      </c>
      <c r="CX98" s="119"/>
      <c r="CY98" s="116"/>
      <c r="CZ98" s="109">
        <f t="shared" si="285"/>
        <v>0</v>
      </c>
      <c r="DA98" s="119"/>
      <c r="DB98" s="116"/>
      <c r="DC98" s="109">
        <f t="shared" si="286"/>
        <v>0</v>
      </c>
      <c r="DD98" s="119"/>
      <c r="DE98" s="116"/>
      <c r="DF98" s="109">
        <f t="shared" si="287"/>
        <v>0</v>
      </c>
      <c r="DG98" s="119"/>
      <c r="DH98" s="116"/>
      <c r="DI98" s="109">
        <f t="shared" si="288"/>
        <v>0</v>
      </c>
      <c r="DJ98" s="119"/>
      <c r="DK98" s="116"/>
      <c r="DL98" s="109">
        <f t="shared" si="289"/>
        <v>0</v>
      </c>
      <c r="DM98" s="119"/>
      <c r="DN98" s="116"/>
      <c r="DO98" s="109">
        <f t="shared" si="290"/>
        <v>0</v>
      </c>
      <c r="DP98" s="126"/>
      <c r="DQ98" s="110"/>
      <c r="DR98" s="111"/>
      <c r="DS98" s="112">
        <f t="shared" si="255"/>
        <v>0</v>
      </c>
      <c r="DT98" s="113">
        <f t="shared" si="256"/>
        <v>0</v>
      </c>
    </row>
    <row r="99" spans="2:125" s="86" customFormat="1" ht="21.9" customHeight="1" outlineLevel="1" thickBot="1">
      <c r="B99" s="122" t="s">
        <v>290</v>
      </c>
      <c r="C99" s="123"/>
      <c r="D99" s="124"/>
      <c r="E99" s="125"/>
      <c r="F99" s="119"/>
      <c r="G99" s="116"/>
      <c r="H99" s="109">
        <f t="shared" si="217"/>
        <v>0</v>
      </c>
      <c r="I99" s="119"/>
      <c r="J99" s="116"/>
      <c r="K99" s="109">
        <f t="shared" si="218"/>
        <v>0</v>
      </c>
      <c r="L99" s="119"/>
      <c r="M99" s="116"/>
      <c r="N99" s="109">
        <f t="shared" si="257"/>
        <v>0</v>
      </c>
      <c r="O99" s="119"/>
      <c r="P99" s="116"/>
      <c r="Q99" s="109">
        <f t="shared" si="220"/>
        <v>0</v>
      </c>
      <c r="R99" s="119"/>
      <c r="S99" s="116"/>
      <c r="T99" s="109">
        <f t="shared" si="221"/>
        <v>0</v>
      </c>
      <c r="U99" s="119"/>
      <c r="V99" s="116"/>
      <c r="W99" s="109">
        <f t="shared" si="258"/>
        <v>0</v>
      </c>
      <c r="X99" s="119"/>
      <c r="Y99" s="116"/>
      <c r="Z99" s="109">
        <f t="shared" si="259"/>
        <v>0</v>
      </c>
      <c r="AA99" s="119"/>
      <c r="AB99" s="116"/>
      <c r="AC99" s="109">
        <f t="shared" si="260"/>
        <v>0</v>
      </c>
      <c r="AD99" s="119"/>
      <c r="AE99" s="116"/>
      <c r="AF99" s="109">
        <f t="shared" si="261"/>
        <v>0</v>
      </c>
      <c r="AG99" s="119"/>
      <c r="AH99" s="116"/>
      <c r="AI99" s="109">
        <f t="shared" si="262"/>
        <v>0</v>
      </c>
      <c r="AJ99" s="119"/>
      <c r="AK99" s="116"/>
      <c r="AL99" s="109">
        <f t="shared" si="263"/>
        <v>0</v>
      </c>
      <c r="AM99" s="119"/>
      <c r="AN99" s="116"/>
      <c r="AO99" s="109">
        <f t="shared" si="264"/>
        <v>0</v>
      </c>
      <c r="AP99" s="119"/>
      <c r="AQ99" s="116"/>
      <c r="AR99" s="109">
        <f t="shared" si="265"/>
        <v>0</v>
      </c>
      <c r="AS99" s="119"/>
      <c r="AT99" s="116"/>
      <c r="AU99" s="109">
        <f t="shared" si="266"/>
        <v>0</v>
      </c>
      <c r="AV99" s="119"/>
      <c r="AW99" s="116"/>
      <c r="AX99" s="109">
        <f t="shared" si="267"/>
        <v>0</v>
      </c>
      <c r="AY99" s="119"/>
      <c r="AZ99" s="116"/>
      <c r="BA99" s="109">
        <f t="shared" si="268"/>
        <v>0</v>
      </c>
      <c r="BB99" s="119"/>
      <c r="BC99" s="116"/>
      <c r="BD99" s="109">
        <f t="shared" si="269"/>
        <v>0</v>
      </c>
      <c r="BE99" s="119"/>
      <c r="BF99" s="116"/>
      <c r="BG99" s="109">
        <f t="shared" si="270"/>
        <v>0</v>
      </c>
      <c r="BH99" s="119"/>
      <c r="BI99" s="116"/>
      <c r="BJ99" s="109">
        <f t="shared" si="271"/>
        <v>0</v>
      </c>
      <c r="BK99" s="119"/>
      <c r="BL99" s="116"/>
      <c r="BM99" s="109">
        <f t="shared" si="272"/>
        <v>0</v>
      </c>
      <c r="BN99" s="119"/>
      <c r="BO99" s="116"/>
      <c r="BP99" s="109">
        <f t="shared" si="273"/>
        <v>0</v>
      </c>
      <c r="BQ99" s="119"/>
      <c r="BR99" s="116"/>
      <c r="BS99" s="109">
        <f t="shared" si="274"/>
        <v>0</v>
      </c>
      <c r="BT99" s="119"/>
      <c r="BU99" s="116"/>
      <c r="BV99" s="109">
        <f t="shared" si="275"/>
        <v>0</v>
      </c>
      <c r="BW99" s="119"/>
      <c r="BX99" s="116"/>
      <c r="BY99" s="109">
        <f t="shared" si="276"/>
        <v>0</v>
      </c>
      <c r="BZ99" s="119"/>
      <c r="CA99" s="116"/>
      <c r="CB99" s="109">
        <f t="shared" si="277"/>
        <v>0</v>
      </c>
      <c r="CC99" s="119"/>
      <c r="CD99" s="116"/>
      <c r="CE99" s="109">
        <f t="shared" si="278"/>
        <v>0</v>
      </c>
      <c r="CF99" s="119"/>
      <c r="CG99" s="116"/>
      <c r="CH99" s="109">
        <f t="shared" si="279"/>
        <v>0</v>
      </c>
      <c r="CI99" s="119"/>
      <c r="CJ99" s="116"/>
      <c r="CK99" s="109">
        <f t="shared" si="280"/>
        <v>0</v>
      </c>
      <c r="CL99" s="119"/>
      <c r="CM99" s="116"/>
      <c r="CN99" s="109">
        <f t="shared" si="281"/>
        <v>0</v>
      </c>
      <c r="CO99" s="119"/>
      <c r="CP99" s="116"/>
      <c r="CQ99" s="109">
        <f t="shared" si="282"/>
        <v>0</v>
      </c>
      <c r="CR99" s="119"/>
      <c r="CS99" s="116"/>
      <c r="CT99" s="109">
        <f t="shared" si="283"/>
        <v>0</v>
      </c>
      <c r="CU99" s="119"/>
      <c r="CV99" s="116"/>
      <c r="CW99" s="109">
        <f t="shared" si="284"/>
        <v>0</v>
      </c>
      <c r="CX99" s="119"/>
      <c r="CY99" s="116"/>
      <c r="CZ99" s="109">
        <f t="shared" si="285"/>
        <v>0</v>
      </c>
      <c r="DA99" s="119"/>
      <c r="DB99" s="116"/>
      <c r="DC99" s="109">
        <f t="shared" si="286"/>
        <v>0</v>
      </c>
      <c r="DD99" s="119"/>
      <c r="DE99" s="116"/>
      <c r="DF99" s="109">
        <f t="shared" si="287"/>
        <v>0</v>
      </c>
      <c r="DG99" s="119"/>
      <c r="DH99" s="116"/>
      <c r="DI99" s="109">
        <f t="shared" si="288"/>
        <v>0</v>
      </c>
      <c r="DJ99" s="119"/>
      <c r="DK99" s="116"/>
      <c r="DL99" s="109">
        <f t="shared" si="289"/>
        <v>0</v>
      </c>
      <c r="DM99" s="119"/>
      <c r="DN99" s="116"/>
      <c r="DO99" s="109">
        <f t="shared" si="290"/>
        <v>0</v>
      </c>
      <c r="DP99" s="126"/>
      <c r="DQ99" s="110"/>
      <c r="DR99" s="111"/>
      <c r="DS99" s="112">
        <f t="shared" si="255"/>
        <v>0</v>
      </c>
      <c r="DT99" s="113">
        <f t="shared" si="256"/>
        <v>0</v>
      </c>
    </row>
    <row r="100" spans="2:125" s="86" customFormat="1" ht="21.9" customHeight="1" thickBot="1">
      <c r="B100" s="705" t="s">
        <v>106</v>
      </c>
      <c r="C100" s="706"/>
      <c r="D100" s="706"/>
      <c r="E100" s="706" t="e">
        <f>SUM(#REF!)</f>
        <v>#REF!</v>
      </c>
      <c r="F100" s="202"/>
      <c r="G100" s="203"/>
      <c r="H100" s="204">
        <f>SUM(H81:H99)</f>
        <v>0</v>
      </c>
      <c r="I100" s="202"/>
      <c r="J100" s="203"/>
      <c r="K100" s="204">
        <f>SUM(K81:K99)</f>
        <v>0</v>
      </c>
      <c r="L100" s="202"/>
      <c r="M100" s="203"/>
      <c r="N100" s="204">
        <f>SUM(N81:N99)</f>
        <v>0</v>
      </c>
      <c r="O100" s="202"/>
      <c r="P100" s="203"/>
      <c r="Q100" s="204">
        <f>SUM(Q81:Q99)</f>
        <v>0</v>
      </c>
      <c r="R100" s="202"/>
      <c r="S100" s="203"/>
      <c r="T100" s="204">
        <f>SUM(T81:T99)</f>
        <v>0</v>
      </c>
      <c r="U100" s="202"/>
      <c r="V100" s="203"/>
      <c r="W100" s="204">
        <f>SUM(W81:W99)</f>
        <v>0</v>
      </c>
      <c r="X100" s="202"/>
      <c r="Y100" s="203"/>
      <c r="Z100" s="204">
        <f>SUM(Z81:Z99)</f>
        <v>470.5</v>
      </c>
      <c r="AA100" s="202"/>
      <c r="AB100" s="203"/>
      <c r="AC100" s="204">
        <f>SUM(AC81:AC99)</f>
        <v>0</v>
      </c>
      <c r="AD100" s="202"/>
      <c r="AE100" s="203"/>
      <c r="AF100" s="204">
        <f>SUM(AF81:AF99)</f>
        <v>0</v>
      </c>
      <c r="AG100" s="202"/>
      <c r="AH100" s="203"/>
      <c r="AI100" s="204">
        <f>SUM(AI81:AI99)</f>
        <v>0</v>
      </c>
      <c r="AJ100" s="202"/>
      <c r="AK100" s="203"/>
      <c r="AL100" s="204">
        <f>SUM(AL81:AL99)</f>
        <v>0</v>
      </c>
      <c r="AM100" s="202"/>
      <c r="AN100" s="203"/>
      <c r="AO100" s="204">
        <f>SUM(AO81:AO99)</f>
        <v>0</v>
      </c>
      <c r="AP100" s="202"/>
      <c r="AQ100" s="203"/>
      <c r="AR100" s="204">
        <f>SUM(AR81:AR99)</f>
        <v>47.460000000000008</v>
      </c>
      <c r="AS100" s="202"/>
      <c r="AT100" s="203"/>
      <c r="AU100" s="204">
        <f>SUM(AU81:AU99)</f>
        <v>230.22</v>
      </c>
      <c r="AV100" s="202"/>
      <c r="AW100" s="203"/>
      <c r="AX100" s="204">
        <f>SUM(AX81:AX99)</f>
        <v>5.66</v>
      </c>
      <c r="AY100" s="202"/>
      <c r="AZ100" s="203"/>
      <c r="BA100" s="204">
        <f>SUM(BA81:BA99)</f>
        <v>84.66</v>
      </c>
      <c r="BB100" s="202"/>
      <c r="BC100" s="203"/>
      <c r="BD100" s="204">
        <f>SUM(BD81:BD99)</f>
        <v>64.33</v>
      </c>
      <c r="BE100" s="202"/>
      <c r="BF100" s="203"/>
      <c r="BG100" s="204">
        <f>SUM(BG81:BG99)</f>
        <v>1400</v>
      </c>
      <c r="BH100" s="202"/>
      <c r="BI100" s="203"/>
      <c r="BJ100" s="204">
        <f>SUM(BJ81:BJ99)</f>
        <v>0</v>
      </c>
      <c r="BK100" s="202"/>
      <c r="BL100" s="203"/>
      <c r="BM100" s="204">
        <f>SUM(BM81:BM99)</f>
        <v>0</v>
      </c>
      <c r="BN100" s="202"/>
      <c r="BO100" s="203"/>
      <c r="BP100" s="204">
        <f>SUM(BP81:BP99)</f>
        <v>0</v>
      </c>
      <c r="BQ100" s="202"/>
      <c r="BR100" s="203"/>
      <c r="BS100" s="204">
        <f>SUM(BS81:BS99)</f>
        <v>0</v>
      </c>
      <c r="BT100" s="202"/>
      <c r="BU100" s="203"/>
      <c r="BV100" s="204">
        <f>SUM(BV81:BV99)</f>
        <v>0</v>
      </c>
      <c r="BW100" s="202"/>
      <c r="BX100" s="203"/>
      <c r="BY100" s="204">
        <f>SUM(BY81:BY99)</f>
        <v>0</v>
      </c>
      <c r="BZ100" s="202"/>
      <c r="CA100" s="203"/>
      <c r="CB100" s="204">
        <f>SUM(CB81:CB99)</f>
        <v>0</v>
      </c>
      <c r="CC100" s="202"/>
      <c r="CD100" s="203"/>
      <c r="CE100" s="204">
        <f>SUM(CE81:CE99)</f>
        <v>0</v>
      </c>
      <c r="CF100" s="202"/>
      <c r="CG100" s="203"/>
      <c r="CH100" s="204">
        <f>SUM(CH81:CH99)</f>
        <v>0</v>
      </c>
      <c r="CI100" s="202"/>
      <c r="CJ100" s="203"/>
      <c r="CK100" s="204">
        <f>SUM(CK81:CK99)</f>
        <v>0</v>
      </c>
      <c r="CL100" s="202"/>
      <c r="CM100" s="203"/>
      <c r="CN100" s="204">
        <f>SUM(CN81:CN99)</f>
        <v>0</v>
      </c>
      <c r="CO100" s="202"/>
      <c r="CP100" s="203"/>
      <c r="CQ100" s="204">
        <f>SUM(CQ81:CQ99)</f>
        <v>0</v>
      </c>
      <c r="CR100" s="202"/>
      <c r="CS100" s="203"/>
      <c r="CT100" s="204">
        <f>SUM(CT81:CT99)</f>
        <v>3942.4760000000006</v>
      </c>
      <c r="CU100" s="202"/>
      <c r="CV100" s="203"/>
      <c r="CW100" s="204">
        <f>SUM(CW81:CW99)</f>
        <v>6941.52</v>
      </c>
      <c r="CX100" s="202"/>
      <c r="CY100" s="203"/>
      <c r="CZ100" s="204">
        <f>SUM(CZ81:CZ99)</f>
        <v>3752.88</v>
      </c>
      <c r="DA100" s="202"/>
      <c r="DB100" s="203"/>
      <c r="DC100" s="204">
        <f>SUM(DC81:DC99)</f>
        <v>2800</v>
      </c>
      <c r="DD100" s="202"/>
      <c r="DE100" s="203"/>
      <c r="DF100" s="204">
        <f>SUM(DF81:DF99)</f>
        <v>0</v>
      </c>
      <c r="DG100" s="202"/>
      <c r="DH100" s="203"/>
      <c r="DI100" s="204">
        <f>SUM(DI81:DI99)</f>
        <v>0</v>
      </c>
      <c r="DJ100" s="202"/>
      <c r="DK100" s="203"/>
      <c r="DL100" s="204">
        <f>SUM(DL81:DL99)</f>
        <v>0</v>
      </c>
      <c r="DM100" s="202"/>
      <c r="DN100" s="203"/>
      <c r="DO100" s="204">
        <f>SUM(DO81:DO99)</f>
        <v>0</v>
      </c>
      <c r="DP100" s="117"/>
      <c r="DQ100" s="202"/>
      <c r="DR100" s="203"/>
      <c r="DS100" s="204">
        <f>SUM(DS81:DS99)</f>
        <v>25222.816000000003</v>
      </c>
      <c r="DT100" s="113"/>
    </row>
    <row r="101" spans="2:125" s="86" customFormat="1" ht="21.9" customHeight="1" thickBot="1">
      <c r="B101" s="707" t="s">
        <v>107</v>
      </c>
      <c r="C101" s="708"/>
      <c r="D101" s="708"/>
      <c r="E101" s="709"/>
      <c r="F101" s="753"/>
      <c r="G101" s="753"/>
      <c r="H101" s="753"/>
      <c r="I101" s="753"/>
      <c r="J101" s="753"/>
      <c r="K101" s="753"/>
      <c r="L101" s="753"/>
      <c r="M101" s="753"/>
      <c r="N101" s="753"/>
      <c r="O101" s="753"/>
      <c r="P101" s="753"/>
      <c r="Q101" s="753"/>
      <c r="R101" s="753"/>
      <c r="S101" s="753"/>
      <c r="T101" s="753"/>
      <c r="U101" s="753"/>
      <c r="V101" s="753"/>
      <c r="W101" s="753"/>
      <c r="X101" s="753"/>
      <c r="Y101" s="753"/>
      <c r="Z101" s="753"/>
      <c r="AA101" s="753"/>
      <c r="AB101" s="753"/>
      <c r="AC101" s="753"/>
      <c r="AD101" s="753"/>
      <c r="AE101" s="753"/>
      <c r="AF101" s="753"/>
      <c r="AG101" s="753"/>
      <c r="AH101" s="753"/>
      <c r="AI101" s="753"/>
      <c r="AJ101" s="753"/>
      <c r="AK101" s="753"/>
      <c r="AL101" s="753"/>
      <c r="AM101" s="753"/>
      <c r="AN101" s="753"/>
      <c r="AO101" s="753"/>
      <c r="AP101" s="753"/>
      <c r="AQ101" s="753"/>
      <c r="AR101" s="753"/>
      <c r="AS101" s="753"/>
      <c r="AT101" s="753"/>
      <c r="AU101" s="753"/>
      <c r="AV101" s="753"/>
      <c r="AW101" s="753"/>
      <c r="AX101" s="753"/>
      <c r="AY101" s="753"/>
      <c r="AZ101" s="753"/>
      <c r="BA101" s="753"/>
      <c r="BB101" s="753"/>
      <c r="BC101" s="753"/>
      <c r="BD101" s="753"/>
      <c r="BE101" s="753"/>
      <c r="BF101" s="753"/>
      <c r="BG101" s="753"/>
      <c r="BH101" s="753"/>
      <c r="BI101" s="753"/>
      <c r="BJ101" s="753"/>
      <c r="BK101" s="753"/>
      <c r="BL101" s="753"/>
      <c r="BM101" s="753"/>
      <c r="BN101" s="753"/>
      <c r="BO101" s="753"/>
      <c r="BP101" s="753"/>
      <c r="BQ101" s="753"/>
      <c r="BR101" s="753"/>
      <c r="BS101" s="753"/>
      <c r="BT101" s="753"/>
      <c r="BU101" s="753"/>
      <c r="BV101" s="753"/>
      <c r="BW101" s="753"/>
      <c r="BX101" s="753"/>
      <c r="BY101" s="753"/>
      <c r="BZ101" s="753"/>
      <c r="CA101" s="753"/>
      <c r="CB101" s="753"/>
      <c r="CC101" s="753"/>
      <c r="CD101" s="753"/>
      <c r="CE101" s="753"/>
      <c r="CF101" s="753"/>
      <c r="CG101" s="753"/>
      <c r="CH101" s="753"/>
      <c r="CI101" s="753"/>
      <c r="CJ101" s="753"/>
      <c r="CK101" s="753"/>
      <c r="CL101" s="753"/>
      <c r="CM101" s="753"/>
      <c r="CN101" s="753"/>
      <c r="CO101" s="753"/>
      <c r="CP101" s="753"/>
      <c r="CQ101" s="753"/>
      <c r="CR101" s="753"/>
      <c r="CS101" s="753"/>
      <c r="CT101" s="753"/>
      <c r="CU101" s="753"/>
      <c r="CV101" s="753"/>
      <c r="CW101" s="753"/>
      <c r="CX101" s="753"/>
      <c r="CY101" s="753"/>
      <c r="CZ101" s="753"/>
      <c r="DA101" s="753"/>
      <c r="DB101" s="753"/>
      <c r="DC101" s="753"/>
      <c r="DD101" s="753"/>
      <c r="DE101" s="753"/>
      <c r="DF101" s="753"/>
      <c r="DG101" s="753"/>
      <c r="DH101" s="753"/>
      <c r="DI101" s="753"/>
      <c r="DJ101" s="753"/>
      <c r="DK101" s="753"/>
      <c r="DL101" s="753"/>
      <c r="DM101" s="753"/>
      <c r="DN101" s="753"/>
      <c r="DO101" s="753"/>
      <c r="DP101" s="100"/>
      <c r="DQ101" s="704"/>
      <c r="DR101" s="704"/>
      <c r="DS101" s="704"/>
      <c r="DT101" s="113"/>
    </row>
    <row r="102" spans="2:125" s="103" customFormat="1" ht="21.9" customHeight="1" thickBot="1">
      <c r="B102" s="197" t="s">
        <v>95</v>
      </c>
      <c r="C102" s="198" t="s">
        <v>96</v>
      </c>
      <c r="D102" s="199" t="s">
        <v>97</v>
      </c>
      <c r="E102" s="200" t="s">
        <v>98</v>
      </c>
      <c r="F102" s="197" t="s">
        <v>99</v>
      </c>
      <c r="G102" s="200" t="s">
        <v>100</v>
      </c>
      <c r="H102" s="201" t="s">
        <v>101</v>
      </c>
      <c r="I102" s="197" t="s">
        <v>99</v>
      </c>
      <c r="J102" s="200" t="s">
        <v>100</v>
      </c>
      <c r="K102" s="201" t="s">
        <v>101</v>
      </c>
      <c r="L102" s="197" t="s">
        <v>99</v>
      </c>
      <c r="M102" s="200" t="s">
        <v>100</v>
      </c>
      <c r="N102" s="201" t="s">
        <v>101</v>
      </c>
      <c r="O102" s="197" t="s">
        <v>99</v>
      </c>
      <c r="P102" s="200" t="s">
        <v>100</v>
      </c>
      <c r="Q102" s="201" t="s">
        <v>101</v>
      </c>
      <c r="R102" s="197" t="s">
        <v>99</v>
      </c>
      <c r="S102" s="200" t="s">
        <v>100</v>
      </c>
      <c r="T102" s="201" t="s">
        <v>101</v>
      </c>
      <c r="U102" s="197" t="s">
        <v>99</v>
      </c>
      <c r="V102" s="200" t="s">
        <v>100</v>
      </c>
      <c r="W102" s="201" t="s">
        <v>101</v>
      </c>
      <c r="X102" s="197" t="s">
        <v>99</v>
      </c>
      <c r="Y102" s="200" t="s">
        <v>100</v>
      </c>
      <c r="Z102" s="201" t="s">
        <v>101</v>
      </c>
      <c r="AA102" s="197" t="s">
        <v>99</v>
      </c>
      <c r="AB102" s="200" t="s">
        <v>100</v>
      </c>
      <c r="AC102" s="201" t="s">
        <v>101</v>
      </c>
      <c r="AD102" s="197" t="s">
        <v>99</v>
      </c>
      <c r="AE102" s="200" t="s">
        <v>100</v>
      </c>
      <c r="AF102" s="201" t="s">
        <v>101</v>
      </c>
      <c r="AG102" s="197" t="s">
        <v>99</v>
      </c>
      <c r="AH102" s="200" t="s">
        <v>100</v>
      </c>
      <c r="AI102" s="201" t="s">
        <v>101</v>
      </c>
      <c r="AJ102" s="197" t="s">
        <v>99</v>
      </c>
      <c r="AK102" s="200" t="s">
        <v>100</v>
      </c>
      <c r="AL102" s="201" t="s">
        <v>101</v>
      </c>
      <c r="AM102" s="197" t="s">
        <v>99</v>
      </c>
      <c r="AN102" s="200" t="s">
        <v>100</v>
      </c>
      <c r="AO102" s="201" t="s">
        <v>101</v>
      </c>
      <c r="AP102" s="197" t="s">
        <v>99</v>
      </c>
      <c r="AQ102" s="200" t="s">
        <v>100</v>
      </c>
      <c r="AR102" s="201" t="s">
        <v>101</v>
      </c>
      <c r="AS102" s="197" t="s">
        <v>99</v>
      </c>
      <c r="AT102" s="200" t="s">
        <v>100</v>
      </c>
      <c r="AU102" s="201" t="s">
        <v>101</v>
      </c>
      <c r="AV102" s="197" t="s">
        <v>99</v>
      </c>
      <c r="AW102" s="200" t="s">
        <v>100</v>
      </c>
      <c r="AX102" s="201" t="s">
        <v>101</v>
      </c>
      <c r="AY102" s="197" t="s">
        <v>99</v>
      </c>
      <c r="AZ102" s="200" t="s">
        <v>100</v>
      </c>
      <c r="BA102" s="201" t="s">
        <v>101</v>
      </c>
      <c r="BB102" s="197" t="s">
        <v>99</v>
      </c>
      <c r="BC102" s="200" t="s">
        <v>100</v>
      </c>
      <c r="BD102" s="201" t="s">
        <v>101</v>
      </c>
      <c r="BE102" s="197" t="s">
        <v>99</v>
      </c>
      <c r="BF102" s="200" t="s">
        <v>100</v>
      </c>
      <c r="BG102" s="201" t="s">
        <v>101</v>
      </c>
      <c r="BH102" s="197" t="s">
        <v>99</v>
      </c>
      <c r="BI102" s="200" t="s">
        <v>100</v>
      </c>
      <c r="BJ102" s="201" t="s">
        <v>101</v>
      </c>
      <c r="BK102" s="197" t="s">
        <v>99</v>
      </c>
      <c r="BL102" s="200" t="s">
        <v>100</v>
      </c>
      <c r="BM102" s="201" t="s">
        <v>101</v>
      </c>
      <c r="BN102" s="197" t="s">
        <v>99</v>
      </c>
      <c r="BO102" s="200" t="s">
        <v>100</v>
      </c>
      <c r="BP102" s="201" t="s">
        <v>101</v>
      </c>
      <c r="BQ102" s="197" t="s">
        <v>99</v>
      </c>
      <c r="BR102" s="200" t="s">
        <v>100</v>
      </c>
      <c r="BS102" s="201" t="s">
        <v>101</v>
      </c>
      <c r="BT102" s="197" t="s">
        <v>99</v>
      </c>
      <c r="BU102" s="200" t="s">
        <v>100</v>
      </c>
      <c r="BV102" s="201" t="s">
        <v>101</v>
      </c>
      <c r="BW102" s="197" t="s">
        <v>99</v>
      </c>
      <c r="BX102" s="200" t="s">
        <v>100</v>
      </c>
      <c r="BY102" s="201" t="s">
        <v>101</v>
      </c>
      <c r="BZ102" s="197" t="s">
        <v>99</v>
      </c>
      <c r="CA102" s="200" t="s">
        <v>100</v>
      </c>
      <c r="CB102" s="201" t="s">
        <v>101</v>
      </c>
      <c r="CC102" s="197" t="s">
        <v>99</v>
      </c>
      <c r="CD102" s="200" t="s">
        <v>100</v>
      </c>
      <c r="CE102" s="201" t="s">
        <v>101</v>
      </c>
      <c r="CF102" s="197" t="s">
        <v>99</v>
      </c>
      <c r="CG102" s="200" t="s">
        <v>100</v>
      </c>
      <c r="CH102" s="201" t="s">
        <v>101</v>
      </c>
      <c r="CI102" s="197" t="s">
        <v>99</v>
      </c>
      <c r="CJ102" s="200" t="s">
        <v>100</v>
      </c>
      <c r="CK102" s="201" t="s">
        <v>101</v>
      </c>
      <c r="CL102" s="197" t="s">
        <v>99</v>
      </c>
      <c r="CM102" s="200" t="s">
        <v>100</v>
      </c>
      <c r="CN102" s="201" t="s">
        <v>101</v>
      </c>
      <c r="CO102" s="197" t="s">
        <v>99</v>
      </c>
      <c r="CP102" s="200" t="s">
        <v>100</v>
      </c>
      <c r="CQ102" s="201" t="s">
        <v>101</v>
      </c>
      <c r="CR102" s="197" t="s">
        <v>99</v>
      </c>
      <c r="CS102" s="200" t="s">
        <v>100</v>
      </c>
      <c r="CT102" s="201" t="s">
        <v>101</v>
      </c>
      <c r="CU102" s="197" t="s">
        <v>99</v>
      </c>
      <c r="CV102" s="200" t="s">
        <v>100</v>
      </c>
      <c r="CW102" s="201" t="s">
        <v>101</v>
      </c>
      <c r="CX102" s="197" t="s">
        <v>99</v>
      </c>
      <c r="CY102" s="200" t="s">
        <v>100</v>
      </c>
      <c r="CZ102" s="201" t="s">
        <v>101</v>
      </c>
      <c r="DA102" s="197" t="s">
        <v>99</v>
      </c>
      <c r="DB102" s="200" t="s">
        <v>100</v>
      </c>
      <c r="DC102" s="201" t="s">
        <v>101</v>
      </c>
      <c r="DD102" s="197" t="s">
        <v>99</v>
      </c>
      <c r="DE102" s="200" t="s">
        <v>100</v>
      </c>
      <c r="DF102" s="201" t="s">
        <v>101</v>
      </c>
      <c r="DG102" s="197" t="s">
        <v>99</v>
      </c>
      <c r="DH102" s="200" t="s">
        <v>100</v>
      </c>
      <c r="DI102" s="201" t="s">
        <v>101</v>
      </c>
      <c r="DJ102" s="197" t="s">
        <v>99</v>
      </c>
      <c r="DK102" s="200" t="s">
        <v>100</v>
      </c>
      <c r="DL102" s="201" t="s">
        <v>101</v>
      </c>
      <c r="DM102" s="197" t="s">
        <v>99</v>
      </c>
      <c r="DN102" s="200" t="s">
        <v>100</v>
      </c>
      <c r="DO102" s="201" t="s">
        <v>101</v>
      </c>
      <c r="DP102" s="100"/>
      <c r="DQ102" s="197" t="s">
        <v>99</v>
      </c>
      <c r="DR102" s="200" t="s">
        <v>100</v>
      </c>
      <c r="DS102" s="201" t="s">
        <v>101</v>
      </c>
      <c r="DT102" s="101"/>
      <c r="DU102" s="102"/>
    </row>
    <row r="103" spans="2:125" s="86" customFormat="1" ht="15" outlineLevel="1">
      <c r="B103" s="122" t="s">
        <v>291</v>
      </c>
      <c r="C103" s="128" t="s">
        <v>292</v>
      </c>
      <c r="D103" s="129" t="s">
        <v>273</v>
      </c>
      <c r="E103" s="130">
        <v>271.52</v>
      </c>
      <c r="F103" s="119">
        <v>1</v>
      </c>
      <c r="G103" s="116">
        <v>1</v>
      </c>
      <c r="H103" s="109">
        <f>G103*F103*$E103</f>
        <v>271.52</v>
      </c>
      <c r="I103" s="119"/>
      <c r="J103" s="116"/>
      <c r="K103" s="109">
        <f t="shared" ref="K103:K120" si="291">J103*I103*$E103</f>
        <v>0</v>
      </c>
      <c r="L103" s="119"/>
      <c r="M103" s="116"/>
      <c r="N103" s="109">
        <f>M103*L103*$E103</f>
        <v>0</v>
      </c>
      <c r="O103" s="119"/>
      <c r="P103" s="116"/>
      <c r="Q103" s="109">
        <f t="shared" ref="Q103:Q122" si="292">P103*O103*$E103</f>
        <v>0</v>
      </c>
      <c r="R103" s="119"/>
      <c r="S103" s="116"/>
      <c r="T103" s="109">
        <f t="shared" ref="T103:T122" si="293">S103*R103*$E103</f>
        <v>0</v>
      </c>
      <c r="U103" s="119"/>
      <c r="V103" s="116"/>
      <c r="W103" s="109">
        <f t="shared" ref="W103:W122" si="294">V103*U103*$E103</f>
        <v>0</v>
      </c>
      <c r="X103" s="119"/>
      <c r="Y103" s="116"/>
      <c r="Z103" s="109">
        <f t="shared" ref="Z103:Z122" si="295">Y103*X103*$E103</f>
        <v>0</v>
      </c>
      <c r="AA103" s="119"/>
      <c r="AB103" s="116"/>
      <c r="AC103" s="109">
        <f t="shared" ref="AC103:AC122" si="296">AB103*AA103*$E103</f>
        <v>0</v>
      </c>
      <c r="AD103" s="119"/>
      <c r="AE103" s="116"/>
      <c r="AF103" s="109">
        <f t="shared" ref="AF103:AF122" si="297">AE103*AD103*$E103</f>
        <v>0</v>
      </c>
      <c r="AG103" s="119"/>
      <c r="AH103" s="116"/>
      <c r="AI103" s="109">
        <f t="shared" ref="AI103:AI122" si="298">AH103*AG103*$E103</f>
        <v>0</v>
      </c>
      <c r="AJ103" s="119"/>
      <c r="AK103" s="116"/>
      <c r="AL103" s="109">
        <f t="shared" ref="AL103:AL122" si="299">AK103*AJ103*$E103</f>
        <v>0</v>
      </c>
      <c r="AM103" s="119"/>
      <c r="AN103" s="116"/>
      <c r="AO103" s="109">
        <f t="shared" ref="AO103:AO122" si="300">AN103*AM103*$E103</f>
        <v>0</v>
      </c>
      <c r="AP103" s="119"/>
      <c r="AQ103" s="116"/>
      <c r="AR103" s="109">
        <f t="shared" ref="AR103:AR122" si="301">AQ103*AP103*$E103</f>
        <v>0</v>
      </c>
      <c r="AS103" s="119"/>
      <c r="AT103" s="116"/>
      <c r="AU103" s="109">
        <f t="shared" ref="AU103:AU122" si="302">AT103*AS103*$E103</f>
        <v>0</v>
      </c>
      <c r="AV103" s="119"/>
      <c r="AW103" s="116"/>
      <c r="AX103" s="109">
        <f t="shared" ref="AX103:AX122" si="303">AW103*AV103*$E103</f>
        <v>0</v>
      </c>
      <c r="AY103" s="119"/>
      <c r="AZ103" s="116"/>
      <c r="BA103" s="109">
        <f t="shared" ref="BA103:BA122" si="304">AZ103*AY103*$E103</f>
        <v>0</v>
      </c>
      <c r="BB103" s="119"/>
      <c r="BC103" s="116"/>
      <c r="BD103" s="109">
        <f t="shared" ref="BD103:BD122" si="305">BC103*BB103*$E103</f>
        <v>0</v>
      </c>
      <c r="BE103" s="119"/>
      <c r="BF103" s="116"/>
      <c r="BG103" s="109">
        <f t="shared" ref="BG103:BG122" si="306">BF103*BE103*$E103</f>
        <v>0</v>
      </c>
      <c r="BH103" s="119"/>
      <c r="BI103" s="116"/>
      <c r="BJ103" s="109">
        <f t="shared" ref="BJ103:BJ122" si="307">BI103*BH103*$E103</f>
        <v>0</v>
      </c>
      <c r="BK103" s="119"/>
      <c r="BL103" s="116"/>
      <c r="BM103" s="109">
        <f t="shared" ref="BM103:BM122" si="308">BL103*BK103*$E103</f>
        <v>0</v>
      </c>
      <c r="BN103" s="119"/>
      <c r="BO103" s="116"/>
      <c r="BP103" s="109">
        <f t="shared" ref="BP103:BP122" si="309">BO103*BN103*$E103</f>
        <v>0</v>
      </c>
      <c r="BQ103" s="119"/>
      <c r="BR103" s="116"/>
      <c r="BS103" s="109">
        <f t="shared" ref="BS103:BS122" si="310">BR103*BQ103*$E103</f>
        <v>0</v>
      </c>
      <c r="BT103" s="119"/>
      <c r="BU103" s="116"/>
      <c r="BV103" s="109">
        <f t="shared" ref="BV103:BV122" si="311">BU103*BT103*$E103</f>
        <v>0</v>
      </c>
      <c r="BW103" s="119"/>
      <c r="BX103" s="116"/>
      <c r="BY103" s="109">
        <f t="shared" ref="BY103:BY122" si="312">BX103*BW103*$E103</f>
        <v>0</v>
      </c>
      <c r="BZ103" s="119"/>
      <c r="CA103" s="116"/>
      <c r="CB103" s="109">
        <f t="shared" ref="CB103:CB122" si="313">CA103*BZ103*$E103</f>
        <v>0</v>
      </c>
      <c r="CC103" s="119"/>
      <c r="CD103" s="116"/>
      <c r="CE103" s="109">
        <f t="shared" ref="CE103:CE122" si="314">CD103*CC103*$E103</f>
        <v>0</v>
      </c>
      <c r="CF103" s="119"/>
      <c r="CG103" s="116"/>
      <c r="CH103" s="109">
        <f t="shared" ref="CH103:CH122" si="315">CG103*CF103*$E103</f>
        <v>0</v>
      </c>
      <c r="CI103" s="119"/>
      <c r="CJ103" s="116"/>
      <c r="CK103" s="109">
        <f t="shared" ref="CK103:CK122" si="316">CJ103*CI103*$E103</f>
        <v>0</v>
      </c>
      <c r="CL103" s="119"/>
      <c r="CM103" s="116"/>
      <c r="CN103" s="109">
        <f t="shared" ref="CN103:CN122" si="317">CM103*CL103*$E103</f>
        <v>0</v>
      </c>
      <c r="CO103" s="119"/>
      <c r="CP103" s="116"/>
      <c r="CQ103" s="109">
        <f t="shared" ref="CQ103:CQ122" si="318">CP103*CO103*$E103</f>
        <v>0</v>
      </c>
      <c r="CR103" s="119"/>
      <c r="CS103" s="116"/>
      <c r="CT103" s="109">
        <f t="shared" ref="CT103:CT122" si="319">CS103*CR103*$E103</f>
        <v>0</v>
      </c>
      <c r="CU103" s="119"/>
      <c r="CV103" s="116"/>
      <c r="CW103" s="109">
        <f t="shared" ref="CW103:CW122" si="320">CV103*CU103*$E103</f>
        <v>0</v>
      </c>
      <c r="CX103" s="119"/>
      <c r="CY103" s="116"/>
      <c r="CZ103" s="109">
        <f t="shared" ref="CZ103:CZ122" si="321">CY103*CX103*$E103</f>
        <v>0</v>
      </c>
      <c r="DA103" s="119"/>
      <c r="DB103" s="116"/>
      <c r="DC103" s="109">
        <f t="shared" ref="DC103:DC122" si="322">DB103*DA103*$E103</f>
        <v>0</v>
      </c>
      <c r="DD103" s="119"/>
      <c r="DE103" s="116"/>
      <c r="DF103" s="109">
        <f t="shared" ref="DF103:DF122" si="323">DE103*DD103*$E103</f>
        <v>0</v>
      </c>
      <c r="DG103" s="119"/>
      <c r="DH103" s="116"/>
      <c r="DI103" s="109">
        <f t="shared" ref="DI103:DI122" si="324">DH103*DG103*$E103</f>
        <v>0</v>
      </c>
      <c r="DJ103" s="119"/>
      <c r="DK103" s="116"/>
      <c r="DL103" s="109">
        <f t="shared" ref="DL103:DL122" si="325">DK103*DJ103*$E103</f>
        <v>0</v>
      </c>
      <c r="DM103" s="119"/>
      <c r="DN103" s="116"/>
      <c r="DO103" s="109">
        <f t="shared" ref="DO103:DO122" si="326">DN103*DM103*$E103</f>
        <v>0</v>
      </c>
      <c r="DP103" s="126"/>
      <c r="DQ103" s="110"/>
      <c r="DR103" s="111"/>
      <c r="DS103" s="112">
        <f t="shared" ref="DS103:DS122" si="327">($H$3*H103+$K$3*K103+$N$3*N103+$Q$3*Q103+$T$3*T103+$W$3*W103+$Z$3*Z103+$AC$3*AC103+$AF$3*AF103+$AI$3*AI103+$AL$3*AL103+$AO$3*AO103+$AR$3*AR103+$AU$3*AU103+$AX$3*AX103+$BA$3*BA103+$BD$3*BD103+$BG$3*BG103+$BJ$3*BJ103+$BM$3*BM103+$BP$3*BP103+$BS$3*BS103+$BV$3*BV103+$BY$3*BY103+$CB$3*CB103+$CE$3*CE103+$CH$3*CH103+$CK$3*CK103+$CN$3*CN103+$CQ$3*CQ103+$CT$3*CT103+$CW$3*CW103+$CZ$3*CZ103+$DC$3*DC103+$DF$3*DF103+$DI$3*DI103+$DL$3*DL103+$DO$3*DO103)</f>
        <v>271.52</v>
      </c>
      <c r="DT103" s="113">
        <f t="shared" ref="DT103:DT122" si="328">DS103/$DS$130</f>
        <v>5.4900506378208018E-4</v>
      </c>
    </row>
    <row r="104" spans="2:125" s="86" customFormat="1" ht="15" outlineLevel="1">
      <c r="B104" s="122" t="s">
        <v>293</v>
      </c>
      <c r="C104" s="128" t="s">
        <v>643</v>
      </c>
      <c r="D104" s="129" t="s">
        <v>273</v>
      </c>
      <c r="E104" s="130">
        <v>456</v>
      </c>
      <c r="F104" s="119">
        <f>G21</f>
        <v>11</v>
      </c>
      <c r="G104" s="116">
        <v>0.5</v>
      </c>
      <c r="H104" s="109">
        <f t="shared" ref="H104:H120" si="329">G104*F104*$E104</f>
        <v>2508</v>
      </c>
      <c r="I104" s="119">
        <f>J21</f>
        <v>11</v>
      </c>
      <c r="J104" s="116">
        <v>0.5</v>
      </c>
      <c r="K104" s="109">
        <f t="shared" si="291"/>
        <v>2508</v>
      </c>
      <c r="L104" s="119"/>
      <c r="M104" s="116"/>
      <c r="N104" s="109">
        <f t="shared" ref="N104:N120" si="330">M104*L104*$E104</f>
        <v>0</v>
      </c>
      <c r="O104" s="119"/>
      <c r="P104" s="116"/>
      <c r="Q104" s="109">
        <f t="shared" si="292"/>
        <v>0</v>
      </c>
      <c r="R104" s="119"/>
      <c r="S104" s="116"/>
      <c r="T104" s="109">
        <f t="shared" si="293"/>
        <v>0</v>
      </c>
      <c r="U104" s="119"/>
      <c r="V104" s="116"/>
      <c r="W104" s="109">
        <f t="shared" si="294"/>
        <v>0</v>
      </c>
      <c r="X104" s="119"/>
      <c r="Y104" s="116"/>
      <c r="Z104" s="109">
        <f t="shared" si="295"/>
        <v>0</v>
      </c>
      <c r="AA104" s="119"/>
      <c r="AB104" s="116"/>
      <c r="AC104" s="109">
        <f t="shared" si="296"/>
        <v>0</v>
      </c>
      <c r="AD104" s="119"/>
      <c r="AE104" s="116"/>
      <c r="AF104" s="109">
        <f t="shared" si="297"/>
        <v>0</v>
      </c>
      <c r="AG104" s="119"/>
      <c r="AH104" s="116"/>
      <c r="AI104" s="109">
        <f t="shared" si="298"/>
        <v>0</v>
      </c>
      <c r="AJ104" s="119"/>
      <c r="AK104" s="116"/>
      <c r="AL104" s="109">
        <f t="shared" si="299"/>
        <v>0</v>
      </c>
      <c r="AM104" s="119"/>
      <c r="AN104" s="116"/>
      <c r="AO104" s="109">
        <f t="shared" si="300"/>
        <v>0</v>
      </c>
      <c r="AP104" s="119"/>
      <c r="AQ104" s="116"/>
      <c r="AR104" s="109">
        <f t="shared" si="301"/>
        <v>0</v>
      </c>
      <c r="AS104" s="119"/>
      <c r="AT104" s="116"/>
      <c r="AU104" s="109">
        <f t="shared" si="302"/>
        <v>0</v>
      </c>
      <c r="AV104" s="119"/>
      <c r="AW104" s="116"/>
      <c r="AX104" s="109">
        <f t="shared" si="303"/>
        <v>0</v>
      </c>
      <c r="AY104" s="119"/>
      <c r="AZ104" s="116"/>
      <c r="BA104" s="109">
        <f t="shared" si="304"/>
        <v>0</v>
      </c>
      <c r="BB104" s="119"/>
      <c r="BC104" s="116"/>
      <c r="BD104" s="109">
        <f t="shared" si="305"/>
        <v>0</v>
      </c>
      <c r="BE104" s="119"/>
      <c r="BF104" s="116"/>
      <c r="BG104" s="109">
        <f t="shared" si="306"/>
        <v>0</v>
      </c>
      <c r="BH104" s="119"/>
      <c r="BI104" s="116"/>
      <c r="BJ104" s="109">
        <f t="shared" si="307"/>
        <v>0</v>
      </c>
      <c r="BK104" s="119"/>
      <c r="BL104" s="116"/>
      <c r="BM104" s="109">
        <f t="shared" si="308"/>
        <v>0</v>
      </c>
      <c r="BN104" s="119"/>
      <c r="BO104" s="116"/>
      <c r="BP104" s="109">
        <f t="shared" si="309"/>
        <v>0</v>
      </c>
      <c r="BQ104" s="119"/>
      <c r="BR104" s="116"/>
      <c r="BS104" s="109">
        <f t="shared" si="310"/>
        <v>0</v>
      </c>
      <c r="BT104" s="119"/>
      <c r="BU104" s="116"/>
      <c r="BV104" s="109">
        <f t="shared" si="311"/>
        <v>0</v>
      </c>
      <c r="BW104" s="119"/>
      <c r="BX104" s="116"/>
      <c r="BY104" s="109">
        <f t="shared" si="312"/>
        <v>0</v>
      </c>
      <c r="BZ104" s="119"/>
      <c r="CA104" s="116"/>
      <c r="CB104" s="109">
        <f t="shared" si="313"/>
        <v>0</v>
      </c>
      <c r="CC104" s="119"/>
      <c r="CD104" s="116"/>
      <c r="CE104" s="109">
        <f t="shared" si="314"/>
        <v>0</v>
      </c>
      <c r="CF104" s="119"/>
      <c r="CG104" s="116"/>
      <c r="CH104" s="109">
        <f t="shared" si="315"/>
        <v>0</v>
      </c>
      <c r="CI104" s="119"/>
      <c r="CJ104" s="116"/>
      <c r="CK104" s="109">
        <f t="shared" si="316"/>
        <v>0</v>
      </c>
      <c r="CL104" s="119"/>
      <c r="CM104" s="116"/>
      <c r="CN104" s="109">
        <f t="shared" si="317"/>
        <v>0</v>
      </c>
      <c r="CO104" s="119"/>
      <c r="CP104" s="116"/>
      <c r="CQ104" s="109">
        <f t="shared" si="318"/>
        <v>0</v>
      </c>
      <c r="CR104" s="119"/>
      <c r="CS104" s="116"/>
      <c r="CT104" s="109">
        <f t="shared" si="319"/>
        <v>0</v>
      </c>
      <c r="CU104" s="119"/>
      <c r="CV104" s="116"/>
      <c r="CW104" s="109">
        <f t="shared" si="320"/>
        <v>0</v>
      </c>
      <c r="CX104" s="119"/>
      <c r="CY104" s="116"/>
      <c r="CZ104" s="109">
        <f t="shared" si="321"/>
        <v>0</v>
      </c>
      <c r="DA104" s="119"/>
      <c r="DB104" s="116"/>
      <c r="DC104" s="109">
        <f t="shared" si="322"/>
        <v>0</v>
      </c>
      <c r="DD104" s="119"/>
      <c r="DE104" s="116"/>
      <c r="DF104" s="109">
        <f t="shared" si="323"/>
        <v>0</v>
      </c>
      <c r="DG104" s="119"/>
      <c r="DH104" s="116"/>
      <c r="DI104" s="109">
        <f t="shared" si="324"/>
        <v>0</v>
      </c>
      <c r="DJ104" s="119"/>
      <c r="DK104" s="116"/>
      <c r="DL104" s="109">
        <f t="shared" si="325"/>
        <v>0</v>
      </c>
      <c r="DM104" s="119"/>
      <c r="DN104" s="116"/>
      <c r="DO104" s="109">
        <f t="shared" si="326"/>
        <v>0</v>
      </c>
      <c r="DP104" s="126"/>
      <c r="DQ104" s="110"/>
      <c r="DR104" s="111"/>
      <c r="DS104" s="112">
        <f t="shared" si="327"/>
        <v>5016</v>
      </c>
      <c r="DT104" s="113">
        <f t="shared" si="328"/>
        <v>1.0142197259615918E-2</v>
      </c>
    </row>
    <row r="105" spans="2:125" s="86" customFormat="1" ht="15" outlineLevel="1">
      <c r="B105" s="122" t="s">
        <v>294</v>
      </c>
      <c r="C105" s="128" t="s">
        <v>295</v>
      </c>
      <c r="D105" s="129" t="s">
        <v>273</v>
      </c>
      <c r="E105" s="130">
        <v>426</v>
      </c>
      <c r="F105" s="119">
        <f>G21</f>
        <v>11</v>
      </c>
      <c r="G105" s="116">
        <v>1</v>
      </c>
      <c r="H105" s="132">
        <f>G105*F105*$E105</f>
        <v>4686</v>
      </c>
      <c r="I105" s="119"/>
      <c r="J105" s="116"/>
      <c r="K105" s="132">
        <f t="shared" si="291"/>
        <v>0</v>
      </c>
      <c r="L105" s="119"/>
      <c r="M105" s="116"/>
      <c r="N105" s="132">
        <f>M105*L105*$E105</f>
        <v>0</v>
      </c>
      <c r="O105" s="119"/>
      <c r="P105" s="116"/>
      <c r="Q105" s="132">
        <f t="shared" si="292"/>
        <v>0</v>
      </c>
      <c r="R105" s="119"/>
      <c r="S105" s="116"/>
      <c r="T105" s="132">
        <f t="shared" si="293"/>
        <v>0</v>
      </c>
      <c r="U105" s="119"/>
      <c r="V105" s="116"/>
      <c r="W105" s="132">
        <f t="shared" si="294"/>
        <v>0</v>
      </c>
      <c r="X105" s="119"/>
      <c r="Y105" s="116"/>
      <c r="Z105" s="132">
        <f t="shared" si="295"/>
        <v>0</v>
      </c>
      <c r="AA105" s="119"/>
      <c r="AB105" s="116"/>
      <c r="AC105" s="132">
        <f t="shared" si="296"/>
        <v>0</v>
      </c>
      <c r="AD105" s="119"/>
      <c r="AE105" s="116"/>
      <c r="AF105" s="132">
        <f t="shared" si="297"/>
        <v>0</v>
      </c>
      <c r="AG105" s="119"/>
      <c r="AH105" s="116"/>
      <c r="AI105" s="132">
        <f t="shared" si="298"/>
        <v>0</v>
      </c>
      <c r="AJ105" s="119"/>
      <c r="AK105" s="116"/>
      <c r="AL105" s="132">
        <f t="shared" si="299"/>
        <v>0</v>
      </c>
      <c r="AM105" s="119"/>
      <c r="AN105" s="116"/>
      <c r="AO105" s="132">
        <f t="shared" si="300"/>
        <v>0</v>
      </c>
      <c r="AP105" s="119"/>
      <c r="AQ105" s="116"/>
      <c r="AR105" s="132">
        <f t="shared" si="301"/>
        <v>0</v>
      </c>
      <c r="AS105" s="119"/>
      <c r="AT105" s="116"/>
      <c r="AU105" s="132">
        <f t="shared" si="302"/>
        <v>0</v>
      </c>
      <c r="AV105" s="119"/>
      <c r="AW105" s="116"/>
      <c r="AX105" s="132">
        <f t="shared" si="303"/>
        <v>0</v>
      </c>
      <c r="AY105" s="119"/>
      <c r="AZ105" s="116"/>
      <c r="BA105" s="132">
        <f t="shared" si="304"/>
        <v>0</v>
      </c>
      <c r="BB105" s="119"/>
      <c r="BC105" s="116"/>
      <c r="BD105" s="132">
        <f t="shared" si="305"/>
        <v>0</v>
      </c>
      <c r="BE105" s="119"/>
      <c r="BF105" s="116"/>
      <c r="BG105" s="132">
        <f t="shared" si="306"/>
        <v>0</v>
      </c>
      <c r="BH105" s="119"/>
      <c r="BI105" s="116"/>
      <c r="BJ105" s="132">
        <f t="shared" si="307"/>
        <v>0</v>
      </c>
      <c r="BK105" s="119"/>
      <c r="BL105" s="116"/>
      <c r="BM105" s="132">
        <f t="shared" si="308"/>
        <v>0</v>
      </c>
      <c r="BN105" s="119"/>
      <c r="BO105" s="116"/>
      <c r="BP105" s="132">
        <f t="shared" si="309"/>
        <v>0</v>
      </c>
      <c r="BQ105" s="119"/>
      <c r="BR105" s="116"/>
      <c r="BS105" s="132">
        <f t="shared" si="310"/>
        <v>0</v>
      </c>
      <c r="BT105" s="119"/>
      <c r="BU105" s="116"/>
      <c r="BV105" s="132">
        <f t="shared" si="311"/>
        <v>0</v>
      </c>
      <c r="BW105" s="119"/>
      <c r="BX105" s="116"/>
      <c r="BY105" s="132">
        <f t="shared" si="312"/>
        <v>0</v>
      </c>
      <c r="BZ105" s="119"/>
      <c r="CA105" s="116"/>
      <c r="CB105" s="132">
        <f t="shared" si="313"/>
        <v>0</v>
      </c>
      <c r="CC105" s="119"/>
      <c r="CD105" s="116"/>
      <c r="CE105" s="132">
        <f t="shared" si="314"/>
        <v>0</v>
      </c>
      <c r="CF105" s="119"/>
      <c r="CG105" s="116"/>
      <c r="CH105" s="132">
        <f t="shared" si="315"/>
        <v>0</v>
      </c>
      <c r="CI105" s="119"/>
      <c r="CJ105" s="116"/>
      <c r="CK105" s="132">
        <f t="shared" si="316"/>
        <v>0</v>
      </c>
      <c r="CL105" s="119"/>
      <c r="CM105" s="116"/>
      <c r="CN105" s="132">
        <f t="shared" si="317"/>
        <v>0</v>
      </c>
      <c r="CO105" s="119"/>
      <c r="CP105" s="116"/>
      <c r="CQ105" s="132">
        <f t="shared" si="318"/>
        <v>0</v>
      </c>
      <c r="CR105" s="119"/>
      <c r="CS105" s="116"/>
      <c r="CT105" s="132">
        <f t="shared" si="319"/>
        <v>0</v>
      </c>
      <c r="CU105" s="119"/>
      <c r="CV105" s="116"/>
      <c r="CW105" s="132">
        <f t="shared" si="320"/>
        <v>0</v>
      </c>
      <c r="CX105" s="119"/>
      <c r="CY105" s="116"/>
      <c r="CZ105" s="132">
        <f t="shared" si="321"/>
        <v>0</v>
      </c>
      <c r="DA105" s="119"/>
      <c r="DB105" s="116"/>
      <c r="DC105" s="132">
        <f t="shared" si="322"/>
        <v>0</v>
      </c>
      <c r="DD105" s="119"/>
      <c r="DE105" s="116"/>
      <c r="DF105" s="132">
        <f t="shared" si="323"/>
        <v>0</v>
      </c>
      <c r="DG105" s="119"/>
      <c r="DH105" s="116"/>
      <c r="DI105" s="132">
        <f t="shared" si="324"/>
        <v>0</v>
      </c>
      <c r="DJ105" s="119"/>
      <c r="DK105" s="116"/>
      <c r="DL105" s="132">
        <f t="shared" si="325"/>
        <v>0</v>
      </c>
      <c r="DM105" s="119"/>
      <c r="DN105" s="116"/>
      <c r="DO105" s="132">
        <f t="shared" si="326"/>
        <v>0</v>
      </c>
      <c r="DP105" s="126"/>
      <c r="DQ105" s="110"/>
      <c r="DR105" s="111"/>
      <c r="DS105" s="112">
        <f t="shared" si="327"/>
        <v>4686</v>
      </c>
      <c r="DT105" s="113">
        <f t="shared" si="328"/>
        <v>9.4749474399043448E-3</v>
      </c>
    </row>
    <row r="106" spans="2:125" s="86" customFormat="1" ht="15" outlineLevel="1">
      <c r="B106" s="122" t="s">
        <v>296</v>
      </c>
      <c r="C106" s="128" t="s">
        <v>644</v>
      </c>
      <c r="D106" s="129" t="s">
        <v>214</v>
      </c>
      <c r="E106" s="130">
        <v>254.1</v>
      </c>
      <c r="F106" s="119">
        <f>G21</f>
        <v>11</v>
      </c>
      <c r="G106" s="116">
        <f t="shared" ref="G106:G111" si="331">$G$4/22</f>
        <v>0.90909090909090906</v>
      </c>
      <c r="H106" s="109">
        <f>G106*F106*$E106</f>
        <v>2541</v>
      </c>
      <c r="I106" s="119">
        <f>J21</f>
        <v>11</v>
      </c>
      <c r="J106" s="116">
        <f t="shared" ref="J106:J111" si="332">J$4/22</f>
        <v>0.45454545454545453</v>
      </c>
      <c r="K106" s="109">
        <f t="shared" si="291"/>
        <v>1270.5</v>
      </c>
      <c r="L106" s="119"/>
      <c r="M106" s="116"/>
      <c r="N106" s="109">
        <f>M106*L106*$E106</f>
        <v>0</v>
      </c>
      <c r="O106" s="119"/>
      <c r="P106" s="116"/>
      <c r="Q106" s="109">
        <f t="shared" si="292"/>
        <v>0</v>
      </c>
      <c r="R106" s="119"/>
      <c r="S106" s="116"/>
      <c r="T106" s="109">
        <f t="shared" si="293"/>
        <v>0</v>
      </c>
      <c r="U106" s="119"/>
      <c r="V106" s="116"/>
      <c r="W106" s="109">
        <f t="shared" si="294"/>
        <v>0</v>
      </c>
      <c r="X106" s="119"/>
      <c r="Y106" s="116"/>
      <c r="Z106" s="109">
        <f t="shared" si="295"/>
        <v>0</v>
      </c>
      <c r="AA106" s="119"/>
      <c r="AB106" s="116"/>
      <c r="AC106" s="109">
        <f t="shared" si="296"/>
        <v>0</v>
      </c>
      <c r="AD106" s="119"/>
      <c r="AE106" s="116"/>
      <c r="AF106" s="109">
        <f t="shared" si="297"/>
        <v>0</v>
      </c>
      <c r="AG106" s="119"/>
      <c r="AH106" s="116"/>
      <c r="AI106" s="109">
        <f t="shared" si="298"/>
        <v>0</v>
      </c>
      <c r="AJ106" s="119"/>
      <c r="AK106" s="116"/>
      <c r="AL106" s="109">
        <f t="shared" si="299"/>
        <v>0</v>
      </c>
      <c r="AM106" s="119"/>
      <c r="AN106" s="116"/>
      <c r="AO106" s="109">
        <f t="shared" si="300"/>
        <v>0</v>
      </c>
      <c r="AP106" s="119"/>
      <c r="AQ106" s="116"/>
      <c r="AR106" s="109">
        <f t="shared" si="301"/>
        <v>0</v>
      </c>
      <c r="AS106" s="119"/>
      <c r="AT106" s="116"/>
      <c r="AU106" s="109">
        <f t="shared" si="302"/>
        <v>0</v>
      </c>
      <c r="AV106" s="119"/>
      <c r="AW106" s="116"/>
      <c r="AX106" s="109">
        <f t="shared" si="303"/>
        <v>0</v>
      </c>
      <c r="AY106" s="119"/>
      <c r="AZ106" s="116"/>
      <c r="BA106" s="109">
        <f t="shared" si="304"/>
        <v>0</v>
      </c>
      <c r="BB106" s="119"/>
      <c r="BC106" s="116"/>
      <c r="BD106" s="109">
        <f t="shared" si="305"/>
        <v>0</v>
      </c>
      <c r="BE106" s="119"/>
      <c r="BF106" s="116"/>
      <c r="BG106" s="109">
        <f t="shared" si="306"/>
        <v>0</v>
      </c>
      <c r="BH106" s="119">
        <f>$BH$21</f>
        <v>0.36</v>
      </c>
      <c r="BI106" s="116">
        <f>1/176</f>
        <v>5.681818181818182E-3</v>
      </c>
      <c r="BJ106" s="109">
        <f t="shared" si="307"/>
        <v>0.51975000000000005</v>
      </c>
      <c r="BK106" s="119">
        <f>$BK$21</f>
        <v>3.7800000000000002</v>
      </c>
      <c r="BL106" s="116">
        <f>1/176</f>
        <v>5.681818181818182E-3</v>
      </c>
      <c r="BM106" s="109">
        <f t="shared" si="308"/>
        <v>5.4573750000000008</v>
      </c>
      <c r="BN106" s="119">
        <f>$BN$21</f>
        <v>176.45</v>
      </c>
      <c r="BO106" s="116">
        <f>1/176</f>
        <v>5.681818181818182E-3</v>
      </c>
      <c r="BP106" s="109">
        <f t="shared" si="309"/>
        <v>254.74968749999996</v>
      </c>
      <c r="BQ106" s="119">
        <f>$BQ$21</f>
        <v>528</v>
      </c>
      <c r="BR106" s="116">
        <f>1/176</f>
        <v>5.681818181818182E-3</v>
      </c>
      <c r="BS106" s="109">
        <f t="shared" si="310"/>
        <v>762.3</v>
      </c>
      <c r="BT106" s="119">
        <f>$BT$21</f>
        <v>24</v>
      </c>
      <c r="BU106" s="116">
        <f>1/176</f>
        <v>5.681818181818182E-3</v>
      </c>
      <c r="BV106" s="109">
        <f t="shared" si="311"/>
        <v>34.65</v>
      </c>
      <c r="BW106" s="119">
        <f>$BW$21</f>
        <v>15.360000000000001</v>
      </c>
      <c r="BX106" s="116">
        <f>1/176</f>
        <v>5.681818181818182E-3</v>
      </c>
      <c r="BY106" s="109">
        <f t="shared" si="312"/>
        <v>22.176000000000002</v>
      </c>
      <c r="BZ106" s="119">
        <f>$BZ$21</f>
        <v>26.880000000000003</v>
      </c>
      <c r="CA106" s="116">
        <f>1/176</f>
        <v>5.681818181818182E-3</v>
      </c>
      <c r="CB106" s="109">
        <f t="shared" si="313"/>
        <v>38.808</v>
      </c>
      <c r="CC106" s="119">
        <f>$CC$21</f>
        <v>4.8</v>
      </c>
      <c r="CD106" s="116">
        <f>1/176</f>
        <v>5.681818181818182E-3</v>
      </c>
      <c r="CE106" s="109">
        <f t="shared" si="314"/>
        <v>6.93</v>
      </c>
      <c r="CF106" s="119">
        <f>$CF$21</f>
        <v>7.2</v>
      </c>
      <c r="CG106" s="116">
        <f>1/176</f>
        <v>5.681818181818182E-3</v>
      </c>
      <c r="CH106" s="109">
        <f t="shared" si="315"/>
        <v>10.395</v>
      </c>
      <c r="CI106" s="119">
        <f>$CI$21</f>
        <v>2.4</v>
      </c>
      <c r="CJ106" s="116">
        <f>1/176</f>
        <v>5.681818181818182E-3</v>
      </c>
      <c r="CK106" s="109">
        <f t="shared" si="316"/>
        <v>3.4649999999999999</v>
      </c>
      <c r="CL106" s="119">
        <f>$CL$21</f>
        <v>414.4</v>
      </c>
      <c r="CM106" s="116">
        <f>1/176</f>
        <v>5.681818181818182E-3</v>
      </c>
      <c r="CN106" s="109">
        <f t="shared" si="317"/>
        <v>598.29</v>
      </c>
      <c r="CO106" s="119">
        <f>$CO$21</f>
        <v>168</v>
      </c>
      <c r="CP106" s="116">
        <f>1/176</f>
        <v>5.681818181818182E-3</v>
      </c>
      <c r="CQ106" s="109">
        <f t="shared" si="318"/>
        <v>242.55</v>
      </c>
      <c r="CR106" s="119"/>
      <c r="CS106" s="116"/>
      <c r="CT106" s="109">
        <f t="shared" si="319"/>
        <v>0</v>
      </c>
      <c r="CU106" s="119"/>
      <c r="CV106" s="116"/>
      <c r="CW106" s="109">
        <f t="shared" si="320"/>
        <v>0</v>
      </c>
      <c r="CX106" s="119"/>
      <c r="CY106" s="116"/>
      <c r="CZ106" s="109">
        <f t="shared" si="321"/>
        <v>0</v>
      </c>
      <c r="DA106" s="119"/>
      <c r="DB106" s="116"/>
      <c r="DC106" s="109">
        <f t="shared" si="322"/>
        <v>0</v>
      </c>
      <c r="DD106" s="119">
        <f>$DD$21</f>
        <v>112</v>
      </c>
      <c r="DE106" s="116">
        <f>1/176</f>
        <v>5.681818181818182E-3</v>
      </c>
      <c r="DF106" s="109">
        <f t="shared" si="323"/>
        <v>161.69999999999999</v>
      </c>
      <c r="DG106" s="119">
        <f>$DG$21</f>
        <v>84</v>
      </c>
      <c r="DH106" s="116">
        <f>1/176</f>
        <v>5.681818181818182E-3</v>
      </c>
      <c r="DI106" s="109">
        <f t="shared" si="324"/>
        <v>121.27500000000001</v>
      </c>
      <c r="DJ106" s="119">
        <f>$DJ$21</f>
        <v>280</v>
      </c>
      <c r="DK106" s="116">
        <f>1/176</f>
        <v>5.681818181818182E-3</v>
      </c>
      <c r="DL106" s="109">
        <f t="shared" si="325"/>
        <v>404.25</v>
      </c>
      <c r="DM106" s="119">
        <f>$DM$21</f>
        <v>168</v>
      </c>
      <c r="DN106" s="116">
        <f>1/176</f>
        <v>5.681818181818182E-3</v>
      </c>
      <c r="DO106" s="109">
        <f t="shared" si="326"/>
        <v>242.55</v>
      </c>
      <c r="DP106" s="126"/>
      <c r="DQ106" s="110"/>
      <c r="DR106" s="111"/>
      <c r="DS106" s="112">
        <f t="shared" si="327"/>
        <v>7459.0910625000006</v>
      </c>
      <c r="DT106" s="113">
        <f t="shared" si="328"/>
        <v>1.5082052020197986E-2</v>
      </c>
    </row>
    <row r="107" spans="2:125" s="86" customFormat="1" ht="15" outlineLevel="1">
      <c r="B107" s="122" t="s">
        <v>297</v>
      </c>
      <c r="C107" s="128" t="s">
        <v>645</v>
      </c>
      <c r="D107" s="129" t="s">
        <v>214</v>
      </c>
      <c r="E107" s="130">
        <v>326.13</v>
      </c>
      <c r="F107" s="119">
        <f>G21</f>
        <v>11</v>
      </c>
      <c r="G107" s="116">
        <f t="shared" si="331"/>
        <v>0.90909090909090906</v>
      </c>
      <c r="H107" s="109">
        <f>G107*F107*$E107</f>
        <v>3261.3</v>
      </c>
      <c r="I107" s="119">
        <f>J21</f>
        <v>11</v>
      </c>
      <c r="J107" s="116">
        <f t="shared" si="332"/>
        <v>0.45454545454545453</v>
      </c>
      <c r="K107" s="109">
        <f t="shared" si="291"/>
        <v>1630.65</v>
      </c>
      <c r="L107" s="119"/>
      <c r="M107" s="116"/>
      <c r="N107" s="109">
        <f>M107*L107*$E107</f>
        <v>0</v>
      </c>
      <c r="O107" s="119"/>
      <c r="P107" s="116"/>
      <c r="Q107" s="109">
        <f t="shared" si="292"/>
        <v>0</v>
      </c>
      <c r="R107" s="119"/>
      <c r="S107" s="116"/>
      <c r="T107" s="109">
        <f t="shared" si="293"/>
        <v>0</v>
      </c>
      <c r="U107" s="119"/>
      <c r="V107" s="116"/>
      <c r="W107" s="109">
        <f t="shared" si="294"/>
        <v>0</v>
      </c>
      <c r="X107" s="119"/>
      <c r="Y107" s="116"/>
      <c r="Z107" s="109">
        <f t="shared" si="295"/>
        <v>0</v>
      </c>
      <c r="AA107" s="119"/>
      <c r="AB107" s="116"/>
      <c r="AC107" s="109">
        <f t="shared" si="296"/>
        <v>0</v>
      </c>
      <c r="AD107" s="119"/>
      <c r="AE107" s="116"/>
      <c r="AF107" s="109">
        <f t="shared" si="297"/>
        <v>0</v>
      </c>
      <c r="AG107" s="119"/>
      <c r="AH107" s="116"/>
      <c r="AI107" s="109">
        <f t="shared" si="298"/>
        <v>0</v>
      </c>
      <c r="AJ107" s="119"/>
      <c r="AK107" s="116"/>
      <c r="AL107" s="109">
        <f t="shared" si="299"/>
        <v>0</v>
      </c>
      <c r="AM107" s="119"/>
      <c r="AN107" s="116"/>
      <c r="AO107" s="109">
        <f t="shared" si="300"/>
        <v>0</v>
      </c>
      <c r="AP107" s="119"/>
      <c r="AQ107" s="116"/>
      <c r="AR107" s="109">
        <f t="shared" si="301"/>
        <v>0</v>
      </c>
      <c r="AS107" s="119"/>
      <c r="AT107" s="116"/>
      <c r="AU107" s="109">
        <f t="shared" si="302"/>
        <v>0</v>
      </c>
      <c r="AV107" s="119"/>
      <c r="AW107" s="116"/>
      <c r="AX107" s="109">
        <f t="shared" si="303"/>
        <v>0</v>
      </c>
      <c r="AY107" s="119"/>
      <c r="AZ107" s="116"/>
      <c r="BA107" s="109">
        <f t="shared" si="304"/>
        <v>0</v>
      </c>
      <c r="BB107" s="119"/>
      <c r="BC107" s="116"/>
      <c r="BD107" s="109">
        <f t="shared" si="305"/>
        <v>0</v>
      </c>
      <c r="BE107" s="119"/>
      <c r="BF107" s="116"/>
      <c r="BG107" s="109">
        <f t="shared" si="306"/>
        <v>0</v>
      </c>
      <c r="BH107" s="119">
        <f>$BH$21</f>
        <v>0.36</v>
      </c>
      <c r="BI107" s="116">
        <f>1/176</f>
        <v>5.681818181818182E-3</v>
      </c>
      <c r="BJ107" s="109">
        <f t="shared" si="307"/>
        <v>0.66708409090909093</v>
      </c>
      <c r="BK107" s="119">
        <f>$BK$21</f>
        <v>3.7800000000000002</v>
      </c>
      <c r="BL107" s="116">
        <f>1/176</f>
        <v>5.681818181818182E-3</v>
      </c>
      <c r="BM107" s="109">
        <f t="shared" si="308"/>
        <v>7.0043829545454557</v>
      </c>
      <c r="BN107" s="119">
        <f>$BN$21</f>
        <v>176.45</v>
      </c>
      <c r="BO107" s="116">
        <f>1/176</f>
        <v>5.681818181818182E-3</v>
      </c>
      <c r="BP107" s="109">
        <f t="shared" si="309"/>
        <v>326.96385511363633</v>
      </c>
      <c r="BQ107" s="119">
        <f>$BQ$21</f>
        <v>528</v>
      </c>
      <c r="BR107" s="116">
        <f>1/176</f>
        <v>5.681818181818182E-3</v>
      </c>
      <c r="BS107" s="109">
        <f t="shared" si="310"/>
        <v>978.39</v>
      </c>
      <c r="BT107" s="119">
        <f>$BT$21</f>
        <v>24</v>
      </c>
      <c r="BU107" s="116">
        <f>1/176</f>
        <v>5.681818181818182E-3</v>
      </c>
      <c r="BV107" s="109">
        <f t="shared" si="311"/>
        <v>44.472272727272724</v>
      </c>
      <c r="BW107" s="119">
        <f>$BW$21</f>
        <v>15.360000000000001</v>
      </c>
      <c r="BX107" s="116">
        <f>1/176</f>
        <v>5.681818181818182E-3</v>
      </c>
      <c r="BY107" s="109">
        <f t="shared" si="312"/>
        <v>28.462254545454549</v>
      </c>
      <c r="BZ107" s="119">
        <f>$BZ$21</f>
        <v>26.880000000000003</v>
      </c>
      <c r="CA107" s="116">
        <f>1/176</f>
        <v>5.681818181818182E-3</v>
      </c>
      <c r="CB107" s="109">
        <f t="shared" si="313"/>
        <v>49.808945454545459</v>
      </c>
      <c r="CC107" s="119">
        <f>$CC$21</f>
        <v>4.8</v>
      </c>
      <c r="CD107" s="116">
        <f>1/176</f>
        <v>5.681818181818182E-3</v>
      </c>
      <c r="CE107" s="109">
        <f t="shared" si="314"/>
        <v>8.8944545454545452</v>
      </c>
      <c r="CF107" s="119">
        <f>$CF$21</f>
        <v>7.2</v>
      </c>
      <c r="CG107" s="116">
        <f>1/176</f>
        <v>5.681818181818182E-3</v>
      </c>
      <c r="CH107" s="109">
        <f t="shared" si="315"/>
        <v>13.341681818181819</v>
      </c>
      <c r="CI107" s="119">
        <f>$CI$21</f>
        <v>2.4</v>
      </c>
      <c r="CJ107" s="116">
        <f>1/176</f>
        <v>5.681818181818182E-3</v>
      </c>
      <c r="CK107" s="109">
        <f t="shared" si="316"/>
        <v>4.4472272727272726</v>
      </c>
      <c r="CL107" s="119">
        <f>$CL$21</f>
        <v>414.4</v>
      </c>
      <c r="CM107" s="116">
        <f>1/176</f>
        <v>5.681818181818182E-3</v>
      </c>
      <c r="CN107" s="109">
        <f t="shared" si="317"/>
        <v>767.88790909090903</v>
      </c>
      <c r="CO107" s="119">
        <f>$CO$21</f>
        <v>168</v>
      </c>
      <c r="CP107" s="116">
        <f>1/176</f>
        <v>5.681818181818182E-3</v>
      </c>
      <c r="CQ107" s="109">
        <f t="shared" si="318"/>
        <v>311.3059090909091</v>
      </c>
      <c r="CR107" s="119"/>
      <c r="CS107" s="116"/>
      <c r="CT107" s="109">
        <f t="shared" si="319"/>
        <v>0</v>
      </c>
      <c r="CU107" s="119"/>
      <c r="CV107" s="116"/>
      <c r="CW107" s="109">
        <f t="shared" si="320"/>
        <v>0</v>
      </c>
      <c r="CX107" s="119"/>
      <c r="CY107" s="116"/>
      <c r="CZ107" s="109">
        <f t="shared" si="321"/>
        <v>0</v>
      </c>
      <c r="DA107" s="119"/>
      <c r="DB107" s="116"/>
      <c r="DC107" s="109">
        <f t="shared" si="322"/>
        <v>0</v>
      </c>
      <c r="DD107" s="119">
        <f>$DD$21</f>
        <v>112</v>
      </c>
      <c r="DE107" s="116">
        <f>1/176</f>
        <v>5.681818181818182E-3</v>
      </c>
      <c r="DF107" s="109">
        <f t="shared" si="323"/>
        <v>207.53727272727272</v>
      </c>
      <c r="DG107" s="119">
        <f>$DG$21</f>
        <v>84</v>
      </c>
      <c r="DH107" s="116">
        <f>1/176</f>
        <v>5.681818181818182E-3</v>
      </c>
      <c r="DI107" s="109">
        <f t="shared" si="324"/>
        <v>155.65295454545455</v>
      </c>
      <c r="DJ107" s="119">
        <f>$DJ$21</f>
        <v>280</v>
      </c>
      <c r="DK107" s="116">
        <f>1/176</f>
        <v>5.681818181818182E-3</v>
      </c>
      <c r="DL107" s="109">
        <f t="shared" si="325"/>
        <v>518.84318181818185</v>
      </c>
      <c r="DM107" s="119">
        <f>$DM$21</f>
        <v>168</v>
      </c>
      <c r="DN107" s="116">
        <f>1/176</f>
        <v>5.681818181818182E-3</v>
      </c>
      <c r="DO107" s="109">
        <f t="shared" si="326"/>
        <v>311.3059090909091</v>
      </c>
      <c r="DP107" s="126"/>
      <c r="DQ107" s="110"/>
      <c r="DR107" s="111"/>
      <c r="DS107" s="112">
        <f t="shared" si="327"/>
        <v>9573.527619886363</v>
      </c>
      <c r="DT107" s="113">
        <f t="shared" si="328"/>
        <v>1.9357377510221048E-2</v>
      </c>
    </row>
    <row r="108" spans="2:125" s="86" customFormat="1" ht="15" outlineLevel="1">
      <c r="B108" s="122" t="s">
        <v>298</v>
      </c>
      <c r="C108" s="128" t="s">
        <v>646</v>
      </c>
      <c r="D108" s="129" t="s">
        <v>214</v>
      </c>
      <c r="E108" s="130">
        <v>12.55</v>
      </c>
      <c r="F108" s="119">
        <f>G21</f>
        <v>11</v>
      </c>
      <c r="G108" s="116">
        <f t="shared" si="331"/>
        <v>0.90909090909090906</v>
      </c>
      <c r="H108" s="109">
        <f>G108*F108*$E108</f>
        <v>125.5</v>
      </c>
      <c r="I108" s="119">
        <f>J21</f>
        <v>11</v>
      </c>
      <c r="J108" s="116">
        <f t="shared" si="332"/>
        <v>0.45454545454545453</v>
      </c>
      <c r="K108" s="109">
        <f t="shared" si="291"/>
        <v>62.75</v>
      </c>
      <c r="L108" s="119"/>
      <c r="M108" s="116"/>
      <c r="N108" s="109">
        <f>M108*L108*$E108</f>
        <v>0</v>
      </c>
      <c r="O108" s="119"/>
      <c r="P108" s="116"/>
      <c r="Q108" s="109">
        <f t="shared" si="292"/>
        <v>0</v>
      </c>
      <c r="R108" s="119"/>
      <c r="S108" s="116"/>
      <c r="T108" s="109">
        <f t="shared" si="293"/>
        <v>0</v>
      </c>
      <c r="U108" s="119"/>
      <c r="V108" s="116"/>
      <c r="W108" s="109">
        <f t="shared" si="294"/>
        <v>0</v>
      </c>
      <c r="X108" s="119"/>
      <c r="Y108" s="116"/>
      <c r="Z108" s="109">
        <f t="shared" si="295"/>
        <v>0</v>
      </c>
      <c r="AA108" s="119"/>
      <c r="AB108" s="116"/>
      <c r="AC108" s="109">
        <f t="shared" si="296"/>
        <v>0</v>
      </c>
      <c r="AD108" s="119"/>
      <c r="AE108" s="116"/>
      <c r="AF108" s="109">
        <f t="shared" si="297"/>
        <v>0</v>
      </c>
      <c r="AG108" s="119"/>
      <c r="AH108" s="116"/>
      <c r="AI108" s="109">
        <f t="shared" si="298"/>
        <v>0</v>
      </c>
      <c r="AJ108" s="119"/>
      <c r="AK108" s="116"/>
      <c r="AL108" s="109">
        <f t="shared" si="299"/>
        <v>0</v>
      </c>
      <c r="AM108" s="119"/>
      <c r="AN108" s="116"/>
      <c r="AO108" s="109">
        <f t="shared" si="300"/>
        <v>0</v>
      </c>
      <c r="AP108" s="119"/>
      <c r="AQ108" s="116"/>
      <c r="AR108" s="109">
        <f t="shared" si="301"/>
        <v>0</v>
      </c>
      <c r="AS108" s="119"/>
      <c r="AT108" s="116"/>
      <c r="AU108" s="109">
        <f t="shared" si="302"/>
        <v>0</v>
      </c>
      <c r="AV108" s="119"/>
      <c r="AW108" s="116"/>
      <c r="AX108" s="109">
        <f t="shared" si="303"/>
        <v>0</v>
      </c>
      <c r="AY108" s="119"/>
      <c r="AZ108" s="116"/>
      <c r="BA108" s="109">
        <f t="shared" si="304"/>
        <v>0</v>
      </c>
      <c r="BB108" s="119"/>
      <c r="BC108" s="116"/>
      <c r="BD108" s="109">
        <f t="shared" si="305"/>
        <v>0</v>
      </c>
      <c r="BE108" s="119"/>
      <c r="BF108" s="116"/>
      <c r="BG108" s="109">
        <f t="shared" si="306"/>
        <v>0</v>
      </c>
      <c r="BH108" s="119">
        <f>$BH$21</f>
        <v>0.36</v>
      </c>
      <c r="BI108" s="116">
        <f>1/176</f>
        <v>5.681818181818182E-3</v>
      </c>
      <c r="BJ108" s="109">
        <f t="shared" si="307"/>
        <v>2.5670454545454548E-2</v>
      </c>
      <c r="BK108" s="119">
        <f>$BK$21</f>
        <v>3.7800000000000002</v>
      </c>
      <c r="BL108" s="116">
        <f>1/176</f>
        <v>5.681818181818182E-3</v>
      </c>
      <c r="BM108" s="109">
        <f t="shared" si="308"/>
        <v>0.26953977272727275</v>
      </c>
      <c r="BN108" s="119">
        <f>$BN$21</f>
        <v>176.45</v>
      </c>
      <c r="BO108" s="116">
        <f>1/176</f>
        <v>5.681818181818182E-3</v>
      </c>
      <c r="BP108" s="109">
        <f t="shared" si="309"/>
        <v>12.582088068181818</v>
      </c>
      <c r="BQ108" s="119">
        <f>$BQ$21</f>
        <v>528</v>
      </c>
      <c r="BR108" s="116">
        <f>1/176</f>
        <v>5.681818181818182E-3</v>
      </c>
      <c r="BS108" s="109">
        <f t="shared" si="310"/>
        <v>37.650000000000006</v>
      </c>
      <c r="BT108" s="119">
        <f>$BT$21</f>
        <v>24</v>
      </c>
      <c r="BU108" s="116">
        <f>1/176</f>
        <v>5.681818181818182E-3</v>
      </c>
      <c r="BV108" s="109">
        <f t="shared" si="311"/>
        <v>1.7113636363636364</v>
      </c>
      <c r="BW108" s="119">
        <f>$BW$21</f>
        <v>15.360000000000001</v>
      </c>
      <c r="BX108" s="116">
        <f>1/176</f>
        <v>5.681818181818182E-3</v>
      </c>
      <c r="BY108" s="109">
        <f t="shared" si="312"/>
        <v>1.0952727272727274</v>
      </c>
      <c r="BZ108" s="119">
        <f>$BZ$21</f>
        <v>26.880000000000003</v>
      </c>
      <c r="CA108" s="116">
        <f>1/176</f>
        <v>5.681818181818182E-3</v>
      </c>
      <c r="CB108" s="109">
        <f t="shared" si="313"/>
        <v>1.9167272727272731</v>
      </c>
      <c r="CC108" s="119">
        <f>$CC$21</f>
        <v>4.8</v>
      </c>
      <c r="CD108" s="116">
        <f>1/176</f>
        <v>5.681818181818182E-3</v>
      </c>
      <c r="CE108" s="109">
        <f t="shared" si="314"/>
        <v>0.34227272727272728</v>
      </c>
      <c r="CF108" s="119">
        <f>$CF$21</f>
        <v>7.2</v>
      </c>
      <c r="CG108" s="116">
        <f>1/176</f>
        <v>5.681818181818182E-3</v>
      </c>
      <c r="CH108" s="109">
        <f t="shared" si="315"/>
        <v>0.51340909090909093</v>
      </c>
      <c r="CI108" s="119">
        <f>$CI$21</f>
        <v>2.4</v>
      </c>
      <c r="CJ108" s="116">
        <f>1/176</f>
        <v>5.681818181818182E-3</v>
      </c>
      <c r="CK108" s="109">
        <f t="shared" si="316"/>
        <v>0.17113636363636364</v>
      </c>
      <c r="CL108" s="119">
        <f>$CL$21</f>
        <v>414.4</v>
      </c>
      <c r="CM108" s="116">
        <f>1/176</f>
        <v>5.681818181818182E-3</v>
      </c>
      <c r="CN108" s="109">
        <f t="shared" si="317"/>
        <v>29.549545454545456</v>
      </c>
      <c r="CO108" s="119">
        <f>$CO$21</f>
        <v>168</v>
      </c>
      <c r="CP108" s="116">
        <f>1/176</f>
        <v>5.681818181818182E-3</v>
      </c>
      <c r="CQ108" s="109">
        <f t="shared" si="318"/>
        <v>11.979545454545455</v>
      </c>
      <c r="CR108" s="119"/>
      <c r="CS108" s="116"/>
      <c r="CT108" s="109">
        <f t="shared" si="319"/>
        <v>0</v>
      </c>
      <c r="CU108" s="119"/>
      <c r="CV108" s="116"/>
      <c r="CW108" s="109">
        <f t="shared" si="320"/>
        <v>0</v>
      </c>
      <c r="CX108" s="119"/>
      <c r="CY108" s="116"/>
      <c r="CZ108" s="109">
        <f t="shared" si="321"/>
        <v>0</v>
      </c>
      <c r="DA108" s="119"/>
      <c r="DB108" s="116"/>
      <c r="DC108" s="109">
        <f t="shared" si="322"/>
        <v>0</v>
      </c>
      <c r="DD108" s="119">
        <f>$DD$21</f>
        <v>112</v>
      </c>
      <c r="DE108" s="116">
        <f>1/176</f>
        <v>5.681818181818182E-3</v>
      </c>
      <c r="DF108" s="109">
        <f t="shared" si="323"/>
        <v>7.9863636363636363</v>
      </c>
      <c r="DG108" s="119">
        <f>$DG$21</f>
        <v>84</v>
      </c>
      <c r="DH108" s="116">
        <f>1/176</f>
        <v>5.681818181818182E-3</v>
      </c>
      <c r="DI108" s="109">
        <f t="shared" si="324"/>
        <v>5.9897727272727277</v>
      </c>
      <c r="DJ108" s="119">
        <f>$DJ$21</f>
        <v>280</v>
      </c>
      <c r="DK108" s="116">
        <f>1/176</f>
        <v>5.681818181818182E-3</v>
      </c>
      <c r="DL108" s="109">
        <f t="shared" si="325"/>
        <v>19.965909090909093</v>
      </c>
      <c r="DM108" s="119">
        <f>$DM$21</f>
        <v>168</v>
      </c>
      <c r="DN108" s="116">
        <f>1/176</f>
        <v>5.681818181818182E-3</v>
      </c>
      <c r="DO108" s="109">
        <f t="shared" si="326"/>
        <v>11.979545454545455</v>
      </c>
      <c r="DP108" s="126"/>
      <c r="DQ108" s="110"/>
      <c r="DR108" s="111"/>
      <c r="DS108" s="112">
        <f t="shared" si="327"/>
        <v>368.40453693181826</v>
      </c>
      <c r="DT108" s="113">
        <f t="shared" si="328"/>
        <v>7.4490260863236811E-4</v>
      </c>
    </row>
    <row r="109" spans="2:125" s="86" customFormat="1" ht="15" outlineLevel="1">
      <c r="B109" s="122" t="s">
        <v>299</v>
      </c>
      <c r="C109" s="128" t="s">
        <v>647</v>
      </c>
      <c r="D109" s="129" t="s">
        <v>214</v>
      </c>
      <c r="E109" s="130">
        <v>121</v>
      </c>
      <c r="F109" s="119">
        <f>G21</f>
        <v>11</v>
      </c>
      <c r="G109" s="116">
        <f t="shared" si="331"/>
        <v>0.90909090909090906</v>
      </c>
      <c r="H109" s="109">
        <f t="shared" si="329"/>
        <v>1210</v>
      </c>
      <c r="I109" s="119">
        <f>J21</f>
        <v>11</v>
      </c>
      <c r="J109" s="116">
        <f t="shared" si="332"/>
        <v>0.45454545454545453</v>
      </c>
      <c r="K109" s="109">
        <f t="shared" si="291"/>
        <v>605</v>
      </c>
      <c r="L109" s="119"/>
      <c r="M109" s="116"/>
      <c r="N109" s="109">
        <f t="shared" si="330"/>
        <v>0</v>
      </c>
      <c r="O109" s="119"/>
      <c r="P109" s="116"/>
      <c r="Q109" s="109">
        <f t="shared" si="292"/>
        <v>0</v>
      </c>
      <c r="R109" s="119"/>
      <c r="S109" s="116"/>
      <c r="T109" s="109">
        <f t="shared" si="293"/>
        <v>0</v>
      </c>
      <c r="U109" s="119"/>
      <c r="V109" s="116"/>
      <c r="W109" s="109">
        <f t="shared" si="294"/>
        <v>0</v>
      </c>
      <c r="X109" s="119"/>
      <c r="Y109" s="116"/>
      <c r="Z109" s="109">
        <f t="shared" si="295"/>
        <v>0</v>
      </c>
      <c r="AA109" s="119"/>
      <c r="AB109" s="116"/>
      <c r="AC109" s="109">
        <f t="shared" si="296"/>
        <v>0</v>
      </c>
      <c r="AD109" s="119"/>
      <c r="AE109" s="116"/>
      <c r="AF109" s="109">
        <f t="shared" si="297"/>
        <v>0</v>
      </c>
      <c r="AG109" s="119"/>
      <c r="AH109" s="116"/>
      <c r="AI109" s="109">
        <f t="shared" si="298"/>
        <v>0</v>
      </c>
      <c r="AJ109" s="119"/>
      <c r="AK109" s="116"/>
      <c r="AL109" s="109">
        <f t="shared" si="299"/>
        <v>0</v>
      </c>
      <c r="AM109" s="119"/>
      <c r="AN109" s="116"/>
      <c r="AO109" s="109">
        <f t="shared" si="300"/>
        <v>0</v>
      </c>
      <c r="AP109" s="119"/>
      <c r="AQ109" s="116"/>
      <c r="AR109" s="109">
        <f t="shared" si="301"/>
        <v>0</v>
      </c>
      <c r="AS109" s="119"/>
      <c r="AT109" s="116"/>
      <c r="AU109" s="109">
        <f t="shared" si="302"/>
        <v>0</v>
      </c>
      <c r="AV109" s="119"/>
      <c r="AW109" s="116"/>
      <c r="AX109" s="109">
        <f t="shared" si="303"/>
        <v>0</v>
      </c>
      <c r="AY109" s="119"/>
      <c r="AZ109" s="116"/>
      <c r="BA109" s="109">
        <f t="shared" si="304"/>
        <v>0</v>
      </c>
      <c r="BB109" s="119"/>
      <c r="BC109" s="116"/>
      <c r="BD109" s="109">
        <f t="shared" si="305"/>
        <v>0</v>
      </c>
      <c r="BE109" s="119"/>
      <c r="BF109" s="116"/>
      <c r="BG109" s="109">
        <f t="shared" si="306"/>
        <v>0</v>
      </c>
      <c r="BH109" s="119">
        <f>$BH$21</f>
        <v>0.36</v>
      </c>
      <c r="BI109" s="116">
        <f>1/176</f>
        <v>5.681818181818182E-3</v>
      </c>
      <c r="BJ109" s="109">
        <f t="shared" si="307"/>
        <v>0.24750000000000003</v>
      </c>
      <c r="BK109" s="119">
        <f>$BK$21</f>
        <v>3.7800000000000002</v>
      </c>
      <c r="BL109" s="116">
        <f>1/176</f>
        <v>5.681818181818182E-3</v>
      </c>
      <c r="BM109" s="109">
        <f t="shared" si="308"/>
        <v>2.5987500000000003</v>
      </c>
      <c r="BN109" s="119">
        <f>$BN$21</f>
        <v>176.45</v>
      </c>
      <c r="BO109" s="116">
        <f>1/176</f>
        <v>5.681818181818182E-3</v>
      </c>
      <c r="BP109" s="109">
        <f t="shared" si="309"/>
        <v>121.30937499999999</v>
      </c>
      <c r="BQ109" s="119">
        <f>$BQ$21</f>
        <v>528</v>
      </c>
      <c r="BR109" s="116">
        <f>1/176</f>
        <v>5.681818181818182E-3</v>
      </c>
      <c r="BS109" s="109">
        <f t="shared" si="310"/>
        <v>363</v>
      </c>
      <c r="BT109" s="119">
        <f>$BT$21</f>
        <v>24</v>
      </c>
      <c r="BU109" s="116">
        <f>1/176</f>
        <v>5.681818181818182E-3</v>
      </c>
      <c r="BV109" s="109">
        <f t="shared" si="311"/>
        <v>16.5</v>
      </c>
      <c r="BW109" s="119">
        <f>$BW$21</f>
        <v>15.360000000000001</v>
      </c>
      <c r="BX109" s="116">
        <f>1/176</f>
        <v>5.681818181818182E-3</v>
      </c>
      <c r="BY109" s="109">
        <f t="shared" si="312"/>
        <v>10.56</v>
      </c>
      <c r="BZ109" s="119">
        <f>$BZ$21</f>
        <v>26.880000000000003</v>
      </c>
      <c r="CA109" s="116">
        <f>1/176</f>
        <v>5.681818181818182E-3</v>
      </c>
      <c r="CB109" s="109">
        <f t="shared" si="313"/>
        <v>18.48</v>
      </c>
      <c r="CC109" s="119">
        <f>$CC$21</f>
        <v>4.8</v>
      </c>
      <c r="CD109" s="116">
        <f>1/176</f>
        <v>5.681818181818182E-3</v>
      </c>
      <c r="CE109" s="109">
        <f t="shared" si="314"/>
        <v>3.3</v>
      </c>
      <c r="CF109" s="119">
        <f>$CF$21</f>
        <v>7.2</v>
      </c>
      <c r="CG109" s="116">
        <f>1/176</f>
        <v>5.681818181818182E-3</v>
      </c>
      <c r="CH109" s="109">
        <f t="shared" si="315"/>
        <v>4.95</v>
      </c>
      <c r="CI109" s="119">
        <f>$CI$21</f>
        <v>2.4</v>
      </c>
      <c r="CJ109" s="116">
        <f>1/176</f>
        <v>5.681818181818182E-3</v>
      </c>
      <c r="CK109" s="109">
        <f t="shared" si="316"/>
        <v>1.65</v>
      </c>
      <c r="CL109" s="119">
        <f>$CL$21</f>
        <v>414.4</v>
      </c>
      <c r="CM109" s="116">
        <f>1/176</f>
        <v>5.681818181818182E-3</v>
      </c>
      <c r="CN109" s="109">
        <f t="shared" si="317"/>
        <v>284.89999999999998</v>
      </c>
      <c r="CO109" s="119">
        <f>$CO$21</f>
        <v>168</v>
      </c>
      <c r="CP109" s="116">
        <f>1/176</f>
        <v>5.681818181818182E-3</v>
      </c>
      <c r="CQ109" s="109">
        <f t="shared" si="318"/>
        <v>115.5</v>
      </c>
      <c r="CR109" s="119"/>
      <c r="CS109" s="116"/>
      <c r="CT109" s="109">
        <f t="shared" si="319"/>
        <v>0</v>
      </c>
      <c r="CU109" s="119"/>
      <c r="CV109" s="116"/>
      <c r="CW109" s="109">
        <f t="shared" si="320"/>
        <v>0</v>
      </c>
      <c r="CX109" s="119"/>
      <c r="CY109" s="116"/>
      <c r="CZ109" s="109">
        <f t="shared" si="321"/>
        <v>0</v>
      </c>
      <c r="DA109" s="119"/>
      <c r="DB109" s="116"/>
      <c r="DC109" s="109">
        <f t="shared" si="322"/>
        <v>0</v>
      </c>
      <c r="DD109" s="119">
        <f>$DD$21</f>
        <v>112</v>
      </c>
      <c r="DE109" s="116">
        <f>1/176</f>
        <v>5.681818181818182E-3</v>
      </c>
      <c r="DF109" s="109">
        <f t="shared" si="323"/>
        <v>77</v>
      </c>
      <c r="DG109" s="119">
        <f>$DG$21</f>
        <v>84</v>
      </c>
      <c r="DH109" s="116">
        <f>1/176</f>
        <v>5.681818181818182E-3</v>
      </c>
      <c r="DI109" s="109">
        <f t="shared" si="324"/>
        <v>57.75</v>
      </c>
      <c r="DJ109" s="119">
        <f>$DJ$21</f>
        <v>280</v>
      </c>
      <c r="DK109" s="116">
        <f>1/176</f>
        <v>5.681818181818182E-3</v>
      </c>
      <c r="DL109" s="109">
        <f t="shared" si="325"/>
        <v>192.50000000000003</v>
      </c>
      <c r="DM109" s="119">
        <f>$DM$21</f>
        <v>168</v>
      </c>
      <c r="DN109" s="116">
        <f>1/176</f>
        <v>5.681818181818182E-3</v>
      </c>
      <c r="DO109" s="109">
        <f t="shared" si="326"/>
        <v>115.5</v>
      </c>
      <c r="DP109" s="126"/>
      <c r="DQ109" s="110"/>
      <c r="DR109" s="111"/>
      <c r="DS109" s="112">
        <f t="shared" si="327"/>
        <v>3551.9481249999999</v>
      </c>
      <c r="DT109" s="113">
        <f t="shared" si="328"/>
        <v>7.1819295334276112E-3</v>
      </c>
    </row>
    <row r="110" spans="2:125" s="86" customFormat="1" ht="15" outlineLevel="1">
      <c r="B110" s="122" t="s">
        <v>300</v>
      </c>
      <c r="C110" s="128" t="s">
        <v>648</v>
      </c>
      <c r="D110" s="129" t="s">
        <v>214</v>
      </c>
      <c r="E110" s="130">
        <v>440</v>
      </c>
      <c r="F110" s="119">
        <f>G21</f>
        <v>11</v>
      </c>
      <c r="G110" s="116">
        <f t="shared" si="331"/>
        <v>0.90909090909090906</v>
      </c>
      <c r="H110" s="109">
        <f t="shared" si="329"/>
        <v>4400</v>
      </c>
      <c r="I110" s="119">
        <f>J21</f>
        <v>11</v>
      </c>
      <c r="J110" s="116">
        <f t="shared" si="332"/>
        <v>0.45454545454545453</v>
      </c>
      <c r="K110" s="109">
        <f t="shared" si="291"/>
        <v>2200</v>
      </c>
      <c r="L110" s="119"/>
      <c r="M110" s="116"/>
      <c r="N110" s="109">
        <f t="shared" si="330"/>
        <v>0</v>
      </c>
      <c r="O110" s="119"/>
      <c r="P110" s="116"/>
      <c r="Q110" s="109">
        <f t="shared" si="292"/>
        <v>0</v>
      </c>
      <c r="R110" s="119"/>
      <c r="S110" s="116"/>
      <c r="T110" s="109">
        <f t="shared" si="293"/>
        <v>0</v>
      </c>
      <c r="U110" s="119"/>
      <c r="V110" s="116"/>
      <c r="W110" s="109">
        <f t="shared" si="294"/>
        <v>0</v>
      </c>
      <c r="X110" s="119"/>
      <c r="Y110" s="116"/>
      <c r="Z110" s="109">
        <f t="shared" si="295"/>
        <v>0</v>
      </c>
      <c r="AA110" s="119"/>
      <c r="AB110" s="116"/>
      <c r="AC110" s="109">
        <f t="shared" si="296"/>
        <v>0</v>
      </c>
      <c r="AD110" s="119"/>
      <c r="AE110" s="116"/>
      <c r="AF110" s="109">
        <f t="shared" si="297"/>
        <v>0</v>
      </c>
      <c r="AG110" s="119"/>
      <c r="AH110" s="116"/>
      <c r="AI110" s="109">
        <f t="shared" si="298"/>
        <v>0</v>
      </c>
      <c r="AJ110" s="119"/>
      <c r="AK110" s="116"/>
      <c r="AL110" s="109">
        <f t="shared" si="299"/>
        <v>0</v>
      </c>
      <c r="AM110" s="119"/>
      <c r="AN110" s="116"/>
      <c r="AO110" s="109">
        <f t="shared" si="300"/>
        <v>0</v>
      </c>
      <c r="AP110" s="119"/>
      <c r="AQ110" s="116"/>
      <c r="AR110" s="109">
        <f t="shared" si="301"/>
        <v>0</v>
      </c>
      <c r="AS110" s="119"/>
      <c r="AT110" s="116"/>
      <c r="AU110" s="109">
        <f t="shared" si="302"/>
        <v>0</v>
      </c>
      <c r="AV110" s="119"/>
      <c r="AW110" s="116"/>
      <c r="AX110" s="109">
        <f t="shared" si="303"/>
        <v>0</v>
      </c>
      <c r="AY110" s="119"/>
      <c r="AZ110" s="116"/>
      <c r="BA110" s="109">
        <f t="shared" si="304"/>
        <v>0</v>
      </c>
      <c r="BB110" s="119"/>
      <c r="BC110" s="116"/>
      <c r="BD110" s="109">
        <f t="shared" si="305"/>
        <v>0</v>
      </c>
      <c r="BE110" s="119"/>
      <c r="BF110" s="116"/>
      <c r="BG110" s="109">
        <f t="shared" si="306"/>
        <v>0</v>
      </c>
      <c r="BH110" s="119">
        <f>$BH$21</f>
        <v>0.36</v>
      </c>
      <c r="BI110" s="116">
        <f>1/176</f>
        <v>5.681818181818182E-3</v>
      </c>
      <c r="BJ110" s="109">
        <f t="shared" si="307"/>
        <v>0.9</v>
      </c>
      <c r="BK110" s="119">
        <f>$BK$21</f>
        <v>3.7800000000000002</v>
      </c>
      <c r="BL110" s="116">
        <f>1/176</f>
        <v>5.681818181818182E-3</v>
      </c>
      <c r="BM110" s="109">
        <f t="shared" si="308"/>
        <v>9.4500000000000011</v>
      </c>
      <c r="BN110" s="119">
        <f>$BN$21</f>
        <v>176.45</v>
      </c>
      <c r="BO110" s="116">
        <f>1/176</f>
        <v>5.681818181818182E-3</v>
      </c>
      <c r="BP110" s="109">
        <f t="shared" si="309"/>
        <v>441.12499999999994</v>
      </c>
      <c r="BQ110" s="119">
        <f>$BQ$21</f>
        <v>528</v>
      </c>
      <c r="BR110" s="116">
        <f>1/176</f>
        <v>5.681818181818182E-3</v>
      </c>
      <c r="BS110" s="109">
        <f t="shared" si="310"/>
        <v>1320</v>
      </c>
      <c r="BT110" s="119">
        <f>$BT$21</f>
        <v>24</v>
      </c>
      <c r="BU110" s="116">
        <f>1/176</f>
        <v>5.681818181818182E-3</v>
      </c>
      <c r="BV110" s="109">
        <f t="shared" si="311"/>
        <v>59.999999999999993</v>
      </c>
      <c r="BW110" s="119">
        <f>$BW$21</f>
        <v>15.360000000000001</v>
      </c>
      <c r="BX110" s="116">
        <f>1/176</f>
        <v>5.681818181818182E-3</v>
      </c>
      <c r="BY110" s="109">
        <f t="shared" si="312"/>
        <v>38.400000000000006</v>
      </c>
      <c r="BZ110" s="119">
        <f>$BZ$21</f>
        <v>26.880000000000003</v>
      </c>
      <c r="CA110" s="116">
        <f>1/176</f>
        <v>5.681818181818182E-3</v>
      </c>
      <c r="CB110" s="109">
        <f t="shared" si="313"/>
        <v>67.2</v>
      </c>
      <c r="CC110" s="119">
        <f>$CC$21</f>
        <v>4.8</v>
      </c>
      <c r="CD110" s="116">
        <f>1/176</f>
        <v>5.681818181818182E-3</v>
      </c>
      <c r="CE110" s="109">
        <f t="shared" si="314"/>
        <v>12</v>
      </c>
      <c r="CF110" s="119">
        <f>$CF$21</f>
        <v>7.2</v>
      </c>
      <c r="CG110" s="116">
        <f>1/176</f>
        <v>5.681818181818182E-3</v>
      </c>
      <c r="CH110" s="109">
        <f t="shared" si="315"/>
        <v>18</v>
      </c>
      <c r="CI110" s="119">
        <f>$CI$21</f>
        <v>2.4</v>
      </c>
      <c r="CJ110" s="116">
        <f>1/176</f>
        <v>5.681818181818182E-3</v>
      </c>
      <c r="CK110" s="109">
        <f t="shared" si="316"/>
        <v>6</v>
      </c>
      <c r="CL110" s="119">
        <f>$CL$21</f>
        <v>414.4</v>
      </c>
      <c r="CM110" s="116">
        <f>1/176</f>
        <v>5.681818181818182E-3</v>
      </c>
      <c r="CN110" s="109">
        <f t="shared" si="317"/>
        <v>1036</v>
      </c>
      <c r="CO110" s="119">
        <f>$CO$21</f>
        <v>168</v>
      </c>
      <c r="CP110" s="116">
        <f>1/176</f>
        <v>5.681818181818182E-3</v>
      </c>
      <c r="CQ110" s="109">
        <f t="shared" si="318"/>
        <v>420</v>
      </c>
      <c r="CR110" s="119"/>
      <c r="CS110" s="116"/>
      <c r="CT110" s="109">
        <f t="shared" si="319"/>
        <v>0</v>
      </c>
      <c r="CU110" s="119"/>
      <c r="CV110" s="116"/>
      <c r="CW110" s="109">
        <f t="shared" si="320"/>
        <v>0</v>
      </c>
      <c r="CX110" s="119"/>
      <c r="CY110" s="116"/>
      <c r="CZ110" s="109">
        <f t="shared" si="321"/>
        <v>0</v>
      </c>
      <c r="DA110" s="119"/>
      <c r="DB110" s="116"/>
      <c r="DC110" s="109">
        <f t="shared" si="322"/>
        <v>0</v>
      </c>
      <c r="DD110" s="119">
        <f>$DD$21</f>
        <v>112</v>
      </c>
      <c r="DE110" s="116">
        <f>1/176</f>
        <v>5.681818181818182E-3</v>
      </c>
      <c r="DF110" s="109">
        <f t="shared" si="323"/>
        <v>280</v>
      </c>
      <c r="DG110" s="119">
        <f>$DG$21</f>
        <v>84</v>
      </c>
      <c r="DH110" s="116">
        <f>1/176</f>
        <v>5.681818181818182E-3</v>
      </c>
      <c r="DI110" s="109">
        <f t="shared" si="324"/>
        <v>210</v>
      </c>
      <c r="DJ110" s="119">
        <f>$DJ$21</f>
        <v>280</v>
      </c>
      <c r="DK110" s="116">
        <f>1/176</f>
        <v>5.681818181818182E-3</v>
      </c>
      <c r="DL110" s="109">
        <f t="shared" si="325"/>
        <v>700.00000000000011</v>
      </c>
      <c r="DM110" s="119">
        <f>$DM$21</f>
        <v>168</v>
      </c>
      <c r="DN110" s="116">
        <f>1/176</f>
        <v>5.681818181818182E-3</v>
      </c>
      <c r="DO110" s="109">
        <f t="shared" si="326"/>
        <v>420</v>
      </c>
      <c r="DP110" s="126"/>
      <c r="DQ110" s="110"/>
      <c r="DR110" s="111"/>
      <c r="DS110" s="112">
        <f t="shared" si="327"/>
        <v>12916.175000000001</v>
      </c>
      <c r="DT110" s="113">
        <f t="shared" si="328"/>
        <v>2.6116107394282224E-2</v>
      </c>
    </row>
    <row r="111" spans="2:125" s="86" customFormat="1" ht="15" outlineLevel="1">
      <c r="B111" s="122" t="s">
        <v>301</v>
      </c>
      <c r="C111" s="128" t="s">
        <v>649</v>
      </c>
      <c r="D111" s="129" t="s">
        <v>214</v>
      </c>
      <c r="E111" s="130">
        <v>115.2</v>
      </c>
      <c r="F111" s="119">
        <f>G21</f>
        <v>11</v>
      </c>
      <c r="G111" s="116">
        <f t="shared" si="331"/>
        <v>0.90909090909090906</v>
      </c>
      <c r="H111" s="109">
        <f t="shared" si="329"/>
        <v>1152</v>
      </c>
      <c r="I111" s="119">
        <f>J21</f>
        <v>11</v>
      </c>
      <c r="J111" s="116">
        <f t="shared" si="332"/>
        <v>0.45454545454545453</v>
      </c>
      <c r="K111" s="109">
        <f t="shared" si="291"/>
        <v>576</v>
      </c>
      <c r="L111" s="119"/>
      <c r="M111" s="116"/>
      <c r="N111" s="109">
        <f t="shared" si="330"/>
        <v>0</v>
      </c>
      <c r="O111" s="119"/>
      <c r="P111" s="116"/>
      <c r="Q111" s="109">
        <f t="shared" si="292"/>
        <v>0</v>
      </c>
      <c r="R111" s="119"/>
      <c r="S111" s="116"/>
      <c r="T111" s="109">
        <f t="shared" si="293"/>
        <v>0</v>
      </c>
      <c r="U111" s="119"/>
      <c r="V111" s="116"/>
      <c r="W111" s="109">
        <f t="shared" si="294"/>
        <v>0</v>
      </c>
      <c r="X111" s="119"/>
      <c r="Y111" s="116"/>
      <c r="Z111" s="109">
        <f t="shared" si="295"/>
        <v>0</v>
      </c>
      <c r="AA111" s="119"/>
      <c r="AB111" s="116"/>
      <c r="AC111" s="109">
        <f t="shared" si="296"/>
        <v>0</v>
      </c>
      <c r="AD111" s="119"/>
      <c r="AE111" s="116"/>
      <c r="AF111" s="109">
        <f t="shared" si="297"/>
        <v>0</v>
      </c>
      <c r="AG111" s="119"/>
      <c r="AH111" s="116"/>
      <c r="AI111" s="109">
        <f t="shared" si="298"/>
        <v>0</v>
      </c>
      <c r="AJ111" s="119"/>
      <c r="AK111" s="116"/>
      <c r="AL111" s="109">
        <f t="shared" si="299"/>
        <v>0</v>
      </c>
      <c r="AM111" s="119"/>
      <c r="AN111" s="116"/>
      <c r="AO111" s="109">
        <f t="shared" si="300"/>
        <v>0</v>
      </c>
      <c r="AP111" s="119"/>
      <c r="AQ111" s="116"/>
      <c r="AR111" s="109">
        <f t="shared" si="301"/>
        <v>0</v>
      </c>
      <c r="AS111" s="119"/>
      <c r="AT111" s="116"/>
      <c r="AU111" s="109">
        <f t="shared" si="302"/>
        <v>0</v>
      </c>
      <c r="AV111" s="119"/>
      <c r="AW111" s="116"/>
      <c r="AX111" s="109">
        <f t="shared" si="303"/>
        <v>0</v>
      </c>
      <c r="AY111" s="119"/>
      <c r="AZ111" s="116"/>
      <c r="BA111" s="109">
        <f t="shared" si="304"/>
        <v>0</v>
      </c>
      <c r="BB111" s="119"/>
      <c r="BC111" s="116"/>
      <c r="BD111" s="109">
        <f t="shared" si="305"/>
        <v>0</v>
      </c>
      <c r="BE111" s="119"/>
      <c r="BF111" s="116"/>
      <c r="BG111" s="109">
        <f t="shared" si="306"/>
        <v>0</v>
      </c>
      <c r="BH111" s="119">
        <f>$BH$21</f>
        <v>0.36</v>
      </c>
      <c r="BI111" s="116">
        <f>1/176</f>
        <v>5.681818181818182E-3</v>
      </c>
      <c r="BJ111" s="109">
        <f t="shared" si="307"/>
        <v>0.23563636363636367</v>
      </c>
      <c r="BK111" s="119">
        <f>$BK$21</f>
        <v>3.7800000000000002</v>
      </c>
      <c r="BL111" s="116">
        <f>1/176</f>
        <v>5.681818181818182E-3</v>
      </c>
      <c r="BM111" s="109">
        <f t="shared" si="308"/>
        <v>2.4741818181818185</v>
      </c>
      <c r="BN111" s="119">
        <f>$BN$21</f>
        <v>176.45</v>
      </c>
      <c r="BO111" s="116">
        <f>1/176</f>
        <v>5.681818181818182E-3</v>
      </c>
      <c r="BP111" s="109">
        <f t="shared" si="309"/>
        <v>115.49454545454545</v>
      </c>
      <c r="BQ111" s="119">
        <f>$BQ$21</f>
        <v>528</v>
      </c>
      <c r="BR111" s="116">
        <f>1/176</f>
        <v>5.681818181818182E-3</v>
      </c>
      <c r="BS111" s="109">
        <f t="shared" si="310"/>
        <v>345.6</v>
      </c>
      <c r="BT111" s="119">
        <f>$BT$21</f>
        <v>24</v>
      </c>
      <c r="BU111" s="116">
        <f>1/176</f>
        <v>5.681818181818182E-3</v>
      </c>
      <c r="BV111" s="109">
        <f t="shared" si="311"/>
        <v>15.709090909090909</v>
      </c>
      <c r="BW111" s="119">
        <f>$BW$21</f>
        <v>15.360000000000001</v>
      </c>
      <c r="BX111" s="116">
        <f>1/176</f>
        <v>5.681818181818182E-3</v>
      </c>
      <c r="BY111" s="109">
        <f t="shared" si="312"/>
        <v>10.053818181818183</v>
      </c>
      <c r="BZ111" s="119">
        <f>$BZ$21</f>
        <v>26.880000000000003</v>
      </c>
      <c r="CA111" s="116">
        <f>1/176</f>
        <v>5.681818181818182E-3</v>
      </c>
      <c r="CB111" s="109">
        <f t="shared" si="313"/>
        <v>17.59418181818182</v>
      </c>
      <c r="CC111" s="119">
        <f>$CC$21</f>
        <v>4.8</v>
      </c>
      <c r="CD111" s="116">
        <f>1/176</f>
        <v>5.681818181818182E-3</v>
      </c>
      <c r="CE111" s="109">
        <f t="shared" si="314"/>
        <v>3.1418181818181816</v>
      </c>
      <c r="CF111" s="119">
        <f>$CF$21</f>
        <v>7.2</v>
      </c>
      <c r="CG111" s="116">
        <f>1/176</f>
        <v>5.681818181818182E-3</v>
      </c>
      <c r="CH111" s="109">
        <f t="shared" si="315"/>
        <v>4.7127272727272729</v>
      </c>
      <c r="CI111" s="119">
        <f>$CI$21</f>
        <v>2.4</v>
      </c>
      <c r="CJ111" s="116">
        <f>1/176</f>
        <v>5.681818181818182E-3</v>
      </c>
      <c r="CK111" s="109">
        <f t="shared" si="316"/>
        <v>1.5709090909090908</v>
      </c>
      <c r="CL111" s="119">
        <f>$CL$21</f>
        <v>414.4</v>
      </c>
      <c r="CM111" s="116">
        <f>1/176</f>
        <v>5.681818181818182E-3</v>
      </c>
      <c r="CN111" s="109">
        <f t="shared" si="317"/>
        <v>271.24363636363637</v>
      </c>
      <c r="CO111" s="119">
        <f>$CO$21</f>
        <v>168</v>
      </c>
      <c r="CP111" s="116">
        <f>1/176</f>
        <v>5.681818181818182E-3</v>
      </c>
      <c r="CQ111" s="109">
        <f t="shared" si="318"/>
        <v>109.96363636363637</v>
      </c>
      <c r="CR111" s="119"/>
      <c r="CS111" s="116"/>
      <c r="CT111" s="109">
        <f t="shared" si="319"/>
        <v>0</v>
      </c>
      <c r="CU111" s="119"/>
      <c r="CV111" s="116"/>
      <c r="CW111" s="109">
        <f t="shared" si="320"/>
        <v>0</v>
      </c>
      <c r="CX111" s="119"/>
      <c r="CY111" s="116"/>
      <c r="CZ111" s="109">
        <f t="shared" si="321"/>
        <v>0</v>
      </c>
      <c r="DA111" s="119"/>
      <c r="DB111" s="116"/>
      <c r="DC111" s="109">
        <f t="shared" si="322"/>
        <v>0</v>
      </c>
      <c r="DD111" s="119">
        <f>$DD$21</f>
        <v>112</v>
      </c>
      <c r="DE111" s="116">
        <f>1/176</f>
        <v>5.681818181818182E-3</v>
      </c>
      <c r="DF111" s="109">
        <f t="shared" si="323"/>
        <v>73.309090909090912</v>
      </c>
      <c r="DG111" s="119">
        <f>$DG$21</f>
        <v>84</v>
      </c>
      <c r="DH111" s="116">
        <f>1/176</f>
        <v>5.681818181818182E-3</v>
      </c>
      <c r="DI111" s="109">
        <f t="shared" si="324"/>
        <v>54.981818181818184</v>
      </c>
      <c r="DJ111" s="119">
        <f>$DJ$21</f>
        <v>280</v>
      </c>
      <c r="DK111" s="116">
        <f>1/176</f>
        <v>5.681818181818182E-3</v>
      </c>
      <c r="DL111" s="109">
        <f t="shared" si="325"/>
        <v>183.27272727272728</v>
      </c>
      <c r="DM111" s="119">
        <f>$DM$21</f>
        <v>168</v>
      </c>
      <c r="DN111" s="116">
        <f>1/176</f>
        <v>5.681818181818182E-3</v>
      </c>
      <c r="DO111" s="109">
        <f t="shared" si="326"/>
        <v>109.96363636363637</v>
      </c>
      <c r="DP111" s="126"/>
      <c r="DQ111" s="110"/>
      <c r="DR111" s="111"/>
      <c r="DS111" s="112">
        <f t="shared" si="327"/>
        <v>3381.6894545454543</v>
      </c>
      <c r="DT111" s="113">
        <f t="shared" si="328"/>
        <v>6.8376717541393456E-3</v>
      </c>
    </row>
    <row r="112" spans="2:125" s="86" customFormat="1" ht="15" outlineLevel="1">
      <c r="B112" s="122" t="s">
        <v>302</v>
      </c>
      <c r="C112" s="128" t="s">
        <v>650</v>
      </c>
      <c r="D112" s="129" t="s">
        <v>276</v>
      </c>
      <c r="E112" s="130">
        <v>6.8</v>
      </c>
      <c r="F112" s="119"/>
      <c r="G112" s="116"/>
      <c r="H112" s="109">
        <f t="shared" si="329"/>
        <v>0</v>
      </c>
      <c r="I112" s="119"/>
      <c r="J112" s="116"/>
      <c r="K112" s="109">
        <f t="shared" si="291"/>
        <v>0</v>
      </c>
      <c r="L112" s="119"/>
      <c r="M112" s="116"/>
      <c r="N112" s="109">
        <f t="shared" si="330"/>
        <v>0</v>
      </c>
      <c r="O112" s="119"/>
      <c r="P112" s="116"/>
      <c r="Q112" s="109">
        <f t="shared" si="292"/>
        <v>0</v>
      </c>
      <c r="R112" s="119"/>
      <c r="S112" s="116"/>
      <c r="T112" s="109">
        <f t="shared" si="293"/>
        <v>0</v>
      </c>
      <c r="U112" s="119"/>
      <c r="V112" s="116"/>
      <c r="W112" s="109">
        <f t="shared" si="294"/>
        <v>0</v>
      </c>
      <c r="X112" s="119"/>
      <c r="Y112" s="116"/>
      <c r="Z112" s="109">
        <f t="shared" si="295"/>
        <v>0</v>
      </c>
      <c r="AA112" s="119"/>
      <c r="AB112" s="116"/>
      <c r="AC112" s="109">
        <f t="shared" si="296"/>
        <v>0</v>
      </c>
      <c r="AD112" s="119"/>
      <c r="AE112" s="116"/>
      <c r="AF112" s="109">
        <f t="shared" si="297"/>
        <v>0</v>
      </c>
      <c r="AG112" s="119"/>
      <c r="AH112" s="116"/>
      <c r="AI112" s="109">
        <f t="shared" si="298"/>
        <v>0</v>
      </c>
      <c r="AJ112" s="119"/>
      <c r="AK112" s="116"/>
      <c r="AL112" s="109">
        <f t="shared" si="299"/>
        <v>0</v>
      </c>
      <c r="AM112" s="119"/>
      <c r="AN112" s="116"/>
      <c r="AO112" s="109">
        <f t="shared" si="300"/>
        <v>0</v>
      </c>
      <c r="AP112" s="119"/>
      <c r="AQ112" s="116"/>
      <c r="AR112" s="109">
        <f t="shared" si="301"/>
        <v>0</v>
      </c>
      <c r="AS112" s="119"/>
      <c r="AT112" s="116"/>
      <c r="AU112" s="109">
        <f t="shared" si="302"/>
        <v>0</v>
      </c>
      <c r="AV112" s="119"/>
      <c r="AW112" s="116"/>
      <c r="AX112" s="109">
        <f t="shared" si="303"/>
        <v>0</v>
      </c>
      <c r="AY112" s="119"/>
      <c r="AZ112" s="116"/>
      <c r="BA112" s="109">
        <f t="shared" si="304"/>
        <v>0</v>
      </c>
      <c r="BB112" s="119"/>
      <c r="BC112" s="116"/>
      <c r="BD112" s="109">
        <f t="shared" si="305"/>
        <v>0</v>
      </c>
      <c r="BE112" s="119"/>
      <c r="BF112" s="116"/>
      <c r="BG112" s="109">
        <f t="shared" si="306"/>
        <v>0</v>
      </c>
      <c r="BH112" s="119"/>
      <c r="BI112" s="116"/>
      <c r="BJ112" s="109">
        <f t="shared" si="307"/>
        <v>0</v>
      </c>
      <c r="BK112" s="119"/>
      <c r="BL112" s="116"/>
      <c r="BM112" s="109">
        <f t="shared" si="308"/>
        <v>0</v>
      </c>
      <c r="BN112" s="119"/>
      <c r="BO112" s="116"/>
      <c r="BP112" s="109">
        <f t="shared" si="309"/>
        <v>0</v>
      </c>
      <c r="BQ112" s="119"/>
      <c r="BR112" s="116"/>
      <c r="BS112" s="109">
        <f t="shared" si="310"/>
        <v>0</v>
      </c>
      <c r="BT112" s="119"/>
      <c r="BU112" s="116"/>
      <c r="BV112" s="109">
        <f t="shared" si="311"/>
        <v>0</v>
      </c>
      <c r="BW112" s="119"/>
      <c r="BX112" s="116"/>
      <c r="BY112" s="109">
        <f t="shared" si="312"/>
        <v>0</v>
      </c>
      <c r="BZ112" s="119"/>
      <c r="CA112" s="116"/>
      <c r="CB112" s="109">
        <f t="shared" si="313"/>
        <v>0</v>
      </c>
      <c r="CC112" s="119"/>
      <c r="CD112" s="116"/>
      <c r="CE112" s="109">
        <f t="shared" si="314"/>
        <v>0</v>
      </c>
      <c r="CF112" s="119"/>
      <c r="CG112" s="116"/>
      <c r="CH112" s="109">
        <f t="shared" si="315"/>
        <v>0</v>
      </c>
      <c r="CI112" s="119"/>
      <c r="CJ112" s="116"/>
      <c r="CK112" s="109">
        <f t="shared" si="316"/>
        <v>0</v>
      </c>
      <c r="CL112" s="119"/>
      <c r="CM112" s="116"/>
      <c r="CN112" s="109">
        <f t="shared" si="317"/>
        <v>0</v>
      </c>
      <c r="CO112" s="119"/>
      <c r="CP112" s="116"/>
      <c r="CQ112" s="109">
        <f t="shared" si="318"/>
        <v>0</v>
      </c>
      <c r="CR112" s="119"/>
      <c r="CS112" s="116"/>
      <c r="CT112" s="109">
        <f t="shared" si="319"/>
        <v>0</v>
      </c>
      <c r="CU112" s="119"/>
      <c r="CV112" s="116"/>
      <c r="CW112" s="109">
        <f t="shared" si="320"/>
        <v>0</v>
      </c>
      <c r="CX112" s="119"/>
      <c r="CY112" s="116"/>
      <c r="CZ112" s="109">
        <f t="shared" si="321"/>
        <v>0</v>
      </c>
      <c r="DA112" s="119"/>
      <c r="DB112" s="116"/>
      <c r="DC112" s="109">
        <f t="shared" si="322"/>
        <v>0</v>
      </c>
      <c r="DD112" s="119"/>
      <c r="DE112" s="116"/>
      <c r="DF112" s="109">
        <f t="shared" si="323"/>
        <v>0</v>
      </c>
      <c r="DG112" s="119"/>
      <c r="DH112" s="116"/>
      <c r="DI112" s="109">
        <f t="shared" si="324"/>
        <v>0</v>
      </c>
      <c r="DJ112" s="119"/>
      <c r="DK112" s="116"/>
      <c r="DL112" s="109">
        <f t="shared" si="325"/>
        <v>0</v>
      </c>
      <c r="DM112" s="119"/>
      <c r="DN112" s="116"/>
      <c r="DO112" s="109">
        <f t="shared" si="326"/>
        <v>0</v>
      </c>
      <c r="DP112" s="126"/>
      <c r="DQ112" s="110"/>
      <c r="DR112" s="111"/>
      <c r="DS112" s="112">
        <f t="shared" si="327"/>
        <v>0</v>
      </c>
      <c r="DT112" s="113">
        <f t="shared" si="328"/>
        <v>0</v>
      </c>
    </row>
    <row r="113" spans="2:124" s="86" customFormat="1" ht="15" outlineLevel="1">
      <c r="B113" s="122" t="s">
        <v>303</v>
      </c>
      <c r="C113" s="128" t="s">
        <v>275</v>
      </c>
      <c r="D113" s="127" t="s">
        <v>276</v>
      </c>
      <c r="E113" s="130">
        <v>1.05</v>
      </c>
      <c r="F113" s="119"/>
      <c r="G113" s="116"/>
      <c r="H113" s="109">
        <f t="shared" si="329"/>
        <v>0</v>
      </c>
      <c r="I113" s="119"/>
      <c r="J113" s="116"/>
      <c r="K113" s="109">
        <f t="shared" si="291"/>
        <v>0</v>
      </c>
      <c r="L113" s="119"/>
      <c r="M113" s="116"/>
      <c r="N113" s="109">
        <f t="shared" si="330"/>
        <v>0</v>
      </c>
      <c r="O113" s="119"/>
      <c r="P113" s="116"/>
      <c r="Q113" s="109">
        <f t="shared" si="292"/>
        <v>0</v>
      </c>
      <c r="R113" s="119"/>
      <c r="S113" s="116"/>
      <c r="T113" s="109">
        <f t="shared" si="293"/>
        <v>0</v>
      </c>
      <c r="U113" s="119"/>
      <c r="V113" s="116"/>
      <c r="W113" s="109">
        <f t="shared" si="294"/>
        <v>0</v>
      </c>
      <c r="X113" s="119"/>
      <c r="Y113" s="116"/>
      <c r="Z113" s="109">
        <f t="shared" si="295"/>
        <v>0</v>
      </c>
      <c r="AA113" s="119"/>
      <c r="AB113" s="116"/>
      <c r="AC113" s="109">
        <f t="shared" si="296"/>
        <v>0</v>
      </c>
      <c r="AD113" s="119"/>
      <c r="AE113" s="116"/>
      <c r="AF113" s="109">
        <f t="shared" si="297"/>
        <v>0</v>
      </c>
      <c r="AG113" s="119"/>
      <c r="AH113" s="116"/>
      <c r="AI113" s="109">
        <f t="shared" si="298"/>
        <v>0</v>
      </c>
      <c r="AJ113" s="119"/>
      <c r="AK113" s="116"/>
      <c r="AL113" s="109">
        <f t="shared" si="299"/>
        <v>0</v>
      </c>
      <c r="AM113" s="119"/>
      <c r="AN113" s="116"/>
      <c r="AO113" s="109">
        <f t="shared" si="300"/>
        <v>0</v>
      </c>
      <c r="AP113" s="119"/>
      <c r="AQ113" s="116"/>
      <c r="AR113" s="109">
        <f t="shared" si="301"/>
        <v>0</v>
      </c>
      <c r="AS113" s="119"/>
      <c r="AT113" s="116"/>
      <c r="AU113" s="109">
        <f t="shared" si="302"/>
        <v>0</v>
      </c>
      <c r="AV113" s="119"/>
      <c r="AW113" s="116"/>
      <c r="AX113" s="109">
        <f t="shared" si="303"/>
        <v>0</v>
      </c>
      <c r="AY113" s="119"/>
      <c r="AZ113" s="116"/>
      <c r="BA113" s="109">
        <f t="shared" si="304"/>
        <v>0</v>
      </c>
      <c r="BB113" s="119"/>
      <c r="BC113" s="116"/>
      <c r="BD113" s="109">
        <f t="shared" si="305"/>
        <v>0</v>
      </c>
      <c r="BE113" s="119"/>
      <c r="BF113" s="116"/>
      <c r="BG113" s="109">
        <f t="shared" si="306"/>
        <v>0</v>
      </c>
      <c r="BH113" s="119"/>
      <c r="BI113" s="116"/>
      <c r="BJ113" s="109">
        <f t="shared" si="307"/>
        <v>0</v>
      </c>
      <c r="BK113" s="119"/>
      <c r="BL113" s="116"/>
      <c r="BM113" s="109">
        <f t="shared" si="308"/>
        <v>0</v>
      </c>
      <c r="BN113" s="119"/>
      <c r="BO113" s="116"/>
      <c r="BP113" s="109">
        <f t="shared" si="309"/>
        <v>0</v>
      </c>
      <c r="BQ113" s="119"/>
      <c r="BR113" s="116"/>
      <c r="BS113" s="109">
        <f t="shared" si="310"/>
        <v>0</v>
      </c>
      <c r="BT113" s="119"/>
      <c r="BU113" s="116"/>
      <c r="BV113" s="109">
        <f t="shared" si="311"/>
        <v>0</v>
      </c>
      <c r="BW113" s="119"/>
      <c r="BX113" s="116"/>
      <c r="BY113" s="109">
        <f t="shared" si="312"/>
        <v>0</v>
      </c>
      <c r="BZ113" s="119"/>
      <c r="CA113" s="116"/>
      <c r="CB113" s="109">
        <f t="shared" si="313"/>
        <v>0</v>
      </c>
      <c r="CC113" s="119"/>
      <c r="CD113" s="116"/>
      <c r="CE113" s="109">
        <f t="shared" si="314"/>
        <v>0</v>
      </c>
      <c r="CF113" s="119"/>
      <c r="CG113" s="116"/>
      <c r="CH113" s="109">
        <f t="shared" si="315"/>
        <v>0</v>
      </c>
      <c r="CI113" s="119"/>
      <c r="CJ113" s="116"/>
      <c r="CK113" s="109">
        <f t="shared" si="316"/>
        <v>0</v>
      </c>
      <c r="CL113" s="119"/>
      <c r="CM113" s="116"/>
      <c r="CN113" s="109">
        <f t="shared" si="317"/>
        <v>0</v>
      </c>
      <c r="CO113" s="119"/>
      <c r="CP113" s="116"/>
      <c r="CQ113" s="109">
        <f t="shared" si="318"/>
        <v>0</v>
      </c>
      <c r="CR113" s="119"/>
      <c r="CS113" s="116"/>
      <c r="CT113" s="109">
        <f t="shared" si="319"/>
        <v>0</v>
      </c>
      <c r="CU113" s="119"/>
      <c r="CV113" s="116"/>
      <c r="CW113" s="109">
        <f t="shared" si="320"/>
        <v>0</v>
      </c>
      <c r="CX113" s="119"/>
      <c r="CY113" s="116"/>
      <c r="CZ113" s="109">
        <f t="shared" si="321"/>
        <v>0</v>
      </c>
      <c r="DA113" s="119"/>
      <c r="DB113" s="116"/>
      <c r="DC113" s="109">
        <f t="shared" si="322"/>
        <v>0</v>
      </c>
      <c r="DD113" s="119"/>
      <c r="DE113" s="116"/>
      <c r="DF113" s="109">
        <f t="shared" si="323"/>
        <v>0</v>
      </c>
      <c r="DG113" s="119"/>
      <c r="DH113" s="116"/>
      <c r="DI113" s="109">
        <f t="shared" si="324"/>
        <v>0</v>
      </c>
      <c r="DJ113" s="119"/>
      <c r="DK113" s="116"/>
      <c r="DL113" s="109">
        <f t="shared" si="325"/>
        <v>0</v>
      </c>
      <c r="DM113" s="119"/>
      <c r="DN113" s="116"/>
      <c r="DO113" s="109">
        <f t="shared" si="326"/>
        <v>0</v>
      </c>
      <c r="DP113" s="126"/>
      <c r="DQ113" s="110"/>
      <c r="DR113" s="111"/>
      <c r="DS113" s="112">
        <f t="shared" si="327"/>
        <v>0</v>
      </c>
      <c r="DT113" s="113">
        <f t="shared" si="328"/>
        <v>0</v>
      </c>
    </row>
    <row r="114" spans="2:124" s="86" customFormat="1" ht="15" outlineLevel="1">
      <c r="B114" s="122" t="s">
        <v>304</v>
      </c>
      <c r="C114" s="128" t="s">
        <v>651</v>
      </c>
      <c r="D114" s="129" t="s">
        <v>652</v>
      </c>
      <c r="E114" s="130">
        <v>25.6</v>
      </c>
      <c r="F114" s="119"/>
      <c r="G114" s="116"/>
      <c r="H114" s="109">
        <f t="shared" si="329"/>
        <v>0</v>
      </c>
      <c r="I114" s="119"/>
      <c r="J114" s="116"/>
      <c r="K114" s="109">
        <f t="shared" si="291"/>
        <v>0</v>
      </c>
      <c r="L114" s="119"/>
      <c r="M114" s="116"/>
      <c r="N114" s="109">
        <f t="shared" si="330"/>
        <v>0</v>
      </c>
      <c r="O114" s="119"/>
      <c r="P114" s="116"/>
      <c r="Q114" s="109">
        <f t="shared" si="292"/>
        <v>0</v>
      </c>
      <c r="R114" s="119"/>
      <c r="S114" s="116"/>
      <c r="T114" s="109">
        <f t="shared" si="293"/>
        <v>0</v>
      </c>
      <c r="U114" s="119"/>
      <c r="V114" s="116"/>
      <c r="W114" s="109">
        <f t="shared" si="294"/>
        <v>0</v>
      </c>
      <c r="X114" s="119"/>
      <c r="Y114" s="116"/>
      <c r="Z114" s="109">
        <f t="shared" si="295"/>
        <v>0</v>
      </c>
      <c r="AA114" s="119"/>
      <c r="AB114" s="116"/>
      <c r="AC114" s="109">
        <f t="shared" si="296"/>
        <v>0</v>
      </c>
      <c r="AD114" s="119"/>
      <c r="AE114" s="116"/>
      <c r="AF114" s="109">
        <f t="shared" si="297"/>
        <v>0</v>
      </c>
      <c r="AG114" s="119"/>
      <c r="AH114" s="116"/>
      <c r="AI114" s="109">
        <f t="shared" si="298"/>
        <v>0</v>
      </c>
      <c r="AJ114" s="119"/>
      <c r="AK114" s="116"/>
      <c r="AL114" s="109">
        <f t="shared" si="299"/>
        <v>0</v>
      </c>
      <c r="AM114" s="119"/>
      <c r="AN114" s="116"/>
      <c r="AO114" s="109">
        <f t="shared" si="300"/>
        <v>0</v>
      </c>
      <c r="AP114" s="119"/>
      <c r="AQ114" s="116"/>
      <c r="AR114" s="109">
        <f t="shared" si="301"/>
        <v>0</v>
      </c>
      <c r="AS114" s="119"/>
      <c r="AT114" s="116"/>
      <c r="AU114" s="109">
        <f t="shared" si="302"/>
        <v>0</v>
      </c>
      <c r="AV114" s="119"/>
      <c r="AW114" s="116"/>
      <c r="AX114" s="109">
        <f t="shared" si="303"/>
        <v>0</v>
      </c>
      <c r="AY114" s="119"/>
      <c r="AZ114" s="116"/>
      <c r="BA114" s="109">
        <f t="shared" si="304"/>
        <v>0</v>
      </c>
      <c r="BB114" s="119"/>
      <c r="BC114" s="116"/>
      <c r="BD114" s="109">
        <f t="shared" si="305"/>
        <v>0</v>
      </c>
      <c r="BE114" s="119"/>
      <c r="BF114" s="116"/>
      <c r="BG114" s="109">
        <f t="shared" si="306"/>
        <v>0</v>
      </c>
      <c r="BH114" s="119"/>
      <c r="BI114" s="116"/>
      <c r="BJ114" s="109">
        <f t="shared" si="307"/>
        <v>0</v>
      </c>
      <c r="BK114" s="119"/>
      <c r="BL114" s="116"/>
      <c r="BM114" s="109">
        <f t="shared" si="308"/>
        <v>0</v>
      </c>
      <c r="BN114" s="119"/>
      <c r="BO114" s="116"/>
      <c r="BP114" s="109">
        <f t="shared" si="309"/>
        <v>0</v>
      </c>
      <c r="BQ114" s="119"/>
      <c r="BR114" s="116"/>
      <c r="BS114" s="109">
        <f t="shared" si="310"/>
        <v>0</v>
      </c>
      <c r="BT114" s="119"/>
      <c r="BU114" s="116"/>
      <c r="BV114" s="109">
        <f t="shared" si="311"/>
        <v>0</v>
      </c>
      <c r="BW114" s="119"/>
      <c r="BX114" s="116"/>
      <c r="BY114" s="109">
        <f t="shared" si="312"/>
        <v>0</v>
      </c>
      <c r="BZ114" s="119"/>
      <c r="CA114" s="116"/>
      <c r="CB114" s="109">
        <f t="shared" si="313"/>
        <v>0</v>
      </c>
      <c r="CC114" s="119"/>
      <c r="CD114" s="116"/>
      <c r="CE114" s="109">
        <f t="shared" si="314"/>
        <v>0</v>
      </c>
      <c r="CF114" s="119"/>
      <c r="CG114" s="116"/>
      <c r="CH114" s="109">
        <f t="shared" si="315"/>
        <v>0</v>
      </c>
      <c r="CI114" s="119"/>
      <c r="CJ114" s="116"/>
      <c r="CK114" s="109">
        <f t="shared" si="316"/>
        <v>0</v>
      </c>
      <c r="CL114" s="119"/>
      <c r="CM114" s="116"/>
      <c r="CN114" s="109">
        <f t="shared" si="317"/>
        <v>0</v>
      </c>
      <c r="CO114" s="119"/>
      <c r="CP114" s="116"/>
      <c r="CQ114" s="109">
        <f t="shared" si="318"/>
        <v>0</v>
      </c>
      <c r="CR114" s="119"/>
      <c r="CS114" s="116"/>
      <c r="CT114" s="109">
        <f t="shared" si="319"/>
        <v>0</v>
      </c>
      <c r="CU114" s="119"/>
      <c r="CV114" s="116"/>
      <c r="CW114" s="109">
        <f t="shared" si="320"/>
        <v>0</v>
      </c>
      <c r="CX114" s="119"/>
      <c r="CY114" s="116"/>
      <c r="CZ114" s="109">
        <f t="shared" si="321"/>
        <v>0</v>
      </c>
      <c r="DA114" s="119"/>
      <c r="DB114" s="116"/>
      <c r="DC114" s="109">
        <f t="shared" si="322"/>
        <v>0</v>
      </c>
      <c r="DD114" s="119"/>
      <c r="DE114" s="116"/>
      <c r="DF114" s="109">
        <f t="shared" si="323"/>
        <v>0</v>
      </c>
      <c r="DG114" s="119"/>
      <c r="DH114" s="116"/>
      <c r="DI114" s="109">
        <f t="shared" si="324"/>
        <v>0</v>
      </c>
      <c r="DJ114" s="119"/>
      <c r="DK114" s="116"/>
      <c r="DL114" s="109">
        <f t="shared" si="325"/>
        <v>0</v>
      </c>
      <c r="DM114" s="119"/>
      <c r="DN114" s="116"/>
      <c r="DO114" s="109">
        <f t="shared" si="326"/>
        <v>0</v>
      </c>
      <c r="DP114" s="126"/>
      <c r="DQ114" s="110"/>
      <c r="DR114" s="111"/>
      <c r="DS114" s="112">
        <f t="shared" si="327"/>
        <v>0</v>
      </c>
      <c r="DT114" s="113">
        <f t="shared" si="328"/>
        <v>0</v>
      </c>
    </row>
    <row r="115" spans="2:124" s="86" customFormat="1" ht="15" outlineLevel="1">
      <c r="B115" s="122" t="s">
        <v>305</v>
      </c>
      <c r="C115" s="128" t="s">
        <v>653</v>
      </c>
      <c r="D115" s="129" t="s">
        <v>229</v>
      </c>
      <c r="E115" s="130">
        <v>220</v>
      </c>
      <c r="F115" s="119"/>
      <c r="G115" s="116"/>
      <c r="H115" s="109">
        <f t="shared" si="329"/>
        <v>0</v>
      </c>
      <c r="I115" s="119"/>
      <c r="J115" s="116"/>
      <c r="K115" s="109">
        <f t="shared" si="291"/>
        <v>0</v>
      </c>
      <c r="L115" s="119"/>
      <c r="M115" s="116"/>
      <c r="N115" s="109">
        <f t="shared" si="330"/>
        <v>0</v>
      </c>
      <c r="O115" s="119"/>
      <c r="P115" s="116"/>
      <c r="Q115" s="109">
        <f t="shared" si="292"/>
        <v>0</v>
      </c>
      <c r="R115" s="119"/>
      <c r="S115" s="116"/>
      <c r="T115" s="109">
        <f t="shared" si="293"/>
        <v>0</v>
      </c>
      <c r="U115" s="119"/>
      <c r="V115" s="116"/>
      <c r="W115" s="109">
        <f t="shared" si="294"/>
        <v>0</v>
      </c>
      <c r="X115" s="119"/>
      <c r="Y115" s="116"/>
      <c r="Z115" s="109">
        <f t="shared" si="295"/>
        <v>0</v>
      </c>
      <c r="AA115" s="119"/>
      <c r="AB115" s="116"/>
      <c r="AC115" s="109">
        <f t="shared" si="296"/>
        <v>0</v>
      </c>
      <c r="AD115" s="119"/>
      <c r="AE115" s="116"/>
      <c r="AF115" s="109">
        <f t="shared" si="297"/>
        <v>0</v>
      </c>
      <c r="AG115" s="119"/>
      <c r="AH115" s="116"/>
      <c r="AI115" s="109">
        <f t="shared" si="298"/>
        <v>0</v>
      </c>
      <c r="AJ115" s="119"/>
      <c r="AK115" s="116"/>
      <c r="AL115" s="109">
        <f t="shared" si="299"/>
        <v>0</v>
      </c>
      <c r="AM115" s="119"/>
      <c r="AN115" s="116"/>
      <c r="AO115" s="109">
        <f t="shared" si="300"/>
        <v>0</v>
      </c>
      <c r="AP115" s="119"/>
      <c r="AQ115" s="116"/>
      <c r="AR115" s="109">
        <f t="shared" si="301"/>
        <v>0</v>
      </c>
      <c r="AS115" s="119"/>
      <c r="AT115" s="116"/>
      <c r="AU115" s="109">
        <f t="shared" si="302"/>
        <v>0</v>
      </c>
      <c r="AV115" s="119"/>
      <c r="AW115" s="116"/>
      <c r="AX115" s="109">
        <f t="shared" si="303"/>
        <v>0</v>
      </c>
      <c r="AY115" s="119"/>
      <c r="AZ115" s="116"/>
      <c r="BA115" s="109">
        <f t="shared" si="304"/>
        <v>0</v>
      </c>
      <c r="BB115" s="119"/>
      <c r="BC115" s="116"/>
      <c r="BD115" s="109">
        <f t="shared" si="305"/>
        <v>0</v>
      </c>
      <c r="BE115" s="119"/>
      <c r="BF115" s="116"/>
      <c r="BG115" s="109">
        <f t="shared" si="306"/>
        <v>0</v>
      </c>
      <c r="BH115" s="119"/>
      <c r="BI115" s="116"/>
      <c r="BJ115" s="109">
        <f t="shared" si="307"/>
        <v>0</v>
      </c>
      <c r="BK115" s="119"/>
      <c r="BL115" s="116"/>
      <c r="BM115" s="109">
        <f t="shared" si="308"/>
        <v>0</v>
      </c>
      <c r="BN115" s="119"/>
      <c r="BO115" s="116"/>
      <c r="BP115" s="109">
        <f t="shared" si="309"/>
        <v>0</v>
      </c>
      <c r="BQ115" s="119"/>
      <c r="BR115" s="116"/>
      <c r="BS115" s="109">
        <f t="shared" si="310"/>
        <v>0</v>
      </c>
      <c r="BT115" s="119"/>
      <c r="BU115" s="116"/>
      <c r="BV115" s="109">
        <f t="shared" si="311"/>
        <v>0</v>
      </c>
      <c r="BW115" s="119"/>
      <c r="BX115" s="116"/>
      <c r="BY115" s="109">
        <f t="shared" si="312"/>
        <v>0</v>
      </c>
      <c r="BZ115" s="119"/>
      <c r="CA115" s="116"/>
      <c r="CB115" s="109">
        <f t="shared" si="313"/>
        <v>0</v>
      </c>
      <c r="CC115" s="119"/>
      <c r="CD115" s="116"/>
      <c r="CE115" s="109">
        <f t="shared" si="314"/>
        <v>0</v>
      </c>
      <c r="CF115" s="119"/>
      <c r="CG115" s="116"/>
      <c r="CH115" s="109">
        <f t="shared" si="315"/>
        <v>0</v>
      </c>
      <c r="CI115" s="119"/>
      <c r="CJ115" s="116"/>
      <c r="CK115" s="109">
        <f t="shared" si="316"/>
        <v>0</v>
      </c>
      <c r="CL115" s="119"/>
      <c r="CM115" s="116"/>
      <c r="CN115" s="109">
        <f t="shared" si="317"/>
        <v>0</v>
      </c>
      <c r="CO115" s="119"/>
      <c r="CP115" s="116"/>
      <c r="CQ115" s="109">
        <f t="shared" si="318"/>
        <v>0</v>
      </c>
      <c r="CR115" s="119"/>
      <c r="CS115" s="116"/>
      <c r="CT115" s="109">
        <f t="shared" si="319"/>
        <v>0</v>
      </c>
      <c r="CU115" s="119"/>
      <c r="CV115" s="116"/>
      <c r="CW115" s="109">
        <f t="shared" si="320"/>
        <v>0</v>
      </c>
      <c r="CX115" s="119"/>
      <c r="CY115" s="116"/>
      <c r="CZ115" s="109">
        <f t="shared" si="321"/>
        <v>0</v>
      </c>
      <c r="DA115" s="119"/>
      <c r="DB115" s="116"/>
      <c r="DC115" s="109">
        <f t="shared" si="322"/>
        <v>0</v>
      </c>
      <c r="DD115" s="119"/>
      <c r="DE115" s="116"/>
      <c r="DF115" s="109">
        <f t="shared" si="323"/>
        <v>0</v>
      </c>
      <c r="DG115" s="119"/>
      <c r="DH115" s="116"/>
      <c r="DI115" s="109">
        <f t="shared" si="324"/>
        <v>0</v>
      </c>
      <c r="DJ115" s="119"/>
      <c r="DK115" s="116"/>
      <c r="DL115" s="109">
        <f t="shared" si="325"/>
        <v>0</v>
      </c>
      <c r="DM115" s="119"/>
      <c r="DN115" s="116"/>
      <c r="DO115" s="109">
        <f t="shared" si="326"/>
        <v>0</v>
      </c>
      <c r="DP115" s="126"/>
      <c r="DQ115" s="110"/>
      <c r="DR115" s="111"/>
      <c r="DS115" s="112">
        <f t="shared" si="327"/>
        <v>0</v>
      </c>
      <c r="DT115" s="113">
        <f t="shared" si="328"/>
        <v>0</v>
      </c>
    </row>
    <row r="116" spans="2:124" s="86" customFormat="1" ht="21.9" customHeight="1" outlineLevel="1">
      <c r="B116" s="122" t="s">
        <v>306</v>
      </c>
      <c r="C116" s="128"/>
      <c r="D116" s="129"/>
      <c r="E116" s="130"/>
      <c r="F116" s="119"/>
      <c r="G116" s="116"/>
      <c r="H116" s="109">
        <f t="shared" si="329"/>
        <v>0</v>
      </c>
      <c r="I116" s="119"/>
      <c r="J116" s="116"/>
      <c r="K116" s="109">
        <f t="shared" si="291"/>
        <v>0</v>
      </c>
      <c r="L116" s="119"/>
      <c r="M116" s="116"/>
      <c r="N116" s="109">
        <f t="shared" si="330"/>
        <v>0</v>
      </c>
      <c r="O116" s="119"/>
      <c r="P116" s="116"/>
      <c r="Q116" s="109">
        <f t="shared" si="292"/>
        <v>0</v>
      </c>
      <c r="R116" s="119"/>
      <c r="S116" s="116"/>
      <c r="T116" s="109">
        <f t="shared" si="293"/>
        <v>0</v>
      </c>
      <c r="U116" s="119"/>
      <c r="V116" s="116"/>
      <c r="W116" s="109">
        <f t="shared" si="294"/>
        <v>0</v>
      </c>
      <c r="X116" s="119"/>
      <c r="Y116" s="116"/>
      <c r="Z116" s="109">
        <f t="shared" si="295"/>
        <v>0</v>
      </c>
      <c r="AA116" s="119"/>
      <c r="AB116" s="116"/>
      <c r="AC116" s="109">
        <f t="shared" si="296"/>
        <v>0</v>
      </c>
      <c r="AD116" s="119"/>
      <c r="AE116" s="116"/>
      <c r="AF116" s="109">
        <f t="shared" si="297"/>
        <v>0</v>
      </c>
      <c r="AG116" s="119"/>
      <c r="AH116" s="116"/>
      <c r="AI116" s="109">
        <f t="shared" si="298"/>
        <v>0</v>
      </c>
      <c r="AJ116" s="119"/>
      <c r="AK116" s="116"/>
      <c r="AL116" s="109">
        <f t="shared" si="299"/>
        <v>0</v>
      </c>
      <c r="AM116" s="119"/>
      <c r="AN116" s="116"/>
      <c r="AO116" s="109">
        <f t="shared" si="300"/>
        <v>0</v>
      </c>
      <c r="AP116" s="119"/>
      <c r="AQ116" s="116"/>
      <c r="AR116" s="109">
        <f t="shared" si="301"/>
        <v>0</v>
      </c>
      <c r="AS116" s="119"/>
      <c r="AT116" s="116"/>
      <c r="AU116" s="109">
        <f t="shared" si="302"/>
        <v>0</v>
      </c>
      <c r="AV116" s="119"/>
      <c r="AW116" s="116"/>
      <c r="AX116" s="109">
        <f t="shared" si="303"/>
        <v>0</v>
      </c>
      <c r="AY116" s="119"/>
      <c r="AZ116" s="116"/>
      <c r="BA116" s="109">
        <f t="shared" si="304"/>
        <v>0</v>
      </c>
      <c r="BB116" s="119"/>
      <c r="BC116" s="116"/>
      <c r="BD116" s="109">
        <f t="shared" si="305"/>
        <v>0</v>
      </c>
      <c r="BE116" s="119"/>
      <c r="BF116" s="116"/>
      <c r="BG116" s="109">
        <f t="shared" si="306"/>
        <v>0</v>
      </c>
      <c r="BH116" s="119"/>
      <c r="BI116" s="116"/>
      <c r="BJ116" s="109">
        <f t="shared" si="307"/>
        <v>0</v>
      </c>
      <c r="BK116" s="119"/>
      <c r="BL116" s="116"/>
      <c r="BM116" s="109">
        <f t="shared" si="308"/>
        <v>0</v>
      </c>
      <c r="BN116" s="119"/>
      <c r="BO116" s="116"/>
      <c r="BP116" s="109">
        <f t="shared" si="309"/>
        <v>0</v>
      </c>
      <c r="BQ116" s="119"/>
      <c r="BR116" s="116"/>
      <c r="BS116" s="109">
        <f t="shared" si="310"/>
        <v>0</v>
      </c>
      <c r="BT116" s="119"/>
      <c r="BU116" s="116"/>
      <c r="BV116" s="109">
        <f t="shared" si="311"/>
        <v>0</v>
      </c>
      <c r="BW116" s="119"/>
      <c r="BX116" s="116"/>
      <c r="BY116" s="109">
        <f t="shared" si="312"/>
        <v>0</v>
      </c>
      <c r="BZ116" s="119"/>
      <c r="CA116" s="116"/>
      <c r="CB116" s="109">
        <f t="shared" si="313"/>
        <v>0</v>
      </c>
      <c r="CC116" s="119"/>
      <c r="CD116" s="116"/>
      <c r="CE116" s="109">
        <f t="shared" si="314"/>
        <v>0</v>
      </c>
      <c r="CF116" s="119"/>
      <c r="CG116" s="116"/>
      <c r="CH116" s="109">
        <f t="shared" si="315"/>
        <v>0</v>
      </c>
      <c r="CI116" s="119"/>
      <c r="CJ116" s="116"/>
      <c r="CK116" s="109">
        <f t="shared" si="316"/>
        <v>0</v>
      </c>
      <c r="CL116" s="119"/>
      <c r="CM116" s="116"/>
      <c r="CN116" s="109">
        <f t="shared" si="317"/>
        <v>0</v>
      </c>
      <c r="CO116" s="119"/>
      <c r="CP116" s="116"/>
      <c r="CQ116" s="109">
        <f t="shared" si="318"/>
        <v>0</v>
      </c>
      <c r="CR116" s="119"/>
      <c r="CS116" s="116"/>
      <c r="CT116" s="109">
        <f t="shared" si="319"/>
        <v>0</v>
      </c>
      <c r="CU116" s="119"/>
      <c r="CV116" s="116"/>
      <c r="CW116" s="109">
        <f t="shared" si="320"/>
        <v>0</v>
      </c>
      <c r="CX116" s="119"/>
      <c r="CY116" s="116"/>
      <c r="CZ116" s="109">
        <f t="shared" si="321"/>
        <v>0</v>
      </c>
      <c r="DA116" s="119"/>
      <c r="DB116" s="116"/>
      <c r="DC116" s="109">
        <f t="shared" si="322"/>
        <v>0</v>
      </c>
      <c r="DD116" s="119"/>
      <c r="DE116" s="116"/>
      <c r="DF116" s="109">
        <f t="shared" si="323"/>
        <v>0</v>
      </c>
      <c r="DG116" s="119"/>
      <c r="DH116" s="116"/>
      <c r="DI116" s="109">
        <f t="shared" si="324"/>
        <v>0</v>
      </c>
      <c r="DJ116" s="119"/>
      <c r="DK116" s="116"/>
      <c r="DL116" s="109">
        <f t="shared" si="325"/>
        <v>0</v>
      </c>
      <c r="DM116" s="119"/>
      <c r="DN116" s="116"/>
      <c r="DO116" s="109">
        <f t="shared" si="326"/>
        <v>0</v>
      </c>
      <c r="DP116" s="126"/>
      <c r="DQ116" s="110"/>
      <c r="DR116" s="111"/>
      <c r="DS116" s="112">
        <f t="shared" si="327"/>
        <v>0</v>
      </c>
      <c r="DT116" s="113">
        <f t="shared" si="328"/>
        <v>0</v>
      </c>
    </row>
    <row r="117" spans="2:124" s="86" customFormat="1" ht="21.9" customHeight="1" outlineLevel="1">
      <c r="B117" s="122" t="s">
        <v>307</v>
      </c>
      <c r="C117" s="128"/>
      <c r="D117" s="129"/>
      <c r="E117" s="130"/>
      <c r="F117" s="119"/>
      <c r="G117" s="116"/>
      <c r="H117" s="109">
        <f t="shared" si="329"/>
        <v>0</v>
      </c>
      <c r="I117" s="119"/>
      <c r="J117" s="116"/>
      <c r="K117" s="109">
        <f t="shared" si="291"/>
        <v>0</v>
      </c>
      <c r="L117" s="119"/>
      <c r="M117" s="116"/>
      <c r="N117" s="109">
        <f t="shared" si="330"/>
        <v>0</v>
      </c>
      <c r="O117" s="119"/>
      <c r="P117" s="116"/>
      <c r="Q117" s="109">
        <f t="shared" si="292"/>
        <v>0</v>
      </c>
      <c r="R117" s="119"/>
      <c r="S117" s="116"/>
      <c r="T117" s="109">
        <f t="shared" si="293"/>
        <v>0</v>
      </c>
      <c r="U117" s="119"/>
      <c r="V117" s="116"/>
      <c r="W117" s="109">
        <f t="shared" si="294"/>
        <v>0</v>
      </c>
      <c r="X117" s="119"/>
      <c r="Y117" s="116"/>
      <c r="Z117" s="109">
        <f t="shared" si="295"/>
        <v>0</v>
      </c>
      <c r="AA117" s="119"/>
      <c r="AB117" s="116"/>
      <c r="AC117" s="109">
        <f t="shared" si="296"/>
        <v>0</v>
      </c>
      <c r="AD117" s="119"/>
      <c r="AE117" s="116"/>
      <c r="AF117" s="109">
        <f t="shared" si="297"/>
        <v>0</v>
      </c>
      <c r="AG117" s="119"/>
      <c r="AH117" s="116"/>
      <c r="AI117" s="109">
        <f t="shared" si="298"/>
        <v>0</v>
      </c>
      <c r="AJ117" s="119"/>
      <c r="AK117" s="116"/>
      <c r="AL117" s="109">
        <f t="shared" si="299"/>
        <v>0</v>
      </c>
      <c r="AM117" s="119"/>
      <c r="AN117" s="116"/>
      <c r="AO117" s="109">
        <f t="shared" si="300"/>
        <v>0</v>
      </c>
      <c r="AP117" s="119"/>
      <c r="AQ117" s="116"/>
      <c r="AR117" s="109">
        <f t="shared" si="301"/>
        <v>0</v>
      </c>
      <c r="AS117" s="119"/>
      <c r="AT117" s="116"/>
      <c r="AU117" s="109">
        <f t="shared" si="302"/>
        <v>0</v>
      </c>
      <c r="AV117" s="119"/>
      <c r="AW117" s="116"/>
      <c r="AX117" s="109">
        <f t="shared" si="303"/>
        <v>0</v>
      </c>
      <c r="AY117" s="119"/>
      <c r="AZ117" s="116"/>
      <c r="BA117" s="109">
        <f t="shared" si="304"/>
        <v>0</v>
      </c>
      <c r="BB117" s="119"/>
      <c r="BC117" s="116"/>
      <c r="BD117" s="109">
        <f t="shared" si="305"/>
        <v>0</v>
      </c>
      <c r="BE117" s="119"/>
      <c r="BF117" s="116"/>
      <c r="BG117" s="109">
        <f t="shared" si="306"/>
        <v>0</v>
      </c>
      <c r="BH117" s="119"/>
      <c r="BI117" s="116"/>
      <c r="BJ117" s="109">
        <f t="shared" si="307"/>
        <v>0</v>
      </c>
      <c r="BK117" s="119"/>
      <c r="BL117" s="116"/>
      <c r="BM117" s="109">
        <f t="shared" si="308"/>
        <v>0</v>
      </c>
      <c r="BN117" s="119"/>
      <c r="BO117" s="116"/>
      <c r="BP117" s="109">
        <f t="shared" si="309"/>
        <v>0</v>
      </c>
      <c r="BQ117" s="119"/>
      <c r="BR117" s="116"/>
      <c r="BS117" s="109">
        <f t="shared" si="310"/>
        <v>0</v>
      </c>
      <c r="BT117" s="119"/>
      <c r="BU117" s="116"/>
      <c r="BV117" s="109">
        <f t="shared" si="311"/>
        <v>0</v>
      </c>
      <c r="BW117" s="119"/>
      <c r="BX117" s="116"/>
      <c r="BY117" s="109">
        <f t="shared" si="312"/>
        <v>0</v>
      </c>
      <c r="BZ117" s="119"/>
      <c r="CA117" s="116"/>
      <c r="CB117" s="109">
        <f t="shared" si="313"/>
        <v>0</v>
      </c>
      <c r="CC117" s="119"/>
      <c r="CD117" s="116"/>
      <c r="CE117" s="109">
        <f t="shared" si="314"/>
        <v>0</v>
      </c>
      <c r="CF117" s="119"/>
      <c r="CG117" s="116"/>
      <c r="CH117" s="109">
        <f t="shared" si="315"/>
        <v>0</v>
      </c>
      <c r="CI117" s="119"/>
      <c r="CJ117" s="116"/>
      <c r="CK117" s="109">
        <f t="shared" si="316"/>
        <v>0</v>
      </c>
      <c r="CL117" s="119"/>
      <c r="CM117" s="116"/>
      <c r="CN117" s="109">
        <f t="shared" si="317"/>
        <v>0</v>
      </c>
      <c r="CO117" s="119"/>
      <c r="CP117" s="116"/>
      <c r="CQ117" s="109">
        <f t="shared" si="318"/>
        <v>0</v>
      </c>
      <c r="CR117" s="119"/>
      <c r="CS117" s="116"/>
      <c r="CT117" s="109">
        <f t="shared" si="319"/>
        <v>0</v>
      </c>
      <c r="CU117" s="119"/>
      <c r="CV117" s="116"/>
      <c r="CW117" s="109">
        <f t="shared" si="320"/>
        <v>0</v>
      </c>
      <c r="CX117" s="119"/>
      <c r="CY117" s="116"/>
      <c r="CZ117" s="109">
        <f t="shared" si="321"/>
        <v>0</v>
      </c>
      <c r="DA117" s="119"/>
      <c r="DB117" s="116"/>
      <c r="DC117" s="109">
        <f t="shared" si="322"/>
        <v>0</v>
      </c>
      <c r="DD117" s="119"/>
      <c r="DE117" s="116"/>
      <c r="DF117" s="109">
        <f t="shared" si="323"/>
        <v>0</v>
      </c>
      <c r="DG117" s="119"/>
      <c r="DH117" s="116"/>
      <c r="DI117" s="109">
        <f t="shared" si="324"/>
        <v>0</v>
      </c>
      <c r="DJ117" s="119"/>
      <c r="DK117" s="116"/>
      <c r="DL117" s="109">
        <f t="shared" si="325"/>
        <v>0</v>
      </c>
      <c r="DM117" s="119"/>
      <c r="DN117" s="116"/>
      <c r="DO117" s="109">
        <f t="shared" si="326"/>
        <v>0</v>
      </c>
      <c r="DP117" s="126"/>
      <c r="DQ117" s="110"/>
      <c r="DR117" s="111"/>
      <c r="DS117" s="112">
        <f t="shared" si="327"/>
        <v>0</v>
      </c>
      <c r="DT117" s="113">
        <f t="shared" si="328"/>
        <v>0</v>
      </c>
    </row>
    <row r="118" spans="2:124" s="86" customFormat="1" ht="21.9" customHeight="1" outlineLevel="1">
      <c r="B118" s="122" t="s">
        <v>308</v>
      </c>
      <c r="C118" s="128"/>
      <c r="D118" s="129"/>
      <c r="E118" s="130"/>
      <c r="F118" s="119"/>
      <c r="G118" s="116"/>
      <c r="H118" s="109">
        <f t="shared" si="329"/>
        <v>0</v>
      </c>
      <c r="I118" s="119"/>
      <c r="J118" s="116"/>
      <c r="K118" s="109">
        <f t="shared" si="291"/>
        <v>0</v>
      </c>
      <c r="L118" s="119"/>
      <c r="M118" s="116"/>
      <c r="N118" s="109">
        <f t="shared" si="330"/>
        <v>0</v>
      </c>
      <c r="O118" s="119"/>
      <c r="P118" s="116"/>
      <c r="Q118" s="109">
        <f t="shared" si="292"/>
        <v>0</v>
      </c>
      <c r="R118" s="119"/>
      <c r="S118" s="116"/>
      <c r="T118" s="109">
        <f t="shared" si="293"/>
        <v>0</v>
      </c>
      <c r="U118" s="119"/>
      <c r="V118" s="116"/>
      <c r="W118" s="109">
        <f t="shared" si="294"/>
        <v>0</v>
      </c>
      <c r="X118" s="119"/>
      <c r="Y118" s="116"/>
      <c r="Z118" s="109">
        <f t="shared" si="295"/>
        <v>0</v>
      </c>
      <c r="AA118" s="119"/>
      <c r="AB118" s="116"/>
      <c r="AC118" s="109">
        <f t="shared" si="296"/>
        <v>0</v>
      </c>
      <c r="AD118" s="119"/>
      <c r="AE118" s="116"/>
      <c r="AF118" s="109">
        <f t="shared" si="297"/>
        <v>0</v>
      </c>
      <c r="AG118" s="119"/>
      <c r="AH118" s="116"/>
      <c r="AI118" s="109">
        <f t="shared" si="298"/>
        <v>0</v>
      </c>
      <c r="AJ118" s="119"/>
      <c r="AK118" s="116"/>
      <c r="AL118" s="109">
        <f t="shared" si="299"/>
        <v>0</v>
      </c>
      <c r="AM118" s="119"/>
      <c r="AN118" s="116"/>
      <c r="AO118" s="109">
        <f t="shared" si="300"/>
        <v>0</v>
      </c>
      <c r="AP118" s="119"/>
      <c r="AQ118" s="116"/>
      <c r="AR118" s="109">
        <f t="shared" si="301"/>
        <v>0</v>
      </c>
      <c r="AS118" s="119"/>
      <c r="AT118" s="116"/>
      <c r="AU118" s="109">
        <f t="shared" si="302"/>
        <v>0</v>
      </c>
      <c r="AV118" s="119"/>
      <c r="AW118" s="116"/>
      <c r="AX118" s="109">
        <f t="shared" si="303"/>
        <v>0</v>
      </c>
      <c r="AY118" s="119"/>
      <c r="AZ118" s="116"/>
      <c r="BA118" s="109">
        <f t="shared" si="304"/>
        <v>0</v>
      </c>
      <c r="BB118" s="119"/>
      <c r="BC118" s="116"/>
      <c r="BD118" s="109">
        <f t="shared" si="305"/>
        <v>0</v>
      </c>
      <c r="BE118" s="119"/>
      <c r="BF118" s="116"/>
      <c r="BG118" s="109">
        <f t="shared" si="306"/>
        <v>0</v>
      </c>
      <c r="BH118" s="119"/>
      <c r="BI118" s="116"/>
      <c r="BJ118" s="109">
        <f t="shared" si="307"/>
        <v>0</v>
      </c>
      <c r="BK118" s="119"/>
      <c r="BL118" s="116"/>
      <c r="BM118" s="109">
        <f t="shared" si="308"/>
        <v>0</v>
      </c>
      <c r="BN118" s="119"/>
      <c r="BO118" s="116"/>
      <c r="BP118" s="109">
        <f t="shared" si="309"/>
        <v>0</v>
      </c>
      <c r="BQ118" s="119"/>
      <c r="BR118" s="116"/>
      <c r="BS118" s="109">
        <f t="shared" si="310"/>
        <v>0</v>
      </c>
      <c r="BT118" s="119"/>
      <c r="BU118" s="116"/>
      <c r="BV118" s="109">
        <f t="shared" si="311"/>
        <v>0</v>
      </c>
      <c r="BW118" s="119"/>
      <c r="BX118" s="116"/>
      <c r="BY118" s="109">
        <f t="shared" si="312"/>
        <v>0</v>
      </c>
      <c r="BZ118" s="119"/>
      <c r="CA118" s="116"/>
      <c r="CB118" s="109">
        <f t="shared" si="313"/>
        <v>0</v>
      </c>
      <c r="CC118" s="119"/>
      <c r="CD118" s="116"/>
      <c r="CE118" s="109">
        <f t="shared" si="314"/>
        <v>0</v>
      </c>
      <c r="CF118" s="119"/>
      <c r="CG118" s="116"/>
      <c r="CH118" s="109">
        <f t="shared" si="315"/>
        <v>0</v>
      </c>
      <c r="CI118" s="119"/>
      <c r="CJ118" s="116"/>
      <c r="CK118" s="109">
        <f t="shared" si="316"/>
        <v>0</v>
      </c>
      <c r="CL118" s="119"/>
      <c r="CM118" s="116"/>
      <c r="CN118" s="109">
        <f t="shared" si="317"/>
        <v>0</v>
      </c>
      <c r="CO118" s="119"/>
      <c r="CP118" s="116"/>
      <c r="CQ118" s="109">
        <f t="shared" si="318"/>
        <v>0</v>
      </c>
      <c r="CR118" s="119"/>
      <c r="CS118" s="116"/>
      <c r="CT118" s="109">
        <f t="shared" si="319"/>
        <v>0</v>
      </c>
      <c r="CU118" s="119"/>
      <c r="CV118" s="116"/>
      <c r="CW118" s="109">
        <f t="shared" si="320"/>
        <v>0</v>
      </c>
      <c r="CX118" s="119"/>
      <c r="CY118" s="116"/>
      <c r="CZ118" s="109">
        <f t="shared" si="321"/>
        <v>0</v>
      </c>
      <c r="DA118" s="119"/>
      <c r="DB118" s="116"/>
      <c r="DC118" s="109">
        <f t="shared" si="322"/>
        <v>0</v>
      </c>
      <c r="DD118" s="119"/>
      <c r="DE118" s="116"/>
      <c r="DF118" s="109">
        <f t="shared" si="323"/>
        <v>0</v>
      </c>
      <c r="DG118" s="119"/>
      <c r="DH118" s="116"/>
      <c r="DI118" s="109">
        <f t="shared" si="324"/>
        <v>0</v>
      </c>
      <c r="DJ118" s="119"/>
      <c r="DK118" s="116"/>
      <c r="DL118" s="109">
        <f t="shared" si="325"/>
        <v>0</v>
      </c>
      <c r="DM118" s="119"/>
      <c r="DN118" s="116"/>
      <c r="DO118" s="109">
        <f t="shared" si="326"/>
        <v>0</v>
      </c>
      <c r="DP118" s="126"/>
      <c r="DQ118" s="110"/>
      <c r="DR118" s="111"/>
      <c r="DS118" s="112">
        <f t="shared" si="327"/>
        <v>0</v>
      </c>
      <c r="DT118" s="113">
        <f t="shared" si="328"/>
        <v>0</v>
      </c>
    </row>
    <row r="119" spans="2:124" s="86" customFormat="1" ht="21.9" customHeight="1" outlineLevel="1">
      <c r="B119" s="122" t="s">
        <v>309</v>
      </c>
      <c r="C119" s="128"/>
      <c r="D119" s="129"/>
      <c r="E119" s="130"/>
      <c r="F119" s="119"/>
      <c r="G119" s="116"/>
      <c r="H119" s="109">
        <f t="shared" si="329"/>
        <v>0</v>
      </c>
      <c r="I119" s="119"/>
      <c r="J119" s="116"/>
      <c r="K119" s="109">
        <f t="shared" si="291"/>
        <v>0</v>
      </c>
      <c r="L119" s="119"/>
      <c r="M119" s="116"/>
      <c r="N119" s="109">
        <f t="shared" si="330"/>
        <v>0</v>
      </c>
      <c r="O119" s="119"/>
      <c r="P119" s="116"/>
      <c r="Q119" s="109">
        <f t="shared" si="292"/>
        <v>0</v>
      </c>
      <c r="R119" s="119"/>
      <c r="S119" s="116"/>
      <c r="T119" s="109">
        <f t="shared" si="293"/>
        <v>0</v>
      </c>
      <c r="U119" s="119"/>
      <c r="V119" s="116"/>
      <c r="W119" s="109">
        <f t="shared" si="294"/>
        <v>0</v>
      </c>
      <c r="X119" s="119"/>
      <c r="Y119" s="116"/>
      <c r="Z119" s="109">
        <f t="shared" si="295"/>
        <v>0</v>
      </c>
      <c r="AA119" s="119"/>
      <c r="AB119" s="116"/>
      <c r="AC119" s="109">
        <f t="shared" si="296"/>
        <v>0</v>
      </c>
      <c r="AD119" s="119"/>
      <c r="AE119" s="116"/>
      <c r="AF119" s="109">
        <f t="shared" si="297"/>
        <v>0</v>
      </c>
      <c r="AG119" s="119"/>
      <c r="AH119" s="116"/>
      <c r="AI119" s="109">
        <f t="shared" si="298"/>
        <v>0</v>
      </c>
      <c r="AJ119" s="119"/>
      <c r="AK119" s="116"/>
      <c r="AL119" s="109">
        <f t="shared" si="299"/>
        <v>0</v>
      </c>
      <c r="AM119" s="119"/>
      <c r="AN119" s="116"/>
      <c r="AO119" s="109">
        <f t="shared" si="300"/>
        <v>0</v>
      </c>
      <c r="AP119" s="119"/>
      <c r="AQ119" s="116"/>
      <c r="AR119" s="109">
        <f t="shared" si="301"/>
        <v>0</v>
      </c>
      <c r="AS119" s="119"/>
      <c r="AT119" s="116"/>
      <c r="AU119" s="109">
        <f t="shared" si="302"/>
        <v>0</v>
      </c>
      <c r="AV119" s="119"/>
      <c r="AW119" s="116"/>
      <c r="AX119" s="109">
        <f t="shared" si="303"/>
        <v>0</v>
      </c>
      <c r="AY119" s="119"/>
      <c r="AZ119" s="116"/>
      <c r="BA119" s="109">
        <f t="shared" si="304"/>
        <v>0</v>
      </c>
      <c r="BB119" s="119"/>
      <c r="BC119" s="116"/>
      <c r="BD119" s="109">
        <f t="shared" si="305"/>
        <v>0</v>
      </c>
      <c r="BE119" s="119"/>
      <c r="BF119" s="116"/>
      <c r="BG119" s="109">
        <f t="shared" si="306"/>
        <v>0</v>
      </c>
      <c r="BH119" s="119"/>
      <c r="BI119" s="116"/>
      <c r="BJ119" s="109">
        <f t="shared" si="307"/>
        <v>0</v>
      </c>
      <c r="BK119" s="119"/>
      <c r="BL119" s="116"/>
      <c r="BM119" s="109">
        <f t="shared" si="308"/>
        <v>0</v>
      </c>
      <c r="BN119" s="119"/>
      <c r="BO119" s="116"/>
      <c r="BP119" s="109">
        <f t="shared" si="309"/>
        <v>0</v>
      </c>
      <c r="BQ119" s="119"/>
      <c r="BR119" s="116"/>
      <c r="BS119" s="109">
        <f t="shared" si="310"/>
        <v>0</v>
      </c>
      <c r="BT119" s="119"/>
      <c r="BU119" s="116"/>
      <c r="BV119" s="109">
        <f t="shared" si="311"/>
        <v>0</v>
      </c>
      <c r="BW119" s="119"/>
      <c r="BX119" s="116"/>
      <c r="BY119" s="109">
        <f t="shared" si="312"/>
        <v>0</v>
      </c>
      <c r="BZ119" s="119"/>
      <c r="CA119" s="116"/>
      <c r="CB119" s="109">
        <f t="shared" si="313"/>
        <v>0</v>
      </c>
      <c r="CC119" s="119"/>
      <c r="CD119" s="116"/>
      <c r="CE119" s="109">
        <f t="shared" si="314"/>
        <v>0</v>
      </c>
      <c r="CF119" s="119"/>
      <c r="CG119" s="116"/>
      <c r="CH119" s="109">
        <f t="shared" si="315"/>
        <v>0</v>
      </c>
      <c r="CI119" s="119"/>
      <c r="CJ119" s="116"/>
      <c r="CK119" s="109">
        <f t="shared" si="316"/>
        <v>0</v>
      </c>
      <c r="CL119" s="119"/>
      <c r="CM119" s="116"/>
      <c r="CN119" s="109">
        <f t="shared" si="317"/>
        <v>0</v>
      </c>
      <c r="CO119" s="119"/>
      <c r="CP119" s="116"/>
      <c r="CQ119" s="109">
        <f t="shared" si="318"/>
        <v>0</v>
      </c>
      <c r="CR119" s="119"/>
      <c r="CS119" s="116"/>
      <c r="CT119" s="109">
        <f t="shared" si="319"/>
        <v>0</v>
      </c>
      <c r="CU119" s="119"/>
      <c r="CV119" s="116"/>
      <c r="CW119" s="109">
        <f t="shared" si="320"/>
        <v>0</v>
      </c>
      <c r="CX119" s="119"/>
      <c r="CY119" s="116"/>
      <c r="CZ119" s="109">
        <f t="shared" si="321"/>
        <v>0</v>
      </c>
      <c r="DA119" s="119"/>
      <c r="DB119" s="116"/>
      <c r="DC119" s="109">
        <f t="shared" si="322"/>
        <v>0</v>
      </c>
      <c r="DD119" s="119"/>
      <c r="DE119" s="116"/>
      <c r="DF119" s="109">
        <f t="shared" si="323"/>
        <v>0</v>
      </c>
      <c r="DG119" s="119"/>
      <c r="DH119" s="116"/>
      <c r="DI119" s="109">
        <f t="shared" si="324"/>
        <v>0</v>
      </c>
      <c r="DJ119" s="119"/>
      <c r="DK119" s="116"/>
      <c r="DL119" s="109">
        <f t="shared" si="325"/>
        <v>0</v>
      </c>
      <c r="DM119" s="119"/>
      <c r="DN119" s="116"/>
      <c r="DO119" s="109">
        <f t="shared" si="326"/>
        <v>0</v>
      </c>
      <c r="DP119" s="126"/>
      <c r="DQ119" s="110"/>
      <c r="DR119" s="111"/>
      <c r="DS119" s="112">
        <f t="shared" si="327"/>
        <v>0</v>
      </c>
      <c r="DT119" s="113">
        <f t="shared" si="328"/>
        <v>0</v>
      </c>
    </row>
    <row r="120" spans="2:124" s="86" customFormat="1" ht="21.9" customHeight="1" outlineLevel="1">
      <c r="B120" s="122" t="s">
        <v>310</v>
      </c>
      <c r="C120" s="128"/>
      <c r="D120" s="129"/>
      <c r="E120" s="130"/>
      <c r="F120" s="119"/>
      <c r="G120" s="116"/>
      <c r="H120" s="109">
        <f t="shared" si="329"/>
        <v>0</v>
      </c>
      <c r="I120" s="119"/>
      <c r="J120" s="116"/>
      <c r="K120" s="109">
        <f t="shared" si="291"/>
        <v>0</v>
      </c>
      <c r="L120" s="119"/>
      <c r="M120" s="116"/>
      <c r="N120" s="109">
        <f t="shared" si="330"/>
        <v>0</v>
      </c>
      <c r="O120" s="119"/>
      <c r="P120" s="116"/>
      <c r="Q120" s="109">
        <f t="shared" si="292"/>
        <v>0</v>
      </c>
      <c r="R120" s="119"/>
      <c r="S120" s="116"/>
      <c r="T120" s="109">
        <f t="shared" si="293"/>
        <v>0</v>
      </c>
      <c r="U120" s="119"/>
      <c r="V120" s="116"/>
      <c r="W120" s="109">
        <f t="shared" si="294"/>
        <v>0</v>
      </c>
      <c r="X120" s="119"/>
      <c r="Y120" s="116"/>
      <c r="Z120" s="109">
        <f t="shared" si="295"/>
        <v>0</v>
      </c>
      <c r="AA120" s="119"/>
      <c r="AB120" s="116"/>
      <c r="AC120" s="109">
        <f t="shared" si="296"/>
        <v>0</v>
      </c>
      <c r="AD120" s="119"/>
      <c r="AE120" s="116"/>
      <c r="AF120" s="109">
        <f t="shared" si="297"/>
        <v>0</v>
      </c>
      <c r="AG120" s="119"/>
      <c r="AH120" s="116"/>
      <c r="AI120" s="109">
        <f t="shared" si="298"/>
        <v>0</v>
      </c>
      <c r="AJ120" s="119"/>
      <c r="AK120" s="116"/>
      <c r="AL120" s="109">
        <f t="shared" si="299"/>
        <v>0</v>
      </c>
      <c r="AM120" s="119"/>
      <c r="AN120" s="116"/>
      <c r="AO120" s="109">
        <f t="shared" si="300"/>
        <v>0</v>
      </c>
      <c r="AP120" s="119"/>
      <c r="AQ120" s="116"/>
      <c r="AR120" s="109">
        <f t="shared" si="301"/>
        <v>0</v>
      </c>
      <c r="AS120" s="119"/>
      <c r="AT120" s="116"/>
      <c r="AU120" s="109">
        <f t="shared" si="302"/>
        <v>0</v>
      </c>
      <c r="AV120" s="119"/>
      <c r="AW120" s="116"/>
      <c r="AX120" s="109">
        <f t="shared" si="303"/>
        <v>0</v>
      </c>
      <c r="AY120" s="119"/>
      <c r="AZ120" s="116"/>
      <c r="BA120" s="109">
        <f t="shared" si="304"/>
        <v>0</v>
      </c>
      <c r="BB120" s="119"/>
      <c r="BC120" s="116"/>
      <c r="BD120" s="109">
        <f t="shared" si="305"/>
        <v>0</v>
      </c>
      <c r="BE120" s="119"/>
      <c r="BF120" s="116"/>
      <c r="BG120" s="109">
        <f t="shared" si="306"/>
        <v>0</v>
      </c>
      <c r="BH120" s="119"/>
      <c r="BI120" s="116"/>
      <c r="BJ120" s="109">
        <f t="shared" si="307"/>
        <v>0</v>
      </c>
      <c r="BK120" s="119"/>
      <c r="BL120" s="116"/>
      <c r="BM120" s="109">
        <f t="shared" si="308"/>
        <v>0</v>
      </c>
      <c r="BN120" s="119"/>
      <c r="BO120" s="116"/>
      <c r="BP120" s="109">
        <f t="shared" si="309"/>
        <v>0</v>
      </c>
      <c r="BQ120" s="119"/>
      <c r="BR120" s="116"/>
      <c r="BS120" s="109">
        <f t="shared" si="310"/>
        <v>0</v>
      </c>
      <c r="BT120" s="119"/>
      <c r="BU120" s="116"/>
      <c r="BV120" s="109">
        <f t="shared" si="311"/>
        <v>0</v>
      </c>
      <c r="BW120" s="119"/>
      <c r="BX120" s="116"/>
      <c r="BY120" s="109">
        <f t="shared" si="312"/>
        <v>0</v>
      </c>
      <c r="BZ120" s="119"/>
      <c r="CA120" s="116"/>
      <c r="CB120" s="109">
        <f t="shared" si="313"/>
        <v>0</v>
      </c>
      <c r="CC120" s="119"/>
      <c r="CD120" s="116"/>
      <c r="CE120" s="109">
        <f t="shared" si="314"/>
        <v>0</v>
      </c>
      <c r="CF120" s="119"/>
      <c r="CG120" s="116"/>
      <c r="CH120" s="109">
        <f t="shared" si="315"/>
        <v>0</v>
      </c>
      <c r="CI120" s="119"/>
      <c r="CJ120" s="116"/>
      <c r="CK120" s="109">
        <f t="shared" si="316"/>
        <v>0</v>
      </c>
      <c r="CL120" s="119"/>
      <c r="CM120" s="116"/>
      <c r="CN120" s="109">
        <f t="shared" si="317"/>
        <v>0</v>
      </c>
      <c r="CO120" s="119"/>
      <c r="CP120" s="116"/>
      <c r="CQ120" s="109">
        <f t="shared" si="318"/>
        <v>0</v>
      </c>
      <c r="CR120" s="119"/>
      <c r="CS120" s="116"/>
      <c r="CT120" s="109">
        <f t="shared" si="319"/>
        <v>0</v>
      </c>
      <c r="CU120" s="119"/>
      <c r="CV120" s="116"/>
      <c r="CW120" s="109">
        <f t="shared" si="320"/>
        <v>0</v>
      </c>
      <c r="CX120" s="119"/>
      <c r="CY120" s="116"/>
      <c r="CZ120" s="109">
        <f t="shared" si="321"/>
        <v>0</v>
      </c>
      <c r="DA120" s="119"/>
      <c r="DB120" s="116"/>
      <c r="DC120" s="109">
        <f t="shared" si="322"/>
        <v>0</v>
      </c>
      <c r="DD120" s="119"/>
      <c r="DE120" s="116"/>
      <c r="DF120" s="109">
        <f t="shared" si="323"/>
        <v>0</v>
      </c>
      <c r="DG120" s="119"/>
      <c r="DH120" s="116"/>
      <c r="DI120" s="109">
        <f t="shared" si="324"/>
        <v>0</v>
      </c>
      <c r="DJ120" s="119"/>
      <c r="DK120" s="116"/>
      <c r="DL120" s="109">
        <f t="shared" si="325"/>
        <v>0</v>
      </c>
      <c r="DM120" s="119"/>
      <c r="DN120" s="116"/>
      <c r="DO120" s="109">
        <f t="shared" si="326"/>
        <v>0</v>
      </c>
      <c r="DP120" s="126"/>
      <c r="DQ120" s="110"/>
      <c r="DR120" s="111"/>
      <c r="DS120" s="112">
        <f t="shared" si="327"/>
        <v>0</v>
      </c>
      <c r="DT120" s="113">
        <f t="shared" si="328"/>
        <v>0</v>
      </c>
    </row>
    <row r="121" spans="2:124" s="86" customFormat="1" ht="21.9" customHeight="1" outlineLevel="1">
      <c r="B121" s="122" t="s">
        <v>311</v>
      </c>
      <c r="C121" s="128"/>
      <c r="D121" s="129"/>
      <c r="E121" s="130"/>
      <c r="F121" s="119"/>
      <c r="G121" s="116"/>
      <c r="H121" s="109">
        <f>G121*F121*$E121</f>
        <v>0</v>
      </c>
      <c r="I121" s="119"/>
      <c r="J121" s="116"/>
      <c r="K121" s="109">
        <f>J121*I121*$E121</f>
        <v>0</v>
      </c>
      <c r="L121" s="119"/>
      <c r="M121" s="116"/>
      <c r="N121" s="109">
        <f>M121*L121*$E121</f>
        <v>0</v>
      </c>
      <c r="O121" s="119"/>
      <c r="P121" s="116"/>
      <c r="Q121" s="109">
        <f t="shared" si="292"/>
        <v>0</v>
      </c>
      <c r="R121" s="119"/>
      <c r="S121" s="116"/>
      <c r="T121" s="109">
        <f t="shared" si="293"/>
        <v>0</v>
      </c>
      <c r="U121" s="119"/>
      <c r="V121" s="116"/>
      <c r="W121" s="109">
        <f t="shared" si="294"/>
        <v>0</v>
      </c>
      <c r="X121" s="119"/>
      <c r="Y121" s="116"/>
      <c r="Z121" s="109">
        <f t="shared" si="295"/>
        <v>0</v>
      </c>
      <c r="AA121" s="119"/>
      <c r="AB121" s="116"/>
      <c r="AC121" s="109">
        <f t="shared" si="296"/>
        <v>0</v>
      </c>
      <c r="AD121" s="119"/>
      <c r="AE121" s="116"/>
      <c r="AF121" s="109">
        <f t="shared" si="297"/>
        <v>0</v>
      </c>
      <c r="AG121" s="119"/>
      <c r="AH121" s="116"/>
      <c r="AI121" s="109">
        <f t="shared" si="298"/>
        <v>0</v>
      </c>
      <c r="AJ121" s="119"/>
      <c r="AK121" s="116"/>
      <c r="AL121" s="109">
        <f t="shared" si="299"/>
        <v>0</v>
      </c>
      <c r="AM121" s="119"/>
      <c r="AN121" s="116"/>
      <c r="AO121" s="109">
        <f t="shared" si="300"/>
        <v>0</v>
      </c>
      <c r="AP121" s="119"/>
      <c r="AQ121" s="116"/>
      <c r="AR121" s="109">
        <f t="shared" si="301"/>
        <v>0</v>
      </c>
      <c r="AS121" s="119"/>
      <c r="AT121" s="116"/>
      <c r="AU121" s="109">
        <f t="shared" si="302"/>
        <v>0</v>
      </c>
      <c r="AV121" s="119"/>
      <c r="AW121" s="116"/>
      <c r="AX121" s="109">
        <f t="shared" si="303"/>
        <v>0</v>
      </c>
      <c r="AY121" s="119"/>
      <c r="AZ121" s="116"/>
      <c r="BA121" s="109">
        <f t="shared" si="304"/>
        <v>0</v>
      </c>
      <c r="BB121" s="119"/>
      <c r="BC121" s="116"/>
      <c r="BD121" s="109">
        <f t="shared" si="305"/>
        <v>0</v>
      </c>
      <c r="BE121" s="119"/>
      <c r="BF121" s="116"/>
      <c r="BG121" s="109">
        <f t="shared" si="306"/>
        <v>0</v>
      </c>
      <c r="BH121" s="119"/>
      <c r="BI121" s="116"/>
      <c r="BJ121" s="109">
        <f t="shared" si="307"/>
        <v>0</v>
      </c>
      <c r="BK121" s="119"/>
      <c r="BL121" s="116"/>
      <c r="BM121" s="109">
        <f t="shared" si="308"/>
        <v>0</v>
      </c>
      <c r="BN121" s="119"/>
      <c r="BO121" s="116"/>
      <c r="BP121" s="109">
        <f t="shared" si="309"/>
        <v>0</v>
      </c>
      <c r="BQ121" s="119"/>
      <c r="BR121" s="116"/>
      <c r="BS121" s="109">
        <f t="shared" si="310"/>
        <v>0</v>
      </c>
      <c r="BT121" s="119"/>
      <c r="BU121" s="116"/>
      <c r="BV121" s="109">
        <f t="shared" si="311"/>
        <v>0</v>
      </c>
      <c r="BW121" s="119"/>
      <c r="BX121" s="116"/>
      <c r="BY121" s="109">
        <f t="shared" si="312"/>
        <v>0</v>
      </c>
      <c r="BZ121" s="119"/>
      <c r="CA121" s="116"/>
      <c r="CB121" s="109">
        <f t="shared" si="313"/>
        <v>0</v>
      </c>
      <c r="CC121" s="119"/>
      <c r="CD121" s="116"/>
      <c r="CE121" s="109">
        <f t="shared" si="314"/>
        <v>0</v>
      </c>
      <c r="CF121" s="119"/>
      <c r="CG121" s="116"/>
      <c r="CH121" s="109">
        <f t="shared" si="315"/>
        <v>0</v>
      </c>
      <c r="CI121" s="119"/>
      <c r="CJ121" s="116"/>
      <c r="CK121" s="109">
        <f t="shared" si="316"/>
        <v>0</v>
      </c>
      <c r="CL121" s="119"/>
      <c r="CM121" s="116"/>
      <c r="CN121" s="109">
        <f t="shared" si="317"/>
        <v>0</v>
      </c>
      <c r="CO121" s="119"/>
      <c r="CP121" s="116"/>
      <c r="CQ121" s="109">
        <f t="shared" si="318"/>
        <v>0</v>
      </c>
      <c r="CR121" s="119"/>
      <c r="CS121" s="116"/>
      <c r="CT121" s="109">
        <f t="shared" si="319"/>
        <v>0</v>
      </c>
      <c r="CU121" s="119"/>
      <c r="CV121" s="116"/>
      <c r="CW121" s="109">
        <f t="shared" si="320"/>
        <v>0</v>
      </c>
      <c r="CX121" s="119"/>
      <c r="CY121" s="116"/>
      <c r="CZ121" s="109">
        <f t="shared" si="321"/>
        <v>0</v>
      </c>
      <c r="DA121" s="119"/>
      <c r="DB121" s="116"/>
      <c r="DC121" s="109">
        <f t="shared" si="322"/>
        <v>0</v>
      </c>
      <c r="DD121" s="119"/>
      <c r="DE121" s="116"/>
      <c r="DF121" s="109">
        <f t="shared" si="323"/>
        <v>0</v>
      </c>
      <c r="DG121" s="119"/>
      <c r="DH121" s="116"/>
      <c r="DI121" s="109">
        <f t="shared" si="324"/>
        <v>0</v>
      </c>
      <c r="DJ121" s="119"/>
      <c r="DK121" s="116"/>
      <c r="DL121" s="109">
        <f t="shared" si="325"/>
        <v>0</v>
      </c>
      <c r="DM121" s="119"/>
      <c r="DN121" s="116"/>
      <c r="DO121" s="109">
        <f t="shared" si="326"/>
        <v>0</v>
      </c>
      <c r="DP121" s="126"/>
      <c r="DQ121" s="110"/>
      <c r="DR121" s="111"/>
      <c r="DS121" s="112">
        <f t="shared" si="327"/>
        <v>0</v>
      </c>
      <c r="DT121" s="113">
        <f t="shared" si="328"/>
        <v>0</v>
      </c>
    </row>
    <row r="122" spans="2:124" s="86" customFormat="1" ht="21.9" customHeight="1" outlineLevel="1" thickBot="1">
      <c r="B122" s="122" t="s">
        <v>312</v>
      </c>
      <c r="C122" s="128"/>
      <c r="D122" s="129"/>
      <c r="E122" s="130"/>
      <c r="F122" s="119"/>
      <c r="G122" s="116"/>
      <c r="H122" s="109">
        <f>G122*F122*$E122</f>
        <v>0</v>
      </c>
      <c r="I122" s="119"/>
      <c r="J122" s="116"/>
      <c r="K122" s="109">
        <f>J122*I122*$E122</f>
        <v>0</v>
      </c>
      <c r="L122" s="119"/>
      <c r="M122" s="116"/>
      <c r="N122" s="109">
        <f>M122*L122*$E122</f>
        <v>0</v>
      </c>
      <c r="O122" s="119"/>
      <c r="P122" s="116"/>
      <c r="Q122" s="109">
        <f t="shared" si="292"/>
        <v>0</v>
      </c>
      <c r="R122" s="119"/>
      <c r="S122" s="116"/>
      <c r="T122" s="109">
        <f t="shared" si="293"/>
        <v>0</v>
      </c>
      <c r="U122" s="119"/>
      <c r="V122" s="116"/>
      <c r="W122" s="109">
        <f t="shared" si="294"/>
        <v>0</v>
      </c>
      <c r="X122" s="119"/>
      <c r="Y122" s="116"/>
      <c r="Z122" s="109">
        <f t="shared" si="295"/>
        <v>0</v>
      </c>
      <c r="AA122" s="119"/>
      <c r="AB122" s="116"/>
      <c r="AC122" s="109">
        <f t="shared" si="296"/>
        <v>0</v>
      </c>
      <c r="AD122" s="119"/>
      <c r="AE122" s="116"/>
      <c r="AF122" s="109">
        <f t="shared" si="297"/>
        <v>0</v>
      </c>
      <c r="AG122" s="119"/>
      <c r="AH122" s="116"/>
      <c r="AI122" s="109">
        <f t="shared" si="298"/>
        <v>0</v>
      </c>
      <c r="AJ122" s="119"/>
      <c r="AK122" s="116"/>
      <c r="AL122" s="109">
        <f t="shared" si="299"/>
        <v>0</v>
      </c>
      <c r="AM122" s="119"/>
      <c r="AN122" s="116"/>
      <c r="AO122" s="109">
        <f t="shared" si="300"/>
        <v>0</v>
      </c>
      <c r="AP122" s="119"/>
      <c r="AQ122" s="116"/>
      <c r="AR122" s="109">
        <f t="shared" si="301"/>
        <v>0</v>
      </c>
      <c r="AS122" s="119"/>
      <c r="AT122" s="116"/>
      <c r="AU122" s="109">
        <f t="shared" si="302"/>
        <v>0</v>
      </c>
      <c r="AV122" s="119"/>
      <c r="AW122" s="116"/>
      <c r="AX122" s="109">
        <f t="shared" si="303"/>
        <v>0</v>
      </c>
      <c r="AY122" s="119"/>
      <c r="AZ122" s="116"/>
      <c r="BA122" s="109">
        <f t="shared" si="304"/>
        <v>0</v>
      </c>
      <c r="BB122" s="119"/>
      <c r="BC122" s="116"/>
      <c r="BD122" s="109">
        <f t="shared" si="305"/>
        <v>0</v>
      </c>
      <c r="BE122" s="119"/>
      <c r="BF122" s="116"/>
      <c r="BG122" s="109">
        <f t="shared" si="306"/>
        <v>0</v>
      </c>
      <c r="BH122" s="119"/>
      <c r="BI122" s="116"/>
      <c r="BJ122" s="109">
        <f t="shared" si="307"/>
        <v>0</v>
      </c>
      <c r="BK122" s="119"/>
      <c r="BL122" s="116"/>
      <c r="BM122" s="109">
        <f t="shared" si="308"/>
        <v>0</v>
      </c>
      <c r="BN122" s="119"/>
      <c r="BO122" s="116"/>
      <c r="BP122" s="109">
        <f t="shared" si="309"/>
        <v>0</v>
      </c>
      <c r="BQ122" s="119"/>
      <c r="BR122" s="116"/>
      <c r="BS122" s="109">
        <f t="shared" si="310"/>
        <v>0</v>
      </c>
      <c r="BT122" s="119"/>
      <c r="BU122" s="116"/>
      <c r="BV122" s="109">
        <f t="shared" si="311"/>
        <v>0</v>
      </c>
      <c r="BW122" s="119"/>
      <c r="BX122" s="116"/>
      <c r="BY122" s="109">
        <f t="shared" si="312"/>
        <v>0</v>
      </c>
      <c r="BZ122" s="119"/>
      <c r="CA122" s="116"/>
      <c r="CB122" s="109">
        <f t="shared" si="313"/>
        <v>0</v>
      </c>
      <c r="CC122" s="119"/>
      <c r="CD122" s="116"/>
      <c r="CE122" s="109">
        <f t="shared" si="314"/>
        <v>0</v>
      </c>
      <c r="CF122" s="119"/>
      <c r="CG122" s="116"/>
      <c r="CH122" s="109">
        <f t="shared" si="315"/>
        <v>0</v>
      </c>
      <c r="CI122" s="119"/>
      <c r="CJ122" s="116"/>
      <c r="CK122" s="109">
        <f t="shared" si="316"/>
        <v>0</v>
      </c>
      <c r="CL122" s="119"/>
      <c r="CM122" s="116"/>
      <c r="CN122" s="109">
        <f t="shared" si="317"/>
        <v>0</v>
      </c>
      <c r="CO122" s="119"/>
      <c r="CP122" s="116"/>
      <c r="CQ122" s="109">
        <f t="shared" si="318"/>
        <v>0</v>
      </c>
      <c r="CR122" s="119"/>
      <c r="CS122" s="116"/>
      <c r="CT122" s="109">
        <f t="shared" si="319"/>
        <v>0</v>
      </c>
      <c r="CU122" s="119"/>
      <c r="CV122" s="116"/>
      <c r="CW122" s="109">
        <f t="shared" si="320"/>
        <v>0</v>
      </c>
      <c r="CX122" s="119"/>
      <c r="CY122" s="116"/>
      <c r="CZ122" s="109">
        <f t="shared" si="321"/>
        <v>0</v>
      </c>
      <c r="DA122" s="119"/>
      <c r="DB122" s="116"/>
      <c r="DC122" s="109">
        <f t="shared" si="322"/>
        <v>0</v>
      </c>
      <c r="DD122" s="119"/>
      <c r="DE122" s="116"/>
      <c r="DF122" s="109">
        <f t="shared" si="323"/>
        <v>0</v>
      </c>
      <c r="DG122" s="119"/>
      <c r="DH122" s="116"/>
      <c r="DI122" s="109">
        <f t="shared" si="324"/>
        <v>0</v>
      </c>
      <c r="DJ122" s="119"/>
      <c r="DK122" s="116"/>
      <c r="DL122" s="109">
        <f t="shared" si="325"/>
        <v>0</v>
      </c>
      <c r="DM122" s="119"/>
      <c r="DN122" s="116"/>
      <c r="DO122" s="109">
        <f t="shared" si="326"/>
        <v>0</v>
      </c>
      <c r="DP122" s="126"/>
      <c r="DQ122" s="110"/>
      <c r="DR122" s="111"/>
      <c r="DS122" s="112">
        <f t="shared" si="327"/>
        <v>0</v>
      </c>
      <c r="DT122" s="113">
        <f t="shared" si="328"/>
        <v>0</v>
      </c>
    </row>
    <row r="123" spans="2:124" s="86" customFormat="1" ht="21.9" customHeight="1" thickBot="1">
      <c r="B123" s="705" t="s">
        <v>108</v>
      </c>
      <c r="C123" s="706"/>
      <c r="D123" s="706"/>
      <c r="E123" s="706" t="e">
        <f>SUM(#REF!)</f>
        <v>#REF!</v>
      </c>
      <c r="F123" s="202"/>
      <c r="G123" s="203"/>
      <c r="H123" s="204">
        <f>SUM(H103:H122)</f>
        <v>20155.32</v>
      </c>
      <c r="I123" s="202"/>
      <c r="J123" s="203"/>
      <c r="K123" s="204">
        <f>SUM(K103:K122)</f>
        <v>8852.9</v>
      </c>
      <c r="L123" s="202"/>
      <c r="M123" s="203"/>
      <c r="N123" s="204">
        <f>SUM(N103:N122)</f>
        <v>0</v>
      </c>
      <c r="O123" s="202"/>
      <c r="P123" s="203"/>
      <c r="Q123" s="204">
        <f>SUM(Q103:Q122)</f>
        <v>0</v>
      </c>
      <c r="R123" s="202"/>
      <c r="S123" s="203"/>
      <c r="T123" s="204">
        <f>SUM(T103:T122)</f>
        <v>0</v>
      </c>
      <c r="U123" s="202"/>
      <c r="V123" s="203"/>
      <c r="W123" s="204">
        <f>SUM(W103:W122)</f>
        <v>0</v>
      </c>
      <c r="X123" s="202"/>
      <c r="Y123" s="203"/>
      <c r="Z123" s="204">
        <f>SUM(Z103:Z122)</f>
        <v>0</v>
      </c>
      <c r="AA123" s="202"/>
      <c r="AB123" s="203"/>
      <c r="AC123" s="204">
        <f>SUM(AC103:AC122)</f>
        <v>0</v>
      </c>
      <c r="AD123" s="202"/>
      <c r="AE123" s="203"/>
      <c r="AF123" s="204">
        <f>SUM(AF103:AF122)</f>
        <v>0</v>
      </c>
      <c r="AG123" s="202"/>
      <c r="AH123" s="203"/>
      <c r="AI123" s="204">
        <f>SUM(AI103:AI122)</f>
        <v>0</v>
      </c>
      <c r="AJ123" s="202"/>
      <c r="AK123" s="203"/>
      <c r="AL123" s="204">
        <f>SUM(AL103:AL122)</f>
        <v>0</v>
      </c>
      <c r="AM123" s="202"/>
      <c r="AN123" s="203"/>
      <c r="AO123" s="204">
        <f>SUM(AO103:AO122)</f>
        <v>0</v>
      </c>
      <c r="AP123" s="202"/>
      <c r="AQ123" s="203"/>
      <c r="AR123" s="204">
        <f>SUM(AR103:AR122)</f>
        <v>0</v>
      </c>
      <c r="AS123" s="202"/>
      <c r="AT123" s="203"/>
      <c r="AU123" s="204">
        <f>SUM(AU103:AU122)</f>
        <v>0</v>
      </c>
      <c r="AV123" s="202"/>
      <c r="AW123" s="203"/>
      <c r="AX123" s="204">
        <f>SUM(AX103:AX122)</f>
        <v>0</v>
      </c>
      <c r="AY123" s="202"/>
      <c r="AZ123" s="203"/>
      <c r="BA123" s="204">
        <f>SUM(BA103:BA122)</f>
        <v>0</v>
      </c>
      <c r="BB123" s="202"/>
      <c r="BC123" s="203"/>
      <c r="BD123" s="204">
        <f>SUM(BD103:BD122)</f>
        <v>0</v>
      </c>
      <c r="BE123" s="202"/>
      <c r="BF123" s="203"/>
      <c r="BG123" s="204">
        <f>SUM(BG103:BG122)</f>
        <v>0</v>
      </c>
      <c r="BH123" s="202"/>
      <c r="BI123" s="203"/>
      <c r="BJ123" s="204">
        <f>SUM(BJ103:BJ122)</f>
        <v>2.5956409090909092</v>
      </c>
      <c r="BK123" s="202"/>
      <c r="BL123" s="203"/>
      <c r="BM123" s="204">
        <f>SUM(BM103:BM122)</f>
        <v>27.25422954545455</v>
      </c>
      <c r="BN123" s="202"/>
      <c r="BO123" s="203"/>
      <c r="BP123" s="204">
        <f>SUM(BP103:BP122)</f>
        <v>1272.2245511363635</v>
      </c>
      <c r="BQ123" s="202"/>
      <c r="BR123" s="203"/>
      <c r="BS123" s="204">
        <f>SUM(BS103:BS122)</f>
        <v>3806.94</v>
      </c>
      <c r="BT123" s="202"/>
      <c r="BU123" s="203"/>
      <c r="BV123" s="204">
        <f>SUM(BV103:BV122)</f>
        <v>173.04272727272729</v>
      </c>
      <c r="BW123" s="202"/>
      <c r="BX123" s="203"/>
      <c r="BY123" s="204">
        <f>SUM(BY103:BY122)</f>
        <v>110.74734545454548</v>
      </c>
      <c r="BZ123" s="202"/>
      <c r="CA123" s="203"/>
      <c r="CB123" s="204">
        <f>SUM(CB103:CB122)</f>
        <v>193.80785454545457</v>
      </c>
      <c r="CC123" s="202"/>
      <c r="CD123" s="203"/>
      <c r="CE123" s="204">
        <f>SUM(CE103:CE122)</f>
        <v>34.608545454545457</v>
      </c>
      <c r="CF123" s="202"/>
      <c r="CG123" s="203"/>
      <c r="CH123" s="204">
        <f>SUM(CH103:CH122)</f>
        <v>51.912818181818174</v>
      </c>
      <c r="CI123" s="202"/>
      <c r="CJ123" s="203"/>
      <c r="CK123" s="204">
        <f>SUM(CK103:CK122)</f>
        <v>17.304272727272728</v>
      </c>
      <c r="CL123" s="202"/>
      <c r="CM123" s="203"/>
      <c r="CN123" s="204">
        <f>SUM(CN103:CN122)</f>
        <v>2987.8710909090905</v>
      </c>
      <c r="CO123" s="202"/>
      <c r="CP123" s="203"/>
      <c r="CQ123" s="204">
        <f>SUM(CQ103:CQ122)</f>
        <v>1211.2990909090909</v>
      </c>
      <c r="CR123" s="202"/>
      <c r="CS123" s="203"/>
      <c r="CT123" s="204">
        <f>SUM(CT103:CT122)</f>
        <v>0</v>
      </c>
      <c r="CU123" s="202"/>
      <c r="CV123" s="203"/>
      <c r="CW123" s="204">
        <f>SUM(CW103:CW122)</f>
        <v>0</v>
      </c>
      <c r="CX123" s="202"/>
      <c r="CY123" s="203"/>
      <c r="CZ123" s="204">
        <f>SUM(CZ103:CZ122)</f>
        <v>0</v>
      </c>
      <c r="DA123" s="202"/>
      <c r="DB123" s="203"/>
      <c r="DC123" s="204">
        <f>SUM(DC103:DC122)</f>
        <v>0</v>
      </c>
      <c r="DD123" s="202"/>
      <c r="DE123" s="203"/>
      <c r="DF123" s="204">
        <f>SUM(DF103:DF122)</f>
        <v>807.53272727272724</v>
      </c>
      <c r="DG123" s="202"/>
      <c r="DH123" s="203"/>
      <c r="DI123" s="204">
        <f>SUM(DI103:DI122)</f>
        <v>605.64954545454543</v>
      </c>
      <c r="DJ123" s="202"/>
      <c r="DK123" s="203"/>
      <c r="DL123" s="204">
        <f>SUM(DL103:DL122)</f>
        <v>2018.8318181818183</v>
      </c>
      <c r="DM123" s="202"/>
      <c r="DN123" s="203"/>
      <c r="DO123" s="204">
        <f>SUM(DO103:DO122)</f>
        <v>1211.2990909090909</v>
      </c>
      <c r="DP123" s="117"/>
      <c r="DQ123" s="202"/>
      <c r="DR123" s="203"/>
      <c r="DS123" s="204">
        <f>SUM(DS103:DS122)</f>
        <v>47224.355798863638</v>
      </c>
      <c r="DT123" s="113"/>
    </row>
    <row r="124" spans="2:124" ht="11.25" customHeight="1" thickBot="1">
      <c r="B124" s="133"/>
      <c r="C124" s="134"/>
      <c r="D124" s="134"/>
      <c r="E124" s="133"/>
      <c r="F124" s="134"/>
      <c r="G124" s="134"/>
      <c r="H124" s="134"/>
      <c r="I124" s="134"/>
      <c r="J124" s="134"/>
      <c r="K124" s="134"/>
      <c r="L124" s="134"/>
      <c r="M124" s="134"/>
      <c r="N124" s="134"/>
      <c r="O124" s="134"/>
      <c r="P124" s="134"/>
      <c r="Q124" s="134"/>
      <c r="R124" s="134"/>
      <c r="S124" s="134"/>
      <c r="T124" s="134"/>
      <c r="U124" s="134"/>
      <c r="V124" s="134"/>
      <c r="W124" s="134"/>
      <c r="X124" s="134"/>
      <c r="Y124" s="134"/>
      <c r="Z124" s="134"/>
      <c r="AA124" s="134"/>
      <c r="AB124" s="134"/>
      <c r="AC124" s="134"/>
      <c r="AD124" s="134"/>
      <c r="AE124" s="134"/>
      <c r="AF124" s="134"/>
      <c r="AG124" s="134"/>
      <c r="AH124" s="134"/>
      <c r="AI124" s="134"/>
      <c r="AJ124" s="134"/>
      <c r="AK124" s="134"/>
      <c r="AL124" s="134"/>
      <c r="AM124" s="134"/>
      <c r="AN124" s="134"/>
      <c r="AO124" s="134"/>
      <c r="AP124" s="134"/>
      <c r="AQ124" s="134"/>
      <c r="AR124" s="134"/>
      <c r="AS124" s="134"/>
      <c r="AT124" s="134"/>
      <c r="AU124" s="134"/>
      <c r="AV124" s="134"/>
      <c r="AW124" s="134"/>
      <c r="AX124" s="134"/>
      <c r="AY124" s="134"/>
      <c r="AZ124" s="134"/>
      <c r="BA124" s="134"/>
      <c r="BB124" s="134"/>
      <c r="BC124" s="134"/>
      <c r="BD124" s="134"/>
      <c r="BE124" s="134"/>
      <c r="BF124" s="134"/>
      <c r="BG124" s="134"/>
      <c r="BH124" s="134"/>
      <c r="BI124" s="134"/>
      <c r="BJ124" s="134"/>
      <c r="BK124" s="134"/>
      <c r="BL124" s="134"/>
      <c r="BM124" s="134"/>
      <c r="BN124" s="134"/>
      <c r="BO124" s="134"/>
      <c r="BP124" s="134"/>
      <c r="BQ124" s="134"/>
      <c r="BR124" s="134"/>
      <c r="BS124" s="134"/>
      <c r="BT124" s="134"/>
      <c r="BU124" s="134"/>
      <c r="BV124" s="134"/>
      <c r="BW124" s="134"/>
      <c r="BX124" s="134"/>
      <c r="BY124" s="134"/>
      <c r="BZ124" s="134"/>
      <c r="CA124" s="134"/>
      <c r="CB124" s="134"/>
      <c r="CC124" s="134"/>
      <c r="CD124" s="134"/>
      <c r="CE124" s="134"/>
      <c r="CF124" s="134"/>
      <c r="CG124" s="134"/>
      <c r="CH124" s="134"/>
      <c r="CI124" s="134"/>
      <c r="CJ124" s="134"/>
      <c r="CK124" s="134"/>
      <c r="CL124" s="134"/>
      <c r="CM124" s="134"/>
      <c r="CN124" s="134"/>
      <c r="CO124" s="134"/>
      <c r="CP124" s="134"/>
      <c r="CQ124" s="134"/>
      <c r="CR124" s="134"/>
      <c r="CS124" s="134"/>
      <c r="CT124" s="134"/>
      <c r="CU124" s="134"/>
      <c r="CV124" s="134"/>
      <c r="CW124" s="134"/>
      <c r="CX124" s="134"/>
      <c r="CY124" s="134"/>
      <c r="CZ124" s="134"/>
      <c r="DA124" s="134"/>
      <c r="DB124" s="134"/>
      <c r="DC124" s="134"/>
      <c r="DD124" s="134"/>
      <c r="DE124" s="134"/>
      <c r="DF124" s="134"/>
      <c r="DG124" s="134"/>
      <c r="DH124" s="134"/>
      <c r="DI124" s="134"/>
      <c r="DJ124" s="134"/>
      <c r="DK124" s="134"/>
      <c r="DL124" s="134"/>
      <c r="DM124" s="134"/>
      <c r="DN124" s="134"/>
      <c r="DO124" s="134"/>
      <c r="DP124" s="92"/>
      <c r="DQ124" s="134"/>
      <c r="DR124" s="134"/>
      <c r="DS124" s="134"/>
    </row>
    <row r="125" spans="2:124" s="86" customFormat="1" ht="18" customHeight="1">
      <c r="B125" s="205" t="s">
        <v>109</v>
      </c>
      <c r="C125" s="714" t="s">
        <v>110</v>
      </c>
      <c r="D125" s="715"/>
      <c r="E125" s="206"/>
      <c r="F125" s="205"/>
      <c r="G125" s="207" t="s">
        <v>111</v>
      </c>
      <c r="H125" s="208" t="s">
        <v>112</v>
      </c>
      <c r="I125" s="205"/>
      <c r="J125" s="207" t="s">
        <v>111</v>
      </c>
      <c r="K125" s="208" t="s">
        <v>112</v>
      </c>
      <c r="L125" s="205"/>
      <c r="M125" s="207" t="s">
        <v>111</v>
      </c>
      <c r="N125" s="208" t="s">
        <v>112</v>
      </c>
      <c r="O125" s="205"/>
      <c r="P125" s="207" t="s">
        <v>111</v>
      </c>
      <c r="Q125" s="208" t="s">
        <v>112</v>
      </c>
      <c r="R125" s="205"/>
      <c r="S125" s="207" t="s">
        <v>111</v>
      </c>
      <c r="T125" s="208" t="s">
        <v>112</v>
      </c>
      <c r="U125" s="205"/>
      <c r="V125" s="207" t="s">
        <v>111</v>
      </c>
      <c r="W125" s="208" t="s">
        <v>112</v>
      </c>
      <c r="X125" s="205"/>
      <c r="Y125" s="207" t="s">
        <v>111</v>
      </c>
      <c r="Z125" s="208" t="s">
        <v>112</v>
      </c>
      <c r="AA125" s="205"/>
      <c r="AB125" s="207" t="s">
        <v>111</v>
      </c>
      <c r="AC125" s="208" t="s">
        <v>112</v>
      </c>
      <c r="AD125" s="205"/>
      <c r="AE125" s="207" t="s">
        <v>111</v>
      </c>
      <c r="AF125" s="208" t="s">
        <v>112</v>
      </c>
      <c r="AG125" s="205"/>
      <c r="AH125" s="207" t="s">
        <v>111</v>
      </c>
      <c r="AI125" s="208" t="s">
        <v>112</v>
      </c>
      <c r="AJ125" s="205"/>
      <c r="AK125" s="207" t="s">
        <v>111</v>
      </c>
      <c r="AL125" s="208" t="s">
        <v>112</v>
      </c>
      <c r="AM125" s="205"/>
      <c r="AN125" s="207" t="s">
        <v>111</v>
      </c>
      <c r="AO125" s="208" t="s">
        <v>112</v>
      </c>
      <c r="AP125" s="205"/>
      <c r="AQ125" s="207" t="s">
        <v>111</v>
      </c>
      <c r="AR125" s="208" t="s">
        <v>112</v>
      </c>
      <c r="AS125" s="205"/>
      <c r="AT125" s="207" t="s">
        <v>111</v>
      </c>
      <c r="AU125" s="208" t="s">
        <v>112</v>
      </c>
      <c r="AV125" s="205"/>
      <c r="AW125" s="207" t="s">
        <v>111</v>
      </c>
      <c r="AX125" s="208" t="s">
        <v>112</v>
      </c>
      <c r="AY125" s="205"/>
      <c r="AZ125" s="207" t="s">
        <v>111</v>
      </c>
      <c r="BA125" s="208" t="s">
        <v>112</v>
      </c>
      <c r="BB125" s="205"/>
      <c r="BC125" s="207" t="s">
        <v>111</v>
      </c>
      <c r="BD125" s="208" t="s">
        <v>112</v>
      </c>
      <c r="BE125" s="205"/>
      <c r="BF125" s="207" t="s">
        <v>111</v>
      </c>
      <c r="BG125" s="208" t="s">
        <v>112</v>
      </c>
      <c r="BH125" s="205"/>
      <c r="BI125" s="207" t="s">
        <v>111</v>
      </c>
      <c r="BJ125" s="208" t="s">
        <v>112</v>
      </c>
      <c r="BK125" s="205"/>
      <c r="BL125" s="207" t="s">
        <v>111</v>
      </c>
      <c r="BM125" s="208" t="s">
        <v>112</v>
      </c>
      <c r="BN125" s="205"/>
      <c r="BO125" s="207" t="s">
        <v>111</v>
      </c>
      <c r="BP125" s="208" t="s">
        <v>112</v>
      </c>
      <c r="BQ125" s="205"/>
      <c r="BR125" s="207" t="s">
        <v>111</v>
      </c>
      <c r="BS125" s="208" t="s">
        <v>112</v>
      </c>
      <c r="BT125" s="205"/>
      <c r="BU125" s="207" t="s">
        <v>111</v>
      </c>
      <c r="BV125" s="208" t="s">
        <v>112</v>
      </c>
      <c r="BW125" s="205"/>
      <c r="BX125" s="207" t="s">
        <v>111</v>
      </c>
      <c r="BY125" s="208" t="s">
        <v>112</v>
      </c>
      <c r="BZ125" s="205"/>
      <c r="CA125" s="207" t="s">
        <v>111</v>
      </c>
      <c r="CB125" s="208" t="s">
        <v>112</v>
      </c>
      <c r="CC125" s="205"/>
      <c r="CD125" s="207" t="s">
        <v>111</v>
      </c>
      <c r="CE125" s="208" t="s">
        <v>112</v>
      </c>
      <c r="CF125" s="205"/>
      <c r="CG125" s="207" t="s">
        <v>111</v>
      </c>
      <c r="CH125" s="208" t="s">
        <v>112</v>
      </c>
      <c r="CI125" s="205"/>
      <c r="CJ125" s="207" t="s">
        <v>111</v>
      </c>
      <c r="CK125" s="208" t="s">
        <v>112</v>
      </c>
      <c r="CL125" s="205"/>
      <c r="CM125" s="207" t="s">
        <v>111</v>
      </c>
      <c r="CN125" s="208" t="s">
        <v>112</v>
      </c>
      <c r="CO125" s="205"/>
      <c r="CP125" s="207" t="s">
        <v>111</v>
      </c>
      <c r="CQ125" s="208" t="s">
        <v>112</v>
      </c>
      <c r="CR125" s="205"/>
      <c r="CS125" s="207" t="s">
        <v>111</v>
      </c>
      <c r="CT125" s="208" t="s">
        <v>112</v>
      </c>
      <c r="CU125" s="205"/>
      <c r="CV125" s="207" t="s">
        <v>111</v>
      </c>
      <c r="CW125" s="208" t="s">
        <v>112</v>
      </c>
      <c r="CX125" s="205"/>
      <c r="CY125" s="207" t="s">
        <v>111</v>
      </c>
      <c r="CZ125" s="208" t="s">
        <v>112</v>
      </c>
      <c r="DA125" s="205"/>
      <c r="DB125" s="207" t="s">
        <v>111</v>
      </c>
      <c r="DC125" s="208" t="s">
        <v>112</v>
      </c>
      <c r="DD125" s="205"/>
      <c r="DE125" s="207" t="s">
        <v>111</v>
      </c>
      <c r="DF125" s="208" t="s">
        <v>112</v>
      </c>
      <c r="DG125" s="205"/>
      <c r="DH125" s="207" t="s">
        <v>111</v>
      </c>
      <c r="DI125" s="208" t="s">
        <v>112</v>
      </c>
      <c r="DJ125" s="205"/>
      <c r="DK125" s="207" t="s">
        <v>111</v>
      </c>
      <c r="DL125" s="208" t="s">
        <v>112</v>
      </c>
      <c r="DM125" s="205"/>
      <c r="DN125" s="207" t="s">
        <v>111</v>
      </c>
      <c r="DO125" s="208" t="s">
        <v>112</v>
      </c>
      <c r="DP125" s="100"/>
      <c r="DQ125" s="205"/>
      <c r="DR125" s="207" t="s">
        <v>111</v>
      </c>
      <c r="DS125" s="208" t="s">
        <v>112</v>
      </c>
      <c r="DT125" s="85"/>
    </row>
    <row r="126" spans="2:124" s="86" customFormat="1" ht="18" customHeight="1">
      <c r="B126" s="451" t="s">
        <v>113</v>
      </c>
      <c r="C126" s="452" t="s">
        <v>114</v>
      </c>
      <c r="D126" s="453"/>
      <c r="E126" s="454"/>
      <c r="F126" s="489"/>
      <c r="G126" s="490">
        <f>H126/H130</f>
        <v>0.71359315894000797</v>
      </c>
      <c r="H126" s="491">
        <f>H21</f>
        <v>51331.406530909095</v>
      </c>
      <c r="I126" s="489"/>
      <c r="J126" s="490">
        <f>K126/K130</f>
        <v>0.73402743650704305</v>
      </c>
      <c r="K126" s="491">
        <f>K21</f>
        <v>25665.703265454547</v>
      </c>
      <c r="L126" s="489"/>
      <c r="M126" s="490">
        <f>N126/N130</f>
        <v>0.20725149830558612</v>
      </c>
      <c r="N126" s="491">
        <f>N21</f>
        <v>2515.5648000000001</v>
      </c>
      <c r="O126" s="489"/>
      <c r="P126" s="490">
        <f>Q126/Q130</f>
        <v>0.97419320809890042</v>
      </c>
      <c r="Q126" s="491">
        <f>Q21</f>
        <v>16873.565672727273</v>
      </c>
      <c r="R126" s="489"/>
      <c r="S126" s="490">
        <f>T126/T130</f>
        <v>0.9496848878271269</v>
      </c>
      <c r="T126" s="491">
        <f>T21</f>
        <v>8436.7828363636363</v>
      </c>
      <c r="U126" s="489"/>
      <c r="V126" s="490">
        <f>W126/W130</f>
        <v>0.92915380860436203</v>
      </c>
      <c r="W126" s="491">
        <f>W21</f>
        <v>5862.2845090909095</v>
      </c>
      <c r="X126" s="489"/>
      <c r="Y126" s="490">
        <f>Z126/Z130</f>
        <v>0.61251409294712666</v>
      </c>
      <c r="Z126" s="491">
        <f>Z21</f>
        <v>3803.454545454545</v>
      </c>
      <c r="AA126" s="489"/>
      <c r="AB126" s="490">
        <f>AC126/AC130</f>
        <v>0.91617234435248474</v>
      </c>
      <c r="AC126" s="491">
        <f>AC21</f>
        <v>4885.2370909090914</v>
      </c>
      <c r="AD126" s="489"/>
      <c r="AE126" s="490">
        <f>AF126/AF130</f>
        <v>0.91617234435248474</v>
      </c>
      <c r="AF126" s="491">
        <f>AF21</f>
        <v>4885.2370909090914</v>
      </c>
      <c r="AG126" s="489"/>
      <c r="AH126" s="490">
        <f>AI126/AI130</f>
        <v>0.91617234435248474</v>
      </c>
      <c r="AI126" s="491">
        <f>AI21</f>
        <v>4885.2370909090914</v>
      </c>
      <c r="AJ126" s="489"/>
      <c r="AK126" s="490">
        <f>AL126/AL130</f>
        <v>0.91617234435248474</v>
      </c>
      <c r="AL126" s="491">
        <f>AL21</f>
        <v>4885.2370909090914</v>
      </c>
      <c r="AM126" s="489"/>
      <c r="AN126" s="490">
        <f>AO126/AO130</f>
        <v>0.94873863454207141</v>
      </c>
      <c r="AO126" s="491">
        <f>AO21</f>
        <v>8272.7938909090917</v>
      </c>
      <c r="AP126" s="489"/>
      <c r="AQ126" s="490">
        <f>AR126/AR130</f>
        <v>0</v>
      </c>
      <c r="AR126" s="491">
        <f>AR21</f>
        <v>0</v>
      </c>
      <c r="AS126" s="489"/>
      <c r="AT126" s="490">
        <f>AU126/AU130</f>
        <v>0</v>
      </c>
      <c r="AU126" s="491">
        <f>AU21</f>
        <v>0</v>
      </c>
      <c r="AV126" s="489"/>
      <c r="AW126" s="490">
        <f>AX126/AX130</f>
        <v>0</v>
      </c>
      <c r="AX126" s="491">
        <f>AX21</f>
        <v>0</v>
      </c>
      <c r="AY126" s="489"/>
      <c r="AZ126" s="490">
        <f>BA126/BA130</f>
        <v>0</v>
      </c>
      <c r="BA126" s="491">
        <f>BA21</f>
        <v>0</v>
      </c>
      <c r="BB126" s="489"/>
      <c r="BC126" s="490">
        <f>BD126/BD130</f>
        <v>0</v>
      </c>
      <c r="BD126" s="491">
        <f>BD21</f>
        <v>0</v>
      </c>
      <c r="BE126" s="489"/>
      <c r="BF126" s="490">
        <f>BG126/BG130</f>
        <v>0</v>
      </c>
      <c r="BG126" s="491">
        <f>BG21</f>
        <v>0</v>
      </c>
      <c r="BH126" s="489"/>
      <c r="BI126" s="490">
        <f>BJ126/BJ130</f>
        <v>0.59604688739951661</v>
      </c>
      <c r="BJ126" s="491">
        <f>BJ21</f>
        <v>10.425421047272726</v>
      </c>
      <c r="BK126" s="489"/>
      <c r="BL126" s="490">
        <f>BM126/BM130</f>
        <v>0.18753678176564392</v>
      </c>
      <c r="BM126" s="491">
        <f>BM21</f>
        <v>109.46692099636363</v>
      </c>
      <c r="BN126" s="489"/>
      <c r="BO126" s="490">
        <f>BP126/BP130</f>
        <v>0.1326400239900857</v>
      </c>
      <c r="BP126" s="491">
        <f>BP21</f>
        <v>5343.8033907272729</v>
      </c>
      <c r="BQ126" s="489"/>
      <c r="BR126" s="490">
        <f>BS126/BS130</f>
        <v>0.18760741760569039</v>
      </c>
      <c r="BS126" s="491">
        <f>BS21</f>
        <v>15908.655678545454</v>
      </c>
      <c r="BT126" s="489"/>
      <c r="BU126" s="490">
        <f>BV126/BV130</f>
        <v>0.5598803391077859</v>
      </c>
      <c r="BV126" s="491">
        <f>BV21</f>
        <v>788.74679127272725</v>
      </c>
      <c r="BW126" s="489"/>
      <c r="BX126" s="490">
        <f>BY126/BY130</f>
        <v>0.47508909812216199</v>
      </c>
      <c r="BY126" s="491">
        <f>BY21</f>
        <v>504.79794641454544</v>
      </c>
      <c r="BZ126" s="489"/>
      <c r="CA126" s="490">
        <f>CB126/CB130</f>
        <v>0.57958334655809018</v>
      </c>
      <c r="CB126" s="491">
        <f>CB21</f>
        <v>883.39640622545471</v>
      </c>
      <c r="CC126" s="489"/>
      <c r="CD126" s="490">
        <f>CE126/CE130</f>
        <v>0.8014587976610803</v>
      </c>
      <c r="CE126" s="491">
        <f>CE21</f>
        <v>157.74935825454546</v>
      </c>
      <c r="CF126" s="489"/>
      <c r="CG126" s="490">
        <f>CH126/CH130</f>
        <v>0.32170777181612165</v>
      </c>
      <c r="CH126" s="491">
        <f>CH21</f>
        <v>236.6240373818182</v>
      </c>
      <c r="CI126" s="489"/>
      <c r="CJ126" s="490">
        <f>CK126/CK130</f>
        <v>0.14521260940144656</v>
      </c>
      <c r="CK126" s="491">
        <f>CK21</f>
        <v>78.874679127272728</v>
      </c>
      <c r="CL126" s="489"/>
      <c r="CM126" s="490">
        <f>CN126/CN130</f>
        <v>0.16501182150483154</v>
      </c>
      <c r="CN126" s="491">
        <f>CN21</f>
        <v>15003.909128727271</v>
      </c>
      <c r="CO126" s="489"/>
      <c r="CP126" s="490">
        <f>CQ126/CQ130</f>
        <v>0.76022721526505865</v>
      </c>
      <c r="CQ126" s="491">
        <f>CQ21</f>
        <v>5257.7898676363639</v>
      </c>
      <c r="CR126" s="489"/>
      <c r="CS126" s="490">
        <f>CT126/CT130</f>
        <v>0</v>
      </c>
      <c r="CT126" s="491">
        <f>CT21</f>
        <v>0</v>
      </c>
      <c r="CU126" s="489"/>
      <c r="CV126" s="490">
        <f>CW126/CW130</f>
        <v>0</v>
      </c>
      <c r="CW126" s="491">
        <f>CW21</f>
        <v>0</v>
      </c>
      <c r="CX126" s="489"/>
      <c r="CY126" s="490">
        <f>CZ126/CZ130</f>
        <v>0</v>
      </c>
      <c r="CZ126" s="491">
        <f>CZ21</f>
        <v>0</v>
      </c>
      <c r="DA126" s="489"/>
      <c r="DB126" s="490">
        <f>DC126/DC130</f>
        <v>0</v>
      </c>
      <c r="DC126" s="491">
        <f>DC21</f>
        <v>0</v>
      </c>
      <c r="DD126" s="489"/>
      <c r="DE126" s="490">
        <f>DF126/DF130</f>
        <v>0.74329932187066583</v>
      </c>
      <c r="DF126" s="491">
        <f>DF21</f>
        <v>3632.5745410909094</v>
      </c>
      <c r="DG126" s="489"/>
      <c r="DH126" s="490">
        <f>DI126/DI130</f>
        <v>0.72130833662577432</v>
      </c>
      <c r="DI126" s="491">
        <f>DI21</f>
        <v>2724.4309058181821</v>
      </c>
      <c r="DJ126" s="489"/>
      <c r="DK126" s="490">
        <f>DL126/DL130</f>
        <v>0.7864583827942917</v>
      </c>
      <c r="DL126" s="491">
        <f>DL21</f>
        <v>9081.4363527272726</v>
      </c>
      <c r="DM126" s="489"/>
      <c r="DN126" s="490">
        <f>DO126/DO130</f>
        <v>0.76667337999680696</v>
      </c>
      <c r="DO126" s="491">
        <f>DO21</f>
        <v>5448.8618116363641</v>
      </c>
      <c r="DP126" s="126"/>
      <c r="DQ126" s="455"/>
      <c r="DR126" s="456">
        <f>DS126/DS130</f>
        <v>0.45317050126209679</v>
      </c>
      <c r="DS126" s="457">
        <f>DS21</f>
        <v>224123.35080305461</v>
      </c>
      <c r="DT126" s="85"/>
    </row>
    <row r="127" spans="2:124" s="86" customFormat="1" ht="18" customHeight="1">
      <c r="B127" s="119" t="s">
        <v>115</v>
      </c>
      <c r="C127" s="135" t="s">
        <v>116</v>
      </c>
      <c r="D127" s="136"/>
      <c r="E127" s="137"/>
      <c r="F127" s="138"/>
      <c r="G127" s="139">
        <f>H127/H130</f>
        <v>6.213886292890239E-3</v>
      </c>
      <c r="H127" s="109">
        <f>H78</f>
        <v>446.98792223708551</v>
      </c>
      <c r="I127" s="138"/>
      <c r="J127" s="139">
        <f>K127/K130</f>
        <v>1.2783651214066454E-2</v>
      </c>
      <c r="K127" s="109">
        <f>K78</f>
        <v>446.98792223708551</v>
      </c>
      <c r="L127" s="138"/>
      <c r="M127" s="139">
        <f>N127/N130</f>
        <v>0.79274850169441391</v>
      </c>
      <c r="N127" s="109">
        <f>N78</f>
        <v>9622.1751949643567</v>
      </c>
      <c r="O127" s="138"/>
      <c r="P127" s="139">
        <f>Q127/Q130</f>
        <v>2.5806791901099468E-2</v>
      </c>
      <c r="Q127" s="109">
        <f>Q78</f>
        <v>446.98792223708551</v>
      </c>
      <c r="R127" s="138"/>
      <c r="S127" s="139">
        <f>T127/T130</f>
        <v>5.0315112172873128E-2</v>
      </c>
      <c r="T127" s="109">
        <f>T78</f>
        <v>446.98792223708551</v>
      </c>
      <c r="U127" s="138"/>
      <c r="V127" s="139">
        <f>W127/W130</f>
        <v>7.0846191395638011E-2</v>
      </c>
      <c r="W127" s="109">
        <f>W78</f>
        <v>446.98792223708551</v>
      </c>
      <c r="X127" s="138"/>
      <c r="Y127" s="139">
        <f>Z127/Z130</f>
        <v>0.31171587292007891</v>
      </c>
      <c r="Z127" s="109">
        <f>Z78</f>
        <v>1935.624285873449</v>
      </c>
      <c r="AA127" s="138"/>
      <c r="AB127" s="139">
        <f>AC127/AC130</f>
        <v>8.3827655647515306E-2</v>
      </c>
      <c r="AC127" s="109">
        <f>AC78</f>
        <v>446.98792223708551</v>
      </c>
      <c r="AD127" s="138"/>
      <c r="AE127" s="139">
        <f>AF127/AF130</f>
        <v>8.3827655647515306E-2</v>
      </c>
      <c r="AF127" s="109">
        <f>AF78</f>
        <v>446.98792223708551</v>
      </c>
      <c r="AG127" s="138"/>
      <c r="AH127" s="139">
        <f>AI127/AI130</f>
        <v>8.3827655647515306E-2</v>
      </c>
      <c r="AI127" s="109">
        <f>AI78</f>
        <v>446.98792223708551</v>
      </c>
      <c r="AJ127" s="138"/>
      <c r="AK127" s="139">
        <f>AL127/AL130</f>
        <v>8.3827655647515306E-2</v>
      </c>
      <c r="AL127" s="109">
        <f>AL78</f>
        <v>446.98792223708551</v>
      </c>
      <c r="AM127" s="138"/>
      <c r="AN127" s="139">
        <f>AO127/AO130</f>
        <v>5.1261365457928608E-2</v>
      </c>
      <c r="AO127" s="109">
        <f>AO78</f>
        <v>446.98792223708551</v>
      </c>
      <c r="AP127" s="138"/>
      <c r="AQ127" s="139">
        <f>AR127/AR130</f>
        <v>8.6075286315036859E-2</v>
      </c>
      <c r="AR127" s="109">
        <f>AR78</f>
        <v>4.4698792223708557</v>
      </c>
      <c r="AS127" s="138"/>
      <c r="AT127" s="139">
        <f>AU127/AU130</f>
        <v>0.66004532368804492</v>
      </c>
      <c r="AU127" s="109">
        <f>AU78</f>
        <v>446.98792223708551</v>
      </c>
      <c r="AV127" s="138"/>
      <c r="AW127" s="139">
        <f>AX127/AX130</f>
        <v>0.90801756938736244</v>
      </c>
      <c r="AX127" s="109">
        <f>AX78</f>
        <v>55.873490279635689</v>
      </c>
      <c r="AY127" s="138"/>
      <c r="AZ127" s="139">
        <f>BA127/BA130</f>
        <v>0.46807570531172027</v>
      </c>
      <c r="BA127" s="109">
        <f>BA78</f>
        <v>74.497987039514257</v>
      </c>
      <c r="BB127" s="138"/>
      <c r="BC127" s="139">
        <f>BD127/BD130</f>
        <v>0.5366208113232247</v>
      </c>
      <c r="BD127" s="109">
        <f>BD78</f>
        <v>74.497987039514257</v>
      </c>
      <c r="BE127" s="138"/>
      <c r="BF127" s="139">
        <f>BG127/BG130</f>
        <v>0.24200912028471222</v>
      </c>
      <c r="BG127" s="109">
        <f>BG78</f>
        <v>446.98792223708551</v>
      </c>
      <c r="BH127" s="138"/>
      <c r="BI127" s="139">
        <f>BJ127/BJ130</f>
        <v>0.25555395657069274</v>
      </c>
      <c r="BJ127" s="109">
        <f>BJ78</f>
        <v>4.4698792223708557</v>
      </c>
      <c r="BK127" s="138"/>
      <c r="BL127" s="139">
        <f>BM127/BM130</f>
        <v>0.76577175699716227</v>
      </c>
      <c r="BM127" s="109">
        <f>BM78</f>
        <v>446.98792223708551</v>
      </c>
      <c r="BN127" s="138"/>
      <c r="BO127" s="139">
        <f>BP127/BP130</f>
        <v>0.83578173806869072</v>
      </c>
      <c r="BP127" s="109">
        <f>BP78</f>
        <v>33671.987922237087</v>
      </c>
      <c r="BQ127" s="138"/>
      <c r="BR127" s="139">
        <f>BS127/BS130</f>
        <v>0.76749814273760142</v>
      </c>
      <c r="BS127" s="109">
        <f>BS78</f>
        <v>65081.987922237087</v>
      </c>
      <c r="BT127" s="138"/>
      <c r="BU127" s="139">
        <f>BV127/BV130</f>
        <v>0.31728781942220419</v>
      </c>
      <c r="BV127" s="109">
        <f>BV78</f>
        <v>446.98792223708551</v>
      </c>
      <c r="BW127" s="138"/>
      <c r="BX127" s="139">
        <f>BY127/BY130</f>
        <v>0.42068136440619447</v>
      </c>
      <c r="BY127" s="109">
        <f>BY78</f>
        <v>446.98792223708551</v>
      </c>
      <c r="BZ127" s="138"/>
      <c r="CA127" s="139">
        <f>CB127/CB130</f>
        <v>0.29326217994042875</v>
      </c>
      <c r="CB127" s="109">
        <f>CB78</f>
        <v>446.98792223708551</v>
      </c>
      <c r="CC127" s="138"/>
      <c r="CD127" s="139">
        <f>CE127/CE130</f>
        <v>2.2709594935219745E-2</v>
      </c>
      <c r="CE127" s="109">
        <f>CE78</f>
        <v>4.4698792223708557</v>
      </c>
      <c r="CF127" s="138"/>
      <c r="CG127" s="139">
        <f>CH127/CH130</f>
        <v>0.60771293602591514</v>
      </c>
      <c r="CH127" s="109">
        <f>CH78</f>
        <v>446.98792223708551</v>
      </c>
      <c r="CI127" s="138"/>
      <c r="CJ127" s="139">
        <f>CK127/CK130</f>
        <v>0.82292927562014695</v>
      </c>
      <c r="CK127" s="109">
        <f>CK78</f>
        <v>446.98792223708551</v>
      </c>
      <c r="CL127" s="138"/>
      <c r="CM127" s="139">
        <f>CN127/CN130</f>
        <v>0.80212780544821705</v>
      </c>
      <c r="CN127" s="109">
        <f>CN78</f>
        <v>72934.48792223708</v>
      </c>
      <c r="CO127" s="138"/>
      <c r="CP127" s="139">
        <f>CQ127/CQ130</f>
        <v>6.4630270880752516E-2</v>
      </c>
      <c r="CQ127" s="109">
        <f>CQ78</f>
        <v>446.98792223708551</v>
      </c>
      <c r="CR127" s="138"/>
      <c r="CS127" s="139">
        <f>CT127/CT130</f>
        <v>0.10183200731475167</v>
      </c>
      <c r="CT127" s="109">
        <f>CT78</f>
        <v>446.98792223708551</v>
      </c>
      <c r="CU127" s="138"/>
      <c r="CV127" s="139">
        <f>CW127/CW130</f>
        <v>6.04977252432514E-2</v>
      </c>
      <c r="CW127" s="109">
        <f>CW78</f>
        <v>446.98792223708551</v>
      </c>
      <c r="CX127" s="138"/>
      <c r="CY127" s="139">
        <f>CZ127/CZ130</f>
        <v>0.10642904265403533</v>
      </c>
      <c r="CZ127" s="109">
        <f>CZ78</f>
        <v>446.98792223708551</v>
      </c>
      <c r="DA127" s="138"/>
      <c r="DB127" s="139">
        <f>DC127/DC130</f>
        <v>0.1376623298090752</v>
      </c>
      <c r="DC127" s="109">
        <f>DC78</f>
        <v>446.98792223708551</v>
      </c>
      <c r="DD127" s="138"/>
      <c r="DE127" s="139">
        <f>DF127/DF130</f>
        <v>9.1462904814453128E-2</v>
      </c>
      <c r="DF127" s="109">
        <f>DF78</f>
        <v>446.98792223708551</v>
      </c>
      <c r="DG127" s="138"/>
      <c r="DH127" s="139">
        <f>DI127/DI130</f>
        <v>0.11834255513402986</v>
      </c>
      <c r="DI127" s="109">
        <f>DI78</f>
        <v>446.98792223708551</v>
      </c>
      <c r="DJ127" s="138"/>
      <c r="DK127" s="139">
        <f>DL127/DL130</f>
        <v>3.8709449122064012E-2</v>
      </c>
      <c r="DL127" s="109">
        <f>DL78</f>
        <v>446.98792223708551</v>
      </c>
      <c r="DM127" s="138"/>
      <c r="DN127" s="139">
        <f>DO127/DO130</f>
        <v>6.2892720169084426E-2</v>
      </c>
      <c r="DO127" s="109">
        <f>DO78</f>
        <v>446.98792223708551</v>
      </c>
      <c r="DP127" s="126"/>
      <c r="DQ127" s="140"/>
      <c r="DR127" s="141">
        <f>DS127/DS130</f>
        <v>0.40034355230940266</v>
      </c>
      <c r="DS127" s="142">
        <f>DS78</f>
        <v>197996.86468137288</v>
      </c>
      <c r="DT127" s="85"/>
    </row>
    <row r="128" spans="2:124" s="86" customFormat="1" ht="18" customHeight="1">
      <c r="B128" s="119" t="s">
        <v>117</v>
      </c>
      <c r="C128" s="135" t="s">
        <v>118</v>
      </c>
      <c r="D128" s="136"/>
      <c r="E128" s="137"/>
      <c r="F128" s="138"/>
      <c r="G128" s="139">
        <f>H128/H130</f>
        <v>0</v>
      </c>
      <c r="H128" s="109">
        <f>H100</f>
        <v>0</v>
      </c>
      <c r="I128" s="138"/>
      <c r="J128" s="139">
        <f>K128/K130</f>
        <v>0</v>
      </c>
      <c r="K128" s="109">
        <f>K100</f>
        <v>0</v>
      </c>
      <c r="L128" s="138"/>
      <c r="M128" s="139">
        <f>N128/N130</f>
        <v>0</v>
      </c>
      <c r="N128" s="109">
        <f>N100</f>
        <v>0</v>
      </c>
      <c r="O128" s="138"/>
      <c r="P128" s="139">
        <f>Q128/Q130</f>
        <v>0</v>
      </c>
      <c r="Q128" s="109">
        <f>Q100</f>
        <v>0</v>
      </c>
      <c r="R128" s="138"/>
      <c r="S128" s="139">
        <f>T128/T130</f>
        <v>0</v>
      </c>
      <c r="T128" s="109">
        <f>T100</f>
        <v>0</v>
      </c>
      <c r="U128" s="138"/>
      <c r="V128" s="139">
        <f>W128/W130</f>
        <v>0</v>
      </c>
      <c r="W128" s="109">
        <f>W100</f>
        <v>0</v>
      </c>
      <c r="X128" s="138"/>
      <c r="Y128" s="139">
        <f>Z128/Z130</f>
        <v>7.5770034132794456E-2</v>
      </c>
      <c r="Z128" s="109">
        <f>Z100</f>
        <v>470.5</v>
      </c>
      <c r="AA128" s="138"/>
      <c r="AB128" s="139">
        <f>AC128/AC130</f>
        <v>0</v>
      </c>
      <c r="AC128" s="109">
        <f>AC100</f>
        <v>0</v>
      </c>
      <c r="AD128" s="138"/>
      <c r="AE128" s="139">
        <f>AF128/AF130</f>
        <v>0</v>
      </c>
      <c r="AF128" s="109">
        <f>AF100</f>
        <v>0</v>
      </c>
      <c r="AG128" s="138"/>
      <c r="AH128" s="139">
        <f>AI128/AI130</f>
        <v>0</v>
      </c>
      <c r="AI128" s="109">
        <f>AI100</f>
        <v>0</v>
      </c>
      <c r="AJ128" s="138"/>
      <c r="AK128" s="139">
        <f>AL128/AL130</f>
        <v>0</v>
      </c>
      <c r="AL128" s="109">
        <f>AL100</f>
        <v>0</v>
      </c>
      <c r="AM128" s="138"/>
      <c r="AN128" s="139">
        <f>AO128/AO130</f>
        <v>0</v>
      </c>
      <c r="AO128" s="109">
        <f>AO100</f>
        <v>0</v>
      </c>
      <c r="AP128" s="138"/>
      <c r="AQ128" s="139">
        <f>AR128/AR130</f>
        <v>0.91392471368496309</v>
      </c>
      <c r="AR128" s="109">
        <f>AR100</f>
        <v>47.460000000000008</v>
      </c>
      <c r="AS128" s="138"/>
      <c r="AT128" s="139">
        <f>AU128/AU130</f>
        <v>0.33995467631195497</v>
      </c>
      <c r="AU128" s="109">
        <f>AU100</f>
        <v>230.22</v>
      </c>
      <c r="AV128" s="138"/>
      <c r="AW128" s="139">
        <f>AX128/AX130</f>
        <v>9.1982430612637611E-2</v>
      </c>
      <c r="AX128" s="109">
        <f>AX100</f>
        <v>5.66</v>
      </c>
      <c r="AY128" s="138"/>
      <c r="AZ128" s="139">
        <f>BA128/BA130</f>
        <v>0.53192429468827984</v>
      </c>
      <c r="BA128" s="109">
        <f>BA100</f>
        <v>84.66</v>
      </c>
      <c r="BB128" s="138"/>
      <c r="BC128" s="139">
        <f>BD128/BD130</f>
        <v>0.46337918867677536</v>
      </c>
      <c r="BD128" s="109">
        <f>BD100</f>
        <v>64.33</v>
      </c>
      <c r="BE128" s="138"/>
      <c r="BF128" s="139">
        <f>BG128/BG130</f>
        <v>0.75799087971528778</v>
      </c>
      <c r="BG128" s="109">
        <f>BG100</f>
        <v>1400</v>
      </c>
      <c r="BH128" s="138"/>
      <c r="BI128" s="139">
        <f>BJ128/BJ130</f>
        <v>0</v>
      </c>
      <c r="BJ128" s="109">
        <f>BJ100</f>
        <v>0</v>
      </c>
      <c r="BK128" s="138"/>
      <c r="BL128" s="139">
        <f>BM128/BM130</f>
        <v>0</v>
      </c>
      <c r="BM128" s="109">
        <f>BM100</f>
        <v>0</v>
      </c>
      <c r="BN128" s="138"/>
      <c r="BO128" s="139">
        <f>BP128/BP130</f>
        <v>0</v>
      </c>
      <c r="BP128" s="109">
        <f>BP100</f>
        <v>0</v>
      </c>
      <c r="BQ128" s="138"/>
      <c r="BR128" s="139">
        <f>BS128/BS130</f>
        <v>0</v>
      </c>
      <c r="BS128" s="109">
        <f>BS100</f>
        <v>0</v>
      </c>
      <c r="BT128" s="138"/>
      <c r="BU128" s="139">
        <f>BV128/BV130</f>
        <v>0</v>
      </c>
      <c r="BV128" s="109">
        <f>BV100</f>
        <v>0</v>
      </c>
      <c r="BW128" s="138"/>
      <c r="BX128" s="139">
        <f>BY128/BY130</f>
        <v>0</v>
      </c>
      <c r="BY128" s="109">
        <f>BY100</f>
        <v>0</v>
      </c>
      <c r="BZ128" s="138"/>
      <c r="CA128" s="139">
        <f>CB128/CB130</f>
        <v>0</v>
      </c>
      <c r="CB128" s="109">
        <f>CB100</f>
        <v>0</v>
      </c>
      <c r="CC128" s="138"/>
      <c r="CD128" s="139">
        <f>CE128/CE130</f>
        <v>0</v>
      </c>
      <c r="CE128" s="109">
        <f>CE100</f>
        <v>0</v>
      </c>
      <c r="CF128" s="138"/>
      <c r="CG128" s="139">
        <f>CH128/CH130</f>
        <v>0</v>
      </c>
      <c r="CH128" s="109">
        <f>CH100</f>
        <v>0</v>
      </c>
      <c r="CI128" s="138"/>
      <c r="CJ128" s="139">
        <f>CK128/CK130</f>
        <v>0</v>
      </c>
      <c r="CK128" s="109">
        <f>CK100</f>
        <v>0</v>
      </c>
      <c r="CL128" s="138"/>
      <c r="CM128" s="139">
        <f>CN128/CN130</f>
        <v>0</v>
      </c>
      <c r="CN128" s="109">
        <f>CN100</f>
        <v>0</v>
      </c>
      <c r="CO128" s="138"/>
      <c r="CP128" s="139">
        <f>CQ128/CQ130</f>
        <v>0</v>
      </c>
      <c r="CQ128" s="109">
        <f>CQ100</f>
        <v>0</v>
      </c>
      <c r="CR128" s="138"/>
      <c r="CS128" s="139">
        <f>CT128/CT130</f>
        <v>0.89816799268524827</v>
      </c>
      <c r="CT128" s="109">
        <f>CT100</f>
        <v>3942.4760000000006</v>
      </c>
      <c r="CU128" s="138"/>
      <c r="CV128" s="139">
        <f>CW128/CW130</f>
        <v>0.93950227475674863</v>
      </c>
      <c r="CW128" s="109">
        <f>CW100</f>
        <v>6941.52</v>
      </c>
      <c r="CX128" s="138"/>
      <c r="CY128" s="139">
        <f>CZ128/CZ130</f>
        <v>0.8935709573459647</v>
      </c>
      <c r="CZ128" s="109">
        <f>CZ100</f>
        <v>3752.88</v>
      </c>
      <c r="DA128" s="138"/>
      <c r="DB128" s="139">
        <f>DC128/DC130</f>
        <v>0.86233767019092478</v>
      </c>
      <c r="DC128" s="109">
        <f>DC100</f>
        <v>2800</v>
      </c>
      <c r="DD128" s="138"/>
      <c r="DE128" s="139">
        <f>DF128/DF130</f>
        <v>0</v>
      </c>
      <c r="DF128" s="109">
        <f>DF100</f>
        <v>0</v>
      </c>
      <c r="DG128" s="138"/>
      <c r="DH128" s="139">
        <f>DI128/DI130</f>
        <v>0</v>
      </c>
      <c r="DI128" s="109">
        <f>DI100</f>
        <v>0</v>
      </c>
      <c r="DJ128" s="138"/>
      <c r="DK128" s="139">
        <f>DL128/DL130</f>
        <v>0</v>
      </c>
      <c r="DL128" s="109">
        <f>DL100</f>
        <v>0</v>
      </c>
      <c r="DM128" s="138"/>
      <c r="DN128" s="139">
        <f>DO128/DO130</f>
        <v>0</v>
      </c>
      <c r="DO128" s="109">
        <f>DO100</f>
        <v>0</v>
      </c>
      <c r="DP128" s="126"/>
      <c r="DQ128" s="140"/>
      <c r="DR128" s="141">
        <f>DS128/DS130</f>
        <v>5.0999755844297563E-2</v>
      </c>
      <c r="DS128" s="142">
        <f>DS100</f>
        <v>25222.816000000003</v>
      </c>
      <c r="DT128" s="85"/>
    </row>
    <row r="129" spans="2:124" s="86" customFormat="1" ht="18" customHeight="1">
      <c r="B129" s="143" t="s">
        <v>119</v>
      </c>
      <c r="C129" s="144" t="s">
        <v>21</v>
      </c>
      <c r="D129" s="145"/>
      <c r="E129" s="146"/>
      <c r="F129" s="147"/>
      <c r="G129" s="148">
        <f>H129/H130</f>
        <v>0.28019295476710171</v>
      </c>
      <c r="H129" s="149">
        <f>H123</f>
        <v>20155.32</v>
      </c>
      <c r="I129" s="147"/>
      <c r="J129" s="148">
        <f>K129/K130</f>
        <v>0.25318891227889034</v>
      </c>
      <c r="K129" s="149">
        <f>K123</f>
        <v>8852.9</v>
      </c>
      <c r="L129" s="147"/>
      <c r="M129" s="148">
        <f>N129/N130</f>
        <v>0</v>
      </c>
      <c r="N129" s="149">
        <f>N123</f>
        <v>0</v>
      </c>
      <c r="O129" s="147"/>
      <c r="P129" s="148">
        <f>Q129/Q130</f>
        <v>0</v>
      </c>
      <c r="Q129" s="149">
        <f>Q123</f>
        <v>0</v>
      </c>
      <c r="R129" s="147"/>
      <c r="S129" s="148">
        <f>T129/T130</f>
        <v>0</v>
      </c>
      <c r="T129" s="149">
        <f>T123</f>
        <v>0</v>
      </c>
      <c r="U129" s="147"/>
      <c r="V129" s="148">
        <f>W129/W130</f>
        <v>0</v>
      </c>
      <c r="W129" s="149">
        <f>W123</f>
        <v>0</v>
      </c>
      <c r="X129" s="147"/>
      <c r="Y129" s="148">
        <f>Z129/Z130</f>
        <v>0</v>
      </c>
      <c r="Z129" s="149">
        <f>Z123</f>
        <v>0</v>
      </c>
      <c r="AA129" s="147"/>
      <c r="AB129" s="148">
        <f>AC129/AC130</f>
        <v>0</v>
      </c>
      <c r="AC129" s="149">
        <f>AC123</f>
        <v>0</v>
      </c>
      <c r="AD129" s="147"/>
      <c r="AE129" s="148">
        <f>AF129/AF130</f>
        <v>0</v>
      </c>
      <c r="AF129" s="149">
        <f>AF123</f>
        <v>0</v>
      </c>
      <c r="AG129" s="147"/>
      <c r="AH129" s="148">
        <f>AI129/AI130</f>
        <v>0</v>
      </c>
      <c r="AI129" s="149">
        <f>AI123</f>
        <v>0</v>
      </c>
      <c r="AJ129" s="147"/>
      <c r="AK129" s="148">
        <f>AL129/AL130</f>
        <v>0</v>
      </c>
      <c r="AL129" s="149">
        <f>AL123</f>
        <v>0</v>
      </c>
      <c r="AM129" s="147"/>
      <c r="AN129" s="148">
        <f>AO129/AO130</f>
        <v>0</v>
      </c>
      <c r="AO129" s="149">
        <f>AO123</f>
        <v>0</v>
      </c>
      <c r="AP129" s="147"/>
      <c r="AQ129" s="148">
        <f>AR129/AR130</f>
        <v>0</v>
      </c>
      <c r="AR129" s="149">
        <f>AR123</f>
        <v>0</v>
      </c>
      <c r="AS129" s="147"/>
      <c r="AT129" s="148">
        <f>AU129/AU130</f>
        <v>0</v>
      </c>
      <c r="AU129" s="149">
        <f>AU123</f>
        <v>0</v>
      </c>
      <c r="AV129" s="147"/>
      <c r="AW129" s="148">
        <f>AX129/AX130</f>
        <v>0</v>
      </c>
      <c r="AX129" s="149">
        <f>AX123</f>
        <v>0</v>
      </c>
      <c r="AY129" s="147"/>
      <c r="AZ129" s="148">
        <f>BA129/BA130</f>
        <v>0</v>
      </c>
      <c r="BA129" s="149">
        <f>BA123</f>
        <v>0</v>
      </c>
      <c r="BB129" s="147"/>
      <c r="BC129" s="148">
        <f>BD129/BD130</f>
        <v>0</v>
      </c>
      <c r="BD129" s="149">
        <f>BD123</f>
        <v>0</v>
      </c>
      <c r="BE129" s="147"/>
      <c r="BF129" s="148">
        <f>BG129/BG130</f>
        <v>0</v>
      </c>
      <c r="BG129" s="149">
        <f>BG123</f>
        <v>0</v>
      </c>
      <c r="BH129" s="147"/>
      <c r="BI129" s="148">
        <f>BJ129/BJ130</f>
        <v>0.14839915602979059</v>
      </c>
      <c r="BJ129" s="149">
        <f>BJ123</f>
        <v>2.5956409090909092</v>
      </c>
      <c r="BK129" s="147"/>
      <c r="BL129" s="148">
        <f>BM129/BM130</f>
        <v>4.6691461237193858E-2</v>
      </c>
      <c r="BM129" s="149">
        <f>BM123</f>
        <v>27.25422954545455</v>
      </c>
      <c r="BN129" s="147"/>
      <c r="BO129" s="148">
        <f>BP129/BP130</f>
        <v>3.1578237941223594E-2</v>
      </c>
      <c r="BP129" s="149">
        <f>BP123</f>
        <v>1272.2245511363635</v>
      </c>
      <c r="BQ129" s="147"/>
      <c r="BR129" s="148">
        <f>BS129/BS130</f>
        <v>4.4894439656708196E-2</v>
      </c>
      <c r="BS129" s="149">
        <f>BS123</f>
        <v>3806.94</v>
      </c>
      <c r="BT129" s="147"/>
      <c r="BU129" s="148">
        <f>BV129/BV130</f>
        <v>0.12283184147000996</v>
      </c>
      <c r="BV129" s="149">
        <f>BV123</f>
        <v>173.04272727272729</v>
      </c>
      <c r="BW129" s="147"/>
      <c r="BX129" s="148">
        <f>BY129/BY130</f>
        <v>0.10422953747164346</v>
      </c>
      <c r="BY129" s="149">
        <f>BY123</f>
        <v>110.74734545454548</v>
      </c>
      <c r="BZ129" s="147"/>
      <c r="CA129" s="148">
        <f>CB129/CB130</f>
        <v>0.12715447350148101</v>
      </c>
      <c r="CB129" s="149">
        <f>CB123</f>
        <v>193.80785454545457</v>
      </c>
      <c r="CC129" s="147"/>
      <c r="CD129" s="148">
        <f>CE129/CE130</f>
        <v>0.17583160740369994</v>
      </c>
      <c r="CE129" s="149">
        <f>CE123</f>
        <v>34.608545454545457</v>
      </c>
      <c r="CF129" s="147"/>
      <c r="CG129" s="148">
        <f>CH129/CH130</f>
        <v>7.0579292157963283E-2</v>
      </c>
      <c r="CH129" s="149">
        <f>CH123</f>
        <v>51.912818181818174</v>
      </c>
      <c r="CI129" s="147"/>
      <c r="CJ129" s="148">
        <f>CK129/CK130</f>
        <v>3.1858114978406314E-2</v>
      </c>
      <c r="CK129" s="149">
        <f>CK123</f>
        <v>17.304272727272728</v>
      </c>
      <c r="CL129" s="147"/>
      <c r="CM129" s="148">
        <f>CN129/CN130</f>
        <v>3.2860373046951365E-2</v>
      </c>
      <c r="CN129" s="149">
        <f>CN123</f>
        <v>2987.8710909090905</v>
      </c>
      <c r="CO129" s="147"/>
      <c r="CP129" s="148">
        <f>CQ129/CQ130</f>
        <v>0.17514251385418877</v>
      </c>
      <c r="CQ129" s="149">
        <f>CQ123</f>
        <v>1211.2990909090909</v>
      </c>
      <c r="CR129" s="147"/>
      <c r="CS129" s="148">
        <f>CT129/CT130</f>
        <v>0</v>
      </c>
      <c r="CT129" s="149">
        <f>CT123</f>
        <v>0</v>
      </c>
      <c r="CU129" s="147"/>
      <c r="CV129" s="148">
        <f>CW129/CW130</f>
        <v>0</v>
      </c>
      <c r="CW129" s="149">
        <f>CW123</f>
        <v>0</v>
      </c>
      <c r="CX129" s="147"/>
      <c r="CY129" s="148">
        <f>CZ129/CZ130</f>
        <v>0</v>
      </c>
      <c r="CZ129" s="149">
        <f>CZ123</f>
        <v>0</v>
      </c>
      <c r="DA129" s="147"/>
      <c r="DB129" s="148">
        <f>DC129/DC130</f>
        <v>0</v>
      </c>
      <c r="DC129" s="149">
        <f>DC123</f>
        <v>0</v>
      </c>
      <c r="DD129" s="147"/>
      <c r="DE129" s="148">
        <f>DF129/DF130</f>
        <v>0.16523777331488099</v>
      </c>
      <c r="DF129" s="149">
        <f>DF123</f>
        <v>807.53272727272724</v>
      </c>
      <c r="DG129" s="147"/>
      <c r="DH129" s="148">
        <f>DI129/DI130</f>
        <v>0.16034910824019585</v>
      </c>
      <c r="DI129" s="149">
        <f>DI123</f>
        <v>605.64954545454543</v>
      </c>
      <c r="DJ129" s="147"/>
      <c r="DK129" s="148">
        <f>DL129/DL130</f>
        <v>0.17483216808364432</v>
      </c>
      <c r="DL129" s="149">
        <f>DL123</f>
        <v>2018.8318181818183</v>
      </c>
      <c r="DM129" s="147"/>
      <c r="DN129" s="148">
        <f>DO129/DO130</f>
        <v>0.1704338998341087</v>
      </c>
      <c r="DO129" s="149">
        <f>DO123</f>
        <v>1211.2990909090909</v>
      </c>
      <c r="DP129" s="126"/>
      <c r="DQ129" s="150"/>
      <c r="DR129" s="151">
        <f>DS129/DS130</f>
        <v>9.5486190584202935E-2</v>
      </c>
      <c r="DS129" s="152">
        <f>DS123</f>
        <v>47224.355798863638</v>
      </c>
      <c r="DT129" s="85"/>
    </row>
    <row r="130" spans="2:124" s="86" customFormat="1" ht="18" customHeight="1" thickBot="1">
      <c r="B130" s="458"/>
      <c r="C130" s="531" t="s">
        <v>120</v>
      </c>
      <c r="D130" s="459"/>
      <c r="E130" s="532">
        <f>SUM(E126:E129)</f>
        <v>0</v>
      </c>
      <c r="F130" s="462"/>
      <c r="G130" s="492">
        <f>SUM(G126:G129)</f>
        <v>0.99999999999999989</v>
      </c>
      <c r="H130" s="478">
        <f>SUM(H126:H129)</f>
        <v>71933.714453146182</v>
      </c>
      <c r="I130" s="462"/>
      <c r="J130" s="492">
        <f>SUM(J126:J129)</f>
        <v>0.99999999999999978</v>
      </c>
      <c r="K130" s="478">
        <f>SUM(K126:K129)</f>
        <v>34965.591187691636</v>
      </c>
      <c r="L130" s="462"/>
      <c r="M130" s="492">
        <f>SUM(M126:M129)</f>
        <v>1</v>
      </c>
      <c r="N130" s="478">
        <f>SUM(N126:N129)</f>
        <v>12137.739994964357</v>
      </c>
      <c r="O130" s="462"/>
      <c r="P130" s="492">
        <f>SUM(P126:P129)</f>
        <v>0.99999999999999989</v>
      </c>
      <c r="Q130" s="478">
        <f>SUM(Q126:Q129)</f>
        <v>17320.55359496436</v>
      </c>
      <c r="R130" s="462"/>
      <c r="S130" s="492">
        <f>SUM(S126:S129)</f>
        <v>1</v>
      </c>
      <c r="T130" s="478">
        <f>SUM(T126:T129)</f>
        <v>8883.7707586007218</v>
      </c>
      <c r="U130" s="462"/>
      <c r="V130" s="492">
        <f>SUM(V126:V129)</f>
        <v>1</v>
      </c>
      <c r="W130" s="478">
        <f>SUM(W126:W129)</f>
        <v>6309.272431327995</v>
      </c>
      <c r="X130" s="462"/>
      <c r="Y130" s="492">
        <f>SUM(Y126:Y129)</f>
        <v>1</v>
      </c>
      <c r="Z130" s="478">
        <f>SUM(Z126:Z129)</f>
        <v>6209.5788313279936</v>
      </c>
      <c r="AA130" s="462"/>
      <c r="AB130" s="492">
        <f>SUM(AB126:AB129)</f>
        <v>1</v>
      </c>
      <c r="AC130" s="478">
        <f>SUM(AC126:AC129)</f>
        <v>5332.2250131461769</v>
      </c>
      <c r="AD130" s="462"/>
      <c r="AE130" s="492">
        <f>SUM(AE126:AE129)</f>
        <v>1</v>
      </c>
      <c r="AF130" s="478">
        <f>SUM(AF126:AF129)</f>
        <v>5332.2250131461769</v>
      </c>
      <c r="AG130" s="462"/>
      <c r="AH130" s="492">
        <f>SUM(AH126:AH129)</f>
        <v>1</v>
      </c>
      <c r="AI130" s="478">
        <f>SUM(AI126:AI129)</f>
        <v>5332.2250131461769</v>
      </c>
      <c r="AJ130" s="462"/>
      <c r="AK130" s="492">
        <f>SUM(AK126:AK129)</f>
        <v>1</v>
      </c>
      <c r="AL130" s="478">
        <f>SUM(AL126:AL129)</f>
        <v>5332.2250131461769</v>
      </c>
      <c r="AM130" s="462"/>
      <c r="AN130" s="492">
        <f>SUM(AN126:AN129)</f>
        <v>1</v>
      </c>
      <c r="AO130" s="478">
        <f>SUM(AO126:AO129)</f>
        <v>8719.7818131461772</v>
      </c>
      <c r="AP130" s="462"/>
      <c r="AQ130" s="492">
        <f>SUM(AQ126:AQ129)</f>
        <v>1</v>
      </c>
      <c r="AR130" s="478">
        <f>SUM(AR126:AR129)</f>
        <v>51.929879222370865</v>
      </c>
      <c r="AS130" s="462"/>
      <c r="AT130" s="492">
        <f>SUM(AT126:AT129)</f>
        <v>0.99999999999999989</v>
      </c>
      <c r="AU130" s="478">
        <f>SUM(AU126:AU129)</f>
        <v>677.20792223708554</v>
      </c>
      <c r="AV130" s="462"/>
      <c r="AW130" s="492">
        <f>SUM(AW126:AW129)</f>
        <v>1</v>
      </c>
      <c r="AX130" s="478">
        <f>SUM(AX126:AX129)</f>
        <v>61.533490279635686</v>
      </c>
      <c r="AY130" s="462"/>
      <c r="AZ130" s="492">
        <f>SUM(AZ126:AZ129)</f>
        <v>1</v>
      </c>
      <c r="BA130" s="478">
        <f>SUM(BA126:BA129)</f>
        <v>159.15798703951424</v>
      </c>
      <c r="BB130" s="462"/>
      <c r="BC130" s="492">
        <f>SUM(BC126:BC129)</f>
        <v>1</v>
      </c>
      <c r="BD130" s="478">
        <f>SUM(BD126:BD129)</f>
        <v>138.82798703951426</v>
      </c>
      <c r="BE130" s="462"/>
      <c r="BF130" s="492">
        <f>SUM(BF126:BF129)</f>
        <v>1</v>
      </c>
      <c r="BG130" s="478">
        <f>SUM(BG126:BG129)</f>
        <v>1846.9879222370855</v>
      </c>
      <c r="BH130" s="462"/>
      <c r="BI130" s="492">
        <f>SUM(BI126:BI129)</f>
        <v>1</v>
      </c>
      <c r="BJ130" s="478">
        <f>SUM(BJ126:BJ129)</f>
        <v>17.490941178734492</v>
      </c>
      <c r="BK130" s="462"/>
      <c r="BL130" s="492">
        <f>SUM(BL126:BL129)</f>
        <v>1</v>
      </c>
      <c r="BM130" s="478">
        <f>SUM(BM126:BM129)</f>
        <v>583.70907277890365</v>
      </c>
      <c r="BN130" s="462"/>
      <c r="BO130" s="492">
        <f>SUM(BO126:BO129)</f>
        <v>1</v>
      </c>
      <c r="BP130" s="478">
        <f>SUM(BP126:BP129)</f>
        <v>40288.015864100722</v>
      </c>
      <c r="BQ130" s="462"/>
      <c r="BR130" s="492">
        <f>SUM(BR126:BR129)</f>
        <v>1</v>
      </c>
      <c r="BS130" s="478">
        <f>SUM(BS126:BS129)</f>
        <v>84797.583600782542</v>
      </c>
      <c r="BT130" s="462"/>
      <c r="BU130" s="492">
        <f>SUM(BU126:BU129)</f>
        <v>1</v>
      </c>
      <c r="BV130" s="478">
        <f>SUM(BV126:BV129)</f>
        <v>1408.77744078254</v>
      </c>
      <c r="BW130" s="462"/>
      <c r="BX130" s="492">
        <f>SUM(BX126:BX129)</f>
        <v>0.99999999999999989</v>
      </c>
      <c r="BY130" s="478">
        <f>SUM(BY126:BY129)</f>
        <v>1062.5332141061765</v>
      </c>
      <c r="BZ130" s="462"/>
      <c r="CA130" s="492">
        <f>SUM(CA126:CA129)</f>
        <v>0.99999999999999989</v>
      </c>
      <c r="CB130" s="478">
        <f>SUM(CB126:CB129)</f>
        <v>1524.1921830079948</v>
      </c>
      <c r="CC130" s="462"/>
      <c r="CD130" s="492">
        <f>SUM(CD126:CD129)</f>
        <v>1</v>
      </c>
      <c r="CE130" s="478">
        <f>SUM(CE126:CE129)</f>
        <v>196.82778293146177</v>
      </c>
      <c r="CF130" s="462"/>
      <c r="CG130" s="492">
        <f>SUM(CG126:CG129)</f>
        <v>1</v>
      </c>
      <c r="CH130" s="478">
        <f>SUM(CH126:CH129)</f>
        <v>735.52477780072184</v>
      </c>
      <c r="CI130" s="462"/>
      <c r="CJ130" s="492">
        <f>SUM(CJ126:CJ129)</f>
        <v>0.99999999999999978</v>
      </c>
      <c r="CK130" s="478">
        <f>SUM(CK126:CK129)</f>
        <v>543.16687409163103</v>
      </c>
      <c r="CL130" s="462"/>
      <c r="CM130" s="492">
        <f>SUM(CM126:CM129)</f>
        <v>0.99999999999999989</v>
      </c>
      <c r="CN130" s="478">
        <f>SUM(CN126:CN129)</f>
        <v>90926.268141873443</v>
      </c>
      <c r="CO130" s="462"/>
      <c r="CP130" s="492">
        <f>SUM(CP126:CP129)</f>
        <v>0.99999999999999989</v>
      </c>
      <c r="CQ130" s="478">
        <f>SUM(CQ126:CQ129)</f>
        <v>6916.0768807825407</v>
      </c>
      <c r="CR130" s="462"/>
      <c r="CS130" s="492">
        <f>SUM(CS126:CS129)</f>
        <v>1</v>
      </c>
      <c r="CT130" s="478">
        <f>SUM(CT126:CT129)</f>
        <v>4389.4639222370861</v>
      </c>
      <c r="CU130" s="462"/>
      <c r="CV130" s="492">
        <f>SUM(CV126:CV129)</f>
        <v>1</v>
      </c>
      <c r="CW130" s="478">
        <f>SUM(CW126:CW129)</f>
        <v>7388.5079222370859</v>
      </c>
      <c r="CX130" s="462"/>
      <c r="CY130" s="492">
        <f>SUM(CY126:CY129)</f>
        <v>1</v>
      </c>
      <c r="CZ130" s="478">
        <f>SUM(CZ126:CZ129)</f>
        <v>4199.8679222370856</v>
      </c>
      <c r="DA130" s="462"/>
      <c r="DB130" s="492">
        <f>SUM(DB126:DB129)</f>
        <v>1</v>
      </c>
      <c r="DC130" s="478">
        <f>SUM(DC126:DC129)</f>
        <v>3246.9879222370855</v>
      </c>
      <c r="DD130" s="462"/>
      <c r="DE130" s="492">
        <f>SUM(DE126:DE129)</f>
        <v>0.99999999999999989</v>
      </c>
      <c r="DF130" s="478">
        <f>SUM(DF126:DF129)</f>
        <v>4887.0951906007222</v>
      </c>
      <c r="DG130" s="462"/>
      <c r="DH130" s="492">
        <f>SUM(DH126:DH129)</f>
        <v>1</v>
      </c>
      <c r="DI130" s="478">
        <f>SUM(DI126:DI129)</f>
        <v>3777.0683735098128</v>
      </c>
      <c r="DJ130" s="462"/>
      <c r="DK130" s="492">
        <f>SUM(DK126:DK129)</f>
        <v>1</v>
      </c>
      <c r="DL130" s="478">
        <f>SUM(DL126:DL129)</f>
        <v>11547.256093146176</v>
      </c>
      <c r="DM130" s="462"/>
      <c r="DN130" s="492">
        <f>SUM(DN126:DN129)</f>
        <v>1</v>
      </c>
      <c r="DO130" s="478">
        <f>SUM(DO126:DO129)</f>
        <v>7107.14882478254</v>
      </c>
      <c r="DP130" s="100"/>
      <c r="DQ130" s="533"/>
      <c r="DR130" s="460">
        <f>SUM(DR126:DR129)</f>
        <v>1</v>
      </c>
      <c r="DS130" s="534">
        <f>SUM(DS126:DS129)</f>
        <v>494567.38728329114</v>
      </c>
      <c r="DT130" s="85"/>
    </row>
    <row r="131" spans="2:124" s="86" customFormat="1" ht="18" customHeight="1" thickBot="1">
      <c r="B131" s="461"/>
      <c r="C131" s="716"/>
      <c r="D131" s="716"/>
      <c r="E131" s="716"/>
      <c r="F131" s="716"/>
      <c r="G131" s="716"/>
      <c r="H131" s="716"/>
      <c r="I131" s="716"/>
      <c r="J131" s="716"/>
      <c r="K131" s="716"/>
      <c r="L131" s="716"/>
      <c r="M131" s="716"/>
      <c r="N131" s="716"/>
      <c r="O131" s="716"/>
      <c r="P131" s="716"/>
      <c r="Q131" s="716"/>
      <c r="R131" s="716"/>
      <c r="S131" s="716"/>
      <c r="T131" s="716"/>
      <c r="U131" s="716"/>
      <c r="V131" s="716"/>
      <c r="W131" s="716"/>
      <c r="X131" s="716"/>
      <c r="Y131" s="716"/>
      <c r="Z131" s="716"/>
      <c r="AA131" s="716"/>
      <c r="AB131" s="716"/>
      <c r="AC131" s="716"/>
      <c r="AD131" s="716"/>
      <c r="AE131" s="716"/>
      <c r="AF131" s="716"/>
      <c r="AG131" s="716"/>
      <c r="AH131" s="716"/>
      <c r="AI131" s="716"/>
      <c r="AJ131" s="716"/>
      <c r="AK131" s="716"/>
      <c r="AL131" s="716"/>
      <c r="AM131" s="716"/>
      <c r="AN131" s="716"/>
      <c r="AO131" s="716"/>
      <c r="AP131" s="716"/>
      <c r="AQ131" s="716"/>
      <c r="AR131" s="716"/>
      <c r="AS131" s="716"/>
      <c r="AT131" s="716"/>
      <c r="AU131" s="716"/>
      <c r="AV131" s="716"/>
      <c r="AW131" s="716"/>
      <c r="AX131" s="716"/>
      <c r="AY131" s="716"/>
      <c r="AZ131" s="716"/>
      <c r="BA131" s="716"/>
      <c r="BB131" s="716"/>
      <c r="BC131" s="716"/>
      <c r="BD131" s="716"/>
      <c r="BE131" s="716"/>
      <c r="BF131" s="716"/>
      <c r="BG131" s="716"/>
      <c r="BH131" s="716"/>
      <c r="BI131" s="716"/>
      <c r="BJ131" s="716"/>
      <c r="BK131" s="716"/>
      <c r="BL131" s="716"/>
      <c r="BM131" s="716"/>
      <c r="BN131" s="716"/>
      <c r="BO131" s="716"/>
      <c r="BP131" s="716"/>
      <c r="BQ131" s="716"/>
      <c r="BR131" s="716"/>
      <c r="BS131" s="716"/>
      <c r="BT131" s="716"/>
      <c r="BU131" s="716"/>
      <c r="BV131" s="716"/>
      <c r="BW131" s="716"/>
      <c r="BX131" s="716"/>
      <c r="BY131" s="716"/>
      <c r="BZ131" s="716"/>
      <c r="CA131" s="716"/>
      <c r="CB131" s="716"/>
      <c r="CC131" s="716"/>
      <c r="CD131" s="716"/>
      <c r="CE131" s="716"/>
      <c r="CF131" s="716"/>
      <c r="CG131" s="716"/>
      <c r="CH131" s="716"/>
      <c r="CI131" s="716"/>
      <c r="CJ131" s="716"/>
      <c r="CK131" s="716"/>
      <c r="CL131" s="716"/>
      <c r="CM131" s="716"/>
      <c r="CN131" s="716"/>
      <c r="CO131" s="716"/>
      <c r="CP131" s="716"/>
      <c r="CQ131" s="716"/>
      <c r="CR131" s="716"/>
      <c r="CS131" s="716"/>
      <c r="CT131" s="716"/>
      <c r="CU131" s="716"/>
      <c r="CV131" s="716"/>
      <c r="CW131" s="716"/>
      <c r="CX131" s="716"/>
      <c r="CY131" s="716"/>
      <c r="CZ131" s="716"/>
      <c r="DA131" s="716"/>
      <c r="DB131" s="716"/>
      <c r="DC131" s="716"/>
      <c r="DD131" s="716"/>
      <c r="DE131" s="716"/>
      <c r="DF131" s="716"/>
      <c r="DG131" s="716"/>
      <c r="DH131" s="716"/>
      <c r="DI131" s="716"/>
      <c r="DJ131" s="716"/>
      <c r="DK131" s="716"/>
      <c r="DL131" s="716"/>
      <c r="DM131" s="716"/>
      <c r="DN131" s="716"/>
      <c r="DO131" s="716"/>
      <c r="DP131" s="100"/>
      <c r="DQ131" s="721"/>
      <c r="DR131" s="721"/>
      <c r="DS131" s="721"/>
      <c r="DT131" s="85"/>
    </row>
    <row r="132" spans="2:124" s="86" customFormat="1" ht="18" customHeight="1">
      <c r="B132" s="462" t="s">
        <v>109</v>
      </c>
      <c r="C132" s="717" t="s">
        <v>121</v>
      </c>
      <c r="D132" s="718"/>
      <c r="E132" s="532" t="s">
        <v>122</v>
      </c>
      <c r="F132" s="462"/>
      <c r="G132" s="492"/>
      <c r="H132" s="478" t="s">
        <v>112</v>
      </c>
      <c r="I132" s="462"/>
      <c r="J132" s="492"/>
      <c r="K132" s="478" t="s">
        <v>112</v>
      </c>
      <c r="L132" s="462"/>
      <c r="M132" s="492"/>
      <c r="N132" s="478" t="s">
        <v>112</v>
      </c>
      <c r="O132" s="462"/>
      <c r="P132" s="492"/>
      <c r="Q132" s="478" t="s">
        <v>112</v>
      </c>
      <c r="R132" s="462"/>
      <c r="S132" s="492"/>
      <c r="T132" s="478" t="s">
        <v>112</v>
      </c>
      <c r="U132" s="462"/>
      <c r="V132" s="492"/>
      <c r="W132" s="478" t="s">
        <v>112</v>
      </c>
      <c r="X132" s="462"/>
      <c r="Y132" s="492"/>
      <c r="Z132" s="478" t="s">
        <v>112</v>
      </c>
      <c r="AA132" s="462"/>
      <c r="AB132" s="492"/>
      <c r="AC132" s="478" t="s">
        <v>112</v>
      </c>
      <c r="AD132" s="462"/>
      <c r="AE132" s="492"/>
      <c r="AF132" s="478" t="s">
        <v>112</v>
      </c>
      <c r="AG132" s="462"/>
      <c r="AH132" s="492"/>
      <c r="AI132" s="478" t="s">
        <v>112</v>
      </c>
      <c r="AJ132" s="462"/>
      <c r="AK132" s="492"/>
      <c r="AL132" s="478" t="s">
        <v>112</v>
      </c>
      <c r="AM132" s="462"/>
      <c r="AN132" s="492"/>
      <c r="AO132" s="478" t="s">
        <v>112</v>
      </c>
      <c r="AP132" s="462"/>
      <c r="AQ132" s="492"/>
      <c r="AR132" s="478" t="s">
        <v>112</v>
      </c>
      <c r="AS132" s="462"/>
      <c r="AT132" s="492"/>
      <c r="AU132" s="478" t="s">
        <v>112</v>
      </c>
      <c r="AV132" s="462"/>
      <c r="AW132" s="492"/>
      <c r="AX132" s="478" t="s">
        <v>112</v>
      </c>
      <c r="AY132" s="462"/>
      <c r="AZ132" s="492"/>
      <c r="BA132" s="478" t="s">
        <v>112</v>
      </c>
      <c r="BB132" s="462"/>
      <c r="BC132" s="492"/>
      <c r="BD132" s="478" t="s">
        <v>112</v>
      </c>
      <c r="BE132" s="462"/>
      <c r="BF132" s="492"/>
      <c r="BG132" s="478" t="s">
        <v>112</v>
      </c>
      <c r="BH132" s="462"/>
      <c r="BI132" s="492"/>
      <c r="BJ132" s="478" t="s">
        <v>112</v>
      </c>
      <c r="BK132" s="462"/>
      <c r="BL132" s="492"/>
      <c r="BM132" s="478" t="s">
        <v>112</v>
      </c>
      <c r="BN132" s="462"/>
      <c r="BO132" s="492"/>
      <c r="BP132" s="478" t="s">
        <v>112</v>
      </c>
      <c r="BQ132" s="462"/>
      <c r="BR132" s="492"/>
      <c r="BS132" s="478" t="s">
        <v>112</v>
      </c>
      <c r="BT132" s="462"/>
      <c r="BU132" s="492"/>
      <c r="BV132" s="478" t="s">
        <v>112</v>
      </c>
      <c r="BW132" s="462"/>
      <c r="BX132" s="492"/>
      <c r="BY132" s="478" t="s">
        <v>112</v>
      </c>
      <c r="BZ132" s="462"/>
      <c r="CA132" s="492"/>
      <c r="CB132" s="478" t="s">
        <v>112</v>
      </c>
      <c r="CC132" s="462"/>
      <c r="CD132" s="492"/>
      <c r="CE132" s="478" t="s">
        <v>112</v>
      </c>
      <c r="CF132" s="462"/>
      <c r="CG132" s="492"/>
      <c r="CH132" s="478" t="s">
        <v>112</v>
      </c>
      <c r="CI132" s="462"/>
      <c r="CJ132" s="492"/>
      <c r="CK132" s="478" t="s">
        <v>112</v>
      </c>
      <c r="CL132" s="462"/>
      <c r="CM132" s="492"/>
      <c r="CN132" s="478" t="s">
        <v>112</v>
      </c>
      <c r="CO132" s="462"/>
      <c r="CP132" s="492"/>
      <c r="CQ132" s="478" t="s">
        <v>112</v>
      </c>
      <c r="CR132" s="462"/>
      <c r="CS132" s="492"/>
      <c r="CT132" s="478" t="s">
        <v>112</v>
      </c>
      <c r="CU132" s="462"/>
      <c r="CV132" s="492"/>
      <c r="CW132" s="478" t="s">
        <v>112</v>
      </c>
      <c r="CX132" s="462"/>
      <c r="CY132" s="492"/>
      <c r="CZ132" s="478" t="s">
        <v>112</v>
      </c>
      <c r="DA132" s="462"/>
      <c r="DB132" s="492"/>
      <c r="DC132" s="478" t="s">
        <v>112</v>
      </c>
      <c r="DD132" s="462"/>
      <c r="DE132" s="492"/>
      <c r="DF132" s="478" t="s">
        <v>112</v>
      </c>
      <c r="DG132" s="462"/>
      <c r="DH132" s="492"/>
      <c r="DI132" s="478" t="s">
        <v>112</v>
      </c>
      <c r="DJ132" s="462"/>
      <c r="DK132" s="492"/>
      <c r="DL132" s="478" t="s">
        <v>112</v>
      </c>
      <c r="DM132" s="462"/>
      <c r="DN132" s="492"/>
      <c r="DO132" s="478" t="s">
        <v>112</v>
      </c>
      <c r="DP132" s="100"/>
      <c r="DQ132" s="205"/>
      <c r="DR132" s="207"/>
      <c r="DS132" s="208" t="s">
        <v>112</v>
      </c>
      <c r="DT132" s="85"/>
    </row>
    <row r="133" spans="2:124" s="86" customFormat="1" ht="18" customHeight="1">
      <c r="B133" s="463">
        <v>1</v>
      </c>
      <c r="C133" s="464" t="s">
        <v>123</v>
      </c>
      <c r="D133" s="465"/>
      <c r="E133" s="466">
        <f>'BDI-TRIBUTOS'!D8</f>
        <v>0.02</v>
      </c>
      <c r="F133" s="493"/>
      <c r="G133" s="494"/>
      <c r="H133" s="495">
        <f>H130*$E$133</f>
        <v>1438.6742890629237</v>
      </c>
      <c r="I133" s="493"/>
      <c r="J133" s="494"/>
      <c r="K133" s="495">
        <f>K130*$E$133</f>
        <v>699.31182375383275</v>
      </c>
      <c r="L133" s="493"/>
      <c r="M133" s="494"/>
      <c r="N133" s="495">
        <f>N130*$E$133</f>
        <v>242.75479989928715</v>
      </c>
      <c r="O133" s="493"/>
      <c r="P133" s="494"/>
      <c r="Q133" s="495">
        <f>Q130*$E$133</f>
        <v>346.41107189928721</v>
      </c>
      <c r="R133" s="493"/>
      <c r="S133" s="494"/>
      <c r="T133" s="495">
        <f>T130*$E$133</f>
        <v>177.67541517201445</v>
      </c>
      <c r="U133" s="493"/>
      <c r="V133" s="494"/>
      <c r="W133" s="495">
        <f>W130*$E$133</f>
        <v>126.1854486265599</v>
      </c>
      <c r="X133" s="493"/>
      <c r="Y133" s="494"/>
      <c r="Z133" s="495">
        <f>Z130*$E$133</f>
        <v>124.19157662655988</v>
      </c>
      <c r="AA133" s="493"/>
      <c r="AB133" s="494"/>
      <c r="AC133" s="495">
        <f>AC130*$E$133</f>
        <v>106.64450026292354</v>
      </c>
      <c r="AD133" s="493"/>
      <c r="AE133" s="494"/>
      <c r="AF133" s="495">
        <f>AF130*$E$133</f>
        <v>106.64450026292354</v>
      </c>
      <c r="AG133" s="493"/>
      <c r="AH133" s="494"/>
      <c r="AI133" s="495">
        <f>AI130*$E$133</f>
        <v>106.64450026292354</v>
      </c>
      <c r="AJ133" s="493"/>
      <c r="AK133" s="494"/>
      <c r="AL133" s="495">
        <f>AL130*$E$133</f>
        <v>106.64450026292354</v>
      </c>
      <c r="AM133" s="493"/>
      <c r="AN133" s="494"/>
      <c r="AO133" s="495">
        <f>AO130*$E$133</f>
        <v>174.39563626292355</v>
      </c>
      <c r="AP133" s="493"/>
      <c r="AQ133" s="494"/>
      <c r="AR133" s="495">
        <f>AR130*$E$133</f>
        <v>1.0385975844474173</v>
      </c>
      <c r="AS133" s="493"/>
      <c r="AT133" s="494"/>
      <c r="AU133" s="495">
        <f>AU130*$E$133</f>
        <v>13.544158444741711</v>
      </c>
      <c r="AV133" s="493"/>
      <c r="AW133" s="494"/>
      <c r="AX133" s="495">
        <f>AX130*$E$133</f>
        <v>1.2306698055927137</v>
      </c>
      <c r="AY133" s="493"/>
      <c r="AZ133" s="494"/>
      <c r="BA133" s="495">
        <f>BA130*$E$133</f>
        <v>3.183159740790285</v>
      </c>
      <c r="BB133" s="493"/>
      <c r="BC133" s="494"/>
      <c r="BD133" s="495">
        <f>BD130*$E$133</f>
        <v>2.7765597407902853</v>
      </c>
      <c r="BE133" s="493"/>
      <c r="BF133" s="494"/>
      <c r="BG133" s="495">
        <f>BG130*$E$133</f>
        <v>36.939758444741713</v>
      </c>
      <c r="BH133" s="493"/>
      <c r="BI133" s="494"/>
      <c r="BJ133" s="495">
        <f>BJ130*$E$133</f>
        <v>0.34981882357468985</v>
      </c>
      <c r="BK133" s="493"/>
      <c r="BL133" s="494"/>
      <c r="BM133" s="495">
        <f>BM130*$E$133</f>
        <v>11.674181455578074</v>
      </c>
      <c r="BN133" s="493"/>
      <c r="BO133" s="494"/>
      <c r="BP133" s="495">
        <f>BP130*$E$133</f>
        <v>805.76031728201451</v>
      </c>
      <c r="BQ133" s="493"/>
      <c r="BR133" s="494"/>
      <c r="BS133" s="495">
        <f>BS130*$E$133</f>
        <v>1695.951672015651</v>
      </c>
      <c r="BT133" s="493"/>
      <c r="BU133" s="494"/>
      <c r="BV133" s="495">
        <f>BV130*$E$133</f>
        <v>28.175548815650799</v>
      </c>
      <c r="BW133" s="493"/>
      <c r="BX133" s="494"/>
      <c r="BY133" s="495">
        <f>BY130*$E$133</f>
        <v>21.25066428212353</v>
      </c>
      <c r="BZ133" s="493"/>
      <c r="CA133" s="494"/>
      <c r="CB133" s="495">
        <f>CB130*$E$133</f>
        <v>30.483843660159895</v>
      </c>
      <c r="CC133" s="493"/>
      <c r="CD133" s="494"/>
      <c r="CE133" s="495">
        <f>CE130*$E$133</f>
        <v>3.9365556586292354</v>
      </c>
      <c r="CF133" s="493"/>
      <c r="CG133" s="494"/>
      <c r="CH133" s="495">
        <f>CH130*$E$133</f>
        <v>14.710495556014436</v>
      </c>
      <c r="CI133" s="493"/>
      <c r="CJ133" s="494"/>
      <c r="CK133" s="495">
        <f>CK130*$E$133</f>
        <v>10.863337481832621</v>
      </c>
      <c r="CL133" s="493"/>
      <c r="CM133" s="494"/>
      <c r="CN133" s="495">
        <f>CN130*$E$133</f>
        <v>1818.5253628374689</v>
      </c>
      <c r="CO133" s="493"/>
      <c r="CP133" s="494"/>
      <c r="CQ133" s="495">
        <f>CQ130*$E$133</f>
        <v>138.32153761565081</v>
      </c>
      <c r="CR133" s="493"/>
      <c r="CS133" s="494"/>
      <c r="CT133" s="495">
        <f>CT130*$E$133</f>
        <v>87.789278444741726</v>
      </c>
      <c r="CU133" s="493"/>
      <c r="CV133" s="494"/>
      <c r="CW133" s="495">
        <f>CW130*$E$133</f>
        <v>147.77015844474172</v>
      </c>
      <c r="CX133" s="493"/>
      <c r="CY133" s="494"/>
      <c r="CZ133" s="495">
        <f>CZ130*$E$133</f>
        <v>83.997358444741721</v>
      </c>
      <c r="DA133" s="493"/>
      <c r="DB133" s="494"/>
      <c r="DC133" s="495">
        <f>DC130*$E$133</f>
        <v>64.939758444741713</v>
      </c>
      <c r="DD133" s="493"/>
      <c r="DE133" s="494"/>
      <c r="DF133" s="495">
        <f>DF130*$E$133</f>
        <v>97.741903812014442</v>
      </c>
      <c r="DG133" s="493"/>
      <c r="DH133" s="494"/>
      <c r="DI133" s="495">
        <f>DI130*$E$133</f>
        <v>75.541367470196263</v>
      </c>
      <c r="DJ133" s="493"/>
      <c r="DK133" s="494"/>
      <c r="DL133" s="495">
        <f>DL130*$E$133</f>
        <v>230.94512186292351</v>
      </c>
      <c r="DM133" s="493"/>
      <c r="DN133" s="494"/>
      <c r="DO133" s="495">
        <f>DO130*$E$133</f>
        <v>142.1429764956508</v>
      </c>
      <c r="DP133" s="117"/>
      <c r="DQ133" s="467"/>
      <c r="DR133" s="468"/>
      <c r="DS133" s="469">
        <f>DS130*$E$133</f>
        <v>9891.3477456658238</v>
      </c>
      <c r="DT133" s="85"/>
    </row>
    <row r="134" spans="2:124" s="86" customFormat="1" ht="18" customHeight="1">
      <c r="B134" s="153">
        <v>2</v>
      </c>
      <c r="C134" s="154" t="s">
        <v>124</v>
      </c>
      <c r="D134" s="155"/>
      <c r="E134" s="156">
        <f>'BDI-TRIBUTOS'!D6</f>
        <v>0.02</v>
      </c>
      <c r="F134" s="157"/>
      <c r="G134" s="158"/>
      <c r="H134" s="159">
        <f>H130*$E$134</f>
        <v>1438.6742890629237</v>
      </c>
      <c r="I134" s="157"/>
      <c r="J134" s="158"/>
      <c r="K134" s="159">
        <f>K130*$E$134</f>
        <v>699.31182375383275</v>
      </c>
      <c r="L134" s="157"/>
      <c r="M134" s="158"/>
      <c r="N134" s="159">
        <f>N130*$E$134</f>
        <v>242.75479989928715</v>
      </c>
      <c r="O134" s="157"/>
      <c r="P134" s="158"/>
      <c r="Q134" s="159">
        <f>Q130*$E$134</f>
        <v>346.41107189928721</v>
      </c>
      <c r="R134" s="157"/>
      <c r="S134" s="158"/>
      <c r="T134" s="159">
        <f>T130*$E$134</f>
        <v>177.67541517201445</v>
      </c>
      <c r="U134" s="157"/>
      <c r="V134" s="158"/>
      <c r="W134" s="159">
        <f>W130*$E$134</f>
        <v>126.1854486265599</v>
      </c>
      <c r="X134" s="157"/>
      <c r="Y134" s="158"/>
      <c r="Z134" s="159">
        <f>Z130*$E$134</f>
        <v>124.19157662655988</v>
      </c>
      <c r="AA134" s="157"/>
      <c r="AB134" s="158"/>
      <c r="AC134" s="159">
        <f>AC130*$E$134</f>
        <v>106.64450026292354</v>
      </c>
      <c r="AD134" s="157"/>
      <c r="AE134" s="158"/>
      <c r="AF134" s="159">
        <f>AF130*$E$134</f>
        <v>106.64450026292354</v>
      </c>
      <c r="AG134" s="157"/>
      <c r="AH134" s="158"/>
      <c r="AI134" s="159">
        <f>AI130*$E$134</f>
        <v>106.64450026292354</v>
      </c>
      <c r="AJ134" s="157"/>
      <c r="AK134" s="158"/>
      <c r="AL134" s="159">
        <f>AL130*$E$134</f>
        <v>106.64450026292354</v>
      </c>
      <c r="AM134" s="157"/>
      <c r="AN134" s="158"/>
      <c r="AO134" s="159">
        <f>AO130*$E$134</f>
        <v>174.39563626292355</v>
      </c>
      <c r="AP134" s="157"/>
      <c r="AQ134" s="158"/>
      <c r="AR134" s="159">
        <f>AR130*$E$134</f>
        <v>1.0385975844474173</v>
      </c>
      <c r="AS134" s="157"/>
      <c r="AT134" s="158"/>
      <c r="AU134" s="159">
        <f>AU130*$E$134</f>
        <v>13.544158444741711</v>
      </c>
      <c r="AV134" s="157"/>
      <c r="AW134" s="158"/>
      <c r="AX134" s="159">
        <f>AX130*$E$134</f>
        <v>1.2306698055927137</v>
      </c>
      <c r="AY134" s="157"/>
      <c r="AZ134" s="158"/>
      <c r="BA134" s="159">
        <f>BA130*$E$134</f>
        <v>3.183159740790285</v>
      </c>
      <c r="BB134" s="157"/>
      <c r="BC134" s="158"/>
      <c r="BD134" s="159">
        <f>BD130*$E$134</f>
        <v>2.7765597407902853</v>
      </c>
      <c r="BE134" s="157"/>
      <c r="BF134" s="158"/>
      <c r="BG134" s="159">
        <f>BG130*$E$134</f>
        <v>36.939758444741713</v>
      </c>
      <c r="BH134" s="157"/>
      <c r="BI134" s="158"/>
      <c r="BJ134" s="159">
        <f>BJ130*$E$134</f>
        <v>0.34981882357468985</v>
      </c>
      <c r="BK134" s="157"/>
      <c r="BL134" s="158"/>
      <c r="BM134" s="159">
        <f>BM130*$E$134</f>
        <v>11.674181455578074</v>
      </c>
      <c r="BN134" s="157"/>
      <c r="BO134" s="158"/>
      <c r="BP134" s="159">
        <f>BP130*$E$134</f>
        <v>805.76031728201451</v>
      </c>
      <c r="BQ134" s="157"/>
      <c r="BR134" s="158"/>
      <c r="BS134" s="159">
        <f>BS130*$E$134</f>
        <v>1695.951672015651</v>
      </c>
      <c r="BT134" s="157"/>
      <c r="BU134" s="158"/>
      <c r="BV134" s="159">
        <f>BV130*$E$134</f>
        <v>28.175548815650799</v>
      </c>
      <c r="BW134" s="157"/>
      <c r="BX134" s="158"/>
      <c r="BY134" s="159">
        <f>BY130*$E$134</f>
        <v>21.25066428212353</v>
      </c>
      <c r="BZ134" s="157"/>
      <c r="CA134" s="158"/>
      <c r="CB134" s="159">
        <f>CB130*$E$134</f>
        <v>30.483843660159895</v>
      </c>
      <c r="CC134" s="157"/>
      <c r="CD134" s="158"/>
      <c r="CE134" s="159">
        <f>CE130*$E$134</f>
        <v>3.9365556586292354</v>
      </c>
      <c r="CF134" s="157"/>
      <c r="CG134" s="158"/>
      <c r="CH134" s="159">
        <f>CH130*$E$134</f>
        <v>14.710495556014436</v>
      </c>
      <c r="CI134" s="157"/>
      <c r="CJ134" s="158"/>
      <c r="CK134" s="159">
        <f>CK130*$E$134</f>
        <v>10.863337481832621</v>
      </c>
      <c r="CL134" s="157"/>
      <c r="CM134" s="158"/>
      <c r="CN134" s="159">
        <f>CN130*$E$134</f>
        <v>1818.5253628374689</v>
      </c>
      <c r="CO134" s="157"/>
      <c r="CP134" s="158"/>
      <c r="CQ134" s="159">
        <f>CQ130*$E$134</f>
        <v>138.32153761565081</v>
      </c>
      <c r="CR134" s="157"/>
      <c r="CS134" s="158"/>
      <c r="CT134" s="159">
        <f>CT130*$E$134</f>
        <v>87.789278444741726</v>
      </c>
      <c r="CU134" s="157"/>
      <c r="CV134" s="158"/>
      <c r="CW134" s="159">
        <f>CW130*$E$134</f>
        <v>147.77015844474172</v>
      </c>
      <c r="CX134" s="157"/>
      <c r="CY134" s="158"/>
      <c r="CZ134" s="159">
        <f>CZ130*$E$134</f>
        <v>83.997358444741721</v>
      </c>
      <c r="DA134" s="157"/>
      <c r="DB134" s="158"/>
      <c r="DC134" s="159">
        <f>DC130*$E$134</f>
        <v>64.939758444741713</v>
      </c>
      <c r="DD134" s="157"/>
      <c r="DE134" s="158"/>
      <c r="DF134" s="159">
        <f>DF130*$E$134</f>
        <v>97.741903812014442</v>
      </c>
      <c r="DG134" s="157"/>
      <c r="DH134" s="158"/>
      <c r="DI134" s="159">
        <f>DI130*$E$134</f>
        <v>75.541367470196263</v>
      </c>
      <c r="DJ134" s="157"/>
      <c r="DK134" s="158"/>
      <c r="DL134" s="159">
        <f>DL130*$E$134</f>
        <v>230.94512186292351</v>
      </c>
      <c r="DM134" s="157"/>
      <c r="DN134" s="158"/>
      <c r="DO134" s="159">
        <f>DO130*$E$134</f>
        <v>142.1429764956508</v>
      </c>
      <c r="DP134" s="117"/>
      <c r="DQ134" s="160"/>
      <c r="DR134" s="161"/>
      <c r="DS134" s="162">
        <f>DS130*$E$134</f>
        <v>9891.3477456658238</v>
      </c>
      <c r="DT134" s="85"/>
    </row>
    <row r="135" spans="2:124" s="86" customFormat="1" ht="18" customHeight="1">
      <c r="B135" s="153">
        <v>3</v>
      </c>
      <c r="C135" s="154" t="s">
        <v>125</v>
      </c>
      <c r="D135" s="155"/>
      <c r="E135" s="156">
        <f>'BDI-TRIBUTOS'!D10</f>
        <v>3.5000000000000003E-2</v>
      </c>
      <c r="F135" s="157"/>
      <c r="G135" s="158"/>
      <c r="H135" s="159">
        <f>H130*$E$135</f>
        <v>2517.6800058601166</v>
      </c>
      <c r="I135" s="157"/>
      <c r="J135" s="158"/>
      <c r="K135" s="159">
        <f>K130*$E$135</f>
        <v>1223.7956915692073</v>
      </c>
      <c r="L135" s="157"/>
      <c r="M135" s="158"/>
      <c r="N135" s="159">
        <f>N130*$E$135</f>
        <v>424.82089982375254</v>
      </c>
      <c r="O135" s="157"/>
      <c r="P135" s="158"/>
      <c r="Q135" s="159">
        <f>Q130*$E$135</f>
        <v>606.21937582375267</v>
      </c>
      <c r="R135" s="157"/>
      <c r="S135" s="158"/>
      <c r="T135" s="159">
        <f>T130*$E$135</f>
        <v>310.93197655102529</v>
      </c>
      <c r="U135" s="157"/>
      <c r="V135" s="158"/>
      <c r="W135" s="159">
        <f>W130*$E$135</f>
        <v>220.82453509647985</v>
      </c>
      <c r="X135" s="157"/>
      <c r="Y135" s="158"/>
      <c r="Z135" s="159">
        <f>Z130*$E$135</f>
        <v>217.3352590964798</v>
      </c>
      <c r="AA135" s="157"/>
      <c r="AB135" s="158"/>
      <c r="AC135" s="159">
        <f>AC130*$E$135</f>
        <v>186.6278754601162</v>
      </c>
      <c r="AD135" s="157"/>
      <c r="AE135" s="158"/>
      <c r="AF135" s="159">
        <f>AF130*$E$135</f>
        <v>186.6278754601162</v>
      </c>
      <c r="AG135" s="157"/>
      <c r="AH135" s="158"/>
      <c r="AI135" s="159">
        <f>AI130*$E$135</f>
        <v>186.6278754601162</v>
      </c>
      <c r="AJ135" s="157"/>
      <c r="AK135" s="158"/>
      <c r="AL135" s="159">
        <f>AL130*$E$135</f>
        <v>186.6278754601162</v>
      </c>
      <c r="AM135" s="157"/>
      <c r="AN135" s="158"/>
      <c r="AO135" s="159">
        <f>AO130*$E$135</f>
        <v>305.19236346011621</v>
      </c>
      <c r="AP135" s="157"/>
      <c r="AQ135" s="158"/>
      <c r="AR135" s="159">
        <f>AR130*$E$135</f>
        <v>1.8175457727829805</v>
      </c>
      <c r="AS135" s="157"/>
      <c r="AT135" s="158"/>
      <c r="AU135" s="159">
        <f>AU130*$E$135</f>
        <v>23.702277278297995</v>
      </c>
      <c r="AV135" s="157"/>
      <c r="AW135" s="158"/>
      <c r="AX135" s="159">
        <f>AX130*$E$135</f>
        <v>2.153672159787249</v>
      </c>
      <c r="AY135" s="157"/>
      <c r="AZ135" s="158"/>
      <c r="BA135" s="159">
        <f>BA130*$E$135</f>
        <v>5.5705295463829989</v>
      </c>
      <c r="BB135" s="157"/>
      <c r="BC135" s="158"/>
      <c r="BD135" s="159">
        <f>BD130*$E$135</f>
        <v>4.858979546382999</v>
      </c>
      <c r="BE135" s="157"/>
      <c r="BF135" s="158"/>
      <c r="BG135" s="159">
        <f>BG130*$E$135</f>
        <v>64.644577278298001</v>
      </c>
      <c r="BH135" s="157"/>
      <c r="BI135" s="158"/>
      <c r="BJ135" s="159">
        <f>BJ130*$E$135</f>
        <v>0.61218294125570727</v>
      </c>
      <c r="BK135" s="157"/>
      <c r="BL135" s="158"/>
      <c r="BM135" s="159">
        <f>BM130*$E$135</f>
        <v>20.429817547261628</v>
      </c>
      <c r="BN135" s="157"/>
      <c r="BO135" s="158"/>
      <c r="BP135" s="159">
        <f>BP130*$E$135</f>
        <v>1410.0805552435254</v>
      </c>
      <c r="BQ135" s="157"/>
      <c r="BR135" s="158"/>
      <c r="BS135" s="159">
        <f>BS130*$E$135</f>
        <v>2967.9154260273895</v>
      </c>
      <c r="BT135" s="157"/>
      <c r="BU135" s="158"/>
      <c r="BV135" s="159">
        <f>BV130*$E$135</f>
        <v>49.307210427388902</v>
      </c>
      <c r="BW135" s="157"/>
      <c r="BX135" s="158"/>
      <c r="BY135" s="159">
        <f>BY130*$E$135</f>
        <v>37.18866249371618</v>
      </c>
      <c r="BZ135" s="157"/>
      <c r="CA135" s="158"/>
      <c r="CB135" s="159">
        <f>CB130*$E$135</f>
        <v>53.346726405279824</v>
      </c>
      <c r="CC135" s="157"/>
      <c r="CD135" s="158"/>
      <c r="CE135" s="159">
        <f>CE130*$E$135</f>
        <v>6.8889724026011629</v>
      </c>
      <c r="CF135" s="157"/>
      <c r="CG135" s="158"/>
      <c r="CH135" s="159">
        <f>CH130*$E$135</f>
        <v>25.743367223025267</v>
      </c>
      <c r="CI135" s="157"/>
      <c r="CJ135" s="158"/>
      <c r="CK135" s="159">
        <f>CK130*$E$135</f>
        <v>19.010840593207089</v>
      </c>
      <c r="CL135" s="157"/>
      <c r="CM135" s="158"/>
      <c r="CN135" s="159">
        <f>CN130*$E$135</f>
        <v>3182.4193849655708</v>
      </c>
      <c r="CO135" s="157"/>
      <c r="CP135" s="158"/>
      <c r="CQ135" s="159">
        <f>CQ130*$E$135</f>
        <v>242.06269082738893</v>
      </c>
      <c r="CR135" s="157"/>
      <c r="CS135" s="158"/>
      <c r="CT135" s="159">
        <f>CT130*$E$135</f>
        <v>153.63123727829802</v>
      </c>
      <c r="CU135" s="157"/>
      <c r="CV135" s="158"/>
      <c r="CW135" s="159">
        <f>CW130*$E$135</f>
        <v>258.59777727829805</v>
      </c>
      <c r="CX135" s="157"/>
      <c r="CY135" s="158"/>
      <c r="CZ135" s="159">
        <f>CZ130*$E$135</f>
        <v>146.99537727829801</v>
      </c>
      <c r="DA135" s="157"/>
      <c r="DB135" s="158"/>
      <c r="DC135" s="159">
        <f>DC130*$E$135</f>
        <v>113.644577278298</v>
      </c>
      <c r="DD135" s="157"/>
      <c r="DE135" s="158"/>
      <c r="DF135" s="159">
        <f>DF130*$E$135</f>
        <v>171.0483316710253</v>
      </c>
      <c r="DG135" s="157"/>
      <c r="DH135" s="158"/>
      <c r="DI135" s="159">
        <f>DI130*$E$135</f>
        <v>132.19739307284345</v>
      </c>
      <c r="DJ135" s="157"/>
      <c r="DK135" s="158"/>
      <c r="DL135" s="159">
        <f>DL130*$E$135</f>
        <v>404.1539632601162</v>
      </c>
      <c r="DM135" s="157"/>
      <c r="DN135" s="158"/>
      <c r="DO135" s="159">
        <f>DO130*$E$135</f>
        <v>248.75020886738892</v>
      </c>
      <c r="DP135" s="117"/>
      <c r="DQ135" s="160"/>
      <c r="DR135" s="161"/>
      <c r="DS135" s="162">
        <f>DS130*$E$135</f>
        <v>17309.85855491519</v>
      </c>
      <c r="DT135" s="85"/>
    </row>
    <row r="136" spans="2:124" s="86" customFormat="1" ht="18" customHeight="1">
      <c r="B136" s="153">
        <v>4</v>
      </c>
      <c r="C136" s="154" t="s">
        <v>126</v>
      </c>
      <c r="D136" s="155"/>
      <c r="E136" s="156">
        <f>'BDI-TRIBUTOS'!D12</f>
        <v>0.02</v>
      </c>
      <c r="F136" s="157"/>
      <c r="G136" s="158"/>
      <c r="H136" s="159">
        <f>H130*$E$136</f>
        <v>1438.6742890629237</v>
      </c>
      <c r="I136" s="157"/>
      <c r="J136" s="158"/>
      <c r="K136" s="159">
        <f>K130*$E$136</f>
        <v>699.31182375383275</v>
      </c>
      <c r="L136" s="157"/>
      <c r="M136" s="158"/>
      <c r="N136" s="159">
        <f>N130*$E$136</f>
        <v>242.75479989928715</v>
      </c>
      <c r="O136" s="157"/>
      <c r="P136" s="158"/>
      <c r="Q136" s="159">
        <f>Q130*$E$136</f>
        <v>346.41107189928721</v>
      </c>
      <c r="R136" s="157"/>
      <c r="S136" s="158"/>
      <c r="T136" s="159">
        <f>T130*$E$136</f>
        <v>177.67541517201445</v>
      </c>
      <c r="U136" s="157"/>
      <c r="V136" s="158"/>
      <c r="W136" s="159">
        <f>W130*$E$136</f>
        <v>126.1854486265599</v>
      </c>
      <c r="X136" s="157"/>
      <c r="Y136" s="158"/>
      <c r="Z136" s="159">
        <f>Z130*$E$136</f>
        <v>124.19157662655988</v>
      </c>
      <c r="AA136" s="157"/>
      <c r="AB136" s="158"/>
      <c r="AC136" s="159">
        <f>AC130*$E$136</f>
        <v>106.64450026292354</v>
      </c>
      <c r="AD136" s="157"/>
      <c r="AE136" s="158"/>
      <c r="AF136" s="159">
        <f>AF130*$E$136</f>
        <v>106.64450026292354</v>
      </c>
      <c r="AG136" s="157"/>
      <c r="AH136" s="158"/>
      <c r="AI136" s="159">
        <f>AI130*$E$136</f>
        <v>106.64450026292354</v>
      </c>
      <c r="AJ136" s="157"/>
      <c r="AK136" s="158"/>
      <c r="AL136" s="159">
        <f>AL130*$E$136</f>
        <v>106.64450026292354</v>
      </c>
      <c r="AM136" s="157"/>
      <c r="AN136" s="158"/>
      <c r="AO136" s="159">
        <f>AO130*$E$136</f>
        <v>174.39563626292355</v>
      </c>
      <c r="AP136" s="157"/>
      <c r="AQ136" s="158"/>
      <c r="AR136" s="159">
        <f>AR130*$E$136</f>
        <v>1.0385975844474173</v>
      </c>
      <c r="AS136" s="157"/>
      <c r="AT136" s="158"/>
      <c r="AU136" s="159">
        <f>AU130*$E$136</f>
        <v>13.544158444741711</v>
      </c>
      <c r="AV136" s="157"/>
      <c r="AW136" s="158"/>
      <c r="AX136" s="159">
        <f>AX130*$E$136</f>
        <v>1.2306698055927137</v>
      </c>
      <c r="AY136" s="157"/>
      <c r="AZ136" s="158"/>
      <c r="BA136" s="159">
        <f>BA130*$E$136</f>
        <v>3.183159740790285</v>
      </c>
      <c r="BB136" s="157"/>
      <c r="BC136" s="158"/>
      <c r="BD136" s="159">
        <f>BD130*$E$136</f>
        <v>2.7765597407902853</v>
      </c>
      <c r="BE136" s="157"/>
      <c r="BF136" s="158"/>
      <c r="BG136" s="159">
        <f>BG130*$E$136</f>
        <v>36.939758444741713</v>
      </c>
      <c r="BH136" s="157"/>
      <c r="BI136" s="158"/>
      <c r="BJ136" s="159">
        <f>BJ130*$E$136</f>
        <v>0.34981882357468985</v>
      </c>
      <c r="BK136" s="157"/>
      <c r="BL136" s="158"/>
      <c r="BM136" s="159">
        <f>BM130*$E$136</f>
        <v>11.674181455578074</v>
      </c>
      <c r="BN136" s="157"/>
      <c r="BO136" s="158"/>
      <c r="BP136" s="159">
        <f>BP130*$E$136</f>
        <v>805.76031728201451</v>
      </c>
      <c r="BQ136" s="157"/>
      <c r="BR136" s="158"/>
      <c r="BS136" s="159">
        <f>BS130*$E$136</f>
        <v>1695.951672015651</v>
      </c>
      <c r="BT136" s="157"/>
      <c r="BU136" s="158"/>
      <c r="BV136" s="159">
        <f>BV130*$E$136</f>
        <v>28.175548815650799</v>
      </c>
      <c r="BW136" s="157"/>
      <c r="BX136" s="158"/>
      <c r="BY136" s="159">
        <f>BY130*$E$136</f>
        <v>21.25066428212353</v>
      </c>
      <c r="BZ136" s="157"/>
      <c r="CA136" s="158"/>
      <c r="CB136" s="159">
        <f>CB130*$E$136</f>
        <v>30.483843660159895</v>
      </c>
      <c r="CC136" s="157"/>
      <c r="CD136" s="158"/>
      <c r="CE136" s="159">
        <f>CE130*$E$136</f>
        <v>3.9365556586292354</v>
      </c>
      <c r="CF136" s="157"/>
      <c r="CG136" s="158"/>
      <c r="CH136" s="159">
        <f>CH130*$E$136</f>
        <v>14.710495556014436</v>
      </c>
      <c r="CI136" s="157"/>
      <c r="CJ136" s="158"/>
      <c r="CK136" s="159">
        <f>CK130*$E$136</f>
        <v>10.863337481832621</v>
      </c>
      <c r="CL136" s="157"/>
      <c r="CM136" s="158"/>
      <c r="CN136" s="159">
        <f>CN130*$E$136</f>
        <v>1818.5253628374689</v>
      </c>
      <c r="CO136" s="157"/>
      <c r="CP136" s="158"/>
      <c r="CQ136" s="159">
        <f>CQ130*$E$136</f>
        <v>138.32153761565081</v>
      </c>
      <c r="CR136" s="157"/>
      <c r="CS136" s="158"/>
      <c r="CT136" s="159">
        <f>CT130*$E$136</f>
        <v>87.789278444741726</v>
      </c>
      <c r="CU136" s="157"/>
      <c r="CV136" s="158"/>
      <c r="CW136" s="159">
        <f>CW130*$E$136</f>
        <v>147.77015844474172</v>
      </c>
      <c r="CX136" s="157"/>
      <c r="CY136" s="158"/>
      <c r="CZ136" s="159">
        <f>CZ130*$E$136</f>
        <v>83.997358444741721</v>
      </c>
      <c r="DA136" s="157"/>
      <c r="DB136" s="158"/>
      <c r="DC136" s="159">
        <f>DC130*$E$136</f>
        <v>64.939758444741713</v>
      </c>
      <c r="DD136" s="157"/>
      <c r="DE136" s="158"/>
      <c r="DF136" s="159">
        <f>DF130*$E$136</f>
        <v>97.741903812014442</v>
      </c>
      <c r="DG136" s="157"/>
      <c r="DH136" s="158"/>
      <c r="DI136" s="159">
        <f>DI130*$E$136</f>
        <v>75.541367470196263</v>
      </c>
      <c r="DJ136" s="157"/>
      <c r="DK136" s="158"/>
      <c r="DL136" s="159">
        <f>DL130*$E$136</f>
        <v>230.94512186292351</v>
      </c>
      <c r="DM136" s="157"/>
      <c r="DN136" s="158"/>
      <c r="DO136" s="159">
        <f>DO130*$E$136</f>
        <v>142.1429764956508</v>
      </c>
      <c r="DP136" s="117"/>
      <c r="DQ136" s="160"/>
      <c r="DR136" s="161"/>
      <c r="DS136" s="162">
        <f>DS130*$E$136</f>
        <v>9891.3477456658238</v>
      </c>
      <c r="DT136" s="85"/>
    </row>
    <row r="137" spans="2:124" s="86" customFormat="1" ht="18" customHeight="1">
      <c r="B137" s="153">
        <v>5</v>
      </c>
      <c r="C137" s="163" t="s">
        <v>21</v>
      </c>
      <c r="D137" s="164"/>
      <c r="E137" s="156">
        <f>'BDI-TRIBUTOS'!D14</f>
        <v>0.01</v>
      </c>
      <c r="F137" s="165"/>
      <c r="G137" s="166"/>
      <c r="H137" s="167">
        <f>H130*$E$137</f>
        <v>719.33714453146183</v>
      </c>
      <c r="I137" s="165"/>
      <c r="J137" s="166"/>
      <c r="K137" s="167">
        <f>K130*$E$137</f>
        <v>349.65591187691638</v>
      </c>
      <c r="L137" s="165"/>
      <c r="M137" s="166"/>
      <c r="N137" s="167">
        <f>N130*$E$137</f>
        <v>121.37739994964357</v>
      </c>
      <c r="O137" s="165"/>
      <c r="P137" s="166"/>
      <c r="Q137" s="167">
        <f>Q130*$E$137</f>
        <v>173.2055359496436</v>
      </c>
      <c r="R137" s="165"/>
      <c r="S137" s="166"/>
      <c r="T137" s="167">
        <f>T130*$E$137</f>
        <v>88.837707586007227</v>
      </c>
      <c r="U137" s="165"/>
      <c r="V137" s="166"/>
      <c r="W137" s="167">
        <f>W130*$E$137</f>
        <v>63.092724313279952</v>
      </c>
      <c r="X137" s="165"/>
      <c r="Y137" s="166"/>
      <c r="Z137" s="167">
        <f>Z130*$E$137</f>
        <v>62.09578831327994</v>
      </c>
      <c r="AA137" s="165"/>
      <c r="AB137" s="166"/>
      <c r="AC137" s="167">
        <f>AC130*$E$137</f>
        <v>53.322250131461772</v>
      </c>
      <c r="AD137" s="165"/>
      <c r="AE137" s="166"/>
      <c r="AF137" s="167">
        <f>AF130*$E$137</f>
        <v>53.322250131461772</v>
      </c>
      <c r="AG137" s="165"/>
      <c r="AH137" s="166"/>
      <c r="AI137" s="167">
        <f>AI130*$E$137</f>
        <v>53.322250131461772</v>
      </c>
      <c r="AJ137" s="165"/>
      <c r="AK137" s="166"/>
      <c r="AL137" s="167">
        <f>AL130*$E$137</f>
        <v>53.322250131461772</v>
      </c>
      <c r="AM137" s="165"/>
      <c r="AN137" s="166"/>
      <c r="AO137" s="167">
        <f>AO130*$E$137</f>
        <v>87.197818131461773</v>
      </c>
      <c r="AP137" s="165"/>
      <c r="AQ137" s="166"/>
      <c r="AR137" s="167">
        <f>AR130*$E$137</f>
        <v>0.51929879222370867</v>
      </c>
      <c r="AS137" s="165"/>
      <c r="AT137" s="166"/>
      <c r="AU137" s="167">
        <f>AU130*$E$137</f>
        <v>6.7720792223708557</v>
      </c>
      <c r="AV137" s="165"/>
      <c r="AW137" s="166"/>
      <c r="AX137" s="167">
        <f>AX130*$E$137</f>
        <v>0.61533490279635683</v>
      </c>
      <c r="AY137" s="165"/>
      <c r="AZ137" s="166"/>
      <c r="BA137" s="167">
        <f>BA130*$E$137</f>
        <v>1.5915798703951425</v>
      </c>
      <c r="BB137" s="165"/>
      <c r="BC137" s="166"/>
      <c r="BD137" s="167">
        <f>BD130*$E$137</f>
        <v>1.3882798703951427</v>
      </c>
      <c r="BE137" s="165"/>
      <c r="BF137" s="166"/>
      <c r="BG137" s="167">
        <f>BG130*$E$137</f>
        <v>18.469879222370857</v>
      </c>
      <c r="BH137" s="165"/>
      <c r="BI137" s="166"/>
      <c r="BJ137" s="167">
        <f>BJ130*$E$137</f>
        <v>0.17490941178734493</v>
      </c>
      <c r="BK137" s="165"/>
      <c r="BL137" s="166"/>
      <c r="BM137" s="167">
        <f>BM130*$E$137</f>
        <v>5.8370907277890369</v>
      </c>
      <c r="BN137" s="165"/>
      <c r="BO137" s="166"/>
      <c r="BP137" s="167">
        <f>BP130*$E$137</f>
        <v>402.88015864100726</v>
      </c>
      <c r="BQ137" s="165"/>
      <c r="BR137" s="166"/>
      <c r="BS137" s="167">
        <f>BS130*$E$137</f>
        <v>847.97583600782548</v>
      </c>
      <c r="BT137" s="165"/>
      <c r="BU137" s="166"/>
      <c r="BV137" s="167">
        <f>BV130*$E$137</f>
        <v>14.0877744078254</v>
      </c>
      <c r="BW137" s="165"/>
      <c r="BX137" s="166"/>
      <c r="BY137" s="167">
        <f>BY130*$E$137</f>
        <v>10.625332141061765</v>
      </c>
      <c r="BZ137" s="165"/>
      <c r="CA137" s="166"/>
      <c r="CB137" s="167">
        <f>CB130*$E$137</f>
        <v>15.241921830079947</v>
      </c>
      <c r="CC137" s="165"/>
      <c r="CD137" s="166"/>
      <c r="CE137" s="167">
        <f>CE130*$E$137</f>
        <v>1.9682778293146177</v>
      </c>
      <c r="CF137" s="165"/>
      <c r="CG137" s="166"/>
      <c r="CH137" s="167">
        <f>CH130*$E$137</f>
        <v>7.3552477780072181</v>
      </c>
      <c r="CI137" s="165"/>
      <c r="CJ137" s="166"/>
      <c r="CK137" s="167">
        <f>CK130*$E$137</f>
        <v>5.4316687409163107</v>
      </c>
      <c r="CL137" s="165"/>
      <c r="CM137" s="166"/>
      <c r="CN137" s="167">
        <f>CN130*$E$137</f>
        <v>909.26268141873447</v>
      </c>
      <c r="CO137" s="165"/>
      <c r="CP137" s="166"/>
      <c r="CQ137" s="167">
        <f>CQ130*$E$137</f>
        <v>69.160768807825406</v>
      </c>
      <c r="CR137" s="165"/>
      <c r="CS137" s="166"/>
      <c r="CT137" s="167">
        <f>CT130*$E$137</f>
        <v>43.894639222370863</v>
      </c>
      <c r="CU137" s="165"/>
      <c r="CV137" s="166"/>
      <c r="CW137" s="167">
        <f>CW130*$E$137</f>
        <v>73.885079222370862</v>
      </c>
      <c r="CX137" s="165"/>
      <c r="CY137" s="166"/>
      <c r="CZ137" s="167">
        <f>CZ130*$E$137</f>
        <v>41.99867922237086</v>
      </c>
      <c r="DA137" s="165"/>
      <c r="DB137" s="166"/>
      <c r="DC137" s="167">
        <f>DC130*$E$137</f>
        <v>32.469879222370857</v>
      </c>
      <c r="DD137" s="165"/>
      <c r="DE137" s="166"/>
      <c r="DF137" s="167">
        <f>DF130*$E$137</f>
        <v>48.870951906007221</v>
      </c>
      <c r="DG137" s="165"/>
      <c r="DH137" s="166"/>
      <c r="DI137" s="167">
        <f>DI130*$E$137</f>
        <v>37.770683735098132</v>
      </c>
      <c r="DJ137" s="165"/>
      <c r="DK137" s="166"/>
      <c r="DL137" s="167">
        <f>DL130*$E$137</f>
        <v>115.47256093146176</v>
      </c>
      <c r="DM137" s="165"/>
      <c r="DN137" s="166"/>
      <c r="DO137" s="167">
        <f>DO130*$E$137</f>
        <v>71.0714882478254</v>
      </c>
      <c r="DP137" s="117"/>
      <c r="DQ137" s="168"/>
      <c r="DR137" s="169"/>
      <c r="DS137" s="170">
        <f>DS130*$E$137</f>
        <v>4945.6738728329119</v>
      </c>
      <c r="DT137" s="85"/>
    </row>
    <row r="138" spans="2:124" s="86" customFormat="1" ht="18" customHeight="1">
      <c r="B138" s="153">
        <v>6</v>
      </c>
      <c r="C138" s="171" t="s">
        <v>127</v>
      </c>
      <c r="D138" s="172"/>
      <c r="E138" s="173">
        <f>'BDI-TRIBUTOS'!D4</f>
        <v>0.1</v>
      </c>
      <c r="F138" s="174"/>
      <c r="G138" s="175"/>
      <c r="H138" s="176">
        <f>H150*$E$138</f>
        <v>10662.207172464996</v>
      </c>
      <c r="I138" s="174"/>
      <c r="J138" s="175"/>
      <c r="K138" s="176">
        <f>K150*$E$138</f>
        <v>5182.6932612205583</v>
      </c>
      <c r="L138" s="174"/>
      <c r="M138" s="175"/>
      <c r="N138" s="176">
        <f>N150*$E$138</f>
        <v>1799.0882219229532</v>
      </c>
      <c r="O138" s="174"/>
      <c r="P138" s="175"/>
      <c r="Q138" s="176">
        <f>Q150*$E$138</f>
        <v>2567.2986884554825</v>
      </c>
      <c r="R138" s="174"/>
      <c r="S138" s="175"/>
      <c r="T138" s="176">
        <f>T150*$E$138</f>
        <v>1316.7762157282091</v>
      </c>
      <c r="U138" s="174"/>
      <c r="V138" s="175"/>
      <c r="W138" s="176">
        <f>W150*$E$138</f>
        <v>935.1772014242033</v>
      </c>
      <c r="X138" s="174"/>
      <c r="Y138" s="175"/>
      <c r="Z138" s="176">
        <f>Z150*$E$138</f>
        <v>920.40034991514881</v>
      </c>
      <c r="AA138" s="174"/>
      <c r="AB138" s="175"/>
      <c r="AC138" s="176">
        <f>AC150*$E$138</f>
        <v>790.35662502032551</v>
      </c>
      <c r="AD138" s="174"/>
      <c r="AE138" s="175"/>
      <c r="AF138" s="176">
        <f>AF150*$E$138</f>
        <v>790.35662502032551</v>
      </c>
      <c r="AG138" s="174"/>
      <c r="AH138" s="175"/>
      <c r="AI138" s="176">
        <f>AI150*$E$138</f>
        <v>790.35662502032551</v>
      </c>
      <c r="AJ138" s="174"/>
      <c r="AK138" s="175"/>
      <c r="AL138" s="176">
        <f>AL150*$E$138</f>
        <v>790.35662502032551</v>
      </c>
      <c r="AM138" s="174"/>
      <c r="AN138" s="175"/>
      <c r="AO138" s="176">
        <f>AO150*$E$138</f>
        <v>1292.4693364891382</v>
      </c>
      <c r="AP138" s="174"/>
      <c r="AQ138" s="175"/>
      <c r="AR138" s="176">
        <f>AR150*$E$138</f>
        <v>7.6971853173333074</v>
      </c>
      <c r="AS138" s="174"/>
      <c r="AT138" s="175"/>
      <c r="AU138" s="176">
        <f>AU150*$E$138</f>
        <v>100.37756593856199</v>
      </c>
      <c r="AV138" s="174"/>
      <c r="AW138" s="175"/>
      <c r="AX138" s="176">
        <f>AX150*$E$138</f>
        <v>9.1206581836348004</v>
      </c>
      <c r="AY138" s="174"/>
      <c r="AZ138" s="175"/>
      <c r="BA138" s="176">
        <f>BA150*$E$138</f>
        <v>23.590821687278776</v>
      </c>
      <c r="BB138" s="174"/>
      <c r="BC138" s="175"/>
      <c r="BD138" s="176">
        <f>BD150*$E$138</f>
        <v>20.577454819404867</v>
      </c>
      <c r="BE138" s="174"/>
      <c r="BF138" s="175"/>
      <c r="BG138" s="176">
        <f>BG150*$E$138</f>
        <v>273.76548009013811</v>
      </c>
      <c r="BH138" s="174"/>
      <c r="BI138" s="175"/>
      <c r="BJ138" s="176">
        <f>BJ150*$E$138</f>
        <v>2.5925539909458908</v>
      </c>
      <c r="BK138" s="174"/>
      <c r="BL138" s="175"/>
      <c r="BM138" s="176">
        <f>BM150*$E$138</f>
        <v>86.518916890769773</v>
      </c>
      <c r="BN138" s="174"/>
      <c r="BO138" s="175"/>
      <c r="BP138" s="176">
        <f>BP150*$E$138</f>
        <v>5971.5972541691899</v>
      </c>
      <c r="BQ138" s="174"/>
      <c r="BR138" s="175"/>
      <c r="BS138" s="176">
        <f>BS150*$E$138</f>
        <v>12568.924195689433</v>
      </c>
      <c r="BT138" s="174"/>
      <c r="BU138" s="175"/>
      <c r="BV138" s="176">
        <f>BV150*$E$138</f>
        <v>208.81275279204658</v>
      </c>
      <c r="BW138" s="174"/>
      <c r="BX138" s="175"/>
      <c r="BY138" s="176">
        <f>BY150*$E$138</f>
        <v>157.49150926724684</v>
      </c>
      <c r="BZ138" s="174"/>
      <c r="CA138" s="175"/>
      <c r="CB138" s="176">
        <f>CB150*$E$138</f>
        <v>225.91983396697984</v>
      </c>
      <c r="CC138" s="174"/>
      <c r="CD138" s="175"/>
      <c r="CE138" s="176">
        <f>CE150*$E$138</f>
        <v>29.174339388231427</v>
      </c>
      <c r="CF138" s="174"/>
      <c r="CG138" s="175"/>
      <c r="CH138" s="176">
        <f>CH150*$E$138</f>
        <v>109.02144593826932</v>
      </c>
      <c r="CI138" s="174"/>
      <c r="CJ138" s="175"/>
      <c r="CK138" s="176">
        <f>CK150*$E$138</f>
        <v>80.509643980047258</v>
      </c>
      <c r="CL138" s="174"/>
      <c r="CM138" s="175"/>
      <c r="CN138" s="176">
        <f>CN150*$E$138</f>
        <v>13477.334177970512</v>
      </c>
      <c r="CO138" s="174"/>
      <c r="CP138" s="175"/>
      <c r="CQ138" s="176">
        <f>CQ150*$E$138</f>
        <v>1025.1193766954673</v>
      </c>
      <c r="CR138" s="174"/>
      <c r="CS138" s="175"/>
      <c r="CT138" s="176">
        <f>CT150*$E$138</f>
        <v>650.61805956699936</v>
      </c>
      <c r="CU138" s="174"/>
      <c r="CV138" s="175"/>
      <c r="CW138" s="176">
        <f>CW150*$E$138</f>
        <v>1095.1443667433912</v>
      </c>
      <c r="CX138" s="174"/>
      <c r="CY138" s="175"/>
      <c r="CZ138" s="176">
        <f>CZ150*$E$138</f>
        <v>622.51563434902482</v>
      </c>
      <c r="DA138" s="174"/>
      <c r="DB138" s="175"/>
      <c r="DC138" s="176">
        <f>DC150*$E$138</f>
        <v>481.27721717934003</v>
      </c>
      <c r="DD138" s="174"/>
      <c r="DE138" s="175"/>
      <c r="DF138" s="176">
        <f>DF150*$E$138</f>
        <v>724.37829451560015</v>
      </c>
      <c r="DG138" s="174"/>
      <c r="DH138" s="175"/>
      <c r="DI138" s="176">
        <f>DI150*$E$138</f>
        <v>559.84715663693407</v>
      </c>
      <c r="DJ138" s="174"/>
      <c r="DK138" s="175"/>
      <c r="DL138" s="176">
        <f>DL150*$E$138</f>
        <v>1711.5651217875957</v>
      </c>
      <c r="DM138" s="174"/>
      <c r="DN138" s="175"/>
      <c r="DO138" s="176">
        <f>DO150*$E$138</f>
        <v>1053.4405702729318</v>
      </c>
      <c r="DP138" s="117"/>
      <c r="DQ138" s="177"/>
      <c r="DR138" s="178"/>
      <c r="DS138" s="179">
        <f>DS150*$E$138</f>
        <v>73306.098316302727</v>
      </c>
      <c r="DT138" s="85"/>
    </row>
    <row r="139" spans="2:124" s="86" customFormat="1" ht="18" customHeight="1" thickBot="1">
      <c r="B139" s="458"/>
      <c r="C139" s="531" t="s">
        <v>128</v>
      </c>
      <c r="D139" s="459"/>
      <c r="E139" s="535">
        <f>SUM(E133:E138)</f>
        <v>0.20500000000000002</v>
      </c>
      <c r="F139" s="496"/>
      <c r="G139" s="544">
        <f>SUM(H133:H137)+H130</f>
        <v>79486.754470726533</v>
      </c>
      <c r="H139" s="478">
        <f>SUM(H133:H138)</f>
        <v>18215.247190045346</v>
      </c>
      <c r="I139" s="496"/>
      <c r="J139" s="544">
        <f>SUM(K133:K137)+K130</f>
        <v>38636.978262399258</v>
      </c>
      <c r="K139" s="478">
        <f>SUM(K133:K138)</f>
        <v>8854.0803359281799</v>
      </c>
      <c r="L139" s="496"/>
      <c r="M139" s="544">
        <f>SUM(N133:N137)+N130</f>
        <v>13412.202694435615</v>
      </c>
      <c r="N139" s="478">
        <f>SUM(N133:N138)</f>
        <v>3073.5509213942109</v>
      </c>
      <c r="O139" s="496"/>
      <c r="P139" s="544">
        <f>SUM(Q133:Q137)+Q130</f>
        <v>19139.211722435619</v>
      </c>
      <c r="Q139" s="478">
        <f>SUM(Q133:Q138)</f>
        <v>4385.9568159267401</v>
      </c>
      <c r="R139" s="496"/>
      <c r="S139" s="544">
        <f>SUM(T133:T137)+T130</f>
        <v>9816.5666882537971</v>
      </c>
      <c r="T139" s="478">
        <f>SUM(T133:T138)</f>
        <v>2249.5721453812848</v>
      </c>
      <c r="U139" s="496"/>
      <c r="V139" s="544">
        <f>SUM(W133:W137)+W130</f>
        <v>6971.7460366174346</v>
      </c>
      <c r="W139" s="478">
        <f>SUM(W133:W138)</f>
        <v>1597.6508067136429</v>
      </c>
      <c r="X139" s="496"/>
      <c r="Y139" s="544">
        <f>SUM(Z133:Z137)+Z130</f>
        <v>6861.5846086174333</v>
      </c>
      <c r="Z139" s="478">
        <f>SUM(Z133:Z138)</f>
        <v>1572.4061272045883</v>
      </c>
      <c r="AA139" s="496"/>
      <c r="AB139" s="544">
        <f>SUM(AC133:AC137)+AC130</f>
        <v>5892.1086395265256</v>
      </c>
      <c r="AC139" s="478">
        <f>SUM(AC133:AC138)</f>
        <v>1350.2402514006742</v>
      </c>
      <c r="AD139" s="496"/>
      <c r="AE139" s="544">
        <f>SUM(AF133:AF137)+AF130</f>
        <v>5892.1086395265256</v>
      </c>
      <c r="AF139" s="478">
        <f>SUM(AF133:AF138)</f>
        <v>1350.2402514006742</v>
      </c>
      <c r="AG139" s="496"/>
      <c r="AH139" s="544">
        <f>SUM(AI133:AI137)+AI130</f>
        <v>5892.1086395265256</v>
      </c>
      <c r="AI139" s="478">
        <f>SUM(AI133:AI138)</f>
        <v>1350.2402514006742</v>
      </c>
      <c r="AJ139" s="496"/>
      <c r="AK139" s="544">
        <f>SUM(AL133:AL137)+AL130</f>
        <v>5892.1086395265256</v>
      </c>
      <c r="AL139" s="478">
        <f>SUM(AL133:AL138)</f>
        <v>1350.2402514006742</v>
      </c>
      <c r="AM139" s="496"/>
      <c r="AN139" s="544">
        <f>SUM(AO133:AO137)+AO130</f>
        <v>9635.358903526525</v>
      </c>
      <c r="AO139" s="478">
        <f>SUM(AO133:AO138)</f>
        <v>2208.0464268694868</v>
      </c>
      <c r="AP139" s="496"/>
      <c r="AQ139" s="544">
        <f>SUM(AR133:AR137)+AR130</f>
        <v>57.382516540719806</v>
      </c>
      <c r="AR139" s="478">
        <f>SUM(AR133:AR138)</f>
        <v>13.149822635682249</v>
      </c>
      <c r="AS139" s="496"/>
      <c r="AT139" s="544">
        <f>SUM(AU133:AU137)+AU130</f>
        <v>748.31475407197956</v>
      </c>
      <c r="AU139" s="478">
        <f>SUM(AU133:AU138)</f>
        <v>171.48439777345598</v>
      </c>
      <c r="AV139" s="496"/>
      <c r="AW139" s="544">
        <f>SUM(AX133:AX137)+AX130</f>
        <v>67.994506758997431</v>
      </c>
      <c r="AX139" s="478">
        <f>SUM(AX133:AX138)</f>
        <v>15.581674662996548</v>
      </c>
      <c r="AY139" s="496"/>
      <c r="AZ139" s="544">
        <f>SUM(BA133:BA137)+BA130</f>
        <v>175.86957567866324</v>
      </c>
      <c r="BA139" s="478">
        <f>SUM(BA133:BA138)</f>
        <v>40.302410326427776</v>
      </c>
      <c r="BB139" s="496"/>
      <c r="BC139" s="544">
        <f>SUM(BD133:BD137)+BD130</f>
        <v>153.40492567866326</v>
      </c>
      <c r="BD139" s="478">
        <f>SUM(BD133:BD138)</f>
        <v>35.154393458553869</v>
      </c>
      <c r="BE139" s="496"/>
      <c r="BF139" s="544">
        <f>SUM(BG133:BG137)+BG130</f>
        <v>2040.9216540719794</v>
      </c>
      <c r="BG139" s="478">
        <f>SUM(BG133:BG138)</f>
        <v>467.69921192503205</v>
      </c>
      <c r="BH139" s="496"/>
      <c r="BI139" s="544">
        <f>SUM(BJ133:BJ137)+BJ130</f>
        <v>19.327490002501612</v>
      </c>
      <c r="BJ139" s="478">
        <f>SUM(BJ133:BJ138)</f>
        <v>4.429102814713012</v>
      </c>
      <c r="BK139" s="496"/>
      <c r="BL139" s="544">
        <f>SUM(BM133:BM137)+BM130</f>
        <v>644.99852542068857</v>
      </c>
      <c r="BM139" s="478">
        <f>SUM(BM133:BM138)</f>
        <v>147.80836953255465</v>
      </c>
      <c r="BN139" s="496"/>
      <c r="BO139" s="544">
        <f>SUM(BP133:BP137)+BP130</f>
        <v>44518.257529831302</v>
      </c>
      <c r="BP139" s="478">
        <f>SUM(BP133:BP138)</f>
        <v>10201.838919899767</v>
      </c>
      <c r="BQ139" s="496"/>
      <c r="BR139" s="544">
        <f>SUM(BS133:BS137)+BS130</f>
        <v>93701.329878864708</v>
      </c>
      <c r="BS139" s="478">
        <f>SUM(BS133:BS138)</f>
        <v>21472.670473771599</v>
      </c>
      <c r="BT139" s="496"/>
      <c r="BU139" s="544">
        <f>SUM(BV133:BV137)+BV130</f>
        <v>1556.6990720647068</v>
      </c>
      <c r="BV139" s="478">
        <f>SUM(BV133:BV138)</f>
        <v>356.73438407421327</v>
      </c>
      <c r="BW139" s="496"/>
      <c r="BX139" s="544">
        <f>SUM(BY133:BY137)+BY130</f>
        <v>1174.0992015873251</v>
      </c>
      <c r="BY139" s="478">
        <f>SUM(BY133:BY138)</f>
        <v>269.05749674839535</v>
      </c>
      <c r="BZ139" s="496"/>
      <c r="CA139" s="544">
        <f>SUM(CB133:CB137)+CB130</f>
        <v>1684.2323622238343</v>
      </c>
      <c r="CB139" s="478">
        <f>SUM(CB133:CB138)</f>
        <v>385.9600131828193</v>
      </c>
      <c r="CC139" s="496"/>
      <c r="CD139" s="544">
        <f>SUM(CE133:CE137)+CE130</f>
        <v>217.49470013926526</v>
      </c>
      <c r="CE139" s="478">
        <f>SUM(CE133:CE138)</f>
        <v>49.841256596034917</v>
      </c>
      <c r="CF139" s="496"/>
      <c r="CG139" s="544">
        <f>SUM(CH133:CH137)+CH130</f>
        <v>812.75487946979763</v>
      </c>
      <c r="CH139" s="478">
        <f>SUM(CH133:CH138)</f>
        <v>186.25154760734512</v>
      </c>
      <c r="CI139" s="496"/>
      <c r="CJ139" s="544">
        <f>SUM(CK133:CK137)+CK130</f>
        <v>600.19939587125225</v>
      </c>
      <c r="CK139" s="478">
        <f>SUM(CK133:CK138)</f>
        <v>137.54216575966853</v>
      </c>
      <c r="CL139" s="496"/>
      <c r="CM139" s="544">
        <f>SUM(CN133:CN137)+CN130</f>
        <v>100473.52629677016</v>
      </c>
      <c r="CN139" s="478">
        <f>SUM(CN133:CN138)</f>
        <v>23024.592332867222</v>
      </c>
      <c r="CO139" s="496"/>
      <c r="CP139" s="544">
        <f>SUM(CQ133:CQ137)+CQ130</f>
        <v>7642.2649532647074</v>
      </c>
      <c r="CQ139" s="478">
        <f>SUM(CQ133:CQ138)</f>
        <v>1751.307449177634</v>
      </c>
      <c r="CR139" s="496"/>
      <c r="CS139" s="544">
        <f>SUM(CT133:CT137)+CT130</f>
        <v>4850.3576340719801</v>
      </c>
      <c r="CT139" s="478">
        <f>SUM(CT133:CT138)</f>
        <v>1111.5117714018934</v>
      </c>
      <c r="CU139" s="496"/>
      <c r="CV139" s="544">
        <f>SUM(CW133:CW137)+CW130</f>
        <v>8164.3012540719801</v>
      </c>
      <c r="CW139" s="478">
        <f>SUM(CW133:CW138)</f>
        <v>1870.9376985782851</v>
      </c>
      <c r="CX139" s="496"/>
      <c r="CY139" s="544">
        <f>SUM(CZ133:CZ137)+CZ130</f>
        <v>4640.8540540719796</v>
      </c>
      <c r="CZ139" s="478">
        <f>SUM(CZ133:CZ138)</f>
        <v>1063.5017661839188</v>
      </c>
      <c r="DA139" s="496"/>
      <c r="DB139" s="544">
        <f>SUM(DC133:DC137)+DC130</f>
        <v>3587.9216540719794</v>
      </c>
      <c r="DC139" s="478">
        <f>SUM(DC133:DC138)</f>
        <v>822.21094901423407</v>
      </c>
      <c r="DD139" s="496"/>
      <c r="DE139" s="544">
        <f>SUM(DF133:DF137)+DF130</f>
        <v>5400.2401856137985</v>
      </c>
      <c r="DF139" s="478">
        <f>SUM(DF133:DF138)</f>
        <v>1237.5232895286761</v>
      </c>
      <c r="DG139" s="496"/>
      <c r="DH139" s="544">
        <f>SUM(DI133:DI137)+DI130</f>
        <v>4173.6605527283427</v>
      </c>
      <c r="DI139" s="478">
        <f>SUM(DI133:DI138)</f>
        <v>956.43933585546449</v>
      </c>
      <c r="DJ139" s="496"/>
      <c r="DK139" s="544">
        <f>SUM(DL133:DL137)+DL130</f>
        <v>12759.717982926524</v>
      </c>
      <c r="DL139" s="478">
        <f>SUM(DL133:DL138)</f>
        <v>2924.0270115679441</v>
      </c>
      <c r="DM139" s="496"/>
      <c r="DN139" s="544">
        <f>SUM(DO133:DO137)+DO130</f>
        <v>7853.3994513847065</v>
      </c>
      <c r="DO139" s="478">
        <f>SUM(DO133:DO138)</f>
        <v>1799.6911968750987</v>
      </c>
      <c r="DP139" s="100"/>
      <c r="DQ139" s="536"/>
      <c r="DR139" s="470">
        <f>SUM(DS133:DS137)+DS130</f>
        <v>546496.96294803673</v>
      </c>
      <c r="DS139" s="534">
        <f>SUM(DS133:DS138)</f>
        <v>125235.6739810483</v>
      </c>
      <c r="DT139" s="85"/>
    </row>
    <row r="140" spans="2:124" s="86" customFormat="1" ht="18" customHeight="1" thickBot="1">
      <c r="B140" s="461"/>
      <c r="C140" s="471"/>
      <c r="D140" s="472"/>
      <c r="E140" s="473"/>
      <c r="F140" s="752">
        <f>H139/H130</f>
        <v>0.25322266934942994</v>
      </c>
      <c r="G140" s="752"/>
      <c r="H140" s="752"/>
      <c r="I140" s="752">
        <f>K139/K130</f>
        <v>0.25322266934942994</v>
      </c>
      <c r="J140" s="752"/>
      <c r="K140" s="752"/>
      <c r="L140" s="752">
        <f>N139/N130</f>
        <v>0.25322266934942994</v>
      </c>
      <c r="M140" s="752"/>
      <c r="N140" s="752"/>
      <c r="O140" s="752">
        <f>Q139/Q130</f>
        <v>0.25322266934942994</v>
      </c>
      <c r="P140" s="752"/>
      <c r="Q140" s="752"/>
      <c r="R140" s="752">
        <f>T139/T130</f>
        <v>0.25322266934942994</v>
      </c>
      <c r="S140" s="752"/>
      <c r="T140" s="752"/>
      <c r="U140" s="752">
        <f>W139/W130</f>
        <v>0.25322266934942994</v>
      </c>
      <c r="V140" s="752"/>
      <c r="W140" s="752"/>
      <c r="X140" s="752">
        <f>Z139/Z130</f>
        <v>0.25322266934943</v>
      </c>
      <c r="Y140" s="752"/>
      <c r="Z140" s="752"/>
      <c r="AA140" s="752">
        <f>AC139/AC130</f>
        <v>0.25322266934942994</v>
      </c>
      <c r="AB140" s="752"/>
      <c r="AC140" s="752"/>
      <c r="AD140" s="752">
        <f>AF139/AF130</f>
        <v>0.25322266934942994</v>
      </c>
      <c r="AE140" s="752"/>
      <c r="AF140" s="752"/>
      <c r="AG140" s="752">
        <f>AI139/AI130</f>
        <v>0.25322266934942994</v>
      </c>
      <c r="AH140" s="752"/>
      <c r="AI140" s="752"/>
      <c r="AJ140" s="752">
        <f>AL139/AL130</f>
        <v>0.25322266934942994</v>
      </c>
      <c r="AK140" s="752"/>
      <c r="AL140" s="752"/>
      <c r="AM140" s="752">
        <f>AO139/AO130</f>
        <v>0.25322266934942989</v>
      </c>
      <c r="AN140" s="752"/>
      <c r="AO140" s="752"/>
      <c r="AP140" s="752">
        <f>AR139/AR130</f>
        <v>0.25322266934942994</v>
      </c>
      <c r="AQ140" s="752"/>
      <c r="AR140" s="752"/>
      <c r="AS140" s="752">
        <f>AU139/AU130</f>
        <v>0.25322266934942994</v>
      </c>
      <c r="AT140" s="752"/>
      <c r="AU140" s="752"/>
      <c r="AV140" s="752">
        <f>AX139/AX130</f>
        <v>0.25322266934942994</v>
      </c>
      <c r="AW140" s="752"/>
      <c r="AX140" s="752"/>
      <c r="AY140" s="752">
        <f>BA139/BA130</f>
        <v>0.25322266934943</v>
      </c>
      <c r="AZ140" s="752"/>
      <c r="BA140" s="752"/>
      <c r="BB140" s="752">
        <f>BD139/BD130</f>
        <v>0.25322266934943</v>
      </c>
      <c r="BC140" s="752"/>
      <c r="BD140" s="752"/>
      <c r="BE140" s="752">
        <f>BG139/BG130</f>
        <v>0.25322266934942989</v>
      </c>
      <c r="BF140" s="752"/>
      <c r="BG140" s="752"/>
      <c r="BH140" s="752">
        <f>BJ139/BJ130</f>
        <v>0.25322266934942994</v>
      </c>
      <c r="BI140" s="752"/>
      <c r="BJ140" s="752"/>
      <c r="BK140" s="752">
        <f>BM139/BM130</f>
        <v>0.25322266934942994</v>
      </c>
      <c r="BL140" s="752"/>
      <c r="BM140" s="752"/>
      <c r="BN140" s="752">
        <f>BP139/BP130</f>
        <v>0.25322266934943</v>
      </c>
      <c r="BO140" s="752"/>
      <c r="BP140" s="752"/>
      <c r="BQ140" s="752">
        <f>BS139/BS130</f>
        <v>0.25322266934942994</v>
      </c>
      <c r="BR140" s="752"/>
      <c r="BS140" s="752"/>
      <c r="BT140" s="752">
        <f>BV139/BV130</f>
        <v>0.25322266934942994</v>
      </c>
      <c r="BU140" s="752"/>
      <c r="BV140" s="752"/>
      <c r="BW140" s="752">
        <f>BY139/BY130</f>
        <v>0.25322266934942989</v>
      </c>
      <c r="BX140" s="752"/>
      <c r="BY140" s="752"/>
      <c r="BZ140" s="752">
        <f>CB139/CB130</f>
        <v>0.25322266934942994</v>
      </c>
      <c r="CA140" s="752"/>
      <c r="CB140" s="752"/>
      <c r="CC140" s="752">
        <f>CE139/CE130</f>
        <v>0.25322266934942994</v>
      </c>
      <c r="CD140" s="752"/>
      <c r="CE140" s="752"/>
      <c r="CF140" s="752">
        <f>CH139/CH130</f>
        <v>0.25322266934942994</v>
      </c>
      <c r="CG140" s="752"/>
      <c r="CH140" s="752"/>
      <c r="CI140" s="752">
        <f>CK139/CK130</f>
        <v>0.25322266934942994</v>
      </c>
      <c r="CJ140" s="752"/>
      <c r="CK140" s="752"/>
      <c r="CL140" s="752">
        <f>CN139/CN130</f>
        <v>0.25322266934942989</v>
      </c>
      <c r="CM140" s="752"/>
      <c r="CN140" s="752"/>
      <c r="CO140" s="752">
        <f>CQ139/CQ130</f>
        <v>0.25322266934942994</v>
      </c>
      <c r="CP140" s="752"/>
      <c r="CQ140" s="752"/>
      <c r="CR140" s="752">
        <f>CT139/CT130</f>
        <v>0.25322266934942989</v>
      </c>
      <c r="CS140" s="752"/>
      <c r="CT140" s="752"/>
      <c r="CU140" s="752">
        <f>CW139/CW130</f>
        <v>0.25322266934942994</v>
      </c>
      <c r="CV140" s="752"/>
      <c r="CW140" s="752"/>
      <c r="CX140" s="752">
        <f>CZ139/CZ130</f>
        <v>0.25322266934942994</v>
      </c>
      <c r="CY140" s="752"/>
      <c r="CZ140" s="752"/>
      <c r="DA140" s="752">
        <f>DC139/DC130</f>
        <v>0.25322266934942994</v>
      </c>
      <c r="DB140" s="752"/>
      <c r="DC140" s="752"/>
      <c r="DD140" s="752">
        <f>DF139/DF130</f>
        <v>0.25322266934942994</v>
      </c>
      <c r="DE140" s="752"/>
      <c r="DF140" s="752"/>
      <c r="DG140" s="752">
        <f>DI139/DI130</f>
        <v>0.25322266934942994</v>
      </c>
      <c r="DH140" s="752"/>
      <c r="DI140" s="752"/>
      <c r="DJ140" s="752">
        <f>DL139/DL130</f>
        <v>0.25322266934942994</v>
      </c>
      <c r="DK140" s="752"/>
      <c r="DL140" s="752"/>
      <c r="DM140" s="752">
        <f>DO139/DO130</f>
        <v>0.25322266934942994</v>
      </c>
      <c r="DN140" s="752"/>
      <c r="DO140" s="752"/>
      <c r="DP140" s="180"/>
      <c r="DQ140" s="722">
        <f>DS139/DS130</f>
        <v>0.25322266934942994</v>
      </c>
      <c r="DR140" s="722"/>
      <c r="DS140" s="722"/>
      <c r="DT140" s="85"/>
    </row>
    <row r="141" spans="2:124" s="86" customFormat="1" ht="18" customHeight="1">
      <c r="B141" s="462" t="s">
        <v>109</v>
      </c>
      <c r="C141" s="717" t="s">
        <v>129</v>
      </c>
      <c r="D141" s="718"/>
      <c r="E141" s="532" t="s">
        <v>122</v>
      </c>
      <c r="F141" s="462"/>
      <c r="G141" s="492"/>
      <c r="H141" s="478" t="s">
        <v>112</v>
      </c>
      <c r="I141" s="462"/>
      <c r="J141" s="492"/>
      <c r="K141" s="478" t="s">
        <v>112</v>
      </c>
      <c r="L141" s="462"/>
      <c r="M141" s="492"/>
      <c r="N141" s="478" t="s">
        <v>112</v>
      </c>
      <c r="O141" s="462"/>
      <c r="P141" s="492"/>
      <c r="Q141" s="478" t="s">
        <v>112</v>
      </c>
      <c r="R141" s="462"/>
      <c r="S141" s="492"/>
      <c r="T141" s="478" t="s">
        <v>112</v>
      </c>
      <c r="U141" s="462"/>
      <c r="V141" s="492"/>
      <c r="W141" s="478" t="s">
        <v>112</v>
      </c>
      <c r="X141" s="462"/>
      <c r="Y141" s="492"/>
      <c r="Z141" s="478" t="s">
        <v>112</v>
      </c>
      <c r="AA141" s="462"/>
      <c r="AB141" s="492"/>
      <c r="AC141" s="478" t="s">
        <v>112</v>
      </c>
      <c r="AD141" s="462"/>
      <c r="AE141" s="492"/>
      <c r="AF141" s="478" t="s">
        <v>112</v>
      </c>
      <c r="AG141" s="462"/>
      <c r="AH141" s="492"/>
      <c r="AI141" s="478" t="s">
        <v>112</v>
      </c>
      <c r="AJ141" s="462"/>
      <c r="AK141" s="492"/>
      <c r="AL141" s="478" t="s">
        <v>112</v>
      </c>
      <c r="AM141" s="462"/>
      <c r="AN141" s="492"/>
      <c r="AO141" s="478" t="s">
        <v>112</v>
      </c>
      <c r="AP141" s="462"/>
      <c r="AQ141" s="492"/>
      <c r="AR141" s="478" t="s">
        <v>112</v>
      </c>
      <c r="AS141" s="462"/>
      <c r="AT141" s="492"/>
      <c r="AU141" s="478" t="s">
        <v>112</v>
      </c>
      <c r="AV141" s="462"/>
      <c r="AW141" s="492"/>
      <c r="AX141" s="478" t="s">
        <v>112</v>
      </c>
      <c r="AY141" s="462"/>
      <c r="AZ141" s="492"/>
      <c r="BA141" s="478" t="s">
        <v>112</v>
      </c>
      <c r="BB141" s="462"/>
      <c r="BC141" s="492"/>
      <c r="BD141" s="478" t="s">
        <v>112</v>
      </c>
      <c r="BE141" s="462"/>
      <c r="BF141" s="492"/>
      <c r="BG141" s="478" t="s">
        <v>112</v>
      </c>
      <c r="BH141" s="462"/>
      <c r="BI141" s="492"/>
      <c r="BJ141" s="478" t="s">
        <v>112</v>
      </c>
      <c r="BK141" s="462"/>
      <c r="BL141" s="492"/>
      <c r="BM141" s="478" t="s">
        <v>112</v>
      </c>
      <c r="BN141" s="462"/>
      <c r="BO141" s="492"/>
      <c r="BP141" s="478" t="s">
        <v>112</v>
      </c>
      <c r="BQ141" s="462"/>
      <c r="BR141" s="492"/>
      <c r="BS141" s="478" t="s">
        <v>112</v>
      </c>
      <c r="BT141" s="462"/>
      <c r="BU141" s="492"/>
      <c r="BV141" s="478" t="s">
        <v>112</v>
      </c>
      <c r="BW141" s="462"/>
      <c r="BX141" s="492"/>
      <c r="BY141" s="478" t="s">
        <v>112</v>
      </c>
      <c r="BZ141" s="462"/>
      <c r="CA141" s="492"/>
      <c r="CB141" s="478" t="s">
        <v>112</v>
      </c>
      <c r="CC141" s="462"/>
      <c r="CD141" s="492"/>
      <c r="CE141" s="478" t="s">
        <v>112</v>
      </c>
      <c r="CF141" s="462"/>
      <c r="CG141" s="492"/>
      <c r="CH141" s="478" t="s">
        <v>112</v>
      </c>
      <c r="CI141" s="462"/>
      <c r="CJ141" s="492"/>
      <c r="CK141" s="478" t="s">
        <v>112</v>
      </c>
      <c r="CL141" s="462"/>
      <c r="CM141" s="492"/>
      <c r="CN141" s="478" t="s">
        <v>112</v>
      </c>
      <c r="CO141" s="462"/>
      <c r="CP141" s="492"/>
      <c r="CQ141" s="478" t="s">
        <v>112</v>
      </c>
      <c r="CR141" s="462"/>
      <c r="CS141" s="492"/>
      <c r="CT141" s="478" t="s">
        <v>112</v>
      </c>
      <c r="CU141" s="462"/>
      <c r="CV141" s="492"/>
      <c r="CW141" s="478" t="s">
        <v>112</v>
      </c>
      <c r="CX141" s="462"/>
      <c r="CY141" s="492"/>
      <c r="CZ141" s="478" t="s">
        <v>112</v>
      </c>
      <c r="DA141" s="462"/>
      <c r="DB141" s="492"/>
      <c r="DC141" s="478" t="s">
        <v>112</v>
      </c>
      <c r="DD141" s="462"/>
      <c r="DE141" s="492"/>
      <c r="DF141" s="478" t="s">
        <v>112</v>
      </c>
      <c r="DG141" s="462"/>
      <c r="DH141" s="492"/>
      <c r="DI141" s="478" t="s">
        <v>112</v>
      </c>
      <c r="DJ141" s="462"/>
      <c r="DK141" s="492"/>
      <c r="DL141" s="478" t="s">
        <v>112</v>
      </c>
      <c r="DM141" s="462"/>
      <c r="DN141" s="492"/>
      <c r="DO141" s="478" t="s">
        <v>112</v>
      </c>
      <c r="DP141" s="100"/>
      <c r="DQ141" s="205"/>
      <c r="DR141" s="207"/>
      <c r="DS141" s="208" t="s">
        <v>112</v>
      </c>
      <c r="DT141" s="85"/>
    </row>
    <row r="142" spans="2:124" s="86" customFormat="1" ht="18" customHeight="1">
      <c r="B142" s="463">
        <v>1</v>
      </c>
      <c r="C142" s="464" t="s">
        <v>130</v>
      </c>
      <c r="D142" s="465"/>
      <c r="E142" s="466">
        <f>'BDI-TRIBUTOS'!D20</f>
        <v>0.05</v>
      </c>
      <c r="F142" s="497"/>
      <c r="G142" s="498"/>
      <c r="H142" s="495">
        <f t="shared" ref="H142:H147" si="333">H$150*$E142</f>
        <v>5331.1035862324979</v>
      </c>
      <c r="I142" s="497"/>
      <c r="J142" s="498"/>
      <c r="K142" s="495">
        <f t="shared" ref="K142:K147" si="334">K$150*$E142</f>
        <v>2591.3466306102791</v>
      </c>
      <c r="L142" s="497"/>
      <c r="M142" s="498"/>
      <c r="N142" s="495">
        <f t="shared" ref="N142:N147" si="335">N$150*$E142</f>
        <v>899.54411096147658</v>
      </c>
      <c r="O142" s="497"/>
      <c r="P142" s="498"/>
      <c r="Q142" s="495">
        <f t="shared" ref="Q142:Q147" si="336">Q$150*$E142</f>
        <v>1283.6493442277413</v>
      </c>
      <c r="R142" s="497"/>
      <c r="S142" s="498"/>
      <c r="T142" s="495">
        <f t="shared" ref="T142:T147" si="337">T$150*$E142</f>
        <v>658.38810786410454</v>
      </c>
      <c r="U142" s="497"/>
      <c r="V142" s="498"/>
      <c r="W142" s="495">
        <f t="shared" ref="W142:W147" si="338">W$150*$E142</f>
        <v>467.58860071210165</v>
      </c>
      <c r="X142" s="497"/>
      <c r="Y142" s="498"/>
      <c r="Z142" s="495">
        <f t="shared" ref="Z142:Z147" si="339">Z$150*$E142</f>
        <v>460.2001749575744</v>
      </c>
      <c r="AA142" s="497"/>
      <c r="AB142" s="498"/>
      <c r="AC142" s="495">
        <f t="shared" ref="AC142:AC147" si="340">AC$150*$E142</f>
        <v>395.17831251016275</v>
      </c>
      <c r="AD142" s="497"/>
      <c r="AE142" s="498"/>
      <c r="AF142" s="495">
        <f t="shared" ref="AF142:AF147" si="341">AF$150*$E142</f>
        <v>395.17831251016275</v>
      </c>
      <c r="AG142" s="497"/>
      <c r="AH142" s="498"/>
      <c r="AI142" s="495">
        <f t="shared" ref="AI142:AI147" si="342">AI$150*$E142</f>
        <v>395.17831251016275</v>
      </c>
      <c r="AJ142" s="497"/>
      <c r="AK142" s="498"/>
      <c r="AL142" s="495">
        <f t="shared" ref="AL142:AL147" si="343">AL$150*$E142</f>
        <v>395.17831251016275</v>
      </c>
      <c r="AM142" s="497"/>
      <c r="AN142" s="498"/>
      <c r="AO142" s="495">
        <f t="shared" ref="AO142:AO147" si="344">AO$150*$E142</f>
        <v>646.23466824456909</v>
      </c>
      <c r="AP142" s="497"/>
      <c r="AQ142" s="498"/>
      <c r="AR142" s="495">
        <f t="shared" ref="AR142:AR147" si="345">AR$150*$E142</f>
        <v>3.8485926586666537</v>
      </c>
      <c r="AS142" s="497"/>
      <c r="AT142" s="498"/>
      <c r="AU142" s="495">
        <f t="shared" ref="AU142:AU147" si="346">AU$150*$E142</f>
        <v>50.188782969280993</v>
      </c>
      <c r="AV142" s="497"/>
      <c r="AW142" s="498"/>
      <c r="AX142" s="495">
        <f t="shared" ref="AX142:AX147" si="347">AX$150*$E142</f>
        <v>4.5603290918174002</v>
      </c>
      <c r="AY142" s="497"/>
      <c r="AZ142" s="498"/>
      <c r="BA142" s="495">
        <f t="shared" ref="BA142:BA147" si="348">BA$150*$E142</f>
        <v>11.795410843639388</v>
      </c>
      <c r="BB142" s="497"/>
      <c r="BC142" s="498"/>
      <c r="BD142" s="495">
        <f t="shared" ref="BD142:BD147" si="349">BD$150*$E142</f>
        <v>10.288727409702433</v>
      </c>
      <c r="BE142" s="497"/>
      <c r="BF142" s="498"/>
      <c r="BG142" s="495">
        <f t="shared" ref="BG142:BG147" si="350">BG$150*$E142</f>
        <v>136.88274004506906</v>
      </c>
      <c r="BH142" s="497"/>
      <c r="BI142" s="498"/>
      <c r="BJ142" s="495">
        <f t="shared" ref="BJ142:BJ147" si="351">BJ$150*$E142</f>
        <v>1.2962769954729454</v>
      </c>
      <c r="BK142" s="497"/>
      <c r="BL142" s="498"/>
      <c r="BM142" s="495">
        <f t="shared" ref="BM142:BM147" si="352">BM$150*$E142</f>
        <v>43.259458445384887</v>
      </c>
      <c r="BN142" s="497"/>
      <c r="BO142" s="498"/>
      <c r="BP142" s="495">
        <f t="shared" ref="BP142:BP147" si="353">BP$150*$E142</f>
        <v>2985.798627084595</v>
      </c>
      <c r="BQ142" s="497"/>
      <c r="BR142" s="498"/>
      <c r="BS142" s="495">
        <f t="shared" ref="BS142:BS147" si="354">BS$150*$E142</f>
        <v>6284.4620978447165</v>
      </c>
      <c r="BT142" s="497"/>
      <c r="BU142" s="498"/>
      <c r="BV142" s="495">
        <f t="shared" ref="BV142:BV147" si="355">BV$150*$E142</f>
        <v>104.40637639602329</v>
      </c>
      <c r="BW142" s="497"/>
      <c r="BX142" s="498"/>
      <c r="BY142" s="495">
        <f t="shared" ref="BY142:BY147" si="356">BY$150*$E142</f>
        <v>78.74575463362342</v>
      </c>
      <c r="BZ142" s="497"/>
      <c r="CA142" s="498"/>
      <c r="CB142" s="495">
        <f t="shared" ref="CB142:CB147" si="357">CB$150*$E142</f>
        <v>112.95991698348992</v>
      </c>
      <c r="CC142" s="497"/>
      <c r="CD142" s="498"/>
      <c r="CE142" s="495">
        <f t="shared" ref="CE142:CE147" si="358">CE$150*$E142</f>
        <v>14.587169694115714</v>
      </c>
      <c r="CF142" s="497"/>
      <c r="CG142" s="498"/>
      <c r="CH142" s="495">
        <f t="shared" ref="CH142:CH147" si="359">CH$150*$E142</f>
        <v>54.510722969134662</v>
      </c>
      <c r="CI142" s="497"/>
      <c r="CJ142" s="498"/>
      <c r="CK142" s="495">
        <f t="shared" ref="CK142:CK147" si="360">CK$150*$E142</f>
        <v>40.254821990023629</v>
      </c>
      <c r="CL142" s="497"/>
      <c r="CM142" s="498"/>
      <c r="CN142" s="495">
        <f t="shared" ref="CN142:CN147" si="361">CN$150*$E142</f>
        <v>6738.6670889852558</v>
      </c>
      <c r="CO142" s="497"/>
      <c r="CP142" s="498"/>
      <c r="CQ142" s="495">
        <f t="shared" ref="CQ142:CQ147" si="362">CQ$150*$E142</f>
        <v>512.55968834773364</v>
      </c>
      <c r="CR142" s="497"/>
      <c r="CS142" s="498"/>
      <c r="CT142" s="495">
        <f t="shared" ref="CT142:CT147" si="363">CT$150*$E142</f>
        <v>325.30902978349968</v>
      </c>
      <c r="CU142" s="497"/>
      <c r="CV142" s="498"/>
      <c r="CW142" s="495">
        <f t="shared" ref="CW142:CW147" si="364">CW$150*$E142</f>
        <v>547.57218337169559</v>
      </c>
      <c r="CX142" s="497"/>
      <c r="CY142" s="498"/>
      <c r="CZ142" s="495">
        <f t="shared" ref="CZ142:CZ147" si="365">CZ$150*$E142</f>
        <v>311.25781717451241</v>
      </c>
      <c r="DA142" s="497"/>
      <c r="DB142" s="498"/>
      <c r="DC142" s="495">
        <f t="shared" ref="DC142:DC147" si="366">DC$150*$E142</f>
        <v>240.63860858967001</v>
      </c>
      <c r="DD142" s="497"/>
      <c r="DE142" s="498"/>
      <c r="DF142" s="495">
        <f t="shared" ref="DF142:DF147" si="367">DF$150*$E142</f>
        <v>362.18914725780007</v>
      </c>
      <c r="DG142" s="497"/>
      <c r="DH142" s="498"/>
      <c r="DI142" s="495">
        <f t="shared" ref="DI142:DI147" si="368">DI$150*$E142</f>
        <v>279.92357831846704</v>
      </c>
      <c r="DJ142" s="497"/>
      <c r="DK142" s="498"/>
      <c r="DL142" s="495">
        <f t="shared" ref="DL142:DL147" si="369">DL$150*$E142</f>
        <v>855.78256089379784</v>
      </c>
      <c r="DM142" s="497"/>
      <c r="DN142" s="498"/>
      <c r="DO142" s="495">
        <f t="shared" ref="DO142:DO147" si="370">DO$150*$E142</f>
        <v>526.72028513646592</v>
      </c>
      <c r="DP142" s="117"/>
      <c r="DQ142" s="474"/>
      <c r="DR142" s="475"/>
      <c r="DS142" s="469">
        <f t="shared" ref="DS142:DS147" si="371">$DS$150*E142</f>
        <v>36653.049158151363</v>
      </c>
      <c r="DT142" s="85"/>
    </row>
    <row r="143" spans="2:124" s="86" customFormat="1" ht="18" customHeight="1">
      <c r="B143" s="153">
        <v>2</v>
      </c>
      <c r="C143" s="154" t="s">
        <v>131</v>
      </c>
      <c r="D143" s="155"/>
      <c r="E143" s="156">
        <f>'BDI-TRIBUTOS'!D21</f>
        <v>0.03</v>
      </c>
      <c r="F143" s="181"/>
      <c r="G143" s="182"/>
      <c r="H143" s="159">
        <f t="shared" si="333"/>
        <v>3198.6621517394983</v>
      </c>
      <c r="I143" s="181"/>
      <c r="J143" s="182"/>
      <c r="K143" s="159">
        <f t="shared" si="334"/>
        <v>1554.8079783661674</v>
      </c>
      <c r="L143" s="181"/>
      <c r="M143" s="182"/>
      <c r="N143" s="159">
        <f t="shared" si="335"/>
        <v>539.72646657688585</v>
      </c>
      <c r="O143" s="181"/>
      <c r="P143" s="182"/>
      <c r="Q143" s="159">
        <f t="shared" si="336"/>
        <v>770.18960653664465</v>
      </c>
      <c r="R143" s="181"/>
      <c r="S143" s="182"/>
      <c r="T143" s="159">
        <f t="shared" si="337"/>
        <v>395.03286471846269</v>
      </c>
      <c r="U143" s="181"/>
      <c r="V143" s="182"/>
      <c r="W143" s="159">
        <f t="shared" si="338"/>
        <v>280.55316042726099</v>
      </c>
      <c r="X143" s="181"/>
      <c r="Y143" s="182"/>
      <c r="Z143" s="159">
        <f t="shared" si="339"/>
        <v>276.12010497454463</v>
      </c>
      <c r="AA143" s="181"/>
      <c r="AB143" s="182"/>
      <c r="AC143" s="159">
        <f t="shared" si="340"/>
        <v>237.10698750609762</v>
      </c>
      <c r="AD143" s="181"/>
      <c r="AE143" s="182"/>
      <c r="AF143" s="159">
        <f t="shared" si="341"/>
        <v>237.10698750609762</v>
      </c>
      <c r="AG143" s="181"/>
      <c r="AH143" s="182"/>
      <c r="AI143" s="159">
        <f t="shared" si="342"/>
        <v>237.10698750609762</v>
      </c>
      <c r="AJ143" s="181"/>
      <c r="AK143" s="182"/>
      <c r="AL143" s="159">
        <f t="shared" si="343"/>
        <v>237.10698750609762</v>
      </c>
      <c r="AM143" s="181"/>
      <c r="AN143" s="182"/>
      <c r="AO143" s="159">
        <f t="shared" si="344"/>
        <v>387.74080094674144</v>
      </c>
      <c r="AP143" s="181"/>
      <c r="AQ143" s="182"/>
      <c r="AR143" s="159">
        <f t="shared" si="345"/>
        <v>2.309155595199992</v>
      </c>
      <c r="AS143" s="181"/>
      <c r="AT143" s="182"/>
      <c r="AU143" s="159">
        <f t="shared" si="346"/>
        <v>30.113269781568594</v>
      </c>
      <c r="AV143" s="181"/>
      <c r="AW143" s="182"/>
      <c r="AX143" s="159">
        <f t="shared" si="347"/>
        <v>2.7361974550904402</v>
      </c>
      <c r="AY143" s="181"/>
      <c r="AZ143" s="182"/>
      <c r="BA143" s="159">
        <f t="shared" si="348"/>
        <v>7.0772465061836316</v>
      </c>
      <c r="BB143" s="181"/>
      <c r="BC143" s="182"/>
      <c r="BD143" s="159">
        <f t="shared" si="349"/>
        <v>6.1732364458214599</v>
      </c>
      <c r="BE143" s="181"/>
      <c r="BF143" s="182"/>
      <c r="BG143" s="159">
        <f t="shared" si="350"/>
        <v>82.129644027041422</v>
      </c>
      <c r="BH143" s="181"/>
      <c r="BI143" s="182"/>
      <c r="BJ143" s="159">
        <f t="shared" si="351"/>
        <v>0.77776619728376717</v>
      </c>
      <c r="BK143" s="181"/>
      <c r="BL143" s="182"/>
      <c r="BM143" s="159">
        <f t="shared" si="352"/>
        <v>25.955675067230928</v>
      </c>
      <c r="BN143" s="181"/>
      <c r="BO143" s="182"/>
      <c r="BP143" s="159">
        <f t="shared" si="353"/>
        <v>1791.4791762507568</v>
      </c>
      <c r="BQ143" s="181"/>
      <c r="BR143" s="182"/>
      <c r="BS143" s="159">
        <f t="shared" si="354"/>
        <v>3770.6772587068294</v>
      </c>
      <c r="BT143" s="181"/>
      <c r="BU143" s="182"/>
      <c r="BV143" s="159">
        <f t="shared" si="355"/>
        <v>62.643825837613967</v>
      </c>
      <c r="BW143" s="181"/>
      <c r="BX143" s="182"/>
      <c r="BY143" s="159">
        <f t="shared" si="356"/>
        <v>47.247452780174044</v>
      </c>
      <c r="BZ143" s="181"/>
      <c r="CA143" s="182"/>
      <c r="CB143" s="159">
        <f t="shared" si="357"/>
        <v>67.775950190093951</v>
      </c>
      <c r="CC143" s="181"/>
      <c r="CD143" s="182"/>
      <c r="CE143" s="159">
        <f t="shared" si="358"/>
        <v>8.7523018164694264</v>
      </c>
      <c r="CF143" s="181"/>
      <c r="CG143" s="182"/>
      <c r="CH143" s="159">
        <f t="shared" si="359"/>
        <v>32.70643378148079</v>
      </c>
      <c r="CI143" s="181"/>
      <c r="CJ143" s="182"/>
      <c r="CK143" s="159">
        <f t="shared" si="360"/>
        <v>24.152893194014176</v>
      </c>
      <c r="CL143" s="181"/>
      <c r="CM143" s="182"/>
      <c r="CN143" s="159">
        <f t="shared" si="361"/>
        <v>4043.2002533911532</v>
      </c>
      <c r="CO143" s="181"/>
      <c r="CP143" s="182"/>
      <c r="CQ143" s="159">
        <f t="shared" si="362"/>
        <v>307.5358130086401</v>
      </c>
      <c r="CR143" s="181"/>
      <c r="CS143" s="182"/>
      <c r="CT143" s="159">
        <f t="shared" si="363"/>
        <v>195.1854178700998</v>
      </c>
      <c r="CU143" s="181"/>
      <c r="CV143" s="182"/>
      <c r="CW143" s="159">
        <f t="shared" si="364"/>
        <v>328.54331002301728</v>
      </c>
      <c r="CX143" s="181"/>
      <c r="CY143" s="182"/>
      <c r="CZ143" s="159">
        <f t="shared" si="365"/>
        <v>186.75469030470745</v>
      </c>
      <c r="DA143" s="181"/>
      <c r="DB143" s="182"/>
      <c r="DC143" s="159">
        <f t="shared" si="366"/>
        <v>144.383165153802</v>
      </c>
      <c r="DD143" s="181"/>
      <c r="DE143" s="182"/>
      <c r="DF143" s="159">
        <f t="shared" si="367"/>
        <v>217.31348835468003</v>
      </c>
      <c r="DG143" s="181"/>
      <c r="DH143" s="182"/>
      <c r="DI143" s="159">
        <f t="shared" si="368"/>
        <v>167.95414699108022</v>
      </c>
      <c r="DJ143" s="181"/>
      <c r="DK143" s="182"/>
      <c r="DL143" s="159">
        <f t="shared" si="369"/>
        <v>513.46953653627861</v>
      </c>
      <c r="DM143" s="181"/>
      <c r="DN143" s="182"/>
      <c r="DO143" s="159">
        <f t="shared" si="370"/>
        <v>316.03217108187954</v>
      </c>
      <c r="DP143" s="117"/>
      <c r="DQ143" s="183"/>
      <c r="DR143" s="184"/>
      <c r="DS143" s="162">
        <f t="shared" si="371"/>
        <v>21991.829494890815</v>
      </c>
      <c r="DT143" s="85"/>
    </row>
    <row r="144" spans="2:124" s="86" customFormat="1" ht="18" customHeight="1">
      <c r="B144" s="153">
        <v>3</v>
      </c>
      <c r="C144" s="154" t="s">
        <v>132</v>
      </c>
      <c r="D144" s="155"/>
      <c r="E144" s="156">
        <f>'BDI-TRIBUTOS'!D22</f>
        <v>6.4999999999999997E-3</v>
      </c>
      <c r="F144" s="181"/>
      <c r="G144" s="182"/>
      <c r="H144" s="159">
        <f t="shared" si="333"/>
        <v>693.04346621022466</v>
      </c>
      <c r="I144" s="181"/>
      <c r="J144" s="182"/>
      <c r="K144" s="159">
        <f t="shared" si="334"/>
        <v>336.87506197933624</v>
      </c>
      <c r="L144" s="181"/>
      <c r="M144" s="182"/>
      <c r="N144" s="159">
        <f t="shared" si="335"/>
        <v>116.94073442499194</v>
      </c>
      <c r="O144" s="181"/>
      <c r="P144" s="182"/>
      <c r="Q144" s="159">
        <f t="shared" si="336"/>
        <v>166.87441474960633</v>
      </c>
      <c r="R144" s="181"/>
      <c r="S144" s="182"/>
      <c r="T144" s="159">
        <f t="shared" si="337"/>
        <v>85.590454022333574</v>
      </c>
      <c r="U144" s="181"/>
      <c r="V144" s="182"/>
      <c r="W144" s="159">
        <f t="shared" si="338"/>
        <v>60.78651809257321</v>
      </c>
      <c r="X144" s="181"/>
      <c r="Y144" s="182"/>
      <c r="Z144" s="159">
        <f t="shared" si="339"/>
        <v>59.826022744484668</v>
      </c>
      <c r="AA144" s="181"/>
      <c r="AB144" s="182"/>
      <c r="AC144" s="159">
        <f t="shared" si="340"/>
        <v>51.373180626321151</v>
      </c>
      <c r="AD144" s="181"/>
      <c r="AE144" s="182"/>
      <c r="AF144" s="159">
        <f t="shared" si="341"/>
        <v>51.373180626321151</v>
      </c>
      <c r="AG144" s="181"/>
      <c r="AH144" s="182"/>
      <c r="AI144" s="159">
        <f t="shared" si="342"/>
        <v>51.373180626321151</v>
      </c>
      <c r="AJ144" s="181"/>
      <c r="AK144" s="182"/>
      <c r="AL144" s="159">
        <f t="shared" si="343"/>
        <v>51.373180626321151</v>
      </c>
      <c r="AM144" s="181"/>
      <c r="AN144" s="182"/>
      <c r="AO144" s="159">
        <f t="shared" si="344"/>
        <v>84.010506871793979</v>
      </c>
      <c r="AP144" s="181"/>
      <c r="AQ144" s="182"/>
      <c r="AR144" s="159">
        <f t="shared" si="345"/>
        <v>0.5003170456266649</v>
      </c>
      <c r="AS144" s="181"/>
      <c r="AT144" s="182"/>
      <c r="AU144" s="159">
        <f t="shared" si="346"/>
        <v>6.5245417860065285</v>
      </c>
      <c r="AV144" s="181"/>
      <c r="AW144" s="182"/>
      <c r="AX144" s="159">
        <f t="shared" si="347"/>
        <v>0.59284278193626205</v>
      </c>
      <c r="AY144" s="181"/>
      <c r="AZ144" s="182"/>
      <c r="BA144" s="159">
        <f t="shared" si="348"/>
        <v>1.5334034096731202</v>
      </c>
      <c r="BB144" s="181"/>
      <c r="BC144" s="182"/>
      <c r="BD144" s="159">
        <f t="shared" si="349"/>
        <v>1.3375345632613163</v>
      </c>
      <c r="BE144" s="181"/>
      <c r="BF144" s="182"/>
      <c r="BG144" s="159">
        <f t="shared" si="350"/>
        <v>17.794756205858974</v>
      </c>
      <c r="BH144" s="181"/>
      <c r="BI144" s="182"/>
      <c r="BJ144" s="159">
        <f t="shared" si="351"/>
        <v>0.16851600941148287</v>
      </c>
      <c r="BK144" s="181"/>
      <c r="BL144" s="182"/>
      <c r="BM144" s="159">
        <f t="shared" si="352"/>
        <v>5.6237295979000343</v>
      </c>
      <c r="BN144" s="181"/>
      <c r="BO144" s="182"/>
      <c r="BP144" s="159">
        <f t="shared" si="353"/>
        <v>388.15382152099733</v>
      </c>
      <c r="BQ144" s="181"/>
      <c r="BR144" s="182"/>
      <c r="BS144" s="159">
        <f t="shared" si="354"/>
        <v>816.98007271981305</v>
      </c>
      <c r="BT144" s="181"/>
      <c r="BU144" s="182"/>
      <c r="BV144" s="159">
        <f t="shared" si="355"/>
        <v>13.572828931483025</v>
      </c>
      <c r="BW144" s="181"/>
      <c r="BX144" s="182"/>
      <c r="BY144" s="159">
        <f t="shared" si="356"/>
        <v>10.236948102371043</v>
      </c>
      <c r="BZ144" s="181"/>
      <c r="CA144" s="182"/>
      <c r="CB144" s="159">
        <f t="shared" si="357"/>
        <v>14.684789207853688</v>
      </c>
      <c r="CC144" s="181"/>
      <c r="CD144" s="182"/>
      <c r="CE144" s="159">
        <f t="shared" si="358"/>
        <v>1.8963320602350426</v>
      </c>
      <c r="CF144" s="181"/>
      <c r="CG144" s="182"/>
      <c r="CH144" s="159">
        <f t="shared" si="359"/>
        <v>7.0863939859875051</v>
      </c>
      <c r="CI144" s="181"/>
      <c r="CJ144" s="182"/>
      <c r="CK144" s="159">
        <f t="shared" si="360"/>
        <v>5.2331268587030717</v>
      </c>
      <c r="CL144" s="181"/>
      <c r="CM144" s="182"/>
      <c r="CN144" s="159">
        <f t="shared" si="361"/>
        <v>876.02672156808319</v>
      </c>
      <c r="CO144" s="181"/>
      <c r="CP144" s="182"/>
      <c r="CQ144" s="159">
        <f t="shared" si="362"/>
        <v>66.632759485205355</v>
      </c>
      <c r="CR144" s="181"/>
      <c r="CS144" s="182"/>
      <c r="CT144" s="159">
        <f t="shared" si="363"/>
        <v>42.290173871854954</v>
      </c>
      <c r="CU144" s="181"/>
      <c r="CV144" s="182"/>
      <c r="CW144" s="159">
        <f t="shared" si="364"/>
        <v>71.184383838320414</v>
      </c>
      <c r="CX144" s="181"/>
      <c r="CY144" s="182"/>
      <c r="CZ144" s="159">
        <f t="shared" si="365"/>
        <v>40.463516232686608</v>
      </c>
      <c r="DA144" s="181"/>
      <c r="DB144" s="182"/>
      <c r="DC144" s="159">
        <f t="shared" si="366"/>
        <v>31.283019116657098</v>
      </c>
      <c r="DD144" s="181"/>
      <c r="DE144" s="182"/>
      <c r="DF144" s="159">
        <f t="shared" si="367"/>
        <v>47.084589143514002</v>
      </c>
      <c r="DG144" s="181"/>
      <c r="DH144" s="182"/>
      <c r="DI144" s="159">
        <f t="shared" si="368"/>
        <v>36.390065181400715</v>
      </c>
      <c r="DJ144" s="181"/>
      <c r="DK144" s="182"/>
      <c r="DL144" s="159">
        <f t="shared" si="369"/>
        <v>111.2517329161937</v>
      </c>
      <c r="DM144" s="181"/>
      <c r="DN144" s="182"/>
      <c r="DO144" s="159">
        <f t="shared" si="370"/>
        <v>68.473637067740569</v>
      </c>
      <c r="DP144" s="117"/>
      <c r="DQ144" s="183"/>
      <c r="DR144" s="184"/>
      <c r="DS144" s="162">
        <f t="shared" si="371"/>
        <v>4764.8963905596765</v>
      </c>
      <c r="DT144" s="85"/>
    </row>
    <row r="145" spans="2:124" s="86" customFormat="1" ht="18" customHeight="1">
      <c r="B145" s="153">
        <v>4</v>
      </c>
      <c r="C145" s="154" t="s">
        <v>133</v>
      </c>
      <c r="D145" s="155"/>
      <c r="E145" s="156">
        <f>'BDI-TRIBUTOS'!D23</f>
        <v>1.7999999999999999E-2</v>
      </c>
      <c r="F145" s="181"/>
      <c r="G145" s="182"/>
      <c r="H145" s="159">
        <f t="shared" si="333"/>
        <v>1919.1972910436991</v>
      </c>
      <c r="I145" s="181"/>
      <c r="J145" s="182"/>
      <c r="K145" s="159">
        <f t="shared" si="334"/>
        <v>932.8847870197003</v>
      </c>
      <c r="L145" s="181"/>
      <c r="M145" s="182"/>
      <c r="N145" s="159">
        <f t="shared" si="335"/>
        <v>323.83587994613151</v>
      </c>
      <c r="O145" s="181"/>
      <c r="P145" s="182"/>
      <c r="Q145" s="159">
        <f t="shared" si="336"/>
        <v>462.11376392198679</v>
      </c>
      <c r="R145" s="181"/>
      <c r="S145" s="182"/>
      <c r="T145" s="159">
        <f t="shared" si="337"/>
        <v>237.0197188310776</v>
      </c>
      <c r="U145" s="181"/>
      <c r="V145" s="182"/>
      <c r="W145" s="159">
        <f t="shared" si="338"/>
        <v>168.33189625635657</v>
      </c>
      <c r="X145" s="181"/>
      <c r="Y145" s="182"/>
      <c r="Z145" s="159">
        <f t="shared" si="339"/>
        <v>165.67206298472678</v>
      </c>
      <c r="AA145" s="181"/>
      <c r="AB145" s="182"/>
      <c r="AC145" s="159">
        <f t="shared" si="340"/>
        <v>142.26419250365856</v>
      </c>
      <c r="AD145" s="181"/>
      <c r="AE145" s="182"/>
      <c r="AF145" s="159">
        <f t="shared" si="341"/>
        <v>142.26419250365856</v>
      </c>
      <c r="AG145" s="181"/>
      <c r="AH145" s="182"/>
      <c r="AI145" s="159">
        <f t="shared" si="342"/>
        <v>142.26419250365856</v>
      </c>
      <c r="AJ145" s="181"/>
      <c r="AK145" s="182"/>
      <c r="AL145" s="159">
        <f t="shared" si="343"/>
        <v>142.26419250365856</v>
      </c>
      <c r="AM145" s="181"/>
      <c r="AN145" s="182"/>
      <c r="AO145" s="159">
        <f t="shared" si="344"/>
        <v>232.64448056804486</v>
      </c>
      <c r="AP145" s="181"/>
      <c r="AQ145" s="182"/>
      <c r="AR145" s="159">
        <f t="shared" si="345"/>
        <v>1.3854933571199952</v>
      </c>
      <c r="AS145" s="181"/>
      <c r="AT145" s="182"/>
      <c r="AU145" s="159">
        <f t="shared" si="346"/>
        <v>18.067961868941158</v>
      </c>
      <c r="AV145" s="181"/>
      <c r="AW145" s="182"/>
      <c r="AX145" s="159">
        <f t="shared" si="347"/>
        <v>1.641718473054264</v>
      </c>
      <c r="AY145" s="181"/>
      <c r="AZ145" s="182"/>
      <c r="BA145" s="159">
        <f t="shared" si="348"/>
        <v>4.2463479037101788</v>
      </c>
      <c r="BB145" s="181"/>
      <c r="BC145" s="182"/>
      <c r="BD145" s="159">
        <f t="shared" si="349"/>
        <v>3.7039418674928757</v>
      </c>
      <c r="BE145" s="181"/>
      <c r="BF145" s="182"/>
      <c r="BG145" s="159">
        <f t="shared" si="350"/>
        <v>49.277786416224849</v>
      </c>
      <c r="BH145" s="181"/>
      <c r="BI145" s="182"/>
      <c r="BJ145" s="159">
        <f t="shared" si="351"/>
        <v>0.46665971837026027</v>
      </c>
      <c r="BK145" s="181"/>
      <c r="BL145" s="182"/>
      <c r="BM145" s="159">
        <f t="shared" si="352"/>
        <v>15.573405040338557</v>
      </c>
      <c r="BN145" s="181"/>
      <c r="BO145" s="182"/>
      <c r="BP145" s="159">
        <f t="shared" si="353"/>
        <v>1074.887505750454</v>
      </c>
      <c r="BQ145" s="181"/>
      <c r="BR145" s="182"/>
      <c r="BS145" s="159">
        <f t="shared" si="354"/>
        <v>2262.4063552240973</v>
      </c>
      <c r="BT145" s="181"/>
      <c r="BU145" s="182"/>
      <c r="BV145" s="159">
        <f t="shared" si="355"/>
        <v>37.586295502568376</v>
      </c>
      <c r="BW145" s="181"/>
      <c r="BX145" s="182"/>
      <c r="BY145" s="159">
        <f t="shared" si="356"/>
        <v>28.348471668104427</v>
      </c>
      <c r="BZ145" s="181"/>
      <c r="CA145" s="182"/>
      <c r="CB145" s="159">
        <f t="shared" si="357"/>
        <v>40.665570114056365</v>
      </c>
      <c r="CC145" s="181"/>
      <c r="CD145" s="182"/>
      <c r="CE145" s="159">
        <f t="shared" si="358"/>
        <v>5.2513810898816562</v>
      </c>
      <c r="CF145" s="181"/>
      <c r="CG145" s="182"/>
      <c r="CH145" s="159">
        <f t="shared" si="359"/>
        <v>19.623860268888475</v>
      </c>
      <c r="CI145" s="181"/>
      <c r="CJ145" s="182"/>
      <c r="CK145" s="159">
        <f t="shared" si="360"/>
        <v>14.491735916408505</v>
      </c>
      <c r="CL145" s="181"/>
      <c r="CM145" s="182"/>
      <c r="CN145" s="159">
        <f t="shared" si="361"/>
        <v>2425.9201520346919</v>
      </c>
      <c r="CO145" s="181"/>
      <c r="CP145" s="182"/>
      <c r="CQ145" s="159">
        <f t="shared" si="362"/>
        <v>184.52148780518408</v>
      </c>
      <c r="CR145" s="181"/>
      <c r="CS145" s="182"/>
      <c r="CT145" s="159">
        <f t="shared" si="363"/>
        <v>117.11125072205988</v>
      </c>
      <c r="CU145" s="181"/>
      <c r="CV145" s="182"/>
      <c r="CW145" s="159">
        <f t="shared" si="364"/>
        <v>197.12598601381038</v>
      </c>
      <c r="CX145" s="181"/>
      <c r="CY145" s="182"/>
      <c r="CZ145" s="159">
        <f t="shared" si="365"/>
        <v>112.05281418282446</v>
      </c>
      <c r="DA145" s="181"/>
      <c r="DB145" s="182"/>
      <c r="DC145" s="159">
        <f t="shared" si="366"/>
        <v>86.629899092281192</v>
      </c>
      <c r="DD145" s="181"/>
      <c r="DE145" s="182"/>
      <c r="DF145" s="159">
        <f t="shared" si="367"/>
        <v>130.38809301280801</v>
      </c>
      <c r="DG145" s="181"/>
      <c r="DH145" s="182"/>
      <c r="DI145" s="159">
        <f t="shared" si="368"/>
        <v>100.77248819464812</v>
      </c>
      <c r="DJ145" s="181"/>
      <c r="DK145" s="182"/>
      <c r="DL145" s="159">
        <f t="shared" si="369"/>
        <v>308.08172192176715</v>
      </c>
      <c r="DM145" s="181"/>
      <c r="DN145" s="182"/>
      <c r="DO145" s="159">
        <f t="shared" si="370"/>
        <v>189.61930264912772</v>
      </c>
      <c r="DP145" s="117"/>
      <c r="DQ145" s="183"/>
      <c r="DR145" s="184"/>
      <c r="DS145" s="162">
        <f t="shared" si="371"/>
        <v>13195.097696934488</v>
      </c>
      <c r="DT145" s="85"/>
    </row>
    <row r="146" spans="2:124" s="86" customFormat="1" ht="18" customHeight="1">
      <c r="B146" s="153">
        <v>5</v>
      </c>
      <c r="C146" s="154" t="s">
        <v>134</v>
      </c>
      <c r="D146" s="155"/>
      <c r="E146" s="156">
        <f>'BDI-TRIBUTOS'!D24</f>
        <v>0.03</v>
      </c>
      <c r="F146" s="181"/>
      <c r="G146" s="182"/>
      <c r="H146" s="159">
        <f t="shared" si="333"/>
        <v>3198.6621517394983</v>
      </c>
      <c r="I146" s="181"/>
      <c r="J146" s="182"/>
      <c r="K146" s="159">
        <f t="shared" si="334"/>
        <v>1554.8079783661674</v>
      </c>
      <c r="L146" s="181"/>
      <c r="M146" s="182"/>
      <c r="N146" s="159">
        <f t="shared" si="335"/>
        <v>539.72646657688585</v>
      </c>
      <c r="O146" s="181"/>
      <c r="P146" s="182"/>
      <c r="Q146" s="159">
        <f t="shared" si="336"/>
        <v>770.18960653664465</v>
      </c>
      <c r="R146" s="181"/>
      <c r="S146" s="182"/>
      <c r="T146" s="159">
        <f t="shared" si="337"/>
        <v>395.03286471846269</v>
      </c>
      <c r="U146" s="181"/>
      <c r="V146" s="182"/>
      <c r="W146" s="159">
        <f t="shared" si="338"/>
        <v>280.55316042726099</v>
      </c>
      <c r="X146" s="181"/>
      <c r="Y146" s="182"/>
      <c r="Z146" s="159">
        <f t="shared" si="339"/>
        <v>276.12010497454463</v>
      </c>
      <c r="AA146" s="181"/>
      <c r="AB146" s="182"/>
      <c r="AC146" s="159">
        <f t="shared" si="340"/>
        <v>237.10698750609762</v>
      </c>
      <c r="AD146" s="181"/>
      <c r="AE146" s="182"/>
      <c r="AF146" s="159">
        <f t="shared" si="341"/>
        <v>237.10698750609762</v>
      </c>
      <c r="AG146" s="181"/>
      <c r="AH146" s="182"/>
      <c r="AI146" s="159">
        <f t="shared" si="342"/>
        <v>237.10698750609762</v>
      </c>
      <c r="AJ146" s="181"/>
      <c r="AK146" s="182"/>
      <c r="AL146" s="159">
        <f t="shared" si="343"/>
        <v>237.10698750609762</v>
      </c>
      <c r="AM146" s="181"/>
      <c r="AN146" s="182"/>
      <c r="AO146" s="159">
        <f t="shared" si="344"/>
        <v>387.74080094674144</v>
      </c>
      <c r="AP146" s="181"/>
      <c r="AQ146" s="182"/>
      <c r="AR146" s="159">
        <f t="shared" si="345"/>
        <v>2.309155595199992</v>
      </c>
      <c r="AS146" s="181"/>
      <c r="AT146" s="182"/>
      <c r="AU146" s="159">
        <f t="shared" si="346"/>
        <v>30.113269781568594</v>
      </c>
      <c r="AV146" s="181"/>
      <c r="AW146" s="182"/>
      <c r="AX146" s="159">
        <f t="shared" si="347"/>
        <v>2.7361974550904402</v>
      </c>
      <c r="AY146" s="181"/>
      <c r="AZ146" s="182"/>
      <c r="BA146" s="159">
        <f t="shared" si="348"/>
        <v>7.0772465061836316</v>
      </c>
      <c r="BB146" s="181"/>
      <c r="BC146" s="182"/>
      <c r="BD146" s="159">
        <f t="shared" si="349"/>
        <v>6.1732364458214599</v>
      </c>
      <c r="BE146" s="181"/>
      <c r="BF146" s="182"/>
      <c r="BG146" s="159">
        <f t="shared" si="350"/>
        <v>82.129644027041422</v>
      </c>
      <c r="BH146" s="181"/>
      <c r="BI146" s="182"/>
      <c r="BJ146" s="159">
        <f t="shared" si="351"/>
        <v>0.77776619728376717</v>
      </c>
      <c r="BK146" s="181"/>
      <c r="BL146" s="182"/>
      <c r="BM146" s="159">
        <f t="shared" si="352"/>
        <v>25.955675067230928</v>
      </c>
      <c r="BN146" s="181"/>
      <c r="BO146" s="182"/>
      <c r="BP146" s="159">
        <f t="shared" si="353"/>
        <v>1791.4791762507568</v>
      </c>
      <c r="BQ146" s="181"/>
      <c r="BR146" s="182"/>
      <c r="BS146" s="159">
        <f t="shared" si="354"/>
        <v>3770.6772587068294</v>
      </c>
      <c r="BT146" s="181"/>
      <c r="BU146" s="182"/>
      <c r="BV146" s="159">
        <f t="shared" si="355"/>
        <v>62.643825837613967</v>
      </c>
      <c r="BW146" s="181"/>
      <c r="BX146" s="182"/>
      <c r="BY146" s="159">
        <f t="shared" si="356"/>
        <v>47.247452780174044</v>
      </c>
      <c r="BZ146" s="181"/>
      <c r="CA146" s="182"/>
      <c r="CB146" s="159">
        <f t="shared" si="357"/>
        <v>67.775950190093951</v>
      </c>
      <c r="CC146" s="181"/>
      <c r="CD146" s="182"/>
      <c r="CE146" s="159">
        <f t="shared" si="358"/>
        <v>8.7523018164694264</v>
      </c>
      <c r="CF146" s="181"/>
      <c r="CG146" s="182"/>
      <c r="CH146" s="159">
        <f t="shared" si="359"/>
        <v>32.70643378148079</v>
      </c>
      <c r="CI146" s="181"/>
      <c r="CJ146" s="182"/>
      <c r="CK146" s="159">
        <f t="shared" si="360"/>
        <v>24.152893194014176</v>
      </c>
      <c r="CL146" s="181"/>
      <c r="CM146" s="182"/>
      <c r="CN146" s="159">
        <f t="shared" si="361"/>
        <v>4043.2002533911532</v>
      </c>
      <c r="CO146" s="181"/>
      <c r="CP146" s="182"/>
      <c r="CQ146" s="159">
        <f t="shared" si="362"/>
        <v>307.5358130086401</v>
      </c>
      <c r="CR146" s="181"/>
      <c r="CS146" s="182"/>
      <c r="CT146" s="159">
        <f t="shared" si="363"/>
        <v>195.1854178700998</v>
      </c>
      <c r="CU146" s="181"/>
      <c r="CV146" s="182"/>
      <c r="CW146" s="159">
        <f t="shared" si="364"/>
        <v>328.54331002301728</v>
      </c>
      <c r="CX146" s="181"/>
      <c r="CY146" s="182"/>
      <c r="CZ146" s="159">
        <f t="shared" si="365"/>
        <v>186.75469030470745</v>
      </c>
      <c r="DA146" s="181"/>
      <c r="DB146" s="182"/>
      <c r="DC146" s="159">
        <f t="shared" si="366"/>
        <v>144.383165153802</v>
      </c>
      <c r="DD146" s="181"/>
      <c r="DE146" s="182"/>
      <c r="DF146" s="159">
        <f t="shared" si="367"/>
        <v>217.31348835468003</v>
      </c>
      <c r="DG146" s="181"/>
      <c r="DH146" s="182"/>
      <c r="DI146" s="159">
        <f t="shared" si="368"/>
        <v>167.95414699108022</v>
      </c>
      <c r="DJ146" s="181"/>
      <c r="DK146" s="182"/>
      <c r="DL146" s="159">
        <f t="shared" si="369"/>
        <v>513.46953653627861</v>
      </c>
      <c r="DM146" s="181"/>
      <c r="DN146" s="182"/>
      <c r="DO146" s="159">
        <f t="shared" si="370"/>
        <v>316.03217108187954</v>
      </c>
      <c r="DP146" s="117"/>
      <c r="DQ146" s="183"/>
      <c r="DR146" s="184"/>
      <c r="DS146" s="170">
        <f t="shared" si="371"/>
        <v>21991.829494890815</v>
      </c>
      <c r="DT146" s="85"/>
    </row>
    <row r="147" spans="2:124" s="86" customFormat="1" ht="18" customHeight="1">
      <c r="B147" s="153">
        <v>6</v>
      </c>
      <c r="C147" s="154" t="s">
        <v>135</v>
      </c>
      <c r="D147" s="155"/>
      <c r="E147" s="156">
        <f>'BDI-TRIBUTOS'!D25</f>
        <v>2.0000000000000004E-2</v>
      </c>
      <c r="F147" s="181"/>
      <c r="G147" s="182"/>
      <c r="H147" s="159">
        <f t="shared" si="333"/>
        <v>2132.4414344929996</v>
      </c>
      <c r="I147" s="181"/>
      <c r="J147" s="182"/>
      <c r="K147" s="159">
        <f t="shared" si="334"/>
        <v>1036.5386522441117</v>
      </c>
      <c r="L147" s="181"/>
      <c r="M147" s="182"/>
      <c r="N147" s="159">
        <f t="shared" si="335"/>
        <v>359.81764438459066</v>
      </c>
      <c r="O147" s="181"/>
      <c r="P147" s="182"/>
      <c r="Q147" s="159">
        <f t="shared" si="336"/>
        <v>513.45973769109651</v>
      </c>
      <c r="R147" s="181"/>
      <c r="S147" s="182"/>
      <c r="T147" s="159">
        <f t="shared" si="337"/>
        <v>263.35524314564185</v>
      </c>
      <c r="U147" s="181"/>
      <c r="V147" s="182"/>
      <c r="W147" s="159">
        <f t="shared" si="338"/>
        <v>187.03544028484069</v>
      </c>
      <c r="X147" s="181"/>
      <c r="Y147" s="182"/>
      <c r="Z147" s="159">
        <f t="shared" si="339"/>
        <v>184.0800699830298</v>
      </c>
      <c r="AA147" s="181"/>
      <c r="AB147" s="182"/>
      <c r="AC147" s="159">
        <f t="shared" si="340"/>
        <v>158.07132500406513</v>
      </c>
      <c r="AD147" s="181"/>
      <c r="AE147" s="182"/>
      <c r="AF147" s="159">
        <f t="shared" si="341"/>
        <v>158.07132500406513</v>
      </c>
      <c r="AG147" s="181"/>
      <c r="AH147" s="182"/>
      <c r="AI147" s="159">
        <f t="shared" si="342"/>
        <v>158.07132500406513</v>
      </c>
      <c r="AJ147" s="181"/>
      <c r="AK147" s="182"/>
      <c r="AL147" s="159">
        <f t="shared" si="343"/>
        <v>158.07132500406513</v>
      </c>
      <c r="AM147" s="181"/>
      <c r="AN147" s="182"/>
      <c r="AO147" s="159">
        <f t="shared" si="344"/>
        <v>258.49386729782771</v>
      </c>
      <c r="AP147" s="181"/>
      <c r="AQ147" s="182"/>
      <c r="AR147" s="159">
        <f t="shared" si="345"/>
        <v>1.5394370634666619</v>
      </c>
      <c r="AS147" s="181"/>
      <c r="AT147" s="182"/>
      <c r="AU147" s="159">
        <f t="shared" si="346"/>
        <v>20.075513187712399</v>
      </c>
      <c r="AV147" s="181"/>
      <c r="AW147" s="182"/>
      <c r="AX147" s="159">
        <f t="shared" si="347"/>
        <v>1.8241316367269604</v>
      </c>
      <c r="AY147" s="181"/>
      <c r="AZ147" s="182"/>
      <c r="BA147" s="159">
        <f t="shared" si="348"/>
        <v>4.7181643374557556</v>
      </c>
      <c r="BB147" s="181"/>
      <c r="BC147" s="182"/>
      <c r="BD147" s="159">
        <f t="shared" si="349"/>
        <v>4.1154909638809745</v>
      </c>
      <c r="BE147" s="181"/>
      <c r="BF147" s="182"/>
      <c r="BG147" s="159">
        <f t="shared" si="350"/>
        <v>54.753096018027627</v>
      </c>
      <c r="BH147" s="181"/>
      <c r="BI147" s="182"/>
      <c r="BJ147" s="159">
        <f t="shared" si="351"/>
        <v>0.51851079818917822</v>
      </c>
      <c r="BK147" s="181"/>
      <c r="BL147" s="182"/>
      <c r="BM147" s="159">
        <f t="shared" si="352"/>
        <v>17.303783378153955</v>
      </c>
      <c r="BN147" s="181"/>
      <c r="BO147" s="182"/>
      <c r="BP147" s="159">
        <f t="shared" si="353"/>
        <v>1194.3194508338381</v>
      </c>
      <c r="BQ147" s="181"/>
      <c r="BR147" s="182"/>
      <c r="BS147" s="159">
        <f t="shared" si="354"/>
        <v>2513.7848391378866</v>
      </c>
      <c r="BT147" s="181"/>
      <c r="BU147" s="182"/>
      <c r="BV147" s="159">
        <f t="shared" si="355"/>
        <v>41.762550558409323</v>
      </c>
      <c r="BW147" s="181"/>
      <c r="BX147" s="182"/>
      <c r="BY147" s="159">
        <f t="shared" si="356"/>
        <v>31.498301853449373</v>
      </c>
      <c r="BZ147" s="181"/>
      <c r="CA147" s="182"/>
      <c r="CB147" s="159">
        <f t="shared" si="357"/>
        <v>45.183966793395975</v>
      </c>
      <c r="CC147" s="181"/>
      <c r="CD147" s="182"/>
      <c r="CE147" s="159">
        <f t="shared" si="358"/>
        <v>5.8348678776462863</v>
      </c>
      <c r="CF147" s="181"/>
      <c r="CG147" s="182"/>
      <c r="CH147" s="159">
        <f t="shared" si="359"/>
        <v>21.804289187653868</v>
      </c>
      <c r="CI147" s="181"/>
      <c r="CJ147" s="182"/>
      <c r="CK147" s="159">
        <f t="shared" si="360"/>
        <v>16.101928796009453</v>
      </c>
      <c r="CL147" s="181"/>
      <c r="CM147" s="182"/>
      <c r="CN147" s="159">
        <f t="shared" si="361"/>
        <v>2695.4668355941026</v>
      </c>
      <c r="CO147" s="181"/>
      <c r="CP147" s="182"/>
      <c r="CQ147" s="159">
        <f t="shared" si="362"/>
        <v>205.02387533909348</v>
      </c>
      <c r="CR147" s="181"/>
      <c r="CS147" s="182"/>
      <c r="CT147" s="159">
        <f t="shared" si="363"/>
        <v>130.12361191339988</v>
      </c>
      <c r="CU147" s="181"/>
      <c r="CV147" s="182"/>
      <c r="CW147" s="159">
        <f t="shared" si="364"/>
        <v>219.02887334867825</v>
      </c>
      <c r="CX147" s="181"/>
      <c r="CY147" s="182"/>
      <c r="CZ147" s="159">
        <f t="shared" si="365"/>
        <v>124.50312686980499</v>
      </c>
      <c r="DA147" s="181"/>
      <c r="DB147" s="182"/>
      <c r="DC147" s="159">
        <f t="shared" si="366"/>
        <v>96.255443435868017</v>
      </c>
      <c r="DD147" s="181"/>
      <c r="DE147" s="182"/>
      <c r="DF147" s="159">
        <f t="shared" si="367"/>
        <v>144.87565890312004</v>
      </c>
      <c r="DG147" s="181"/>
      <c r="DH147" s="182"/>
      <c r="DI147" s="159">
        <f t="shared" si="368"/>
        <v>111.96943132738683</v>
      </c>
      <c r="DJ147" s="181"/>
      <c r="DK147" s="182"/>
      <c r="DL147" s="159">
        <f t="shared" si="369"/>
        <v>342.31302435751917</v>
      </c>
      <c r="DM147" s="181"/>
      <c r="DN147" s="182"/>
      <c r="DO147" s="159">
        <f t="shared" si="370"/>
        <v>210.68811405458641</v>
      </c>
      <c r="DP147" s="117"/>
      <c r="DQ147" s="183"/>
      <c r="DR147" s="184"/>
      <c r="DS147" s="170">
        <f t="shared" si="371"/>
        <v>14661.219663260546</v>
      </c>
      <c r="DT147" s="85"/>
    </row>
    <row r="148" spans="2:124" s="86" customFormat="1" ht="18" customHeight="1">
      <c r="B148" s="185">
        <v>7</v>
      </c>
      <c r="C148" s="171" t="s">
        <v>136</v>
      </c>
      <c r="D148" s="172"/>
      <c r="E148" s="156">
        <f>'BDI-TRIBUTOS'!D26</f>
        <v>0</v>
      </c>
      <c r="F148" s="186"/>
      <c r="G148" s="187"/>
      <c r="H148" s="176"/>
      <c r="I148" s="186"/>
      <c r="J148" s="187"/>
      <c r="K148" s="176"/>
      <c r="L148" s="186"/>
      <c r="M148" s="187"/>
      <c r="N148" s="176"/>
      <c r="O148" s="186"/>
      <c r="P148" s="187"/>
      <c r="Q148" s="176"/>
      <c r="R148" s="186"/>
      <c r="S148" s="187"/>
      <c r="T148" s="176"/>
      <c r="U148" s="186"/>
      <c r="V148" s="187"/>
      <c r="W148" s="176"/>
      <c r="X148" s="186"/>
      <c r="Y148" s="187"/>
      <c r="Z148" s="176"/>
      <c r="AA148" s="186"/>
      <c r="AB148" s="187"/>
      <c r="AC148" s="176"/>
      <c r="AD148" s="186"/>
      <c r="AE148" s="187"/>
      <c r="AF148" s="176"/>
      <c r="AG148" s="186"/>
      <c r="AH148" s="187"/>
      <c r="AI148" s="176"/>
      <c r="AJ148" s="186"/>
      <c r="AK148" s="187"/>
      <c r="AL148" s="176"/>
      <c r="AM148" s="186"/>
      <c r="AN148" s="187"/>
      <c r="AO148" s="176"/>
      <c r="AP148" s="186"/>
      <c r="AQ148" s="187"/>
      <c r="AR148" s="176"/>
      <c r="AS148" s="186"/>
      <c r="AT148" s="187"/>
      <c r="AU148" s="176"/>
      <c r="AV148" s="186"/>
      <c r="AW148" s="187"/>
      <c r="AX148" s="176"/>
      <c r="AY148" s="186"/>
      <c r="AZ148" s="187"/>
      <c r="BA148" s="176"/>
      <c r="BB148" s="186"/>
      <c r="BC148" s="187"/>
      <c r="BD148" s="176"/>
      <c r="BE148" s="186"/>
      <c r="BF148" s="187"/>
      <c r="BG148" s="176"/>
      <c r="BH148" s="186"/>
      <c r="BI148" s="187"/>
      <c r="BJ148" s="176"/>
      <c r="BK148" s="186"/>
      <c r="BL148" s="187"/>
      <c r="BM148" s="176"/>
      <c r="BN148" s="186"/>
      <c r="BO148" s="187"/>
      <c r="BP148" s="176"/>
      <c r="BQ148" s="186"/>
      <c r="BR148" s="187"/>
      <c r="BS148" s="176"/>
      <c r="BT148" s="186"/>
      <c r="BU148" s="187"/>
      <c r="BV148" s="176"/>
      <c r="BW148" s="186"/>
      <c r="BX148" s="187"/>
      <c r="BY148" s="176"/>
      <c r="BZ148" s="186"/>
      <c r="CA148" s="187"/>
      <c r="CB148" s="176"/>
      <c r="CC148" s="186"/>
      <c r="CD148" s="187"/>
      <c r="CE148" s="176"/>
      <c r="CF148" s="186"/>
      <c r="CG148" s="187"/>
      <c r="CH148" s="176"/>
      <c r="CI148" s="186"/>
      <c r="CJ148" s="187"/>
      <c r="CK148" s="176"/>
      <c r="CL148" s="186"/>
      <c r="CM148" s="187"/>
      <c r="CN148" s="176"/>
      <c r="CO148" s="186"/>
      <c r="CP148" s="187"/>
      <c r="CQ148" s="176"/>
      <c r="CR148" s="186"/>
      <c r="CS148" s="187"/>
      <c r="CT148" s="176"/>
      <c r="CU148" s="186"/>
      <c r="CV148" s="187"/>
      <c r="CW148" s="176"/>
      <c r="CX148" s="186"/>
      <c r="CY148" s="187"/>
      <c r="CZ148" s="176"/>
      <c r="DA148" s="186"/>
      <c r="DB148" s="187"/>
      <c r="DC148" s="176"/>
      <c r="DD148" s="186"/>
      <c r="DE148" s="187"/>
      <c r="DF148" s="176"/>
      <c r="DG148" s="186"/>
      <c r="DH148" s="187"/>
      <c r="DI148" s="176"/>
      <c r="DJ148" s="186"/>
      <c r="DK148" s="187"/>
      <c r="DL148" s="176"/>
      <c r="DM148" s="186"/>
      <c r="DN148" s="187"/>
      <c r="DO148" s="176"/>
      <c r="DP148" s="117"/>
      <c r="DQ148" s="188"/>
      <c r="DR148" s="189"/>
      <c r="DS148" s="170"/>
      <c r="DT148" s="85"/>
    </row>
    <row r="149" spans="2:124" s="86" customFormat="1" ht="18" customHeight="1">
      <c r="B149" s="458"/>
      <c r="C149" s="531" t="s">
        <v>137</v>
      </c>
      <c r="D149" s="459"/>
      <c r="E149" s="535">
        <f>SUM(E142:E148)</f>
        <v>0.15450000000000003</v>
      </c>
      <c r="F149" s="496"/>
      <c r="G149" s="545"/>
      <c r="H149" s="478">
        <f>H150*$E$149</f>
        <v>16473.110081458421</v>
      </c>
      <c r="I149" s="496"/>
      <c r="J149" s="545"/>
      <c r="K149" s="478">
        <f>K150*$E$149</f>
        <v>8007.261088585763</v>
      </c>
      <c r="L149" s="496"/>
      <c r="M149" s="545"/>
      <c r="N149" s="478">
        <f>N150*$E$149</f>
        <v>2779.5913028709629</v>
      </c>
      <c r="O149" s="496"/>
      <c r="P149" s="545"/>
      <c r="Q149" s="478">
        <f>Q150*$E$149</f>
        <v>3966.4764736637208</v>
      </c>
      <c r="R149" s="496"/>
      <c r="S149" s="545"/>
      <c r="T149" s="478">
        <f>T150*$E$149</f>
        <v>2034.4192533000833</v>
      </c>
      <c r="U149" s="496"/>
      <c r="V149" s="545"/>
      <c r="W149" s="478">
        <f>W150*$E$149</f>
        <v>1444.8487762003942</v>
      </c>
      <c r="X149" s="496"/>
      <c r="Y149" s="545"/>
      <c r="Z149" s="478">
        <f>Z150*$E$149</f>
        <v>1422.018540618905</v>
      </c>
      <c r="AA149" s="496"/>
      <c r="AB149" s="545"/>
      <c r="AC149" s="478">
        <f>AC150*$E$149</f>
        <v>1221.1009856564031</v>
      </c>
      <c r="AD149" s="496"/>
      <c r="AE149" s="545"/>
      <c r="AF149" s="478">
        <f>AF150*$E$149</f>
        <v>1221.1009856564031</v>
      </c>
      <c r="AG149" s="496"/>
      <c r="AH149" s="545"/>
      <c r="AI149" s="478">
        <f>AI150*$E$149</f>
        <v>1221.1009856564031</v>
      </c>
      <c r="AJ149" s="496"/>
      <c r="AK149" s="545"/>
      <c r="AL149" s="478">
        <f>AL150*$E$149</f>
        <v>1221.1009856564031</v>
      </c>
      <c r="AM149" s="496"/>
      <c r="AN149" s="545"/>
      <c r="AO149" s="478">
        <f>AO150*$E$149</f>
        <v>1996.8651248757189</v>
      </c>
      <c r="AP149" s="496"/>
      <c r="AQ149" s="545"/>
      <c r="AR149" s="478">
        <f>AR150*$E$149</f>
        <v>11.892151315279962</v>
      </c>
      <c r="AS149" s="496"/>
      <c r="AT149" s="545"/>
      <c r="AU149" s="478">
        <f>AU150*$E$149</f>
        <v>155.08333937507828</v>
      </c>
      <c r="AV149" s="496"/>
      <c r="AW149" s="545"/>
      <c r="AX149" s="478">
        <f>AX150*$E$149</f>
        <v>14.09141689371577</v>
      </c>
      <c r="AY149" s="496"/>
      <c r="AZ149" s="545"/>
      <c r="BA149" s="478">
        <f>BA150*$E$149</f>
        <v>36.447819506845711</v>
      </c>
      <c r="BB149" s="496"/>
      <c r="BC149" s="545"/>
      <c r="BD149" s="478">
        <f>BD150*$E$149</f>
        <v>31.792167695980524</v>
      </c>
      <c r="BE149" s="496"/>
      <c r="BF149" s="545"/>
      <c r="BG149" s="478">
        <f>BG150*$E$149</f>
        <v>422.96766673926339</v>
      </c>
      <c r="BH149" s="496"/>
      <c r="BI149" s="545"/>
      <c r="BJ149" s="478">
        <f>BJ150*$E$149</f>
        <v>4.0054959160114016</v>
      </c>
      <c r="BK149" s="496"/>
      <c r="BL149" s="545"/>
      <c r="BM149" s="478">
        <f>BM150*$E$149</f>
        <v>133.6717265962393</v>
      </c>
      <c r="BN149" s="496"/>
      <c r="BO149" s="545"/>
      <c r="BP149" s="478">
        <f>BP150*$E$149</f>
        <v>9226.1177576913997</v>
      </c>
      <c r="BQ149" s="496"/>
      <c r="BR149" s="545"/>
      <c r="BS149" s="478">
        <f>BS150*$E$149</f>
        <v>19418.987882340174</v>
      </c>
      <c r="BT149" s="496"/>
      <c r="BU149" s="545"/>
      <c r="BV149" s="478">
        <f>BV150*$E$149</f>
        <v>322.61570306371198</v>
      </c>
      <c r="BW149" s="496"/>
      <c r="BX149" s="545"/>
      <c r="BY149" s="478">
        <f>BY150*$E$149</f>
        <v>243.32438181789638</v>
      </c>
      <c r="BZ149" s="496"/>
      <c r="CA149" s="545"/>
      <c r="CB149" s="478">
        <f>CB150*$E$149</f>
        <v>349.04614347898388</v>
      </c>
      <c r="CC149" s="496"/>
      <c r="CD149" s="545"/>
      <c r="CE149" s="478">
        <f>CE150*$E$149</f>
        <v>45.074354354817558</v>
      </c>
      <c r="CF149" s="496"/>
      <c r="CG149" s="545"/>
      <c r="CH149" s="478">
        <f>CH150*$E$149</f>
        <v>168.43813397462611</v>
      </c>
      <c r="CI149" s="496"/>
      <c r="CJ149" s="545"/>
      <c r="CK149" s="478">
        <f>CK150*$E$149</f>
        <v>124.38739994917303</v>
      </c>
      <c r="CL149" s="496"/>
      <c r="CM149" s="545"/>
      <c r="CN149" s="478">
        <f>CN150*$E$149</f>
        <v>20822.481304964444</v>
      </c>
      <c r="CO149" s="496"/>
      <c r="CP149" s="545"/>
      <c r="CQ149" s="478">
        <f>CQ150*$E$149</f>
        <v>1583.809436994497</v>
      </c>
      <c r="CR149" s="496"/>
      <c r="CS149" s="545"/>
      <c r="CT149" s="478">
        <f>CT150*$E$149</f>
        <v>1005.2049020310142</v>
      </c>
      <c r="CU149" s="496"/>
      <c r="CV149" s="545"/>
      <c r="CW149" s="478">
        <f>CW150*$E$149</f>
        <v>1691.9980466185395</v>
      </c>
      <c r="CX149" s="496"/>
      <c r="CY149" s="545"/>
      <c r="CZ149" s="478">
        <f>CZ150*$E$149</f>
        <v>961.78665506924347</v>
      </c>
      <c r="DA149" s="496"/>
      <c r="DB149" s="545"/>
      <c r="DC149" s="478">
        <f>DC150*$E$149</f>
        <v>743.57330054208046</v>
      </c>
      <c r="DD149" s="496"/>
      <c r="DE149" s="545"/>
      <c r="DF149" s="478">
        <f>DF150*$E$149</f>
        <v>1119.1644650266023</v>
      </c>
      <c r="DG149" s="496"/>
      <c r="DH149" s="545"/>
      <c r="DI149" s="478">
        <f>DI150*$E$149</f>
        <v>864.96385700406324</v>
      </c>
      <c r="DJ149" s="496"/>
      <c r="DK149" s="545"/>
      <c r="DL149" s="478">
        <f>DL150*$E$149</f>
        <v>2644.3681131618355</v>
      </c>
      <c r="DM149" s="496"/>
      <c r="DN149" s="545"/>
      <c r="DO149" s="478">
        <f>DO150*$E$149</f>
        <v>1627.56568107168</v>
      </c>
      <c r="DP149" s="100"/>
      <c r="DQ149" s="476"/>
      <c r="DR149" s="477"/>
      <c r="DS149" s="478">
        <f>DS150*$E$149</f>
        <v>113257.92189868772</v>
      </c>
      <c r="DT149" s="85"/>
    </row>
    <row r="150" spans="2:124" s="86" customFormat="1" ht="27" customHeight="1" thickBot="1">
      <c r="B150" s="537"/>
      <c r="C150" s="719" t="s">
        <v>138</v>
      </c>
      <c r="D150" s="719"/>
      <c r="E150" s="719"/>
      <c r="F150" s="546">
        <f>ROUND(H150,2)</f>
        <v>106622.07</v>
      </c>
      <c r="G150" s="499"/>
      <c r="H150" s="539">
        <f>G139/(1-$E$149-$E$138)</f>
        <v>106622.07172464996</v>
      </c>
      <c r="I150" s="546">
        <f>ROUND(K150,2)</f>
        <v>51826.93</v>
      </c>
      <c r="J150" s="499"/>
      <c r="K150" s="539">
        <f>J139/(1-$E$149-$E$138)</f>
        <v>51826.932612205579</v>
      </c>
      <c r="L150" s="546">
        <f>ROUND(N150,2)</f>
        <v>17990.88</v>
      </c>
      <c r="M150" s="499"/>
      <c r="N150" s="539">
        <f>M139/(1-$E$149-$E$138)</f>
        <v>17990.88221922953</v>
      </c>
      <c r="O150" s="546">
        <f>ROUND(Q150,2)</f>
        <v>25672.99</v>
      </c>
      <c r="P150" s="499"/>
      <c r="Q150" s="539">
        <f>P139/(1-$E$149-$E$138)</f>
        <v>25672.986884554823</v>
      </c>
      <c r="R150" s="546">
        <f>ROUND(T150,2)</f>
        <v>13167.76</v>
      </c>
      <c r="S150" s="499"/>
      <c r="T150" s="539">
        <f>S139/(1-$E$149-$E$138)</f>
        <v>13167.76215728209</v>
      </c>
      <c r="U150" s="546">
        <f>ROUND(W150,2)</f>
        <v>9351.77</v>
      </c>
      <c r="V150" s="499"/>
      <c r="W150" s="539">
        <f>V139/(1-$E$149-$E$138)</f>
        <v>9351.772014242033</v>
      </c>
      <c r="X150" s="546">
        <f>ROUND(Z150,2)</f>
        <v>9204</v>
      </c>
      <c r="Y150" s="499"/>
      <c r="Z150" s="539">
        <f>Y139/(1-$E$149-$E$138)</f>
        <v>9204.0034991514876</v>
      </c>
      <c r="AA150" s="546">
        <f>ROUND(AC150,2)</f>
        <v>7903.57</v>
      </c>
      <c r="AB150" s="499"/>
      <c r="AC150" s="539">
        <f>AB139/(1-$E$149-$E$138)</f>
        <v>7903.5662502032546</v>
      </c>
      <c r="AD150" s="546">
        <f>ROUND(AF150,2)</f>
        <v>7903.57</v>
      </c>
      <c r="AE150" s="499"/>
      <c r="AF150" s="539">
        <f>AE139/(1-$E$149-$E$138)</f>
        <v>7903.5662502032546</v>
      </c>
      <c r="AG150" s="546">
        <f>ROUND(AI150,2)</f>
        <v>7903.57</v>
      </c>
      <c r="AH150" s="499"/>
      <c r="AI150" s="539">
        <f>AH139/(1-$E$149-$E$138)</f>
        <v>7903.5662502032546</v>
      </c>
      <c r="AJ150" s="546">
        <f>ROUND(AL150,2)</f>
        <v>7903.57</v>
      </c>
      <c r="AK150" s="499"/>
      <c r="AL150" s="539">
        <f>AK139/(1-$E$149-$E$138)</f>
        <v>7903.5662502032546</v>
      </c>
      <c r="AM150" s="546">
        <f>ROUND(AO150,2)</f>
        <v>12924.69</v>
      </c>
      <c r="AN150" s="499"/>
      <c r="AO150" s="539">
        <f>AN139/(1-$E$149-$E$138)</f>
        <v>12924.693364891382</v>
      </c>
      <c r="AP150" s="546">
        <f>ROUND(AR150,2)</f>
        <v>76.97</v>
      </c>
      <c r="AQ150" s="499"/>
      <c r="AR150" s="539">
        <f>AQ139/(1-$E$149-$E$138)</f>
        <v>76.971853173333074</v>
      </c>
      <c r="AS150" s="546">
        <f>ROUND(AU150,2)</f>
        <v>1003.78</v>
      </c>
      <c r="AT150" s="499"/>
      <c r="AU150" s="539">
        <f>AT139/(1-$E$149-$E$138)</f>
        <v>1003.7756593856199</v>
      </c>
      <c r="AV150" s="546">
        <f>ROUND(AX150,2)</f>
        <v>91.21</v>
      </c>
      <c r="AW150" s="499"/>
      <c r="AX150" s="539">
        <f>AW139/(1-$E$149-$E$138)</f>
        <v>91.206581836348008</v>
      </c>
      <c r="AY150" s="546">
        <f>ROUND(BA150,2)</f>
        <v>235.91</v>
      </c>
      <c r="AZ150" s="499"/>
      <c r="BA150" s="539">
        <f>AZ139/(1-$E$149-$E$138)</f>
        <v>235.90821687278773</v>
      </c>
      <c r="BB150" s="546">
        <f>ROUND(BD150,2)</f>
        <v>205.77</v>
      </c>
      <c r="BC150" s="499"/>
      <c r="BD150" s="539">
        <f>BC139/(1-$E$149-$E$138)</f>
        <v>205.77454819404866</v>
      </c>
      <c r="BE150" s="546">
        <f>ROUND(BG150,2)</f>
        <v>2737.65</v>
      </c>
      <c r="BF150" s="499"/>
      <c r="BG150" s="539">
        <f>BF139/(1-$E$149-$E$138)</f>
        <v>2737.6548009013809</v>
      </c>
      <c r="BH150" s="546">
        <f>ROUND(BJ150,2)</f>
        <v>25.93</v>
      </c>
      <c r="BI150" s="499"/>
      <c r="BJ150" s="539">
        <f>BI139/(1-$E$149-$E$138)</f>
        <v>25.925539909458905</v>
      </c>
      <c r="BK150" s="546">
        <f>ROUND(BM150,2)</f>
        <v>865.19</v>
      </c>
      <c r="BL150" s="499"/>
      <c r="BM150" s="539">
        <f>BL139/(1-$E$149-$E$138)</f>
        <v>865.18916890769765</v>
      </c>
      <c r="BN150" s="546">
        <f>ROUND(BP150,2)</f>
        <v>59715.97</v>
      </c>
      <c r="BO150" s="499"/>
      <c r="BP150" s="539">
        <f>BO139/(1-$E$149-$E$138)</f>
        <v>59715.972541691895</v>
      </c>
      <c r="BQ150" s="546">
        <f>ROUND(BS150,2)</f>
        <v>125689.24</v>
      </c>
      <c r="BR150" s="499"/>
      <c r="BS150" s="539">
        <f>BR139/(1-$E$149-$E$138)</f>
        <v>125689.24195689432</v>
      </c>
      <c r="BT150" s="546">
        <f>ROUND(BV150,2)</f>
        <v>2088.13</v>
      </c>
      <c r="BU150" s="499"/>
      <c r="BV150" s="539">
        <f>BU139/(1-$E$149-$E$138)</f>
        <v>2088.1275279204656</v>
      </c>
      <c r="BW150" s="546">
        <f>ROUND(BY150,2)</f>
        <v>1574.92</v>
      </c>
      <c r="BX150" s="499"/>
      <c r="BY150" s="539">
        <f>BX139/(1-$E$149-$E$138)</f>
        <v>1574.9150926724683</v>
      </c>
      <c r="BZ150" s="546">
        <f>ROUND(CB150,2)</f>
        <v>2259.1999999999998</v>
      </c>
      <c r="CA150" s="499"/>
      <c r="CB150" s="539">
        <f>CA139/(1-$E$149-$E$138)</f>
        <v>2259.1983396697983</v>
      </c>
      <c r="CC150" s="546">
        <f>ROUND(CE150,2)</f>
        <v>291.74</v>
      </c>
      <c r="CD150" s="499"/>
      <c r="CE150" s="539">
        <f>CD139/(1-$E$149-$E$138)</f>
        <v>291.74339388231425</v>
      </c>
      <c r="CF150" s="546">
        <f>ROUND(CH150,2)</f>
        <v>1090.21</v>
      </c>
      <c r="CG150" s="499"/>
      <c r="CH150" s="539">
        <f>CG139/(1-$E$149-$E$138)</f>
        <v>1090.2144593826931</v>
      </c>
      <c r="CI150" s="546">
        <f>ROUND(CK150,2)</f>
        <v>805.1</v>
      </c>
      <c r="CJ150" s="499"/>
      <c r="CK150" s="539">
        <f>CJ139/(1-$E$149-$E$138)</f>
        <v>805.09643980047258</v>
      </c>
      <c r="CL150" s="546">
        <f>ROUND(CN150,2)</f>
        <v>134773.34</v>
      </c>
      <c r="CM150" s="499"/>
      <c r="CN150" s="539">
        <f>CM139/(1-$E$149-$E$138)</f>
        <v>134773.34177970511</v>
      </c>
      <c r="CO150" s="546">
        <f>ROUND(CQ150,2)</f>
        <v>10251.19</v>
      </c>
      <c r="CP150" s="499"/>
      <c r="CQ150" s="539">
        <f>CP139/(1-$E$149-$E$138)</f>
        <v>10251.193766954671</v>
      </c>
      <c r="CR150" s="546">
        <f>ROUND(CT150,2)</f>
        <v>6506.18</v>
      </c>
      <c r="CS150" s="499"/>
      <c r="CT150" s="539">
        <f>CS139/(1-$E$149-$E$138)</f>
        <v>6506.1805956699936</v>
      </c>
      <c r="CU150" s="546">
        <f>ROUND(CW150,2)</f>
        <v>10951.44</v>
      </c>
      <c r="CV150" s="499"/>
      <c r="CW150" s="539">
        <f>CV139/(1-$E$149-$E$138)</f>
        <v>10951.44366743391</v>
      </c>
      <c r="CX150" s="546">
        <f>ROUND(CZ150,2)</f>
        <v>6225.16</v>
      </c>
      <c r="CY150" s="499"/>
      <c r="CZ150" s="539">
        <f>CY139/(1-$E$149-$E$138)</f>
        <v>6225.1563434902482</v>
      </c>
      <c r="DA150" s="546">
        <f>ROUND(DC150,2)</f>
        <v>4812.7700000000004</v>
      </c>
      <c r="DB150" s="499"/>
      <c r="DC150" s="539">
        <f>DB139/(1-$E$149-$E$138)</f>
        <v>4812.7721717934</v>
      </c>
      <c r="DD150" s="546">
        <f>ROUND(DF150,2)</f>
        <v>7243.78</v>
      </c>
      <c r="DE150" s="499"/>
      <c r="DF150" s="539">
        <f>DE139/(1-$E$149-$E$138)</f>
        <v>7243.782945156001</v>
      </c>
      <c r="DG150" s="546">
        <f>ROUND(DI150,2)</f>
        <v>5598.47</v>
      </c>
      <c r="DH150" s="499"/>
      <c r="DI150" s="539">
        <f>DH139/(1-$E$149-$E$138)</f>
        <v>5598.4715663693405</v>
      </c>
      <c r="DJ150" s="546">
        <f>ROUND(DL150,2)</f>
        <v>17115.650000000001</v>
      </c>
      <c r="DK150" s="499"/>
      <c r="DL150" s="539">
        <f>DK139/(1-$E$149-$E$138)</f>
        <v>17115.651217875955</v>
      </c>
      <c r="DM150" s="546">
        <f>ROUND(DO150,2)</f>
        <v>10534.41</v>
      </c>
      <c r="DN150" s="499"/>
      <c r="DO150" s="539">
        <f>DN139/(1-$E$149-$E$138)</f>
        <v>10534.405702729318</v>
      </c>
      <c r="DP150" s="566"/>
      <c r="DQ150" s="538"/>
      <c r="DR150" s="479"/>
      <c r="DS150" s="539">
        <f>DR139/(1-$E$149-$E$138)</f>
        <v>733060.98316302721</v>
      </c>
      <c r="DT150" s="85"/>
    </row>
    <row r="151" spans="2:124" s="190" customFormat="1" ht="20.25" customHeight="1">
      <c r="C151" s="751"/>
      <c r="D151" s="751"/>
      <c r="E151" s="751"/>
      <c r="F151" s="191"/>
      <c r="G151" s="191"/>
      <c r="H151" s="192">
        <f>H150/H130</f>
        <v>1.4822266934942994</v>
      </c>
      <c r="I151" s="191"/>
      <c r="J151" s="191"/>
      <c r="K151" s="192">
        <f>K150/K130</f>
        <v>1.4822266934942991</v>
      </c>
      <c r="L151" s="191"/>
      <c r="M151" s="191"/>
      <c r="N151" s="192">
        <f>N150/N130</f>
        <v>1.4822266934942991</v>
      </c>
      <c r="O151" s="191"/>
      <c r="P151" s="191"/>
      <c r="Q151" s="192">
        <f>Q150/Q130</f>
        <v>1.4822266934942994</v>
      </c>
      <c r="R151" s="191"/>
      <c r="S151" s="191"/>
      <c r="T151" s="192">
        <f>T150/T130</f>
        <v>1.4822266934942991</v>
      </c>
      <c r="U151" s="191"/>
      <c r="V151" s="191"/>
      <c r="W151" s="192">
        <f>W150/W130</f>
        <v>1.4822266934942994</v>
      </c>
      <c r="X151" s="191"/>
      <c r="Y151" s="191"/>
      <c r="Z151" s="192">
        <f>Z150/Z130</f>
        <v>1.4822266934942994</v>
      </c>
      <c r="AA151" s="191"/>
      <c r="AB151" s="191"/>
      <c r="AC151" s="192">
        <f>AC150/AC130</f>
        <v>1.4822266934942994</v>
      </c>
      <c r="AD151" s="191"/>
      <c r="AE151" s="191"/>
      <c r="AF151" s="192">
        <f>AF150/AF130</f>
        <v>1.4822266934942994</v>
      </c>
      <c r="AG151" s="191"/>
      <c r="AH151" s="191"/>
      <c r="AI151" s="192">
        <f>AI150/AI130</f>
        <v>1.4822266934942994</v>
      </c>
      <c r="AJ151" s="191"/>
      <c r="AK151" s="191"/>
      <c r="AL151" s="192">
        <f>AL150/AL130</f>
        <v>1.4822266934942994</v>
      </c>
      <c r="AM151" s="191"/>
      <c r="AN151" s="191"/>
      <c r="AO151" s="192">
        <f>AO150/AO130</f>
        <v>1.4822266934942989</v>
      </c>
      <c r="AP151" s="191"/>
      <c r="AQ151" s="191"/>
      <c r="AR151" s="192">
        <f>AR150/AR130</f>
        <v>1.4822266934942991</v>
      </c>
      <c r="AS151" s="191"/>
      <c r="AT151" s="191"/>
      <c r="AU151" s="192">
        <f>AU150/AU130</f>
        <v>1.4822266934942994</v>
      </c>
      <c r="AV151" s="191"/>
      <c r="AW151" s="191"/>
      <c r="AX151" s="192">
        <f>AX150/AX130</f>
        <v>1.4822266934942994</v>
      </c>
      <c r="AY151" s="191"/>
      <c r="AZ151" s="191"/>
      <c r="BA151" s="192">
        <f>BA150/BA130</f>
        <v>1.4822266934942994</v>
      </c>
      <c r="BB151" s="191"/>
      <c r="BC151" s="191"/>
      <c r="BD151" s="192">
        <f>BD150/BD130</f>
        <v>1.4822266934942994</v>
      </c>
      <c r="BE151" s="191"/>
      <c r="BF151" s="191"/>
      <c r="BG151" s="192">
        <f>BG150/BG130</f>
        <v>1.4822266934942991</v>
      </c>
      <c r="BH151" s="191"/>
      <c r="BI151" s="191"/>
      <c r="BJ151" s="192">
        <f>BJ150/BJ130</f>
        <v>1.4822266934942991</v>
      </c>
      <c r="BK151" s="191"/>
      <c r="BL151" s="191"/>
      <c r="BM151" s="192">
        <f>BM150/BM130</f>
        <v>1.4822266934942994</v>
      </c>
      <c r="BN151" s="191"/>
      <c r="BO151" s="191"/>
      <c r="BP151" s="192">
        <f>BP150/BP130</f>
        <v>1.4822266934942994</v>
      </c>
      <c r="BQ151" s="191"/>
      <c r="BR151" s="191"/>
      <c r="BS151" s="192">
        <f>BS150/BS130</f>
        <v>1.4822266934942991</v>
      </c>
      <c r="BT151" s="191"/>
      <c r="BU151" s="191"/>
      <c r="BV151" s="192">
        <f>BV150/BV130</f>
        <v>1.4822266934942996</v>
      </c>
      <c r="BW151" s="191"/>
      <c r="BX151" s="191"/>
      <c r="BY151" s="192">
        <f>BY150/BY130</f>
        <v>1.4822266934942991</v>
      </c>
      <c r="BZ151" s="191"/>
      <c r="CA151" s="191"/>
      <c r="CB151" s="192">
        <f>CB150/CB130</f>
        <v>1.4822266934942994</v>
      </c>
      <c r="CC151" s="191"/>
      <c r="CD151" s="191"/>
      <c r="CE151" s="192">
        <f>CE150/CE130</f>
        <v>1.4822266934942994</v>
      </c>
      <c r="CF151" s="191"/>
      <c r="CG151" s="191"/>
      <c r="CH151" s="192">
        <f>CH150/CH130</f>
        <v>1.4822266934942994</v>
      </c>
      <c r="CI151" s="191"/>
      <c r="CJ151" s="191"/>
      <c r="CK151" s="192">
        <f>CK150/CK130</f>
        <v>1.4822266934942991</v>
      </c>
      <c r="CL151" s="191"/>
      <c r="CM151" s="191"/>
      <c r="CN151" s="192">
        <f>CN150/CN130</f>
        <v>1.4822266934942991</v>
      </c>
      <c r="CO151" s="191"/>
      <c r="CP151" s="191"/>
      <c r="CQ151" s="192">
        <f>CQ150/CQ130</f>
        <v>1.4822266934942991</v>
      </c>
      <c r="CR151" s="191"/>
      <c r="CS151" s="191"/>
      <c r="CT151" s="192">
        <f>CT150/CT130</f>
        <v>1.4822266934942991</v>
      </c>
      <c r="CU151" s="191"/>
      <c r="CV151" s="191"/>
      <c r="CW151" s="192">
        <f>CW150/CW130</f>
        <v>1.4822266934942991</v>
      </c>
      <c r="CX151" s="191"/>
      <c r="CY151" s="191"/>
      <c r="CZ151" s="192">
        <f>CZ150/CZ130</f>
        <v>1.4822266934942994</v>
      </c>
      <c r="DA151" s="191"/>
      <c r="DB151" s="191"/>
      <c r="DC151" s="192">
        <f>DC150/DC130</f>
        <v>1.4822266934942991</v>
      </c>
      <c r="DD151" s="191"/>
      <c r="DE151" s="191"/>
      <c r="DF151" s="192">
        <f>DF150/DF130</f>
        <v>1.4822266934942994</v>
      </c>
      <c r="DG151" s="191"/>
      <c r="DH151" s="191"/>
      <c r="DI151" s="192">
        <f>DI150/DI130</f>
        <v>1.4822266934942991</v>
      </c>
      <c r="DJ151" s="191"/>
      <c r="DK151" s="191"/>
      <c r="DL151" s="192">
        <f>DL150/DL130</f>
        <v>1.4822266934942991</v>
      </c>
      <c r="DM151" s="191"/>
      <c r="DN151" s="191"/>
      <c r="DO151" s="192">
        <f>DO150/DO130</f>
        <v>1.4822266934942991</v>
      </c>
      <c r="DP151" s="192"/>
      <c r="DQ151" s="192"/>
      <c r="DR151" s="192"/>
      <c r="DS151" s="192">
        <f>DS150/DS130</f>
        <v>1.4822266934942994</v>
      </c>
      <c r="DT151" s="193"/>
    </row>
    <row r="152" spans="2:124" s="194" customFormat="1" ht="18" customHeight="1">
      <c r="DQ152" s="195"/>
      <c r="DR152" s="195"/>
      <c r="DS152" s="195"/>
      <c r="DT152" s="196"/>
    </row>
    <row r="153" spans="2:124" s="194" customFormat="1" ht="18" customHeight="1">
      <c r="DQ153" s="195"/>
      <c r="DR153" s="195"/>
      <c r="DS153" s="195"/>
      <c r="DT153" s="196"/>
    </row>
    <row r="154" spans="2:124" s="194" customFormat="1" ht="18" customHeight="1">
      <c r="DQ154" s="195"/>
      <c r="DR154" s="195"/>
      <c r="DS154" s="195"/>
      <c r="DT154" s="196"/>
    </row>
    <row r="155" spans="2:124" s="194" customFormat="1" ht="18" customHeight="1">
      <c r="DQ155" s="195"/>
      <c r="DR155" s="195"/>
      <c r="DS155" s="195"/>
      <c r="DT155" s="196"/>
    </row>
    <row r="156" spans="2:124" s="194" customFormat="1" ht="18" customHeight="1">
      <c r="DQ156" s="195"/>
      <c r="DR156" s="195"/>
      <c r="DS156" s="195"/>
      <c r="DT156" s="196"/>
    </row>
  </sheetData>
  <sheetProtection selectLockedCells="1" selectUnlockedCells="1"/>
  <mergeCells count="253">
    <mergeCell ref="DM140:DO140"/>
    <mergeCell ref="DN1:DO1"/>
    <mergeCell ref="DM2:DO2"/>
    <mergeCell ref="DM79:DO79"/>
    <mergeCell ref="DM101:DO101"/>
    <mergeCell ref="DM131:DO131"/>
    <mergeCell ref="DG140:DI140"/>
    <mergeCell ref="DK1:DL1"/>
    <mergeCell ref="DJ2:DL2"/>
    <mergeCell ref="DJ79:DL79"/>
    <mergeCell ref="DJ101:DL101"/>
    <mergeCell ref="DJ131:DL131"/>
    <mergeCell ref="DJ140:DL140"/>
    <mergeCell ref="DH1:DI1"/>
    <mergeCell ref="DG2:DI2"/>
    <mergeCell ref="DG79:DI79"/>
    <mergeCell ref="DG101:DI101"/>
    <mergeCell ref="DG131:DI131"/>
    <mergeCell ref="DA140:DC140"/>
    <mergeCell ref="DE1:DF1"/>
    <mergeCell ref="DD2:DF2"/>
    <mergeCell ref="DD79:DF79"/>
    <mergeCell ref="DD101:DF101"/>
    <mergeCell ref="DD131:DF131"/>
    <mergeCell ref="DD140:DF140"/>
    <mergeCell ref="DB1:DC1"/>
    <mergeCell ref="DA2:DC2"/>
    <mergeCell ref="DA79:DC79"/>
    <mergeCell ref="DA101:DC101"/>
    <mergeCell ref="DA131:DC131"/>
    <mergeCell ref="CU140:CW140"/>
    <mergeCell ref="CY1:CZ1"/>
    <mergeCell ref="CX2:CZ2"/>
    <mergeCell ref="CX79:CZ79"/>
    <mergeCell ref="CX101:CZ101"/>
    <mergeCell ref="CX131:CZ131"/>
    <mergeCell ref="CX140:CZ140"/>
    <mergeCell ref="CV1:CW1"/>
    <mergeCell ref="CU2:CW2"/>
    <mergeCell ref="CU79:CW79"/>
    <mergeCell ref="CU101:CW101"/>
    <mergeCell ref="CU131:CW131"/>
    <mergeCell ref="CO140:CQ140"/>
    <mergeCell ref="CS1:CT1"/>
    <mergeCell ref="CR2:CT2"/>
    <mergeCell ref="CR79:CT79"/>
    <mergeCell ref="CR101:CT101"/>
    <mergeCell ref="CR131:CT131"/>
    <mergeCell ref="CR140:CT140"/>
    <mergeCell ref="CP1:CQ1"/>
    <mergeCell ref="CO2:CQ2"/>
    <mergeCell ref="CO79:CQ79"/>
    <mergeCell ref="CO101:CQ101"/>
    <mergeCell ref="CO131:CQ131"/>
    <mergeCell ref="CI140:CK140"/>
    <mergeCell ref="CM1:CN1"/>
    <mergeCell ref="CL2:CN2"/>
    <mergeCell ref="CL79:CN79"/>
    <mergeCell ref="CL101:CN101"/>
    <mergeCell ref="CL131:CN131"/>
    <mergeCell ref="CL140:CN140"/>
    <mergeCell ref="CJ1:CK1"/>
    <mergeCell ref="CI2:CK2"/>
    <mergeCell ref="CI79:CK79"/>
    <mergeCell ref="CI101:CK101"/>
    <mergeCell ref="CI131:CK131"/>
    <mergeCell ref="CC140:CE140"/>
    <mergeCell ref="CG1:CH1"/>
    <mergeCell ref="CF2:CH2"/>
    <mergeCell ref="CF79:CH79"/>
    <mergeCell ref="CF101:CH101"/>
    <mergeCell ref="CF131:CH131"/>
    <mergeCell ref="CF140:CH140"/>
    <mergeCell ref="CD1:CE1"/>
    <mergeCell ref="CC2:CE2"/>
    <mergeCell ref="CC79:CE79"/>
    <mergeCell ref="CC101:CE101"/>
    <mergeCell ref="CC131:CE131"/>
    <mergeCell ref="BW140:BY140"/>
    <mergeCell ref="CA1:CB1"/>
    <mergeCell ref="BZ2:CB2"/>
    <mergeCell ref="BZ79:CB79"/>
    <mergeCell ref="BZ101:CB101"/>
    <mergeCell ref="BZ131:CB131"/>
    <mergeCell ref="BZ140:CB140"/>
    <mergeCell ref="BX1:BY1"/>
    <mergeCell ref="BW2:BY2"/>
    <mergeCell ref="BW79:BY79"/>
    <mergeCell ref="BW101:BY101"/>
    <mergeCell ref="BW131:BY131"/>
    <mergeCell ref="BQ140:BS140"/>
    <mergeCell ref="BU1:BV1"/>
    <mergeCell ref="BT2:BV2"/>
    <mergeCell ref="BT79:BV79"/>
    <mergeCell ref="BT101:BV101"/>
    <mergeCell ref="BT131:BV131"/>
    <mergeCell ref="BT140:BV140"/>
    <mergeCell ref="BR1:BS1"/>
    <mergeCell ref="BQ2:BS2"/>
    <mergeCell ref="BQ79:BS79"/>
    <mergeCell ref="BQ101:BS101"/>
    <mergeCell ref="BQ131:BS131"/>
    <mergeCell ref="BK140:BM140"/>
    <mergeCell ref="BO1:BP1"/>
    <mergeCell ref="BN2:BP2"/>
    <mergeCell ref="BN79:BP79"/>
    <mergeCell ref="BN101:BP101"/>
    <mergeCell ref="BN131:BP131"/>
    <mergeCell ref="BN140:BP140"/>
    <mergeCell ref="BL1:BM1"/>
    <mergeCell ref="BK2:BM2"/>
    <mergeCell ref="BK79:BM79"/>
    <mergeCell ref="BK101:BM101"/>
    <mergeCell ref="BK131:BM131"/>
    <mergeCell ref="BE140:BG140"/>
    <mergeCell ref="BI1:BJ1"/>
    <mergeCell ref="BH2:BJ2"/>
    <mergeCell ref="BH79:BJ79"/>
    <mergeCell ref="BH101:BJ101"/>
    <mergeCell ref="BH131:BJ131"/>
    <mergeCell ref="BH140:BJ140"/>
    <mergeCell ref="BF1:BG1"/>
    <mergeCell ref="BE2:BG2"/>
    <mergeCell ref="BE79:BG79"/>
    <mergeCell ref="BE101:BG101"/>
    <mergeCell ref="BE131:BG131"/>
    <mergeCell ref="BC1:BD1"/>
    <mergeCell ref="BB2:BD2"/>
    <mergeCell ref="BB79:BD79"/>
    <mergeCell ref="BB101:BD101"/>
    <mergeCell ref="BB131:BD131"/>
    <mergeCell ref="BB140:BD140"/>
    <mergeCell ref="AZ1:BA1"/>
    <mergeCell ref="AY2:BA2"/>
    <mergeCell ref="AY79:BA79"/>
    <mergeCell ref="AY101:BA101"/>
    <mergeCell ref="AY131:BA131"/>
    <mergeCell ref="AW1:AX1"/>
    <mergeCell ref="AV2:AX2"/>
    <mergeCell ref="AV79:AX79"/>
    <mergeCell ref="AV101:AX101"/>
    <mergeCell ref="AV131:AX131"/>
    <mergeCell ref="AV140:AX140"/>
    <mergeCell ref="AT1:AU1"/>
    <mergeCell ref="AS2:AU2"/>
    <mergeCell ref="AS79:AU79"/>
    <mergeCell ref="AS101:AU101"/>
    <mergeCell ref="AS131:AU131"/>
    <mergeCell ref="AH1:AI1"/>
    <mergeCell ref="AG2:AI2"/>
    <mergeCell ref="AG79:AI79"/>
    <mergeCell ref="AG101:AI101"/>
    <mergeCell ref="AG131:AI131"/>
    <mergeCell ref="AQ1:AR1"/>
    <mergeCell ref="AP2:AR2"/>
    <mergeCell ref="AP79:AR79"/>
    <mergeCell ref="AP101:AR101"/>
    <mergeCell ref="AP131:AR131"/>
    <mergeCell ref="AN1:AO1"/>
    <mergeCell ref="AM2:AO2"/>
    <mergeCell ref="AM79:AO79"/>
    <mergeCell ref="AM101:AO101"/>
    <mergeCell ref="AM131:AO131"/>
    <mergeCell ref="DQ3:DR3"/>
    <mergeCell ref="B5:E5"/>
    <mergeCell ref="DQ5:DS5"/>
    <mergeCell ref="B21:E21"/>
    <mergeCell ref="B78:E78"/>
    <mergeCell ref="B22:E22"/>
    <mergeCell ref="B3:E3"/>
    <mergeCell ref="DQ79:DS79"/>
    <mergeCell ref="B100:E100"/>
    <mergeCell ref="X79:Z79"/>
    <mergeCell ref="U79:W79"/>
    <mergeCell ref="AD79:AF79"/>
    <mergeCell ref="AA79:AC79"/>
    <mergeCell ref="AJ79:AL79"/>
    <mergeCell ref="DQ1:DS1"/>
    <mergeCell ref="B2:E2"/>
    <mergeCell ref="F2:H2"/>
    <mergeCell ref="I2:K2"/>
    <mergeCell ref="L2:N2"/>
    <mergeCell ref="O2:Q2"/>
    <mergeCell ref="R2:T2"/>
    <mergeCell ref="DQ2:DS2"/>
    <mergeCell ref="B1:C1"/>
    <mergeCell ref="G1:H1"/>
    <mergeCell ref="J1:K1"/>
    <mergeCell ref="M1:N1"/>
    <mergeCell ref="P1:Q1"/>
    <mergeCell ref="S1:T1"/>
    <mergeCell ref="Y1:Z1"/>
    <mergeCell ref="X2:Z2"/>
    <mergeCell ref="V1:W1"/>
    <mergeCell ref="U2:W2"/>
    <mergeCell ref="AE1:AF1"/>
    <mergeCell ref="AD2:AF2"/>
    <mergeCell ref="AB1:AC1"/>
    <mergeCell ref="AA2:AC2"/>
    <mergeCell ref="AK1:AL1"/>
    <mergeCell ref="AJ2:AL2"/>
    <mergeCell ref="B101:E101"/>
    <mergeCell ref="F101:H101"/>
    <mergeCell ref="I101:K101"/>
    <mergeCell ref="L101:N101"/>
    <mergeCell ref="O101:Q101"/>
    <mergeCell ref="R101:T101"/>
    <mergeCell ref="DQ101:DS101"/>
    <mergeCell ref="O79:Q79"/>
    <mergeCell ref="B79:E79"/>
    <mergeCell ref="F79:H79"/>
    <mergeCell ref="I79:K79"/>
    <mergeCell ref="L79:N79"/>
    <mergeCell ref="R79:T79"/>
    <mergeCell ref="X101:Z101"/>
    <mergeCell ref="U101:W101"/>
    <mergeCell ref="AD101:AF101"/>
    <mergeCell ref="AA101:AC101"/>
    <mergeCell ref="AJ101:AL101"/>
    <mergeCell ref="DQ131:DS131"/>
    <mergeCell ref="C132:D132"/>
    <mergeCell ref="F140:H140"/>
    <mergeCell ref="I140:K140"/>
    <mergeCell ref="L140:N140"/>
    <mergeCell ref="O140:Q140"/>
    <mergeCell ref="R140:T140"/>
    <mergeCell ref="DQ140:DS140"/>
    <mergeCell ref="L131:N131"/>
    <mergeCell ref="X140:Z140"/>
    <mergeCell ref="AA140:AC140"/>
    <mergeCell ref="AD140:AF140"/>
    <mergeCell ref="AG140:AI140"/>
    <mergeCell ref="AJ140:AL140"/>
    <mergeCell ref="AM140:AO140"/>
    <mergeCell ref="AP140:AR140"/>
    <mergeCell ref="U140:W140"/>
    <mergeCell ref="X131:Z131"/>
    <mergeCell ref="U131:W131"/>
    <mergeCell ref="AD131:AF131"/>
    <mergeCell ref="AA131:AC131"/>
    <mergeCell ref="AJ131:AL131"/>
    <mergeCell ref="AS140:AU140"/>
    <mergeCell ref="AY140:BA140"/>
    <mergeCell ref="C141:D141"/>
    <mergeCell ref="C150:E150"/>
    <mergeCell ref="C151:E151"/>
    <mergeCell ref="O131:Q131"/>
    <mergeCell ref="R131:T131"/>
    <mergeCell ref="B123:E123"/>
    <mergeCell ref="C125:D125"/>
    <mergeCell ref="C131:E131"/>
    <mergeCell ref="F131:H131"/>
    <mergeCell ref="I131:K131"/>
  </mergeCells>
  <phoneticPr fontId="17" type="noConversion"/>
  <conditionalFormatting sqref="DT103:DT123 DT81:DT101 DT24:DT79 DT7:DT22">
    <cfRule type="dataBar" priority="1">
      <dataBar>
        <cfvo type="min"/>
        <cfvo type="max"/>
        <color rgb="FFFF555A"/>
      </dataBar>
      <extLst>
        <ext xmlns:x14="http://schemas.microsoft.com/office/spreadsheetml/2009/9/main" uri="{B025F937-C7B1-47D3-B67F-A62EFF666E3E}">
          <x14:id>{16236DD5-46A0-4C90-9378-C58C6C6E6285}</x14:id>
        </ext>
      </extLst>
    </cfRule>
  </conditionalFormatting>
  <printOptions horizontalCentered="1"/>
  <pageMargins left="0.39000000000000007" right="0.39000000000000007" top="0.39000000000000007" bottom="0.39000000000000007" header="0.51" footer="0.51"/>
  <pageSetup paperSize="9" scale="17" orientation="landscape"/>
  <headerFooter alignWithMargins="0"/>
  <drawing r:id="rId1"/>
  <extLst>
    <ext xmlns:x14="http://schemas.microsoft.com/office/spreadsheetml/2009/9/main" uri="{78C0D931-6437-407d-A8EE-F0AAD7539E65}">
      <x14:conditionalFormattings>
        <x14:conditionalFormatting xmlns:xm="http://schemas.microsoft.com/office/excel/2006/main">
          <x14:cfRule type="dataBar" id="{16236DD5-46A0-4C90-9378-C58C6C6E6285}">
            <x14:dataBar minLength="0" maxLength="100" border="1" negativeBarBorderColorSameAsPositive="0">
              <x14:cfvo type="autoMin"/>
              <x14:cfvo type="autoMax"/>
              <x14:borderColor rgb="FFFF555A"/>
              <x14:negativeFillColor rgb="FFFF0000"/>
              <x14:negativeBorderColor rgb="FFFF0000"/>
              <x14:axisColor rgb="FF000000"/>
            </x14:dataBar>
          </x14:cfRule>
          <xm:sqref>DT103:DT123 DT81:DT101 DT24:DT79 DT7:DT22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Planilha12">
    <tabColor rgb="FFA3DCDB"/>
  </sheetPr>
  <dimension ref="B1:L54"/>
  <sheetViews>
    <sheetView showGridLines="0" zoomScaleNormal="100" zoomScaleSheetLayoutView="115" zoomScalePageLayoutView="115" workbookViewId="0">
      <pane xSplit="4" ySplit="1" topLeftCell="E5" activePane="bottomRight" state="frozen"/>
      <selection pane="topRight" activeCell="E1" sqref="E1"/>
      <selection pane="bottomLeft" activeCell="A2" sqref="A2"/>
      <selection pane="bottomRight" activeCell="C14" sqref="C14"/>
    </sheetView>
  </sheetViews>
  <sheetFormatPr defaultColWidth="11.44140625" defaultRowHeight="13.2"/>
  <cols>
    <col min="1" max="1" width="1.33203125" style="296" customWidth="1"/>
    <col min="2" max="2" width="7.44140625" style="296" customWidth="1"/>
    <col min="3" max="3" width="36" style="296" bestFit="1" customWidth="1"/>
    <col min="4" max="4" width="17.6640625" style="296" customWidth="1"/>
    <col min="5" max="5" width="18.33203125" style="296" customWidth="1"/>
    <col min="6" max="6" width="18" style="296" customWidth="1"/>
    <col min="7" max="7" width="14.6640625" style="296" customWidth="1"/>
    <col min="8" max="8" width="13.5546875" style="296" customWidth="1"/>
    <col min="9" max="9" width="14.33203125" style="296" customWidth="1"/>
    <col min="10" max="10" width="3.5546875" style="296" customWidth="1"/>
    <col min="11" max="11" width="19.44140625" style="299" customWidth="1"/>
    <col min="12" max="12" width="7.109375" style="296" customWidth="1"/>
    <col min="13" max="16384" width="11.44140625" style="296"/>
  </cols>
  <sheetData>
    <row r="1" spans="2:12" ht="39.9" customHeight="1">
      <c r="B1" s="762" t="s">
        <v>313</v>
      </c>
      <c r="C1" s="762"/>
      <c r="D1" s="762"/>
      <c r="E1" s="762"/>
      <c r="F1" s="762"/>
      <c r="G1" s="762"/>
      <c r="H1" s="762"/>
      <c r="I1" s="762"/>
      <c r="K1" s="297" t="s">
        <v>314</v>
      </c>
    </row>
    <row r="2" spans="2:12" ht="44.25" customHeight="1">
      <c r="B2" s="429" t="s">
        <v>95</v>
      </c>
      <c r="C2" s="429" t="s">
        <v>315</v>
      </c>
      <c r="D2" s="429" t="s">
        <v>316</v>
      </c>
      <c r="E2" s="429" t="s">
        <v>317</v>
      </c>
      <c r="F2" s="429" t="s">
        <v>318</v>
      </c>
      <c r="G2" s="429" t="s">
        <v>319</v>
      </c>
      <c r="H2" s="429" t="s">
        <v>320</v>
      </c>
      <c r="I2" s="429" t="s">
        <v>321</v>
      </c>
      <c r="K2" s="298">
        <f>QQP!G55</f>
        <v>733060.91</v>
      </c>
    </row>
    <row r="3" spans="2:12" ht="21.9" customHeight="1">
      <c r="B3" s="500" t="s">
        <v>322</v>
      </c>
      <c r="C3" s="501" t="s">
        <v>323</v>
      </c>
      <c r="D3" s="502" t="s">
        <v>324</v>
      </c>
      <c r="E3" s="430">
        <v>3000</v>
      </c>
      <c r="F3" s="430"/>
      <c r="G3" s="430">
        <f>SUM(E3:F3)*$E$18</f>
        <v>2284.8000000000002</v>
      </c>
      <c r="H3" s="430">
        <f>SUM(E3:G3)</f>
        <v>5284.8</v>
      </c>
      <c r="I3" s="430">
        <f>H3/$I$18</f>
        <v>30.027272727272727</v>
      </c>
    </row>
    <row r="4" spans="2:12" ht="21.9" customHeight="1">
      <c r="B4" s="500" t="s">
        <v>325</v>
      </c>
      <c r="C4" s="502" t="s">
        <v>326</v>
      </c>
      <c r="D4" s="502" t="s">
        <v>324</v>
      </c>
      <c r="E4" s="430">
        <v>2739</v>
      </c>
      <c r="F4" s="430">
        <f>E4*0.3</f>
        <v>821.69999999999993</v>
      </c>
      <c r="G4" s="430">
        <f t="shared" ref="G4:G16" si="0">SUM(E4:F4)*$E$18</f>
        <v>2711.8291199999999</v>
      </c>
      <c r="H4" s="430">
        <f t="shared" ref="H4:H16" si="1">SUM(E4:G4)</f>
        <v>6272.5291199999992</v>
      </c>
      <c r="I4" s="430">
        <f t="shared" ref="I4:I16" si="2">H4/$I$18</f>
        <v>35.639369999999992</v>
      </c>
    </row>
    <row r="5" spans="2:12" ht="21.9" customHeight="1">
      <c r="B5" s="500" t="s">
        <v>327</v>
      </c>
      <c r="C5" s="502" t="s">
        <v>328</v>
      </c>
      <c r="D5" s="502" t="s">
        <v>329</v>
      </c>
      <c r="E5" s="430">
        <v>1630.2</v>
      </c>
      <c r="F5" s="430">
        <f>E5*0.3</f>
        <v>489.06</v>
      </c>
      <c r="G5" s="430">
        <f t="shared" si="0"/>
        <v>1614.0284160000003</v>
      </c>
      <c r="H5" s="430">
        <f t="shared" si="1"/>
        <v>3733.2884160000003</v>
      </c>
      <c r="I5" s="430">
        <f t="shared" si="2"/>
        <v>21.211866000000001</v>
      </c>
    </row>
    <row r="6" spans="2:12" ht="21.9" customHeight="1">
      <c r="B6" s="500" t="s">
        <v>330</v>
      </c>
      <c r="C6" s="501" t="s">
        <v>331</v>
      </c>
      <c r="D6" s="502" t="s">
        <v>332</v>
      </c>
      <c r="E6" s="430">
        <v>12202</v>
      </c>
      <c r="F6" s="430"/>
      <c r="G6" s="430">
        <f t="shared" si="0"/>
        <v>9293.0432000000001</v>
      </c>
      <c r="H6" s="430">
        <f t="shared" si="1"/>
        <v>21495.0432</v>
      </c>
      <c r="I6" s="430">
        <f t="shared" si="2"/>
        <v>122.13092727272728</v>
      </c>
      <c r="J6" s="300"/>
      <c r="L6" s="301"/>
    </row>
    <row r="7" spans="2:12" ht="27.6">
      <c r="B7" s="500" t="s">
        <v>333</v>
      </c>
      <c r="C7" s="570" t="s">
        <v>667</v>
      </c>
      <c r="D7" s="502" t="s">
        <v>332</v>
      </c>
      <c r="E7" s="430">
        <v>12202</v>
      </c>
      <c r="F7" s="430"/>
      <c r="G7" s="430">
        <f t="shared" ref="G7" si="3">SUM(E7:F7)*$E$18</f>
        <v>9293.0432000000001</v>
      </c>
      <c r="H7" s="430">
        <f t="shared" ref="H7" si="4">SUM(E7:G7)</f>
        <v>21495.0432</v>
      </c>
      <c r="I7" s="430">
        <f t="shared" si="2"/>
        <v>122.13092727272728</v>
      </c>
      <c r="J7" s="300"/>
      <c r="L7" s="301"/>
    </row>
    <row r="8" spans="2:12" ht="21.9" customHeight="1">
      <c r="B8" s="500" t="s">
        <v>334</v>
      </c>
      <c r="C8" s="502" t="s">
        <v>680</v>
      </c>
      <c r="D8" s="502" t="s">
        <v>324</v>
      </c>
      <c r="E8" s="430">
        <v>2850</v>
      </c>
      <c r="F8" s="503"/>
      <c r="G8" s="430">
        <f t="shared" si="0"/>
        <v>2170.56</v>
      </c>
      <c r="H8" s="430">
        <f t="shared" si="1"/>
        <v>5020.5599999999995</v>
      </c>
      <c r="I8" s="430">
        <f t="shared" si="2"/>
        <v>28.525909090909089</v>
      </c>
    </row>
    <row r="9" spans="2:12" ht="27.6">
      <c r="B9" s="500" t="s">
        <v>336</v>
      </c>
      <c r="C9" s="504" t="s">
        <v>335</v>
      </c>
      <c r="D9" s="502" t="s">
        <v>324</v>
      </c>
      <c r="E9" s="430">
        <v>3011.8</v>
      </c>
      <c r="F9" s="430">
        <f>E9*0.15</f>
        <v>451.77000000000004</v>
      </c>
      <c r="G9" s="430">
        <f t="shared" si="0"/>
        <v>2637.8549120000002</v>
      </c>
      <c r="H9" s="430">
        <f t="shared" si="1"/>
        <v>6101.4249120000004</v>
      </c>
      <c r="I9" s="430">
        <f t="shared" si="2"/>
        <v>34.667187000000006</v>
      </c>
    </row>
    <row r="10" spans="2:12" ht="21.6" customHeight="1">
      <c r="B10" s="500" t="s">
        <v>337</v>
      </c>
      <c r="C10" s="504" t="s">
        <v>660</v>
      </c>
      <c r="D10" s="502" t="s">
        <v>324</v>
      </c>
      <c r="E10" s="430">
        <v>4250</v>
      </c>
      <c r="F10" s="447"/>
      <c r="G10" s="430">
        <f t="shared" si="0"/>
        <v>3236.8</v>
      </c>
      <c r="H10" s="430">
        <f t="shared" si="1"/>
        <v>7486.8</v>
      </c>
      <c r="I10" s="430">
        <f t="shared" si="2"/>
        <v>42.538636363636364</v>
      </c>
    </row>
    <row r="11" spans="2:12" ht="21.6" customHeight="1">
      <c r="B11" s="500" t="s">
        <v>654</v>
      </c>
      <c r="C11" s="504" t="s">
        <v>656</v>
      </c>
      <c r="D11" s="502" t="s">
        <v>324</v>
      </c>
      <c r="E11" s="430">
        <v>3011.8</v>
      </c>
      <c r="F11" s="447"/>
      <c r="G11" s="430">
        <f t="shared" si="0"/>
        <v>2293.7868800000001</v>
      </c>
      <c r="H11" s="430">
        <f t="shared" si="1"/>
        <v>5305.5868800000007</v>
      </c>
      <c r="I11" s="430">
        <f t="shared" si="2"/>
        <v>30.145380000000003</v>
      </c>
    </row>
    <row r="12" spans="2:12" ht="21.6" customHeight="1">
      <c r="B12" s="500" t="s">
        <v>657</v>
      </c>
      <c r="C12" s="504" t="s">
        <v>668</v>
      </c>
      <c r="D12" s="502" t="s">
        <v>324</v>
      </c>
      <c r="E12" s="430">
        <v>3100</v>
      </c>
      <c r="F12" s="447"/>
      <c r="G12" s="430">
        <f t="shared" ref="G12:G14" si="5">SUM(E12:F12)*$E$18</f>
        <v>2360.96</v>
      </c>
      <c r="H12" s="430">
        <f t="shared" ref="H12:H14" si="6">SUM(E12:G12)</f>
        <v>5460.96</v>
      </c>
      <c r="I12" s="430">
        <f t="shared" si="2"/>
        <v>31.028181818181817</v>
      </c>
    </row>
    <row r="13" spans="2:12" ht="21.6" customHeight="1">
      <c r="B13" s="500" t="s">
        <v>659</v>
      </c>
      <c r="C13" s="504" t="s">
        <v>669</v>
      </c>
      <c r="D13" s="502" t="s">
        <v>324</v>
      </c>
      <c r="E13" s="430">
        <v>1650</v>
      </c>
      <c r="F13" s="447"/>
      <c r="G13" s="430">
        <f t="shared" si="5"/>
        <v>1256.6400000000001</v>
      </c>
      <c r="H13" s="430">
        <f t="shared" si="6"/>
        <v>2906.6400000000003</v>
      </c>
      <c r="I13" s="430">
        <f t="shared" si="2"/>
        <v>16.515000000000001</v>
      </c>
    </row>
    <row r="14" spans="2:12" ht="21.6" customHeight="1">
      <c r="B14" s="500" t="s">
        <v>666</v>
      </c>
      <c r="C14" s="504" t="s">
        <v>658</v>
      </c>
      <c r="D14" s="502" t="s">
        <v>324</v>
      </c>
      <c r="E14" s="430">
        <v>2186.8000000000002</v>
      </c>
      <c r="F14" s="447"/>
      <c r="G14" s="430">
        <f t="shared" si="5"/>
        <v>1665.4668800000002</v>
      </c>
      <c r="H14" s="430">
        <f t="shared" si="6"/>
        <v>3852.2668800000001</v>
      </c>
      <c r="I14" s="430">
        <f t="shared" si="2"/>
        <v>21.887879999999999</v>
      </c>
    </row>
    <row r="15" spans="2:12" ht="21.6" customHeight="1">
      <c r="B15" s="500" t="s">
        <v>670</v>
      </c>
      <c r="C15" s="504" t="s">
        <v>338</v>
      </c>
      <c r="D15" s="502" t="s">
        <v>329</v>
      </c>
      <c r="E15" s="430">
        <v>1570.8</v>
      </c>
      <c r="F15" s="447"/>
      <c r="G15" s="430">
        <f t="shared" si="0"/>
        <v>1196.3212800000001</v>
      </c>
      <c r="H15" s="430">
        <f t="shared" si="1"/>
        <v>2767.1212800000003</v>
      </c>
      <c r="I15" s="430">
        <f t="shared" si="2"/>
        <v>15.722280000000001</v>
      </c>
    </row>
    <row r="16" spans="2:12" ht="21.6" customHeight="1">
      <c r="B16" s="500" t="s">
        <v>671</v>
      </c>
      <c r="C16" s="504" t="s">
        <v>655</v>
      </c>
      <c r="D16" s="502" t="s">
        <v>324</v>
      </c>
      <c r="E16" s="430">
        <v>5200</v>
      </c>
      <c r="F16" s="447">
        <v>0</v>
      </c>
      <c r="G16" s="430">
        <f t="shared" si="0"/>
        <v>3960.32</v>
      </c>
      <c r="H16" s="430">
        <f t="shared" si="1"/>
        <v>9160.32</v>
      </c>
      <c r="I16" s="430">
        <f t="shared" si="2"/>
        <v>52.047272727272727</v>
      </c>
    </row>
    <row r="17" spans="2:9" ht="21.6" customHeight="1">
      <c r="B17" s="445"/>
      <c r="C17" s="547"/>
      <c r="D17" s="548"/>
      <c r="E17" s="430"/>
      <c r="F17" s="446"/>
      <c r="G17" s="430"/>
      <c r="H17" s="430"/>
      <c r="I17" s="430"/>
    </row>
    <row r="18" spans="2:9" ht="21.9" customHeight="1">
      <c r="B18" s="302"/>
      <c r="C18" s="763" t="s">
        <v>339</v>
      </c>
      <c r="D18" s="764"/>
      <c r="E18" s="505">
        <f>'ENCARGOS SOCIAIS'!enc</f>
        <v>0.76160000000000005</v>
      </c>
      <c r="G18" s="761"/>
      <c r="H18" s="761"/>
      <c r="I18" s="506">
        <v>176</v>
      </c>
    </row>
    <row r="19" spans="2:9" ht="19.5" customHeight="1"/>
    <row r="20" spans="2:9" ht="19.5" customHeight="1"/>
    <row r="21" spans="2:9" ht="19.5" customHeight="1">
      <c r="C21" s="429" t="s">
        <v>340</v>
      </c>
    </row>
    <row r="22" spans="2:9" ht="19.5" customHeight="1">
      <c r="C22" s="296" t="s">
        <v>341</v>
      </c>
      <c r="D22" s="431">
        <v>1412</v>
      </c>
    </row>
    <row r="23" spans="2:9" ht="19.5" customHeight="1">
      <c r="C23" s="296" t="s">
        <v>342</v>
      </c>
      <c r="D23" s="431">
        <v>1518</v>
      </c>
    </row>
    <row r="24" spans="2:9" ht="19.5" customHeight="1">
      <c r="C24" s="296" t="s">
        <v>343</v>
      </c>
      <c r="D24" s="432">
        <f>1-D22/D23</f>
        <v>6.9828722002635013E-2</v>
      </c>
    </row>
    <row r="25" spans="2:9" ht="19.5" customHeight="1"/>
    <row r="26" spans="2:9" ht="19.5" customHeight="1"/>
    <row r="27" spans="2:9" ht="19.5" customHeight="1"/>
    <row r="28" spans="2:9" ht="19.5" customHeight="1"/>
    <row r="29" spans="2:9" ht="19.5" customHeight="1"/>
    <row r="30" spans="2:9" ht="19.5" customHeight="1"/>
    <row r="31" spans="2:9" ht="19.5" customHeight="1"/>
    <row r="32" spans="2:9" ht="19.5" customHeight="1"/>
    <row r="33" ht="19.5" customHeight="1"/>
    <row r="34" ht="19.5" customHeight="1"/>
    <row r="35" ht="19.5" customHeight="1"/>
    <row r="36" ht="19.5" customHeight="1"/>
    <row r="37" ht="19.5" customHeight="1"/>
    <row r="38" ht="19.5" customHeight="1"/>
    <row r="39" ht="19.5" customHeight="1"/>
    <row r="40" ht="19.5" customHeight="1"/>
    <row r="41" ht="19.5" customHeight="1"/>
    <row r="42" ht="19.5" customHeight="1"/>
    <row r="43" ht="19.5" customHeight="1"/>
    <row r="44" ht="19.5" customHeight="1"/>
    <row r="45" ht="19.5" customHeight="1"/>
    <row r="46" ht="19.5" customHeight="1"/>
    <row r="47" ht="19.5" customHeight="1"/>
    <row r="48" ht="19.5" customHeight="1"/>
    <row r="49" ht="19.5" customHeight="1"/>
    <row r="50" ht="19.5" customHeight="1"/>
    <row r="51" ht="19.5" customHeight="1"/>
    <row r="52" ht="19.5" customHeight="1"/>
    <row r="54" ht="25.5" customHeight="1"/>
  </sheetData>
  <sortState xmlns:xlrd2="http://schemas.microsoft.com/office/spreadsheetml/2017/richdata2" ref="C5:F5">
    <sortCondition ref="C5"/>
  </sortState>
  <mergeCells count="3">
    <mergeCell ref="G18:H18"/>
    <mergeCell ref="B1:I1"/>
    <mergeCell ref="C18:D18"/>
  </mergeCells>
  <phoneticPr fontId="17" type="noConversion"/>
  <printOptions horizontalCentered="1"/>
  <pageMargins left="0.19685039370078741" right="0.19685039370078741" top="0.59055118110236227" bottom="0.19685039370078741" header="0" footer="0"/>
  <pageSetup paperSize="9" scale="85" orientation="portrait" horizontalDpi="4294967292" verticalDpi="4294967292"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Planilha13">
    <tabColor rgb="FFA3DCDB"/>
  </sheetPr>
  <dimension ref="B1:F24"/>
  <sheetViews>
    <sheetView showGridLines="0" zoomScale="90" zoomScaleNormal="90" zoomScaleSheetLayoutView="115" zoomScalePageLayoutView="175" workbookViewId="0">
      <pane ySplit="3" topLeftCell="A6" activePane="bottomLeft" state="frozen"/>
      <selection activeCell="B1" sqref="B1:L1"/>
      <selection pane="bottomLeft" activeCell="B1" sqref="B1:F1"/>
    </sheetView>
  </sheetViews>
  <sheetFormatPr defaultColWidth="11.44140625" defaultRowHeight="16.2" outlineLevelRow="1"/>
  <cols>
    <col min="1" max="1" width="1.33203125" style="2" customWidth="1"/>
    <col min="2" max="2" width="64.109375" style="3" bestFit="1" customWidth="1"/>
    <col min="3" max="3" width="14.44140625" style="2" customWidth="1"/>
    <col min="4" max="4" width="13.5546875" style="2" customWidth="1"/>
    <col min="5" max="5" width="8" style="2" customWidth="1"/>
    <col min="6" max="6" width="17.33203125" style="2" customWidth="1"/>
    <col min="7" max="16384" width="11.44140625" style="2"/>
  </cols>
  <sheetData>
    <row r="1" spans="2:6" ht="39.9" customHeight="1" thickBot="1">
      <c r="B1" s="767" t="s">
        <v>227</v>
      </c>
      <c r="C1" s="768"/>
      <c r="D1" s="768"/>
      <c r="E1" s="768"/>
      <c r="F1" s="769"/>
    </row>
    <row r="2" spans="2:6" ht="21.75" customHeight="1">
      <c r="B2" s="770" t="s">
        <v>344</v>
      </c>
      <c r="C2" s="772" t="s">
        <v>345</v>
      </c>
      <c r="D2" s="774" t="s">
        <v>346</v>
      </c>
      <c r="E2" s="770" t="s">
        <v>347</v>
      </c>
      <c r="F2" s="776"/>
    </row>
    <row r="3" spans="2:6" ht="26.25" customHeight="1" thickBot="1">
      <c r="B3" s="771"/>
      <c r="C3" s="773"/>
      <c r="D3" s="775"/>
      <c r="E3" s="549" t="s">
        <v>348</v>
      </c>
      <c r="F3" s="550" t="s">
        <v>349</v>
      </c>
    </row>
    <row r="4" spans="2:6" s="5" customFormat="1" ht="22.5" customHeight="1" outlineLevel="1">
      <c r="B4" s="10" t="s">
        <v>350</v>
      </c>
      <c r="C4" s="11">
        <v>6</v>
      </c>
      <c r="D4" s="12">
        <v>58</v>
      </c>
      <c r="E4" s="24">
        <v>1</v>
      </c>
      <c r="F4" s="13">
        <f>D4/C4*E4</f>
        <v>9.6666666666666661</v>
      </c>
    </row>
    <row r="5" spans="2:6" s="5" customFormat="1" ht="22.5" customHeight="1" outlineLevel="1">
      <c r="B5" s="14" t="s">
        <v>351</v>
      </c>
      <c r="C5" s="15">
        <v>6</v>
      </c>
      <c r="D5" s="16">
        <v>33.6</v>
      </c>
      <c r="E5" s="25">
        <v>1</v>
      </c>
      <c r="F5" s="17">
        <f t="shared" ref="F5:F20" si="0">D5/C5*E5</f>
        <v>5.6000000000000005</v>
      </c>
    </row>
    <row r="6" spans="2:6" s="5" customFormat="1" ht="22.5" customHeight="1" outlineLevel="1">
      <c r="B6" s="14" t="s">
        <v>352</v>
      </c>
      <c r="C6" s="15">
        <v>4</v>
      </c>
      <c r="D6" s="16">
        <v>90</v>
      </c>
      <c r="E6" s="25">
        <v>1</v>
      </c>
      <c r="F6" s="17">
        <f t="shared" ref="F6" si="1">D6/C6*E6</f>
        <v>22.5</v>
      </c>
    </row>
    <row r="7" spans="2:6" s="5" customFormat="1" ht="22.5" customHeight="1" outlineLevel="1">
      <c r="B7" s="14" t="s">
        <v>353</v>
      </c>
      <c r="C7" s="15">
        <v>2</v>
      </c>
      <c r="D7" s="16">
        <v>10</v>
      </c>
      <c r="E7" s="25">
        <v>1</v>
      </c>
      <c r="F7" s="17">
        <f t="shared" si="0"/>
        <v>5</v>
      </c>
    </row>
    <row r="8" spans="2:6" s="5" customFormat="1" ht="22.5" customHeight="1" outlineLevel="1">
      <c r="B8" s="14" t="s">
        <v>354</v>
      </c>
      <c r="C8" s="15">
        <v>6</v>
      </c>
      <c r="D8" s="16">
        <v>208</v>
      </c>
      <c r="E8" s="25">
        <v>1</v>
      </c>
      <c r="F8" s="17">
        <f t="shared" si="0"/>
        <v>34.666666666666664</v>
      </c>
    </row>
    <row r="9" spans="2:6" s="5" customFormat="1" ht="22.5" customHeight="1" outlineLevel="1">
      <c r="B9" s="14" t="s">
        <v>355</v>
      </c>
      <c r="C9" s="15">
        <v>4</v>
      </c>
      <c r="D9" s="16">
        <v>120</v>
      </c>
      <c r="E9" s="25">
        <v>1</v>
      </c>
      <c r="F9" s="17">
        <f t="shared" si="0"/>
        <v>30</v>
      </c>
    </row>
    <row r="10" spans="2:6" s="5" customFormat="1" ht="22.5" customHeight="1" outlineLevel="1">
      <c r="B10" s="14" t="s">
        <v>356</v>
      </c>
      <c r="C10" s="15">
        <v>0.25</v>
      </c>
      <c r="D10" s="16">
        <v>3</v>
      </c>
      <c r="E10" s="25">
        <v>1</v>
      </c>
      <c r="F10" s="17">
        <f t="shared" si="0"/>
        <v>12</v>
      </c>
    </row>
    <row r="11" spans="2:6" s="5" customFormat="1" ht="22.5" customHeight="1" outlineLevel="1">
      <c r="B11" s="14" t="s">
        <v>357</v>
      </c>
      <c r="C11" s="15">
        <v>1</v>
      </c>
      <c r="D11" s="16">
        <v>20</v>
      </c>
      <c r="E11" s="25">
        <v>1</v>
      </c>
      <c r="F11" s="17">
        <f t="shared" si="0"/>
        <v>20</v>
      </c>
    </row>
    <row r="12" spans="2:6" s="5" customFormat="1" ht="22.5" customHeight="1" outlineLevel="1">
      <c r="B12" s="14" t="s">
        <v>358</v>
      </c>
      <c r="C12" s="15">
        <v>4.5454545454545456E-2</v>
      </c>
      <c r="D12" s="16">
        <v>3</v>
      </c>
      <c r="E12" s="25">
        <v>1</v>
      </c>
      <c r="F12" s="17">
        <f t="shared" si="0"/>
        <v>66</v>
      </c>
    </row>
    <row r="13" spans="2:6" s="5" customFormat="1" ht="22.5" customHeight="1" outlineLevel="1">
      <c r="B13" s="14" t="s">
        <v>359</v>
      </c>
      <c r="C13" s="15">
        <v>6</v>
      </c>
      <c r="D13" s="16">
        <v>160</v>
      </c>
      <c r="E13" s="25">
        <v>1</v>
      </c>
      <c r="F13" s="17">
        <f t="shared" si="0"/>
        <v>26.666666666666668</v>
      </c>
    </row>
    <row r="14" spans="2:6" s="5" customFormat="1" ht="22.5" customHeight="1" outlineLevel="1">
      <c r="B14" s="14" t="s">
        <v>360</v>
      </c>
      <c r="C14" s="15">
        <v>6</v>
      </c>
      <c r="D14" s="16">
        <v>90</v>
      </c>
      <c r="E14" s="25">
        <v>3</v>
      </c>
      <c r="F14" s="17">
        <f t="shared" si="0"/>
        <v>45</v>
      </c>
    </row>
    <row r="15" spans="2:6" s="5" customFormat="1" ht="22.5" customHeight="1" outlineLevel="1">
      <c r="B15" s="14" t="s">
        <v>361</v>
      </c>
      <c r="C15" s="15">
        <v>6</v>
      </c>
      <c r="D15" s="16">
        <v>90</v>
      </c>
      <c r="E15" s="25">
        <v>3</v>
      </c>
      <c r="F15" s="17">
        <f t="shared" si="0"/>
        <v>45</v>
      </c>
    </row>
    <row r="16" spans="2:6" s="5" customFormat="1" ht="22.5" customHeight="1" outlineLevel="1">
      <c r="B16" s="14" t="s">
        <v>362</v>
      </c>
      <c r="C16" s="15">
        <v>6</v>
      </c>
      <c r="D16" s="16">
        <v>40</v>
      </c>
      <c r="E16" s="25">
        <v>1</v>
      </c>
      <c r="F16" s="17">
        <f t="shared" si="0"/>
        <v>6.666666666666667</v>
      </c>
    </row>
    <row r="17" spans="2:6" s="5" customFormat="1" ht="22.5" customHeight="1" outlineLevel="1">
      <c r="B17" s="14" t="s">
        <v>363</v>
      </c>
      <c r="C17" s="15">
        <v>12</v>
      </c>
      <c r="D17" s="16">
        <f>226+227</f>
        <v>453</v>
      </c>
      <c r="E17" s="25"/>
      <c r="F17" s="17">
        <f t="shared" si="0"/>
        <v>0</v>
      </c>
    </row>
    <row r="18" spans="2:6" s="5" customFormat="1" ht="22.5" customHeight="1" outlineLevel="1">
      <c r="B18" s="421" t="s">
        <v>364</v>
      </c>
      <c r="C18" s="422">
        <f>1/10</f>
        <v>0.1</v>
      </c>
      <c r="D18" s="423">
        <v>231</v>
      </c>
      <c r="E18" s="424"/>
      <c r="F18" s="17">
        <f t="shared" si="0"/>
        <v>0</v>
      </c>
    </row>
    <row r="19" spans="2:6" s="5" customFormat="1" ht="22.5" customHeight="1" outlineLevel="1">
      <c r="B19" s="421" t="s">
        <v>365</v>
      </c>
      <c r="C19" s="422">
        <v>12</v>
      </c>
      <c r="D19" s="423">
        <v>33</v>
      </c>
      <c r="E19" s="424"/>
      <c r="F19" s="17">
        <f t="shared" si="0"/>
        <v>0</v>
      </c>
    </row>
    <row r="20" spans="2:6" s="5" customFormat="1" ht="22.5" customHeight="1" outlineLevel="1">
      <c r="B20" s="421" t="s">
        <v>366</v>
      </c>
      <c r="C20" s="422">
        <v>6</v>
      </c>
      <c r="D20" s="423">
        <v>77</v>
      </c>
      <c r="E20" s="424"/>
      <c r="F20" s="17">
        <f t="shared" si="0"/>
        <v>0</v>
      </c>
    </row>
    <row r="21" spans="2:6" s="5" customFormat="1" ht="22.5" customHeight="1" outlineLevel="1" thickBot="1">
      <c r="B21" s="18"/>
      <c r="C21" s="19"/>
      <c r="D21" s="20"/>
      <c r="E21" s="26"/>
      <c r="F21" s="21"/>
    </row>
    <row r="22" spans="2:6" s="5" customFormat="1" ht="27" customHeight="1" thickBot="1">
      <c r="B22" s="765" t="s">
        <v>367</v>
      </c>
      <c r="C22" s="766"/>
      <c r="D22" s="766"/>
      <c r="E22" s="22">
        <f>SUM(E4:E21)</f>
        <v>17</v>
      </c>
      <c r="F22" s="23">
        <f>SUM(F4:F21)</f>
        <v>328.76666666666671</v>
      </c>
    </row>
    <row r="23" spans="2:6" ht="15" customHeight="1">
      <c r="E23" s="4"/>
      <c r="F23" s="4"/>
    </row>
    <row r="24" spans="2:6" ht="9" customHeight="1"/>
  </sheetData>
  <mergeCells count="6">
    <mergeCell ref="B22:D22"/>
    <mergeCell ref="B1:F1"/>
    <mergeCell ref="B2:B3"/>
    <mergeCell ref="C2:C3"/>
    <mergeCell ref="D2:D3"/>
    <mergeCell ref="E2:F2"/>
  </mergeCells>
  <pageMargins left="0.75" right="0.75" top="1" bottom="1" header="0.5" footer="0.5"/>
  <pageSetup paperSize="9" scale="61" orientation="portrait" horizontalDpi="4294967292" verticalDpi="4294967292"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71504-B0A6-406D-AC01-1AD1B2CFC070}">
  <sheetPr filterMode="1">
    <tabColor rgb="FFA3DCDB"/>
  </sheetPr>
  <dimension ref="B1:G82"/>
  <sheetViews>
    <sheetView showGridLines="0" zoomScaleNormal="100" zoomScaleSheetLayoutView="115" zoomScalePageLayoutView="175" workbookViewId="0">
      <pane ySplit="3" topLeftCell="A4" activePane="bottomLeft" state="frozen"/>
      <selection activeCell="B1" sqref="B1:L1"/>
      <selection pane="bottomLeft" activeCell="B1" sqref="B1:G1"/>
    </sheetView>
  </sheetViews>
  <sheetFormatPr defaultColWidth="11.44140625" defaultRowHeight="16.2" outlineLevelRow="1"/>
  <cols>
    <col min="1" max="1" width="1.33203125" style="2" customWidth="1"/>
    <col min="2" max="2" width="82" style="3" customWidth="1"/>
    <col min="3" max="3" width="14" style="27" customWidth="1"/>
    <col min="4" max="4" width="72.109375" style="27" bestFit="1" customWidth="1"/>
    <col min="5" max="5" width="13.88671875" style="2" customWidth="1"/>
    <col min="6" max="6" width="7.6640625" style="2" customWidth="1"/>
    <col min="7" max="7" width="12.33203125" style="2" customWidth="1"/>
    <col min="8" max="16384" width="11.44140625" style="2"/>
  </cols>
  <sheetData>
    <row r="1" spans="2:7" ht="39.9" customHeight="1" thickBot="1">
      <c r="B1" s="767" t="s">
        <v>368</v>
      </c>
      <c r="C1" s="768"/>
      <c r="D1" s="768"/>
      <c r="E1" s="768"/>
      <c r="F1" s="768"/>
      <c r="G1" s="769"/>
    </row>
    <row r="2" spans="2:7" ht="20.25" customHeight="1">
      <c r="B2" s="303" t="s">
        <v>369</v>
      </c>
      <c r="C2" s="304" t="s">
        <v>370</v>
      </c>
      <c r="D2" s="305" t="s">
        <v>371</v>
      </c>
      <c r="E2" s="306" t="s">
        <v>372</v>
      </c>
      <c r="F2" s="770" t="s">
        <v>347</v>
      </c>
      <c r="G2" s="776"/>
    </row>
    <row r="3" spans="2:7" ht="20.25" customHeight="1" thickBot="1">
      <c r="B3" s="307"/>
      <c r="C3" s="308"/>
      <c r="D3" s="309"/>
      <c r="E3" s="310"/>
      <c r="F3" s="551" t="s">
        <v>348</v>
      </c>
      <c r="G3" s="552" t="s">
        <v>373</v>
      </c>
    </row>
    <row r="4" spans="2:7" ht="21.9" customHeight="1" outlineLevel="1">
      <c r="B4" s="42" t="s">
        <v>374</v>
      </c>
      <c r="C4" s="28" t="s">
        <v>9</v>
      </c>
      <c r="D4" s="28" t="s">
        <v>375</v>
      </c>
      <c r="E4" s="29">
        <v>12</v>
      </c>
      <c r="F4" s="30">
        <v>1</v>
      </c>
      <c r="G4" s="31">
        <f>F4*E4</f>
        <v>12</v>
      </c>
    </row>
    <row r="5" spans="2:7" ht="21.9" customHeight="1" outlineLevel="1">
      <c r="B5" s="43" t="s">
        <v>376</v>
      </c>
      <c r="C5" s="32" t="s">
        <v>9</v>
      </c>
      <c r="D5" s="32" t="s">
        <v>375</v>
      </c>
      <c r="E5" s="33">
        <v>18</v>
      </c>
      <c r="F5" s="34">
        <v>1</v>
      </c>
      <c r="G5" s="35">
        <f t="shared" ref="G5:G81" si="0">F5*E5</f>
        <v>18</v>
      </c>
    </row>
    <row r="6" spans="2:7" ht="21.9" customHeight="1" outlineLevel="1">
      <c r="B6" s="43" t="s">
        <v>377</v>
      </c>
      <c r="C6" s="32" t="s">
        <v>9</v>
      </c>
      <c r="D6" s="32" t="s">
        <v>375</v>
      </c>
      <c r="E6" s="33">
        <v>12</v>
      </c>
      <c r="F6" s="34">
        <v>1</v>
      </c>
      <c r="G6" s="35">
        <f t="shared" si="0"/>
        <v>12</v>
      </c>
    </row>
    <row r="7" spans="2:7" ht="21.9" customHeight="1" outlineLevel="1">
      <c r="B7" s="43" t="s">
        <v>378</v>
      </c>
      <c r="C7" s="32" t="s">
        <v>9</v>
      </c>
      <c r="D7" s="32" t="s">
        <v>375</v>
      </c>
      <c r="E7" s="33">
        <v>18</v>
      </c>
      <c r="F7" s="34">
        <v>1</v>
      </c>
      <c r="G7" s="35">
        <f t="shared" si="0"/>
        <v>18</v>
      </c>
    </row>
    <row r="8" spans="2:7" ht="21.9" customHeight="1" outlineLevel="1">
      <c r="B8" s="43" t="s">
        <v>379</v>
      </c>
      <c r="C8" s="32" t="s">
        <v>9</v>
      </c>
      <c r="D8" s="32" t="s">
        <v>375</v>
      </c>
      <c r="E8" s="33">
        <v>30</v>
      </c>
      <c r="F8" s="34">
        <v>1</v>
      </c>
      <c r="G8" s="35">
        <f t="shared" si="0"/>
        <v>30</v>
      </c>
    </row>
    <row r="9" spans="2:7" ht="21.9" customHeight="1" outlineLevel="1">
      <c r="B9" s="43" t="s">
        <v>380</v>
      </c>
      <c r="C9" s="32" t="s">
        <v>9</v>
      </c>
      <c r="D9" s="32" t="s">
        <v>375</v>
      </c>
      <c r="E9" s="33">
        <v>12</v>
      </c>
      <c r="F9" s="34">
        <v>1</v>
      </c>
      <c r="G9" s="35">
        <f t="shared" si="0"/>
        <v>12</v>
      </c>
    </row>
    <row r="10" spans="2:7" ht="21.9" customHeight="1" outlineLevel="1">
      <c r="B10" s="43" t="s">
        <v>381</v>
      </c>
      <c r="C10" s="32" t="s">
        <v>9</v>
      </c>
      <c r="D10" s="32" t="s">
        <v>375</v>
      </c>
      <c r="E10" s="33">
        <v>12</v>
      </c>
      <c r="F10" s="34">
        <v>1</v>
      </c>
      <c r="G10" s="35">
        <f t="shared" si="0"/>
        <v>12</v>
      </c>
    </row>
    <row r="11" spans="2:7" ht="21.9" customHeight="1" outlineLevel="1">
      <c r="B11" s="43" t="s">
        <v>382</v>
      </c>
      <c r="C11" s="32" t="s">
        <v>9</v>
      </c>
      <c r="D11" s="32" t="s">
        <v>375</v>
      </c>
      <c r="E11" s="33">
        <v>12</v>
      </c>
      <c r="F11" s="34">
        <v>1</v>
      </c>
      <c r="G11" s="35">
        <f t="shared" si="0"/>
        <v>12</v>
      </c>
    </row>
    <row r="12" spans="2:7" ht="21.9" customHeight="1" outlineLevel="1">
      <c r="B12" s="43" t="s">
        <v>383</v>
      </c>
      <c r="C12" s="32" t="s">
        <v>9</v>
      </c>
      <c r="D12" s="32" t="s">
        <v>375</v>
      </c>
      <c r="E12" s="33">
        <v>12</v>
      </c>
      <c r="F12" s="34">
        <v>1</v>
      </c>
      <c r="G12" s="35">
        <f t="shared" si="0"/>
        <v>12</v>
      </c>
    </row>
    <row r="13" spans="2:7" ht="21.9" customHeight="1" outlineLevel="1">
      <c r="B13" s="43" t="s">
        <v>384</v>
      </c>
      <c r="C13" s="32" t="s">
        <v>9</v>
      </c>
      <c r="D13" s="32" t="s">
        <v>375</v>
      </c>
      <c r="E13" s="33">
        <v>12</v>
      </c>
      <c r="F13" s="34">
        <v>1</v>
      </c>
      <c r="G13" s="35">
        <f t="shared" si="0"/>
        <v>12</v>
      </c>
    </row>
    <row r="14" spans="2:7" ht="21.9" customHeight="1" outlineLevel="1">
      <c r="B14" s="43" t="s">
        <v>385</v>
      </c>
      <c r="C14" s="32" t="s">
        <v>9</v>
      </c>
      <c r="D14" s="32" t="s">
        <v>375</v>
      </c>
      <c r="E14" s="33">
        <v>12</v>
      </c>
      <c r="F14" s="34">
        <v>1</v>
      </c>
      <c r="G14" s="35">
        <f t="shared" si="0"/>
        <v>12</v>
      </c>
    </row>
    <row r="15" spans="2:7" ht="21.9" customHeight="1" outlineLevel="1">
      <c r="B15" s="43" t="s">
        <v>386</v>
      </c>
      <c r="C15" s="32" t="s">
        <v>9</v>
      </c>
      <c r="D15" s="32" t="s">
        <v>375</v>
      </c>
      <c r="E15" s="33">
        <v>12</v>
      </c>
      <c r="F15" s="34">
        <v>1</v>
      </c>
      <c r="G15" s="35">
        <f t="shared" si="0"/>
        <v>12</v>
      </c>
    </row>
    <row r="16" spans="2:7" ht="21.9" customHeight="1" outlineLevel="1">
      <c r="B16" s="43" t="s">
        <v>387</v>
      </c>
      <c r="C16" s="32" t="s">
        <v>9</v>
      </c>
      <c r="D16" s="32" t="s">
        <v>375</v>
      </c>
      <c r="E16" s="33">
        <v>12</v>
      </c>
      <c r="F16" s="34">
        <v>1</v>
      </c>
      <c r="G16" s="35">
        <f t="shared" si="0"/>
        <v>12</v>
      </c>
    </row>
    <row r="17" spans="2:7" ht="21.9" customHeight="1" outlineLevel="1">
      <c r="B17" s="43" t="s">
        <v>388</v>
      </c>
      <c r="C17" s="32" t="s">
        <v>9</v>
      </c>
      <c r="D17" s="32" t="s">
        <v>375</v>
      </c>
      <c r="E17" s="33">
        <v>18</v>
      </c>
      <c r="F17" s="34">
        <v>1</v>
      </c>
      <c r="G17" s="35">
        <f t="shared" si="0"/>
        <v>18</v>
      </c>
    </row>
    <row r="18" spans="2:7" ht="21.9" customHeight="1" outlineLevel="1">
      <c r="B18" s="43" t="s">
        <v>389</v>
      </c>
      <c r="C18" s="32" t="s">
        <v>9</v>
      </c>
      <c r="D18" s="32" t="s">
        <v>375</v>
      </c>
      <c r="E18" s="33">
        <v>12</v>
      </c>
      <c r="F18" s="34">
        <v>1</v>
      </c>
      <c r="G18" s="35">
        <f t="shared" si="0"/>
        <v>12</v>
      </c>
    </row>
    <row r="19" spans="2:7" ht="21.9" customHeight="1" outlineLevel="1">
      <c r="B19" s="43" t="s">
        <v>390</v>
      </c>
      <c r="C19" s="32" t="s">
        <v>9</v>
      </c>
      <c r="D19" s="32" t="s">
        <v>375</v>
      </c>
      <c r="E19" s="33">
        <v>12</v>
      </c>
      <c r="F19" s="34">
        <v>1</v>
      </c>
      <c r="G19" s="35">
        <f t="shared" si="0"/>
        <v>12</v>
      </c>
    </row>
    <row r="20" spans="2:7" ht="21.9" customHeight="1" outlineLevel="1">
      <c r="B20" s="43" t="s">
        <v>391</v>
      </c>
      <c r="C20" s="32" t="s">
        <v>9</v>
      </c>
      <c r="D20" s="32" t="s">
        <v>375</v>
      </c>
      <c r="E20" s="33">
        <v>18</v>
      </c>
      <c r="F20" s="34">
        <v>1</v>
      </c>
      <c r="G20" s="35">
        <f t="shared" si="0"/>
        <v>18</v>
      </c>
    </row>
    <row r="21" spans="2:7" ht="21.9" customHeight="1" outlineLevel="1">
      <c r="B21" s="43" t="s">
        <v>392</v>
      </c>
      <c r="C21" s="32" t="s">
        <v>9</v>
      </c>
      <c r="D21" s="32" t="s">
        <v>375</v>
      </c>
      <c r="E21" s="33">
        <v>18</v>
      </c>
      <c r="F21" s="34">
        <v>1</v>
      </c>
      <c r="G21" s="35">
        <f t="shared" si="0"/>
        <v>18</v>
      </c>
    </row>
    <row r="22" spans="2:7" ht="21.9" customHeight="1" outlineLevel="1">
      <c r="B22" s="43" t="s">
        <v>393</v>
      </c>
      <c r="C22" s="32" t="s">
        <v>9</v>
      </c>
      <c r="D22" s="32" t="s">
        <v>375</v>
      </c>
      <c r="E22" s="33">
        <v>144</v>
      </c>
      <c r="F22" s="34">
        <v>1</v>
      </c>
      <c r="G22" s="35">
        <f t="shared" si="0"/>
        <v>144</v>
      </c>
    </row>
    <row r="23" spans="2:7" ht="21.9" customHeight="1" outlineLevel="1">
      <c r="B23" s="43" t="s">
        <v>394</v>
      </c>
      <c r="C23" s="32" t="s">
        <v>9</v>
      </c>
      <c r="D23" s="32" t="s">
        <v>375</v>
      </c>
      <c r="E23" s="33">
        <v>18</v>
      </c>
      <c r="F23" s="34">
        <v>1</v>
      </c>
      <c r="G23" s="35">
        <f t="shared" si="0"/>
        <v>18</v>
      </c>
    </row>
    <row r="24" spans="2:7" ht="21.9" hidden="1" customHeight="1" outlineLevel="1">
      <c r="B24" s="43" t="s">
        <v>374</v>
      </c>
      <c r="C24" s="32" t="s">
        <v>9</v>
      </c>
      <c r="D24" s="32" t="s">
        <v>395</v>
      </c>
      <c r="E24" s="33">
        <v>12</v>
      </c>
      <c r="F24" s="34"/>
      <c r="G24" s="35">
        <f t="shared" si="0"/>
        <v>0</v>
      </c>
    </row>
    <row r="25" spans="2:7" ht="21.9" hidden="1" customHeight="1" outlineLevel="1">
      <c r="B25" s="43" t="s">
        <v>376</v>
      </c>
      <c r="C25" s="32" t="s">
        <v>9</v>
      </c>
      <c r="D25" s="32" t="s">
        <v>395</v>
      </c>
      <c r="E25" s="33">
        <v>18</v>
      </c>
      <c r="F25" s="34"/>
      <c r="G25" s="35">
        <f t="shared" si="0"/>
        <v>0</v>
      </c>
    </row>
    <row r="26" spans="2:7" ht="21.9" hidden="1" customHeight="1" outlineLevel="1">
      <c r="B26" s="43" t="s">
        <v>377</v>
      </c>
      <c r="C26" s="32" t="s">
        <v>9</v>
      </c>
      <c r="D26" s="32" t="s">
        <v>395</v>
      </c>
      <c r="E26" s="33">
        <v>12</v>
      </c>
      <c r="F26" s="34"/>
      <c r="G26" s="35">
        <f t="shared" si="0"/>
        <v>0</v>
      </c>
    </row>
    <row r="27" spans="2:7" ht="21.9" hidden="1" customHeight="1" outlineLevel="1">
      <c r="B27" s="43" t="s">
        <v>378</v>
      </c>
      <c r="C27" s="32" t="s">
        <v>9</v>
      </c>
      <c r="D27" s="32" t="s">
        <v>395</v>
      </c>
      <c r="E27" s="33">
        <v>18</v>
      </c>
      <c r="F27" s="34"/>
      <c r="G27" s="35">
        <f t="shared" si="0"/>
        <v>0</v>
      </c>
    </row>
    <row r="28" spans="2:7" ht="21.9" hidden="1" customHeight="1" outlineLevel="1">
      <c r="B28" s="43" t="s">
        <v>379</v>
      </c>
      <c r="C28" s="32" t="s">
        <v>9</v>
      </c>
      <c r="D28" s="32" t="s">
        <v>395</v>
      </c>
      <c r="E28" s="33">
        <v>30</v>
      </c>
      <c r="F28" s="34"/>
      <c r="G28" s="35">
        <f t="shared" si="0"/>
        <v>0</v>
      </c>
    </row>
    <row r="29" spans="2:7" ht="21.9" hidden="1" customHeight="1" outlineLevel="1">
      <c r="B29" s="43" t="s">
        <v>380</v>
      </c>
      <c r="C29" s="32" t="s">
        <v>9</v>
      </c>
      <c r="D29" s="32" t="s">
        <v>395</v>
      </c>
      <c r="E29" s="33">
        <v>12</v>
      </c>
      <c r="F29" s="34"/>
      <c r="G29" s="35">
        <f t="shared" si="0"/>
        <v>0</v>
      </c>
    </row>
    <row r="30" spans="2:7" ht="21.9" hidden="1" customHeight="1" outlineLevel="1">
      <c r="B30" s="43" t="s">
        <v>381</v>
      </c>
      <c r="C30" s="32" t="s">
        <v>9</v>
      </c>
      <c r="D30" s="32" t="s">
        <v>395</v>
      </c>
      <c r="E30" s="33">
        <v>12</v>
      </c>
      <c r="F30" s="34"/>
      <c r="G30" s="35">
        <f t="shared" si="0"/>
        <v>0</v>
      </c>
    </row>
    <row r="31" spans="2:7" ht="21.9" hidden="1" customHeight="1" outlineLevel="1">
      <c r="B31" s="43" t="s">
        <v>382</v>
      </c>
      <c r="C31" s="32" t="s">
        <v>9</v>
      </c>
      <c r="D31" s="32" t="s">
        <v>395</v>
      </c>
      <c r="E31" s="33">
        <v>12</v>
      </c>
      <c r="F31" s="34"/>
      <c r="G31" s="35">
        <f t="shared" si="0"/>
        <v>0</v>
      </c>
    </row>
    <row r="32" spans="2:7" ht="21.9" hidden="1" customHeight="1" outlineLevel="1">
      <c r="B32" s="43" t="s">
        <v>383</v>
      </c>
      <c r="C32" s="32" t="s">
        <v>9</v>
      </c>
      <c r="D32" s="32" t="s">
        <v>395</v>
      </c>
      <c r="E32" s="33">
        <v>12</v>
      </c>
      <c r="F32" s="34"/>
      <c r="G32" s="35">
        <f t="shared" si="0"/>
        <v>0</v>
      </c>
    </row>
    <row r="33" spans="2:7" ht="21.9" hidden="1" customHeight="1" outlineLevel="1">
      <c r="B33" s="43" t="s">
        <v>384</v>
      </c>
      <c r="C33" s="32" t="s">
        <v>9</v>
      </c>
      <c r="D33" s="32" t="s">
        <v>395</v>
      </c>
      <c r="E33" s="33">
        <v>12</v>
      </c>
      <c r="F33" s="34"/>
      <c r="G33" s="35">
        <f t="shared" ref="G33:G38" si="1">F33*E33</f>
        <v>0</v>
      </c>
    </row>
    <row r="34" spans="2:7" ht="21.9" hidden="1" customHeight="1" outlineLevel="1">
      <c r="B34" s="43" t="s">
        <v>385</v>
      </c>
      <c r="C34" s="32" t="s">
        <v>9</v>
      </c>
      <c r="D34" s="32" t="s">
        <v>395</v>
      </c>
      <c r="E34" s="33">
        <v>12</v>
      </c>
      <c r="F34" s="34"/>
      <c r="G34" s="35">
        <f t="shared" si="1"/>
        <v>0</v>
      </c>
    </row>
    <row r="35" spans="2:7" ht="21.9" hidden="1" customHeight="1" outlineLevel="1">
      <c r="B35" s="43" t="s">
        <v>386</v>
      </c>
      <c r="C35" s="32" t="s">
        <v>9</v>
      </c>
      <c r="D35" s="32" t="s">
        <v>395</v>
      </c>
      <c r="E35" s="33">
        <v>12</v>
      </c>
      <c r="F35" s="34"/>
      <c r="G35" s="35">
        <f t="shared" si="1"/>
        <v>0</v>
      </c>
    </row>
    <row r="36" spans="2:7" ht="21.9" hidden="1" customHeight="1" outlineLevel="1">
      <c r="B36" s="43" t="s">
        <v>387</v>
      </c>
      <c r="C36" s="32" t="s">
        <v>9</v>
      </c>
      <c r="D36" s="32" t="s">
        <v>395</v>
      </c>
      <c r="E36" s="33">
        <v>12</v>
      </c>
      <c r="F36" s="34"/>
      <c r="G36" s="35">
        <f t="shared" si="1"/>
        <v>0</v>
      </c>
    </row>
    <row r="37" spans="2:7" ht="21.9" hidden="1" customHeight="1" outlineLevel="1">
      <c r="B37" s="43" t="s">
        <v>388</v>
      </c>
      <c r="C37" s="32" t="s">
        <v>9</v>
      </c>
      <c r="D37" s="32" t="s">
        <v>395</v>
      </c>
      <c r="E37" s="33">
        <v>18</v>
      </c>
      <c r="F37" s="34"/>
      <c r="G37" s="35">
        <f t="shared" si="1"/>
        <v>0</v>
      </c>
    </row>
    <row r="38" spans="2:7" ht="21.9" hidden="1" customHeight="1" outlineLevel="1">
      <c r="B38" s="43" t="s">
        <v>389</v>
      </c>
      <c r="C38" s="32" t="s">
        <v>9</v>
      </c>
      <c r="D38" s="32" t="s">
        <v>395</v>
      </c>
      <c r="E38" s="33">
        <v>12</v>
      </c>
      <c r="F38" s="34"/>
      <c r="G38" s="35">
        <f t="shared" si="1"/>
        <v>0</v>
      </c>
    </row>
    <row r="39" spans="2:7" ht="21.9" hidden="1" customHeight="1" outlineLevel="1">
      <c r="B39" s="43" t="s">
        <v>390</v>
      </c>
      <c r="C39" s="32" t="s">
        <v>9</v>
      </c>
      <c r="D39" s="32" t="s">
        <v>395</v>
      </c>
      <c r="E39" s="33">
        <v>12</v>
      </c>
      <c r="F39" s="34"/>
      <c r="G39" s="35">
        <f t="shared" si="0"/>
        <v>0</v>
      </c>
    </row>
    <row r="40" spans="2:7" ht="21.9" hidden="1" customHeight="1" outlineLevel="1">
      <c r="B40" s="43" t="s">
        <v>391</v>
      </c>
      <c r="C40" s="32" t="s">
        <v>9</v>
      </c>
      <c r="D40" s="32" t="s">
        <v>395</v>
      </c>
      <c r="E40" s="33">
        <v>18</v>
      </c>
      <c r="F40" s="34"/>
      <c r="G40" s="35">
        <f t="shared" si="0"/>
        <v>0</v>
      </c>
    </row>
    <row r="41" spans="2:7" ht="21.9" hidden="1" customHeight="1" outlineLevel="1">
      <c r="B41" s="43" t="s">
        <v>392</v>
      </c>
      <c r="C41" s="32" t="s">
        <v>9</v>
      </c>
      <c r="D41" s="32" t="s">
        <v>395</v>
      </c>
      <c r="E41" s="33">
        <v>18</v>
      </c>
      <c r="F41" s="34"/>
      <c r="G41" s="35">
        <f t="shared" si="0"/>
        <v>0</v>
      </c>
    </row>
    <row r="42" spans="2:7" ht="21.9" hidden="1" customHeight="1" outlineLevel="1">
      <c r="B42" s="43" t="s">
        <v>396</v>
      </c>
      <c r="C42" s="32" t="s">
        <v>9</v>
      </c>
      <c r="D42" s="32" t="s">
        <v>395</v>
      </c>
      <c r="E42" s="33">
        <v>18</v>
      </c>
      <c r="F42" s="34"/>
      <c r="G42" s="35">
        <f t="shared" si="0"/>
        <v>0</v>
      </c>
    </row>
    <row r="43" spans="2:7" ht="21.9" hidden="1" customHeight="1" outlineLevel="1">
      <c r="B43" s="43" t="s">
        <v>397</v>
      </c>
      <c r="C43" s="32" t="s">
        <v>9</v>
      </c>
      <c r="D43" s="32" t="s">
        <v>398</v>
      </c>
      <c r="E43" s="33">
        <v>288</v>
      </c>
      <c r="F43" s="34"/>
      <c r="G43" s="35">
        <f t="shared" si="0"/>
        <v>0</v>
      </c>
    </row>
    <row r="44" spans="2:7" ht="21.9" hidden="1" customHeight="1" outlineLevel="1">
      <c r="B44" s="43" t="s">
        <v>399</v>
      </c>
      <c r="C44" s="32" t="s">
        <v>9</v>
      </c>
      <c r="D44" s="32" t="s">
        <v>400</v>
      </c>
      <c r="E44" s="33">
        <v>144</v>
      </c>
      <c r="F44" s="34"/>
      <c r="G44" s="35">
        <f t="shared" si="0"/>
        <v>0</v>
      </c>
    </row>
    <row r="45" spans="2:7" ht="33" hidden="1" customHeight="1" outlineLevel="1">
      <c r="B45" s="43" t="s">
        <v>401</v>
      </c>
      <c r="C45" s="32" t="s">
        <v>9</v>
      </c>
      <c r="D45" s="32" t="s">
        <v>402</v>
      </c>
      <c r="E45" s="33">
        <v>480</v>
      </c>
      <c r="F45" s="34"/>
      <c r="G45" s="35">
        <f>F45*E45</f>
        <v>0</v>
      </c>
    </row>
    <row r="46" spans="2:7" ht="33" hidden="1" customHeight="1" outlineLevel="1">
      <c r="B46" s="43" t="s">
        <v>403</v>
      </c>
      <c r="C46" s="32" t="s">
        <v>9</v>
      </c>
      <c r="D46" s="32" t="s">
        <v>402</v>
      </c>
      <c r="E46" s="33">
        <v>360</v>
      </c>
      <c r="F46" s="34"/>
      <c r="G46" s="35">
        <f>F46*E46</f>
        <v>0</v>
      </c>
    </row>
    <row r="47" spans="2:7" ht="21.9" hidden="1" customHeight="1" outlineLevel="1">
      <c r="B47" s="43" t="s">
        <v>404</v>
      </c>
      <c r="C47" s="32" t="s">
        <v>9</v>
      </c>
      <c r="D47" s="32" t="s">
        <v>402</v>
      </c>
      <c r="E47" s="33">
        <v>60</v>
      </c>
      <c r="F47" s="34"/>
      <c r="G47" s="35">
        <f t="shared" si="0"/>
        <v>0</v>
      </c>
    </row>
    <row r="48" spans="2:7" ht="21.9" hidden="1" customHeight="1" outlineLevel="1">
      <c r="B48" s="43" t="s">
        <v>405</v>
      </c>
      <c r="C48" s="32" t="s">
        <v>9</v>
      </c>
      <c r="D48" s="32" t="s">
        <v>402</v>
      </c>
      <c r="E48" s="33">
        <v>120</v>
      </c>
      <c r="F48" s="34"/>
      <c r="G48" s="35">
        <f t="shared" si="0"/>
        <v>0</v>
      </c>
    </row>
    <row r="49" spans="2:7" ht="21.9" hidden="1" customHeight="1" outlineLevel="1">
      <c r="B49" s="43" t="s">
        <v>406</v>
      </c>
      <c r="C49" s="32" t="s">
        <v>9</v>
      </c>
      <c r="D49" s="32" t="s">
        <v>402</v>
      </c>
      <c r="E49" s="33">
        <v>60</v>
      </c>
      <c r="F49" s="34"/>
      <c r="G49" s="35">
        <f t="shared" ref="G49:G64" si="2">F49*E49</f>
        <v>0</v>
      </c>
    </row>
    <row r="50" spans="2:7" ht="21.9" hidden="1" customHeight="1" outlineLevel="1">
      <c r="B50" s="43" t="s">
        <v>407</v>
      </c>
      <c r="C50" s="32" t="s">
        <v>9</v>
      </c>
      <c r="D50" s="32" t="s">
        <v>402</v>
      </c>
      <c r="E50" s="33">
        <v>60</v>
      </c>
      <c r="F50" s="34"/>
      <c r="G50" s="35">
        <f t="shared" si="2"/>
        <v>0</v>
      </c>
    </row>
    <row r="51" spans="2:7" ht="21.9" hidden="1" customHeight="1" outlineLevel="1">
      <c r="B51" s="43" t="s">
        <v>387</v>
      </c>
      <c r="C51" s="32" t="s">
        <v>9</v>
      </c>
      <c r="D51" s="32" t="s">
        <v>402</v>
      </c>
      <c r="E51" s="33">
        <v>60</v>
      </c>
      <c r="F51" s="34"/>
      <c r="G51" s="35">
        <f t="shared" si="2"/>
        <v>0</v>
      </c>
    </row>
    <row r="52" spans="2:7" ht="21.9" hidden="1" customHeight="1" outlineLevel="1">
      <c r="B52" s="43" t="s">
        <v>408</v>
      </c>
      <c r="C52" s="32" t="s">
        <v>9</v>
      </c>
      <c r="D52" s="32" t="s">
        <v>402</v>
      </c>
      <c r="E52" s="33">
        <v>120</v>
      </c>
      <c r="F52" s="34"/>
      <c r="G52" s="35">
        <f t="shared" si="2"/>
        <v>0</v>
      </c>
    </row>
    <row r="53" spans="2:7" ht="21.9" hidden="1" customHeight="1" outlineLevel="1">
      <c r="B53" s="43" t="s">
        <v>409</v>
      </c>
      <c r="C53" s="32" t="s">
        <v>9</v>
      </c>
      <c r="D53" s="32" t="s">
        <v>402</v>
      </c>
      <c r="E53" s="33">
        <v>120</v>
      </c>
      <c r="F53" s="34"/>
      <c r="G53" s="35">
        <f t="shared" si="2"/>
        <v>0</v>
      </c>
    </row>
    <row r="54" spans="2:7" ht="21.9" hidden="1" customHeight="1" outlineLevel="1">
      <c r="B54" s="43" t="s">
        <v>410</v>
      </c>
      <c r="C54" s="32" t="s">
        <v>9</v>
      </c>
      <c r="D54" s="32" t="s">
        <v>402</v>
      </c>
      <c r="E54" s="33">
        <v>120</v>
      </c>
      <c r="F54" s="34"/>
      <c r="G54" s="35">
        <f t="shared" si="2"/>
        <v>0</v>
      </c>
    </row>
    <row r="55" spans="2:7" ht="21.9" hidden="1" customHeight="1" outlineLevel="1">
      <c r="B55" s="43" t="s">
        <v>411</v>
      </c>
      <c r="C55" s="32" t="s">
        <v>9</v>
      </c>
      <c r="D55" s="32" t="s">
        <v>402</v>
      </c>
      <c r="E55" s="33">
        <v>240</v>
      </c>
      <c r="F55" s="34"/>
      <c r="G55" s="35">
        <f t="shared" si="2"/>
        <v>0</v>
      </c>
    </row>
    <row r="56" spans="2:7" ht="21.9" hidden="1" customHeight="1" outlineLevel="1">
      <c r="B56" s="43" t="s">
        <v>412</v>
      </c>
      <c r="C56" s="32" t="s">
        <v>9</v>
      </c>
      <c r="D56" s="32" t="s">
        <v>402</v>
      </c>
      <c r="E56" s="33">
        <v>800</v>
      </c>
      <c r="F56" s="34"/>
      <c r="G56" s="35">
        <f t="shared" si="2"/>
        <v>0</v>
      </c>
    </row>
    <row r="57" spans="2:7" ht="21.9" hidden="1" customHeight="1" outlineLevel="1">
      <c r="B57" s="43" t="s">
        <v>413</v>
      </c>
      <c r="C57" s="32" t="s">
        <v>9</v>
      </c>
      <c r="D57" s="32" t="s">
        <v>414</v>
      </c>
      <c r="E57" s="33">
        <v>144</v>
      </c>
      <c r="F57" s="34"/>
      <c r="G57" s="35">
        <f t="shared" ref="G57:G63" si="3">F57*E57</f>
        <v>0</v>
      </c>
    </row>
    <row r="58" spans="2:7" ht="21.9" hidden="1" customHeight="1" outlineLevel="1">
      <c r="B58" s="43" t="s">
        <v>415</v>
      </c>
      <c r="C58" s="32" t="s">
        <v>9</v>
      </c>
      <c r="D58" s="32" t="s">
        <v>416</v>
      </c>
      <c r="E58" s="33">
        <v>480</v>
      </c>
      <c r="F58" s="34"/>
      <c r="G58" s="35">
        <f t="shared" si="3"/>
        <v>0</v>
      </c>
    </row>
    <row r="59" spans="2:7" ht="21.9" hidden="1" customHeight="1" outlineLevel="1">
      <c r="B59" s="43" t="s">
        <v>417</v>
      </c>
      <c r="C59" s="32" t="s">
        <v>9</v>
      </c>
      <c r="D59" s="32" t="s">
        <v>416</v>
      </c>
      <c r="E59" s="33">
        <v>60</v>
      </c>
      <c r="F59" s="34"/>
      <c r="G59" s="35">
        <f t="shared" si="3"/>
        <v>0</v>
      </c>
    </row>
    <row r="60" spans="2:7" ht="21.9" hidden="1" customHeight="1" outlineLevel="1">
      <c r="B60" s="43" t="s">
        <v>418</v>
      </c>
      <c r="C60" s="32" t="s">
        <v>9</v>
      </c>
      <c r="D60" s="32" t="s">
        <v>419</v>
      </c>
      <c r="E60" s="33">
        <v>480</v>
      </c>
      <c r="F60" s="34"/>
      <c r="G60" s="35">
        <f t="shared" si="3"/>
        <v>0</v>
      </c>
    </row>
    <row r="61" spans="2:7" ht="21.9" hidden="1" customHeight="1" outlineLevel="1">
      <c r="B61" s="43" t="s">
        <v>420</v>
      </c>
      <c r="C61" s="32" t="s">
        <v>9</v>
      </c>
      <c r="D61" s="32" t="s">
        <v>421</v>
      </c>
      <c r="E61" s="33">
        <v>1200</v>
      </c>
      <c r="F61" s="34"/>
      <c r="G61" s="35">
        <f t="shared" si="3"/>
        <v>0</v>
      </c>
    </row>
    <row r="62" spans="2:7" ht="21.9" hidden="1" customHeight="1" outlineLevel="1">
      <c r="B62" s="43" t="s">
        <v>422</v>
      </c>
      <c r="C62" s="32" t="s">
        <v>9</v>
      </c>
      <c r="D62" s="32" t="s">
        <v>421</v>
      </c>
      <c r="E62" s="33">
        <v>180</v>
      </c>
      <c r="F62" s="34"/>
      <c r="G62" s="35">
        <f t="shared" si="3"/>
        <v>0</v>
      </c>
    </row>
    <row r="63" spans="2:7" ht="21.9" hidden="1" customHeight="1" outlineLevel="1">
      <c r="B63" s="43" t="s">
        <v>423</v>
      </c>
      <c r="C63" s="32" t="s">
        <v>9</v>
      </c>
      <c r="D63" s="32" t="s">
        <v>421</v>
      </c>
      <c r="E63" s="33">
        <v>240</v>
      </c>
      <c r="F63" s="34"/>
      <c r="G63" s="35">
        <f t="shared" si="3"/>
        <v>0</v>
      </c>
    </row>
    <row r="64" spans="2:7" ht="21.9" hidden="1" customHeight="1" outlineLevel="1">
      <c r="B64" s="43" t="s">
        <v>424</v>
      </c>
      <c r="C64" s="32" t="s">
        <v>9</v>
      </c>
      <c r="D64" s="32" t="s">
        <v>421</v>
      </c>
      <c r="E64" s="33">
        <v>360</v>
      </c>
      <c r="F64" s="34"/>
      <c r="G64" s="35">
        <f t="shared" si="2"/>
        <v>0</v>
      </c>
    </row>
    <row r="65" spans="2:7" ht="21.9" hidden="1" customHeight="1" outlineLevel="1">
      <c r="B65" s="43" t="s">
        <v>425</v>
      </c>
      <c r="C65" s="32" t="s">
        <v>9</v>
      </c>
      <c r="D65" s="32" t="s">
        <v>421</v>
      </c>
      <c r="E65" s="33">
        <v>720</v>
      </c>
      <c r="F65" s="34"/>
      <c r="G65" s="35">
        <f t="shared" si="0"/>
        <v>0</v>
      </c>
    </row>
    <row r="66" spans="2:7" ht="21.9" hidden="1" customHeight="1" outlineLevel="1">
      <c r="B66" s="43" t="s">
        <v>426</v>
      </c>
      <c r="C66" s="32" t="s">
        <v>9</v>
      </c>
      <c r="D66" s="32" t="s">
        <v>421</v>
      </c>
      <c r="E66" s="33">
        <v>840</v>
      </c>
      <c r="F66" s="34"/>
      <c r="G66" s="35">
        <f t="shared" si="0"/>
        <v>0</v>
      </c>
    </row>
    <row r="67" spans="2:7" ht="21.9" hidden="1" customHeight="1" outlineLevel="1">
      <c r="B67" s="43" t="s">
        <v>427</v>
      </c>
      <c r="C67" s="32" t="s">
        <v>9</v>
      </c>
      <c r="D67" s="32" t="s">
        <v>428</v>
      </c>
      <c r="E67" s="33">
        <v>240</v>
      </c>
      <c r="F67" s="34"/>
      <c r="G67" s="35">
        <f t="shared" si="0"/>
        <v>0</v>
      </c>
    </row>
    <row r="68" spans="2:7" ht="21.9" hidden="1" customHeight="1" outlineLevel="1">
      <c r="B68" s="43" t="s">
        <v>429</v>
      </c>
      <c r="C68" s="32" t="s">
        <v>9</v>
      </c>
      <c r="D68" s="32" t="s">
        <v>428</v>
      </c>
      <c r="E68" s="33">
        <v>240</v>
      </c>
      <c r="F68" s="34"/>
      <c r="G68" s="35">
        <f t="shared" si="0"/>
        <v>0</v>
      </c>
    </row>
    <row r="69" spans="2:7" ht="21.9" hidden="1" customHeight="1" outlineLevel="1">
      <c r="B69" s="43" t="s">
        <v>430</v>
      </c>
      <c r="C69" s="32" t="s">
        <v>9</v>
      </c>
      <c r="D69" s="32" t="s">
        <v>428</v>
      </c>
      <c r="E69" s="33">
        <v>240</v>
      </c>
      <c r="F69" s="34"/>
      <c r="G69" s="35">
        <f t="shared" si="0"/>
        <v>0</v>
      </c>
    </row>
    <row r="70" spans="2:7" ht="21.9" hidden="1" customHeight="1" outlineLevel="1">
      <c r="B70" s="43" t="s">
        <v>431</v>
      </c>
      <c r="C70" s="32" t="s">
        <v>9</v>
      </c>
      <c r="D70" s="32" t="s">
        <v>432</v>
      </c>
      <c r="E70" s="33">
        <v>3200</v>
      </c>
      <c r="F70" s="34"/>
      <c r="G70" s="35">
        <f t="shared" si="0"/>
        <v>0</v>
      </c>
    </row>
    <row r="71" spans="2:7" ht="21.9" hidden="1" customHeight="1" outlineLevel="1">
      <c r="B71" s="43" t="s">
        <v>433</v>
      </c>
      <c r="C71" s="32" t="s">
        <v>9</v>
      </c>
      <c r="D71" s="32" t="s">
        <v>432</v>
      </c>
      <c r="E71" s="33">
        <v>800</v>
      </c>
      <c r="F71" s="34"/>
      <c r="G71" s="35">
        <f t="shared" si="0"/>
        <v>0</v>
      </c>
    </row>
    <row r="72" spans="2:7" ht="21.9" hidden="1" customHeight="1" outlineLevel="1">
      <c r="B72" s="43" t="s">
        <v>434</v>
      </c>
      <c r="C72" s="32" t="s">
        <v>9</v>
      </c>
      <c r="D72" s="32" t="s">
        <v>432</v>
      </c>
      <c r="E72" s="33">
        <v>800</v>
      </c>
      <c r="F72" s="34"/>
      <c r="G72" s="35">
        <f>F72*E72</f>
        <v>0</v>
      </c>
    </row>
    <row r="73" spans="2:7" ht="21.9" hidden="1" customHeight="1" outlineLevel="1">
      <c r="B73" s="43" t="s">
        <v>435</v>
      </c>
      <c r="C73" s="32" t="s">
        <v>9</v>
      </c>
      <c r="D73" s="32" t="s">
        <v>436</v>
      </c>
      <c r="E73" s="33">
        <v>800</v>
      </c>
      <c r="F73" s="34"/>
      <c r="G73" s="35">
        <f t="shared" si="0"/>
        <v>0</v>
      </c>
    </row>
    <row r="74" spans="2:7" ht="21.9" hidden="1" customHeight="1" outlineLevel="1">
      <c r="B74" s="43" t="s">
        <v>437</v>
      </c>
      <c r="C74" s="32" t="s">
        <v>9</v>
      </c>
      <c r="D74" s="32" t="s">
        <v>438</v>
      </c>
      <c r="E74" s="33">
        <v>100</v>
      </c>
      <c r="F74" s="34"/>
      <c r="G74" s="35">
        <f t="shared" si="0"/>
        <v>0</v>
      </c>
    </row>
    <row r="75" spans="2:7" ht="21.9" hidden="1" customHeight="1" outlineLevel="1">
      <c r="B75" s="43" t="s">
        <v>439</v>
      </c>
      <c r="C75" s="32" t="s">
        <v>9</v>
      </c>
      <c r="D75" s="32" t="s">
        <v>438</v>
      </c>
      <c r="E75" s="33">
        <v>800</v>
      </c>
      <c r="F75" s="34"/>
      <c r="G75" s="35">
        <f t="shared" ref="G75:G80" si="4">F75*E75</f>
        <v>0</v>
      </c>
    </row>
    <row r="76" spans="2:7" ht="21.9" hidden="1" customHeight="1" outlineLevel="1">
      <c r="B76" s="43" t="s">
        <v>440</v>
      </c>
      <c r="C76" s="32" t="s">
        <v>9</v>
      </c>
      <c r="D76" s="32" t="s">
        <v>438</v>
      </c>
      <c r="E76" s="33">
        <v>400</v>
      </c>
      <c r="F76" s="34"/>
      <c r="G76" s="35">
        <f t="shared" si="4"/>
        <v>0</v>
      </c>
    </row>
    <row r="77" spans="2:7" ht="21.9" hidden="1" customHeight="1" outlineLevel="1">
      <c r="B77" s="43" t="s">
        <v>441</v>
      </c>
      <c r="C77" s="32" t="s">
        <v>9</v>
      </c>
      <c r="D77" s="32" t="s">
        <v>438</v>
      </c>
      <c r="E77" s="33">
        <v>400</v>
      </c>
      <c r="F77" s="34"/>
      <c r="G77" s="35">
        <f t="shared" si="4"/>
        <v>0</v>
      </c>
    </row>
    <row r="78" spans="2:7" ht="21.9" hidden="1" customHeight="1" outlineLevel="1">
      <c r="B78" s="43" t="s">
        <v>442</v>
      </c>
      <c r="C78" s="32" t="s">
        <v>9</v>
      </c>
      <c r="D78" s="32" t="s">
        <v>438</v>
      </c>
      <c r="E78" s="33">
        <v>100</v>
      </c>
      <c r="F78" s="34"/>
      <c r="G78" s="35">
        <f t="shared" si="4"/>
        <v>0</v>
      </c>
    </row>
    <row r="79" spans="2:7" ht="21.9" hidden="1" customHeight="1" outlineLevel="1">
      <c r="B79" s="43" t="s">
        <v>443</v>
      </c>
      <c r="C79" s="32" t="s">
        <v>9</v>
      </c>
      <c r="D79" s="32" t="s">
        <v>438</v>
      </c>
      <c r="E79" s="33">
        <v>1800</v>
      </c>
      <c r="F79" s="34"/>
      <c r="G79" s="35">
        <f t="shared" si="4"/>
        <v>0</v>
      </c>
    </row>
    <row r="80" spans="2:7" ht="21.9" hidden="1" customHeight="1" outlineLevel="1">
      <c r="B80" s="43" t="s">
        <v>444</v>
      </c>
      <c r="C80" s="32" t="s">
        <v>445</v>
      </c>
      <c r="D80" s="32" t="s">
        <v>446</v>
      </c>
      <c r="E80" s="33">
        <v>100</v>
      </c>
      <c r="F80" s="34"/>
      <c r="G80" s="35">
        <f t="shared" si="4"/>
        <v>0</v>
      </c>
    </row>
    <row r="81" spans="2:7" ht="21.9" customHeight="1" outlineLevel="1" thickBot="1">
      <c r="B81" s="44"/>
      <c r="C81" s="36"/>
      <c r="D81" s="36"/>
      <c r="E81" s="37"/>
      <c r="F81" s="38"/>
      <c r="G81" s="39">
        <f t="shared" si="0"/>
        <v>0</v>
      </c>
    </row>
    <row r="82" spans="2:7" ht="28.5" customHeight="1" thickBot="1">
      <c r="B82" s="765" t="s">
        <v>367</v>
      </c>
      <c r="C82" s="766"/>
      <c r="D82" s="766"/>
      <c r="E82" s="777"/>
      <c r="F82" s="40"/>
      <c r="G82" s="41">
        <f>SUM(G4:G81)</f>
        <v>426</v>
      </c>
    </row>
  </sheetData>
  <autoFilter ref="B3:E82" xr:uid="{4A071504-B0A6-406D-AC01-1AD1B2CFC070}">
    <filterColumn colId="1">
      <filters blank="1">
        <filter val="ALUMAR"/>
      </filters>
    </filterColumn>
    <filterColumn colId="2">
      <filters blank="1">
        <filter val="INTEGRAÇÃO PARA NOVOS FUNCIONÁRIOS"/>
      </filters>
    </filterColumn>
  </autoFilter>
  <mergeCells count="3">
    <mergeCell ref="B1:G1"/>
    <mergeCell ref="F2:G2"/>
    <mergeCell ref="B82:E82"/>
  </mergeCells>
  <pageMargins left="0.75" right="0.75" top="1" bottom="1" header="0.5" footer="0.5"/>
  <pageSetup paperSize="9" scale="61" orientation="portrait" horizontalDpi="4294967292" verticalDpi="4294967292"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F4798-DE54-4712-8CCA-93BDEC5E1A57}">
  <sheetPr>
    <tabColor rgb="FFA3DCDB"/>
  </sheetPr>
  <dimension ref="B1:H82"/>
  <sheetViews>
    <sheetView showGridLines="0" topLeftCell="C1" zoomScaleNormal="100" zoomScaleSheetLayoutView="115" zoomScalePageLayoutView="175" workbookViewId="0">
      <pane ySplit="1" topLeftCell="A2" activePane="bottomLeft" state="frozen"/>
      <selection activeCell="B1" sqref="B1:L1"/>
      <selection pane="bottomLeft" activeCell="D6" sqref="D6"/>
    </sheetView>
  </sheetViews>
  <sheetFormatPr defaultColWidth="11.44140625" defaultRowHeight="16.2"/>
  <cols>
    <col min="1" max="1" width="1.33203125" style="2" customWidth="1"/>
    <col min="2" max="2" width="71.33203125" style="27" customWidth="1"/>
    <col min="3" max="3" width="17.44140625" style="27" customWidth="1"/>
    <col min="4" max="4" width="6.6640625" style="2" customWidth="1"/>
    <col min="5" max="5" width="54.5546875" style="3" customWidth="1"/>
    <col min="6" max="6" width="8.6640625" style="2" customWidth="1"/>
    <col min="7" max="7" width="12" style="2" customWidth="1"/>
    <col min="8" max="8" width="14.6640625" style="2" customWidth="1"/>
    <col min="9" max="16384" width="11.44140625" style="2"/>
  </cols>
  <sheetData>
    <row r="1" spans="2:8" ht="39.9" customHeight="1" thickBot="1">
      <c r="B1" s="779" t="s">
        <v>447</v>
      </c>
      <c r="C1" s="779"/>
      <c r="D1" s="779"/>
      <c r="E1" s="779"/>
      <c r="F1" s="779"/>
      <c r="G1" s="779"/>
      <c r="H1" s="779"/>
    </row>
    <row r="2" spans="2:8" ht="24" customHeight="1" thickBot="1">
      <c r="B2" s="778" t="s">
        <v>448</v>
      </c>
      <c r="C2" s="778"/>
      <c r="E2" s="311" t="s">
        <v>449</v>
      </c>
      <c r="F2" s="312" t="s">
        <v>450</v>
      </c>
      <c r="G2" s="312" t="s">
        <v>372</v>
      </c>
      <c r="H2" s="313" t="s">
        <v>367</v>
      </c>
    </row>
    <row r="3" spans="2:8" ht="24" customHeight="1">
      <c r="B3" s="507" t="s">
        <v>451</v>
      </c>
      <c r="C3" s="507" t="s">
        <v>452</v>
      </c>
      <c r="E3" s="46" t="s">
        <v>453</v>
      </c>
      <c r="F3" s="47">
        <v>1</v>
      </c>
      <c r="G3" s="48">
        <v>400</v>
      </c>
      <c r="H3" s="49">
        <f>G3*F3</f>
        <v>400</v>
      </c>
    </row>
    <row r="4" spans="2:8" ht="24" customHeight="1">
      <c r="B4" s="508" t="s">
        <v>454</v>
      </c>
      <c r="C4" s="509">
        <v>18</v>
      </c>
      <c r="E4" s="50" t="s">
        <v>455</v>
      </c>
      <c r="F4" s="51">
        <v>0</v>
      </c>
      <c r="G4" s="6">
        <v>400</v>
      </c>
      <c r="H4" s="7">
        <f>G4*F4</f>
        <v>0</v>
      </c>
    </row>
    <row r="5" spans="2:8" ht="24" customHeight="1" thickBot="1">
      <c r="B5" s="508" t="s">
        <v>456</v>
      </c>
      <c r="C5" s="509">
        <v>40</v>
      </c>
      <c r="E5" s="52" t="s">
        <v>457</v>
      </c>
      <c r="F5" s="53">
        <v>1</v>
      </c>
      <c r="G5" s="8">
        <v>200</v>
      </c>
      <c r="H5" s="9">
        <f>G5*F5</f>
        <v>200</v>
      </c>
    </row>
    <row r="6" spans="2:8" ht="24" customHeight="1" thickBot="1">
      <c r="B6" s="508" t="s">
        <v>458</v>
      </c>
      <c r="C6" s="509">
        <v>65</v>
      </c>
      <c r="E6" s="782" t="s">
        <v>459</v>
      </c>
      <c r="F6" s="783"/>
      <c r="G6" s="784"/>
      <c r="H6" s="45">
        <f>SUM(H3:H5)</f>
        <v>600</v>
      </c>
    </row>
    <row r="7" spans="2:8" ht="24" customHeight="1">
      <c r="B7" s="508" t="s">
        <v>460</v>
      </c>
      <c r="C7" s="509">
        <v>25</v>
      </c>
    </row>
    <row r="8" spans="2:8" ht="24" customHeight="1">
      <c r="B8" s="508" t="s">
        <v>461</v>
      </c>
      <c r="C8" s="509">
        <v>27.5</v>
      </c>
      <c r="E8" s="778" t="s">
        <v>462</v>
      </c>
      <c r="F8" s="778"/>
      <c r="G8" s="778"/>
      <c r="H8" s="778"/>
    </row>
    <row r="9" spans="2:8" s="1" customFormat="1" ht="24" customHeight="1">
      <c r="B9" s="508" t="s">
        <v>463</v>
      </c>
      <c r="C9" s="509">
        <v>70</v>
      </c>
      <c r="E9" s="780" t="s">
        <v>464</v>
      </c>
      <c r="F9" s="780"/>
      <c r="G9" s="780"/>
      <c r="H9" s="510">
        <f>SUM(H10:H13)</f>
        <v>1580</v>
      </c>
    </row>
    <row r="10" spans="2:8" ht="24" customHeight="1">
      <c r="B10" s="511" t="s">
        <v>465</v>
      </c>
      <c r="C10" s="509">
        <v>40</v>
      </c>
      <c r="E10" s="781" t="s">
        <v>466</v>
      </c>
      <c r="F10" s="781"/>
      <c r="G10" s="781"/>
      <c r="H10" s="512">
        <v>380</v>
      </c>
    </row>
    <row r="11" spans="2:8" ht="24" customHeight="1">
      <c r="B11" s="508" t="s">
        <v>467</v>
      </c>
      <c r="C11" s="509">
        <v>54.5</v>
      </c>
      <c r="E11" s="781" t="s">
        <v>468</v>
      </c>
      <c r="F11" s="781"/>
      <c r="G11" s="781"/>
      <c r="H11" s="512">
        <v>600</v>
      </c>
    </row>
    <row r="12" spans="2:8" ht="24" customHeight="1">
      <c r="B12" s="508" t="s">
        <v>469</v>
      </c>
      <c r="C12" s="509">
        <v>190</v>
      </c>
      <c r="E12" s="781" t="s">
        <v>470</v>
      </c>
      <c r="F12" s="781"/>
      <c r="G12" s="781"/>
      <c r="H12" s="512">
        <v>300</v>
      </c>
    </row>
    <row r="13" spans="2:8" ht="24" customHeight="1">
      <c r="B13" s="508" t="s">
        <v>471</v>
      </c>
      <c r="C13" s="509">
        <v>85</v>
      </c>
      <c r="E13" s="781" t="s">
        <v>472</v>
      </c>
      <c r="F13" s="781"/>
      <c r="G13" s="781"/>
      <c r="H13" s="512">
        <v>300</v>
      </c>
    </row>
    <row r="14" spans="2:8" s="1" customFormat="1" ht="24" customHeight="1">
      <c r="B14" s="508" t="s">
        <v>473</v>
      </c>
      <c r="C14" s="509">
        <v>85</v>
      </c>
      <c r="E14" s="780" t="s">
        <v>474</v>
      </c>
      <c r="F14" s="780"/>
      <c r="G14" s="780"/>
      <c r="H14" s="513">
        <f>SUM(H15:H18)</f>
        <v>1950</v>
      </c>
    </row>
    <row r="15" spans="2:8" ht="24" customHeight="1">
      <c r="B15" s="508" t="s">
        <v>475</v>
      </c>
      <c r="C15" s="509">
        <v>28</v>
      </c>
      <c r="E15" s="781" t="s">
        <v>466</v>
      </c>
      <c r="F15" s="781"/>
      <c r="G15" s="781"/>
      <c r="H15" s="512">
        <v>450</v>
      </c>
    </row>
    <row r="16" spans="2:8" ht="24" customHeight="1">
      <c r="B16" s="508" t="s">
        <v>476</v>
      </c>
      <c r="C16" s="509">
        <v>45</v>
      </c>
      <c r="E16" s="781" t="s">
        <v>468</v>
      </c>
      <c r="F16" s="781"/>
      <c r="G16" s="781"/>
      <c r="H16" s="512">
        <v>800</v>
      </c>
    </row>
    <row r="17" spans="2:8" ht="24" customHeight="1">
      <c r="B17" s="508" t="s">
        <v>477</v>
      </c>
      <c r="C17" s="509">
        <v>24.5</v>
      </c>
      <c r="E17" s="781" t="s">
        <v>470</v>
      </c>
      <c r="F17" s="781"/>
      <c r="G17" s="781"/>
      <c r="H17" s="512">
        <v>350</v>
      </c>
    </row>
    <row r="18" spans="2:8" ht="24" customHeight="1">
      <c r="B18" s="508" t="s">
        <v>478</v>
      </c>
      <c r="C18" s="509">
        <v>38.5</v>
      </c>
      <c r="E18" s="781" t="s">
        <v>472</v>
      </c>
      <c r="F18" s="781"/>
      <c r="G18" s="781"/>
      <c r="H18" s="512">
        <v>350</v>
      </c>
    </row>
    <row r="19" spans="2:8" s="1" customFormat="1" ht="24" customHeight="1">
      <c r="B19" s="508" t="s">
        <v>479</v>
      </c>
      <c r="C19" s="509">
        <v>7.5</v>
      </c>
      <c r="E19" s="780" t="s">
        <v>480</v>
      </c>
      <c r="F19" s="780"/>
      <c r="G19" s="780"/>
      <c r="H19" s="514">
        <f>SUM(H20:H23)</f>
        <v>2300</v>
      </c>
    </row>
    <row r="20" spans="2:8" ht="24" customHeight="1">
      <c r="B20" s="508" t="s">
        <v>481</v>
      </c>
      <c r="C20" s="509">
        <v>22</v>
      </c>
      <c r="E20" s="781" t="s">
        <v>466</v>
      </c>
      <c r="F20" s="781"/>
      <c r="G20" s="781"/>
      <c r="H20" s="512">
        <v>500</v>
      </c>
    </row>
    <row r="21" spans="2:8" ht="24" customHeight="1">
      <c r="B21" s="508" t="s">
        <v>482</v>
      </c>
      <c r="C21" s="509">
        <v>12.5</v>
      </c>
      <c r="E21" s="781" t="s">
        <v>468</v>
      </c>
      <c r="F21" s="781"/>
      <c r="G21" s="781"/>
      <c r="H21" s="512">
        <v>1000</v>
      </c>
    </row>
    <row r="22" spans="2:8" ht="24" customHeight="1">
      <c r="B22" s="508" t="s">
        <v>483</v>
      </c>
      <c r="C22" s="509">
        <v>10.5</v>
      </c>
      <c r="E22" s="781" t="s">
        <v>470</v>
      </c>
      <c r="F22" s="781"/>
      <c r="G22" s="781"/>
      <c r="H22" s="512">
        <v>400</v>
      </c>
    </row>
    <row r="23" spans="2:8" ht="24" customHeight="1">
      <c r="B23" s="508" t="s">
        <v>484</v>
      </c>
      <c r="C23" s="509">
        <v>10.5</v>
      </c>
      <c r="E23" s="781" t="s">
        <v>472</v>
      </c>
      <c r="F23" s="781"/>
      <c r="G23" s="781"/>
      <c r="H23" s="512">
        <v>400</v>
      </c>
    </row>
    <row r="24" spans="2:8" s="1" customFormat="1" ht="24" customHeight="1">
      <c r="B24" s="508" t="s">
        <v>485</v>
      </c>
      <c r="C24" s="509">
        <v>7.5</v>
      </c>
      <c r="E24" s="780" t="s">
        <v>486</v>
      </c>
      <c r="F24" s="780"/>
      <c r="G24" s="780"/>
      <c r="H24" s="510">
        <f>SUM(H25:H28)</f>
        <v>2850</v>
      </c>
    </row>
    <row r="25" spans="2:8" ht="24" customHeight="1">
      <c r="B25" s="508" t="s">
        <v>487</v>
      </c>
      <c r="C25" s="509">
        <v>26.5</v>
      </c>
      <c r="E25" s="781" t="s">
        <v>466</v>
      </c>
      <c r="F25" s="781"/>
      <c r="G25" s="781"/>
      <c r="H25" s="512">
        <v>700</v>
      </c>
    </row>
    <row r="26" spans="2:8" ht="24" customHeight="1">
      <c r="B26" s="508" t="s">
        <v>488</v>
      </c>
      <c r="C26" s="509">
        <v>26.5</v>
      </c>
      <c r="E26" s="781" t="s">
        <v>468</v>
      </c>
      <c r="F26" s="781"/>
      <c r="G26" s="781"/>
      <c r="H26" s="512">
        <v>1250</v>
      </c>
    </row>
    <row r="27" spans="2:8" ht="24" customHeight="1">
      <c r="B27" s="508" t="s">
        <v>489</v>
      </c>
      <c r="C27" s="509">
        <v>13.5</v>
      </c>
      <c r="E27" s="781" t="s">
        <v>470</v>
      </c>
      <c r="F27" s="781"/>
      <c r="G27" s="781"/>
      <c r="H27" s="512">
        <v>450</v>
      </c>
    </row>
    <row r="28" spans="2:8" ht="24" customHeight="1">
      <c r="B28" s="508" t="s">
        <v>490</v>
      </c>
      <c r="C28" s="509">
        <v>48</v>
      </c>
      <c r="E28" s="781" t="s">
        <v>472</v>
      </c>
      <c r="F28" s="781"/>
      <c r="G28" s="781"/>
      <c r="H28" s="512">
        <v>450</v>
      </c>
    </row>
    <row r="29" spans="2:8" ht="24" customHeight="1">
      <c r="B29" s="508" t="s">
        <v>491</v>
      </c>
      <c r="C29" s="509">
        <v>78</v>
      </c>
    </row>
    <row r="30" spans="2:8" ht="24" customHeight="1">
      <c r="B30" s="508" t="s">
        <v>492</v>
      </c>
      <c r="C30" s="509">
        <v>85</v>
      </c>
    </row>
    <row r="31" spans="2:8" ht="24" customHeight="1">
      <c r="B31" s="511" t="s">
        <v>493</v>
      </c>
      <c r="C31" s="509">
        <v>85</v>
      </c>
    </row>
    <row r="32" spans="2:8" ht="24" customHeight="1">
      <c r="B32" s="508" t="s">
        <v>494</v>
      </c>
      <c r="C32" s="509">
        <v>40</v>
      </c>
    </row>
    <row r="33" spans="2:3" ht="24" customHeight="1">
      <c r="B33" s="508" t="s">
        <v>495</v>
      </c>
      <c r="C33" s="509">
        <v>40</v>
      </c>
    </row>
    <row r="34" spans="2:3" ht="24" customHeight="1">
      <c r="B34" s="508" t="s">
        <v>496</v>
      </c>
      <c r="C34" s="509">
        <v>35</v>
      </c>
    </row>
    <row r="35" spans="2:3" ht="24" customHeight="1">
      <c r="B35" s="508" t="s">
        <v>497</v>
      </c>
      <c r="C35" s="509">
        <v>45</v>
      </c>
    </row>
    <row r="36" spans="2:3" ht="24" customHeight="1">
      <c r="B36" s="508" t="s">
        <v>498</v>
      </c>
      <c r="C36" s="509">
        <v>45</v>
      </c>
    </row>
    <row r="37" spans="2:3" ht="24" customHeight="1">
      <c r="B37" s="508" t="s">
        <v>499</v>
      </c>
      <c r="C37" s="509">
        <v>120</v>
      </c>
    </row>
    <row r="38" spans="2:3" ht="24" customHeight="1">
      <c r="B38" s="508" t="s">
        <v>500</v>
      </c>
      <c r="C38" s="509">
        <v>9.6</v>
      </c>
    </row>
    <row r="39" spans="2:3" ht="24" customHeight="1">
      <c r="B39" s="508" t="s">
        <v>501</v>
      </c>
      <c r="C39" s="509">
        <v>9.6</v>
      </c>
    </row>
    <row r="40" spans="2:3" ht="24" customHeight="1">
      <c r="B40" s="508" t="s">
        <v>502</v>
      </c>
      <c r="C40" s="509">
        <v>180</v>
      </c>
    </row>
    <row r="41" spans="2:3" ht="24" customHeight="1">
      <c r="B41" s="508" t="s">
        <v>503</v>
      </c>
      <c r="C41" s="509">
        <v>11.2</v>
      </c>
    </row>
    <row r="42" spans="2:3" ht="24" customHeight="1"/>
    <row r="43" spans="2:3" ht="24" customHeight="1"/>
    <row r="44" spans="2:3" ht="24" customHeight="1"/>
    <row r="45" spans="2:3" ht="24" customHeight="1"/>
    <row r="46" spans="2:3" ht="24" customHeight="1"/>
    <row r="47" spans="2:3" ht="24" customHeight="1"/>
    <row r="48" spans="2:3" ht="24" customHeight="1"/>
    <row r="49" ht="24" customHeight="1"/>
    <row r="50" ht="24" customHeight="1"/>
    <row r="51" ht="24" customHeight="1"/>
    <row r="52" ht="24" customHeight="1"/>
    <row r="53" ht="24" customHeight="1"/>
    <row r="54" ht="24" customHeight="1"/>
    <row r="55" ht="24" customHeight="1"/>
    <row r="56" ht="24" customHeight="1"/>
    <row r="57" ht="24" customHeight="1"/>
    <row r="58" ht="24" customHeight="1"/>
    <row r="59" ht="24" customHeight="1"/>
    <row r="60" ht="24" customHeight="1"/>
    <row r="61" ht="24" customHeight="1"/>
    <row r="62" ht="24" customHeight="1"/>
    <row r="63" ht="24" customHeight="1"/>
    <row r="64" ht="24" customHeight="1"/>
    <row r="65" ht="24" customHeight="1"/>
    <row r="66" ht="24" customHeight="1"/>
    <row r="67" ht="24" customHeight="1"/>
    <row r="68" ht="24" customHeight="1"/>
    <row r="69" ht="24" customHeight="1"/>
    <row r="70" ht="24" customHeight="1"/>
    <row r="71" ht="24" customHeight="1"/>
    <row r="72" ht="24" customHeight="1"/>
    <row r="73" ht="24" customHeight="1"/>
    <row r="74" ht="24" customHeight="1"/>
    <row r="75" ht="24" customHeight="1"/>
    <row r="76" ht="24" customHeight="1"/>
    <row r="77" ht="24" customHeight="1"/>
    <row r="78" ht="24" customHeight="1"/>
    <row r="79" ht="24" customHeight="1"/>
    <row r="80" ht="24" customHeight="1"/>
    <row r="81" ht="24" customHeight="1"/>
    <row r="82" ht="24" customHeight="1"/>
  </sheetData>
  <mergeCells count="24">
    <mergeCell ref="E27:G27"/>
    <mergeCell ref="E28:G28"/>
    <mergeCell ref="E16:G16"/>
    <mergeCell ref="E17:G17"/>
    <mergeCell ref="E18:G18"/>
    <mergeCell ref="E20:G20"/>
    <mergeCell ref="E21:G21"/>
    <mergeCell ref="E22:G22"/>
    <mergeCell ref="E19:G19"/>
    <mergeCell ref="E23:G23"/>
    <mergeCell ref="B2:C2"/>
    <mergeCell ref="B1:H1"/>
    <mergeCell ref="E24:G24"/>
    <mergeCell ref="E25:G25"/>
    <mergeCell ref="E26:G26"/>
    <mergeCell ref="E11:G11"/>
    <mergeCell ref="E12:G12"/>
    <mergeCell ref="E13:G13"/>
    <mergeCell ref="E14:G14"/>
    <mergeCell ref="E15:G15"/>
    <mergeCell ref="E6:G6"/>
    <mergeCell ref="E8:H8"/>
    <mergeCell ref="E9:G9"/>
    <mergeCell ref="E10:G10"/>
  </mergeCells>
  <pageMargins left="0.75" right="0.75" top="1" bottom="1" header="0.5" footer="0.5"/>
  <pageSetup paperSize="9" scale="61" orientation="portrait" horizontalDpi="4294967292" verticalDpi="4294967292" r:id="rId1"/>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Planilha14"/>
  <dimension ref="A1:AT30"/>
  <sheetViews>
    <sheetView showGridLines="0" zoomScaleNormal="100" zoomScaleSheetLayoutView="115" workbookViewId="0">
      <pane ySplit="3" topLeftCell="A17" activePane="bottomLeft" state="frozen"/>
      <selection pane="bottomLeft" activeCell="D25" sqref="D25"/>
    </sheetView>
  </sheetViews>
  <sheetFormatPr defaultColWidth="9.109375" defaultRowHeight="15" customHeight="1"/>
  <cols>
    <col min="1" max="1" width="1.6640625" style="296" customWidth="1"/>
    <col min="2" max="2" width="8.6640625" style="336" customWidth="1"/>
    <col min="3" max="3" width="108.33203125" style="336" customWidth="1"/>
    <col min="4" max="4" width="14.33203125" style="336" customWidth="1"/>
    <col min="5" max="5" width="4.5546875" style="296" hidden="1" customWidth="1"/>
    <col min="6" max="8" width="4.5546875" style="338" hidden="1" customWidth="1"/>
    <col min="9" max="13" width="4.5546875" style="320" hidden="1" customWidth="1"/>
    <col min="14" max="18" width="4.5546875" style="318" hidden="1" customWidth="1"/>
    <col min="19" max="19" width="4.5546875" style="319" hidden="1" customWidth="1"/>
    <col min="20" max="21" width="4.5546875" style="318" hidden="1" customWidth="1"/>
    <col min="22" max="26" width="4.5546875" style="320" hidden="1" customWidth="1"/>
    <col min="27" max="27" width="9.5546875" style="320" customWidth="1"/>
    <col min="28" max="28" width="23.109375" style="320" customWidth="1"/>
    <col min="29" max="29" width="4.6640625" style="320" customWidth="1"/>
    <col min="30" max="30" width="9.88671875" style="320" customWidth="1"/>
    <col min="31" max="43" width="4.6640625" style="320" customWidth="1"/>
    <col min="44" max="46" width="9.109375" style="320"/>
    <col min="47" max="250" width="9.109375" style="296"/>
    <col min="251" max="251" width="3.44140625" style="296" customWidth="1"/>
    <col min="252" max="252" width="7.44140625" style="296" customWidth="1"/>
    <col min="253" max="258" width="9.33203125" style="296" customWidth="1"/>
    <col min="259" max="259" width="13.33203125" style="296" customWidth="1"/>
    <col min="260" max="260" width="1.6640625" style="296" customWidth="1"/>
    <col min="261" max="261" width="0.44140625" style="296" customWidth="1"/>
    <col min="262" max="271" width="0" style="296" hidden="1" customWidth="1"/>
    <col min="272" max="273" width="4.6640625" style="296" customWidth="1"/>
    <col min="274" max="278" width="0" style="296" hidden="1" customWidth="1"/>
    <col min="279" max="299" width="4.6640625" style="296" customWidth="1"/>
    <col min="300" max="506" width="9.109375" style="296"/>
    <col min="507" max="507" width="3.44140625" style="296" customWidth="1"/>
    <col min="508" max="508" width="7.44140625" style="296" customWidth="1"/>
    <col min="509" max="514" width="9.33203125" style="296" customWidth="1"/>
    <col min="515" max="515" width="13.33203125" style="296" customWidth="1"/>
    <col min="516" max="516" width="1.6640625" style="296" customWidth="1"/>
    <col min="517" max="517" width="0.44140625" style="296" customWidth="1"/>
    <col min="518" max="527" width="0" style="296" hidden="1" customWidth="1"/>
    <col min="528" max="529" width="4.6640625" style="296" customWidth="1"/>
    <col min="530" max="534" width="0" style="296" hidden="1" customWidth="1"/>
    <col min="535" max="555" width="4.6640625" style="296" customWidth="1"/>
    <col min="556" max="762" width="9.109375" style="296"/>
    <col min="763" max="763" width="3.44140625" style="296" customWidth="1"/>
    <col min="764" max="764" width="7.44140625" style="296" customWidth="1"/>
    <col min="765" max="770" width="9.33203125" style="296" customWidth="1"/>
    <col min="771" max="771" width="13.33203125" style="296" customWidth="1"/>
    <col min="772" max="772" width="1.6640625" style="296" customWidth="1"/>
    <col min="773" max="773" width="0.44140625" style="296" customWidth="1"/>
    <col min="774" max="783" width="0" style="296" hidden="1" customWidth="1"/>
    <col min="784" max="785" width="4.6640625" style="296" customWidth="1"/>
    <col min="786" max="790" width="0" style="296" hidden="1" customWidth="1"/>
    <col min="791" max="811" width="4.6640625" style="296" customWidth="1"/>
    <col min="812" max="1018" width="9.109375" style="296"/>
    <col min="1019" max="1019" width="3.44140625" style="296" customWidth="1"/>
    <col min="1020" max="1020" width="7.44140625" style="296" customWidth="1"/>
    <col min="1021" max="1026" width="9.33203125" style="296" customWidth="1"/>
    <col min="1027" max="1027" width="13.33203125" style="296" customWidth="1"/>
    <col min="1028" max="1028" width="1.6640625" style="296" customWidth="1"/>
    <col min="1029" max="1029" width="0.44140625" style="296" customWidth="1"/>
    <col min="1030" max="1039" width="0" style="296" hidden="1" customWidth="1"/>
    <col min="1040" max="1041" width="4.6640625" style="296" customWidth="1"/>
    <col min="1042" max="1046" width="0" style="296" hidden="1" customWidth="1"/>
    <col min="1047" max="1067" width="4.6640625" style="296" customWidth="1"/>
    <col min="1068" max="1274" width="9.109375" style="296"/>
    <col min="1275" max="1275" width="3.44140625" style="296" customWidth="1"/>
    <col min="1276" max="1276" width="7.44140625" style="296" customWidth="1"/>
    <col min="1277" max="1282" width="9.33203125" style="296" customWidth="1"/>
    <col min="1283" max="1283" width="13.33203125" style="296" customWidth="1"/>
    <col min="1284" max="1284" width="1.6640625" style="296" customWidth="1"/>
    <col min="1285" max="1285" width="0.44140625" style="296" customWidth="1"/>
    <col min="1286" max="1295" width="0" style="296" hidden="1" customWidth="1"/>
    <col min="1296" max="1297" width="4.6640625" style="296" customWidth="1"/>
    <col min="1298" max="1302" width="0" style="296" hidden="1" customWidth="1"/>
    <col min="1303" max="1323" width="4.6640625" style="296" customWidth="1"/>
    <col min="1324" max="1530" width="9.109375" style="296"/>
    <col min="1531" max="1531" width="3.44140625" style="296" customWidth="1"/>
    <col min="1532" max="1532" width="7.44140625" style="296" customWidth="1"/>
    <col min="1533" max="1538" width="9.33203125" style="296" customWidth="1"/>
    <col min="1539" max="1539" width="13.33203125" style="296" customWidth="1"/>
    <col min="1540" max="1540" width="1.6640625" style="296" customWidth="1"/>
    <col min="1541" max="1541" width="0.44140625" style="296" customWidth="1"/>
    <col min="1542" max="1551" width="0" style="296" hidden="1" customWidth="1"/>
    <col min="1552" max="1553" width="4.6640625" style="296" customWidth="1"/>
    <col min="1554" max="1558" width="0" style="296" hidden="1" customWidth="1"/>
    <col min="1559" max="1579" width="4.6640625" style="296" customWidth="1"/>
    <col min="1580" max="1786" width="9.109375" style="296"/>
    <col min="1787" max="1787" width="3.44140625" style="296" customWidth="1"/>
    <col min="1788" max="1788" width="7.44140625" style="296" customWidth="1"/>
    <col min="1789" max="1794" width="9.33203125" style="296" customWidth="1"/>
    <col min="1795" max="1795" width="13.33203125" style="296" customWidth="1"/>
    <col min="1796" max="1796" width="1.6640625" style="296" customWidth="1"/>
    <col min="1797" max="1797" width="0.44140625" style="296" customWidth="1"/>
    <col min="1798" max="1807" width="0" style="296" hidden="1" customWidth="1"/>
    <col min="1808" max="1809" width="4.6640625" style="296" customWidth="1"/>
    <col min="1810" max="1814" width="0" style="296" hidden="1" customWidth="1"/>
    <col min="1815" max="1835" width="4.6640625" style="296" customWidth="1"/>
    <col min="1836" max="2042" width="9.109375" style="296"/>
    <col min="2043" max="2043" width="3.44140625" style="296" customWidth="1"/>
    <col min="2044" max="2044" width="7.44140625" style="296" customWidth="1"/>
    <col min="2045" max="2050" width="9.33203125" style="296" customWidth="1"/>
    <col min="2051" max="2051" width="13.33203125" style="296" customWidth="1"/>
    <col min="2052" max="2052" width="1.6640625" style="296" customWidth="1"/>
    <col min="2053" max="2053" width="0.44140625" style="296" customWidth="1"/>
    <col min="2054" max="2063" width="0" style="296" hidden="1" customWidth="1"/>
    <col min="2064" max="2065" width="4.6640625" style="296" customWidth="1"/>
    <col min="2066" max="2070" width="0" style="296" hidden="1" customWidth="1"/>
    <col min="2071" max="2091" width="4.6640625" style="296" customWidth="1"/>
    <col min="2092" max="2298" width="9.109375" style="296"/>
    <col min="2299" max="2299" width="3.44140625" style="296" customWidth="1"/>
    <col min="2300" max="2300" width="7.44140625" style="296" customWidth="1"/>
    <col min="2301" max="2306" width="9.33203125" style="296" customWidth="1"/>
    <col min="2307" max="2307" width="13.33203125" style="296" customWidth="1"/>
    <col min="2308" max="2308" width="1.6640625" style="296" customWidth="1"/>
    <col min="2309" max="2309" width="0.44140625" style="296" customWidth="1"/>
    <col min="2310" max="2319" width="0" style="296" hidden="1" customWidth="1"/>
    <col min="2320" max="2321" width="4.6640625" style="296" customWidth="1"/>
    <col min="2322" max="2326" width="0" style="296" hidden="1" customWidth="1"/>
    <col min="2327" max="2347" width="4.6640625" style="296" customWidth="1"/>
    <col min="2348" max="2554" width="9.109375" style="296"/>
    <col min="2555" max="2555" width="3.44140625" style="296" customWidth="1"/>
    <col min="2556" max="2556" width="7.44140625" style="296" customWidth="1"/>
    <col min="2557" max="2562" width="9.33203125" style="296" customWidth="1"/>
    <col min="2563" max="2563" width="13.33203125" style="296" customWidth="1"/>
    <col min="2564" max="2564" width="1.6640625" style="296" customWidth="1"/>
    <col min="2565" max="2565" width="0.44140625" style="296" customWidth="1"/>
    <col min="2566" max="2575" width="0" style="296" hidden="1" customWidth="1"/>
    <col min="2576" max="2577" width="4.6640625" style="296" customWidth="1"/>
    <col min="2578" max="2582" width="0" style="296" hidden="1" customWidth="1"/>
    <col min="2583" max="2603" width="4.6640625" style="296" customWidth="1"/>
    <col min="2604" max="2810" width="9.109375" style="296"/>
    <col min="2811" max="2811" width="3.44140625" style="296" customWidth="1"/>
    <col min="2812" max="2812" width="7.44140625" style="296" customWidth="1"/>
    <col min="2813" max="2818" width="9.33203125" style="296" customWidth="1"/>
    <col min="2819" max="2819" width="13.33203125" style="296" customWidth="1"/>
    <col min="2820" max="2820" width="1.6640625" style="296" customWidth="1"/>
    <col min="2821" max="2821" width="0.44140625" style="296" customWidth="1"/>
    <col min="2822" max="2831" width="0" style="296" hidden="1" customWidth="1"/>
    <col min="2832" max="2833" width="4.6640625" style="296" customWidth="1"/>
    <col min="2834" max="2838" width="0" style="296" hidden="1" customWidth="1"/>
    <col min="2839" max="2859" width="4.6640625" style="296" customWidth="1"/>
    <col min="2860" max="3066" width="9.109375" style="296"/>
    <col min="3067" max="3067" width="3.44140625" style="296" customWidth="1"/>
    <col min="3068" max="3068" width="7.44140625" style="296" customWidth="1"/>
    <col min="3069" max="3074" width="9.33203125" style="296" customWidth="1"/>
    <col min="3075" max="3075" width="13.33203125" style="296" customWidth="1"/>
    <col min="3076" max="3076" width="1.6640625" style="296" customWidth="1"/>
    <col min="3077" max="3077" width="0.44140625" style="296" customWidth="1"/>
    <col min="3078" max="3087" width="0" style="296" hidden="1" customWidth="1"/>
    <col min="3088" max="3089" width="4.6640625" style="296" customWidth="1"/>
    <col min="3090" max="3094" width="0" style="296" hidden="1" customWidth="1"/>
    <col min="3095" max="3115" width="4.6640625" style="296" customWidth="1"/>
    <col min="3116" max="3322" width="9.109375" style="296"/>
    <col min="3323" max="3323" width="3.44140625" style="296" customWidth="1"/>
    <col min="3324" max="3324" width="7.44140625" style="296" customWidth="1"/>
    <col min="3325" max="3330" width="9.33203125" style="296" customWidth="1"/>
    <col min="3331" max="3331" width="13.33203125" style="296" customWidth="1"/>
    <col min="3332" max="3332" width="1.6640625" style="296" customWidth="1"/>
    <col min="3333" max="3333" width="0.44140625" style="296" customWidth="1"/>
    <col min="3334" max="3343" width="0" style="296" hidden="1" customWidth="1"/>
    <col min="3344" max="3345" width="4.6640625" style="296" customWidth="1"/>
    <col min="3346" max="3350" width="0" style="296" hidden="1" customWidth="1"/>
    <col min="3351" max="3371" width="4.6640625" style="296" customWidth="1"/>
    <col min="3372" max="3578" width="9.109375" style="296"/>
    <col min="3579" max="3579" width="3.44140625" style="296" customWidth="1"/>
    <col min="3580" max="3580" width="7.44140625" style="296" customWidth="1"/>
    <col min="3581" max="3586" width="9.33203125" style="296" customWidth="1"/>
    <col min="3587" max="3587" width="13.33203125" style="296" customWidth="1"/>
    <col min="3588" max="3588" width="1.6640625" style="296" customWidth="1"/>
    <col min="3589" max="3589" width="0.44140625" style="296" customWidth="1"/>
    <col min="3590" max="3599" width="0" style="296" hidden="1" customWidth="1"/>
    <col min="3600" max="3601" width="4.6640625" style="296" customWidth="1"/>
    <col min="3602" max="3606" width="0" style="296" hidden="1" customWidth="1"/>
    <col min="3607" max="3627" width="4.6640625" style="296" customWidth="1"/>
    <col min="3628" max="3834" width="9.109375" style="296"/>
    <col min="3835" max="3835" width="3.44140625" style="296" customWidth="1"/>
    <col min="3836" max="3836" width="7.44140625" style="296" customWidth="1"/>
    <col min="3837" max="3842" width="9.33203125" style="296" customWidth="1"/>
    <col min="3843" max="3843" width="13.33203125" style="296" customWidth="1"/>
    <col min="3844" max="3844" width="1.6640625" style="296" customWidth="1"/>
    <col min="3845" max="3845" width="0.44140625" style="296" customWidth="1"/>
    <col min="3846" max="3855" width="0" style="296" hidden="1" customWidth="1"/>
    <col min="3856" max="3857" width="4.6640625" style="296" customWidth="1"/>
    <col min="3858" max="3862" width="0" style="296" hidden="1" customWidth="1"/>
    <col min="3863" max="3883" width="4.6640625" style="296" customWidth="1"/>
    <col min="3884" max="4090" width="9.109375" style="296"/>
    <col min="4091" max="4091" width="3.44140625" style="296" customWidth="1"/>
    <col min="4092" max="4092" width="7.44140625" style="296" customWidth="1"/>
    <col min="4093" max="4098" width="9.33203125" style="296" customWidth="1"/>
    <col min="4099" max="4099" width="13.33203125" style="296" customWidth="1"/>
    <col min="4100" max="4100" width="1.6640625" style="296" customWidth="1"/>
    <col min="4101" max="4101" width="0.44140625" style="296" customWidth="1"/>
    <col min="4102" max="4111" width="0" style="296" hidden="1" customWidth="1"/>
    <col min="4112" max="4113" width="4.6640625" style="296" customWidth="1"/>
    <col min="4114" max="4118" width="0" style="296" hidden="1" customWidth="1"/>
    <col min="4119" max="4139" width="4.6640625" style="296" customWidth="1"/>
    <col min="4140" max="4346" width="9.109375" style="296"/>
    <col min="4347" max="4347" width="3.44140625" style="296" customWidth="1"/>
    <col min="4348" max="4348" width="7.44140625" style="296" customWidth="1"/>
    <col min="4349" max="4354" width="9.33203125" style="296" customWidth="1"/>
    <col min="4355" max="4355" width="13.33203125" style="296" customWidth="1"/>
    <col min="4356" max="4356" width="1.6640625" style="296" customWidth="1"/>
    <col min="4357" max="4357" width="0.44140625" style="296" customWidth="1"/>
    <col min="4358" max="4367" width="0" style="296" hidden="1" customWidth="1"/>
    <col min="4368" max="4369" width="4.6640625" style="296" customWidth="1"/>
    <col min="4370" max="4374" width="0" style="296" hidden="1" customWidth="1"/>
    <col min="4375" max="4395" width="4.6640625" style="296" customWidth="1"/>
    <col min="4396" max="4602" width="9.109375" style="296"/>
    <col min="4603" max="4603" width="3.44140625" style="296" customWidth="1"/>
    <col min="4604" max="4604" width="7.44140625" style="296" customWidth="1"/>
    <col min="4605" max="4610" width="9.33203125" style="296" customWidth="1"/>
    <col min="4611" max="4611" width="13.33203125" style="296" customWidth="1"/>
    <col min="4612" max="4612" width="1.6640625" style="296" customWidth="1"/>
    <col min="4613" max="4613" width="0.44140625" style="296" customWidth="1"/>
    <col min="4614" max="4623" width="0" style="296" hidden="1" customWidth="1"/>
    <col min="4624" max="4625" width="4.6640625" style="296" customWidth="1"/>
    <col min="4626" max="4630" width="0" style="296" hidden="1" customWidth="1"/>
    <col min="4631" max="4651" width="4.6640625" style="296" customWidth="1"/>
    <col min="4652" max="4858" width="9.109375" style="296"/>
    <col min="4859" max="4859" width="3.44140625" style="296" customWidth="1"/>
    <col min="4860" max="4860" width="7.44140625" style="296" customWidth="1"/>
    <col min="4861" max="4866" width="9.33203125" style="296" customWidth="1"/>
    <col min="4867" max="4867" width="13.33203125" style="296" customWidth="1"/>
    <col min="4868" max="4868" width="1.6640625" style="296" customWidth="1"/>
    <col min="4869" max="4869" width="0.44140625" style="296" customWidth="1"/>
    <col min="4870" max="4879" width="0" style="296" hidden="1" customWidth="1"/>
    <col min="4880" max="4881" width="4.6640625" style="296" customWidth="1"/>
    <col min="4882" max="4886" width="0" style="296" hidden="1" customWidth="1"/>
    <col min="4887" max="4907" width="4.6640625" style="296" customWidth="1"/>
    <col min="4908" max="5114" width="9.109375" style="296"/>
    <col min="5115" max="5115" width="3.44140625" style="296" customWidth="1"/>
    <col min="5116" max="5116" width="7.44140625" style="296" customWidth="1"/>
    <col min="5117" max="5122" width="9.33203125" style="296" customWidth="1"/>
    <col min="5123" max="5123" width="13.33203125" style="296" customWidth="1"/>
    <col min="5124" max="5124" width="1.6640625" style="296" customWidth="1"/>
    <col min="5125" max="5125" width="0.44140625" style="296" customWidth="1"/>
    <col min="5126" max="5135" width="0" style="296" hidden="1" customWidth="1"/>
    <col min="5136" max="5137" width="4.6640625" style="296" customWidth="1"/>
    <col min="5138" max="5142" width="0" style="296" hidden="1" customWidth="1"/>
    <col min="5143" max="5163" width="4.6640625" style="296" customWidth="1"/>
    <col min="5164" max="5370" width="9.109375" style="296"/>
    <col min="5371" max="5371" width="3.44140625" style="296" customWidth="1"/>
    <col min="5372" max="5372" width="7.44140625" style="296" customWidth="1"/>
    <col min="5373" max="5378" width="9.33203125" style="296" customWidth="1"/>
    <col min="5379" max="5379" width="13.33203125" style="296" customWidth="1"/>
    <col min="5380" max="5380" width="1.6640625" style="296" customWidth="1"/>
    <col min="5381" max="5381" width="0.44140625" style="296" customWidth="1"/>
    <col min="5382" max="5391" width="0" style="296" hidden="1" customWidth="1"/>
    <col min="5392" max="5393" width="4.6640625" style="296" customWidth="1"/>
    <col min="5394" max="5398" width="0" style="296" hidden="1" customWidth="1"/>
    <col min="5399" max="5419" width="4.6640625" style="296" customWidth="1"/>
    <col min="5420" max="5626" width="9.109375" style="296"/>
    <col min="5627" max="5627" width="3.44140625" style="296" customWidth="1"/>
    <col min="5628" max="5628" width="7.44140625" style="296" customWidth="1"/>
    <col min="5629" max="5634" width="9.33203125" style="296" customWidth="1"/>
    <col min="5635" max="5635" width="13.33203125" style="296" customWidth="1"/>
    <col min="5636" max="5636" width="1.6640625" style="296" customWidth="1"/>
    <col min="5637" max="5637" width="0.44140625" style="296" customWidth="1"/>
    <col min="5638" max="5647" width="0" style="296" hidden="1" customWidth="1"/>
    <col min="5648" max="5649" width="4.6640625" style="296" customWidth="1"/>
    <col min="5650" max="5654" width="0" style="296" hidden="1" customWidth="1"/>
    <col min="5655" max="5675" width="4.6640625" style="296" customWidth="1"/>
    <col min="5676" max="5882" width="9.109375" style="296"/>
    <col min="5883" max="5883" width="3.44140625" style="296" customWidth="1"/>
    <col min="5884" max="5884" width="7.44140625" style="296" customWidth="1"/>
    <col min="5885" max="5890" width="9.33203125" style="296" customWidth="1"/>
    <col min="5891" max="5891" width="13.33203125" style="296" customWidth="1"/>
    <col min="5892" max="5892" width="1.6640625" style="296" customWidth="1"/>
    <col min="5893" max="5893" width="0.44140625" style="296" customWidth="1"/>
    <col min="5894" max="5903" width="0" style="296" hidden="1" customWidth="1"/>
    <col min="5904" max="5905" width="4.6640625" style="296" customWidth="1"/>
    <col min="5906" max="5910" width="0" style="296" hidden="1" customWidth="1"/>
    <col min="5911" max="5931" width="4.6640625" style="296" customWidth="1"/>
    <col min="5932" max="6138" width="9.109375" style="296"/>
    <col min="6139" max="6139" width="3.44140625" style="296" customWidth="1"/>
    <col min="6140" max="6140" width="7.44140625" style="296" customWidth="1"/>
    <col min="6141" max="6146" width="9.33203125" style="296" customWidth="1"/>
    <col min="6147" max="6147" width="13.33203125" style="296" customWidth="1"/>
    <col min="6148" max="6148" width="1.6640625" style="296" customWidth="1"/>
    <col min="6149" max="6149" width="0.44140625" style="296" customWidth="1"/>
    <col min="6150" max="6159" width="0" style="296" hidden="1" customWidth="1"/>
    <col min="6160" max="6161" width="4.6640625" style="296" customWidth="1"/>
    <col min="6162" max="6166" width="0" style="296" hidden="1" customWidth="1"/>
    <col min="6167" max="6187" width="4.6640625" style="296" customWidth="1"/>
    <col min="6188" max="6394" width="9.109375" style="296"/>
    <col min="6395" max="6395" width="3.44140625" style="296" customWidth="1"/>
    <col min="6396" max="6396" width="7.44140625" style="296" customWidth="1"/>
    <col min="6397" max="6402" width="9.33203125" style="296" customWidth="1"/>
    <col min="6403" max="6403" width="13.33203125" style="296" customWidth="1"/>
    <col min="6404" max="6404" width="1.6640625" style="296" customWidth="1"/>
    <col min="6405" max="6405" width="0.44140625" style="296" customWidth="1"/>
    <col min="6406" max="6415" width="0" style="296" hidden="1" customWidth="1"/>
    <col min="6416" max="6417" width="4.6640625" style="296" customWidth="1"/>
    <col min="6418" max="6422" width="0" style="296" hidden="1" customWidth="1"/>
    <col min="6423" max="6443" width="4.6640625" style="296" customWidth="1"/>
    <col min="6444" max="6650" width="9.109375" style="296"/>
    <col min="6651" max="6651" width="3.44140625" style="296" customWidth="1"/>
    <col min="6652" max="6652" width="7.44140625" style="296" customWidth="1"/>
    <col min="6653" max="6658" width="9.33203125" style="296" customWidth="1"/>
    <col min="6659" max="6659" width="13.33203125" style="296" customWidth="1"/>
    <col min="6660" max="6660" width="1.6640625" style="296" customWidth="1"/>
    <col min="6661" max="6661" width="0.44140625" style="296" customWidth="1"/>
    <col min="6662" max="6671" width="0" style="296" hidden="1" customWidth="1"/>
    <col min="6672" max="6673" width="4.6640625" style="296" customWidth="1"/>
    <col min="6674" max="6678" width="0" style="296" hidden="1" customWidth="1"/>
    <col min="6679" max="6699" width="4.6640625" style="296" customWidth="1"/>
    <col min="6700" max="6906" width="9.109375" style="296"/>
    <col min="6907" max="6907" width="3.44140625" style="296" customWidth="1"/>
    <col min="6908" max="6908" width="7.44140625" style="296" customWidth="1"/>
    <col min="6909" max="6914" width="9.33203125" style="296" customWidth="1"/>
    <col min="6915" max="6915" width="13.33203125" style="296" customWidth="1"/>
    <col min="6916" max="6916" width="1.6640625" style="296" customWidth="1"/>
    <col min="6917" max="6917" width="0.44140625" style="296" customWidth="1"/>
    <col min="6918" max="6927" width="0" style="296" hidden="1" customWidth="1"/>
    <col min="6928" max="6929" width="4.6640625" style="296" customWidth="1"/>
    <col min="6930" max="6934" width="0" style="296" hidden="1" customWidth="1"/>
    <col min="6935" max="6955" width="4.6640625" style="296" customWidth="1"/>
    <col min="6956" max="7162" width="9.109375" style="296"/>
    <col min="7163" max="7163" width="3.44140625" style="296" customWidth="1"/>
    <col min="7164" max="7164" width="7.44140625" style="296" customWidth="1"/>
    <col min="7165" max="7170" width="9.33203125" style="296" customWidth="1"/>
    <col min="7171" max="7171" width="13.33203125" style="296" customWidth="1"/>
    <col min="7172" max="7172" width="1.6640625" style="296" customWidth="1"/>
    <col min="7173" max="7173" width="0.44140625" style="296" customWidth="1"/>
    <col min="7174" max="7183" width="0" style="296" hidden="1" customWidth="1"/>
    <col min="7184" max="7185" width="4.6640625" style="296" customWidth="1"/>
    <col min="7186" max="7190" width="0" style="296" hidden="1" customWidth="1"/>
    <col min="7191" max="7211" width="4.6640625" style="296" customWidth="1"/>
    <col min="7212" max="7418" width="9.109375" style="296"/>
    <col min="7419" max="7419" width="3.44140625" style="296" customWidth="1"/>
    <col min="7420" max="7420" width="7.44140625" style="296" customWidth="1"/>
    <col min="7421" max="7426" width="9.33203125" style="296" customWidth="1"/>
    <col min="7427" max="7427" width="13.33203125" style="296" customWidth="1"/>
    <col min="7428" max="7428" width="1.6640625" style="296" customWidth="1"/>
    <col min="7429" max="7429" width="0.44140625" style="296" customWidth="1"/>
    <col min="7430" max="7439" width="0" style="296" hidden="1" customWidth="1"/>
    <col min="7440" max="7441" width="4.6640625" style="296" customWidth="1"/>
    <col min="7442" max="7446" width="0" style="296" hidden="1" customWidth="1"/>
    <col min="7447" max="7467" width="4.6640625" style="296" customWidth="1"/>
    <col min="7468" max="7674" width="9.109375" style="296"/>
    <col min="7675" max="7675" width="3.44140625" style="296" customWidth="1"/>
    <col min="7676" max="7676" width="7.44140625" style="296" customWidth="1"/>
    <col min="7677" max="7682" width="9.33203125" style="296" customWidth="1"/>
    <col min="7683" max="7683" width="13.33203125" style="296" customWidth="1"/>
    <col min="7684" max="7684" width="1.6640625" style="296" customWidth="1"/>
    <col min="7685" max="7685" width="0.44140625" style="296" customWidth="1"/>
    <col min="7686" max="7695" width="0" style="296" hidden="1" customWidth="1"/>
    <col min="7696" max="7697" width="4.6640625" style="296" customWidth="1"/>
    <col min="7698" max="7702" width="0" style="296" hidden="1" customWidth="1"/>
    <col min="7703" max="7723" width="4.6640625" style="296" customWidth="1"/>
    <col min="7724" max="7930" width="9.109375" style="296"/>
    <col min="7931" max="7931" width="3.44140625" style="296" customWidth="1"/>
    <col min="7932" max="7932" width="7.44140625" style="296" customWidth="1"/>
    <col min="7933" max="7938" width="9.33203125" style="296" customWidth="1"/>
    <col min="7939" max="7939" width="13.33203125" style="296" customWidth="1"/>
    <col min="7940" max="7940" width="1.6640625" style="296" customWidth="1"/>
    <col min="7941" max="7941" width="0.44140625" style="296" customWidth="1"/>
    <col min="7942" max="7951" width="0" style="296" hidden="1" customWidth="1"/>
    <col min="7952" max="7953" width="4.6640625" style="296" customWidth="1"/>
    <col min="7954" max="7958" width="0" style="296" hidden="1" customWidth="1"/>
    <col min="7959" max="7979" width="4.6640625" style="296" customWidth="1"/>
    <col min="7980" max="8186" width="9.109375" style="296"/>
    <col min="8187" max="8187" width="3.44140625" style="296" customWidth="1"/>
    <col min="8188" max="8188" width="7.44140625" style="296" customWidth="1"/>
    <col min="8189" max="8194" width="9.33203125" style="296" customWidth="1"/>
    <col min="8195" max="8195" width="13.33203125" style="296" customWidth="1"/>
    <col min="8196" max="8196" width="1.6640625" style="296" customWidth="1"/>
    <col min="8197" max="8197" width="0.44140625" style="296" customWidth="1"/>
    <col min="8198" max="8207" width="0" style="296" hidden="1" customWidth="1"/>
    <col min="8208" max="8209" width="4.6640625" style="296" customWidth="1"/>
    <col min="8210" max="8214" width="0" style="296" hidden="1" customWidth="1"/>
    <col min="8215" max="8235" width="4.6640625" style="296" customWidth="1"/>
    <col min="8236" max="8442" width="9.109375" style="296"/>
    <col min="8443" max="8443" width="3.44140625" style="296" customWidth="1"/>
    <col min="8444" max="8444" width="7.44140625" style="296" customWidth="1"/>
    <col min="8445" max="8450" width="9.33203125" style="296" customWidth="1"/>
    <col min="8451" max="8451" width="13.33203125" style="296" customWidth="1"/>
    <col min="8452" max="8452" width="1.6640625" style="296" customWidth="1"/>
    <col min="8453" max="8453" width="0.44140625" style="296" customWidth="1"/>
    <col min="8454" max="8463" width="0" style="296" hidden="1" customWidth="1"/>
    <col min="8464" max="8465" width="4.6640625" style="296" customWidth="1"/>
    <col min="8466" max="8470" width="0" style="296" hidden="1" customWidth="1"/>
    <col min="8471" max="8491" width="4.6640625" style="296" customWidth="1"/>
    <col min="8492" max="8698" width="9.109375" style="296"/>
    <col min="8699" max="8699" width="3.44140625" style="296" customWidth="1"/>
    <col min="8700" max="8700" width="7.44140625" style="296" customWidth="1"/>
    <col min="8701" max="8706" width="9.33203125" style="296" customWidth="1"/>
    <col min="8707" max="8707" width="13.33203125" style="296" customWidth="1"/>
    <col min="8708" max="8708" width="1.6640625" style="296" customWidth="1"/>
    <col min="8709" max="8709" width="0.44140625" style="296" customWidth="1"/>
    <col min="8710" max="8719" width="0" style="296" hidden="1" customWidth="1"/>
    <col min="8720" max="8721" width="4.6640625" style="296" customWidth="1"/>
    <col min="8722" max="8726" width="0" style="296" hidden="1" customWidth="1"/>
    <col min="8727" max="8747" width="4.6640625" style="296" customWidth="1"/>
    <col min="8748" max="8954" width="9.109375" style="296"/>
    <col min="8955" max="8955" width="3.44140625" style="296" customWidth="1"/>
    <col min="8956" max="8956" width="7.44140625" style="296" customWidth="1"/>
    <col min="8957" max="8962" width="9.33203125" style="296" customWidth="1"/>
    <col min="8963" max="8963" width="13.33203125" style="296" customWidth="1"/>
    <col min="8964" max="8964" width="1.6640625" style="296" customWidth="1"/>
    <col min="8965" max="8965" width="0.44140625" style="296" customWidth="1"/>
    <col min="8966" max="8975" width="0" style="296" hidden="1" customWidth="1"/>
    <col min="8976" max="8977" width="4.6640625" style="296" customWidth="1"/>
    <col min="8978" max="8982" width="0" style="296" hidden="1" customWidth="1"/>
    <col min="8983" max="9003" width="4.6640625" style="296" customWidth="1"/>
    <col min="9004" max="9210" width="9.109375" style="296"/>
    <col min="9211" max="9211" width="3.44140625" style="296" customWidth="1"/>
    <col min="9212" max="9212" width="7.44140625" style="296" customWidth="1"/>
    <col min="9213" max="9218" width="9.33203125" style="296" customWidth="1"/>
    <col min="9219" max="9219" width="13.33203125" style="296" customWidth="1"/>
    <col min="9220" max="9220" width="1.6640625" style="296" customWidth="1"/>
    <col min="9221" max="9221" width="0.44140625" style="296" customWidth="1"/>
    <col min="9222" max="9231" width="0" style="296" hidden="1" customWidth="1"/>
    <col min="9232" max="9233" width="4.6640625" style="296" customWidth="1"/>
    <col min="9234" max="9238" width="0" style="296" hidden="1" customWidth="1"/>
    <col min="9239" max="9259" width="4.6640625" style="296" customWidth="1"/>
    <col min="9260" max="9466" width="9.109375" style="296"/>
    <col min="9467" max="9467" width="3.44140625" style="296" customWidth="1"/>
    <col min="9468" max="9468" width="7.44140625" style="296" customWidth="1"/>
    <col min="9469" max="9474" width="9.33203125" style="296" customWidth="1"/>
    <col min="9475" max="9475" width="13.33203125" style="296" customWidth="1"/>
    <col min="9476" max="9476" width="1.6640625" style="296" customWidth="1"/>
    <col min="9477" max="9477" width="0.44140625" style="296" customWidth="1"/>
    <col min="9478" max="9487" width="0" style="296" hidden="1" customWidth="1"/>
    <col min="9488" max="9489" width="4.6640625" style="296" customWidth="1"/>
    <col min="9490" max="9494" width="0" style="296" hidden="1" customWidth="1"/>
    <col min="9495" max="9515" width="4.6640625" style="296" customWidth="1"/>
    <col min="9516" max="9722" width="9.109375" style="296"/>
    <col min="9723" max="9723" width="3.44140625" style="296" customWidth="1"/>
    <col min="9724" max="9724" width="7.44140625" style="296" customWidth="1"/>
    <col min="9725" max="9730" width="9.33203125" style="296" customWidth="1"/>
    <col min="9731" max="9731" width="13.33203125" style="296" customWidth="1"/>
    <col min="9732" max="9732" width="1.6640625" style="296" customWidth="1"/>
    <col min="9733" max="9733" width="0.44140625" style="296" customWidth="1"/>
    <col min="9734" max="9743" width="0" style="296" hidden="1" customWidth="1"/>
    <col min="9744" max="9745" width="4.6640625" style="296" customWidth="1"/>
    <col min="9746" max="9750" width="0" style="296" hidden="1" customWidth="1"/>
    <col min="9751" max="9771" width="4.6640625" style="296" customWidth="1"/>
    <col min="9772" max="9978" width="9.109375" style="296"/>
    <col min="9979" max="9979" width="3.44140625" style="296" customWidth="1"/>
    <col min="9980" max="9980" width="7.44140625" style="296" customWidth="1"/>
    <col min="9981" max="9986" width="9.33203125" style="296" customWidth="1"/>
    <col min="9987" max="9987" width="13.33203125" style="296" customWidth="1"/>
    <col min="9988" max="9988" width="1.6640625" style="296" customWidth="1"/>
    <col min="9989" max="9989" width="0.44140625" style="296" customWidth="1"/>
    <col min="9990" max="9999" width="0" style="296" hidden="1" customWidth="1"/>
    <col min="10000" max="10001" width="4.6640625" style="296" customWidth="1"/>
    <col min="10002" max="10006" width="0" style="296" hidden="1" customWidth="1"/>
    <col min="10007" max="10027" width="4.6640625" style="296" customWidth="1"/>
    <col min="10028" max="10234" width="9.109375" style="296"/>
    <col min="10235" max="10235" width="3.44140625" style="296" customWidth="1"/>
    <col min="10236" max="10236" width="7.44140625" style="296" customWidth="1"/>
    <col min="10237" max="10242" width="9.33203125" style="296" customWidth="1"/>
    <col min="10243" max="10243" width="13.33203125" style="296" customWidth="1"/>
    <col min="10244" max="10244" width="1.6640625" style="296" customWidth="1"/>
    <col min="10245" max="10245" width="0.44140625" style="296" customWidth="1"/>
    <col min="10246" max="10255" width="0" style="296" hidden="1" customWidth="1"/>
    <col min="10256" max="10257" width="4.6640625" style="296" customWidth="1"/>
    <col min="10258" max="10262" width="0" style="296" hidden="1" customWidth="1"/>
    <col min="10263" max="10283" width="4.6640625" style="296" customWidth="1"/>
    <col min="10284" max="10490" width="9.109375" style="296"/>
    <col min="10491" max="10491" width="3.44140625" style="296" customWidth="1"/>
    <col min="10492" max="10492" width="7.44140625" style="296" customWidth="1"/>
    <col min="10493" max="10498" width="9.33203125" style="296" customWidth="1"/>
    <col min="10499" max="10499" width="13.33203125" style="296" customWidth="1"/>
    <col min="10500" max="10500" width="1.6640625" style="296" customWidth="1"/>
    <col min="10501" max="10501" width="0.44140625" style="296" customWidth="1"/>
    <col min="10502" max="10511" width="0" style="296" hidden="1" customWidth="1"/>
    <col min="10512" max="10513" width="4.6640625" style="296" customWidth="1"/>
    <col min="10514" max="10518" width="0" style="296" hidden="1" customWidth="1"/>
    <col min="10519" max="10539" width="4.6640625" style="296" customWidth="1"/>
    <col min="10540" max="10746" width="9.109375" style="296"/>
    <col min="10747" max="10747" width="3.44140625" style="296" customWidth="1"/>
    <col min="10748" max="10748" width="7.44140625" style="296" customWidth="1"/>
    <col min="10749" max="10754" width="9.33203125" style="296" customWidth="1"/>
    <col min="10755" max="10755" width="13.33203125" style="296" customWidth="1"/>
    <col min="10756" max="10756" width="1.6640625" style="296" customWidth="1"/>
    <col min="10757" max="10757" width="0.44140625" style="296" customWidth="1"/>
    <col min="10758" max="10767" width="0" style="296" hidden="1" customWidth="1"/>
    <col min="10768" max="10769" width="4.6640625" style="296" customWidth="1"/>
    <col min="10770" max="10774" width="0" style="296" hidden="1" customWidth="1"/>
    <col min="10775" max="10795" width="4.6640625" style="296" customWidth="1"/>
    <col min="10796" max="11002" width="9.109375" style="296"/>
    <col min="11003" max="11003" width="3.44140625" style="296" customWidth="1"/>
    <col min="11004" max="11004" width="7.44140625" style="296" customWidth="1"/>
    <col min="11005" max="11010" width="9.33203125" style="296" customWidth="1"/>
    <col min="11011" max="11011" width="13.33203125" style="296" customWidth="1"/>
    <col min="11012" max="11012" width="1.6640625" style="296" customWidth="1"/>
    <col min="11013" max="11013" width="0.44140625" style="296" customWidth="1"/>
    <col min="11014" max="11023" width="0" style="296" hidden="1" customWidth="1"/>
    <col min="11024" max="11025" width="4.6640625" style="296" customWidth="1"/>
    <col min="11026" max="11030" width="0" style="296" hidden="1" customWidth="1"/>
    <col min="11031" max="11051" width="4.6640625" style="296" customWidth="1"/>
    <col min="11052" max="11258" width="9.109375" style="296"/>
    <col min="11259" max="11259" width="3.44140625" style="296" customWidth="1"/>
    <col min="11260" max="11260" width="7.44140625" style="296" customWidth="1"/>
    <col min="11261" max="11266" width="9.33203125" style="296" customWidth="1"/>
    <col min="11267" max="11267" width="13.33203125" style="296" customWidth="1"/>
    <col min="11268" max="11268" width="1.6640625" style="296" customWidth="1"/>
    <col min="11269" max="11269" width="0.44140625" style="296" customWidth="1"/>
    <col min="11270" max="11279" width="0" style="296" hidden="1" customWidth="1"/>
    <col min="11280" max="11281" width="4.6640625" style="296" customWidth="1"/>
    <col min="11282" max="11286" width="0" style="296" hidden="1" customWidth="1"/>
    <col min="11287" max="11307" width="4.6640625" style="296" customWidth="1"/>
    <col min="11308" max="11514" width="9.109375" style="296"/>
    <col min="11515" max="11515" width="3.44140625" style="296" customWidth="1"/>
    <col min="11516" max="11516" width="7.44140625" style="296" customWidth="1"/>
    <col min="11517" max="11522" width="9.33203125" style="296" customWidth="1"/>
    <col min="11523" max="11523" width="13.33203125" style="296" customWidth="1"/>
    <col min="11524" max="11524" width="1.6640625" style="296" customWidth="1"/>
    <col min="11525" max="11525" width="0.44140625" style="296" customWidth="1"/>
    <col min="11526" max="11535" width="0" style="296" hidden="1" customWidth="1"/>
    <col min="11536" max="11537" width="4.6640625" style="296" customWidth="1"/>
    <col min="11538" max="11542" width="0" style="296" hidden="1" customWidth="1"/>
    <col min="11543" max="11563" width="4.6640625" style="296" customWidth="1"/>
    <col min="11564" max="11770" width="9.109375" style="296"/>
    <col min="11771" max="11771" width="3.44140625" style="296" customWidth="1"/>
    <col min="11772" max="11772" width="7.44140625" style="296" customWidth="1"/>
    <col min="11773" max="11778" width="9.33203125" style="296" customWidth="1"/>
    <col min="11779" max="11779" width="13.33203125" style="296" customWidth="1"/>
    <col min="11780" max="11780" width="1.6640625" style="296" customWidth="1"/>
    <col min="11781" max="11781" width="0.44140625" style="296" customWidth="1"/>
    <col min="11782" max="11791" width="0" style="296" hidden="1" customWidth="1"/>
    <col min="11792" max="11793" width="4.6640625" style="296" customWidth="1"/>
    <col min="11794" max="11798" width="0" style="296" hidden="1" customWidth="1"/>
    <col min="11799" max="11819" width="4.6640625" style="296" customWidth="1"/>
    <col min="11820" max="12026" width="9.109375" style="296"/>
    <col min="12027" max="12027" width="3.44140625" style="296" customWidth="1"/>
    <col min="12028" max="12028" width="7.44140625" style="296" customWidth="1"/>
    <col min="12029" max="12034" width="9.33203125" style="296" customWidth="1"/>
    <col min="12035" max="12035" width="13.33203125" style="296" customWidth="1"/>
    <col min="12036" max="12036" width="1.6640625" style="296" customWidth="1"/>
    <col min="12037" max="12037" width="0.44140625" style="296" customWidth="1"/>
    <col min="12038" max="12047" width="0" style="296" hidden="1" customWidth="1"/>
    <col min="12048" max="12049" width="4.6640625" style="296" customWidth="1"/>
    <col min="12050" max="12054" width="0" style="296" hidden="1" customWidth="1"/>
    <col min="12055" max="12075" width="4.6640625" style="296" customWidth="1"/>
    <col min="12076" max="12282" width="9.109375" style="296"/>
    <col min="12283" max="12283" width="3.44140625" style="296" customWidth="1"/>
    <col min="12284" max="12284" width="7.44140625" style="296" customWidth="1"/>
    <col min="12285" max="12290" width="9.33203125" style="296" customWidth="1"/>
    <col min="12291" max="12291" width="13.33203125" style="296" customWidth="1"/>
    <col min="12292" max="12292" width="1.6640625" style="296" customWidth="1"/>
    <col min="12293" max="12293" width="0.44140625" style="296" customWidth="1"/>
    <col min="12294" max="12303" width="0" style="296" hidden="1" customWidth="1"/>
    <col min="12304" max="12305" width="4.6640625" style="296" customWidth="1"/>
    <col min="12306" max="12310" width="0" style="296" hidden="1" customWidth="1"/>
    <col min="12311" max="12331" width="4.6640625" style="296" customWidth="1"/>
    <col min="12332" max="12538" width="9.109375" style="296"/>
    <col min="12539" max="12539" width="3.44140625" style="296" customWidth="1"/>
    <col min="12540" max="12540" width="7.44140625" style="296" customWidth="1"/>
    <col min="12541" max="12546" width="9.33203125" style="296" customWidth="1"/>
    <col min="12547" max="12547" width="13.33203125" style="296" customWidth="1"/>
    <col min="12548" max="12548" width="1.6640625" style="296" customWidth="1"/>
    <col min="12549" max="12549" width="0.44140625" style="296" customWidth="1"/>
    <col min="12550" max="12559" width="0" style="296" hidden="1" customWidth="1"/>
    <col min="12560" max="12561" width="4.6640625" style="296" customWidth="1"/>
    <col min="12562" max="12566" width="0" style="296" hidden="1" customWidth="1"/>
    <col min="12567" max="12587" width="4.6640625" style="296" customWidth="1"/>
    <col min="12588" max="12794" width="9.109375" style="296"/>
    <col min="12795" max="12795" width="3.44140625" style="296" customWidth="1"/>
    <col min="12796" max="12796" width="7.44140625" style="296" customWidth="1"/>
    <col min="12797" max="12802" width="9.33203125" style="296" customWidth="1"/>
    <col min="12803" max="12803" width="13.33203125" style="296" customWidth="1"/>
    <col min="12804" max="12804" width="1.6640625" style="296" customWidth="1"/>
    <col min="12805" max="12805" width="0.44140625" style="296" customWidth="1"/>
    <col min="12806" max="12815" width="0" style="296" hidden="1" customWidth="1"/>
    <col min="12816" max="12817" width="4.6640625" style="296" customWidth="1"/>
    <col min="12818" max="12822" width="0" style="296" hidden="1" customWidth="1"/>
    <col min="12823" max="12843" width="4.6640625" style="296" customWidth="1"/>
    <col min="12844" max="13050" width="9.109375" style="296"/>
    <col min="13051" max="13051" width="3.44140625" style="296" customWidth="1"/>
    <col min="13052" max="13052" width="7.44140625" style="296" customWidth="1"/>
    <col min="13053" max="13058" width="9.33203125" style="296" customWidth="1"/>
    <col min="13059" max="13059" width="13.33203125" style="296" customWidth="1"/>
    <col min="13060" max="13060" width="1.6640625" style="296" customWidth="1"/>
    <col min="13061" max="13061" width="0.44140625" style="296" customWidth="1"/>
    <col min="13062" max="13071" width="0" style="296" hidden="1" customWidth="1"/>
    <col min="13072" max="13073" width="4.6640625" style="296" customWidth="1"/>
    <col min="13074" max="13078" width="0" style="296" hidden="1" customWidth="1"/>
    <col min="13079" max="13099" width="4.6640625" style="296" customWidth="1"/>
    <col min="13100" max="13306" width="9.109375" style="296"/>
    <col min="13307" max="13307" width="3.44140625" style="296" customWidth="1"/>
    <col min="13308" max="13308" width="7.44140625" style="296" customWidth="1"/>
    <col min="13309" max="13314" width="9.33203125" style="296" customWidth="1"/>
    <col min="13315" max="13315" width="13.33203125" style="296" customWidth="1"/>
    <col min="13316" max="13316" width="1.6640625" style="296" customWidth="1"/>
    <col min="13317" max="13317" width="0.44140625" style="296" customWidth="1"/>
    <col min="13318" max="13327" width="0" style="296" hidden="1" customWidth="1"/>
    <col min="13328" max="13329" width="4.6640625" style="296" customWidth="1"/>
    <col min="13330" max="13334" width="0" style="296" hidden="1" customWidth="1"/>
    <col min="13335" max="13355" width="4.6640625" style="296" customWidth="1"/>
    <col min="13356" max="13562" width="9.109375" style="296"/>
    <col min="13563" max="13563" width="3.44140625" style="296" customWidth="1"/>
    <col min="13564" max="13564" width="7.44140625" style="296" customWidth="1"/>
    <col min="13565" max="13570" width="9.33203125" style="296" customWidth="1"/>
    <col min="13571" max="13571" width="13.33203125" style="296" customWidth="1"/>
    <col min="13572" max="13572" width="1.6640625" style="296" customWidth="1"/>
    <col min="13573" max="13573" width="0.44140625" style="296" customWidth="1"/>
    <col min="13574" max="13583" width="0" style="296" hidden="1" customWidth="1"/>
    <col min="13584" max="13585" width="4.6640625" style="296" customWidth="1"/>
    <col min="13586" max="13590" width="0" style="296" hidden="1" customWidth="1"/>
    <col min="13591" max="13611" width="4.6640625" style="296" customWidth="1"/>
    <col min="13612" max="13818" width="9.109375" style="296"/>
    <col min="13819" max="13819" width="3.44140625" style="296" customWidth="1"/>
    <col min="13820" max="13820" width="7.44140625" style="296" customWidth="1"/>
    <col min="13821" max="13826" width="9.33203125" style="296" customWidth="1"/>
    <col min="13827" max="13827" width="13.33203125" style="296" customWidth="1"/>
    <col min="13828" max="13828" width="1.6640625" style="296" customWidth="1"/>
    <col min="13829" max="13829" width="0.44140625" style="296" customWidth="1"/>
    <col min="13830" max="13839" width="0" style="296" hidden="1" customWidth="1"/>
    <col min="13840" max="13841" width="4.6640625" style="296" customWidth="1"/>
    <col min="13842" max="13846" width="0" style="296" hidden="1" customWidth="1"/>
    <col min="13847" max="13867" width="4.6640625" style="296" customWidth="1"/>
    <col min="13868" max="14074" width="9.109375" style="296"/>
    <col min="14075" max="14075" width="3.44140625" style="296" customWidth="1"/>
    <col min="14076" max="14076" width="7.44140625" style="296" customWidth="1"/>
    <col min="14077" max="14082" width="9.33203125" style="296" customWidth="1"/>
    <col min="14083" max="14083" width="13.33203125" style="296" customWidth="1"/>
    <col min="14084" max="14084" width="1.6640625" style="296" customWidth="1"/>
    <col min="14085" max="14085" width="0.44140625" style="296" customWidth="1"/>
    <col min="14086" max="14095" width="0" style="296" hidden="1" customWidth="1"/>
    <col min="14096" max="14097" width="4.6640625" style="296" customWidth="1"/>
    <col min="14098" max="14102" width="0" style="296" hidden="1" customWidth="1"/>
    <col min="14103" max="14123" width="4.6640625" style="296" customWidth="1"/>
    <col min="14124" max="14330" width="9.109375" style="296"/>
    <col min="14331" max="14331" width="3.44140625" style="296" customWidth="1"/>
    <col min="14332" max="14332" width="7.44140625" style="296" customWidth="1"/>
    <col min="14333" max="14338" width="9.33203125" style="296" customWidth="1"/>
    <col min="14339" max="14339" width="13.33203125" style="296" customWidth="1"/>
    <col min="14340" max="14340" width="1.6640625" style="296" customWidth="1"/>
    <col min="14341" max="14341" width="0.44140625" style="296" customWidth="1"/>
    <col min="14342" max="14351" width="0" style="296" hidden="1" customWidth="1"/>
    <col min="14352" max="14353" width="4.6640625" style="296" customWidth="1"/>
    <col min="14354" max="14358" width="0" style="296" hidden="1" customWidth="1"/>
    <col min="14359" max="14379" width="4.6640625" style="296" customWidth="1"/>
    <col min="14380" max="14586" width="9.109375" style="296"/>
    <col min="14587" max="14587" width="3.44140625" style="296" customWidth="1"/>
    <col min="14588" max="14588" width="7.44140625" style="296" customWidth="1"/>
    <col min="14589" max="14594" width="9.33203125" style="296" customWidth="1"/>
    <col min="14595" max="14595" width="13.33203125" style="296" customWidth="1"/>
    <col min="14596" max="14596" width="1.6640625" style="296" customWidth="1"/>
    <col min="14597" max="14597" width="0.44140625" style="296" customWidth="1"/>
    <col min="14598" max="14607" width="0" style="296" hidden="1" customWidth="1"/>
    <col min="14608" max="14609" width="4.6640625" style="296" customWidth="1"/>
    <col min="14610" max="14614" width="0" style="296" hidden="1" customWidth="1"/>
    <col min="14615" max="14635" width="4.6640625" style="296" customWidth="1"/>
    <col min="14636" max="14842" width="9.109375" style="296"/>
    <col min="14843" max="14843" width="3.44140625" style="296" customWidth="1"/>
    <col min="14844" max="14844" width="7.44140625" style="296" customWidth="1"/>
    <col min="14845" max="14850" width="9.33203125" style="296" customWidth="1"/>
    <col min="14851" max="14851" width="13.33203125" style="296" customWidth="1"/>
    <col min="14852" max="14852" width="1.6640625" style="296" customWidth="1"/>
    <col min="14853" max="14853" width="0.44140625" style="296" customWidth="1"/>
    <col min="14854" max="14863" width="0" style="296" hidden="1" customWidth="1"/>
    <col min="14864" max="14865" width="4.6640625" style="296" customWidth="1"/>
    <col min="14866" max="14870" width="0" style="296" hidden="1" customWidth="1"/>
    <col min="14871" max="14891" width="4.6640625" style="296" customWidth="1"/>
    <col min="14892" max="15098" width="9.109375" style="296"/>
    <col min="15099" max="15099" width="3.44140625" style="296" customWidth="1"/>
    <col min="15100" max="15100" width="7.44140625" style="296" customWidth="1"/>
    <col min="15101" max="15106" width="9.33203125" style="296" customWidth="1"/>
    <col min="15107" max="15107" width="13.33203125" style="296" customWidth="1"/>
    <col min="15108" max="15108" width="1.6640625" style="296" customWidth="1"/>
    <col min="15109" max="15109" width="0.44140625" style="296" customWidth="1"/>
    <col min="15110" max="15119" width="0" style="296" hidden="1" customWidth="1"/>
    <col min="15120" max="15121" width="4.6640625" style="296" customWidth="1"/>
    <col min="15122" max="15126" width="0" style="296" hidden="1" customWidth="1"/>
    <col min="15127" max="15147" width="4.6640625" style="296" customWidth="1"/>
    <col min="15148" max="15354" width="9.109375" style="296"/>
    <col min="15355" max="15355" width="3.44140625" style="296" customWidth="1"/>
    <col min="15356" max="15356" width="7.44140625" style="296" customWidth="1"/>
    <col min="15357" max="15362" width="9.33203125" style="296" customWidth="1"/>
    <col min="15363" max="15363" width="13.33203125" style="296" customWidth="1"/>
    <col min="15364" max="15364" width="1.6640625" style="296" customWidth="1"/>
    <col min="15365" max="15365" width="0.44140625" style="296" customWidth="1"/>
    <col min="15366" max="15375" width="0" style="296" hidden="1" customWidth="1"/>
    <col min="15376" max="15377" width="4.6640625" style="296" customWidth="1"/>
    <col min="15378" max="15382" width="0" style="296" hidden="1" customWidth="1"/>
    <col min="15383" max="15403" width="4.6640625" style="296" customWidth="1"/>
    <col min="15404" max="15610" width="9.109375" style="296"/>
    <col min="15611" max="15611" width="3.44140625" style="296" customWidth="1"/>
    <col min="15612" max="15612" width="7.44140625" style="296" customWidth="1"/>
    <col min="15613" max="15618" width="9.33203125" style="296" customWidth="1"/>
    <col min="15619" max="15619" width="13.33203125" style="296" customWidth="1"/>
    <col min="15620" max="15620" width="1.6640625" style="296" customWidth="1"/>
    <col min="15621" max="15621" width="0.44140625" style="296" customWidth="1"/>
    <col min="15622" max="15631" width="0" style="296" hidden="1" customWidth="1"/>
    <col min="15632" max="15633" width="4.6640625" style="296" customWidth="1"/>
    <col min="15634" max="15638" width="0" style="296" hidden="1" customWidth="1"/>
    <col min="15639" max="15659" width="4.6640625" style="296" customWidth="1"/>
    <col min="15660" max="15866" width="9.109375" style="296"/>
    <col min="15867" max="15867" width="3.44140625" style="296" customWidth="1"/>
    <col min="15868" max="15868" width="7.44140625" style="296" customWidth="1"/>
    <col min="15869" max="15874" width="9.33203125" style="296" customWidth="1"/>
    <col min="15875" max="15875" width="13.33203125" style="296" customWidth="1"/>
    <col min="15876" max="15876" width="1.6640625" style="296" customWidth="1"/>
    <col min="15877" max="15877" width="0.44140625" style="296" customWidth="1"/>
    <col min="15878" max="15887" width="0" style="296" hidden="1" customWidth="1"/>
    <col min="15888" max="15889" width="4.6640625" style="296" customWidth="1"/>
    <col min="15890" max="15894" width="0" style="296" hidden="1" customWidth="1"/>
    <col min="15895" max="15915" width="4.6640625" style="296" customWidth="1"/>
    <col min="15916" max="16122" width="9.109375" style="296"/>
    <col min="16123" max="16123" width="3.44140625" style="296" customWidth="1"/>
    <col min="16124" max="16124" width="7.44140625" style="296" customWidth="1"/>
    <col min="16125" max="16130" width="9.33203125" style="296" customWidth="1"/>
    <col min="16131" max="16131" width="13.33203125" style="296" customWidth="1"/>
    <col min="16132" max="16132" width="1.6640625" style="296" customWidth="1"/>
    <col min="16133" max="16133" width="0.44140625" style="296" customWidth="1"/>
    <col min="16134" max="16143" width="0" style="296" hidden="1" customWidth="1"/>
    <col min="16144" max="16145" width="4.6640625" style="296" customWidth="1"/>
    <col min="16146" max="16150" width="0" style="296" hidden="1" customWidth="1"/>
    <col min="16151" max="16171" width="4.6640625" style="296" customWidth="1"/>
    <col min="16172" max="16384" width="9.109375" style="296"/>
  </cols>
  <sheetData>
    <row r="1" spans="1:30" ht="18.899999999999999" customHeight="1">
      <c r="A1" s="299"/>
      <c r="B1" s="789"/>
      <c r="C1" s="789"/>
      <c r="D1" s="314"/>
      <c r="E1" s="299"/>
      <c r="F1" s="315"/>
      <c r="G1" s="315"/>
      <c r="H1" s="315"/>
      <c r="I1" s="316"/>
      <c r="J1" s="316"/>
      <c r="K1" s="316"/>
      <c r="L1" s="316"/>
      <c r="M1" s="316"/>
      <c r="N1" s="317"/>
      <c r="O1" s="317"/>
      <c r="P1" s="317"/>
      <c r="Q1" s="317"/>
      <c r="AB1" s="339" t="s">
        <v>314</v>
      </c>
      <c r="AC1" s="340"/>
      <c r="AD1" s="339" t="s">
        <v>23</v>
      </c>
    </row>
    <row r="2" spans="1:30" ht="18.899999999999999" customHeight="1">
      <c r="A2" s="299"/>
      <c r="B2" s="789"/>
      <c r="C2" s="789"/>
      <c r="D2" s="314"/>
      <c r="E2" s="299"/>
      <c r="F2" s="315"/>
      <c r="G2" s="315"/>
      <c r="H2" s="315"/>
      <c r="I2" s="316"/>
      <c r="J2" s="316"/>
      <c r="K2" s="316"/>
      <c r="L2" s="316"/>
      <c r="M2" s="316"/>
      <c r="N2" s="317"/>
      <c r="O2" s="317"/>
      <c r="P2" s="317"/>
      <c r="Q2" s="317"/>
      <c r="AB2" s="341">
        <f>QQP!G55</f>
        <v>733060.91</v>
      </c>
      <c r="AC2" s="340"/>
      <c r="AD2" s="342">
        <f>'CPU  1 '!DS151</f>
        <v>1.4822266934942994</v>
      </c>
    </row>
    <row r="3" spans="1:30" ht="30" customHeight="1">
      <c r="A3" s="299"/>
      <c r="B3" s="790" t="s">
        <v>504</v>
      </c>
      <c r="C3" s="791"/>
      <c r="D3" s="371">
        <f>D16</f>
        <v>0.20500000000000002</v>
      </c>
      <c r="E3" s="299"/>
      <c r="F3" s="315"/>
      <c r="G3" s="315"/>
      <c r="H3" s="315"/>
      <c r="I3" s="316"/>
      <c r="J3" s="316"/>
      <c r="K3" s="316"/>
      <c r="L3" s="316"/>
      <c r="M3" s="316"/>
      <c r="N3" s="317"/>
      <c r="O3" s="317"/>
      <c r="P3" s="317"/>
      <c r="Q3" s="317"/>
    </row>
    <row r="4" spans="1:30" ht="21.9" customHeight="1">
      <c r="A4" s="299"/>
      <c r="B4" s="553">
        <v>1</v>
      </c>
      <c r="C4" s="515" t="s">
        <v>505</v>
      </c>
      <c r="D4" s="372">
        <v>0.1</v>
      </c>
      <c r="E4" s="299"/>
      <c r="F4" s="315"/>
      <c r="G4" s="315"/>
      <c r="H4" s="315"/>
      <c r="I4" s="316"/>
      <c r="J4" s="316"/>
      <c r="K4" s="316"/>
      <c r="L4" s="316"/>
      <c r="M4" s="316"/>
      <c r="N4" s="317"/>
      <c r="O4" s="317"/>
      <c r="P4" s="317"/>
      <c r="Q4" s="317"/>
      <c r="S4" s="318"/>
    </row>
    <row r="5" spans="1:30" ht="21.9" customHeight="1">
      <c r="A5" s="299"/>
      <c r="B5" s="553">
        <v>2</v>
      </c>
      <c r="C5" s="515" t="s">
        <v>506</v>
      </c>
      <c r="D5" s="373">
        <f>SUM(D6:D14)</f>
        <v>0.10500000000000001</v>
      </c>
      <c r="E5" s="299"/>
      <c r="F5" s="315"/>
      <c r="G5" s="315"/>
      <c r="H5" s="315"/>
      <c r="I5" s="316"/>
      <c r="J5" s="316"/>
      <c r="K5" s="316"/>
      <c r="L5" s="316"/>
      <c r="M5" s="316"/>
      <c r="N5" s="317"/>
      <c r="O5" s="317"/>
      <c r="P5" s="317"/>
      <c r="Q5" s="317"/>
      <c r="S5" s="318"/>
    </row>
    <row r="6" spans="1:30" ht="15" customHeight="1">
      <c r="A6" s="299"/>
      <c r="B6" s="516" t="s">
        <v>174</v>
      </c>
      <c r="C6" s="374" t="s">
        <v>507</v>
      </c>
      <c r="D6" s="794">
        <v>0.02</v>
      </c>
      <c r="E6" s="299"/>
      <c r="F6" s="315"/>
      <c r="G6" s="315"/>
      <c r="H6" s="315"/>
      <c r="I6" s="316"/>
      <c r="J6" s="316"/>
      <c r="K6" s="316"/>
      <c r="L6" s="316"/>
      <c r="M6" s="316"/>
      <c r="N6" s="317"/>
      <c r="O6" s="317"/>
      <c r="P6" s="317"/>
      <c r="Q6" s="317"/>
      <c r="S6" s="318"/>
      <c r="AD6" s="321"/>
    </row>
    <row r="7" spans="1:30" ht="179.25" customHeight="1">
      <c r="A7" s="299"/>
      <c r="B7" s="322"/>
      <c r="C7" s="323" t="s">
        <v>508</v>
      </c>
      <c r="D7" s="795"/>
      <c r="E7" s="299"/>
      <c r="F7" s="315"/>
      <c r="G7" s="315"/>
      <c r="H7" s="315"/>
      <c r="I7" s="316"/>
      <c r="J7" s="316"/>
      <c r="K7" s="316"/>
      <c r="L7" s="316"/>
      <c r="M7" s="316"/>
      <c r="N7" s="317"/>
      <c r="O7" s="317"/>
      <c r="P7" s="317"/>
      <c r="Q7" s="317"/>
      <c r="S7" s="318"/>
    </row>
    <row r="8" spans="1:30" ht="15" customHeight="1">
      <c r="A8" s="299"/>
      <c r="B8" s="516" t="s">
        <v>185</v>
      </c>
      <c r="C8" s="374" t="s">
        <v>509</v>
      </c>
      <c r="D8" s="794">
        <v>0.02</v>
      </c>
      <c r="E8" s="299"/>
      <c r="F8" s="315"/>
      <c r="G8" s="315"/>
      <c r="H8" s="315"/>
      <c r="I8" s="316"/>
      <c r="J8" s="316"/>
      <c r="K8" s="316"/>
      <c r="L8" s="316"/>
      <c r="M8" s="316"/>
      <c r="N8" s="317"/>
      <c r="O8" s="317"/>
      <c r="P8" s="317"/>
      <c r="Q8" s="317"/>
      <c r="S8" s="318"/>
    </row>
    <row r="9" spans="1:30" ht="126.75" customHeight="1">
      <c r="A9" s="299"/>
      <c r="B9" s="324"/>
      <c r="C9" s="323" t="s">
        <v>510</v>
      </c>
      <c r="D9" s="795"/>
      <c r="E9" s="299"/>
      <c r="F9" s="315"/>
      <c r="G9" s="315"/>
      <c r="H9" s="315"/>
      <c r="I9" s="316"/>
      <c r="J9" s="316"/>
      <c r="K9" s="316"/>
      <c r="L9" s="316"/>
      <c r="M9" s="316"/>
      <c r="N9" s="317"/>
      <c r="O9" s="317"/>
      <c r="P9" s="317"/>
      <c r="Q9" s="317"/>
      <c r="S9" s="318"/>
    </row>
    <row r="10" spans="1:30" ht="15" customHeight="1">
      <c r="A10" s="299"/>
      <c r="B10" s="516" t="s">
        <v>193</v>
      </c>
      <c r="C10" s="374" t="s">
        <v>511</v>
      </c>
      <c r="D10" s="794">
        <v>3.5000000000000003E-2</v>
      </c>
      <c r="E10" s="299"/>
      <c r="F10" s="315"/>
      <c r="G10" s="315"/>
      <c r="H10" s="315"/>
      <c r="I10" s="316"/>
      <c r="J10" s="316"/>
      <c r="K10" s="316"/>
      <c r="L10" s="316"/>
      <c r="M10" s="316"/>
      <c r="N10" s="317"/>
      <c r="O10" s="317"/>
      <c r="P10" s="317"/>
      <c r="Q10" s="317"/>
      <c r="S10" s="318"/>
    </row>
    <row r="11" spans="1:30" ht="116.25" customHeight="1">
      <c r="A11" s="299"/>
      <c r="B11" s="324"/>
      <c r="C11" s="323" t="s">
        <v>512</v>
      </c>
      <c r="D11" s="795"/>
      <c r="E11" s="299"/>
      <c r="F11" s="315"/>
      <c r="G11" s="315"/>
      <c r="H11" s="315"/>
      <c r="I11" s="316"/>
      <c r="J11" s="316"/>
      <c r="K11" s="316"/>
      <c r="L11" s="316"/>
      <c r="M11" s="316"/>
      <c r="N11" s="317"/>
      <c r="O11" s="317"/>
      <c r="P11" s="317"/>
      <c r="Q11" s="317"/>
      <c r="S11" s="318"/>
    </row>
    <row r="12" spans="1:30" ht="15" customHeight="1">
      <c r="A12" s="299"/>
      <c r="B12" s="516" t="s">
        <v>513</v>
      </c>
      <c r="C12" s="374" t="s">
        <v>514</v>
      </c>
      <c r="D12" s="794">
        <v>0.02</v>
      </c>
      <c r="E12" s="299"/>
      <c r="F12" s="315"/>
      <c r="G12" s="315"/>
      <c r="H12" s="315"/>
      <c r="I12" s="316"/>
      <c r="J12" s="316"/>
      <c r="K12" s="316"/>
      <c r="L12" s="316"/>
      <c r="M12" s="316"/>
      <c r="N12" s="317"/>
      <c r="O12" s="317"/>
      <c r="P12" s="317"/>
      <c r="Q12" s="317"/>
      <c r="S12" s="318"/>
    </row>
    <row r="13" spans="1:30" ht="195.75" customHeight="1">
      <c r="A13" s="299"/>
      <c r="B13" s="324"/>
      <c r="C13" s="323" t="s">
        <v>515</v>
      </c>
      <c r="D13" s="795"/>
      <c r="E13" s="299"/>
      <c r="F13" s="315"/>
      <c r="G13" s="315"/>
      <c r="H13" s="315"/>
      <c r="I13" s="316"/>
      <c r="J13" s="316"/>
      <c r="K13" s="316"/>
      <c r="L13" s="316"/>
      <c r="M13" s="316"/>
      <c r="N13" s="317"/>
      <c r="O13" s="317"/>
      <c r="P13" s="317"/>
      <c r="Q13" s="317"/>
      <c r="S13" s="318"/>
    </row>
    <row r="14" spans="1:30" ht="15" customHeight="1">
      <c r="A14" s="299"/>
      <c r="B14" s="516" t="s">
        <v>516</v>
      </c>
      <c r="C14" s="374" t="s">
        <v>517</v>
      </c>
      <c r="D14" s="794">
        <v>0.01</v>
      </c>
      <c r="E14" s="299"/>
      <c r="F14" s="315"/>
      <c r="G14" s="315"/>
      <c r="H14" s="315"/>
      <c r="I14" s="316"/>
      <c r="J14" s="316"/>
      <c r="K14" s="316"/>
      <c r="L14" s="316"/>
      <c r="M14" s="316"/>
      <c r="N14" s="317"/>
      <c r="O14" s="317"/>
      <c r="P14" s="317"/>
      <c r="Q14" s="317"/>
      <c r="S14" s="318"/>
    </row>
    <row r="15" spans="1:30" ht="23.25" customHeight="1">
      <c r="A15" s="299"/>
      <c r="B15" s="378"/>
      <c r="C15" s="379" t="s">
        <v>518</v>
      </c>
      <c r="D15" s="795"/>
      <c r="E15" s="299"/>
      <c r="F15" s="315"/>
      <c r="G15" s="315"/>
      <c r="H15" s="315"/>
      <c r="I15" s="316"/>
      <c r="J15" s="316"/>
      <c r="K15" s="316"/>
      <c r="L15" s="316"/>
      <c r="M15" s="316"/>
      <c r="N15" s="317"/>
      <c r="O15" s="317"/>
      <c r="P15" s="317"/>
      <c r="Q15" s="317"/>
      <c r="S15" s="318"/>
    </row>
    <row r="16" spans="1:30" ht="21.9" customHeight="1">
      <c r="A16" s="299"/>
      <c r="B16" s="553">
        <v>3</v>
      </c>
      <c r="C16" s="515" t="s">
        <v>519</v>
      </c>
      <c r="D16" s="375">
        <f>D5+D4</f>
        <v>0.20500000000000002</v>
      </c>
      <c r="E16" s="299"/>
      <c r="F16" s="315"/>
      <c r="G16" s="315"/>
      <c r="H16" s="315"/>
      <c r="I16" s="316"/>
      <c r="J16" s="316"/>
      <c r="K16" s="316"/>
      <c r="L16" s="316"/>
      <c r="M16" s="316"/>
      <c r="N16" s="317"/>
      <c r="O16" s="317"/>
      <c r="P16" s="317"/>
      <c r="Q16" s="317"/>
      <c r="S16" s="318"/>
    </row>
    <row r="17" spans="1:27" ht="21.75" customHeight="1">
      <c r="B17" s="380"/>
      <c r="C17" s="380"/>
      <c r="D17" s="381"/>
      <c r="N17" s="320"/>
      <c r="O17" s="320"/>
      <c r="P17" s="320"/>
      <c r="Q17" s="320"/>
      <c r="R17" s="320"/>
      <c r="S17" s="320"/>
      <c r="T17" s="320"/>
      <c r="U17" s="320"/>
    </row>
    <row r="18" spans="1:27" ht="27.75" customHeight="1">
      <c r="A18" s="299"/>
      <c r="B18" s="792" t="s">
        <v>129</v>
      </c>
      <c r="C18" s="793"/>
      <c r="D18" s="325">
        <f>D27</f>
        <v>0.15450000000000003</v>
      </c>
      <c r="E18" s="299"/>
      <c r="F18" s="315"/>
      <c r="G18" s="315"/>
      <c r="H18" s="315"/>
      <c r="I18" s="316"/>
      <c r="J18" s="316"/>
      <c r="K18" s="316"/>
      <c r="L18" s="316"/>
      <c r="M18" s="316"/>
      <c r="N18" s="317"/>
      <c r="O18" s="317"/>
      <c r="P18" s="317"/>
      <c r="Q18" s="317"/>
      <c r="S18" s="318"/>
    </row>
    <row r="19" spans="1:27" ht="39" customHeight="1">
      <c r="A19" s="299"/>
      <c r="B19" s="787"/>
      <c r="C19" s="788"/>
      <c r="D19" s="376"/>
      <c r="E19" s="299"/>
      <c r="F19" s="786" t="s">
        <v>520</v>
      </c>
      <c r="G19" s="786"/>
      <c r="H19" s="786"/>
      <c r="I19" s="786"/>
      <c r="J19" s="786"/>
      <c r="K19" s="786"/>
      <c r="L19" s="786"/>
      <c r="M19" s="786"/>
      <c r="N19" s="786"/>
      <c r="O19" s="317"/>
      <c r="P19" s="317"/>
      <c r="Q19" s="317"/>
      <c r="S19" s="318"/>
    </row>
    <row r="20" spans="1:27" ht="21" customHeight="1">
      <c r="B20" s="554">
        <v>1</v>
      </c>
      <c r="C20" s="517" t="s">
        <v>130</v>
      </c>
      <c r="D20" s="377">
        <v>0.05</v>
      </c>
      <c r="E20" s="299"/>
      <c r="F20" s="315"/>
      <c r="G20" s="315"/>
      <c r="H20" s="315"/>
      <c r="I20" s="316"/>
      <c r="J20" s="316"/>
      <c r="K20" s="316"/>
      <c r="L20" s="316"/>
      <c r="M20" s="316"/>
      <c r="N20" s="317"/>
      <c r="O20" s="317"/>
      <c r="P20" s="317"/>
      <c r="Q20" s="317"/>
      <c r="S20" s="318"/>
      <c r="T20" s="326">
        <v>0.03</v>
      </c>
      <c r="U20" s="327"/>
    </row>
    <row r="21" spans="1:27" ht="21" customHeight="1">
      <c r="B21" s="555">
        <v>2</v>
      </c>
      <c r="C21" s="517" t="s">
        <v>131</v>
      </c>
      <c r="D21" s="377">
        <v>0.03</v>
      </c>
      <c r="E21" s="299"/>
      <c r="F21" s="315"/>
      <c r="G21" s="315"/>
      <c r="H21" s="315"/>
      <c r="I21" s="316"/>
      <c r="J21" s="316"/>
      <c r="K21" s="316"/>
      <c r="L21" s="316"/>
      <c r="M21" s="316"/>
      <c r="N21" s="328"/>
      <c r="O21" s="328"/>
      <c r="P21" s="317"/>
      <c r="Q21" s="317"/>
      <c r="S21" s="318"/>
      <c r="T21" s="326">
        <v>0.04</v>
      </c>
      <c r="U21" s="329"/>
    </row>
    <row r="22" spans="1:27" ht="21" customHeight="1">
      <c r="B22" s="555">
        <v>3</v>
      </c>
      <c r="C22" s="517" t="s">
        <v>132</v>
      </c>
      <c r="D22" s="377">
        <v>6.4999999999999997E-3</v>
      </c>
      <c r="E22" s="299"/>
      <c r="F22" s="315"/>
      <c r="G22" s="315"/>
      <c r="H22" s="315"/>
      <c r="I22" s="316"/>
      <c r="J22" s="316"/>
      <c r="K22" s="316"/>
      <c r="L22" s="316"/>
      <c r="M22" s="316"/>
      <c r="N22" s="317"/>
      <c r="O22" s="317"/>
      <c r="P22" s="317"/>
      <c r="Q22" s="317"/>
      <c r="S22" s="318"/>
      <c r="T22" s="326">
        <v>0.05</v>
      </c>
      <c r="U22" s="329"/>
    </row>
    <row r="23" spans="1:27" ht="21" customHeight="1">
      <c r="B23" s="555">
        <v>4</v>
      </c>
      <c r="C23" s="517" t="s">
        <v>133</v>
      </c>
      <c r="D23" s="377">
        <f>0.2*0.09</f>
        <v>1.7999999999999999E-2</v>
      </c>
      <c r="E23" s="299"/>
      <c r="F23" s="315"/>
      <c r="G23" s="315"/>
      <c r="H23" s="315"/>
      <c r="I23" s="316"/>
      <c r="J23" s="316"/>
      <c r="K23" s="316"/>
      <c r="L23" s="316"/>
      <c r="M23" s="316"/>
      <c r="N23" s="785"/>
      <c r="O23" s="785"/>
      <c r="P23" s="330">
        <v>2</v>
      </c>
      <c r="Q23" s="331"/>
      <c r="R23" s="332"/>
      <c r="S23" s="318"/>
      <c r="U23" s="329"/>
      <c r="AA23" s="433">
        <v>2.8799999999999999E-2</v>
      </c>
    </row>
    <row r="24" spans="1:27" ht="21" customHeight="1">
      <c r="B24" s="555">
        <v>5</v>
      </c>
      <c r="C24" s="517" t="s">
        <v>134</v>
      </c>
      <c r="D24" s="377">
        <f>0.2*0.15</f>
        <v>0.03</v>
      </c>
      <c r="E24" s="299"/>
      <c r="F24" s="315"/>
      <c r="G24" s="315"/>
      <c r="H24" s="315"/>
      <c r="I24" s="316"/>
      <c r="J24" s="316"/>
      <c r="K24" s="316"/>
      <c r="L24" s="316"/>
      <c r="M24" s="316"/>
      <c r="N24" s="333"/>
      <c r="O24" s="333"/>
      <c r="P24" s="333"/>
      <c r="Q24" s="333"/>
      <c r="R24" s="329"/>
      <c r="S24" s="318"/>
      <c r="T24" s="329"/>
      <c r="U24" s="329"/>
      <c r="AA24" s="433">
        <v>4.8000000000000001E-2</v>
      </c>
    </row>
    <row r="25" spans="1:27" ht="21" customHeight="1">
      <c r="B25" s="555">
        <v>6</v>
      </c>
      <c r="C25" s="517" t="s">
        <v>521</v>
      </c>
      <c r="D25" s="377">
        <f>0.1*0.2</f>
        <v>2.0000000000000004E-2</v>
      </c>
      <c r="E25" s="299"/>
      <c r="F25" s="315"/>
      <c r="G25" s="315"/>
      <c r="H25" s="315"/>
      <c r="I25" s="316"/>
      <c r="J25" s="316"/>
      <c r="K25" s="316"/>
      <c r="L25" s="316"/>
      <c r="M25" s="316"/>
      <c r="N25" s="333"/>
      <c r="O25" s="333"/>
      <c r="P25" s="333"/>
      <c r="Q25" s="333"/>
      <c r="R25" s="329"/>
      <c r="S25" s="318"/>
      <c r="T25" s="329"/>
      <c r="U25" s="329"/>
      <c r="AA25" s="433">
        <v>3.1800000000000002E-2</v>
      </c>
    </row>
    <row r="26" spans="1:27" ht="21" customHeight="1">
      <c r="B26" s="555">
        <v>7</v>
      </c>
      <c r="C26" s="517" t="s">
        <v>522</v>
      </c>
      <c r="D26" s="343"/>
      <c r="E26" s="299"/>
      <c r="F26" s="315"/>
      <c r="G26" s="334"/>
      <c r="H26" s="334"/>
      <c r="I26" s="334"/>
      <c r="J26" s="334"/>
      <c r="K26" s="334"/>
      <c r="L26" s="334"/>
      <c r="M26" s="334"/>
      <c r="N26" s="333"/>
      <c r="O26" s="317"/>
      <c r="P26" s="333"/>
      <c r="Q26" s="317"/>
      <c r="R26" s="329"/>
      <c r="S26" s="318"/>
      <c r="T26" s="329"/>
      <c r="U26" s="329"/>
    </row>
    <row r="27" spans="1:27" ht="21" customHeight="1">
      <c r="B27" s="556">
        <v>8</v>
      </c>
      <c r="C27" s="518" t="s">
        <v>523</v>
      </c>
      <c r="D27" s="373">
        <f>SUM(D20:D25)</f>
        <v>0.15450000000000003</v>
      </c>
      <c r="E27" s="299"/>
      <c r="F27" s="315"/>
      <c r="G27" s="315"/>
      <c r="H27" s="315"/>
      <c r="I27" s="316"/>
      <c r="J27" s="316"/>
      <c r="K27" s="316"/>
      <c r="L27" s="316"/>
      <c r="M27" s="316"/>
      <c r="N27" s="317"/>
      <c r="O27" s="317"/>
      <c r="P27" s="317"/>
      <c r="Q27" s="317"/>
      <c r="S27" s="318"/>
    </row>
    <row r="28" spans="1:27" ht="15" customHeight="1">
      <c r="A28" s="299"/>
      <c r="B28" s="335"/>
      <c r="C28" s="335"/>
      <c r="E28" s="299"/>
      <c r="F28" s="315"/>
      <c r="G28" s="315"/>
      <c r="H28" s="315"/>
      <c r="I28" s="316"/>
      <c r="J28" s="316"/>
      <c r="K28" s="316"/>
      <c r="L28" s="316"/>
      <c r="M28" s="316"/>
      <c r="N28" s="317"/>
      <c r="O28" s="317"/>
      <c r="P28" s="317"/>
      <c r="Q28" s="317"/>
    </row>
    <row r="29" spans="1:27" ht="15" customHeight="1">
      <c r="A29" s="299"/>
      <c r="B29" s="335"/>
      <c r="C29" s="335"/>
      <c r="D29" s="337"/>
      <c r="E29" s="299"/>
      <c r="F29" s="315"/>
      <c r="G29" s="315"/>
      <c r="H29" s="315"/>
      <c r="I29" s="316"/>
      <c r="J29" s="316"/>
      <c r="K29" s="316"/>
      <c r="L29" s="316"/>
      <c r="M29" s="316"/>
      <c r="N29" s="317"/>
      <c r="O29" s="317"/>
      <c r="P29" s="317"/>
      <c r="Q29" s="317"/>
    </row>
    <row r="30" spans="1:27" ht="15" customHeight="1">
      <c r="A30" s="299"/>
      <c r="B30" s="335"/>
      <c r="C30" s="335"/>
      <c r="D30" s="335"/>
      <c r="E30" s="299"/>
      <c r="F30" s="315"/>
      <c r="G30" s="315"/>
      <c r="H30" s="315"/>
      <c r="I30" s="316"/>
      <c r="J30" s="316"/>
      <c r="K30" s="316"/>
      <c r="L30" s="316"/>
      <c r="M30" s="316"/>
      <c r="N30" s="317"/>
      <c r="O30" s="317"/>
      <c r="P30" s="317"/>
      <c r="Q30" s="317"/>
    </row>
  </sheetData>
  <mergeCells count="11">
    <mergeCell ref="N23:O23"/>
    <mergeCell ref="F19:N19"/>
    <mergeCell ref="B19:C19"/>
    <mergeCell ref="B1:C2"/>
    <mergeCell ref="B3:C3"/>
    <mergeCell ref="B18:C18"/>
    <mergeCell ref="D6:D7"/>
    <mergeCell ref="D8:D9"/>
    <mergeCell ref="D10:D11"/>
    <mergeCell ref="D12:D13"/>
    <mergeCell ref="D14:D15"/>
  </mergeCells>
  <conditionalFormatting sqref="B26:C26">
    <cfRule type="expression" dxfId="6" priority="325" stopIfTrue="1">
      <formula>IF($P$23=3,0,1)</formula>
    </cfRule>
  </conditionalFormatting>
  <conditionalFormatting sqref="D20:D25">
    <cfRule type="expression" dxfId="5" priority="326" stopIfTrue="1">
      <formula>IF($P$23&lt;&gt;3,0,1)</formula>
    </cfRule>
  </conditionalFormatting>
  <conditionalFormatting sqref="D26">
    <cfRule type="expression" dxfId="4" priority="327" stopIfTrue="1">
      <formula>IF($P$23=3,0,1)</formula>
    </cfRule>
  </conditionalFormatting>
  <conditionalFormatting sqref="G26:M26">
    <cfRule type="expression" dxfId="3" priority="2" stopIfTrue="1">
      <formula>IF(#REF!=0,0,1)</formula>
    </cfRule>
  </conditionalFormatting>
  <printOptions horizontalCentered="1"/>
  <pageMargins left="0.19685039370078741" right="0.19685039370078741" top="0.39370078740157483" bottom="0.39370078740157483" header="0" footer="0"/>
  <pageSetup paperSize="9" scale="73"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32775" r:id="rId4" name="Botão de opção 16">
              <controlPr defaultSize="0" autoFill="0" autoLine="0" autoPict="0" altText="Lucro Presumido">
                <anchor moveWithCells="1" sizeWithCells="1">
                  <from>
                    <xdr:col>1</xdr:col>
                    <xdr:colOff>251460</xdr:colOff>
                    <xdr:row>18</xdr:row>
                    <xdr:rowOff>83820</xdr:rowOff>
                  </from>
                  <to>
                    <xdr:col>2</xdr:col>
                    <xdr:colOff>1379220</xdr:colOff>
                    <xdr:row>18</xdr:row>
                    <xdr:rowOff>419100</xdr:rowOff>
                  </to>
                </anchor>
              </controlPr>
            </control>
          </mc:Choice>
        </mc:AlternateContent>
        <mc:AlternateContent xmlns:mc="http://schemas.openxmlformats.org/markup-compatibility/2006">
          <mc:Choice Requires="x14">
            <control shapeId="32776" r:id="rId5" name="Botão de opção 17">
              <controlPr defaultSize="0" autoFill="0" autoLine="0" autoPict="0" altText="Lucro Real">
                <anchor moveWithCells="1" sizeWithCells="1">
                  <from>
                    <xdr:col>2</xdr:col>
                    <xdr:colOff>2087880</xdr:colOff>
                    <xdr:row>18</xdr:row>
                    <xdr:rowOff>83820</xdr:rowOff>
                  </from>
                  <to>
                    <xdr:col>2</xdr:col>
                    <xdr:colOff>3733800</xdr:colOff>
                    <xdr:row>18</xdr:row>
                    <xdr:rowOff>419100</xdr:rowOff>
                  </to>
                </anchor>
              </controlPr>
            </control>
          </mc:Choice>
        </mc:AlternateContent>
        <mc:AlternateContent xmlns:mc="http://schemas.openxmlformats.org/markup-compatibility/2006">
          <mc:Choice Requires="x14">
            <control shapeId="32777" r:id="rId6" name="Botão de opção 18">
              <controlPr defaultSize="0" autoFill="0" autoLine="0" autoPict="0" altText="Simples Nacional">
                <anchor moveWithCells="1" sizeWithCells="1">
                  <from>
                    <xdr:col>2</xdr:col>
                    <xdr:colOff>4579620</xdr:colOff>
                    <xdr:row>18</xdr:row>
                    <xdr:rowOff>76200</xdr:rowOff>
                  </from>
                  <to>
                    <xdr:col>2</xdr:col>
                    <xdr:colOff>6248400</xdr:colOff>
                    <xdr:row>18</xdr:row>
                    <xdr:rowOff>426720</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Plan2"/>
  <dimension ref="B1:AT33"/>
  <sheetViews>
    <sheetView showGridLines="0" zoomScaleNormal="100" zoomScaleSheetLayoutView="100" zoomScalePageLayoutView="70" workbookViewId="0">
      <pane ySplit="3" topLeftCell="A4" activePane="bottomLeft" state="frozen"/>
      <selection pane="bottomLeft" activeCell="D8" sqref="D8"/>
    </sheetView>
  </sheetViews>
  <sheetFormatPr defaultColWidth="9.109375" defaultRowHeight="15" customHeight="1"/>
  <cols>
    <col min="1" max="1" width="1.6640625" style="296" customWidth="1"/>
    <col min="2" max="2" width="9.44140625" style="336" customWidth="1"/>
    <col min="3" max="3" width="105.5546875" style="336" customWidth="1"/>
    <col min="4" max="4" width="14.6640625" style="336" customWidth="1"/>
    <col min="5" max="5" width="2.33203125" style="296" hidden="1" customWidth="1"/>
    <col min="6" max="6" width="5.44140625" style="296" hidden="1" customWidth="1"/>
    <col min="7" max="8" width="4.6640625" style="338" hidden="1" customWidth="1"/>
    <col min="9" max="9" width="23.6640625" style="338" hidden="1" customWidth="1"/>
    <col min="10" max="11" width="4.6640625" style="320" hidden="1" customWidth="1"/>
    <col min="12" max="12" width="7.33203125" style="320" hidden="1" customWidth="1"/>
    <col min="13" max="15" width="4.6640625" style="320" hidden="1" customWidth="1"/>
    <col min="16" max="16" width="7.33203125" style="320" hidden="1" customWidth="1"/>
    <col min="17" max="18" width="4.6640625" style="320" hidden="1" customWidth="1"/>
    <col min="19" max="19" width="11.6640625" style="320" hidden="1" customWidth="1"/>
    <col min="20" max="22" width="4.6640625" style="320" hidden="1" customWidth="1"/>
    <col min="23" max="24" width="8.6640625" style="320" hidden="1" customWidth="1"/>
    <col min="25" max="25" width="5.6640625" style="320" hidden="1" customWidth="1"/>
    <col min="26" max="26" width="2" style="320" hidden="1" customWidth="1"/>
    <col min="27" max="28" width="5.109375" style="320" hidden="1" customWidth="1"/>
    <col min="29" max="34" width="4.6640625" style="320" hidden="1" customWidth="1"/>
    <col min="35" max="40" width="9" style="320" customWidth="1"/>
    <col min="41" max="41" width="5.33203125" style="320" customWidth="1"/>
    <col min="42" max="45" width="9.109375" style="320" customWidth="1"/>
    <col min="46" max="246" width="9.109375" style="296"/>
    <col min="247" max="247" width="3.44140625" style="296" customWidth="1"/>
    <col min="248" max="248" width="24.44140625" style="296" customWidth="1"/>
    <col min="249" max="249" width="39.44140625" style="296" customWidth="1"/>
    <col min="250" max="258" width="5.33203125" style="296" customWidth="1"/>
    <col min="259" max="259" width="6.44140625" style="296" customWidth="1"/>
    <col min="260" max="260" width="6.109375" style="296" customWidth="1"/>
    <col min="261" max="261" width="2" style="296" customWidth="1"/>
    <col min="262" max="262" width="1.6640625" style="296" customWidth="1"/>
    <col min="263" max="297" width="0" style="296" hidden="1" customWidth="1"/>
    <col min="298" max="502" width="9.109375" style="296"/>
    <col min="503" max="503" width="3.44140625" style="296" customWidth="1"/>
    <col min="504" max="504" width="24.44140625" style="296" customWidth="1"/>
    <col min="505" max="505" width="39.44140625" style="296" customWidth="1"/>
    <col min="506" max="514" width="5.33203125" style="296" customWidth="1"/>
    <col min="515" max="515" width="6.44140625" style="296" customWidth="1"/>
    <col min="516" max="516" width="6.109375" style="296" customWidth="1"/>
    <col min="517" max="517" width="2" style="296" customWidth="1"/>
    <col min="518" max="518" width="1.6640625" style="296" customWidth="1"/>
    <col min="519" max="553" width="0" style="296" hidden="1" customWidth="1"/>
    <col min="554" max="758" width="9.109375" style="296"/>
    <col min="759" max="759" width="3.44140625" style="296" customWidth="1"/>
    <col min="760" max="760" width="24.44140625" style="296" customWidth="1"/>
    <col min="761" max="761" width="39.44140625" style="296" customWidth="1"/>
    <col min="762" max="770" width="5.33203125" style="296" customWidth="1"/>
    <col min="771" max="771" width="6.44140625" style="296" customWidth="1"/>
    <col min="772" max="772" width="6.109375" style="296" customWidth="1"/>
    <col min="773" max="773" width="2" style="296" customWidth="1"/>
    <col min="774" max="774" width="1.6640625" style="296" customWidth="1"/>
    <col min="775" max="809" width="0" style="296" hidden="1" customWidth="1"/>
    <col min="810" max="1014" width="9.109375" style="296"/>
    <col min="1015" max="1015" width="3.44140625" style="296" customWidth="1"/>
    <col min="1016" max="1016" width="24.44140625" style="296" customWidth="1"/>
    <col min="1017" max="1017" width="39.44140625" style="296" customWidth="1"/>
    <col min="1018" max="1026" width="5.33203125" style="296" customWidth="1"/>
    <col min="1027" max="1027" width="6.44140625" style="296" customWidth="1"/>
    <col min="1028" max="1028" width="6.109375" style="296" customWidth="1"/>
    <col min="1029" max="1029" width="2" style="296" customWidth="1"/>
    <col min="1030" max="1030" width="1.6640625" style="296" customWidth="1"/>
    <col min="1031" max="1065" width="0" style="296" hidden="1" customWidth="1"/>
    <col min="1066" max="1270" width="9.109375" style="296"/>
    <col min="1271" max="1271" width="3.44140625" style="296" customWidth="1"/>
    <col min="1272" max="1272" width="24.44140625" style="296" customWidth="1"/>
    <col min="1273" max="1273" width="39.44140625" style="296" customWidth="1"/>
    <col min="1274" max="1282" width="5.33203125" style="296" customWidth="1"/>
    <col min="1283" max="1283" width="6.44140625" style="296" customWidth="1"/>
    <col min="1284" max="1284" width="6.109375" style="296" customWidth="1"/>
    <col min="1285" max="1285" width="2" style="296" customWidth="1"/>
    <col min="1286" max="1286" width="1.6640625" style="296" customWidth="1"/>
    <col min="1287" max="1321" width="0" style="296" hidden="1" customWidth="1"/>
    <col min="1322" max="1526" width="9.109375" style="296"/>
    <col min="1527" max="1527" width="3.44140625" style="296" customWidth="1"/>
    <col min="1528" max="1528" width="24.44140625" style="296" customWidth="1"/>
    <col min="1529" max="1529" width="39.44140625" style="296" customWidth="1"/>
    <col min="1530" max="1538" width="5.33203125" style="296" customWidth="1"/>
    <col min="1539" max="1539" width="6.44140625" style="296" customWidth="1"/>
    <col min="1540" max="1540" width="6.109375" style="296" customWidth="1"/>
    <col min="1541" max="1541" width="2" style="296" customWidth="1"/>
    <col min="1542" max="1542" width="1.6640625" style="296" customWidth="1"/>
    <col min="1543" max="1577" width="0" style="296" hidden="1" customWidth="1"/>
    <col min="1578" max="1782" width="9.109375" style="296"/>
    <col min="1783" max="1783" width="3.44140625" style="296" customWidth="1"/>
    <col min="1784" max="1784" width="24.44140625" style="296" customWidth="1"/>
    <col min="1785" max="1785" width="39.44140625" style="296" customWidth="1"/>
    <col min="1786" max="1794" width="5.33203125" style="296" customWidth="1"/>
    <col min="1795" max="1795" width="6.44140625" style="296" customWidth="1"/>
    <col min="1796" max="1796" width="6.109375" style="296" customWidth="1"/>
    <col min="1797" max="1797" width="2" style="296" customWidth="1"/>
    <col min="1798" max="1798" width="1.6640625" style="296" customWidth="1"/>
    <col min="1799" max="1833" width="0" style="296" hidden="1" customWidth="1"/>
    <col min="1834" max="2038" width="9.109375" style="296"/>
    <col min="2039" max="2039" width="3.44140625" style="296" customWidth="1"/>
    <col min="2040" max="2040" width="24.44140625" style="296" customWidth="1"/>
    <col min="2041" max="2041" width="39.44140625" style="296" customWidth="1"/>
    <col min="2042" max="2050" width="5.33203125" style="296" customWidth="1"/>
    <col min="2051" max="2051" width="6.44140625" style="296" customWidth="1"/>
    <col min="2052" max="2052" width="6.109375" style="296" customWidth="1"/>
    <col min="2053" max="2053" width="2" style="296" customWidth="1"/>
    <col min="2054" max="2054" width="1.6640625" style="296" customWidth="1"/>
    <col min="2055" max="2089" width="0" style="296" hidden="1" customWidth="1"/>
    <col min="2090" max="2294" width="9.109375" style="296"/>
    <col min="2295" max="2295" width="3.44140625" style="296" customWidth="1"/>
    <col min="2296" max="2296" width="24.44140625" style="296" customWidth="1"/>
    <col min="2297" max="2297" width="39.44140625" style="296" customWidth="1"/>
    <col min="2298" max="2306" width="5.33203125" style="296" customWidth="1"/>
    <col min="2307" max="2307" width="6.44140625" style="296" customWidth="1"/>
    <col min="2308" max="2308" width="6.109375" style="296" customWidth="1"/>
    <col min="2309" max="2309" width="2" style="296" customWidth="1"/>
    <col min="2310" max="2310" width="1.6640625" style="296" customWidth="1"/>
    <col min="2311" max="2345" width="0" style="296" hidden="1" customWidth="1"/>
    <col min="2346" max="2550" width="9.109375" style="296"/>
    <col min="2551" max="2551" width="3.44140625" style="296" customWidth="1"/>
    <col min="2552" max="2552" width="24.44140625" style="296" customWidth="1"/>
    <col min="2553" max="2553" width="39.44140625" style="296" customWidth="1"/>
    <col min="2554" max="2562" width="5.33203125" style="296" customWidth="1"/>
    <col min="2563" max="2563" width="6.44140625" style="296" customWidth="1"/>
    <col min="2564" max="2564" width="6.109375" style="296" customWidth="1"/>
    <col min="2565" max="2565" width="2" style="296" customWidth="1"/>
    <col min="2566" max="2566" width="1.6640625" style="296" customWidth="1"/>
    <col min="2567" max="2601" width="0" style="296" hidden="1" customWidth="1"/>
    <col min="2602" max="2806" width="9.109375" style="296"/>
    <col min="2807" max="2807" width="3.44140625" style="296" customWidth="1"/>
    <col min="2808" max="2808" width="24.44140625" style="296" customWidth="1"/>
    <col min="2809" max="2809" width="39.44140625" style="296" customWidth="1"/>
    <col min="2810" max="2818" width="5.33203125" style="296" customWidth="1"/>
    <col min="2819" max="2819" width="6.44140625" style="296" customWidth="1"/>
    <col min="2820" max="2820" width="6.109375" style="296" customWidth="1"/>
    <col min="2821" max="2821" width="2" style="296" customWidth="1"/>
    <col min="2822" max="2822" width="1.6640625" style="296" customWidth="1"/>
    <col min="2823" max="2857" width="0" style="296" hidden="1" customWidth="1"/>
    <col min="2858" max="3062" width="9.109375" style="296"/>
    <col min="3063" max="3063" width="3.44140625" style="296" customWidth="1"/>
    <col min="3064" max="3064" width="24.44140625" style="296" customWidth="1"/>
    <col min="3065" max="3065" width="39.44140625" style="296" customWidth="1"/>
    <col min="3066" max="3074" width="5.33203125" style="296" customWidth="1"/>
    <col min="3075" max="3075" width="6.44140625" style="296" customWidth="1"/>
    <col min="3076" max="3076" width="6.109375" style="296" customWidth="1"/>
    <col min="3077" max="3077" width="2" style="296" customWidth="1"/>
    <col min="3078" max="3078" width="1.6640625" style="296" customWidth="1"/>
    <col min="3079" max="3113" width="0" style="296" hidden="1" customWidth="1"/>
    <col min="3114" max="3318" width="9.109375" style="296"/>
    <col min="3319" max="3319" width="3.44140625" style="296" customWidth="1"/>
    <col min="3320" max="3320" width="24.44140625" style="296" customWidth="1"/>
    <col min="3321" max="3321" width="39.44140625" style="296" customWidth="1"/>
    <col min="3322" max="3330" width="5.33203125" style="296" customWidth="1"/>
    <col min="3331" max="3331" width="6.44140625" style="296" customWidth="1"/>
    <col min="3332" max="3332" width="6.109375" style="296" customWidth="1"/>
    <col min="3333" max="3333" width="2" style="296" customWidth="1"/>
    <col min="3334" max="3334" width="1.6640625" style="296" customWidth="1"/>
    <col min="3335" max="3369" width="0" style="296" hidden="1" customWidth="1"/>
    <col min="3370" max="3574" width="9.109375" style="296"/>
    <col min="3575" max="3575" width="3.44140625" style="296" customWidth="1"/>
    <col min="3576" max="3576" width="24.44140625" style="296" customWidth="1"/>
    <col min="3577" max="3577" width="39.44140625" style="296" customWidth="1"/>
    <col min="3578" max="3586" width="5.33203125" style="296" customWidth="1"/>
    <col min="3587" max="3587" width="6.44140625" style="296" customWidth="1"/>
    <col min="3588" max="3588" width="6.109375" style="296" customWidth="1"/>
    <col min="3589" max="3589" width="2" style="296" customWidth="1"/>
    <col min="3590" max="3590" width="1.6640625" style="296" customWidth="1"/>
    <col min="3591" max="3625" width="0" style="296" hidden="1" customWidth="1"/>
    <col min="3626" max="3830" width="9.109375" style="296"/>
    <col min="3831" max="3831" width="3.44140625" style="296" customWidth="1"/>
    <col min="3832" max="3832" width="24.44140625" style="296" customWidth="1"/>
    <col min="3833" max="3833" width="39.44140625" style="296" customWidth="1"/>
    <col min="3834" max="3842" width="5.33203125" style="296" customWidth="1"/>
    <col min="3843" max="3843" width="6.44140625" style="296" customWidth="1"/>
    <col min="3844" max="3844" width="6.109375" style="296" customWidth="1"/>
    <col min="3845" max="3845" width="2" style="296" customWidth="1"/>
    <col min="3846" max="3846" width="1.6640625" style="296" customWidth="1"/>
    <col min="3847" max="3881" width="0" style="296" hidden="1" customWidth="1"/>
    <col min="3882" max="4086" width="9.109375" style="296"/>
    <col min="4087" max="4087" width="3.44140625" style="296" customWidth="1"/>
    <col min="4088" max="4088" width="24.44140625" style="296" customWidth="1"/>
    <col min="4089" max="4089" width="39.44140625" style="296" customWidth="1"/>
    <col min="4090" max="4098" width="5.33203125" style="296" customWidth="1"/>
    <col min="4099" max="4099" width="6.44140625" style="296" customWidth="1"/>
    <col min="4100" max="4100" width="6.109375" style="296" customWidth="1"/>
    <col min="4101" max="4101" width="2" style="296" customWidth="1"/>
    <col min="4102" max="4102" width="1.6640625" style="296" customWidth="1"/>
    <col min="4103" max="4137" width="0" style="296" hidden="1" customWidth="1"/>
    <col min="4138" max="4342" width="9.109375" style="296"/>
    <col min="4343" max="4343" width="3.44140625" style="296" customWidth="1"/>
    <col min="4344" max="4344" width="24.44140625" style="296" customWidth="1"/>
    <col min="4345" max="4345" width="39.44140625" style="296" customWidth="1"/>
    <col min="4346" max="4354" width="5.33203125" style="296" customWidth="1"/>
    <col min="4355" max="4355" width="6.44140625" style="296" customWidth="1"/>
    <col min="4356" max="4356" width="6.109375" style="296" customWidth="1"/>
    <col min="4357" max="4357" width="2" style="296" customWidth="1"/>
    <col min="4358" max="4358" width="1.6640625" style="296" customWidth="1"/>
    <col min="4359" max="4393" width="0" style="296" hidden="1" customWidth="1"/>
    <col min="4394" max="4598" width="9.109375" style="296"/>
    <col min="4599" max="4599" width="3.44140625" style="296" customWidth="1"/>
    <col min="4600" max="4600" width="24.44140625" style="296" customWidth="1"/>
    <col min="4601" max="4601" width="39.44140625" style="296" customWidth="1"/>
    <col min="4602" max="4610" width="5.33203125" style="296" customWidth="1"/>
    <col min="4611" max="4611" width="6.44140625" style="296" customWidth="1"/>
    <col min="4612" max="4612" width="6.109375" style="296" customWidth="1"/>
    <col min="4613" max="4613" width="2" style="296" customWidth="1"/>
    <col min="4614" max="4614" width="1.6640625" style="296" customWidth="1"/>
    <col min="4615" max="4649" width="0" style="296" hidden="1" customWidth="1"/>
    <col min="4650" max="4854" width="9.109375" style="296"/>
    <col min="4855" max="4855" width="3.44140625" style="296" customWidth="1"/>
    <col min="4856" max="4856" width="24.44140625" style="296" customWidth="1"/>
    <col min="4857" max="4857" width="39.44140625" style="296" customWidth="1"/>
    <col min="4858" max="4866" width="5.33203125" style="296" customWidth="1"/>
    <col min="4867" max="4867" width="6.44140625" style="296" customWidth="1"/>
    <col min="4868" max="4868" width="6.109375" style="296" customWidth="1"/>
    <col min="4869" max="4869" width="2" style="296" customWidth="1"/>
    <col min="4870" max="4870" width="1.6640625" style="296" customWidth="1"/>
    <col min="4871" max="4905" width="0" style="296" hidden="1" customWidth="1"/>
    <col min="4906" max="5110" width="9.109375" style="296"/>
    <col min="5111" max="5111" width="3.44140625" style="296" customWidth="1"/>
    <col min="5112" max="5112" width="24.44140625" style="296" customWidth="1"/>
    <col min="5113" max="5113" width="39.44140625" style="296" customWidth="1"/>
    <col min="5114" max="5122" width="5.33203125" style="296" customWidth="1"/>
    <col min="5123" max="5123" width="6.44140625" style="296" customWidth="1"/>
    <col min="5124" max="5124" width="6.109375" style="296" customWidth="1"/>
    <col min="5125" max="5125" width="2" style="296" customWidth="1"/>
    <col min="5126" max="5126" width="1.6640625" style="296" customWidth="1"/>
    <col min="5127" max="5161" width="0" style="296" hidden="1" customWidth="1"/>
    <col min="5162" max="5366" width="9.109375" style="296"/>
    <col min="5367" max="5367" width="3.44140625" style="296" customWidth="1"/>
    <col min="5368" max="5368" width="24.44140625" style="296" customWidth="1"/>
    <col min="5369" max="5369" width="39.44140625" style="296" customWidth="1"/>
    <col min="5370" max="5378" width="5.33203125" style="296" customWidth="1"/>
    <col min="5379" max="5379" width="6.44140625" style="296" customWidth="1"/>
    <col min="5380" max="5380" width="6.109375" style="296" customWidth="1"/>
    <col min="5381" max="5381" width="2" style="296" customWidth="1"/>
    <col min="5382" max="5382" width="1.6640625" style="296" customWidth="1"/>
    <col min="5383" max="5417" width="0" style="296" hidden="1" customWidth="1"/>
    <col min="5418" max="5622" width="9.109375" style="296"/>
    <col min="5623" max="5623" width="3.44140625" style="296" customWidth="1"/>
    <col min="5624" max="5624" width="24.44140625" style="296" customWidth="1"/>
    <col min="5625" max="5625" width="39.44140625" style="296" customWidth="1"/>
    <col min="5626" max="5634" width="5.33203125" style="296" customWidth="1"/>
    <col min="5635" max="5635" width="6.44140625" style="296" customWidth="1"/>
    <col min="5636" max="5636" width="6.109375" style="296" customWidth="1"/>
    <col min="5637" max="5637" width="2" style="296" customWidth="1"/>
    <col min="5638" max="5638" width="1.6640625" style="296" customWidth="1"/>
    <col min="5639" max="5673" width="0" style="296" hidden="1" customWidth="1"/>
    <col min="5674" max="5878" width="9.109375" style="296"/>
    <col min="5879" max="5879" width="3.44140625" style="296" customWidth="1"/>
    <col min="5880" max="5880" width="24.44140625" style="296" customWidth="1"/>
    <col min="5881" max="5881" width="39.44140625" style="296" customWidth="1"/>
    <col min="5882" max="5890" width="5.33203125" style="296" customWidth="1"/>
    <col min="5891" max="5891" width="6.44140625" style="296" customWidth="1"/>
    <col min="5892" max="5892" width="6.109375" style="296" customWidth="1"/>
    <col min="5893" max="5893" width="2" style="296" customWidth="1"/>
    <col min="5894" max="5894" width="1.6640625" style="296" customWidth="1"/>
    <col min="5895" max="5929" width="0" style="296" hidden="1" customWidth="1"/>
    <col min="5930" max="6134" width="9.109375" style="296"/>
    <col min="6135" max="6135" width="3.44140625" style="296" customWidth="1"/>
    <col min="6136" max="6136" width="24.44140625" style="296" customWidth="1"/>
    <col min="6137" max="6137" width="39.44140625" style="296" customWidth="1"/>
    <col min="6138" max="6146" width="5.33203125" style="296" customWidth="1"/>
    <col min="6147" max="6147" width="6.44140625" style="296" customWidth="1"/>
    <col min="6148" max="6148" width="6.109375" style="296" customWidth="1"/>
    <col min="6149" max="6149" width="2" style="296" customWidth="1"/>
    <col min="6150" max="6150" width="1.6640625" style="296" customWidth="1"/>
    <col min="6151" max="6185" width="0" style="296" hidden="1" customWidth="1"/>
    <col min="6186" max="6390" width="9.109375" style="296"/>
    <col min="6391" max="6391" width="3.44140625" style="296" customWidth="1"/>
    <col min="6392" max="6392" width="24.44140625" style="296" customWidth="1"/>
    <col min="6393" max="6393" width="39.44140625" style="296" customWidth="1"/>
    <col min="6394" max="6402" width="5.33203125" style="296" customWidth="1"/>
    <col min="6403" max="6403" width="6.44140625" style="296" customWidth="1"/>
    <col min="6404" max="6404" width="6.109375" style="296" customWidth="1"/>
    <col min="6405" max="6405" width="2" style="296" customWidth="1"/>
    <col min="6406" max="6406" width="1.6640625" style="296" customWidth="1"/>
    <col min="6407" max="6441" width="0" style="296" hidden="1" customWidth="1"/>
    <col min="6442" max="6646" width="9.109375" style="296"/>
    <col min="6647" max="6647" width="3.44140625" style="296" customWidth="1"/>
    <col min="6648" max="6648" width="24.44140625" style="296" customWidth="1"/>
    <col min="6649" max="6649" width="39.44140625" style="296" customWidth="1"/>
    <col min="6650" max="6658" width="5.33203125" style="296" customWidth="1"/>
    <col min="6659" max="6659" width="6.44140625" style="296" customWidth="1"/>
    <col min="6660" max="6660" width="6.109375" style="296" customWidth="1"/>
    <col min="6661" max="6661" width="2" style="296" customWidth="1"/>
    <col min="6662" max="6662" width="1.6640625" style="296" customWidth="1"/>
    <col min="6663" max="6697" width="0" style="296" hidden="1" customWidth="1"/>
    <col min="6698" max="6902" width="9.109375" style="296"/>
    <col min="6903" max="6903" width="3.44140625" style="296" customWidth="1"/>
    <col min="6904" max="6904" width="24.44140625" style="296" customWidth="1"/>
    <col min="6905" max="6905" width="39.44140625" style="296" customWidth="1"/>
    <col min="6906" max="6914" width="5.33203125" style="296" customWidth="1"/>
    <col min="6915" max="6915" width="6.44140625" style="296" customWidth="1"/>
    <col min="6916" max="6916" width="6.109375" style="296" customWidth="1"/>
    <col min="6917" max="6917" width="2" style="296" customWidth="1"/>
    <col min="6918" max="6918" width="1.6640625" style="296" customWidth="1"/>
    <col min="6919" max="6953" width="0" style="296" hidden="1" customWidth="1"/>
    <col min="6954" max="7158" width="9.109375" style="296"/>
    <col min="7159" max="7159" width="3.44140625" style="296" customWidth="1"/>
    <col min="7160" max="7160" width="24.44140625" style="296" customWidth="1"/>
    <col min="7161" max="7161" width="39.44140625" style="296" customWidth="1"/>
    <col min="7162" max="7170" width="5.33203125" style="296" customWidth="1"/>
    <col min="7171" max="7171" width="6.44140625" style="296" customWidth="1"/>
    <col min="7172" max="7172" width="6.109375" style="296" customWidth="1"/>
    <col min="7173" max="7173" width="2" style="296" customWidth="1"/>
    <col min="7174" max="7174" width="1.6640625" style="296" customWidth="1"/>
    <col min="7175" max="7209" width="0" style="296" hidden="1" customWidth="1"/>
    <col min="7210" max="7414" width="9.109375" style="296"/>
    <col min="7415" max="7415" width="3.44140625" style="296" customWidth="1"/>
    <col min="7416" max="7416" width="24.44140625" style="296" customWidth="1"/>
    <col min="7417" max="7417" width="39.44140625" style="296" customWidth="1"/>
    <col min="7418" max="7426" width="5.33203125" style="296" customWidth="1"/>
    <col min="7427" max="7427" width="6.44140625" style="296" customWidth="1"/>
    <col min="7428" max="7428" width="6.109375" style="296" customWidth="1"/>
    <col min="7429" max="7429" width="2" style="296" customWidth="1"/>
    <col min="7430" max="7430" width="1.6640625" style="296" customWidth="1"/>
    <col min="7431" max="7465" width="0" style="296" hidden="1" customWidth="1"/>
    <col min="7466" max="7670" width="9.109375" style="296"/>
    <col min="7671" max="7671" width="3.44140625" style="296" customWidth="1"/>
    <col min="7672" max="7672" width="24.44140625" style="296" customWidth="1"/>
    <col min="7673" max="7673" width="39.44140625" style="296" customWidth="1"/>
    <col min="7674" max="7682" width="5.33203125" style="296" customWidth="1"/>
    <col min="7683" max="7683" width="6.44140625" style="296" customWidth="1"/>
    <col min="7684" max="7684" width="6.109375" style="296" customWidth="1"/>
    <col min="7685" max="7685" width="2" style="296" customWidth="1"/>
    <col min="7686" max="7686" width="1.6640625" style="296" customWidth="1"/>
    <col min="7687" max="7721" width="0" style="296" hidden="1" customWidth="1"/>
    <col min="7722" max="7926" width="9.109375" style="296"/>
    <col min="7927" max="7927" width="3.44140625" style="296" customWidth="1"/>
    <col min="7928" max="7928" width="24.44140625" style="296" customWidth="1"/>
    <col min="7929" max="7929" width="39.44140625" style="296" customWidth="1"/>
    <col min="7930" max="7938" width="5.33203125" style="296" customWidth="1"/>
    <col min="7939" max="7939" width="6.44140625" style="296" customWidth="1"/>
    <col min="7940" max="7940" width="6.109375" style="296" customWidth="1"/>
    <col min="7941" max="7941" width="2" style="296" customWidth="1"/>
    <col min="7942" max="7942" width="1.6640625" style="296" customWidth="1"/>
    <col min="7943" max="7977" width="0" style="296" hidden="1" customWidth="1"/>
    <col min="7978" max="8182" width="9.109375" style="296"/>
    <col min="8183" max="8183" width="3.44140625" style="296" customWidth="1"/>
    <col min="8184" max="8184" width="24.44140625" style="296" customWidth="1"/>
    <col min="8185" max="8185" width="39.44140625" style="296" customWidth="1"/>
    <col min="8186" max="8194" width="5.33203125" style="296" customWidth="1"/>
    <col min="8195" max="8195" width="6.44140625" style="296" customWidth="1"/>
    <col min="8196" max="8196" width="6.109375" style="296" customWidth="1"/>
    <col min="8197" max="8197" width="2" style="296" customWidth="1"/>
    <col min="8198" max="8198" width="1.6640625" style="296" customWidth="1"/>
    <col min="8199" max="8233" width="0" style="296" hidden="1" customWidth="1"/>
    <col min="8234" max="8438" width="9.109375" style="296"/>
    <col min="8439" max="8439" width="3.44140625" style="296" customWidth="1"/>
    <col min="8440" max="8440" width="24.44140625" style="296" customWidth="1"/>
    <col min="8441" max="8441" width="39.44140625" style="296" customWidth="1"/>
    <col min="8442" max="8450" width="5.33203125" style="296" customWidth="1"/>
    <col min="8451" max="8451" width="6.44140625" style="296" customWidth="1"/>
    <col min="8452" max="8452" width="6.109375" style="296" customWidth="1"/>
    <col min="8453" max="8453" width="2" style="296" customWidth="1"/>
    <col min="8454" max="8454" width="1.6640625" style="296" customWidth="1"/>
    <col min="8455" max="8489" width="0" style="296" hidden="1" customWidth="1"/>
    <col min="8490" max="8694" width="9.109375" style="296"/>
    <col min="8695" max="8695" width="3.44140625" style="296" customWidth="1"/>
    <col min="8696" max="8696" width="24.44140625" style="296" customWidth="1"/>
    <col min="8697" max="8697" width="39.44140625" style="296" customWidth="1"/>
    <col min="8698" max="8706" width="5.33203125" style="296" customWidth="1"/>
    <col min="8707" max="8707" width="6.44140625" style="296" customWidth="1"/>
    <col min="8708" max="8708" width="6.109375" style="296" customWidth="1"/>
    <col min="8709" max="8709" width="2" style="296" customWidth="1"/>
    <col min="8710" max="8710" width="1.6640625" style="296" customWidth="1"/>
    <col min="8711" max="8745" width="0" style="296" hidden="1" customWidth="1"/>
    <col min="8746" max="8950" width="9.109375" style="296"/>
    <col min="8951" max="8951" width="3.44140625" style="296" customWidth="1"/>
    <col min="8952" max="8952" width="24.44140625" style="296" customWidth="1"/>
    <col min="8953" max="8953" width="39.44140625" style="296" customWidth="1"/>
    <col min="8954" max="8962" width="5.33203125" style="296" customWidth="1"/>
    <col min="8963" max="8963" width="6.44140625" style="296" customWidth="1"/>
    <col min="8964" max="8964" width="6.109375" style="296" customWidth="1"/>
    <col min="8965" max="8965" width="2" style="296" customWidth="1"/>
    <col min="8966" max="8966" width="1.6640625" style="296" customWidth="1"/>
    <col min="8967" max="9001" width="0" style="296" hidden="1" customWidth="1"/>
    <col min="9002" max="9206" width="9.109375" style="296"/>
    <col min="9207" max="9207" width="3.44140625" style="296" customWidth="1"/>
    <col min="9208" max="9208" width="24.44140625" style="296" customWidth="1"/>
    <col min="9209" max="9209" width="39.44140625" style="296" customWidth="1"/>
    <col min="9210" max="9218" width="5.33203125" style="296" customWidth="1"/>
    <col min="9219" max="9219" width="6.44140625" style="296" customWidth="1"/>
    <col min="9220" max="9220" width="6.109375" style="296" customWidth="1"/>
    <col min="9221" max="9221" width="2" style="296" customWidth="1"/>
    <col min="9222" max="9222" width="1.6640625" style="296" customWidth="1"/>
    <col min="9223" max="9257" width="0" style="296" hidden="1" customWidth="1"/>
    <col min="9258" max="9462" width="9.109375" style="296"/>
    <col min="9463" max="9463" width="3.44140625" style="296" customWidth="1"/>
    <col min="9464" max="9464" width="24.44140625" style="296" customWidth="1"/>
    <col min="9465" max="9465" width="39.44140625" style="296" customWidth="1"/>
    <col min="9466" max="9474" width="5.33203125" style="296" customWidth="1"/>
    <col min="9475" max="9475" width="6.44140625" style="296" customWidth="1"/>
    <col min="9476" max="9476" width="6.109375" style="296" customWidth="1"/>
    <col min="9477" max="9477" width="2" style="296" customWidth="1"/>
    <col min="9478" max="9478" width="1.6640625" style="296" customWidth="1"/>
    <col min="9479" max="9513" width="0" style="296" hidden="1" customWidth="1"/>
    <col min="9514" max="9718" width="9.109375" style="296"/>
    <col min="9719" max="9719" width="3.44140625" style="296" customWidth="1"/>
    <col min="9720" max="9720" width="24.44140625" style="296" customWidth="1"/>
    <col min="9721" max="9721" width="39.44140625" style="296" customWidth="1"/>
    <col min="9722" max="9730" width="5.33203125" style="296" customWidth="1"/>
    <col min="9731" max="9731" width="6.44140625" style="296" customWidth="1"/>
    <col min="9732" max="9732" width="6.109375" style="296" customWidth="1"/>
    <col min="9733" max="9733" width="2" style="296" customWidth="1"/>
    <col min="9734" max="9734" width="1.6640625" style="296" customWidth="1"/>
    <col min="9735" max="9769" width="0" style="296" hidden="1" customWidth="1"/>
    <col min="9770" max="9974" width="9.109375" style="296"/>
    <col min="9975" max="9975" width="3.44140625" style="296" customWidth="1"/>
    <col min="9976" max="9976" width="24.44140625" style="296" customWidth="1"/>
    <col min="9977" max="9977" width="39.44140625" style="296" customWidth="1"/>
    <col min="9978" max="9986" width="5.33203125" style="296" customWidth="1"/>
    <col min="9987" max="9987" width="6.44140625" style="296" customWidth="1"/>
    <col min="9988" max="9988" width="6.109375" style="296" customWidth="1"/>
    <col min="9989" max="9989" width="2" style="296" customWidth="1"/>
    <col min="9990" max="9990" width="1.6640625" style="296" customWidth="1"/>
    <col min="9991" max="10025" width="0" style="296" hidden="1" customWidth="1"/>
    <col min="10026" max="10230" width="9.109375" style="296"/>
    <col min="10231" max="10231" width="3.44140625" style="296" customWidth="1"/>
    <col min="10232" max="10232" width="24.44140625" style="296" customWidth="1"/>
    <col min="10233" max="10233" width="39.44140625" style="296" customWidth="1"/>
    <col min="10234" max="10242" width="5.33203125" style="296" customWidth="1"/>
    <col min="10243" max="10243" width="6.44140625" style="296" customWidth="1"/>
    <col min="10244" max="10244" width="6.109375" style="296" customWidth="1"/>
    <col min="10245" max="10245" width="2" style="296" customWidth="1"/>
    <col min="10246" max="10246" width="1.6640625" style="296" customWidth="1"/>
    <col min="10247" max="10281" width="0" style="296" hidden="1" customWidth="1"/>
    <col min="10282" max="10486" width="9.109375" style="296"/>
    <col min="10487" max="10487" width="3.44140625" style="296" customWidth="1"/>
    <col min="10488" max="10488" width="24.44140625" style="296" customWidth="1"/>
    <col min="10489" max="10489" width="39.44140625" style="296" customWidth="1"/>
    <col min="10490" max="10498" width="5.33203125" style="296" customWidth="1"/>
    <col min="10499" max="10499" width="6.44140625" style="296" customWidth="1"/>
    <col min="10500" max="10500" width="6.109375" style="296" customWidth="1"/>
    <col min="10501" max="10501" width="2" style="296" customWidth="1"/>
    <col min="10502" max="10502" width="1.6640625" style="296" customWidth="1"/>
    <col min="10503" max="10537" width="0" style="296" hidden="1" customWidth="1"/>
    <col min="10538" max="10742" width="9.109375" style="296"/>
    <col min="10743" max="10743" width="3.44140625" style="296" customWidth="1"/>
    <col min="10744" max="10744" width="24.44140625" style="296" customWidth="1"/>
    <col min="10745" max="10745" width="39.44140625" style="296" customWidth="1"/>
    <col min="10746" max="10754" width="5.33203125" style="296" customWidth="1"/>
    <col min="10755" max="10755" width="6.44140625" style="296" customWidth="1"/>
    <col min="10756" max="10756" width="6.109375" style="296" customWidth="1"/>
    <col min="10757" max="10757" width="2" style="296" customWidth="1"/>
    <col min="10758" max="10758" width="1.6640625" style="296" customWidth="1"/>
    <col min="10759" max="10793" width="0" style="296" hidden="1" customWidth="1"/>
    <col min="10794" max="10998" width="9.109375" style="296"/>
    <col min="10999" max="10999" width="3.44140625" style="296" customWidth="1"/>
    <col min="11000" max="11000" width="24.44140625" style="296" customWidth="1"/>
    <col min="11001" max="11001" width="39.44140625" style="296" customWidth="1"/>
    <col min="11002" max="11010" width="5.33203125" style="296" customWidth="1"/>
    <col min="11011" max="11011" width="6.44140625" style="296" customWidth="1"/>
    <col min="11012" max="11012" width="6.109375" style="296" customWidth="1"/>
    <col min="11013" max="11013" width="2" style="296" customWidth="1"/>
    <col min="11014" max="11014" width="1.6640625" style="296" customWidth="1"/>
    <col min="11015" max="11049" width="0" style="296" hidden="1" customWidth="1"/>
    <col min="11050" max="11254" width="9.109375" style="296"/>
    <col min="11255" max="11255" width="3.44140625" style="296" customWidth="1"/>
    <col min="11256" max="11256" width="24.44140625" style="296" customWidth="1"/>
    <col min="11257" max="11257" width="39.44140625" style="296" customWidth="1"/>
    <col min="11258" max="11266" width="5.33203125" style="296" customWidth="1"/>
    <col min="11267" max="11267" width="6.44140625" style="296" customWidth="1"/>
    <col min="11268" max="11268" width="6.109375" style="296" customWidth="1"/>
    <col min="11269" max="11269" width="2" style="296" customWidth="1"/>
    <col min="11270" max="11270" width="1.6640625" style="296" customWidth="1"/>
    <col min="11271" max="11305" width="0" style="296" hidden="1" customWidth="1"/>
    <col min="11306" max="11510" width="9.109375" style="296"/>
    <col min="11511" max="11511" width="3.44140625" style="296" customWidth="1"/>
    <col min="11512" max="11512" width="24.44140625" style="296" customWidth="1"/>
    <col min="11513" max="11513" width="39.44140625" style="296" customWidth="1"/>
    <col min="11514" max="11522" width="5.33203125" style="296" customWidth="1"/>
    <col min="11523" max="11523" width="6.44140625" style="296" customWidth="1"/>
    <col min="11524" max="11524" width="6.109375" style="296" customWidth="1"/>
    <col min="11525" max="11525" width="2" style="296" customWidth="1"/>
    <col min="11526" max="11526" width="1.6640625" style="296" customWidth="1"/>
    <col min="11527" max="11561" width="0" style="296" hidden="1" customWidth="1"/>
    <col min="11562" max="11766" width="9.109375" style="296"/>
    <col min="11767" max="11767" width="3.44140625" style="296" customWidth="1"/>
    <col min="11768" max="11768" width="24.44140625" style="296" customWidth="1"/>
    <col min="11769" max="11769" width="39.44140625" style="296" customWidth="1"/>
    <col min="11770" max="11778" width="5.33203125" style="296" customWidth="1"/>
    <col min="11779" max="11779" width="6.44140625" style="296" customWidth="1"/>
    <col min="11780" max="11780" width="6.109375" style="296" customWidth="1"/>
    <col min="11781" max="11781" width="2" style="296" customWidth="1"/>
    <col min="11782" max="11782" width="1.6640625" style="296" customWidth="1"/>
    <col min="11783" max="11817" width="0" style="296" hidden="1" customWidth="1"/>
    <col min="11818" max="12022" width="9.109375" style="296"/>
    <col min="12023" max="12023" width="3.44140625" style="296" customWidth="1"/>
    <col min="12024" max="12024" width="24.44140625" style="296" customWidth="1"/>
    <col min="12025" max="12025" width="39.44140625" style="296" customWidth="1"/>
    <col min="12026" max="12034" width="5.33203125" style="296" customWidth="1"/>
    <col min="12035" max="12035" width="6.44140625" style="296" customWidth="1"/>
    <col min="12036" max="12036" width="6.109375" style="296" customWidth="1"/>
    <col min="12037" max="12037" width="2" style="296" customWidth="1"/>
    <col min="12038" max="12038" width="1.6640625" style="296" customWidth="1"/>
    <col min="12039" max="12073" width="0" style="296" hidden="1" customWidth="1"/>
    <col min="12074" max="12278" width="9.109375" style="296"/>
    <col min="12279" max="12279" width="3.44140625" style="296" customWidth="1"/>
    <col min="12280" max="12280" width="24.44140625" style="296" customWidth="1"/>
    <col min="12281" max="12281" width="39.44140625" style="296" customWidth="1"/>
    <col min="12282" max="12290" width="5.33203125" style="296" customWidth="1"/>
    <col min="12291" max="12291" width="6.44140625" style="296" customWidth="1"/>
    <col min="12292" max="12292" width="6.109375" style="296" customWidth="1"/>
    <col min="12293" max="12293" width="2" style="296" customWidth="1"/>
    <col min="12294" max="12294" width="1.6640625" style="296" customWidth="1"/>
    <col min="12295" max="12329" width="0" style="296" hidden="1" customWidth="1"/>
    <col min="12330" max="12534" width="9.109375" style="296"/>
    <col min="12535" max="12535" width="3.44140625" style="296" customWidth="1"/>
    <col min="12536" max="12536" width="24.44140625" style="296" customWidth="1"/>
    <col min="12537" max="12537" width="39.44140625" style="296" customWidth="1"/>
    <col min="12538" max="12546" width="5.33203125" style="296" customWidth="1"/>
    <col min="12547" max="12547" width="6.44140625" style="296" customWidth="1"/>
    <col min="12548" max="12548" width="6.109375" style="296" customWidth="1"/>
    <col min="12549" max="12549" width="2" style="296" customWidth="1"/>
    <col min="12550" max="12550" width="1.6640625" style="296" customWidth="1"/>
    <col min="12551" max="12585" width="0" style="296" hidden="1" customWidth="1"/>
    <col min="12586" max="12790" width="9.109375" style="296"/>
    <col min="12791" max="12791" width="3.44140625" style="296" customWidth="1"/>
    <col min="12792" max="12792" width="24.44140625" style="296" customWidth="1"/>
    <col min="12793" max="12793" width="39.44140625" style="296" customWidth="1"/>
    <col min="12794" max="12802" width="5.33203125" style="296" customWidth="1"/>
    <col min="12803" max="12803" width="6.44140625" style="296" customWidth="1"/>
    <col min="12804" max="12804" width="6.109375" style="296" customWidth="1"/>
    <col min="12805" max="12805" width="2" style="296" customWidth="1"/>
    <col min="12806" max="12806" width="1.6640625" style="296" customWidth="1"/>
    <col min="12807" max="12841" width="0" style="296" hidden="1" customWidth="1"/>
    <col min="12842" max="13046" width="9.109375" style="296"/>
    <col min="13047" max="13047" width="3.44140625" style="296" customWidth="1"/>
    <col min="13048" max="13048" width="24.44140625" style="296" customWidth="1"/>
    <col min="13049" max="13049" width="39.44140625" style="296" customWidth="1"/>
    <col min="13050" max="13058" width="5.33203125" style="296" customWidth="1"/>
    <col min="13059" max="13059" width="6.44140625" style="296" customWidth="1"/>
    <col min="13060" max="13060" width="6.109375" style="296" customWidth="1"/>
    <col min="13061" max="13061" width="2" style="296" customWidth="1"/>
    <col min="13062" max="13062" width="1.6640625" style="296" customWidth="1"/>
    <col min="13063" max="13097" width="0" style="296" hidden="1" customWidth="1"/>
    <col min="13098" max="13302" width="9.109375" style="296"/>
    <col min="13303" max="13303" width="3.44140625" style="296" customWidth="1"/>
    <col min="13304" max="13304" width="24.44140625" style="296" customWidth="1"/>
    <col min="13305" max="13305" width="39.44140625" style="296" customWidth="1"/>
    <col min="13306" max="13314" width="5.33203125" style="296" customWidth="1"/>
    <col min="13315" max="13315" width="6.44140625" style="296" customWidth="1"/>
    <col min="13316" max="13316" width="6.109375" style="296" customWidth="1"/>
    <col min="13317" max="13317" width="2" style="296" customWidth="1"/>
    <col min="13318" max="13318" width="1.6640625" style="296" customWidth="1"/>
    <col min="13319" max="13353" width="0" style="296" hidden="1" customWidth="1"/>
    <col min="13354" max="13558" width="9.109375" style="296"/>
    <col min="13559" max="13559" width="3.44140625" style="296" customWidth="1"/>
    <col min="13560" max="13560" width="24.44140625" style="296" customWidth="1"/>
    <col min="13561" max="13561" width="39.44140625" style="296" customWidth="1"/>
    <col min="13562" max="13570" width="5.33203125" style="296" customWidth="1"/>
    <col min="13571" max="13571" width="6.44140625" style="296" customWidth="1"/>
    <col min="13572" max="13572" width="6.109375" style="296" customWidth="1"/>
    <col min="13573" max="13573" width="2" style="296" customWidth="1"/>
    <col min="13574" max="13574" width="1.6640625" style="296" customWidth="1"/>
    <col min="13575" max="13609" width="0" style="296" hidden="1" customWidth="1"/>
    <col min="13610" max="13814" width="9.109375" style="296"/>
    <col min="13815" max="13815" width="3.44140625" style="296" customWidth="1"/>
    <col min="13816" max="13816" width="24.44140625" style="296" customWidth="1"/>
    <col min="13817" max="13817" width="39.44140625" style="296" customWidth="1"/>
    <col min="13818" max="13826" width="5.33203125" style="296" customWidth="1"/>
    <col min="13827" max="13827" width="6.44140625" style="296" customWidth="1"/>
    <col min="13828" max="13828" width="6.109375" style="296" customWidth="1"/>
    <col min="13829" max="13829" width="2" style="296" customWidth="1"/>
    <col min="13830" max="13830" width="1.6640625" style="296" customWidth="1"/>
    <col min="13831" max="13865" width="0" style="296" hidden="1" customWidth="1"/>
    <col min="13866" max="14070" width="9.109375" style="296"/>
    <col min="14071" max="14071" width="3.44140625" style="296" customWidth="1"/>
    <col min="14072" max="14072" width="24.44140625" style="296" customWidth="1"/>
    <col min="14073" max="14073" width="39.44140625" style="296" customWidth="1"/>
    <col min="14074" max="14082" width="5.33203125" style="296" customWidth="1"/>
    <col min="14083" max="14083" width="6.44140625" style="296" customWidth="1"/>
    <col min="14084" max="14084" width="6.109375" style="296" customWidth="1"/>
    <col min="14085" max="14085" width="2" style="296" customWidth="1"/>
    <col min="14086" max="14086" width="1.6640625" style="296" customWidth="1"/>
    <col min="14087" max="14121" width="0" style="296" hidden="1" customWidth="1"/>
    <col min="14122" max="14326" width="9.109375" style="296"/>
    <col min="14327" max="14327" width="3.44140625" style="296" customWidth="1"/>
    <col min="14328" max="14328" width="24.44140625" style="296" customWidth="1"/>
    <col min="14329" max="14329" width="39.44140625" style="296" customWidth="1"/>
    <col min="14330" max="14338" width="5.33203125" style="296" customWidth="1"/>
    <col min="14339" max="14339" width="6.44140625" style="296" customWidth="1"/>
    <col min="14340" max="14340" width="6.109375" style="296" customWidth="1"/>
    <col min="14341" max="14341" width="2" style="296" customWidth="1"/>
    <col min="14342" max="14342" width="1.6640625" style="296" customWidth="1"/>
    <col min="14343" max="14377" width="0" style="296" hidden="1" customWidth="1"/>
    <col min="14378" max="14582" width="9.109375" style="296"/>
    <col min="14583" max="14583" width="3.44140625" style="296" customWidth="1"/>
    <col min="14584" max="14584" width="24.44140625" style="296" customWidth="1"/>
    <col min="14585" max="14585" width="39.44140625" style="296" customWidth="1"/>
    <col min="14586" max="14594" width="5.33203125" style="296" customWidth="1"/>
    <col min="14595" max="14595" width="6.44140625" style="296" customWidth="1"/>
    <col min="14596" max="14596" width="6.109375" style="296" customWidth="1"/>
    <col min="14597" max="14597" width="2" style="296" customWidth="1"/>
    <col min="14598" max="14598" width="1.6640625" style="296" customWidth="1"/>
    <col min="14599" max="14633" width="0" style="296" hidden="1" customWidth="1"/>
    <col min="14634" max="14838" width="9.109375" style="296"/>
    <col min="14839" max="14839" width="3.44140625" style="296" customWidth="1"/>
    <col min="14840" max="14840" width="24.44140625" style="296" customWidth="1"/>
    <col min="14841" max="14841" width="39.44140625" style="296" customWidth="1"/>
    <col min="14842" max="14850" width="5.33203125" style="296" customWidth="1"/>
    <col min="14851" max="14851" width="6.44140625" style="296" customWidth="1"/>
    <col min="14852" max="14852" width="6.109375" style="296" customWidth="1"/>
    <col min="14853" max="14853" width="2" style="296" customWidth="1"/>
    <col min="14854" max="14854" width="1.6640625" style="296" customWidth="1"/>
    <col min="14855" max="14889" width="0" style="296" hidden="1" customWidth="1"/>
    <col min="14890" max="15094" width="9.109375" style="296"/>
    <col min="15095" max="15095" width="3.44140625" style="296" customWidth="1"/>
    <col min="15096" max="15096" width="24.44140625" style="296" customWidth="1"/>
    <col min="15097" max="15097" width="39.44140625" style="296" customWidth="1"/>
    <col min="15098" max="15106" width="5.33203125" style="296" customWidth="1"/>
    <col min="15107" max="15107" width="6.44140625" style="296" customWidth="1"/>
    <col min="15108" max="15108" width="6.109375" style="296" customWidth="1"/>
    <col min="15109" max="15109" width="2" style="296" customWidth="1"/>
    <col min="15110" max="15110" width="1.6640625" style="296" customWidth="1"/>
    <col min="15111" max="15145" width="0" style="296" hidden="1" customWidth="1"/>
    <col min="15146" max="15350" width="9.109375" style="296"/>
    <col min="15351" max="15351" width="3.44140625" style="296" customWidth="1"/>
    <col min="15352" max="15352" width="24.44140625" style="296" customWidth="1"/>
    <col min="15353" max="15353" width="39.44140625" style="296" customWidth="1"/>
    <col min="15354" max="15362" width="5.33203125" style="296" customWidth="1"/>
    <col min="15363" max="15363" width="6.44140625" style="296" customWidth="1"/>
    <col min="15364" max="15364" width="6.109375" style="296" customWidth="1"/>
    <col min="15365" max="15365" width="2" style="296" customWidth="1"/>
    <col min="15366" max="15366" width="1.6640625" style="296" customWidth="1"/>
    <col min="15367" max="15401" width="0" style="296" hidden="1" customWidth="1"/>
    <col min="15402" max="15606" width="9.109375" style="296"/>
    <col min="15607" max="15607" width="3.44140625" style="296" customWidth="1"/>
    <col min="15608" max="15608" width="24.44140625" style="296" customWidth="1"/>
    <col min="15609" max="15609" width="39.44140625" style="296" customWidth="1"/>
    <col min="15610" max="15618" width="5.33203125" style="296" customWidth="1"/>
    <col min="15619" max="15619" width="6.44140625" style="296" customWidth="1"/>
    <col min="15620" max="15620" width="6.109375" style="296" customWidth="1"/>
    <col min="15621" max="15621" width="2" style="296" customWidth="1"/>
    <col min="15622" max="15622" width="1.6640625" style="296" customWidth="1"/>
    <col min="15623" max="15657" width="0" style="296" hidden="1" customWidth="1"/>
    <col min="15658" max="15862" width="9.109375" style="296"/>
    <col min="15863" max="15863" width="3.44140625" style="296" customWidth="1"/>
    <col min="15864" max="15864" width="24.44140625" style="296" customWidth="1"/>
    <col min="15865" max="15865" width="39.44140625" style="296" customWidth="1"/>
    <col min="15866" max="15874" width="5.33203125" style="296" customWidth="1"/>
    <col min="15875" max="15875" width="6.44140625" style="296" customWidth="1"/>
    <col min="15876" max="15876" width="6.109375" style="296" customWidth="1"/>
    <col min="15877" max="15877" width="2" style="296" customWidth="1"/>
    <col min="15878" max="15878" width="1.6640625" style="296" customWidth="1"/>
    <col min="15879" max="15913" width="0" style="296" hidden="1" customWidth="1"/>
    <col min="15914" max="16118" width="9.109375" style="296"/>
    <col min="16119" max="16119" width="3.44140625" style="296" customWidth="1"/>
    <col min="16120" max="16120" width="24.44140625" style="296" customWidth="1"/>
    <col min="16121" max="16121" width="39.44140625" style="296" customWidth="1"/>
    <col min="16122" max="16130" width="5.33203125" style="296" customWidth="1"/>
    <col min="16131" max="16131" width="6.44140625" style="296" customWidth="1"/>
    <col min="16132" max="16132" width="6.109375" style="296" customWidth="1"/>
    <col min="16133" max="16133" width="2" style="296" customWidth="1"/>
    <col min="16134" max="16134" width="1.6640625" style="296" customWidth="1"/>
    <col min="16135" max="16169" width="0" style="296" hidden="1" customWidth="1"/>
    <col min="16170" max="16384" width="9.109375" style="296"/>
  </cols>
  <sheetData>
    <row r="1" spans="2:45" ht="18.899999999999999" customHeight="1"/>
    <row r="2" spans="2:45" ht="18.899999999999999" customHeight="1">
      <c r="J2" s="344"/>
      <c r="K2" s="344"/>
      <c r="L2" s="344"/>
    </row>
    <row r="3" spans="2:45" ht="30" customHeight="1">
      <c r="B3" s="797" t="s">
        <v>524</v>
      </c>
      <c r="C3" s="797"/>
      <c r="D3" s="359">
        <f>D33</f>
        <v>0.76160000000000005</v>
      </c>
    </row>
    <row r="4" spans="2:45" s="345" customFormat="1" ht="24.9" customHeight="1">
      <c r="B4" s="557"/>
      <c r="C4" s="519" t="s">
        <v>525</v>
      </c>
      <c r="D4" s="558" t="s">
        <v>526</v>
      </c>
      <c r="G4" s="346"/>
      <c r="H4" s="346"/>
      <c r="I4" s="346"/>
      <c r="J4" s="340"/>
      <c r="K4" s="340"/>
      <c r="L4" s="340"/>
      <c r="M4" s="340"/>
      <c r="N4" s="340"/>
      <c r="O4" s="340"/>
      <c r="P4" s="340"/>
      <c r="Q4" s="340"/>
      <c r="R4" s="340"/>
      <c r="S4" s="340"/>
      <c r="T4" s="340"/>
      <c r="U4" s="340"/>
      <c r="V4" s="340"/>
      <c r="W4" s="347" t="b">
        <f>IF(D4="SIM",TRUE,FALSE)</f>
        <v>0</v>
      </c>
      <c r="X4" s="347" t="s">
        <v>527</v>
      </c>
      <c r="Y4" s="340"/>
      <c r="Z4" s="340"/>
      <c r="AA4" s="340"/>
      <c r="AB4" s="340"/>
      <c r="AC4" s="340"/>
      <c r="AD4" s="340"/>
      <c r="AE4" s="340"/>
      <c r="AF4" s="340"/>
      <c r="AG4" s="340"/>
      <c r="AH4" s="340"/>
      <c r="AI4" s="340"/>
      <c r="AJ4" s="340"/>
      <c r="AK4" s="340"/>
      <c r="AL4" s="340"/>
      <c r="AM4" s="340"/>
      <c r="AN4" s="340"/>
      <c r="AO4" s="340"/>
      <c r="AP4" s="340"/>
      <c r="AQ4" s="340"/>
      <c r="AR4" s="340"/>
      <c r="AS4" s="340"/>
    </row>
    <row r="5" spans="2:45" ht="33.75" customHeight="1">
      <c r="B5" s="559"/>
      <c r="C5" s="520" t="s">
        <v>528</v>
      </c>
      <c r="D5" s="560"/>
    </row>
    <row r="6" spans="2:45" s="348" customFormat="1" ht="23.25" customHeight="1">
      <c r="B6" s="561" t="s">
        <v>113</v>
      </c>
      <c r="C6" s="521" t="s">
        <v>529</v>
      </c>
      <c r="D6" s="360">
        <f>SUM(D7:D15)</f>
        <v>0.3680000000000001</v>
      </c>
      <c r="G6" s="346"/>
      <c r="H6" s="346"/>
      <c r="I6" s="346"/>
      <c r="J6" s="349"/>
      <c r="K6" s="349"/>
      <c r="L6" s="349"/>
      <c r="M6" s="349"/>
      <c r="N6" s="349"/>
      <c r="O6" s="349"/>
      <c r="P6" s="349"/>
      <c r="Q6" s="349"/>
      <c r="R6" s="349"/>
      <c r="S6" s="349"/>
      <c r="T6" s="349"/>
      <c r="U6" s="349"/>
      <c r="V6" s="349"/>
      <c r="W6" s="349"/>
      <c r="X6" s="349"/>
      <c r="Y6" s="349"/>
      <c r="Z6" s="349"/>
      <c r="AA6" s="349"/>
      <c r="AB6" s="349"/>
      <c r="AC6" s="349"/>
      <c r="AD6" s="349"/>
      <c r="AE6" s="349"/>
      <c r="AF6" s="349"/>
      <c r="AG6" s="349"/>
      <c r="AH6" s="349"/>
      <c r="AI6" s="349"/>
      <c r="AJ6" s="349"/>
      <c r="AK6" s="349"/>
      <c r="AL6" s="349"/>
      <c r="AM6" s="349"/>
      <c r="AN6" s="349"/>
      <c r="AO6" s="349"/>
      <c r="AP6" s="349"/>
      <c r="AQ6" s="349"/>
      <c r="AR6" s="349"/>
      <c r="AS6" s="349"/>
    </row>
    <row r="7" spans="2:45" s="348" customFormat="1" ht="21.9" customHeight="1">
      <c r="B7" s="361" t="s">
        <v>530</v>
      </c>
      <c r="C7" s="362" t="s">
        <v>531</v>
      </c>
      <c r="D7" s="363">
        <v>0.2</v>
      </c>
      <c r="G7" s="796" t="s">
        <v>532</v>
      </c>
      <c r="H7" s="796"/>
      <c r="I7" s="796"/>
      <c r="J7" s="796"/>
      <c r="K7" s="796"/>
      <c r="L7" s="350"/>
      <c r="M7" s="350"/>
      <c r="N7" s="350"/>
      <c r="O7" s="349"/>
      <c r="P7" s="349"/>
      <c r="Q7" s="349"/>
      <c r="R7" s="349"/>
      <c r="S7" s="349"/>
      <c r="T7" s="349"/>
      <c r="U7" s="349"/>
      <c r="V7" s="349"/>
      <c r="W7" s="351">
        <v>0.2</v>
      </c>
      <c r="X7" s="351"/>
      <c r="Y7" s="352">
        <f t="shared" ref="Y7:Y15" si="0">IF($W$4,X7,W7)</f>
        <v>0.2</v>
      </c>
      <c r="Z7" s="349"/>
      <c r="AA7" s="349" t="str">
        <f>IF(D7=Y7,"OK","JUSTIFICAR")</f>
        <v>OK</v>
      </c>
      <c r="AB7" s="349">
        <f t="shared" ref="AB7:AB15" si="1">IF(AA7="OK",1,0)</f>
        <v>1</v>
      </c>
      <c r="AC7" s="349"/>
      <c r="AD7" s="349"/>
      <c r="AE7" s="349"/>
      <c r="AF7" s="349"/>
      <c r="AG7" s="349"/>
      <c r="AH7" s="349"/>
      <c r="AI7" s="349"/>
      <c r="AJ7" s="349"/>
      <c r="AK7" s="349"/>
      <c r="AL7" s="349"/>
      <c r="AM7" s="349"/>
      <c r="AN7" s="349"/>
      <c r="AO7" s="349"/>
      <c r="AP7" s="349"/>
      <c r="AQ7" s="349"/>
      <c r="AR7" s="349"/>
      <c r="AS7" s="349"/>
    </row>
    <row r="8" spans="2:45" s="348" customFormat="1" ht="21.9" customHeight="1">
      <c r="B8" s="364" t="s">
        <v>533</v>
      </c>
      <c r="C8" s="365" t="s">
        <v>534</v>
      </c>
      <c r="D8" s="366">
        <v>0.08</v>
      </c>
      <c r="G8" s="796" t="s">
        <v>532</v>
      </c>
      <c r="H8" s="796"/>
      <c r="I8" s="796"/>
      <c r="J8" s="796"/>
      <c r="K8" s="796"/>
      <c r="L8" s="350"/>
      <c r="M8" s="350"/>
      <c r="N8" s="350"/>
      <c r="O8" s="349"/>
      <c r="P8" s="349"/>
      <c r="Q8" s="349"/>
      <c r="R8" s="349"/>
      <c r="S8" s="349"/>
      <c r="T8" s="349"/>
      <c r="U8" s="349"/>
      <c r="V8" s="349"/>
      <c r="W8" s="351">
        <v>0.08</v>
      </c>
      <c r="X8" s="351">
        <v>0</v>
      </c>
      <c r="Y8" s="352">
        <f t="shared" si="0"/>
        <v>0.08</v>
      </c>
      <c r="Z8" s="349"/>
      <c r="AA8" s="349" t="str">
        <f>IF(D8=Y8,"OK","JUSTIFICAR")</f>
        <v>OK</v>
      </c>
      <c r="AB8" s="349">
        <f t="shared" si="1"/>
        <v>1</v>
      </c>
      <c r="AC8" s="349"/>
      <c r="AD8" s="349"/>
      <c r="AE8" s="349"/>
      <c r="AF8" s="349"/>
      <c r="AG8" s="349"/>
      <c r="AH8" s="349"/>
      <c r="AI8" s="349"/>
      <c r="AJ8" s="349"/>
      <c r="AK8" s="349"/>
      <c r="AL8" s="349"/>
      <c r="AM8" s="349"/>
      <c r="AN8" s="349"/>
      <c r="AO8" s="349"/>
      <c r="AP8" s="349"/>
      <c r="AQ8" s="349"/>
      <c r="AR8" s="349"/>
      <c r="AS8" s="349"/>
    </row>
    <row r="9" spans="2:45" s="348" customFormat="1" ht="21.9" customHeight="1">
      <c r="B9" s="364" t="s">
        <v>535</v>
      </c>
      <c r="C9" s="365" t="s">
        <v>536</v>
      </c>
      <c r="D9" s="366">
        <v>1.4999999999999999E-2</v>
      </c>
      <c r="G9" s="796" t="s">
        <v>532</v>
      </c>
      <c r="H9" s="796"/>
      <c r="I9" s="796"/>
      <c r="J9" s="796"/>
      <c r="K9" s="796"/>
      <c r="L9" s="350"/>
      <c r="M9" s="350"/>
      <c r="N9" s="350"/>
      <c r="O9" s="349"/>
      <c r="P9" s="349"/>
      <c r="Q9" s="349"/>
      <c r="R9" s="349"/>
      <c r="S9" s="349"/>
      <c r="T9" s="349"/>
      <c r="U9" s="349"/>
      <c r="V9" s="349"/>
      <c r="W9" s="351">
        <v>1.4999999999999999E-2</v>
      </c>
      <c r="X9" s="351">
        <v>0</v>
      </c>
      <c r="Y9" s="352">
        <f t="shared" si="0"/>
        <v>1.4999999999999999E-2</v>
      </c>
      <c r="Z9" s="349"/>
      <c r="AA9" s="349" t="str">
        <f>IF(D9=Y9,"OK","JUSTIFICAR")</f>
        <v>OK</v>
      </c>
      <c r="AB9" s="349">
        <f t="shared" si="1"/>
        <v>1</v>
      </c>
      <c r="AC9" s="349"/>
      <c r="AD9" s="349"/>
      <c r="AE9" s="349"/>
      <c r="AF9" s="349"/>
      <c r="AG9" s="349"/>
      <c r="AH9" s="349"/>
      <c r="AI9" s="349"/>
      <c r="AJ9" s="349"/>
      <c r="AK9" s="349"/>
      <c r="AL9" s="349"/>
      <c r="AM9" s="349"/>
      <c r="AN9" s="349"/>
      <c r="AO9" s="349"/>
      <c r="AP9" s="349"/>
      <c r="AQ9" s="349"/>
      <c r="AR9" s="349"/>
      <c r="AS9" s="349"/>
    </row>
    <row r="10" spans="2:45" s="348" customFormat="1" ht="21.9" customHeight="1">
      <c r="B10" s="364" t="s">
        <v>537</v>
      </c>
      <c r="C10" s="365" t="s">
        <v>538</v>
      </c>
      <c r="D10" s="366">
        <v>0.01</v>
      </c>
      <c r="G10" s="796" t="s">
        <v>532</v>
      </c>
      <c r="H10" s="796"/>
      <c r="I10" s="796"/>
      <c r="J10" s="796"/>
      <c r="K10" s="796"/>
      <c r="L10" s="350"/>
      <c r="M10" s="350"/>
      <c r="N10" s="350"/>
      <c r="O10" s="349"/>
      <c r="P10" s="349"/>
      <c r="Q10" s="349"/>
      <c r="R10" s="349"/>
      <c r="S10" s="349"/>
      <c r="T10" s="349"/>
      <c r="U10" s="349"/>
      <c r="V10" s="349"/>
      <c r="W10" s="351">
        <v>0.01</v>
      </c>
      <c r="X10" s="351">
        <v>0</v>
      </c>
      <c r="Y10" s="352">
        <f t="shared" si="0"/>
        <v>0.01</v>
      </c>
      <c r="Z10" s="349" t="s">
        <v>539</v>
      </c>
      <c r="AA10" s="349" t="str">
        <f>IF(OR(D10=1%,D10=1.2%,D10=0%,D10=""),"OK","JUSTIFICAR")</f>
        <v>OK</v>
      </c>
      <c r="AB10" s="349">
        <f t="shared" si="1"/>
        <v>1</v>
      </c>
      <c r="AC10" s="349"/>
      <c r="AD10" s="349"/>
      <c r="AE10" s="349"/>
      <c r="AF10" s="349"/>
      <c r="AG10" s="349"/>
      <c r="AH10" s="349"/>
      <c r="AI10" s="349"/>
      <c r="AJ10" s="349"/>
      <c r="AK10" s="349"/>
      <c r="AL10" s="349"/>
      <c r="AM10" s="349"/>
      <c r="AN10" s="349"/>
      <c r="AO10" s="349"/>
      <c r="AP10" s="349"/>
      <c r="AQ10" s="349"/>
      <c r="AR10" s="349"/>
      <c r="AS10" s="349"/>
    </row>
    <row r="11" spans="2:45" s="348" customFormat="1" ht="21.9" customHeight="1">
      <c r="B11" s="364" t="s">
        <v>540</v>
      </c>
      <c r="C11" s="365" t="s">
        <v>541</v>
      </c>
      <c r="D11" s="366">
        <v>2E-3</v>
      </c>
      <c r="G11" s="796" t="s">
        <v>532</v>
      </c>
      <c r="H11" s="796"/>
      <c r="I11" s="796"/>
      <c r="J11" s="796"/>
      <c r="K11" s="796"/>
      <c r="L11" s="350"/>
      <c r="M11" s="350"/>
      <c r="N11" s="350"/>
      <c r="O11" s="349"/>
      <c r="P11" s="349"/>
      <c r="Q11" s="349"/>
      <c r="R11" s="349"/>
      <c r="S11" s="349"/>
      <c r="T11" s="349"/>
      <c r="U11" s="349"/>
      <c r="V11" s="349"/>
      <c r="W11" s="351">
        <v>2E-3</v>
      </c>
      <c r="X11" s="351">
        <v>0</v>
      </c>
      <c r="Y11" s="352">
        <f t="shared" si="0"/>
        <v>2E-3</v>
      </c>
      <c r="Z11" s="349"/>
      <c r="AA11" s="349" t="str">
        <f>IF(D11=Y11,"OK","JUSTIFICAR")</f>
        <v>OK</v>
      </c>
      <c r="AB11" s="349">
        <f t="shared" si="1"/>
        <v>1</v>
      </c>
      <c r="AC11" s="349"/>
      <c r="AD11" s="349"/>
      <c r="AE11" s="349"/>
      <c r="AF11" s="349"/>
      <c r="AG11" s="349"/>
      <c r="AH11" s="349"/>
      <c r="AI11" s="349"/>
      <c r="AJ11" s="349"/>
      <c r="AK11" s="349"/>
      <c r="AL11" s="349"/>
      <c r="AM11" s="349"/>
      <c r="AN11" s="349"/>
      <c r="AO11" s="349"/>
      <c r="AP11" s="349"/>
      <c r="AQ11" s="349"/>
      <c r="AR11" s="349"/>
      <c r="AS11" s="349"/>
    </row>
    <row r="12" spans="2:45" s="348" customFormat="1" ht="21.9" customHeight="1">
      <c r="B12" s="364" t="s">
        <v>542</v>
      </c>
      <c r="C12" s="365" t="s">
        <v>543</v>
      </c>
      <c r="D12" s="366">
        <v>2.5000000000000001E-2</v>
      </c>
      <c r="G12" s="796" t="s">
        <v>532</v>
      </c>
      <c r="H12" s="796"/>
      <c r="I12" s="796"/>
      <c r="J12" s="796"/>
      <c r="K12" s="796"/>
      <c r="L12" s="350"/>
      <c r="M12" s="350"/>
      <c r="N12" s="350"/>
      <c r="O12" s="349"/>
      <c r="P12" s="349"/>
      <c r="Q12" s="349"/>
      <c r="R12" s="349"/>
      <c r="S12" s="349"/>
      <c r="T12" s="349"/>
      <c r="U12" s="349"/>
      <c r="V12" s="349"/>
      <c r="W12" s="351">
        <v>2.5000000000000001E-2</v>
      </c>
      <c r="X12" s="351">
        <v>0</v>
      </c>
      <c r="Y12" s="352">
        <f t="shared" si="0"/>
        <v>2.5000000000000001E-2</v>
      </c>
      <c r="Z12" s="349"/>
      <c r="AA12" s="349" t="str">
        <f>IF(D12=Y12,"OK","JUSTIFICAR")</f>
        <v>OK</v>
      </c>
      <c r="AB12" s="349">
        <f t="shared" si="1"/>
        <v>1</v>
      </c>
      <c r="AC12" s="349"/>
      <c r="AD12" s="349"/>
      <c r="AE12" s="349"/>
      <c r="AF12" s="349"/>
      <c r="AG12" s="349"/>
      <c r="AH12" s="349"/>
      <c r="AI12" s="349"/>
      <c r="AJ12" s="349"/>
      <c r="AK12" s="349"/>
      <c r="AL12" s="349"/>
      <c r="AM12" s="349"/>
      <c r="AN12" s="349"/>
      <c r="AO12" s="349"/>
      <c r="AP12" s="349"/>
      <c r="AQ12" s="349"/>
      <c r="AR12" s="349"/>
      <c r="AS12" s="349"/>
    </row>
    <row r="13" spans="2:45" s="348" customFormat="1" ht="21.9" customHeight="1">
      <c r="B13" s="364" t="s">
        <v>544</v>
      </c>
      <c r="C13" s="365" t="s">
        <v>545</v>
      </c>
      <c r="D13" s="366">
        <v>0.03</v>
      </c>
      <c r="G13" s="796" t="s">
        <v>532</v>
      </c>
      <c r="H13" s="796"/>
      <c r="I13" s="796"/>
      <c r="J13" s="796"/>
      <c r="K13" s="796"/>
      <c r="L13" s="350"/>
      <c r="M13" s="350"/>
      <c r="N13" s="350"/>
      <c r="O13" s="349"/>
      <c r="P13" s="349"/>
      <c r="Q13" s="349"/>
      <c r="R13" s="349"/>
      <c r="S13" s="349"/>
      <c r="T13" s="349"/>
      <c r="U13" s="349"/>
      <c r="V13" s="349"/>
      <c r="W13" s="351">
        <v>0.03</v>
      </c>
      <c r="X13" s="351">
        <v>0</v>
      </c>
      <c r="Y13" s="352">
        <f t="shared" si="0"/>
        <v>0.03</v>
      </c>
      <c r="Z13" s="349" t="s">
        <v>539</v>
      </c>
      <c r="AA13" s="349" t="str">
        <f>IF(W4,IF(D13&lt;&gt;0%,"JUSTIFICAR","OK"),IF(AND(D13&gt;0.99%,D13&lt;3.01%),"OK","JUSTIFICAR"))</f>
        <v>OK</v>
      </c>
      <c r="AB13" s="349">
        <f t="shared" si="1"/>
        <v>1</v>
      </c>
      <c r="AC13" s="349"/>
      <c r="AD13" s="349"/>
      <c r="AE13" s="349"/>
      <c r="AF13" s="349"/>
      <c r="AG13" s="349"/>
      <c r="AH13" s="349"/>
      <c r="AI13" s="349"/>
      <c r="AJ13" s="349"/>
      <c r="AK13" s="349"/>
      <c r="AL13" s="349"/>
      <c r="AM13" s="349"/>
      <c r="AN13" s="349"/>
      <c r="AO13" s="349"/>
      <c r="AP13" s="349"/>
      <c r="AQ13" s="349"/>
      <c r="AR13" s="349"/>
      <c r="AS13" s="349"/>
    </row>
    <row r="14" spans="2:45" s="348" customFormat="1" ht="21.9" customHeight="1">
      <c r="B14" s="364" t="s">
        <v>546</v>
      </c>
      <c r="C14" s="365" t="s">
        <v>547</v>
      </c>
      <c r="D14" s="366">
        <v>6.0000000000000001E-3</v>
      </c>
      <c r="G14" s="796" t="s">
        <v>532</v>
      </c>
      <c r="H14" s="796"/>
      <c r="I14" s="796"/>
      <c r="J14" s="796"/>
      <c r="K14" s="796"/>
      <c r="L14" s="350"/>
      <c r="M14" s="350"/>
      <c r="N14" s="350"/>
      <c r="O14" s="349"/>
      <c r="P14" s="349"/>
      <c r="Q14" s="349"/>
      <c r="R14" s="349"/>
      <c r="S14" s="349"/>
      <c r="T14" s="349"/>
      <c r="U14" s="349"/>
      <c r="V14" s="349"/>
      <c r="W14" s="351">
        <v>6.0000000000000001E-3</v>
      </c>
      <c r="X14" s="351">
        <v>0</v>
      </c>
      <c r="Y14" s="352">
        <f t="shared" si="0"/>
        <v>6.0000000000000001E-3</v>
      </c>
      <c r="Z14" s="349"/>
      <c r="AA14" s="349" t="str">
        <f>IF(D14=Y14,"OK","JUSTIFICAR")</f>
        <v>OK</v>
      </c>
      <c r="AB14" s="349">
        <f t="shared" si="1"/>
        <v>1</v>
      </c>
      <c r="AC14" s="349"/>
      <c r="AD14" s="349"/>
      <c r="AE14" s="349"/>
      <c r="AF14" s="349"/>
      <c r="AG14" s="349"/>
      <c r="AH14" s="349"/>
      <c r="AI14" s="349"/>
      <c r="AJ14" s="349"/>
      <c r="AK14" s="349"/>
      <c r="AL14" s="349"/>
      <c r="AM14" s="349"/>
      <c r="AN14" s="349"/>
      <c r="AO14" s="349"/>
      <c r="AP14" s="349"/>
      <c r="AQ14" s="349"/>
      <c r="AR14" s="349"/>
      <c r="AS14" s="349"/>
    </row>
    <row r="15" spans="2:45" s="348" customFormat="1" ht="21.9" customHeight="1">
      <c r="B15" s="367" t="s">
        <v>548</v>
      </c>
      <c r="C15" s="368" t="s">
        <v>549</v>
      </c>
      <c r="D15" s="369">
        <v>0</v>
      </c>
      <c r="E15" s="348">
        <v>1</v>
      </c>
      <c r="G15" s="796" t="s">
        <v>532</v>
      </c>
      <c r="H15" s="796"/>
      <c r="I15" s="796"/>
      <c r="J15" s="796"/>
      <c r="K15" s="796"/>
      <c r="L15" s="350"/>
      <c r="M15" s="350"/>
      <c r="N15" s="350"/>
      <c r="O15" s="349"/>
      <c r="P15" s="349"/>
      <c r="Q15" s="349"/>
      <c r="R15" s="349"/>
      <c r="S15" s="349"/>
      <c r="T15" s="349"/>
      <c r="U15" s="349"/>
      <c r="V15" s="349"/>
      <c r="W15" s="351">
        <v>0</v>
      </c>
      <c r="X15" s="351">
        <v>0</v>
      </c>
      <c r="Y15" s="352">
        <f t="shared" si="0"/>
        <v>0</v>
      </c>
      <c r="Z15" s="349" t="s">
        <v>539</v>
      </c>
      <c r="AA15" s="349" t="str">
        <f>IF(OR(D15=0%,D15=1%,D15=""),"OK","JUSTIFICAR")</f>
        <v>OK</v>
      </c>
      <c r="AB15" s="349">
        <f t="shared" si="1"/>
        <v>1</v>
      </c>
      <c r="AC15" s="349"/>
      <c r="AD15" s="349"/>
      <c r="AE15" s="349"/>
      <c r="AF15" s="349"/>
      <c r="AG15" s="349"/>
      <c r="AH15" s="349"/>
      <c r="AI15" s="349"/>
      <c r="AJ15" s="349"/>
      <c r="AK15" s="349"/>
      <c r="AL15" s="349"/>
      <c r="AM15" s="349"/>
      <c r="AN15" s="349"/>
      <c r="AO15" s="349"/>
      <c r="AP15" s="349"/>
      <c r="AQ15" s="349"/>
      <c r="AR15" s="349"/>
      <c r="AS15" s="349"/>
    </row>
    <row r="16" spans="2:45" s="348" customFormat="1" ht="24.9" customHeight="1">
      <c r="B16" s="561" t="s">
        <v>115</v>
      </c>
      <c r="C16" s="521" t="s">
        <v>550</v>
      </c>
      <c r="D16" s="360">
        <f>IF(AB17=2,SUM(D18:D26),D18+D19+D20+D22+D24+D25+D26)</f>
        <v>0.28610000000000002</v>
      </c>
      <c r="G16" s="346"/>
      <c r="H16" s="346"/>
      <c r="I16" s="346"/>
      <c r="J16" s="349"/>
      <c r="K16" s="349"/>
      <c r="L16" s="349"/>
      <c r="M16" s="349"/>
      <c r="N16" s="349"/>
      <c r="O16" s="349"/>
      <c r="P16" s="349"/>
      <c r="Q16" s="349"/>
      <c r="R16" s="349"/>
      <c r="S16" s="349"/>
      <c r="T16" s="349"/>
      <c r="U16" s="349"/>
      <c r="V16" s="349"/>
      <c r="W16" s="349"/>
      <c r="X16" s="349"/>
      <c r="Y16" s="349"/>
      <c r="Z16" s="349"/>
      <c r="AA16" s="349"/>
      <c r="AB16" s="349"/>
      <c r="AC16" s="349"/>
      <c r="AD16" s="349"/>
      <c r="AE16" s="349"/>
      <c r="AF16" s="349"/>
      <c r="AG16" s="349"/>
      <c r="AH16" s="349"/>
      <c r="AI16" s="349"/>
      <c r="AJ16" s="349"/>
      <c r="AK16" s="349"/>
      <c r="AL16" s="349"/>
      <c r="AM16" s="349"/>
      <c r="AN16" s="349"/>
      <c r="AO16" s="349"/>
      <c r="AP16" s="349"/>
      <c r="AQ16" s="349"/>
      <c r="AR16" s="349"/>
      <c r="AS16" s="349"/>
    </row>
    <row r="17" spans="2:46" s="348" customFormat="1" ht="29.25" customHeight="1">
      <c r="B17" s="562"/>
      <c r="C17" s="522" t="s">
        <v>551</v>
      </c>
      <c r="D17" s="563"/>
      <c r="G17" s="349"/>
      <c r="H17" s="346"/>
      <c r="I17" s="346"/>
      <c r="J17" s="349"/>
      <c r="K17" s="349"/>
      <c r="L17" s="349"/>
      <c r="M17" s="349"/>
      <c r="N17" s="349"/>
      <c r="O17" s="349"/>
      <c r="P17" s="349"/>
      <c r="Q17" s="349"/>
      <c r="R17" s="349"/>
      <c r="S17" s="349"/>
      <c r="T17" s="349"/>
      <c r="U17" s="349"/>
      <c r="V17" s="349"/>
      <c r="W17" s="349"/>
      <c r="X17" s="349"/>
      <c r="Y17" s="349"/>
      <c r="Z17" s="349"/>
      <c r="AA17" s="349"/>
      <c r="AB17" s="346">
        <v>1</v>
      </c>
      <c r="AC17" s="349"/>
      <c r="AD17" s="349"/>
      <c r="AE17" s="349"/>
      <c r="AF17" s="349"/>
      <c r="AG17" s="349"/>
      <c r="AH17" s="349"/>
      <c r="AI17" s="349"/>
      <c r="AJ17" s="349"/>
      <c r="AK17" s="349"/>
      <c r="AL17" s="349"/>
      <c r="AM17" s="349"/>
      <c r="AN17" s="349"/>
      <c r="AO17" s="349"/>
      <c r="AP17" s="349"/>
      <c r="AQ17" s="349"/>
      <c r="AR17" s="349"/>
      <c r="AS17" s="349"/>
    </row>
    <row r="18" spans="2:46" s="348" customFormat="1" ht="21.9" customHeight="1">
      <c r="B18" s="361" t="s">
        <v>552</v>
      </c>
      <c r="C18" s="362" t="s">
        <v>553</v>
      </c>
      <c r="D18" s="363">
        <v>0.1111</v>
      </c>
      <c r="G18" s="346"/>
      <c r="H18" s="346"/>
      <c r="I18" s="346"/>
      <c r="J18" s="349"/>
      <c r="K18" s="349"/>
      <c r="L18" s="349"/>
      <c r="M18" s="349"/>
      <c r="N18" s="349"/>
      <c r="O18" s="349"/>
      <c r="P18" s="349"/>
      <c r="Q18" s="349"/>
      <c r="R18" s="349"/>
      <c r="S18" s="349"/>
      <c r="T18" s="349"/>
      <c r="U18" s="349"/>
      <c r="V18" s="349"/>
      <c r="W18" s="349"/>
      <c r="X18" s="349"/>
      <c r="Y18" s="349"/>
      <c r="Z18" s="349"/>
      <c r="AA18" s="349"/>
      <c r="AB18" s="349"/>
      <c r="AC18" s="349"/>
      <c r="AD18" s="349"/>
      <c r="AE18" s="349"/>
      <c r="AF18" s="349"/>
      <c r="AG18" s="349"/>
      <c r="AH18" s="349"/>
      <c r="AI18" s="349"/>
      <c r="AJ18" s="349"/>
      <c r="AK18" s="349"/>
      <c r="AL18" s="349"/>
      <c r="AM18" s="349"/>
      <c r="AN18" s="349"/>
      <c r="AO18" s="349"/>
      <c r="AP18" s="349"/>
      <c r="AQ18" s="349"/>
      <c r="AR18" s="349"/>
      <c r="AS18" s="349"/>
    </row>
    <row r="19" spans="2:46" s="348" customFormat="1" ht="21.9" customHeight="1">
      <c r="B19" s="364" t="s">
        <v>554</v>
      </c>
      <c r="C19" s="365" t="s">
        <v>555</v>
      </c>
      <c r="D19" s="366">
        <v>8.3299999999999999E-2</v>
      </c>
      <c r="F19" s="353"/>
      <c r="G19" s="354"/>
      <c r="H19" s="354"/>
      <c r="I19" s="354"/>
      <c r="J19" s="353"/>
      <c r="K19" s="353"/>
      <c r="L19" s="353"/>
      <c r="M19" s="353"/>
      <c r="N19" s="353"/>
      <c r="O19" s="353"/>
      <c r="P19" s="353"/>
      <c r="Q19" s="353"/>
      <c r="R19" s="353"/>
      <c r="S19" s="353"/>
      <c r="T19" s="353"/>
      <c r="U19" s="353"/>
      <c r="V19" s="353"/>
      <c r="W19" s="353"/>
      <c r="X19" s="353"/>
      <c r="Y19" s="353"/>
      <c r="Z19" s="353"/>
      <c r="AA19" s="353"/>
      <c r="AB19" s="353"/>
      <c r="AC19" s="353"/>
      <c r="AD19" s="353"/>
      <c r="AE19" s="353"/>
      <c r="AF19" s="353"/>
      <c r="AG19" s="353"/>
      <c r="AH19" s="353"/>
      <c r="AI19" s="353"/>
      <c r="AJ19" s="353"/>
      <c r="AK19" s="353"/>
      <c r="AL19" s="353"/>
      <c r="AM19" s="353"/>
      <c r="AN19" s="353"/>
      <c r="AO19" s="353"/>
      <c r="AP19" s="353"/>
      <c r="AQ19" s="353"/>
      <c r="AR19" s="353"/>
      <c r="AS19" s="353"/>
      <c r="AT19" s="353"/>
    </row>
    <row r="20" spans="2:46" s="348" customFormat="1" ht="21.9" customHeight="1">
      <c r="B20" s="364" t="s">
        <v>556</v>
      </c>
      <c r="C20" s="365" t="s">
        <v>557</v>
      </c>
      <c r="D20" s="366">
        <v>7.2499999999999995E-2</v>
      </c>
      <c r="F20" s="353" t="s">
        <v>558</v>
      </c>
      <c r="G20" s="354"/>
      <c r="H20" s="354"/>
      <c r="I20" s="354"/>
      <c r="J20" s="353"/>
      <c r="K20" s="353"/>
      <c r="L20" s="353"/>
      <c r="M20" s="353"/>
      <c r="N20" s="353"/>
      <c r="O20" s="353"/>
      <c r="P20" s="353"/>
      <c r="Q20" s="353"/>
      <c r="R20" s="353"/>
      <c r="S20" s="353"/>
      <c r="T20" s="353"/>
      <c r="U20" s="353"/>
      <c r="V20" s="353"/>
      <c r="W20" s="353"/>
      <c r="X20" s="353"/>
      <c r="Y20" s="353"/>
      <c r="Z20" s="353"/>
      <c r="AA20" s="353"/>
      <c r="AB20" s="353"/>
      <c r="AC20" s="353"/>
      <c r="AD20" s="353"/>
      <c r="AE20" s="353"/>
      <c r="AF20" s="353"/>
      <c r="AG20" s="353"/>
      <c r="AH20" s="353"/>
      <c r="AI20" s="353"/>
      <c r="AJ20" s="353"/>
      <c r="AK20" s="353"/>
      <c r="AL20" s="353"/>
      <c r="AM20" s="353"/>
      <c r="AN20" s="353"/>
      <c r="AO20" s="353"/>
      <c r="AP20" s="353"/>
      <c r="AQ20" s="353"/>
      <c r="AR20" s="353"/>
      <c r="AS20" s="353"/>
      <c r="AT20" s="353"/>
    </row>
    <row r="21" spans="2:46" s="348" customFormat="1" ht="21.9" customHeight="1">
      <c r="B21" s="364" t="s">
        <v>559</v>
      </c>
      <c r="C21" s="365" t="s">
        <v>560</v>
      </c>
      <c r="D21" s="366">
        <v>5.4199999999999998E-2</v>
      </c>
      <c r="F21" s="353" t="s">
        <v>561</v>
      </c>
      <c r="G21" s="355" t="s">
        <v>562</v>
      </c>
      <c r="H21" s="355"/>
      <c r="I21" s="355"/>
      <c r="J21" s="355"/>
      <c r="K21" s="355"/>
      <c r="L21" s="355"/>
      <c r="M21" s="355"/>
      <c r="N21" s="355"/>
      <c r="O21" s="355"/>
      <c r="P21" s="355"/>
      <c r="Q21" s="355"/>
      <c r="R21" s="353"/>
      <c r="S21" s="353"/>
      <c r="T21" s="353"/>
      <c r="U21" s="353"/>
      <c r="V21" s="353"/>
      <c r="W21" s="353"/>
      <c r="X21" s="353"/>
      <c r="Y21" s="353"/>
      <c r="Z21" s="353"/>
      <c r="AA21" s="353"/>
      <c r="AB21" s="353"/>
      <c r="AC21" s="353"/>
      <c r="AD21" s="353"/>
      <c r="AE21" s="353"/>
      <c r="AF21" s="353"/>
      <c r="AG21" s="353"/>
      <c r="AH21" s="353"/>
      <c r="AI21" s="353"/>
      <c r="AJ21" s="353"/>
      <c r="AK21" s="353"/>
      <c r="AL21" s="353"/>
      <c r="AM21" s="353"/>
      <c r="AN21" s="353"/>
      <c r="AO21" s="353"/>
      <c r="AP21" s="353"/>
      <c r="AQ21" s="353"/>
      <c r="AR21" s="353"/>
      <c r="AS21" s="353"/>
      <c r="AT21" s="353"/>
    </row>
    <row r="22" spans="2:46" s="348" customFormat="1" ht="21.9" customHeight="1">
      <c r="B22" s="364" t="s">
        <v>563</v>
      </c>
      <c r="C22" s="365" t="s">
        <v>564</v>
      </c>
      <c r="D22" s="366">
        <v>2.0000000000000001E-4</v>
      </c>
      <c r="F22" s="353"/>
      <c r="G22" s="354"/>
      <c r="H22" s="354"/>
      <c r="I22" s="354"/>
      <c r="J22" s="353"/>
      <c r="K22" s="353"/>
      <c r="L22" s="353"/>
      <c r="M22" s="353"/>
      <c r="N22" s="353"/>
      <c r="O22" s="353"/>
      <c r="P22" s="356"/>
      <c r="Q22" s="353"/>
      <c r="R22" s="353"/>
      <c r="S22" s="353"/>
      <c r="T22" s="353"/>
      <c r="U22" s="353"/>
      <c r="V22" s="353"/>
      <c r="W22" s="353"/>
      <c r="X22" s="353"/>
      <c r="Y22" s="353"/>
      <c r="Z22" s="353"/>
      <c r="AA22" s="353"/>
      <c r="AB22" s="353"/>
      <c r="AC22" s="353"/>
      <c r="AD22" s="353"/>
      <c r="AE22" s="353"/>
      <c r="AF22" s="353"/>
      <c r="AG22" s="353"/>
      <c r="AH22" s="353"/>
      <c r="AI22" s="353"/>
      <c r="AJ22" s="353"/>
      <c r="AK22" s="353"/>
      <c r="AL22" s="353"/>
      <c r="AM22" s="353"/>
      <c r="AN22" s="353"/>
      <c r="AO22" s="353"/>
      <c r="AP22" s="353"/>
      <c r="AQ22" s="353"/>
      <c r="AR22" s="353"/>
      <c r="AS22" s="353"/>
      <c r="AT22" s="353"/>
    </row>
    <row r="23" spans="2:46" s="348" customFormat="1" ht="21.9" customHeight="1">
      <c r="B23" s="364" t="s">
        <v>565</v>
      </c>
      <c r="C23" s="365" t="s">
        <v>566</v>
      </c>
      <c r="D23" s="366">
        <v>4.7800000000000002E-2</v>
      </c>
      <c r="F23" s="353" t="s">
        <v>561</v>
      </c>
      <c r="G23" s="355" t="s">
        <v>562</v>
      </c>
      <c r="H23" s="355"/>
      <c r="I23" s="355"/>
      <c r="J23" s="355"/>
      <c r="K23" s="355"/>
      <c r="L23" s="355"/>
      <c r="M23" s="355"/>
      <c r="N23" s="355"/>
      <c r="O23" s="355"/>
      <c r="P23" s="355"/>
      <c r="Q23" s="355"/>
      <c r="R23" s="353"/>
      <c r="S23" s="353"/>
      <c r="T23" s="353"/>
      <c r="U23" s="353"/>
      <c r="V23" s="353"/>
      <c r="W23" s="353"/>
      <c r="X23" s="353"/>
      <c r="Y23" s="353"/>
      <c r="Z23" s="353"/>
      <c r="AA23" s="353"/>
      <c r="AB23" s="353"/>
      <c r="AC23" s="353"/>
      <c r="AD23" s="353"/>
      <c r="AE23" s="353"/>
      <c r="AF23" s="353"/>
      <c r="AG23" s="353"/>
      <c r="AH23" s="353"/>
      <c r="AI23" s="353"/>
      <c r="AJ23" s="353"/>
      <c r="AK23" s="353"/>
      <c r="AL23" s="353"/>
      <c r="AM23" s="353"/>
      <c r="AN23" s="353"/>
      <c r="AO23" s="353"/>
      <c r="AP23" s="353"/>
      <c r="AQ23" s="353"/>
      <c r="AR23" s="353"/>
      <c r="AS23" s="353"/>
      <c r="AT23" s="353"/>
    </row>
    <row r="24" spans="2:46" s="348" customFormat="1" ht="21.9" customHeight="1">
      <c r="B24" s="364" t="s">
        <v>567</v>
      </c>
      <c r="C24" s="365" t="s">
        <v>568</v>
      </c>
      <c r="D24" s="366">
        <v>0</v>
      </c>
      <c r="F24" s="353"/>
      <c r="G24" s="354"/>
      <c r="H24" s="354"/>
      <c r="I24" s="354"/>
      <c r="J24" s="353"/>
      <c r="K24" s="353"/>
      <c r="L24" s="353"/>
      <c r="M24" s="353"/>
      <c r="N24" s="353"/>
      <c r="O24" s="353"/>
      <c r="P24" s="353"/>
      <c r="Q24" s="353"/>
      <c r="R24" s="353"/>
      <c r="S24" s="353"/>
      <c r="T24" s="353"/>
      <c r="U24" s="353"/>
      <c r="V24" s="353"/>
      <c r="W24" s="353"/>
      <c r="X24" s="353"/>
      <c r="Y24" s="353"/>
      <c r="Z24" s="353"/>
      <c r="AA24" s="353"/>
      <c r="AB24" s="353"/>
      <c r="AC24" s="353"/>
      <c r="AD24" s="353"/>
      <c r="AE24" s="353"/>
      <c r="AF24" s="353"/>
      <c r="AG24" s="353"/>
      <c r="AH24" s="353"/>
      <c r="AI24" s="353"/>
      <c r="AJ24" s="353"/>
      <c r="AK24" s="353"/>
      <c r="AL24" s="353"/>
      <c r="AM24" s="353"/>
      <c r="AN24" s="353"/>
      <c r="AO24" s="353"/>
      <c r="AP24" s="353"/>
      <c r="AQ24" s="353"/>
      <c r="AR24" s="353"/>
      <c r="AS24" s="353"/>
      <c r="AT24" s="353"/>
    </row>
    <row r="25" spans="2:46" s="348" customFormat="1" ht="21.9" customHeight="1">
      <c r="B25" s="364" t="s">
        <v>569</v>
      </c>
      <c r="C25" s="365" t="s">
        <v>570</v>
      </c>
      <c r="D25" s="366">
        <v>1.9E-2</v>
      </c>
      <c r="F25" s="353"/>
      <c r="G25" s="354"/>
      <c r="H25" s="354"/>
      <c r="I25" s="354"/>
      <c r="J25" s="353"/>
      <c r="K25" s="353"/>
      <c r="L25" s="353"/>
      <c r="M25" s="353"/>
      <c r="N25" s="353"/>
      <c r="O25" s="353"/>
      <c r="P25" s="353"/>
      <c r="Q25" s="353"/>
      <c r="R25" s="353"/>
      <c r="S25" s="353"/>
      <c r="T25" s="353"/>
      <c r="U25" s="353"/>
      <c r="V25" s="353"/>
      <c r="W25" s="353"/>
      <c r="X25" s="353"/>
      <c r="Y25" s="353"/>
      <c r="Z25" s="353"/>
      <c r="AA25" s="353"/>
      <c r="AB25" s="353"/>
      <c r="AC25" s="353"/>
      <c r="AD25" s="353"/>
      <c r="AE25" s="353"/>
      <c r="AF25" s="353"/>
      <c r="AG25" s="353"/>
      <c r="AH25" s="353"/>
      <c r="AI25" s="353"/>
      <c r="AJ25" s="353"/>
      <c r="AK25" s="353"/>
      <c r="AL25" s="353"/>
      <c r="AM25" s="353"/>
      <c r="AN25" s="353"/>
      <c r="AO25" s="353"/>
      <c r="AP25" s="353"/>
      <c r="AQ25" s="353"/>
      <c r="AR25" s="353"/>
      <c r="AS25" s="353"/>
      <c r="AT25" s="353"/>
    </row>
    <row r="26" spans="2:46" s="348" customFormat="1" ht="21.9" customHeight="1">
      <c r="B26" s="367" t="s">
        <v>571</v>
      </c>
      <c r="C26" s="368" t="s">
        <v>572</v>
      </c>
      <c r="D26" s="370"/>
      <c r="F26" s="353"/>
      <c r="G26" s="354"/>
      <c r="H26" s="354"/>
      <c r="I26" s="354"/>
      <c r="J26" s="353"/>
      <c r="K26" s="353"/>
      <c r="L26" s="353"/>
      <c r="M26" s="353"/>
      <c r="N26" s="353"/>
      <c r="O26" s="353"/>
      <c r="P26" s="353"/>
      <c r="Q26" s="353"/>
      <c r="R26" s="353"/>
      <c r="S26" s="353"/>
      <c r="T26" s="353"/>
      <c r="U26" s="353"/>
      <c r="V26" s="353"/>
      <c r="W26" s="353"/>
      <c r="X26" s="353"/>
      <c r="Y26" s="353"/>
      <c r="Z26" s="353"/>
      <c r="AA26" s="353"/>
      <c r="AB26" s="353"/>
      <c r="AC26" s="353"/>
      <c r="AD26" s="353"/>
      <c r="AE26" s="353"/>
      <c r="AF26" s="353"/>
      <c r="AG26" s="353"/>
      <c r="AH26" s="353"/>
      <c r="AI26" s="353"/>
      <c r="AJ26" s="353"/>
      <c r="AK26" s="353"/>
      <c r="AL26" s="353"/>
      <c r="AM26" s="353"/>
      <c r="AN26" s="353"/>
      <c r="AO26" s="353"/>
      <c r="AP26" s="353"/>
      <c r="AQ26" s="353"/>
      <c r="AR26" s="353"/>
      <c r="AS26" s="353"/>
      <c r="AT26" s="353"/>
    </row>
    <row r="27" spans="2:46" s="348" customFormat="1" ht="24.9" customHeight="1">
      <c r="B27" s="561" t="s">
        <v>117</v>
      </c>
      <c r="C27" s="521" t="s">
        <v>573</v>
      </c>
      <c r="D27" s="360">
        <f>SUM(D28:D30)</f>
        <v>0.10559999999999999</v>
      </c>
      <c r="F27" s="353"/>
      <c r="G27" s="354"/>
      <c r="H27" s="354"/>
      <c r="I27" s="354"/>
      <c r="J27" s="353"/>
      <c r="K27" s="353"/>
      <c r="L27" s="353"/>
      <c r="M27" s="353"/>
      <c r="N27" s="353"/>
      <c r="O27" s="353"/>
      <c r="P27" s="353"/>
      <c r="Q27" s="353"/>
      <c r="R27" s="353"/>
      <c r="S27" s="353"/>
      <c r="T27" s="353"/>
      <c r="U27" s="353"/>
      <c r="V27" s="353"/>
      <c r="W27" s="353"/>
      <c r="X27" s="353"/>
      <c r="Y27" s="353"/>
      <c r="Z27" s="353"/>
      <c r="AA27" s="353"/>
      <c r="AB27" s="353"/>
      <c r="AC27" s="353"/>
      <c r="AD27" s="353"/>
      <c r="AE27" s="353"/>
      <c r="AF27" s="353"/>
      <c r="AG27" s="353"/>
      <c r="AH27" s="353"/>
      <c r="AI27" s="353"/>
      <c r="AJ27" s="353"/>
      <c r="AK27" s="353"/>
      <c r="AL27" s="353"/>
      <c r="AM27" s="353"/>
      <c r="AN27" s="353"/>
      <c r="AO27" s="353"/>
      <c r="AP27" s="353"/>
      <c r="AQ27" s="353"/>
      <c r="AR27" s="353"/>
      <c r="AS27" s="353"/>
      <c r="AT27" s="353"/>
    </row>
    <row r="28" spans="2:46" s="348" customFormat="1" ht="21.9" customHeight="1">
      <c r="B28" s="361" t="s">
        <v>574</v>
      </c>
      <c r="C28" s="362" t="s">
        <v>575</v>
      </c>
      <c r="D28" s="363">
        <v>0.04</v>
      </c>
      <c r="F28" s="353" t="s">
        <v>576</v>
      </c>
      <c r="G28" s="354"/>
      <c r="H28" s="354"/>
      <c r="I28" s="354"/>
      <c r="J28" s="353"/>
      <c r="K28" s="353"/>
      <c r="L28" s="353"/>
      <c r="M28" s="353"/>
      <c r="N28" s="353"/>
      <c r="O28" s="353"/>
      <c r="P28" s="353"/>
      <c r="Q28" s="353"/>
      <c r="R28" s="353"/>
      <c r="S28" s="353"/>
      <c r="T28" s="353"/>
      <c r="U28" s="353"/>
      <c r="V28" s="353"/>
      <c r="W28" s="353"/>
      <c r="X28" s="353"/>
      <c r="Y28" s="353"/>
      <c r="Z28" s="353"/>
      <c r="AA28" s="353"/>
      <c r="AB28" s="353"/>
      <c r="AC28" s="353"/>
      <c r="AD28" s="353"/>
      <c r="AE28" s="353"/>
      <c r="AF28" s="353"/>
      <c r="AG28" s="353"/>
      <c r="AH28" s="353"/>
      <c r="AI28" s="353"/>
      <c r="AJ28" s="353"/>
      <c r="AK28" s="353"/>
      <c r="AL28" s="353"/>
      <c r="AM28" s="353"/>
      <c r="AN28" s="353"/>
      <c r="AO28" s="353"/>
      <c r="AP28" s="353"/>
      <c r="AQ28" s="353"/>
      <c r="AR28" s="353"/>
      <c r="AS28" s="353"/>
      <c r="AT28" s="353"/>
    </row>
    <row r="29" spans="2:46" s="348" customFormat="1" ht="21.9" customHeight="1">
      <c r="B29" s="364" t="s">
        <v>577</v>
      </c>
      <c r="C29" s="365" t="s">
        <v>578</v>
      </c>
      <c r="D29" s="366">
        <v>6.3899999999999998E-2</v>
      </c>
      <c r="F29" s="353" t="s">
        <v>579</v>
      </c>
      <c r="G29" s="354"/>
      <c r="H29" s="354"/>
      <c r="I29" s="354"/>
      <c r="J29" s="353"/>
      <c r="K29" s="353"/>
      <c r="L29" s="353"/>
      <c r="M29" s="353"/>
      <c r="N29" s="353"/>
      <c r="O29" s="353"/>
      <c r="P29" s="353"/>
      <c r="Q29" s="353"/>
      <c r="R29" s="353"/>
      <c r="S29" s="353"/>
      <c r="T29" s="353"/>
      <c r="U29" s="353"/>
      <c r="V29" s="353"/>
      <c r="W29" s="353"/>
      <c r="X29" s="353"/>
      <c r="Y29" s="353"/>
      <c r="Z29" s="353"/>
      <c r="AA29" s="353"/>
      <c r="AB29" s="353"/>
      <c r="AC29" s="353"/>
      <c r="AD29" s="353"/>
      <c r="AE29" s="353"/>
      <c r="AF29" s="353"/>
      <c r="AG29" s="353"/>
      <c r="AH29" s="353"/>
      <c r="AI29" s="353"/>
      <c r="AJ29" s="353"/>
      <c r="AK29" s="353"/>
      <c r="AL29" s="353"/>
      <c r="AM29" s="353"/>
      <c r="AN29" s="353"/>
      <c r="AO29" s="353"/>
      <c r="AP29" s="353"/>
      <c r="AQ29" s="353"/>
      <c r="AR29" s="353"/>
      <c r="AS29" s="353"/>
      <c r="AT29" s="353"/>
    </row>
    <row r="30" spans="2:46" s="348" customFormat="1" ht="21.9" customHeight="1">
      <c r="B30" s="367" t="s">
        <v>580</v>
      </c>
      <c r="C30" s="368" t="s">
        <v>581</v>
      </c>
      <c r="D30" s="369">
        <v>1.6999999999999999E-3</v>
      </c>
      <c r="F30" s="353" t="s">
        <v>582</v>
      </c>
      <c r="G30" s="354"/>
      <c r="H30" s="354"/>
      <c r="I30" s="354"/>
      <c r="J30" s="353"/>
      <c r="K30" s="353"/>
      <c r="L30" s="353"/>
      <c r="M30" s="353"/>
      <c r="N30" s="353"/>
      <c r="O30" s="353"/>
      <c r="P30" s="353"/>
      <c r="Q30" s="353"/>
      <c r="R30" s="353"/>
      <c r="S30" s="353"/>
      <c r="T30" s="353"/>
      <c r="U30" s="353"/>
      <c r="V30" s="353"/>
      <c r="W30" s="353"/>
      <c r="X30" s="353"/>
      <c r="Y30" s="353"/>
      <c r="Z30" s="353"/>
      <c r="AA30" s="353"/>
      <c r="AB30" s="353"/>
      <c r="AC30" s="353"/>
      <c r="AD30" s="353"/>
      <c r="AE30" s="353"/>
      <c r="AF30" s="353"/>
      <c r="AG30" s="353"/>
      <c r="AH30" s="353"/>
      <c r="AI30" s="353"/>
      <c r="AJ30" s="353"/>
      <c r="AK30" s="353"/>
      <c r="AL30" s="353"/>
      <c r="AM30" s="353"/>
      <c r="AN30" s="353"/>
      <c r="AO30" s="353"/>
      <c r="AP30" s="353"/>
      <c r="AQ30" s="353"/>
      <c r="AR30" s="353"/>
      <c r="AS30" s="353"/>
      <c r="AT30" s="353"/>
    </row>
    <row r="31" spans="2:46" s="348" customFormat="1" ht="39" customHeight="1">
      <c r="B31" s="561" t="s">
        <v>119</v>
      </c>
      <c r="C31" s="523" t="s">
        <v>583</v>
      </c>
      <c r="D31" s="358">
        <f>D32</f>
        <v>1.9E-3</v>
      </c>
      <c r="F31" s="353"/>
      <c r="G31" s="354"/>
      <c r="H31" s="354"/>
      <c r="I31" s="354"/>
      <c r="J31" s="353"/>
      <c r="K31" s="353"/>
      <c r="L31" s="353"/>
      <c r="M31" s="353"/>
      <c r="N31" s="353"/>
      <c r="O31" s="353"/>
      <c r="P31" s="353"/>
      <c r="Q31" s="353"/>
      <c r="R31" s="353"/>
      <c r="S31" s="353"/>
      <c r="T31" s="353"/>
      <c r="U31" s="353"/>
      <c r="V31" s="353"/>
      <c r="W31" s="353"/>
      <c r="X31" s="353"/>
      <c r="Y31" s="353"/>
      <c r="Z31" s="353"/>
      <c r="AA31" s="353"/>
      <c r="AB31" s="353"/>
      <c r="AC31" s="353"/>
      <c r="AD31" s="353"/>
      <c r="AE31" s="353"/>
      <c r="AF31" s="353"/>
      <c r="AG31" s="353"/>
      <c r="AH31" s="353"/>
      <c r="AI31" s="353"/>
      <c r="AJ31" s="353"/>
      <c r="AK31" s="353"/>
      <c r="AL31" s="353"/>
      <c r="AM31" s="353"/>
      <c r="AN31" s="353"/>
      <c r="AO31" s="353"/>
      <c r="AP31" s="353"/>
      <c r="AQ31" s="353"/>
      <c r="AR31" s="353"/>
      <c r="AS31" s="353"/>
      <c r="AT31" s="353"/>
    </row>
    <row r="32" spans="2:46" s="348" customFormat="1" ht="21.9" customHeight="1">
      <c r="B32" s="564" t="s">
        <v>584</v>
      </c>
      <c r="C32" s="524" t="s">
        <v>585</v>
      </c>
      <c r="D32" s="357">
        <v>1.9E-3</v>
      </c>
      <c r="F32" s="353"/>
      <c r="G32" s="354"/>
      <c r="H32" s="354"/>
      <c r="I32" s="354"/>
      <c r="J32" s="353"/>
      <c r="K32" s="353"/>
      <c r="L32" s="353"/>
      <c r="M32" s="353"/>
      <c r="N32" s="353"/>
      <c r="O32" s="353"/>
      <c r="P32" s="353"/>
      <c r="Q32" s="353"/>
      <c r="R32" s="353"/>
      <c r="S32" s="353"/>
      <c r="T32" s="353"/>
      <c r="U32" s="353"/>
      <c r="V32" s="353"/>
      <c r="W32" s="353"/>
      <c r="X32" s="353"/>
      <c r="Y32" s="353"/>
      <c r="Z32" s="353"/>
      <c r="AA32" s="353"/>
      <c r="AB32" s="353"/>
      <c r="AC32" s="353"/>
      <c r="AD32" s="353"/>
      <c r="AE32" s="353"/>
      <c r="AF32" s="353"/>
      <c r="AG32" s="353"/>
      <c r="AH32" s="353"/>
      <c r="AI32" s="353"/>
      <c r="AJ32" s="353"/>
      <c r="AK32" s="353"/>
      <c r="AL32" s="353"/>
      <c r="AM32" s="353"/>
      <c r="AN32" s="353"/>
      <c r="AO32" s="353"/>
      <c r="AP32" s="353"/>
      <c r="AQ32" s="353"/>
      <c r="AR32" s="353"/>
      <c r="AS32" s="353"/>
      <c r="AT32" s="353"/>
    </row>
    <row r="33" spans="2:45" s="348" customFormat="1" ht="28.5" customHeight="1">
      <c r="B33" s="561" t="s">
        <v>586</v>
      </c>
      <c r="C33" s="521" t="s">
        <v>587</v>
      </c>
      <c r="D33" s="360">
        <f>D31+D27+D16+D6</f>
        <v>0.76160000000000005</v>
      </c>
      <c r="G33" s="346"/>
      <c r="H33" s="346"/>
      <c r="I33" s="346"/>
      <c r="J33" s="349"/>
      <c r="K33" s="349"/>
      <c r="L33" s="349"/>
      <c r="M33" s="349"/>
      <c r="N33" s="349"/>
      <c r="O33" s="349"/>
      <c r="P33" s="349"/>
      <c r="Q33" s="349"/>
      <c r="R33" s="349"/>
      <c r="S33" s="349"/>
      <c r="T33" s="349"/>
      <c r="U33" s="349"/>
      <c r="V33" s="349"/>
      <c r="W33" s="349"/>
      <c r="X33" s="349"/>
      <c r="Y33" s="349"/>
      <c r="Z33" s="349"/>
      <c r="AA33" s="349"/>
      <c r="AB33" s="349"/>
      <c r="AC33" s="349"/>
      <c r="AD33" s="349"/>
      <c r="AE33" s="349"/>
      <c r="AF33" s="349"/>
      <c r="AG33" s="349"/>
      <c r="AH33" s="349"/>
      <c r="AI33" s="349"/>
      <c r="AJ33" s="349"/>
      <c r="AK33" s="349"/>
      <c r="AL33" s="349"/>
      <c r="AM33" s="349"/>
      <c r="AN33" s="349"/>
      <c r="AO33" s="349"/>
      <c r="AP33" s="349"/>
      <c r="AQ33" s="349"/>
      <c r="AR33" s="349"/>
      <c r="AS33" s="349"/>
    </row>
  </sheetData>
  <sheetProtection selectLockedCells="1" selectUnlockedCells="1"/>
  <mergeCells count="10">
    <mergeCell ref="G14:K14"/>
    <mergeCell ref="G15:K15"/>
    <mergeCell ref="G13:K13"/>
    <mergeCell ref="B3:C3"/>
    <mergeCell ref="G7:K7"/>
    <mergeCell ref="G8:K8"/>
    <mergeCell ref="G9:K9"/>
    <mergeCell ref="G10:K10"/>
    <mergeCell ref="G11:K11"/>
    <mergeCell ref="G12:K12"/>
  </mergeCells>
  <conditionalFormatting sqref="D21 D23">
    <cfRule type="expression" dxfId="2" priority="2" stopIfTrue="1">
      <formula>IF($AB$17=2,0,1)</formula>
    </cfRule>
  </conditionalFormatting>
  <conditionalFormatting sqref="G21 G23">
    <cfRule type="expression" dxfId="1" priority="3" stopIfTrue="1">
      <formula>IF($AB$17=1,0,1)</formula>
    </cfRule>
  </conditionalFormatting>
  <conditionalFormatting sqref="G7:N15">
    <cfRule type="expression" dxfId="0" priority="1" stopIfTrue="1">
      <formula>IF($AB7=0,0,1)</formula>
    </cfRule>
  </conditionalFormatting>
  <printOptions horizontalCentered="1"/>
  <pageMargins left="0.19685039370078741" right="0.19685039370078741" top="0.39370078740157483" bottom="0.19685039370078741" header="0" footer="0"/>
  <pageSetup paperSize="9" scale="75" firstPageNumber="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481" r:id="rId4" name="Botão de opção 18">
              <controlPr defaultSize="0" autoFill="0" autoLine="0" autoPict="0" altText="MENSALISTA">
                <anchor moveWithCells="1" sizeWithCells="1">
                  <from>
                    <xdr:col>2</xdr:col>
                    <xdr:colOff>5288280</xdr:colOff>
                    <xdr:row>16</xdr:row>
                    <xdr:rowOff>76200</xdr:rowOff>
                  </from>
                  <to>
                    <xdr:col>2</xdr:col>
                    <xdr:colOff>6294120</xdr:colOff>
                    <xdr:row>16</xdr:row>
                    <xdr:rowOff>289560</xdr:rowOff>
                  </to>
                </anchor>
              </controlPr>
            </control>
          </mc:Choice>
        </mc:AlternateContent>
        <mc:AlternateContent xmlns:mc="http://schemas.openxmlformats.org/markup-compatibility/2006">
          <mc:Choice Requires="x14">
            <control shapeId="20482" r:id="rId5" name="Botão de opção 19">
              <controlPr defaultSize="0" autoFill="0" autoLine="0" autoPict="0" altText=" - HORISTA">
                <anchor moveWithCells="1" sizeWithCells="1">
                  <from>
                    <xdr:col>2</xdr:col>
                    <xdr:colOff>3429000</xdr:colOff>
                    <xdr:row>16</xdr:row>
                    <xdr:rowOff>68580</xdr:rowOff>
                  </from>
                  <to>
                    <xdr:col>2</xdr:col>
                    <xdr:colOff>4343400</xdr:colOff>
                    <xdr:row>16</xdr:row>
                    <xdr:rowOff>297180</xdr:rowOff>
                  </to>
                </anchor>
              </controlPr>
            </control>
          </mc:Choice>
        </mc:AlternateContent>
      </controls>
    </mc:Choice>
  </mc:AlternateConten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4322c8d-4405-44ed-bd88-4d3c09243e4a">
      <Terms xmlns="http://schemas.microsoft.com/office/infopath/2007/PartnerControls"/>
    </lcf76f155ced4ddcb4097134ff3c332f>
    <TaxCatchAll xmlns="e4afd3a1-23bf-4946-a55c-6ed9d49bf17c" xsi:nil="true"/>
    <DatadeModifica_x00e7__x00e3_o xmlns="24322c8d-4405-44ed-bd88-4d3c09243e4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898BF7267AEAB64A9E21986DDF493722" ma:contentTypeVersion="16" ma:contentTypeDescription="Crie um novo documento." ma:contentTypeScope="" ma:versionID="90ddca84d0454b3b3fdcdad754f3cd92">
  <xsd:schema xmlns:xsd="http://www.w3.org/2001/XMLSchema" xmlns:xs="http://www.w3.org/2001/XMLSchema" xmlns:p="http://schemas.microsoft.com/office/2006/metadata/properties" xmlns:ns2="24322c8d-4405-44ed-bd88-4d3c09243e4a" xmlns:ns3="e4afd3a1-23bf-4946-a55c-6ed9d49bf17c" targetNamespace="http://schemas.microsoft.com/office/2006/metadata/properties" ma:root="true" ma:fieldsID="3cd827dea2248e55cfb0cc82f0121656" ns2:_="" ns3:_="">
    <xsd:import namespace="24322c8d-4405-44ed-bd88-4d3c09243e4a"/>
    <xsd:import namespace="e4afd3a1-23bf-4946-a55c-6ed9d49bf17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2:MediaServiceBillingMetadata" minOccurs="0"/>
                <xsd:element ref="ns2:DatadeModifica_x00e7__x00e3_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322c8d-4405-44ed-bd88-4d3c09243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Marcações de imagem" ma:readOnly="false" ma:fieldId="{5cf76f15-5ced-4ddc-b409-7134ff3c332f}" ma:taxonomyMulti="true" ma:sspId="a818c6de-ebe1-48d6-ae50-964da9598801"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descrip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element name="DatadeModifica_x00e7__x00e3_o" ma:index="22" nillable="true" ma:displayName="Data de Modificação" ma:format="DateTime" ma:internalName="DatadeModifica_x00e7__x00e3_o">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e4afd3a1-23bf-4946-a55c-6ed9d49bf17c"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5c671fa2-166d-4b4e-9d22-228fe4752f51}" ma:internalName="TaxCatchAll" ma:showField="CatchAllData" ma:web="e4afd3a1-23bf-4946-a55c-6ed9d49bf17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84892D74-D272-482E-9958-6EF1B3209383}">
  <ds:schemaRefs>
    <ds:schemaRef ds:uri="http://schemas.microsoft.com/office/2006/metadata/properties"/>
    <ds:schemaRef ds:uri="http://schemas.microsoft.com/office/infopath/2007/PartnerControls"/>
    <ds:schemaRef ds:uri="24322c8d-4405-44ed-bd88-4d3c09243e4a"/>
    <ds:schemaRef ds:uri="e4afd3a1-23bf-4946-a55c-6ed9d49bf17c"/>
  </ds:schemaRefs>
</ds:datastoreItem>
</file>

<file path=customXml/itemProps2.xml><?xml version="1.0" encoding="utf-8"?>
<ds:datastoreItem xmlns:ds="http://schemas.openxmlformats.org/officeDocument/2006/customXml" ds:itemID="{48732E82-A958-4043-BFAE-BEE127C53393}">
  <ds:schemaRefs>
    <ds:schemaRef ds:uri="http://schemas.microsoft.com/sharepoint/v3/contenttype/forms"/>
  </ds:schemaRefs>
</ds:datastoreItem>
</file>

<file path=customXml/itemProps3.xml><?xml version="1.0" encoding="utf-8"?>
<ds:datastoreItem xmlns:ds="http://schemas.openxmlformats.org/officeDocument/2006/customXml" ds:itemID="{DF53B32B-8C62-4285-B66E-7B2A1A0BD64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4322c8d-4405-44ed-bd88-4d3c09243e4a"/>
    <ds:schemaRef ds:uri="e4afd3a1-23bf-4946-a55c-6ed9d49bf1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6FB978B2-28A1-461A-99E8-6E67ADBBC60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10</vt:i4>
      </vt:variant>
      <vt:variant>
        <vt:lpstr>Intervalos Nomeados</vt:lpstr>
      </vt:variant>
      <vt:variant>
        <vt:i4>9</vt:i4>
      </vt:variant>
    </vt:vector>
  </HeadingPairs>
  <TitlesOfParts>
    <vt:vector size="19" baseType="lpstr">
      <vt:lpstr>APR</vt:lpstr>
      <vt:lpstr>CHECK</vt:lpstr>
      <vt:lpstr>QQP</vt:lpstr>
      <vt:lpstr>CPU  1 </vt:lpstr>
      <vt:lpstr>MO</vt:lpstr>
      <vt:lpstr>EPIs</vt:lpstr>
      <vt:lpstr>TREINAMENTOS</vt:lpstr>
      <vt:lpstr>EXAMES</vt:lpstr>
      <vt:lpstr>BDI-TRIBUTOS</vt:lpstr>
      <vt:lpstr>ENCARGOS SOCIAIS</vt:lpstr>
      <vt:lpstr>APR!Area_de_impressao</vt:lpstr>
      <vt:lpstr>'BDI-TRIBUTOS'!Area_de_impressao</vt:lpstr>
      <vt:lpstr>CHECK!Area_de_impressao</vt:lpstr>
      <vt:lpstr>'CPU  1 '!Area_de_impressao</vt:lpstr>
      <vt:lpstr>'ENCARGOS SOCIAIS'!Area_de_impressao</vt:lpstr>
      <vt:lpstr>MO!Area_de_impressao</vt:lpstr>
      <vt:lpstr>QQP!Area_de_impressao</vt:lpstr>
      <vt:lpstr>'ENCARGOS SOCIAIS'!enc</vt:lpstr>
      <vt:lpstr>QQP!Titulos_de_impressao</vt:lpstr>
    </vt:vector>
  </TitlesOfParts>
  <Manager/>
  <Company>xxxxxxxxxxxxxxxxxxx</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Emmanuel</dc:creator>
  <cp:keywords/>
  <dc:description/>
  <cp:lastModifiedBy>Wellington de Souza Pereira Filho</cp:lastModifiedBy>
  <cp:revision/>
  <dcterms:created xsi:type="dcterms:W3CDTF">1998-03-23T14:36:18Z</dcterms:created>
  <dcterms:modified xsi:type="dcterms:W3CDTF">2025-04-16T19:06:44Z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0x010100898BF7267AEAB64A9E21986DDF493722</vt:lpwstr>
  </property>
  <property fmtid="{D5CDD505-2E9C-101B-9397-08002B2CF9AE}" pid="3" name="Order">
    <vt:r8>3725400</vt:r8>
  </property>
  <property fmtid="{D5CDD505-2E9C-101B-9397-08002B2CF9AE}" pid="4" name="MediaServiceImageTags">
    <vt:lpwstr/>
  </property>
</Properties>
</file>