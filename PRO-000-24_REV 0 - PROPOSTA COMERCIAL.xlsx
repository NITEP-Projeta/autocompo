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4.xml" ContentType="application/vnd.openxmlformats-officedocument.drawing+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EstaPastaDeTrabalho" autoCompressPictures="0" defaultThemeVersion="124226"/>
  <mc:AlternateContent xmlns:mc="http://schemas.openxmlformats.org/markup-compatibility/2006">
    <mc:Choice Requires="x15">
      <x15ac:absPath xmlns:x15ac="http://schemas.microsoft.com/office/spreadsheetml/2010/11/ac" url="https://projeta98.sharepoint.com/sites/Projeta2/Documentos Partilhados/Obras/2 - PROCESSOS/2024/PRO-021-24 - ALUMAR - RDC 4573033  MÓDULO 08 CORREIA - 07 - O DECLINADO/03.  PROPOSTA COMERCIAL/"/>
    </mc:Choice>
  </mc:AlternateContent>
  <xr:revisionPtr revIDLastSave="1" documentId="13_ncr:1_{881201AC-4C02-41BD-8D6A-BF41CAB2B917}" xr6:coauthVersionLast="47" xr6:coauthVersionMax="47" xr10:uidLastSave="{ADAE8518-D52A-434F-9A15-3C74E32F188F}"/>
  <bookViews>
    <workbookView xWindow="-120" yWindow="-120" windowWidth="29040" windowHeight="15720" tabRatio="717" activeTab="3" xr2:uid="{00000000-000D-0000-FFFF-FFFF00000000}"/>
  </bookViews>
  <sheets>
    <sheet name="APR" sheetId="104" r:id="rId1"/>
    <sheet name="CHECK" sheetId="101" r:id="rId2"/>
    <sheet name="QQP" sheetId="85" r:id="rId3"/>
    <sheet name="CPU  1" sheetId="20" r:id="rId4"/>
    <sheet name="CPU  2" sheetId="94" r:id="rId5"/>
    <sheet name="CPU  3" sheetId="95" r:id="rId6"/>
    <sheet name="CPU  4" sheetId="102" r:id="rId7"/>
    <sheet name="CPU  5" sheetId="96" r:id="rId8"/>
    <sheet name="MO" sheetId="26" r:id="rId9"/>
    <sheet name="EPIs" sheetId="28" r:id="rId10"/>
    <sheet name="TREINAMENTOS" sheetId="92" r:id="rId11"/>
    <sheet name="EXAMES" sheetId="93" r:id="rId12"/>
    <sheet name="BDI-TRIBUTOS" sheetId="57" r:id="rId13"/>
    <sheet name="ENCARGOS SOCIAIS" sheetId="23" r:id="rId14"/>
  </sheets>
  <definedNames>
    <definedName name="\0" localSheetId="0">#REF!</definedName>
    <definedName name="\0" localSheetId="2">#REF!</definedName>
    <definedName name="\0">#REF!</definedName>
    <definedName name="\A" localSheetId="0">#REF!</definedName>
    <definedName name="\A" localSheetId="2">#REF!</definedName>
    <definedName name="\A">#REF!</definedName>
    <definedName name="\b" localSheetId="0">#REF!</definedName>
    <definedName name="\b" localSheetId="2">#REF!</definedName>
    <definedName name="\b">#REF!</definedName>
    <definedName name="\c" localSheetId="0">#REF!</definedName>
    <definedName name="\c" localSheetId="2">#REF!</definedName>
    <definedName name="\c">#REF!</definedName>
    <definedName name="\F" localSheetId="0">#REF!</definedName>
    <definedName name="\F">#REF!</definedName>
    <definedName name="\G" localSheetId="0">#REF!</definedName>
    <definedName name="\G">#REF!</definedName>
    <definedName name="\h" localSheetId="0">#REF!</definedName>
    <definedName name="\h">#REF!</definedName>
    <definedName name="\L" localSheetId="0">#REF!</definedName>
    <definedName name="\L">#REF!</definedName>
    <definedName name="\n" localSheetId="0">#REF!</definedName>
    <definedName name="\n">#REF!</definedName>
    <definedName name="\O" localSheetId="0">#REF!</definedName>
    <definedName name="\O">#REF!</definedName>
    <definedName name="\P" localSheetId="0">#REF!</definedName>
    <definedName name="\P">#REF!</definedName>
    <definedName name="\Q" localSheetId="0">#REF!</definedName>
    <definedName name="\Q">#REF!</definedName>
    <definedName name="\R" localSheetId="0">#REF!</definedName>
    <definedName name="\R">#REF!</definedName>
    <definedName name="\s" localSheetId="0">#REF!</definedName>
    <definedName name="\s">#REF!</definedName>
    <definedName name="\t" localSheetId="0">#REF!</definedName>
    <definedName name="\t">#REF!</definedName>
    <definedName name="\V" localSheetId="0">#REF!</definedName>
    <definedName name="\V">#REF!</definedName>
    <definedName name="\w" localSheetId="0">#REF!</definedName>
    <definedName name="\w">#REF!</definedName>
    <definedName name="\x">#N/A</definedName>
    <definedName name="\y" localSheetId="0">#REF!</definedName>
    <definedName name="\y">#REF!</definedName>
    <definedName name="\z">#N/A</definedName>
    <definedName name="_________________________________mm1" localSheetId="0">#REF!</definedName>
    <definedName name="_________________________________mm1" localSheetId="2">QQP!_________________________________mm1</definedName>
    <definedName name="_________________________________mm1">#REF!</definedName>
    <definedName name="________________________________mm1" localSheetId="0">#REF!</definedName>
    <definedName name="________________________________mm1" localSheetId="2">QQP!________________________________mm1</definedName>
    <definedName name="________________________________mm1">#REF!</definedName>
    <definedName name="_______________________________mm1" localSheetId="0">#REF!</definedName>
    <definedName name="_______________________________mm1" localSheetId="2">QQP!_______________________________mm1</definedName>
    <definedName name="_______________________________mm1">#REF!</definedName>
    <definedName name="______________________________mm1" localSheetId="0">#REF!</definedName>
    <definedName name="______________________________mm1" localSheetId="2">QQP!______________________________mm1</definedName>
    <definedName name="______________________________mm1">#REF!</definedName>
    <definedName name="_____________________________mm1" localSheetId="0">#REF!</definedName>
    <definedName name="_____________________________mm1" localSheetId="2">QQP!_____________________________mm1</definedName>
    <definedName name="_____________________________mm1">#REF!</definedName>
    <definedName name="____________________________mm1" localSheetId="0">#REF!</definedName>
    <definedName name="____________________________mm1" localSheetId="2">QQP!____________________________mm1</definedName>
    <definedName name="____________________________mm1">#REF!</definedName>
    <definedName name="___________________________FOL2" localSheetId="0">#REF!</definedName>
    <definedName name="___________________________FOL2" localSheetId="2">#REF!</definedName>
    <definedName name="___________________________FOL2">#REF!</definedName>
    <definedName name="___________________________FOL3">#N/A</definedName>
    <definedName name="___________________________FOL4">#N/A</definedName>
    <definedName name="___________________________mm1" localSheetId="0">#REF!</definedName>
    <definedName name="___________________________mm1" localSheetId="2">QQP!___________________________mm1</definedName>
    <definedName name="___________________________mm1">#REF!</definedName>
    <definedName name="__________________________fol3" localSheetId="0">#REF!</definedName>
    <definedName name="__________________________fol3" localSheetId="2">#REF!</definedName>
    <definedName name="__________________________fol3">#REF!</definedName>
    <definedName name="__________________________mm1" localSheetId="0">#REF!</definedName>
    <definedName name="__________________________mm1" localSheetId="2">QQP!__________________________mm1</definedName>
    <definedName name="__________________________mm1">#REF!</definedName>
    <definedName name="_________________________fol1" localSheetId="0">#REF!</definedName>
    <definedName name="_________________________fol1" localSheetId="2">#REF!</definedName>
    <definedName name="_________________________fol1">#REF!</definedName>
    <definedName name="_________________________FOL3">#N/A</definedName>
    <definedName name="_________________________FOL4">#N/A</definedName>
    <definedName name="_________________________mm1" localSheetId="0">#REF!</definedName>
    <definedName name="_________________________mm1" localSheetId="2">QQP!_________________________mm1</definedName>
    <definedName name="_________________________mm1">#REF!</definedName>
    <definedName name="________________________FOL1" localSheetId="0">#REF!</definedName>
    <definedName name="________________________FOL1" localSheetId="2">#REF!</definedName>
    <definedName name="________________________FOL1">#REF!</definedName>
    <definedName name="________________________fol2" localSheetId="0">#REF!:#REF!</definedName>
    <definedName name="________________________fol2" localSheetId="2">#REF!:#REF!</definedName>
    <definedName name="________________________fol2">#REF!:#REF!</definedName>
    <definedName name="________________________FOL3">#N/A</definedName>
    <definedName name="________________________FOL4">#N/A</definedName>
    <definedName name="________________________mm1" localSheetId="0">#REF!</definedName>
    <definedName name="________________________mm1" localSheetId="2">QQP!________________________mm1</definedName>
    <definedName name="________________________mm1">#REF!</definedName>
    <definedName name="_______________________FOL1" localSheetId="0">#REF!</definedName>
    <definedName name="_______________________FOL1" localSheetId="2">#REF!</definedName>
    <definedName name="_______________________FOL1">#REF!</definedName>
    <definedName name="_______________________FOL2" localSheetId="0">#REF!</definedName>
    <definedName name="_______________________FOL2" localSheetId="2">#REF!</definedName>
    <definedName name="_______________________FOL2">#REF!</definedName>
    <definedName name="_______________________FOL3">#N/A</definedName>
    <definedName name="_______________________FOL4">#N/A</definedName>
    <definedName name="_______________________mm1" localSheetId="0">#REF!</definedName>
    <definedName name="_______________________mm1" localSheetId="2">QQP!_______________________mm1</definedName>
    <definedName name="_______________________mm1">#REF!</definedName>
    <definedName name="_______________________PO1" localSheetId="0">#REF!</definedName>
    <definedName name="_______________________PO1" localSheetId="2">#REF!</definedName>
    <definedName name="_______________________PO1">#REF!</definedName>
    <definedName name="_______________________PO2" localSheetId="0">#REF!</definedName>
    <definedName name="_______________________PO2" localSheetId="2">#REF!</definedName>
    <definedName name="_______________________PO2">#REF!</definedName>
    <definedName name="______________________DAT3" localSheetId="0">#REF!</definedName>
    <definedName name="______________________DAT3">#REF!</definedName>
    <definedName name="______________________FOL1" localSheetId="0">#REF!</definedName>
    <definedName name="______________________FOL1">#REF!</definedName>
    <definedName name="______________________FOL2" localSheetId="0">#REF!</definedName>
    <definedName name="______________________FOL2">#REF!</definedName>
    <definedName name="______________________FOL3">#N/A</definedName>
    <definedName name="______________________FOL4">#N/A</definedName>
    <definedName name="______________________IMP2" localSheetId="0">#REF!</definedName>
    <definedName name="______________________IMP2">#REF!</definedName>
    <definedName name="______________________mm1" localSheetId="0">#REF!</definedName>
    <definedName name="______________________mm1" localSheetId="2">QQP!______________________mm1</definedName>
    <definedName name="______________________mm1">#REF!</definedName>
    <definedName name="______________________PO1" localSheetId="0">#REF!</definedName>
    <definedName name="______________________PO1" localSheetId="2">#REF!</definedName>
    <definedName name="______________________PO1">#REF!</definedName>
    <definedName name="______________________PO2" localSheetId="0">#REF!</definedName>
    <definedName name="______________________PO2" localSheetId="2">#REF!</definedName>
    <definedName name="______________________PO2">#REF!</definedName>
    <definedName name="_____________________494_17" localSheetId="0">#REF!</definedName>
    <definedName name="_____________________494_17">#REF!</definedName>
    <definedName name="_____________________dat1" localSheetId="0">#REF!</definedName>
    <definedName name="_____________________dat1">#REF!</definedName>
    <definedName name="_____________________dat2" localSheetId="0">#REF!</definedName>
    <definedName name="_____________________dat2">#REF!</definedName>
    <definedName name="_____________________FOL1" localSheetId="0">#REF!</definedName>
    <definedName name="_____________________FOL1">#REF!</definedName>
    <definedName name="_____________________FOL2" localSheetId="0">#REF!</definedName>
    <definedName name="_____________________FOL2">#REF!</definedName>
    <definedName name="_____________________FOL3">#N/A</definedName>
    <definedName name="_____________________FOL4">#N/A</definedName>
    <definedName name="_____________________mm1" localSheetId="0">#REF!</definedName>
    <definedName name="_____________________mm1" localSheetId="2">QQP!_____________________mm1</definedName>
    <definedName name="_____________________mm1">#REF!</definedName>
    <definedName name="_____________________PO1" localSheetId="0">#REF!</definedName>
    <definedName name="_____________________PO1" localSheetId="2">#REF!</definedName>
    <definedName name="_____________________PO1">#REF!</definedName>
    <definedName name="_____________________PO2" localSheetId="0">#REF!</definedName>
    <definedName name="_____________________PO2" localSheetId="2">#REF!</definedName>
    <definedName name="_____________________PO2">#REF!</definedName>
    <definedName name="_____________________R" localSheetId="0">#REF!</definedName>
    <definedName name="_____________________R">#REF!</definedName>
    <definedName name="____________________494_17" localSheetId="0">#REF!</definedName>
    <definedName name="____________________494_17">#REF!</definedName>
    <definedName name="____________________dat1" localSheetId="0">#REF!</definedName>
    <definedName name="____________________dat1">#REF!</definedName>
    <definedName name="____________________dat2" localSheetId="0">#REF!</definedName>
    <definedName name="____________________dat2">#REF!</definedName>
    <definedName name="____________________DAT3" localSheetId="0">#REF!</definedName>
    <definedName name="____________________DAT3">#REF!</definedName>
    <definedName name="____________________FOL1" localSheetId="0">#REF!</definedName>
    <definedName name="____________________FOL1">#REF!</definedName>
    <definedName name="____________________FOL2" localSheetId="0">#REF!</definedName>
    <definedName name="____________________FOL2">#REF!</definedName>
    <definedName name="____________________FOL3">#N/A</definedName>
    <definedName name="____________________FOL4">#N/A</definedName>
    <definedName name="____________________IMP2" localSheetId="0">#REF!</definedName>
    <definedName name="____________________IMP2">#REF!</definedName>
    <definedName name="____________________mm1" localSheetId="0">#REF!</definedName>
    <definedName name="____________________mm1" localSheetId="2">QQP!____________________mm1</definedName>
    <definedName name="____________________mm1">#REF!</definedName>
    <definedName name="____________________PO1" localSheetId="0">#REF!</definedName>
    <definedName name="____________________PO1" localSheetId="2">#REF!</definedName>
    <definedName name="____________________PO1">#REF!</definedName>
    <definedName name="____________________PO2" localSheetId="0">#REF!</definedName>
    <definedName name="____________________PO2" localSheetId="2">#REF!</definedName>
    <definedName name="____________________PO2">#REF!</definedName>
    <definedName name="____________________R" localSheetId="0">#REF!</definedName>
    <definedName name="____________________R">#REF!</definedName>
    <definedName name="___________________494_17" localSheetId="0">#REF!</definedName>
    <definedName name="___________________494_17">#REF!</definedName>
    <definedName name="___________________dat1" localSheetId="0">#REF!</definedName>
    <definedName name="___________________dat1">#REF!</definedName>
    <definedName name="___________________dat2" localSheetId="0">#REF!</definedName>
    <definedName name="___________________dat2">#REF!</definedName>
    <definedName name="___________________DAT3" localSheetId="0">#REF!</definedName>
    <definedName name="___________________DAT3">#REF!</definedName>
    <definedName name="___________________FOL1" localSheetId="0">#REF!</definedName>
    <definedName name="___________________FOL1">#REF!</definedName>
    <definedName name="___________________FOL2" localSheetId="0">#REF!</definedName>
    <definedName name="___________________FOL2">#REF!</definedName>
    <definedName name="___________________FOL3">#N/A</definedName>
    <definedName name="___________________FOL4">#N/A</definedName>
    <definedName name="___________________IMP2" localSheetId="0">#REF!</definedName>
    <definedName name="___________________IMP2">#REF!</definedName>
    <definedName name="___________________mm1" localSheetId="0">#REF!</definedName>
    <definedName name="___________________mm1" localSheetId="2">QQP!___________________mm1</definedName>
    <definedName name="___________________mm1">#REF!</definedName>
    <definedName name="___________________PO1" localSheetId="0">#REF!</definedName>
    <definedName name="___________________PO1" localSheetId="2">#REF!</definedName>
    <definedName name="___________________PO1">#REF!</definedName>
    <definedName name="___________________PO2" localSheetId="0">#REF!</definedName>
    <definedName name="___________________PO2" localSheetId="2">#REF!</definedName>
    <definedName name="___________________PO2">#REF!</definedName>
    <definedName name="___________________R" localSheetId="0">#REF!</definedName>
    <definedName name="___________________R">#REF!</definedName>
    <definedName name="__________________494_17" localSheetId="0">#REF!</definedName>
    <definedName name="__________________494_17">#REF!</definedName>
    <definedName name="__________________dat1" localSheetId="0">#REF!</definedName>
    <definedName name="__________________dat1">#REF!</definedName>
    <definedName name="__________________dat2" localSheetId="0">#REF!</definedName>
    <definedName name="__________________dat2">#REF!</definedName>
    <definedName name="__________________DAT3" localSheetId="0">#REF!</definedName>
    <definedName name="__________________DAT3">#REF!</definedName>
    <definedName name="__________________FOL1" localSheetId="0">#REF!</definedName>
    <definedName name="__________________FOL1">#REF!</definedName>
    <definedName name="__________________FOL2" localSheetId="0">#REF!</definedName>
    <definedName name="__________________FOL2">#REF!</definedName>
    <definedName name="__________________FOL3">#N/A</definedName>
    <definedName name="__________________FOL4">#N/A</definedName>
    <definedName name="__________________IMP2" localSheetId="0">#REF!</definedName>
    <definedName name="__________________IMP2">#REF!</definedName>
    <definedName name="__________________mm1" localSheetId="0">#REF!</definedName>
    <definedName name="__________________mm1" localSheetId="2">QQP!__________________mm1</definedName>
    <definedName name="__________________mm1">#REF!</definedName>
    <definedName name="__________________PO1" localSheetId="0">#REF!</definedName>
    <definedName name="__________________PO1" localSheetId="2">#REF!</definedName>
    <definedName name="__________________PO1">#REF!</definedName>
    <definedName name="__________________PO2" localSheetId="0">#REF!</definedName>
    <definedName name="__________________PO2" localSheetId="2">#REF!</definedName>
    <definedName name="__________________PO2">#REF!</definedName>
    <definedName name="__________________R" localSheetId="0">#REF!</definedName>
    <definedName name="__________________R">#REF!</definedName>
    <definedName name="_________________494_17" localSheetId="0">#REF!</definedName>
    <definedName name="_________________494_17">#REF!</definedName>
    <definedName name="_________________dat1" localSheetId="0">#REF!</definedName>
    <definedName name="_________________dat1">#REF!</definedName>
    <definedName name="_________________dat2" localSheetId="0">#REF!</definedName>
    <definedName name="_________________dat2">#REF!</definedName>
    <definedName name="_________________DAT3" localSheetId="0">#REF!</definedName>
    <definedName name="_________________DAT3">#REF!</definedName>
    <definedName name="_________________FOL1" localSheetId="0">#REF!</definedName>
    <definedName name="_________________FOL1">#REF!</definedName>
    <definedName name="_________________FOL2" localSheetId="0">#REF!</definedName>
    <definedName name="_________________FOL2">#REF!</definedName>
    <definedName name="_________________FOL3">#N/A</definedName>
    <definedName name="_________________FOL4">#N/A</definedName>
    <definedName name="_________________IMP2" localSheetId="0">#REF!</definedName>
    <definedName name="_________________IMP2">#REF!</definedName>
    <definedName name="_________________mm1" localSheetId="0">#REF!</definedName>
    <definedName name="_________________mm1" localSheetId="2">QQP!_________________mm1</definedName>
    <definedName name="_________________mm1">#REF!</definedName>
    <definedName name="_________________PO1" localSheetId="0">#REF!</definedName>
    <definedName name="_________________PO1" localSheetId="2">#REF!</definedName>
    <definedName name="_________________PO1">#REF!</definedName>
    <definedName name="_________________PO2" localSheetId="0">#REF!</definedName>
    <definedName name="_________________PO2" localSheetId="2">#REF!</definedName>
    <definedName name="_________________PO2">#REF!</definedName>
    <definedName name="_________________R" localSheetId="0">#REF!</definedName>
    <definedName name="_________________R">#REF!</definedName>
    <definedName name="________________494_17" localSheetId="0">#REF!</definedName>
    <definedName name="________________494_17">#REF!</definedName>
    <definedName name="________________dat1" localSheetId="0">#REF!</definedName>
    <definedName name="________________dat1">#REF!</definedName>
    <definedName name="________________dat2" localSheetId="0">#REF!</definedName>
    <definedName name="________________dat2">#REF!</definedName>
    <definedName name="________________DAT3" localSheetId="0">#REF!</definedName>
    <definedName name="________________DAT3">#REF!</definedName>
    <definedName name="________________FOL1" localSheetId="0">#REF!</definedName>
    <definedName name="________________FOL1">#REF!</definedName>
    <definedName name="________________FOL2" localSheetId="0">#REF!</definedName>
    <definedName name="________________FOL2">#REF!</definedName>
    <definedName name="________________FOL3">#N/A</definedName>
    <definedName name="________________FOL4">#N/A</definedName>
    <definedName name="________________IMP2" localSheetId="0">#REF!</definedName>
    <definedName name="________________IMP2">#REF!</definedName>
    <definedName name="________________mm1" localSheetId="0">#REF!</definedName>
    <definedName name="________________mm1" localSheetId="2">QQP!________________mm1</definedName>
    <definedName name="________________mm1">#REF!</definedName>
    <definedName name="________________PO1" localSheetId="0">#REF!</definedName>
    <definedName name="________________PO1" localSheetId="2">#REF!</definedName>
    <definedName name="________________PO1">#REF!</definedName>
    <definedName name="________________PO2" localSheetId="0">#REF!</definedName>
    <definedName name="________________PO2" localSheetId="2">#REF!</definedName>
    <definedName name="________________PO2">#REF!</definedName>
    <definedName name="________________R" localSheetId="0">#REF!</definedName>
    <definedName name="________________R">#REF!</definedName>
    <definedName name="_______________494_17" localSheetId="0">#REF!</definedName>
    <definedName name="_______________494_17">#REF!</definedName>
    <definedName name="_______________dat1" localSheetId="0">#REF!</definedName>
    <definedName name="_______________dat1">#REF!</definedName>
    <definedName name="_______________dat2" localSheetId="0">#REF!</definedName>
    <definedName name="_______________dat2">#REF!</definedName>
    <definedName name="_______________DAT3" localSheetId="0">#REF!</definedName>
    <definedName name="_______________DAT3">#REF!</definedName>
    <definedName name="_______________FOL1" localSheetId="0">#REF!</definedName>
    <definedName name="_______________FOL1">#REF!</definedName>
    <definedName name="_______________FOL2" localSheetId="0">#REF!</definedName>
    <definedName name="_______________FOL2">#REF!</definedName>
    <definedName name="_______________FOL3">#N/A</definedName>
    <definedName name="_______________FOL4">#N/A</definedName>
    <definedName name="_______________IMP2" localSheetId="0">#REF!</definedName>
    <definedName name="_______________IMP2">#REF!</definedName>
    <definedName name="_______________mm1" localSheetId="0">#REF!</definedName>
    <definedName name="_______________mm1" localSheetId="2">QQP!_______________mm1</definedName>
    <definedName name="_______________mm1">#REF!</definedName>
    <definedName name="_______________PO1" localSheetId="0">#REF!</definedName>
    <definedName name="_______________PO1" localSheetId="2">#REF!</definedName>
    <definedName name="_______________PO1">#REF!</definedName>
    <definedName name="_______________PO2" localSheetId="0">#REF!</definedName>
    <definedName name="_______________PO2" localSheetId="2">#REF!</definedName>
    <definedName name="_______________PO2">#REF!</definedName>
    <definedName name="_______________R" localSheetId="0">#REF!</definedName>
    <definedName name="_______________R">#REF!</definedName>
    <definedName name="______________494_17" localSheetId="0">#REF!</definedName>
    <definedName name="______________494_17">#REF!</definedName>
    <definedName name="______________dat1" localSheetId="0">#REF!</definedName>
    <definedName name="______________dat1">#REF!</definedName>
    <definedName name="______________dat2" localSheetId="0">#REF!</definedName>
    <definedName name="______________dat2">#REF!</definedName>
    <definedName name="______________DAT3" localSheetId="0">#REF!</definedName>
    <definedName name="______________DAT3">#REF!</definedName>
    <definedName name="______________FOL1" localSheetId="0">#REF!</definedName>
    <definedName name="______________FOL1">#REF!</definedName>
    <definedName name="______________FOL2" localSheetId="0">#REF!</definedName>
    <definedName name="______________FOL2">#REF!</definedName>
    <definedName name="______________FOL3">#N/A</definedName>
    <definedName name="______________FOL4">#N/A</definedName>
    <definedName name="______________IMP2" localSheetId="0">#REF!</definedName>
    <definedName name="______________IMP2">#REF!</definedName>
    <definedName name="______________mm1" localSheetId="0">#REF!</definedName>
    <definedName name="______________mm1" localSheetId="2">QQP!______________mm1</definedName>
    <definedName name="______________mm1">#REF!</definedName>
    <definedName name="______________PO1" localSheetId="0">#REF!</definedName>
    <definedName name="______________PO1" localSheetId="2">#REF!</definedName>
    <definedName name="______________PO1">#REF!</definedName>
    <definedName name="______________PO2" localSheetId="0">#REF!</definedName>
    <definedName name="______________PO2" localSheetId="2">#REF!</definedName>
    <definedName name="______________PO2">#REF!</definedName>
    <definedName name="______________R" localSheetId="0">#REF!</definedName>
    <definedName name="______________R">#REF!</definedName>
    <definedName name="_____________494_17" localSheetId="0">#REF!</definedName>
    <definedName name="_____________494_17">#REF!</definedName>
    <definedName name="_____________dat1" localSheetId="0">#REF!</definedName>
    <definedName name="_____________dat1">#REF!</definedName>
    <definedName name="_____________dat2" localSheetId="0">#REF!</definedName>
    <definedName name="_____________dat2">#REF!</definedName>
    <definedName name="_____________DAT3" localSheetId="0">#REF!</definedName>
    <definedName name="_____________DAT3">#REF!</definedName>
    <definedName name="_____________FOL1" localSheetId="0">#REF!</definedName>
    <definedName name="_____________FOL1">#REF!</definedName>
    <definedName name="_____________FOL2" localSheetId="0">#REF!</definedName>
    <definedName name="_____________FOL2">#REF!</definedName>
    <definedName name="_____________FOL3">#N/A</definedName>
    <definedName name="_____________FOL4">#N/A</definedName>
    <definedName name="_____________IMP2" localSheetId="0">#REF!</definedName>
    <definedName name="_____________IMP2">#REF!</definedName>
    <definedName name="_____________mm1" localSheetId="0">#REF!</definedName>
    <definedName name="_____________mm1" localSheetId="2">QQP!_____________mm1</definedName>
    <definedName name="_____________mm1">#REF!</definedName>
    <definedName name="_____________PO1" localSheetId="0">#REF!</definedName>
    <definedName name="_____________PO1" localSheetId="2">#REF!</definedName>
    <definedName name="_____________PO1">#REF!</definedName>
    <definedName name="_____________PO2" localSheetId="0">#REF!</definedName>
    <definedName name="_____________PO2" localSheetId="2">#REF!</definedName>
    <definedName name="_____________PO2">#REF!</definedName>
    <definedName name="_____________R" localSheetId="0">#REF!</definedName>
    <definedName name="_____________R">#REF!</definedName>
    <definedName name="____________494_17" localSheetId="0">#REF!</definedName>
    <definedName name="____________494_17">#REF!</definedName>
    <definedName name="____________dat1" localSheetId="0">#REF!</definedName>
    <definedName name="____________dat1">#REF!</definedName>
    <definedName name="____________dat2" localSheetId="0">#REF!</definedName>
    <definedName name="____________dat2">#REF!</definedName>
    <definedName name="____________DAT3" localSheetId="0">#REF!</definedName>
    <definedName name="____________DAT3">#REF!</definedName>
    <definedName name="____________FOL1" localSheetId="0">#REF!</definedName>
    <definedName name="____________FOL1">#REF!</definedName>
    <definedName name="____________FOL2" localSheetId="0">#REF!</definedName>
    <definedName name="____________FOL2">#REF!</definedName>
    <definedName name="____________FOL3">#N/A</definedName>
    <definedName name="____________FOL4">#N/A</definedName>
    <definedName name="____________IMP2" localSheetId="0">#REF!</definedName>
    <definedName name="____________IMP2">#REF!</definedName>
    <definedName name="____________mm1" localSheetId="0">#REF!</definedName>
    <definedName name="____________mm1">#REF!</definedName>
    <definedName name="____________PO1" localSheetId="0">#REF!</definedName>
    <definedName name="____________PO1">#REF!</definedName>
    <definedName name="____________PO2" localSheetId="0">#REF!</definedName>
    <definedName name="____________PO2">#REF!</definedName>
    <definedName name="____________R" localSheetId="0">#REF!</definedName>
    <definedName name="____________R">#REF!</definedName>
    <definedName name="___________494_17" localSheetId="0">#REF!</definedName>
    <definedName name="___________494_17">#REF!</definedName>
    <definedName name="___________dat1" localSheetId="0">#REF!</definedName>
    <definedName name="___________dat1">#REF!</definedName>
    <definedName name="___________dat2" localSheetId="0">#REF!</definedName>
    <definedName name="___________dat2">#REF!</definedName>
    <definedName name="___________DAT3" localSheetId="0">#REF!</definedName>
    <definedName name="___________DAT3">#REF!</definedName>
    <definedName name="___________FOL1" localSheetId="0">#REF!</definedName>
    <definedName name="___________FOL1">#REF!</definedName>
    <definedName name="___________FOL2" localSheetId="0">#REF!</definedName>
    <definedName name="___________FOL2">#REF!</definedName>
    <definedName name="___________FOL3">#N/A</definedName>
    <definedName name="___________FOL4">#N/A</definedName>
    <definedName name="___________FR2" localSheetId="0" hidden="1">{#N/A,#N/A,FALSE,"GERAL";#N/A,#N/A,FALSE,"012-96";#N/A,#N/A,FALSE,"018-96";#N/A,#N/A,FALSE,"027-96";#N/A,#N/A,FALSE,"059-96";#N/A,#N/A,FALSE,"076-96";#N/A,#N/A,FALSE,"019-97";#N/A,#N/A,FALSE,"021-97";#N/A,#N/A,FALSE,"022-97";#N/A,#N/A,FALSE,"028-97"}</definedName>
    <definedName name="___________FR2" localSheetId="2" hidden="1">{#N/A,#N/A,FALSE,"GERAL";#N/A,#N/A,FALSE,"012-96";#N/A,#N/A,FALSE,"018-96";#N/A,#N/A,FALSE,"027-96";#N/A,#N/A,FALSE,"059-96";#N/A,#N/A,FALSE,"076-96";#N/A,#N/A,FALSE,"019-97";#N/A,#N/A,FALSE,"021-97";#N/A,#N/A,FALSE,"022-97";#N/A,#N/A,FALSE,"028-97"}</definedName>
    <definedName name="___________FR2" hidden="1">{#N/A,#N/A,FALSE,"GERAL";#N/A,#N/A,FALSE,"012-96";#N/A,#N/A,FALSE,"018-96";#N/A,#N/A,FALSE,"027-96";#N/A,#N/A,FALSE,"059-96";#N/A,#N/A,FALSE,"076-96";#N/A,#N/A,FALSE,"019-97";#N/A,#N/A,FALSE,"021-97";#N/A,#N/A,FALSE,"022-97";#N/A,#N/A,FALSE,"028-97"}</definedName>
    <definedName name="___________IMP2" localSheetId="0">#REF!</definedName>
    <definedName name="___________IMP2">#REF!</definedName>
    <definedName name="___________mm1" localSheetId="0">#REF!</definedName>
    <definedName name="___________mm1" localSheetId="2">QQP!___________mm1</definedName>
    <definedName name="___________mm1">#REF!</definedName>
    <definedName name="___________PO1" localSheetId="0">#REF!</definedName>
    <definedName name="___________PO1" localSheetId="2">#REF!</definedName>
    <definedName name="___________PO1">#REF!</definedName>
    <definedName name="___________PO2" localSheetId="0">#REF!</definedName>
    <definedName name="___________PO2" localSheetId="2">#REF!</definedName>
    <definedName name="___________PO2">#REF!</definedName>
    <definedName name="___________R" localSheetId="0">#REF!</definedName>
    <definedName name="___________R">#REF!</definedName>
    <definedName name="__________494_17" localSheetId="0">#REF!</definedName>
    <definedName name="__________494_17">#REF!</definedName>
    <definedName name="__________dat1" localSheetId="0">#REF!</definedName>
    <definedName name="__________dat1">#REF!</definedName>
    <definedName name="__________dat2" localSheetId="0">#REF!</definedName>
    <definedName name="__________dat2">#REF!</definedName>
    <definedName name="__________DAT3" localSheetId="0">#REF!</definedName>
    <definedName name="__________DAT3">#REF!</definedName>
    <definedName name="__________FOL1" localSheetId="0">#REF!</definedName>
    <definedName name="__________FOL1">#REF!</definedName>
    <definedName name="__________FOL2" localSheetId="0">#REF!</definedName>
    <definedName name="__________FOL2">#REF!</definedName>
    <definedName name="__________FOL3">#N/A</definedName>
    <definedName name="__________FOL4">#N/A</definedName>
    <definedName name="__________FR2" localSheetId="0" hidden="1">{#N/A,#N/A,FALSE,"GERAL";#N/A,#N/A,FALSE,"012-96";#N/A,#N/A,FALSE,"018-96";#N/A,#N/A,FALSE,"027-96";#N/A,#N/A,FALSE,"059-96";#N/A,#N/A,FALSE,"076-96";#N/A,#N/A,FALSE,"019-97";#N/A,#N/A,FALSE,"021-97";#N/A,#N/A,FALSE,"022-97";#N/A,#N/A,FALSE,"028-97"}</definedName>
    <definedName name="__________FR2" localSheetId="2" hidden="1">{#N/A,#N/A,FALSE,"GERAL";#N/A,#N/A,FALSE,"012-96";#N/A,#N/A,FALSE,"018-96";#N/A,#N/A,FALSE,"027-96";#N/A,#N/A,FALSE,"059-96";#N/A,#N/A,FALSE,"076-96";#N/A,#N/A,FALSE,"019-97";#N/A,#N/A,FALSE,"021-97";#N/A,#N/A,FALSE,"022-97";#N/A,#N/A,FALSE,"028-97"}</definedName>
    <definedName name="__________FR2" hidden="1">{#N/A,#N/A,FALSE,"GERAL";#N/A,#N/A,FALSE,"012-96";#N/A,#N/A,FALSE,"018-96";#N/A,#N/A,FALSE,"027-96";#N/A,#N/A,FALSE,"059-96";#N/A,#N/A,FALSE,"076-96";#N/A,#N/A,FALSE,"019-97";#N/A,#N/A,FALSE,"021-97";#N/A,#N/A,FALSE,"022-97";#N/A,#N/A,FALSE,"028-97"}</definedName>
    <definedName name="__________IMP2" localSheetId="0">#REF!</definedName>
    <definedName name="__________IMP2">#REF!</definedName>
    <definedName name="__________mm1" localSheetId="0">#REF!</definedName>
    <definedName name="__________mm1" localSheetId="2">QQP!__________mm1</definedName>
    <definedName name="__________mm1">#REF!</definedName>
    <definedName name="__________PO1" localSheetId="0">#REF!</definedName>
    <definedName name="__________PO1" localSheetId="2">#REF!</definedName>
    <definedName name="__________PO1">#REF!</definedName>
    <definedName name="__________PO2" localSheetId="0">#REF!</definedName>
    <definedName name="__________PO2" localSheetId="2">#REF!</definedName>
    <definedName name="__________PO2">#REF!</definedName>
    <definedName name="__________R" localSheetId="0">#REF!</definedName>
    <definedName name="__________R">#REF!</definedName>
    <definedName name="_________494_17" localSheetId="0">#REF!</definedName>
    <definedName name="_________494_17">#REF!</definedName>
    <definedName name="_________bar1" localSheetId="0" hidden="1">{#N/A,#N/A,FALSE,"GERAL";#N/A,#N/A,FALSE,"012-96";#N/A,#N/A,FALSE,"018-96";#N/A,#N/A,FALSE,"027-96";#N/A,#N/A,FALSE,"059-96";#N/A,#N/A,FALSE,"076-96";#N/A,#N/A,FALSE,"019-97";#N/A,#N/A,FALSE,"021-97";#N/A,#N/A,FALSE,"022-97";#N/A,#N/A,FALSE,"028-97"}</definedName>
    <definedName name="_________bar1" localSheetId="2" hidden="1">{#N/A,#N/A,FALSE,"GERAL";#N/A,#N/A,FALSE,"012-96";#N/A,#N/A,FALSE,"018-96";#N/A,#N/A,FALSE,"027-96";#N/A,#N/A,FALSE,"059-96";#N/A,#N/A,FALSE,"076-96";#N/A,#N/A,FALSE,"019-97";#N/A,#N/A,FALSE,"021-97";#N/A,#N/A,FALSE,"022-97";#N/A,#N/A,FALSE,"028-97"}</definedName>
    <definedName name="_________bar1" hidden="1">{#N/A,#N/A,FALSE,"GERAL";#N/A,#N/A,FALSE,"012-96";#N/A,#N/A,FALSE,"018-96";#N/A,#N/A,FALSE,"027-96";#N/A,#N/A,FALSE,"059-96";#N/A,#N/A,FALSE,"076-96";#N/A,#N/A,FALSE,"019-97";#N/A,#N/A,FALSE,"021-97";#N/A,#N/A,FALSE,"022-97";#N/A,#N/A,FALSE,"028-97"}</definedName>
    <definedName name="_________dat1" localSheetId="0">#REF!</definedName>
    <definedName name="_________dat1">#REF!</definedName>
    <definedName name="_________dat2" localSheetId="0">#REF!</definedName>
    <definedName name="_________dat2">#REF!</definedName>
    <definedName name="_________DAT3" localSheetId="0">#REF!</definedName>
    <definedName name="_________DAT3">#REF!</definedName>
    <definedName name="_________FOL1" localSheetId="0">#REF!</definedName>
    <definedName name="_________FOL1">#REF!</definedName>
    <definedName name="_________FOL2" localSheetId="0">#REF!</definedName>
    <definedName name="_________FOL2">#REF!</definedName>
    <definedName name="_________FOL3">#N/A</definedName>
    <definedName name="_________FOL4">#N/A</definedName>
    <definedName name="_________FR2" localSheetId="0" hidden="1">{#N/A,#N/A,FALSE,"GERAL";#N/A,#N/A,FALSE,"012-96";#N/A,#N/A,FALSE,"018-96";#N/A,#N/A,FALSE,"027-96";#N/A,#N/A,FALSE,"059-96";#N/A,#N/A,FALSE,"076-96";#N/A,#N/A,FALSE,"019-97";#N/A,#N/A,FALSE,"021-97";#N/A,#N/A,FALSE,"022-97";#N/A,#N/A,FALSE,"028-97"}</definedName>
    <definedName name="_________FR2" localSheetId="2" hidden="1">{#N/A,#N/A,FALSE,"GERAL";#N/A,#N/A,FALSE,"012-96";#N/A,#N/A,FALSE,"018-96";#N/A,#N/A,FALSE,"027-96";#N/A,#N/A,FALSE,"059-96";#N/A,#N/A,FALSE,"076-96";#N/A,#N/A,FALSE,"019-97";#N/A,#N/A,FALSE,"021-97";#N/A,#N/A,FALSE,"022-97";#N/A,#N/A,FALSE,"028-97"}</definedName>
    <definedName name="_________FR2" hidden="1">{#N/A,#N/A,FALSE,"GERAL";#N/A,#N/A,FALSE,"012-96";#N/A,#N/A,FALSE,"018-96";#N/A,#N/A,FALSE,"027-96";#N/A,#N/A,FALSE,"059-96";#N/A,#N/A,FALSE,"076-96";#N/A,#N/A,FALSE,"019-97";#N/A,#N/A,FALSE,"021-97";#N/A,#N/A,FALSE,"022-97";#N/A,#N/A,FALSE,"028-97"}</definedName>
    <definedName name="_________IMP2" localSheetId="0">#REF!</definedName>
    <definedName name="_________IMP2">#REF!</definedName>
    <definedName name="_________mm1" localSheetId="0">#REF!</definedName>
    <definedName name="_________mm1" localSheetId="2">QQP!_________mm1</definedName>
    <definedName name="_________mm1">#REF!</definedName>
    <definedName name="_________PO1" localSheetId="0">#REF!</definedName>
    <definedName name="_________PO1" localSheetId="2">#REF!</definedName>
    <definedName name="_________PO1">#REF!</definedName>
    <definedName name="_________PO2" localSheetId="0">#REF!</definedName>
    <definedName name="_________PO2" localSheetId="2">#REF!</definedName>
    <definedName name="_________PO2">#REF!</definedName>
    <definedName name="_________R" localSheetId="0">#REF!</definedName>
    <definedName name="_________R">#REF!</definedName>
    <definedName name="________494_17" localSheetId="0">#REF!</definedName>
    <definedName name="________494_17">#REF!</definedName>
    <definedName name="________dat1" localSheetId="0">#REF!</definedName>
    <definedName name="________dat1">#REF!</definedName>
    <definedName name="________dat2" localSheetId="0">#REF!</definedName>
    <definedName name="________dat2">#REF!</definedName>
    <definedName name="________DAT3" localSheetId="0">#REF!</definedName>
    <definedName name="________DAT3">#REF!</definedName>
    <definedName name="________FOL1" localSheetId="0">#REF!</definedName>
    <definedName name="________FOL1">#REF!</definedName>
    <definedName name="________FOL2" localSheetId="0">#REF!</definedName>
    <definedName name="________FOL2">#REF!</definedName>
    <definedName name="________FOL3">#N/A</definedName>
    <definedName name="________FOL4">#N/A</definedName>
    <definedName name="________FR2" localSheetId="0" hidden="1">{#N/A,#N/A,FALSE,"GERAL";#N/A,#N/A,FALSE,"012-96";#N/A,#N/A,FALSE,"018-96";#N/A,#N/A,FALSE,"027-96";#N/A,#N/A,FALSE,"059-96";#N/A,#N/A,FALSE,"076-96";#N/A,#N/A,FALSE,"019-97";#N/A,#N/A,FALSE,"021-97";#N/A,#N/A,FALSE,"022-97";#N/A,#N/A,FALSE,"028-97"}</definedName>
    <definedName name="________FR2" localSheetId="2" hidden="1">{#N/A,#N/A,FALSE,"GERAL";#N/A,#N/A,FALSE,"012-96";#N/A,#N/A,FALSE,"018-96";#N/A,#N/A,FALSE,"027-96";#N/A,#N/A,FALSE,"059-96";#N/A,#N/A,FALSE,"076-96";#N/A,#N/A,FALSE,"019-97";#N/A,#N/A,FALSE,"021-97";#N/A,#N/A,FALSE,"022-97";#N/A,#N/A,FALSE,"028-97"}</definedName>
    <definedName name="________FR2" hidden="1">{#N/A,#N/A,FALSE,"GERAL";#N/A,#N/A,FALSE,"012-96";#N/A,#N/A,FALSE,"018-96";#N/A,#N/A,FALSE,"027-96";#N/A,#N/A,FALSE,"059-96";#N/A,#N/A,FALSE,"076-96";#N/A,#N/A,FALSE,"019-97";#N/A,#N/A,FALSE,"021-97";#N/A,#N/A,FALSE,"022-97";#N/A,#N/A,FALSE,"028-97"}</definedName>
    <definedName name="________IMP2" localSheetId="0">#REF!</definedName>
    <definedName name="________IMP2">#REF!</definedName>
    <definedName name="________mm1" localSheetId="0">#REF!</definedName>
    <definedName name="________mm1" localSheetId="2">QQP!________mm1</definedName>
    <definedName name="________mm1">#REF!</definedName>
    <definedName name="________PO1" localSheetId="0">#REF!</definedName>
    <definedName name="________PO1" localSheetId="2">#REF!</definedName>
    <definedName name="________PO1">#REF!</definedName>
    <definedName name="________PO2" localSheetId="0">#REF!</definedName>
    <definedName name="________PO2" localSheetId="2">#REF!</definedName>
    <definedName name="________PO2">#REF!</definedName>
    <definedName name="________R" localSheetId="0">#REF!</definedName>
    <definedName name="________R">#REF!</definedName>
    <definedName name="_______494_17" localSheetId="0">#REF!</definedName>
    <definedName name="_______494_17">#REF!</definedName>
    <definedName name="_______bar1" localSheetId="0" hidden="1">{#N/A,#N/A,FALSE,"GERAL";#N/A,#N/A,FALSE,"012-96";#N/A,#N/A,FALSE,"018-96";#N/A,#N/A,FALSE,"027-96";#N/A,#N/A,FALSE,"059-96";#N/A,#N/A,FALSE,"076-96";#N/A,#N/A,FALSE,"019-97";#N/A,#N/A,FALSE,"021-97";#N/A,#N/A,FALSE,"022-97";#N/A,#N/A,FALSE,"028-97"}</definedName>
    <definedName name="_______bar1" localSheetId="2" hidden="1">{#N/A,#N/A,FALSE,"GERAL";#N/A,#N/A,FALSE,"012-96";#N/A,#N/A,FALSE,"018-96";#N/A,#N/A,FALSE,"027-96";#N/A,#N/A,FALSE,"059-96";#N/A,#N/A,FALSE,"076-96";#N/A,#N/A,FALSE,"019-97";#N/A,#N/A,FALSE,"021-97";#N/A,#N/A,FALSE,"022-97";#N/A,#N/A,FALSE,"028-97"}</definedName>
    <definedName name="_______bar1" hidden="1">{#N/A,#N/A,FALSE,"GERAL";#N/A,#N/A,FALSE,"012-96";#N/A,#N/A,FALSE,"018-96";#N/A,#N/A,FALSE,"027-96";#N/A,#N/A,FALSE,"059-96";#N/A,#N/A,FALSE,"076-96";#N/A,#N/A,FALSE,"019-97";#N/A,#N/A,FALSE,"021-97";#N/A,#N/A,FALSE,"022-97";#N/A,#N/A,FALSE,"028-97"}</definedName>
    <definedName name="_______dat1" localSheetId="0">#REF!</definedName>
    <definedName name="_______dat1">#REF!</definedName>
    <definedName name="_______dat2" localSheetId="0">#REF!</definedName>
    <definedName name="_______dat2">#REF!</definedName>
    <definedName name="_______DAT3" localSheetId="0">#REF!</definedName>
    <definedName name="_______DAT3">#REF!</definedName>
    <definedName name="_______FOL1" localSheetId="0">#REF!</definedName>
    <definedName name="_______FOL1">#REF!</definedName>
    <definedName name="_______FOL2" localSheetId="0">#REF!</definedName>
    <definedName name="_______FOL2">#REF!</definedName>
    <definedName name="_______FOL3">#N/A</definedName>
    <definedName name="_______FOL4">#N/A</definedName>
    <definedName name="_______FR2" localSheetId="0" hidden="1">{#N/A,#N/A,FALSE,"GERAL";#N/A,#N/A,FALSE,"012-96";#N/A,#N/A,FALSE,"018-96";#N/A,#N/A,FALSE,"027-96";#N/A,#N/A,FALSE,"059-96";#N/A,#N/A,FALSE,"076-96";#N/A,#N/A,FALSE,"019-97";#N/A,#N/A,FALSE,"021-97";#N/A,#N/A,FALSE,"022-97";#N/A,#N/A,FALSE,"028-97"}</definedName>
    <definedName name="_______FR2" localSheetId="2" hidden="1">{#N/A,#N/A,FALSE,"GERAL";#N/A,#N/A,FALSE,"012-96";#N/A,#N/A,FALSE,"018-96";#N/A,#N/A,FALSE,"027-96";#N/A,#N/A,FALSE,"059-96";#N/A,#N/A,FALSE,"076-96";#N/A,#N/A,FALSE,"019-97";#N/A,#N/A,FALSE,"021-97";#N/A,#N/A,FALSE,"022-97";#N/A,#N/A,FALSE,"028-97"}</definedName>
    <definedName name="_______FR2" hidden="1">{#N/A,#N/A,FALSE,"GERAL";#N/A,#N/A,FALSE,"012-96";#N/A,#N/A,FALSE,"018-96";#N/A,#N/A,FALSE,"027-96";#N/A,#N/A,FALSE,"059-96";#N/A,#N/A,FALSE,"076-96";#N/A,#N/A,FALSE,"019-97";#N/A,#N/A,FALSE,"021-97";#N/A,#N/A,FALSE,"022-97";#N/A,#N/A,FALSE,"028-97"}</definedName>
    <definedName name="_______IMP2" localSheetId="0">#REF!</definedName>
    <definedName name="_______IMP2">#REF!</definedName>
    <definedName name="_______mm1" localSheetId="0">#REF!</definedName>
    <definedName name="_______mm1" localSheetId="2">QQP!_______mm1</definedName>
    <definedName name="_______mm1">#REF!</definedName>
    <definedName name="_______PO1" localSheetId="0">#REF!</definedName>
    <definedName name="_______PO1" localSheetId="2">#REF!</definedName>
    <definedName name="_______PO1">#REF!</definedName>
    <definedName name="_______PO2" localSheetId="0">#REF!</definedName>
    <definedName name="_______PO2" localSheetId="2">#REF!</definedName>
    <definedName name="_______PO2">#REF!</definedName>
    <definedName name="_______R" localSheetId="0">#REF!</definedName>
    <definedName name="_______R">#REF!</definedName>
    <definedName name="______494_17" localSheetId="0">#REF!</definedName>
    <definedName name="______494_17">#REF!</definedName>
    <definedName name="______bar1" localSheetId="0" hidden="1">{#N/A,#N/A,FALSE,"GERAL";#N/A,#N/A,FALSE,"012-96";#N/A,#N/A,FALSE,"018-96";#N/A,#N/A,FALSE,"027-96";#N/A,#N/A,FALSE,"059-96";#N/A,#N/A,FALSE,"076-96";#N/A,#N/A,FALSE,"019-97";#N/A,#N/A,FALSE,"021-97";#N/A,#N/A,FALSE,"022-97";#N/A,#N/A,FALSE,"028-97"}</definedName>
    <definedName name="______bar1" localSheetId="2" hidden="1">{#N/A,#N/A,FALSE,"GERAL";#N/A,#N/A,FALSE,"012-96";#N/A,#N/A,FALSE,"018-96";#N/A,#N/A,FALSE,"027-96";#N/A,#N/A,FALSE,"059-96";#N/A,#N/A,FALSE,"076-96";#N/A,#N/A,FALSE,"019-97";#N/A,#N/A,FALSE,"021-97";#N/A,#N/A,FALSE,"022-97";#N/A,#N/A,FALSE,"028-97"}</definedName>
    <definedName name="______bar1" hidden="1">{#N/A,#N/A,FALSE,"GERAL";#N/A,#N/A,FALSE,"012-96";#N/A,#N/A,FALSE,"018-96";#N/A,#N/A,FALSE,"027-96";#N/A,#N/A,FALSE,"059-96";#N/A,#N/A,FALSE,"076-96";#N/A,#N/A,FALSE,"019-97";#N/A,#N/A,FALSE,"021-97";#N/A,#N/A,FALSE,"022-97";#N/A,#N/A,FALSE,"028-97"}</definedName>
    <definedName name="______dat1" localSheetId="0">#REF!</definedName>
    <definedName name="______dat1">#REF!</definedName>
    <definedName name="______DAT10" localSheetId="0">#REF!</definedName>
    <definedName name="______DAT10">#REF!</definedName>
    <definedName name="______DAT11" localSheetId="0">#REF!</definedName>
    <definedName name="______DAT11">#REF!</definedName>
    <definedName name="______DAT12" localSheetId="0">#REF!</definedName>
    <definedName name="______DAT12">#REF!</definedName>
    <definedName name="______DAT13" localSheetId="0">#REF!</definedName>
    <definedName name="______DAT13">#REF!</definedName>
    <definedName name="______DAT14" localSheetId="0">#REF!</definedName>
    <definedName name="______DAT14">#REF!</definedName>
    <definedName name="______DAT15" localSheetId="0">#REF!</definedName>
    <definedName name="______DAT15">#REF!</definedName>
    <definedName name="______DAT16" localSheetId="0">#REF!</definedName>
    <definedName name="______DAT16">#REF!</definedName>
    <definedName name="______DAT17" localSheetId="0">#REF!</definedName>
    <definedName name="______DAT17">#REF!</definedName>
    <definedName name="______DAT18" localSheetId="0">#REF!</definedName>
    <definedName name="______DAT18">#REF!</definedName>
    <definedName name="______DAT19" localSheetId="0">#REF!</definedName>
    <definedName name="______DAT19">#REF!</definedName>
    <definedName name="______dat2" localSheetId="0">#REF!</definedName>
    <definedName name="______dat2">#REF!</definedName>
    <definedName name="______DAT20" localSheetId="0">#REF!</definedName>
    <definedName name="______DAT20">#REF!</definedName>
    <definedName name="______DAT21" localSheetId="0">#REF!</definedName>
    <definedName name="______DAT21">#REF!</definedName>
    <definedName name="______DAT22" localSheetId="0">#REF!</definedName>
    <definedName name="______DAT22">#REF!</definedName>
    <definedName name="______DAT23" localSheetId="0">#REF!</definedName>
    <definedName name="______DAT23">#REF!</definedName>
    <definedName name="______DAT24" localSheetId="0">#REF!</definedName>
    <definedName name="______DAT24">#REF!</definedName>
    <definedName name="______DAT25" localSheetId="0">#REF!</definedName>
    <definedName name="______DAT25">#REF!</definedName>
    <definedName name="______DAT26" localSheetId="0">#REF!</definedName>
    <definedName name="______DAT26">#REF!</definedName>
    <definedName name="______DAT27" localSheetId="0">#REF!</definedName>
    <definedName name="______DAT27">#REF!</definedName>
    <definedName name="______DAT28" localSheetId="0">#REF!</definedName>
    <definedName name="______DAT28">#REF!</definedName>
    <definedName name="______DAT29" localSheetId="0">#REF!</definedName>
    <definedName name="______DAT29">#REF!</definedName>
    <definedName name="______DAT3" localSheetId="0">#REF!</definedName>
    <definedName name="______DAT3">#REF!</definedName>
    <definedName name="______DAT30" localSheetId="0">#REF!</definedName>
    <definedName name="______DAT30">#REF!</definedName>
    <definedName name="______DAT31" localSheetId="0">#REF!</definedName>
    <definedName name="______DAT31">#REF!</definedName>
    <definedName name="______DAT32" localSheetId="0">#REF!</definedName>
    <definedName name="______DAT32">#REF!</definedName>
    <definedName name="______DAT33" localSheetId="0">#REF!</definedName>
    <definedName name="______DAT33">#REF!</definedName>
    <definedName name="______DAT34" localSheetId="0">#REF!</definedName>
    <definedName name="______DAT34">#REF!</definedName>
    <definedName name="______DAT35" localSheetId="0">#REF!</definedName>
    <definedName name="______DAT35">#REF!</definedName>
    <definedName name="______DAT36" localSheetId="0">#REF!</definedName>
    <definedName name="______DAT36">#REF!</definedName>
    <definedName name="______DAT37" localSheetId="0">#REF!</definedName>
    <definedName name="______DAT37">#REF!</definedName>
    <definedName name="______DAT38" localSheetId="0">#REF!</definedName>
    <definedName name="______DAT38">#REF!</definedName>
    <definedName name="______DAT39" localSheetId="0">#REF!</definedName>
    <definedName name="______DAT39">#REF!</definedName>
    <definedName name="______DAT4" localSheetId="0">#REF!</definedName>
    <definedName name="______DAT4">#REF!</definedName>
    <definedName name="______DAT40" localSheetId="0">#REF!</definedName>
    <definedName name="______DAT40">#REF!</definedName>
    <definedName name="______DAT5" localSheetId="0">#REF!</definedName>
    <definedName name="______DAT5">#REF!</definedName>
    <definedName name="______DAT6" localSheetId="0">#REF!</definedName>
    <definedName name="______DAT6">#REF!</definedName>
    <definedName name="______DAT7" localSheetId="0">#REF!</definedName>
    <definedName name="______DAT7">#REF!</definedName>
    <definedName name="______DAT8" localSheetId="0">#REF!</definedName>
    <definedName name="______DAT8">#REF!</definedName>
    <definedName name="______DAT9" localSheetId="0">#REF!</definedName>
    <definedName name="______DAT9">#REF!</definedName>
    <definedName name="______F99000" localSheetId="0">#REF!</definedName>
    <definedName name="______F99000">#REF!</definedName>
    <definedName name="______FOL1" localSheetId="0">#REF!</definedName>
    <definedName name="______FOL1">#REF!</definedName>
    <definedName name="______FOL2" localSheetId="0">#REF!</definedName>
    <definedName name="______FOL2">#REF!</definedName>
    <definedName name="______FOL3">#N/A</definedName>
    <definedName name="______FOL4">#N/A</definedName>
    <definedName name="______FR2" localSheetId="0" hidden="1">{#N/A,#N/A,FALSE,"GERAL";#N/A,#N/A,FALSE,"012-96";#N/A,#N/A,FALSE,"018-96";#N/A,#N/A,FALSE,"027-96";#N/A,#N/A,FALSE,"059-96";#N/A,#N/A,FALSE,"076-96";#N/A,#N/A,FALSE,"019-97";#N/A,#N/A,FALSE,"021-97";#N/A,#N/A,FALSE,"022-97";#N/A,#N/A,FALSE,"028-97"}</definedName>
    <definedName name="______FR2" localSheetId="2" hidden="1">{#N/A,#N/A,FALSE,"GERAL";#N/A,#N/A,FALSE,"012-96";#N/A,#N/A,FALSE,"018-96";#N/A,#N/A,FALSE,"027-96";#N/A,#N/A,FALSE,"059-96";#N/A,#N/A,FALSE,"076-96";#N/A,#N/A,FALSE,"019-97";#N/A,#N/A,FALSE,"021-97";#N/A,#N/A,FALSE,"022-97";#N/A,#N/A,FALSE,"028-97"}</definedName>
    <definedName name="______FR2" hidden="1">{#N/A,#N/A,FALSE,"GERAL";#N/A,#N/A,FALSE,"012-96";#N/A,#N/A,FALSE,"018-96";#N/A,#N/A,FALSE,"027-96";#N/A,#N/A,FALSE,"059-96";#N/A,#N/A,FALSE,"076-96";#N/A,#N/A,FALSE,"019-97";#N/A,#N/A,FALSE,"021-97";#N/A,#N/A,FALSE,"022-97";#N/A,#N/A,FALSE,"028-97"}</definedName>
    <definedName name="______IMP2" localSheetId="0">#REF!</definedName>
    <definedName name="______IMP2">#REF!</definedName>
    <definedName name="______mm1" localSheetId="0">#REF!</definedName>
    <definedName name="______mm1" localSheetId="2">QQP!______mm1</definedName>
    <definedName name="______mm1">#REF!</definedName>
    <definedName name="______PO1" localSheetId="0">#REF!</definedName>
    <definedName name="______PO1" localSheetId="2">#REF!</definedName>
    <definedName name="______PO1">#REF!</definedName>
    <definedName name="______PO2" localSheetId="0">#REF!</definedName>
    <definedName name="______PO2" localSheetId="2">#REF!</definedName>
    <definedName name="______PO2">#REF!</definedName>
    <definedName name="______R" localSheetId="0">#REF!</definedName>
    <definedName name="______R">#REF!</definedName>
    <definedName name="_____494_17" localSheetId="0">#REF!</definedName>
    <definedName name="_____494_17">#REF!</definedName>
    <definedName name="_____bar1" localSheetId="0" hidden="1">{#N/A,#N/A,FALSE,"GERAL";#N/A,#N/A,FALSE,"012-96";#N/A,#N/A,FALSE,"018-96";#N/A,#N/A,FALSE,"027-96";#N/A,#N/A,FALSE,"059-96";#N/A,#N/A,FALSE,"076-96";#N/A,#N/A,FALSE,"019-97";#N/A,#N/A,FALSE,"021-97";#N/A,#N/A,FALSE,"022-97";#N/A,#N/A,FALSE,"028-97"}</definedName>
    <definedName name="_____bar1" localSheetId="2" hidden="1">{#N/A,#N/A,FALSE,"GERAL";#N/A,#N/A,FALSE,"012-96";#N/A,#N/A,FALSE,"018-96";#N/A,#N/A,FALSE,"027-96";#N/A,#N/A,FALSE,"059-96";#N/A,#N/A,FALSE,"076-96";#N/A,#N/A,FALSE,"019-97";#N/A,#N/A,FALSE,"021-97";#N/A,#N/A,FALSE,"022-97";#N/A,#N/A,FALSE,"028-97"}</definedName>
    <definedName name="_____bar1" hidden="1">{#N/A,#N/A,FALSE,"GERAL";#N/A,#N/A,FALSE,"012-96";#N/A,#N/A,FALSE,"018-96";#N/A,#N/A,FALSE,"027-96";#N/A,#N/A,FALSE,"059-96";#N/A,#N/A,FALSE,"076-96";#N/A,#N/A,FALSE,"019-97";#N/A,#N/A,FALSE,"021-97";#N/A,#N/A,FALSE,"022-97";#N/A,#N/A,FALSE,"028-97"}</definedName>
    <definedName name="_____dat1" localSheetId="0">#REF!</definedName>
    <definedName name="_____dat1">#REF!</definedName>
    <definedName name="_____DAT10" localSheetId="0">#REF!</definedName>
    <definedName name="_____DAT10">#REF!</definedName>
    <definedName name="_____DAT11" localSheetId="0">#REF!</definedName>
    <definedName name="_____DAT11">#REF!</definedName>
    <definedName name="_____DAT12" localSheetId="0">#REF!</definedName>
    <definedName name="_____DAT12">#REF!</definedName>
    <definedName name="_____DAT13" localSheetId="0">#REF!</definedName>
    <definedName name="_____DAT13">#REF!</definedName>
    <definedName name="_____DAT14" localSheetId="0">#REF!</definedName>
    <definedName name="_____DAT14">#REF!</definedName>
    <definedName name="_____DAT15" localSheetId="0">#REF!</definedName>
    <definedName name="_____DAT15">#REF!</definedName>
    <definedName name="_____DAT16" localSheetId="0">#REF!</definedName>
    <definedName name="_____DAT16">#REF!</definedName>
    <definedName name="_____DAT17" localSheetId="0">#REF!</definedName>
    <definedName name="_____DAT17">#REF!</definedName>
    <definedName name="_____DAT18" localSheetId="0">#REF!</definedName>
    <definedName name="_____DAT18">#REF!</definedName>
    <definedName name="_____DAT19" localSheetId="0">#REF!</definedName>
    <definedName name="_____DAT19">#REF!</definedName>
    <definedName name="_____dat2" localSheetId="0">#REF!</definedName>
    <definedName name="_____dat2">#REF!</definedName>
    <definedName name="_____DAT20" localSheetId="0">#REF!</definedName>
    <definedName name="_____DAT20">#REF!</definedName>
    <definedName name="_____DAT21" localSheetId="0">#REF!</definedName>
    <definedName name="_____DAT21">#REF!</definedName>
    <definedName name="_____DAT22" localSheetId="0">#REF!</definedName>
    <definedName name="_____DAT22">#REF!</definedName>
    <definedName name="_____DAT23" localSheetId="0">#REF!</definedName>
    <definedName name="_____DAT23">#REF!</definedName>
    <definedName name="_____DAT24" localSheetId="0">#REF!</definedName>
    <definedName name="_____DAT24">#REF!</definedName>
    <definedName name="_____DAT25" localSheetId="0">#REF!</definedName>
    <definedName name="_____DAT25">#REF!</definedName>
    <definedName name="_____DAT26" localSheetId="0">#REF!</definedName>
    <definedName name="_____DAT26">#REF!</definedName>
    <definedName name="_____DAT27" localSheetId="0">#REF!</definedName>
    <definedName name="_____DAT27">#REF!</definedName>
    <definedName name="_____DAT28" localSheetId="0">#REF!</definedName>
    <definedName name="_____DAT28">#REF!</definedName>
    <definedName name="_____DAT29" localSheetId="0">#REF!</definedName>
    <definedName name="_____DAT29">#REF!</definedName>
    <definedName name="_____DAT3" localSheetId="0">#REF!</definedName>
    <definedName name="_____DAT3">#REF!</definedName>
    <definedName name="_____DAT30" localSheetId="0">#REF!</definedName>
    <definedName name="_____DAT30">#REF!</definedName>
    <definedName name="_____DAT31" localSheetId="0">#REF!</definedName>
    <definedName name="_____DAT31">#REF!</definedName>
    <definedName name="_____DAT32" localSheetId="0">#REF!</definedName>
    <definedName name="_____DAT32">#REF!</definedName>
    <definedName name="_____DAT33" localSheetId="0">#REF!</definedName>
    <definedName name="_____DAT33">#REF!</definedName>
    <definedName name="_____DAT34" localSheetId="0">#REF!</definedName>
    <definedName name="_____DAT34">#REF!</definedName>
    <definedName name="_____DAT35" localSheetId="0">#REF!</definedName>
    <definedName name="_____DAT35">#REF!</definedName>
    <definedName name="_____DAT36" localSheetId="0">#REF!</definedName>
    <definedName name="_____DAT36">#REF!</definedName>
    <definedName name="_____DAT37" localSheetId="0">#REF!</definedName>
    <definedName name="_____DAT37">#REF!</definedName>
    <definedName name="_____DAT38" localSheetId="0">#REF!</definedName>
    <definedName name="_____DAT38">#REF!</definedName>
    <definedName name="_____DAT39" localSheetId="0">#REF!</definedName>
    <definedName name="_____DAT39">#REF!</definedName>
    <definedName name="_____DAT4" localSheetId="0">#REF!</definedName>
    <definedName name="_____DAT4">#REF!</definedName>
    <definedName name="_____DAT40" localSheetId="0">#REF!</definedName>
    <definedName name="_____DAT40">#REF!</definedName>
    <definedName name="_____DAT41" localSheetId="0">#REF!</definedName>
    <definedName name="_____DAT41">#REF!</definedName>
    <definedName name="_____DAT42" localSheetId="0">#REF!</definedName>
    <definedName name="_____DAT42">#REF!</definedName>
    <definedName name="_____DAT43" localSheetId="0">#REF!</definedName>
    <definedName name="_____DAT43">#REF!</definedName>
    <definedName name="_____DAT44" localSheetId="0">#REF!</definedName>
    <definedName name="_____DAT44">#REF!</definedName>
    <definedName name="_____DAT5" localSheetId="0">#REF!</definedName>
    <definedName name="_____DAT5">#REF!</definedName>
    <definedName name="_____DAT6" localSheetId="0">#REF!</definedName>
    <definedName name="_____DAT6">#REF!</definedName>
    <definedName name="_____DAT7" localSheetId="0">#REF!</definedName>
    <definedName name="_____DAT7">#REF!</definedName>
    <definedName name="_____DAT8" localSheetId="0">#REF!</definedName>
    <definedName name="_____DAT8">#REF!</definedName>
    <definedName name="_____DAT9" localSheetId="0">#REF!</definedName>
    <definedName name="_____DAT9">#REF!</definedName>
    <definedName name="_____F99000" localSheetId="0">#REF!</definedName>
    <definedName name="_____F99000">#REF!</definedName>
    <definedName name="_____FOL1" localSheetId="0">#REF!</definedName>
    <definedName name="_____FOL1">#REF!</definedName>
    <definedName name="_____FOL2" localSheetId="0">#REF!</definedName>
    <definedName name="_____FOL2">#REF!</definedName>
    <definedName name="_____FOL3">#N/A</definedName>
    <definedName name="_____FOL4">#N/A</definedName>
    <definedName name="_____FR2" localSheetId="0" hidden="1">{#N/A,#N/A,FALSE,"GERAL";#N/A,#N/A,FALSE,"012-96";#N/A,#N/A,FALSE,"018-96";#N/A,#N/A,FALSE,"027-96";#N/A,#N/A,FALSE,"059-96";#N/A,#N/A,FALSE,"076-96";#N/A,#N/A,FALSE,"019-97";#N/A,#N/A,FALSE,"021-97";#N/A,#N/A,FALSE,"022-97";#N/A,#N/A,FALSE,"028-97"}</definedName>
    <definedName name="_____FR2" localSheetId="2" hidden="1">{#N/A,#N/A,FALSE,"GERAL";#N/A,#N/A,FALSE,"012-96";#N/A,#N/A,FALSE,"018-96";#N/A,#N/A,FALSE,"027-96";#N/A,#N/A,FALSE,"059-96";#N/A,#N/A,FALSE,"076-96";#N/A,#N/A,FALSE,"019-97";#N/A,#N/A,FALSE,"021-97";#N/A,#N/A,FALSE,"022-97";#N/A,#N/A,FALSE,"028-97"}</definedName>
    <definedName name="_____FR2" hidden="1">{#N/A,#N/A,FALSE,"GERAL";#N/A,#N/A,FALSE,"012-96";#N/A,#N/A,FALSE,"018-96";#N/A,#N/A,FALSE,"027-96";#N/A,#N/A,FALSE,"059-96";#N/A,#N/A,FALSE,"076-96";#N/A,#N/A,FALSE,"019-97";#N/A,#N/A,FALSE,"021-97";#N/A,#N/A,FALSE,"022-97";#N/A,#N/A,FALSE,"028-97"}</definedName>
    <definedName name="_____IMP2" localSheetId="0">#REF!</definedName>
    <definedName name="_____IMP2">#REF!</definedName>
    <definedName name="_____mm1" localSheetId="0">#REF!</definedName>
    <definedName name="_____mm1" localSheetId="2">QQP!_____mm1</definedName>
    <definedName name="_____mm1">#REF!</definedName>
    <definedName name="_____PO1" localSheetId="0">#REF!</definedName>
    <definedName name="_____PO1" localSheetId="2">#REF!</definedName>
    <definedName name="_____PO1">#REF!</definedName>
    <definedName name="_____PO2" localSheetId="0">#REF!</definedName>
    <definedName name="_____PO2" localSheetId="2">#REF!</definedName>
    <definedName name="_____PO2">#REF!</definedName>
    <definedName name="_____R" localSheetId="0">#REF!</definedName>
    <definedName name="_____R">#REF!</definedName>
    <definedName name="_____xlfn_IFERROR">#N/A</definedName>
    <definedName name="____494_17" localSheetId="0">#REF!</definedName>
    <definedName name="____494_17">#REF!</definedName>
    <definedName name="____bar1" localSheetId="0" hidden="1">{#N/A,#N/A,FALSE,"GERAL";#N/A,#N/A,FALSE,"012-96";#N/A,#N/A,FALSE,"018-96";#N/A,#N/A,FALSE,"027-96";#N/A,#N/A,FALSE,"059-96";#N/A,#N/A,FALSE,"076-96";#N/A,#N/A,FALSE,"019-97";#N/A,#N/A,FALSE,"021-97";#N/A,#N/A,FALSE,"022-97";#N/A,#N/A,FALSE,"028-97"}</definedName>
    <definedName name="____bar1" localSheetId="2" hidden="1">{#N/A,#N/A,FALSE,"GERAL";#N/A,#N/A,FALSE,"012-96";#N/A,#N/A,FALSE,"018-96";#N/A,#N/A,FALSE,"027-96";#N/A,#N/A,FALSE,"059-96";#N/A,#N/A,FALSE,"076-96";#N/A,#N/A,FALSE,"019-97";#N/A,#N/A,FALSE,"021-97";#N/A,#N/A,FALSE,"022-97";#N/A,#N/A,FALSE,"028-97"}</definedName>
    <definedName name="____bar1" hidden="1">{#N/A,#N/A,FALSE,"GERAL";#N/A,#N/A,FALSE,"012-96";#N/A,#N/A,FALSE,"018-96";#N/A,#N/A,FALSE,"027-96";#N/A,#N/A,FALSE,"059-96";#N/A,#N/A,FALSE,"076-96";#N/A,#N/A,FALSE,"019-97";#N/A,#N/A,FALSE,"021-97";#N/A,#N/A,FALSE,"022-97";#N/A,#N/A,FALSE,"028-97"}</definedName>
    <definedName name="____dat1" localSheetId="0">#REF!</definedName>
    <definedName name="____dat1">#REF!</definedName>
    <definedName name="____DAT10" localSheetId="0">#REF!</definedName>
    <definedName name="____DAT10">#REF!</definedName>
    <definedName name="____DAT11" localSheetId="0">#REF!</definedName>
    <definedName name="____DAT11">#REF!</definedName>
    <definedName name="____DAT12" localSheetId="0">#REF!</definedName>
    <definedName name="____DAT12">#REF!</definedName>
    <definedName name="____DAT13" localSheetId="0">#REF!</definedName>
    <definedName name="____DAT13">#REF!</definedName>
    <definedName name="____DAT14" localSheetId="0">#REF!</definedName>
    <definedName name="____DAT14">#REF!</definedName>
    <definedName name="____DAT15" localSheetId="0">#REF!</definedName>
    <definedName name="____DAT15">#REF!</definedName>
    <definedName name="____DAT16" localSheetId="0">#REF!</definedName>
    <definedName name="____DAT16">#REF!</definedName>
    <definedName name="____DAT17" localSheetId="0">#REF!</definedName>
    <definedName name="____DAT17">#REF!</definedName>
    <definedName name="____DAT18" localSheetId="0">#REF!</definedName>
    <definedName name="____DAT18">#REF!</definedName>
    <definedName name="____DAT19" localSheetId="0">#REF!</definedName>
    <definedName name="____DAT19">#REF!</definedName>
    <definedName name="____dat2" localSheetId="0">#REF!</definedName>
    <definedName name="____dat2">#REF!</definedName>
    <definedName name="____DAT20" localSheetId="0">#REF!</definedName>
    <definedName name="____DAT20">#REF!</definedName>
    <definedName name="____DAT21" localSheetId="0">#REF!</definedName>
    <definedName name="____DAT21">#REF!</definedName>
    <definedName name="____DAT22" localSheetId="0">#REF!</definedName>
    <definedName name="____DAT22">#REF!</definedName>
    <definedName name="____DAT23" localSheetId="0">#REF!</definedName>
    <definedName name="____DAT23">#REF!</definedName>
    <definedName name="____DAT24" localSheetId="0">#REF!</definedName>
    <definedName name="____DAT24">#REF!</definedName>
    <definedName name="____DAT25" localSheetId="0">#REF!</definedName>
    <definedName name="____DAT25">#REF!</definedName>
    <definedName name="____DAT26" localSheetId="0">#REF!</definedName>
    <definedName name="____DAT26">#REF!</definedName>
    <definedName name="____DAT27" localSheetId="0">#REF!</definedName>
    <definedName name="____DAT27">#REF!</definedName>
    <definedName name="____DAT28" localSheetId="0">#REF!</definedName>
    <definedName name="____DAT28">#REF!</definedName>
    <definedName name="____DAT29" localSheetId="0">#REF!</definedName>
    <definedName name="____DAT29">#REF!</definedName>
    <definedName name="____DAT3" localSheetId="0">#REF!</definedName>
    <definedName name="____DAT3">#REF!</definedName>
    <definedName name="____DAT30" localSheetId="0">#REF!</definedName>
    <definedName name="____DAT30">#REF!</definedName>
    <definedName name="____DAT31" localSheetId="0">#REF!</definedName>
    <definedName name="____DAT31">#REF!</definedName>
    <definedName name="____DAT32" localSheetId="0">#REF!</definedName>
    <definedName name="____DAT32">#REF!</definedName>
    <definedName name="____DAT33" localSheetId="0">#REF!</definedName>
    <definedName name="____DAT33">#REF!</definedName>
    <definedName name="____DAT34" localSheetId="0">#REF!</definedName>
    <definedName name="____DAT34">#REF!</definedName>
    <definedName name="____DAT35" localSheetId="0">#REF!</definedName>
    <definedName name="____DAT35">#REF!</definedName>
    <definedName name="____DAT36" localSheetId="0">#REF!</definedName>
    <definedName name="____DAT36">#REF!</definedName>
    <definedName name="____DAT37" localSheetId="0">#REF!</definedName>
    <definedName name="____DAT37">#REF!</definedName>
    <definedName name="____DAT38" localSheetId="0">#REF!</definedName>
    <definedName name="____DAT38">#REF!</definedName>
    <definedName name="____DAT39" localSheetId="0">#REF!</definedName>
    <definedName name="____DAT39">#REF!</definedName>
    <definedName name="____DAT4" localSheetId="0">#REF!</definedName>
    <definedName name="____DAT4">#REF!</definedName>
    <definedName name="____DAT40" localSheetId="0">#REF!</definedName>
    <definedName name="____DAT40">#REF!</definedName>
    <definedName name="____DAT41" localSheetId="0">#REF!</definedName>
    <definedName name="____DAT41">#REF!</definedName>
    <definedName name="____DAT42" localSheetId="0">#REF!</definedName>
    <definedName name="____DAT42">#REF!</definedName>
    <definedName name="____DAT43" localSheetId="0">#REF!</definedName>
    <definedName name="____DAT43">#REF!</definedName>
    <definedName name="____DAT44" localSheetId="0">#REF!</definedName>
    <definedName name="____DAT44">#REF!</definedName>
    <definedName name="____DAT5" localSheetId="0">#REF!</definedName>
    <definedName name="____DAT5">#REF!</definedName>
    <definedName name="____DAT6" localSheetId="0">#REF!</definedName>
    <definedName name="____DAT6">#REF!</definedName>
    <definedName name="____DAT7" localSheetId="0">#REF!</definedName>
    <definedName name="____DAT7">#REF!</definedName>
    <definedName name="____DAT8" localSheetId="0">#REF!</definedName>
    <definedName name="____DAT8">#REF!</definedName>
    <definedName name="____DAT9" localSheetId="0">#REF!</definedName>
    <definedName name="____DAT9">#REF!</definedName>
    <definedName name="____F99000" localSheetId="0">#REF!</definedName>
    <definedName name="____F99000">#REF!</definedName>
    <definedName name="____FOL1" localSheetId="0">#REF!</definedName>
    <definedName name="____FOL1">#REF!</definedName>
    <definedName name="____FOL2" localSheetId="0">#REF!</definedName>
    <definedName name="____FOL2">#REF!</definedName>
    <definedName name="____FOL3">#N/A</definedName>
    <definedName name="____FOL4">#N/A</definedName>
    <definedName name="____FR2" localSheetId="0" hidden="1">{#N/A,#N/A,FALSE,"GERAL";#N/A,#N/A,FALSE,"012-96";#N/A,#N/A,FALSE,"018-96";#N/A,#N/A,FALSE,"027-96";#N/A,#N/A,FALSE,"059-96";#N/A,#N/A,FALSE,"076-96";#N/A,#N/A,FALSE,"019-97";#N/A,#N/A,FALSE,"021-97";#N/A,#N/A,FALSE,"022-97";#N/A,#N/A,FALSE,"028-97"}</definedName>
    <definedName name="____FR2" localSheetId="2" hidden="1">{#N/A,#N/A,FALSE,"GERAL";#N/A,#N/A,FALSE,"012-96";#N/A,#N/A,FALSE,"018-96";#N/A,#N/A,FALSE,"027-96";#N/A,#N/A,FALSE,"059-96";#N/A,#N/A,FALSE,"076-96";#N/A,#N/A,FALSE,"019-97";#N/A,#N/A,FALSE,"021-97";#N/A,#N/A,FALSE,"022-97";#N/A,#N/A,FALSE,"028-97"}</definedName>
    <definedName name="____FR2" hidden="1">{#N/A,#N/A,FALSE,"GERAL";#N/A,#N/A,FALSE,"012-96";#N/A,#N/A,FALSE,"018-96";#N/A,#N/A,FALSE,"027-96";#N/A,#N/A,FALSE,"059-96";#N/A,#N/A,FALSE,"076-96";#N/A,#N/A,FALSE,"019-97";#N/A,#N/A,FALSE,"021-97";#N/A,#N/A,FALSE,"022-97";#N/A,#N/A,FALSE,"028-97"}</definedName>
    <definedName name="____IMP2" localSheetId="0">#REF!</definedName>
    <definedName name="____IMP2">#REF!</definedName>
    <definedName name="____mm1" localSheetId="0">#REF!</definedName>
    <definedName name="____mm1" localSheetId="2">QQP!____mm1</definedName>
    <definedName name="____mm1">#REF!</definedName>
    <definedName name="____PO1" localSheetId="0">#REF!</definedName>
    <definedName name="____PO1" localSheetId="2">#REF!</definedName>
    <definedName name="____PO1">#REF!</definedName>
    <definedName name="____PO2" localSheetId="0">#REF!</definedName>
    <definedName name="____PO2" localSheetId="2">#REF!</definedName>
    <definedName name="____PO2">#REF!</definedName>
    <definedName name="____R" localSheetId="0">#REF!</definedName>
    <definedName name="____R">#REF!</definedName>
    <definedName name="____xlfn_IFERROR">#N/A</definedName>
    <definedName name="___494_17" localSheetId="0">#REF!</definedName>
    <definedName name="___494_17">#REF!</definedName>
    <definedName name="___bar1" localSheetId="0" hidden="1">{#N/A,#N/A,FALSE,"GERAL";#N/A,#N/A,FALSE,"012-96";#N/A,#N/A,FALSE,"018-96";#N/A,#N/A,FALSE,"027-96";#N/A,#N/A,FALSE,"059-96";#N/A,#N/A,FALSE,"076-96";#N/A,#N/A,FALSE,"019-97";#N/A,#N/A,FALSE,"021-97";#N/A,#N/A,FALSE,"022-97";#N/A,#N/A,FALSE,"028-97"}</definedName>
    <definedName name="___bar1" localSheetId="2" hidden="1">{#N/A,#N/A,FALSE,"GERAL";#N/A,#N/A,FALSE,"012-96";#N/A,#N/A,FALSE,"018-96";#N/A,#N/A,FALSE,"027-96";#N/A,#N/A,FALSE,"059-96";#N/A,#N/A,FALSE,"076-96";#N/A,#N/A,FALSE,"019-97";#N/A,#N/A,FALSE,"021-97";#N/A,#N/A,FALSE,"022-97";#N/A,#N/A,FALSE,"028-97"}</definedName>
    <definedName name="___bar1" hidden="1">{#N/A,#N/A,FALSE,"GERAL";#N/A,#N/A,FALSE,"012-96";#N/A,#N/A,FALSE,"018-96";#N/A,#N/A,FALSE,"027-96";#N/A,#N/A,FALSE,"059-96";#N/A,#N/A,FALSE,"076-96";#N/A,#N/A,FALSE,"019-97";#N/A,#N/A,FALSE,"021-97";#N/A,#N/A,FALSE,"022-97";#N/A,#N/A,FALSE,"028-97"}</definedName>
    <definedName name="___dat1" localSheetId="0">#REF!</definedName>
    <definedName name="___dat1">#REF!</definedName>
    <definedName name="___DAT10" localSheetId="0">#REF!</definedName>
    <definedName name="___DAT10">#REF!</definedName>
    <definedName name="___DAT11" localSheetId="0">#REF!</definedName>
    <definedName name="___DAT11">#REF!</definedName>
    <definedName name="___DAT12" localSheetId="0">#REF!</definedName>
    <definedName name="___DAT12">#REF!</definedName>
    <definedName name="___DAT13" localSheetId="0">#REF!</definedName>
    <definedName name="___DAT13">#REF!</definedName>
    <definedName name="___DAT14" localSheetId="0">#REF!</definedName>
    <definedName name="___DAT14">#REF!</definedName>
    <definedName name="___DAT15" localSheetId="0">#REF!</definedName>
    <definedName name="___DAT15">#REF!</definedName>
    <definedName name="___DAT16" localSheetId="0">#REF!</definedName>
    <definedName name="___DAT16">#REF!</definedName>
    <definedName name="___DAT17" localSheetId="0">#REF!</definedName>
    <definedName name="___DAT17">#REF!</definedName>
    <definedName name="___DAT18" localSheetId="0">#REF!</definedName>
    <definedName name="___DAT18">#REF!</definedName>
    <definedName name="___DAT19" localSheetId="0">#REF!</definedName>
    <definedName name="___DAT19">#REF!</definedName>
    <definedName name="___dat2" localSheetId="0">#REF!</definedName>
    <definedName name="___dat2">#REF!</definedName>
    <definedName name="___DAT20" localSheetId="0">#REF!</definedName>
    <definedName name="___DAT20">#REF!</definedName>
    <definedName name="___DAT21" localSheetId="0">#REF!</definedName>
    <definedName name="___DAT21">#REF!</definedName>
    <definedName name="___DAT22" localSheetId="0">#REF!</definedName>
    <definedName name="___DAT22">#REF!</definedName>
    <definedName name="___DAT23" localSheetId="0">#REF!</definedName>
    <definedName name="___DAT23">#REF!</definedName>
    <definedName name="___DAT24" localSheetId="0">#REF!</definedName>
    <definedName name="___DAT24">#REF!</definedName>
    <definedName name="___DAT25" localSheetId="0">#REF!</definedName>
    <definedName name="___DAT25">#REF!</definedName>
    <definedName name="___DAT26" localSheetId="0">#REF!</definedName>
    <definedName name="___DAT26">#REF!</definedName>
    <definedName name="___DAT27" localSheetId="0">#REF!</definedName>
    <definedName name="___DAT27">#REF!</definedName>
    <definedName name="___DAT28" localSheetId="0">#REF!</definedName>
    <definedName name="___DAT28">#REF!</definedName>
    <definedName name="___DAT29" localSheetId="0">#REF!</definedName>
    <definedName name="___DAT29">#REF!</definedName>
    <definedName name="___DAT3" localSheetId="0">#REF!</definedName>
    <definedName name="___DAT3">#REF!</definedName>
    <definedName name="___DAT30" localSheetId="0">#REF!</definedName>
    <definedName name="___DAT30">#REF!</definedName>
    <definedName name="___DAT31" localSheetId="0">#REF!</definedName>
    <definedName name="___DAT31">#REF!</definedName>
    <definedName name="___DAT32" localSheetId="0">#REF!</definedName>
    <definedName name="___DAT32">#REF!</definedName>
    <definedName name="___DAT33" localSheetId="0">#REF!</definedName>
    <definedName name="___DAT33">#REF!</definedName>
    <definedName name="___DAT34" localSheetId="0">#REF!</definedName>
    <definedName name="___DAT34">#REF!</definedName>
    <definedName name="___DAT35" localSheetId="0">#REF!</definedName>
    <definedName name="___DAT35">#REF!</definedName>
    <definedName name="___DAT36" localSheetId="0">#REF!</definedName>
    <definedName name="___DAT36">#REF!</definedName>
    <definedName name="___DAT37" localSheetId="0">#REF!</definedName>
    <definedName name="___DAT37">#REF!</definedName>
    <definedName name="___DAT38" localSheetId="0">#REF!</definedName>
    <definedName name="___DAT38">#REF!</definedName>
    <definedName name="___DAT39" localSheetId="0">#REF!</definedName>
    <definedName name="___DAT39">#REF!</definedName>
    <definedName name="___DAT4" localSheetId="0">#REF!</definedName>
    <definedName name="___DAT4">#REF!</definedName>
    <definedName name="___DAT40" localSheetId="0">#REF!</definedName>
    <definedName name="___DAT40">#REF!</definedName>
    <definedName name="___DAT41" localSheetId="0">#REF!</definedName>
    <definedName name="___DAT41">#REF!</definedName>
    <definedName name="___DAT42" localSheetId="0">#REF!</definedName>
    <definedName name="___DAT42">#REF!</definedName>
    <definedName name="___DAT43" localSheetId="0">#REF!</definedName>
    <definedName name="___DAT43">#REF!</definedName>
    <definedName name="___DAT44" localSheetId="0">#REF!</definedName>
    <definedName name="___DAT44">#REF!</definedName>
    <definedName name="___DAT5" localSheetId="0">#REF!</definedName>
    <definedName name="___DAT5">#REF!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DAT9" localSheetId="0">#REF!</definedName>
    <definedName name="___DAT9">#REF!</definedName>
    <definedName name="___F99000" localSheetId="0">#REF!</definedName>
    <definedName name="___F99000">#REF!</definedName>
    <definedName name="___FOL1" localSheetId="0">#REF!</definedName>
    <definedName name="___FOL1">#REF!</definedName>
    <definedName name="___FOL2" localSheetId="0">#REF!</definedName>
    <definedName name="___FOL2">#REF!</definedName>
    <definedName name="___FOL3">#N/A</definedName>
    <definedName name="___FOL4">#N/A</definedName>
    <definedName name="___FR2" localSheetId="0" hidden="1">{#N/A,#N/A,FALSE,"GERAL";#N/A,#N/A,FALSE,"012-96";#N/A,#N/A,FALSE,"018-96";#N/A,#N/A,FALSE,"027-96";#N/A,#N/A,FALSE,"059-96";#N/A,#N/A,FALSE,"076-96";#N/A,#N/A,FALSE,"019-97";#N/A,#N/A,FALSE,"021-97";#N/A,#N/A,FALSE,"022-97";#N/A,#N/A,FALSE,"028-97"}</definedName>
    <definedName name="___FR2" localSheetId="2" hidden="1">{#N/A,#N/A,FALSE,"GERAL";#N/A,#N/A,FALSE,"012-96";#N/A,#N/A,FALSE,"018-96";#N/A,#N/A,FALSE,"027-96";#N/A,#N/A,FALSE,"059-96";#N/A,#N/A,FALSE,"076-96";#N/A,#N/A,FALSE,"019-97";#N/A,#N/A,FALSE,"021-97";#N/A,#N/A,FALSE,"022-97";#N/A,#N/A,FALSE,"028-97"}</definedName>
    <definedName name="___FR2" hidden="1">{#N/A,#N/A,FALSE,"GERAL";#N/A,#N/A,FALSE,"012-96";#N/A,#N/A,FALSE,"018-96";#N/A,#N/A,FALSE,"027-96";#N/A,#N/A,FALSE,"059-96";#N/A,#N/A,FALSE,"076-96";#N/A,#N/A,FALSE,"019-97";#N/A,#N/A,FALSE,"021-97";#N/A,#N/A,FALSE,"022-97";#N/A,#N/A,FALSE,"028-97"}</definedName>
    <definedName name="___IMP2" localSheetId="0">#REF!</definedName>
    <definedName name="___IMP2">#REF!</definedName>
    <definedName name="___ltf2" localSheetId="0" hidden="1">#REF!</definedName>
    <definedName name="___ltf2" hidden="1">#REF!</definedName>
    <definedName name="___mm1" localSheetId="0">#REF!</definedName>
    <definedName name="___mm1" localSheetId="2">QQP!___mm1</definedName>
    <definedName name="___mm1">#REF!</definedName>
    <definedName name="___oe1" localSheetId="0">#REF!</definedName>
    <definedName name="___oe1" localSheetId="2">#REF!</definedName>
    <definedName name="___oe1">#REF!</definedName>
    <definedName name="___PO1" localSheetId="0">#REF!</definedName>
    <definedName name="___PO1" localSheetId="2">#REF!</definedName>
    <definedName name="___PO1">#REF!</definedName>
    <definedName name="___PO2" localSheetId="0">#REF!</definedName>
    <definedName name="___PO2">#REF!</definedName>
    <definedName name="___R" localSheetId="0">#REF!</definedName>
    <definedName name="___R">#REF!</definedName>
    <definedName name="___RBR1" localSheetId="0">#REF!</definedName>
    <definedName name="___RBR1">#REF!</definedName>
    <definedName name="___RBR2" localSheetId="0">#REF!</definedName>
    <definedName name="___RBR2">#REF!</definedName>
    <definedName name="___RCA1" localSheetId="0">#REF!</definedName>
    <definedName name="___RCA1">#REF!</definedName>
    <definedName name="___RCA2" localSheetId="0">#REF!</definedName>
    <definedName name="___RCA2">#REF!</definedName>
    <definedName name="___tab1" localSheetId="0">#REF!</definedName>
    <definedName name="___tab1">#REF!</definedName>
    <definedName name="___ti1" localSheetId="0">#REF!</definedName>
    <definedName name="___ti1">#REF!</definedName>
    <definedName name="___TOT1" localSheetId="0">#REF!</definedName>
    <definedName name="___TOT1">#REF!</definedName>
    <definedName name="___TOT2" localSheetId="0">#REF!</definedName>
    <definedName name="___TOT2">#REF!</definedName>
    <definedName name="___TOT3">#REF!</definedName>
    <definedName name="___TOT4">#REF!</definedName>
    <definedName name="___TOT5">#REF!</definedName>
    <definedName name="___TOT6">#REF!</definedName>
    <definedName name="___TOT7">#REF!</definedName>
    <definedName name="___xlfn_IFERROR">#N/A</definedName>
    <definedName name="__1__Excel_BuiltIn_Print_Area_1_1_1" localSheetId="0">#REF!</definedName>
    <definedName name="__1__Excel_BuiltIn_Print_Area_1_1_1">#REF!</definedName>
    <definedName name="__1_494_17" localSheetId="0">#REF!</definedName>
    <definedName name="__1_494_17">#REF!</definedName>
    <definedName name="__123Graph_A" localSheetId="0" hidden="1">#REF!</definedName>
    <definedName name="__123Graph_A" hidden="1">#REF!</definedName>
    <definedName name="__123Graph_X" localSheetId="0" hidden="1">#REF!</definedName>
    <definedName name="__123Graph_X" hidden="1">#REF!</definedName>
    <definedName name="__2Excel_BuiltIn_Print_Area_1_1_1" localSheetId="0">#REF!</definedName>
    <definedName name="__2Excel_BuiltIn_Print_Area_1_1_1">#REF!</definedName>
    <definedName name="__494_17" localSheetId="0">#REF!</definedName>
    <definedName name="__494_17">#REF!</definedName>
    <definedName name="__4Excel_BuiltIn_Print_Area_1_1_1" localSheetId="0">#REF!</definedName>
    <definedName name="__4Excel_BuiltIn_Print_Area_1_1_1">#REF!</definedName>
    <definedName name="__A92700" localSheetId="0">#REF!</definedName>
    <definedName name="__A92700">#REF!</definedName>
    <definedName name="__bar1" localSheetId="0" hidden="1">{#N/A,#N/A,FALSE,"GERAL";#N/A,#N/A,FALSE,"012-96";#N/A,#N/A,FALSE,"018-96";#N/A,#N/A,FALSE,"027-96";#N/A,#N/A,FALSE,"059-96";#N/A,#N/A,FALSE,"076-96";#N/A,#N/A,FALSE,"019-97";#N/A,#N/A,FALSE,"021-97";#N/A,#N/A,FALSE,"022-97";#N/A,#N/A,FALSE,"028-97"}</definedName>
    <definedName name="__bar1" localSheetId="2" hidden="1">{#N/A,#N/A,FALSE,"GERAL";#N/A,#N/A,FALSE,"012-96";#N/A,#N/A,FALSE,"018-96";#N/A,#N/A,FALSE,"027-96";#N/A,#N/A,FALSE,"059-96";#N/A,#N/A,FALSE,"076-96";#N/A,#N/A,FALSE,"019-97";#N/A,#N/A,FALSE,"021-97";#N/A,#N/A,FALSE,"022-97";#N/A,#N/A,FALSE,"028-97"}</definedName>
    <definedName name="__bar1" hidden="1">{#N/A,#N/A,FALSE,"GERAL";#N/A,#N/A,FALSE,"012-96";#N/A,#N/A,FALSE,"018-96";#N/A,#N/A,FALSE,"027-96";#N/A,#N/A,FALSE,"059-96";#N/A,#N/A,FALSE,"076-96";#N/A,#N/A,FALSE,"019-97";#N/A,#N/A,FALSE,"021-97";#N/A,#N/A,FALSE,"022-97";#N/A,#N/A,FALSE,"028-97"}</definedName>
    <definedName name="__DAT1" localSheetId="0">#REF!</definedName>
    <definedName name="__DAT1">#REF!</definedName>
    <definedName name="__DAT10" localSheetId="0">#REF!</definedName>
    <definedName name="__DAT10">#REF!</definedName>
    <definedName name="__DAT11" localSheetId="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 localSheetId="0">#REF!</definedName>
    <definedName name="__DAT26">#REF!</definedName>
    <definedName name="__DAT27" localSheetId="0">#REF!</definedName>
    <definedName name="__DAT27">#REF!</definedName>
    <definedName name="__DAT28" localSheetId="0">#REF!</definedName>
    <definedName name="__DAT28">#REF!</definedName>
    <definedName name="__DAT29" localSheetId="0">#REF!</definedName>
    <definedName name="__DAT29">#REF!</definedName>
    <definedName name="__DAT3">#REF!</definedName>
    <definedName name="__DAT30" localSheetId="0">#REF!</definedName>
    <definedName name="__DAT30">#REF!</definedName>
    <definedName name="__DAT31" localSheetId="0">#REF!</definedName>
    <definedName name="__DAT31">#REF!</definedName>
    <definedName name="__DAT32" localSheetId="0">#REF!</definedName>
    <definedName name="__DAT32">#REF!</definedName>
    <definedName name="__DAT33" localSheetId="0">#REF!</definedName>
    <definedName name="__DAT33">#REF!</definedName>
    <definedName name="__DAT34" localSheetId="0">#REF!</definedName>
    <definedName name="__DAT34">#REF!</definedName>
    <definedName name="__DAT35" localSheetId="0">#REF!</definedName>
    <definedName name="__DAT35">#REF!</definedName>
    <definedName name="__DAT36" localSheetId="0">#REF!</definedName>
    <definedName name="__DAT36">#REF!</definedName>
    <definedName name="__DAT37" localSheetId="0">#REF!</definedName>
    <definedName name="__DAT37">#REF!</definedName>
    <definedName name="__DAT38" localSheetId="0">#REF!</definedName>
    <definedName name="__DAT38">#REF!</definedName>
    <definedName name="__DAT39" localSheetId="0">#REF!</definedName>
    <definedName name="__DAT39">#REF!</definedName>
    <definedName name="__DAT4">#REF!</definedName>
    <definedName name="__DAT40" localSheetId="0">#REF!</definedName>
    <definedName name="__DAT40">#REF!</definedName>
    <definedName name="__DAT41" localSheetId="0">#REF!</definedName>
    <definedName name="__DAT41">#REF!</definedName>
    <definedName name="__DAT42" localSheetId="0">#REF!</definedName>
    <definedName name="__DAT42">#REF!</definedName>
    <definedName name="__DAT43" localSheetId="0">#REF!</definedName>
    <definedName name="__DAT43">#REF!</definedName>
    <definedName name="__DAT44" localSheetId="0">#REF!</definedName>
    <definedName name="__DAT44">#REF!</definedName>
    <definedName name="__DAT5">#REF!</definedName>
    <definedName name="__DAT6">#REF!</definedName>
    <definedName name="__DAT7">#REF!</definedName>
    <definedName name="__DAT8">#REF!</definedName>
    <definedName name="__DAT9">#REF!</definedName>
    <definedName name="__F99000" localSheetId="0">#REF!</definedName>
    <definedName name="__F99000">#REF!</definedName>
    <definedName name="__FL1">#REF!</definedName>
    <definedName name="__FOL1" localSheetId="0">#REF!</definedName>
    <definedName name="__FOL1">#REF!</definedName>
    <definedName name="__FOL2" localSheetId="0">#REF!</definedName>
    <definedName name="__FOL2">#REF!</definedName>
    <definedName name="__FOL3">#N/A</definedName>
    <definedName name="__FOL4">#N/A</definedName>
    <definedName name="__FR2" localSheetId="0" hidden="1">{#N/A,#N/A,FALSE,"GERAL";#N/A,#N/A,FALSE,"012-96";#N/A,#N/A,FALSE,"018-96";#N/A,#N/A,FALSE,"027-96";#N/A,#N/A,FALSE,"059-96";#N/A,#N/A,FALSE,"076-96";#N/A,#N/A,FALSE,"019-97";#N/A,#N/A,FALSE,"021-97";#N/A,#N/A,FALSE,"022-97";#N/A,#N/A,FALSE,"028-97"}</definedName>
    <definedName name="__FR2" localSheetId="2" hidden="1">{#N/A,#N/A,FALSE,"GERAL";#N/A,#N/A,FALSE,"012-96";#N/A,#N/A,FALSE,"018-96";#N/A,#N/A,FALSE,"027-96";#N/A,#N/A,FALSE,"059-96";#N/A,#N/A,FALSE,"076-96";#N/A,#N/A,FALSE,"019-97";#N/A,#N/A,FALSE,"021-97";#N/A,#N/A,FALSE,"022-97";#N/A,#N/A,FALSE,"028-97"}</definedName>
    <definedName name="__FR2" hidden="1">{#N/A,#N/A,FALSE,"GERAL";#N/A,#N/A,FALSE,"012-96";#N/A,#N/A,FALSE,"018-96";#N/A,#N/A,FALSE,"027-96";#N/A,#N/A,FALSE,"059-96";#N/A,#N/A,FALSE,"076-96";#N/A,#N/A,FALSE,"019-97";#N/A,#N/A,FALSE,"021-97";#N/A,#N/A,FALSE,"022-97";#N/A,#N/A,FALSE,"028-97"}</definedName>
    <definedName name="__IMP2" localSheetId="0">#REF!</definedName>
    <definedName name="__IMP2">#REF!</definedName>
    <definedName name="__ltf2" localSheetId="0" hidden="1">#REF!</definedName>
    <definedName name="__ltf2" hidden="1">#REF!</definedName>
    <definedName name="__LU1" localSheetId="0">#REF!</definedName>
    <definedName name="__LU1">#REF!</definedName>
    <definedName name="__mm1" localSheetId="0">#REF!</definedName>
    <definedName name="__mm1" localSheetId="2">QQP!__mm1</definedName>
    <definedName name="__mm1">#REF!</definedName>
    <definedName name="__oe1" localSheetId="0">#REF!</definedName>
    <definedName name="__oe1" localSheetId="2">#REF!</definedName>
    <definedName name="__oe1">#REF!</definedName>
    <definedName name="__pA5" localSheetId="0">#REF!</definedName>
    <definedName name="__pA5">#REF!</definedName>
    <definedName name="__pA6" localSheetId="0">#REF!</definedName>
    <definedName name="__pA6">#REF!</definedName>
    <definedName name="__PO1" localSheetId="0">#REF!</definedName>
    <definedName name="__PO1">#REF!</definedName>
    <definedName name="__PO2" localSheetId="0">#REF!</definedName>
    <definedName name="__PO2">#REF!</definedName>
    <definedName name="__R" localSheetId="0">#REF!</definedName>
    <definedName name="__R">#REF!</definedName>
    <definedName name="__RBR1" localSheetId="0">#REF!</definedName>
    <definedName name="__RBR1">#REF!</definedName>
    <definedName name="__RBR2" localSheetId="0">#REF!</definedName>
    <definedName name="__RBR2">#REF!</definedName>
    <definedName name="__RCA1" localSheetId="0">#REF!</definedName>
    <definedName name="__RCA1">#REF!</definedName>
    <definedName name="__RCA2" localSheetId="0">#REF!</definedName>
    <definedName name="__RCA2">#REF!</definedName>
    <definedName name="__sap1403" localSheetId="0">#REF!</definedName>
    <definedName name="__sap1403">#REF!</definedName>
    <definedName name="__tab1" localSheetId="2">#REF!</definedName>
    <definedName name="__tab1">#REF!</definedName>
    <definedName name="__ti1" localSheetId="0">#REF!</definedName>
    <definedName name="__ti1">#REF!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xlfn_IFERROR">#N/A</definedName>
    <definedName name="_1" localSheetId="0">#REF!</definedName>
    <definedName name="_1">#REF!</definedName>
    <definedName name="_1__123Graph_ACHART_1" localSheetId="0" hidden="1">#REF!</definedName>
    <definedName name="_1__123Graph_ACHART_1" hidden="1">#REF!</definedName>
    <definedName name="_1__Excel_BuiltIn_Print_Area_1_1_1" localSheetId="0">#REF!</definedName>
    <definedName name="_1__Excel_BuiltIn_Print_Area_1_1_1">#REF!</definedName>
    <definedName name="_1_494_17" localSheetId="0">#REF!</definedName>
    <definedName name="_1_494_17">#REF!</definedName>
    <definedName name="_10Excel_BuiltIn_Print_Area_1_1_1" localSheetId="0">#REF!</definedName>
    <definedName name="_10Excel_BuiltIn_Print_Area_1_1_1">#REF!</definedName>
    <definedName name="_12Excel_BuiltIn_Print_Area_1_1_1" localSheetId="0">#REF!</definedName>
    <definedName name="_12Excel_BuiltIn_Print_Area_1_1_1">#REF!</definedName>
    <definedName name="_16.3___VEÍCULOS" localSheetId="0">#REF!</definedName>
    <definedName name="_16.3___VEÍCULOS">#REF!</definedName>
    <definedName name="_16.4___COMBÚSTIVEL" localSheetId="0">#REF!</definedName>
    <definedName name="_16.4___COMBÚSTIVEL">#REF!</definedName>
    <definedName name="_16.5___EQUIPAMENTOS_DE_ESCRITÓRIO" localSheetId="0">#REF!</definedName>
    <definedName name="_16.5___EQUIPAMENTOS_DE_ESCRITÓRIO">#REF!</definedName>
    <definedName name="_164">#N/A</definedName>
    <definedName name="_169">#N/A</definedName>
    <definedName name="_16Excel_BuiltIn_Print_Area_1_1_1" localSheetId="0">#REF!</definedName>
    <definedName name="_16Excel_BuiltIn_Print_Area_1_1_1">#REF!</definedName>
    <definedName name="_17.1_MENSALISTA" localSheetId="0">#REF!</definedName>
    <definedName name="_17.1_MENSALISTA">#REF!</definedName>
    <definedName name="_17.2___HORISTA" localSheetId="0">#REF!</definedName>
    <definedName name="_17.2___HORISTA">#REF!</definedName>
    <definedName name="_170">#N/A</definedName>
    <definedName name="_172">#N/A</definedName>
    <definedName name="_176">#N/A</definedName>
    <definedName name="_17602">#N/A</definedName>
    <definedName name="_177">#N/A</definedName>
    <definedName name="_18501">#N/A</definedName>
    <definedName name="_1Excel_BuiltIn_Print_Area_2_1_1_1_1_1_1" localSheetId="0">#REF!</definedName>
    <definedName name="_1Excel_BuiltIn_Print_Area_2_1_1_1_1_1_1">#REF!</definedName>
    <definedName name="_2" localSheetId="0">#REF!</definedName>
    <definedName name="_2">#REF!</definedName>
    <definedName name="_2__123Graph_ACHART_3" localSheetId="0" hidden="1">#REF!</definedName>
    <definedName name="_2__123Graph_ACHART_3" hidden="1">#REF!</definedName>
    <definedName name="_2_494_17" localSheetId="0">#REF!</definedName>
    <definedName name="_2_494_17">#REF!</definedName>
    <definedName name="_207">#N/A</definedName>
    <definedName name="_216">#N/A</definedName>
    <definedName name="_227">#N/A</definedName>
    <definedName name="_234">#N/A</definedName>
    <definedName name="_2Excel_BuiltIn_Print_Area_1_1_1" localSheetId="0">#REF!</definedName>
    <definedName name="_2Excel_BuiltIn_Print_Area_1_1_1">#REF!</definedName>
    <definedName name="_2ÿ_†_Ro" localSheetId="0">#REF!,#REF!,#REF!,#REF!,#REF!,#REF!</definedName>
    <definedName name="_2ÿ_†_Ro" localSheetId="2">#REF!,#REF!,#REF!,#REF!,#REF!,#REF!</definedName>
    <definedName name="_2ÿ_†_Ro">#REF!,#REF!,#REF!,#REF!,#REF!,#REF!</definedName>
    <definedName name="_3__123Graph_BCHART_1" localSheetId="0" hidden="1">#REF!</definedName>
    <definedName name="_3__123Graph_BCHART_1" hidden="1">#REF!</definedName>
    <definedName name="_3_494_17" localSheetId="0">#REF!</definedName>
    <definedName name="_3_494_17">#REF!</definedName>
    <definedName name="_3Excel_BuiltIn_Print_Area_1_1_1" localSheetId="0">#REF!</definedName>
    <definedName name="_3Excel_BuiltIn_Print_Area_1_1_1">#REF!</definedName>
    <definedName name="_4__123Graph_CCHART_1" localSheetId="0" hidden="1">#REF!</definedName>
    <definedName name="_4__123Graph_CCHART_1" hidden="1">#REF!</definedName>
    <definedName name="_4_000____0ÿ_†0Ro" localSheetId="0">#REF!,#REF!,#REF!,#REF!,#REF!,#REF!</definedName>
    <definedName name="_4_000____0ÿ_†0Ro" localSheetId="2">#REF!,#REF!,#REF!,#REF!,#REF!,#REF!</definedName>
    <definedName name="_4_000____0ÿ_†0Ro">#REF!,#REF!,#REF!,#REF!,#REF!,#REF!</definedName>
    <definedName name="_4_494_17" localSheetId="0">#REF!</definedName>
    <definedName name="_4_494_17">#REF!</definedName>
    <definedName name="_494_17" localSheetId="0">#REF!</definedName>
    <definedName name="_494_17">#REF!</definedName>
    <definedName name="_4Excel_BuiltIn_Print_Area_1_1_1" localSheetId="0">#REF!</definedName>
    <definedName name="_4Excel_BuiltIn_Print_Area_1_1_1">#REF!</definedName>
    <definedName name="_5__123Graph_DCHART_1" localSheetId="0" hidden="1">#REF!</definedName>
    <definedName name="_5__123Graph_DCHART_1" hidden="1">#REF!</definedName>
    <definedName name="_5_494_17" localSheetId="0">#REF!</definedName>
    <definedName name="_5_494_17">#REF!</definedName>
    <definedName name="_6__123Graph_ECHART_1" localSheetId="0" hidden="1">#REF!</definedName>
    <definedName name="_6__123Graph_ECHART_1" hidden="1">#REF!</definedName>
    <definedName name="_6_494_17" localSheetId="0">#REF!</definedName>
    <definedName name="_6_494_17">#REF!</definedName>
    <definedName name="_63" localSheetId="0">#REF!</definedName>
    <definedName name="_63" localSheetId="2">#REF!</definedName>
    <definedName name="_63">#REF!</definedName>
    <definedName name="_6Excel_BuiltIn_Print_Area_1_1_1" localSheetId="0">#REF!</definedName>
    <definedName name="_6Excel_BuiltIn_Print_Area_1_1_1">#REF!</definedName>
    <definedName name="_7__123Graph_FCHART_1" localSheetId="0" hidden="1">#REF!</definedName>
    <definedName name="_7__123Graph_FCHART_1" hidden="1">#REF!</definedName>
    <definedName name="_7Excel_BuiltIn_Print_Area_1_1_1" localSheetId="0">#REF!</definedName>
    <definedName name="_7Excel_BuiltIn_Print_Area_1_1_1">#REF!</definedName>
    <definedName name="_8__123Graph_XCHART_3" localSheetId="0" hidden="1">#REF!</definedName>
    <definedName name="_8__123Graph_XCHART_3" hidden="1">#REF!</definedName>
    <definedName name="_8_494_17" localSheetId="0">#REF!</definedName>
    <definedName name="_8_494_17">#REF!</definedName>
    <definedName name="_8Excel_BuiltIn_Print_Area_1_1_1" localSheetId="0">#REF!</definedName>
    <definedName name="_8Excel_BuiltIn_Print_Area_1_1_1">#REF!</definedName>
    <definedName name="_A92700" localSheetId="0">#REF!</definedName>
    <definedName name="_A92700">#REF!</definedName>
    <definedName name="_AmbTempMeanD" localSheetId="0">#REF!</definedName>
    <definedName name="_AmbTempMeanD">#REF!</definedName>
    <definedName name="_AmbTempMeanO" localSheetId="0">#REF!</definedName>
    <definedName name="_AmbTempMeanO">#REF!</definedName>
    <definedName name="_AmbTempMeanS" localSheetId="0">#REF!</definedName>
    <definedName name="_AmbTempMeanS">#REF!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ar1" localSheetId="0" hidden="1">{#N/A,#N/A,FALSE,"GERAL";#N/A,#N/A,FALSE,"012-96";#N/A,#N/A,FALSE,"018-96";#N/A,#N/A,FALSE,"027-96";#N/A,#N/A,FALSE,"059-96";#N/A,#N/A,FALSE,"076-96";#N/A,#N/A,FALSE,"019-97";#N/A,#N/A,FALSE,"021-97";#N/A,#N/A,FALSE,"022-97";#N/A,#N/A,FALSE,"028-97"}</definedName>
    <definedName name="_bar1" localSheetId="2"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AS1" localSheetId="0">#REF!</definedName>
    <definedName name="_BAS1">#REF!</definedName>
    <definedName name="_C12" localSheetId="0">#REF!</definedName>
    <definedName name="_C12">#REF!</definedName>
    <definedName name="_cab1" localSheetId="0">#REF!</definedName>
    <definedName name="_cab1">#REF!</definedName>
    <definedName name="_cab2">#REF!</definedName>
    <definedName name="_CapToFreeboardD">#REF!</definedName>
    <definedName name="_CapToFreeboardO">#REF!</definedName>
    <definedName name="_CapToFreeboardS">#REF!</definedName>
    <definedName name="_CapToOverflowD">#REF!</definedName>
    <definedName name="_CapToOverflowO">#REF!</definedName>
    <definedName name="_CapToOverflowS">#REF!</definedName>
    <definedName name="_COM1180" localSheetId="0">#REF!</definedName>
    <definedName name="_COM1180">#REF!</definedName>
    <definedName name="_CPU" localSheetId="0">#REF!</definedName>
    <definedName name="_CPU">#REF!</definedName>
    <definedName name="_D50SizeD">#REF!</definedName>
    <definedName name="_D50SizeO">#REF!</definedName>
    <definedName name="_D50SizeS">#REF!</definedName>
    <definedName name="_DAT1">#REF!</definedName>
    <definedName name="_DAT10">#REF!</definedName>
    <definedName name="_DAT100" localSheetId="0">#REF!</definedName>
    <definedName name="_DAT10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 localSheetId="0">#REF!</definedName>
    <definedName name="_DAT26">#REF!</definedName>
    <definedName name="_DAT27" localSheetId="0">#REF!</definedName>
    <definedName name="_DAT27">#REF!</definedName>
    <definedName name="_DAT28" localSheetId="0">#REF!</definedName>
    <definedName name="_DAT28">#REF!</definedName>
    <definedName name="_DAT29" localSheetId="0">#REF!</definedName>
    <definedName name="_DAT29">#REF!</definedName>
    <definedName name="_DAT3">#REF!</definedName>
    <definedName name="_DAT30" localSheetId="0">#REF!</definedName>
    <definedName name="_DAT30">#REF!</definedName>
    <definedName name="_DAT31" localSheetId="0">#REF!</definedName>
    <definedName name="_DAT31">#REF!</definedName>
    <definedName name="_DAT32" localSheetId="0">#REF!</definedName>
    <definedName name="_DAT32">#REF!</definedName>
    <definedName name="_DAT33" localSheetId="0">#REF!</definedName>
    <definedName name="_DAT33">#REF!</definedName>
    <definedName name="_DAT34" localSheetId="0">#REF!</definedName>
    <definedName name="_DAT34">#REF!</definedName>
    <definedName name="_DAT35" localSheetId="0">#REF!</definedName>
    <definedName name="_DAT35">#REF!</definedName>
    <definedName name="_DAT36" localSheetId="0">#REF!</definedName>
    <definedName name="_DAT36">#REF!</definedName>
    <definedName name="_DAT37" localSheetId="0">#REF!</definedName>
    <definedName name="_DAT37">#REF!</definedName>
    <definedName name="_DAT38" localSheetId="0">#REF!</definedName>
    <definedName name="_DAT38">#REF!</definedName>
    <definedName name="_DAT39" localSheetId="0">#REF!</definedName>
    <definedName name="_DAT39">#REF!</definedName>
    <definedName name="_DAT4">#REF!</definedName>
    <definedName name="_DAT40" localSheetId="0">#REF!</definedName>
    <definedName name="_DAT40">#REF!</definedName>
    <definedName name="_DAT41" localSheetId="0">#REF!</definedName>
    <definedName name="_DAT41">#REF!</definedName>
    <definedName name="_DAT42" localSheetId="0">#REF!</definedName>
    <definedName name="_DAT42">#REF!</definedName>
    <definedName name="_DAT43" localSheetId="0">#REF!</definedName>
    <definedName name="_DAT43">#REF!</definedName>
    <definedName name="_DAT44" localSheetId="0">#REF!</definedName>
    <definedName name="_DAT44">#REF!</definedName>
    <definedName name="_DAT45" localSheetId="0">#REF!</definedName>
    <definedName name="_DAT45">#REF!</definedName>
    <definedName name="_DAT46" localSheetId="0">#REF!</definedName>
    <definedName name="_DAT46">#REF!</definedName>
    <definedName name="_DAT47" localSheetId="0">#REF!</definedName>
    <definedName name="_DAT47">#REF!</definedName>
    <definedName name="_DAT48" localSheetId="0">#REF!</definedName>
    <definedName name="_DAT48">#REF!</definedName>
    <definedName name="_DAT49" localSheetId="0">#REF!</definedName>
    <definedName name="_DAT49">#REF!</definedName>
    <definedName name="_DAT5">#REF!</definedName>
    <definedName name="_DAT50" localSheetId="0">#REF!</definedName>
    <definedName name="_DAT50">#REF!</definedName>
    <definedName name="_DAT51" localSheetId="0">#REF!</definedName>
    <definedName name="_DAT51">#REF!</definedName>
    <definedName name="_DAT52" localSheetId="0">#REF!</definedName>
    <definedName name="_DAT52">#REF!</definedName>
    <definedName name="_DAT53" localSheetId="0">#REF!</definedName>
    <definedName name="_DAT53">#REF!</definedName>
    <definedName name="_DAT54" localSheetId="0">#REF!</definedName>
    <definedName name="_DAT54">#REF!</definedName>
    <definedName name="_DAT55" localSheetId="0">#REF!</definedName>
    <definedName name="_DAT55">#REF!</definedName>
    <definedName name="_DAT56" localSheetId="0">#REF!</definedName>
    <definedName name="_DAT56">#REF!</definedName>
    <definedName name="_DAT57" localSheetId="0">#REF!</definedName>
    <definedName name="_DAT57">#REF!</definedName>
    <definedName name="_DAT58" localSheetId="0">#REF!</definedName>
    <definedName name="_DAT58">#REF!</definedName>
    <definedName name="_DAT59" localSheetId="0">#REF!</definedName>
    <definedName name="_DAT59">#REF!</definedName>
    <definedName name="_DAT6">#REF!</definedName>
    <definedName name="_DAT60" localSheetId="0">#REF!</definedName>
    <definedName name="_DAT60">#REF!</definedName>
    <definedName name="_DAT61" localSheetId="0">#REF!</definedName>
    <definedName name="_DAT61">#REF!</definedName>
    <definedName name="_DAT62" localSheetId="0">#REF!</definedName>
    <definedName name="_DAT62">#REF!</definedName>
    <definedName name="_DAT63" localSheetId="0">#REF!</definedName>
    <definedName name="_DAT63">#REF!</definedName>
    <definedName name="_DAT64" localSheetId="0">#REF!</definedName>
    <definedName name="_DAT64">#REF!</definedName>
    <definedName name="_DAT65" localSheetId="0">#REF!</definedName>
    <definedName name="_DAT65">#REF!</definedName>
    <definedName name="_DAT66" localSheetId="0">#REF!</definedName>
    <definedName name="_DAT66">#REF!</definedName>
    <definedName name="_DAT67" localSheetId="0">#REF!</definedName>
    <definedName name="_DAT67">#REF!</definedName>
    <definedName name="_DAT68" localSheetId="0">#REF!</definedName>
    <definedName name="_DAT68">#REF!</definedName>
    <definedName name="_DAT7">#REF!</definedName>
    <definedName name="_DAT8">#REF!</definedName>
    <definedName name="_DAT9">#REF!</definedName>
    <definedName name="_DAT98" localSheetId="0">#REF!</definedName>
    <definedName name="_DAT98">#REF!</definedName>
    <definedName name="_DAT99" localSheetId="0">#REF!</definedName>
    <definedName name="_DAT99">#REF!</definedName>
    <definedName name="_DesFldDenD">#REF!</definedName>
    <definedName name="_DesFldDenO">#REF!</definedName>
    <definedName name="_DesFldDenS">#REF!</definedName>
    <definedName name="_DesignCodeD">#REF!</definedName>
    <definedName name="_DesignCodeO">#REF!</definedName>
    <definedName name="_DesignCodeS">#REF!</definedName>
    <definedName name="_DischFlowNormD">#REF!</definedName>
    <definedName name="_DischFlowNormO">#REF!</definedName>
    <definedName name="_DischFlowNormS">#REF!</definedName>
    <definedName name="_Dist_Values" localSheetId="0" hidden="1">#REF!</definedName>
    <definedName name="_Dist_Values" hidden="1">#REF!</definedName>
    <definedName name="_DOC_NAME">#REF!</definedName>
    <definedName name="_dol2" localSheetId="0">#REF!</definedName>
    <definedName name="_dol2">#REF!</definedName>
    <definedName name="_DRAWING_NO" localSheetId="0">#REF!</definedName>
    <definedName name="_DRAWING_NO">#REF!</definedName>
    <definedName name="_DrawNumS">#REF!</definedName>
    <definedName name="_DVC4" localSheetId="0">#REF!</definedName>
    <definedName name="_DVC4">#REF!</definedName>
    <definedName name="_e_">" e "</definedName>
    <definedName name="_EDESC">#REF!</definedName>
    <definedName name="_ENA44" localSheetId="0">#REF!</definedName>
    <definedName name="_ENA44">#REF!</definedName>
    <definedName name="_ENA63" localSheetId="0">#REF!</definedName>
    <definedName name="_ENA63">#REF!</definedName>
    <definedName name="_expansao" localSheetId="0">#REF!</definedName>
    <definedName name="_expansao">#REF!</definedName>
    <definedName name="_ExtBoltingD" localSheetId="0">#REF!</definedName>
    <definedName name="_ExtBoltingD">#REF!</definedName>
    <definedName name="_ExtBoltingO" localSheetId="0">#REF!</definedName>
    <definedName name="_ExtBoltingO">#REF!</definedName>
    <definedName name="_ExtBoltingS">#REF!</definedName>
    <definedName name="_ExtErosionAllowD">#REF!</definedName>
    <definedName name="_ExtErosionAllowO">#REF!</definedName>
    <definedName name="_ExtErosionAllowS">#REF!</definedName>
    <definedName name="_ExtPaintD">#REF!</definedName>
    <definedName name="_ExtPaintO">#REF!</definedName>
    <definedName name="_ExtPaintS">#REF!</definedName>
    <definedName name="_F99000" localSheetId="0">#REF!</definedName>
    <definedName name="_F99000">#REF!</definedName>
    <definedName name="_fg66145">#REF!</definedName>
    <definedName name="_FHE7" localSheetId="0" hidden="1">{#N/A,#N/A,FALSE,"masez (10)";#N/A,#N/A,FALSE,"masez (7)";#N/A,#N/A,FALSE,"masez (6)";#N/A,#N/A,FALSE,"masez (5)";#N/A,#N/A,FALSE,"masez (4)";#N/A,#N/A,FALSE,"masez (3)";#N/A,#N/A,FALSE,"masez (2)";#N/A,#N/A,FALSE,"GME";#N/A,#N/A,FALSE,"masez"}</definedName>
    <definedName name="_FHE7" localSheetId="2"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i" localSheetId="0" hidden="1">#REF!</definedName>
    <definedName name="_fii" hidden="1">#REF!</definedName>
    <definedName name="_Fill" localSheetId="0" hidden="1">#REF!</definedName>
    <definedName name="_Fill" hidden="1">#REF!</definedName>
    <definedName name="_fill1" localSheetId="0" hidden="1">#REF!</definedName>
    <definedName name="_fill1" hidden="1">#REF!</definedName>
    <definedName name="_xlnm._FilterDatabase" localSheetId="1" hidden="1">CHECK!$A$7:$F$155</definedName>
    <definedName name="_xlnm._FilterDatabase" localSheetId="3" hidden="1">'CPU  1'!$A$7:$AD$155</definedName>
    <definedName name="_xlnm._FilterDatabase" localSheetId="4" hidden="1">'CPU  2'!$A$7:$L$155</definedName>
    <definedName name="_xlnm._FilterDatabase" localSheetId="5" hidden="1">'CPU  3'!$A$7:$X$155</definedName>
    <definedName name="_xlnm._FilterDatabase" localSheetId="6" hidden="1">'CPU  4'!$A$7:$X$155</definedName>
    <definedName name="_xlnm._FilterDatabase" localSheetId="7" hidden="1">'CPU  5'!$A$7:$R$155</definedName>
    <definedName name="_xlnm._FilterDatabase" localSheetId="2" hidden="1">QQP!$A$6:$H$45</definedName>
    <definedName name="_xlnm._FilterDatabase" localSheetId="10" hidden="1">TREINAMENTOS!$B$3:$E$82</definedName>
    <definedName name="_FL1" localSheetId="0">#REF!</definedName>
    <definedName name="_FL1">#REF!</definedName>
    <definedName name="_FldDenD" localSheetId="0">#REF!</definedName>
    <definedName name="_FldDenD">#REF!</definedName>
    <definedName name="_FldDenO" localSheetId="0">#REF!</definedName>
    <definedName name="_FldDenO">#REF!</definedName>
    <definedName name="_FldDenS">#REF!</definedName>
    <definedName name="_FluidDescD">#REF!</definedName>
    <definedName name="_FluidDescO">#REF!</definedName>
    <definedName name="_FluidDescS">#REF!</definedName>
    <definedName name="_FOL1" localSheetId="0">#REF!</definedName>
    <definedName name="_FOL1">#REF!</definedName>
    <definedName name="_FOL2" localSheetId="0">#REF!</definedName>
    <definedName name="_FOL2">#REF!</definedName>
    <definedName name="_FOL3">#N/A</definedName>
    <definedName name="_FOL4">#N/A</definedName>
    <definedName name="_FR2" localSheetId="0" hidden="1">{#N/A,#N/A,FALSE,"GERAL";#N/A,#N/A,FALSE,"012-96";#N/A,#N/A,FALSE,"018-96";#N/A,#N/A,FALSE,"027-96";#N/A,#N/A,FALSE,"059-96";#N/A,#N/A,FALSE,"076-96";#N/A,#N/A,FALSE,"019-97";#N/A,#N/A,FALSE,"021-97";#N/A,#N/A,FALSE,"022-97";#N/A,#N/A,FALSE,"028-97"}</definedName>
    <definedName name="_FR2" localSheetId="2" hidden="1">{#N/A,#N/A,FALSE,"GERAL";#N/A,#N/A,FALSE,"012-96";#N/A,#N/A,FALSE,"018-96";#N/A,#N/A,FALSE,"027-96";#N/A,#N/A,FALSE,"059-96";#N/A,#N/A,FALSE,"076-96";#N/A,#N/A,FALSE,"019-97";#N/A,#N/A,FALSE,"021-97";#N/A,#N/A,FALSE,"022-97";#N/A,#N/A,FALSE,"028-97"}</definedName>
    <definedName name="_FR2" hidden="1">{#N/A,#N/A,FALSE,"GERAL";#N/A,#N/A,FALSE,"012-96";#N/A,#N/A,FALSE,"018-96";#N/A,#N/A,FALSE,"027-96";#N/A,#N/A,FALSE,"059-96";#N/A,#N/A,FALSE,"076-96";#N/A,#N/A,FALSE,"019-97";#N/A,#N/A,FALSE,"021-97";#N/A,#N/A,FALSE,"022-97";#N/A,#N/A,FALSE,"028-97"}</definedName>
    <definedName name="_FreeboardHighLevelD" localSheetId="0">#REF!</definedName>
    <definedName name="_FreeboardHighLevelD">#REF!</definedName>
    <definedName name="_FreeboardHighLevelO" localSheetId="0">#REF!</definedName>
    <definedName name="_FreeboardHighLevelO">#REF!</definedName>
    <definedName name="_FreeboardHighLevelS" localSheetId="0">#REF!</definedName>
    <definedName name="_FreeboardHighLevelS">#REF!</definedName>
    <definedName name="_GasketsD">#REF!</definedName>
    <definedName name="_GasketsO">#REF!</definedName>
    <definedName name="_GasketsS">#REF!</definedName>
    <definedName name="_gl1" localSheetId="0" hidden="1">{#N/A,#N/A,FALSE,"Total_OC015";#N/A,#N/A,FALSE,"ADMIN";#N/A,#N/A,FALSE,"PROCES";#N/A,#N/A,FALSE,"mecan";#N/A,#N/A,FALSE,"civil";#N/A,#N/A,FALSE,"CAÑER";#N/A,#N/A,FALSE,"ELEC";#N/A,#N/A,FALSE,"INSTR"}</definedName>
    <definedName name="_gl1" localSheetId="2"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IMP2" localSheetId="0">#REF!</definedName>
    <definedName name="_IMP2">#REF!</definedName>
    <definedName name="_InsThkPersProtectD" localSheetId="0">#REF!</definedName>
    <definedName name="_InsThkPersProtectD">#REF!</definedName>
    <definedName name="_InsThkPersProtectO" localSheetId="0">#REF!</definedName>
    <definedName name="_InsThkPersProtectO">#REF!</definedName>
    <definedName name="_InsThkPersProtectS">#REF!</definedName>
    <definedName name="_IntBoltingD">#REF!</definedName>
    <definedName name="_IntBoltingO">#REF!</definedName>
    <definedName name="_IntBoltingS">#REF!</definedName>
    <definedName name="_IntErosionAllowD">#REF!</definedName>
    <definedName name="_IntErosionAllowO">#REF!</definedName>
    <definedName name="_IntErosionAllowS">#REF!</definedName>
    <definedName name="_IntPaintLiningD">#REF!</definedName>
    <definedName name="_IntPaintLiningO">#REF!</definedName>
    <definedName name="_IntPaintLiningS">#REF!</definedName>
    <definedName name="_jy5" localSheetId="0" hidden="1">{#N/A,#N/A,FALSE,"masez (10)";#N/A,#N/A,FALSE,"masez (7)";#N/A,#N/A,FALSE,"masez (6)";#N/A,#N/A,FALSE,"masez (5)";#N/A,#N/A,FALSE,"masez (4)";#N/A,#N/A,FALSE,"masez (3)";#N/A,#N/A,FALSE,"masez (2)";#N/A,#N/A,FALSE,"GME";#N/A,#N/A,FALSE,"masez"}</definedName>
    <definedName name="_jy5" localSheetId="2"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1" localSheetId="0" hidden="1">#REF!</definedName>
    <definedName name="_Key1" localSheetId="2" hidden="1">#REF!</definedName>
    <definedName name="_Key1" hidden="1">#REF!</definedName>
    <definedName name="_Key2" localSheetId="0" hidden="1">#REF!</definedName>
    <definedName name="_Key2" hidden="1">#REF!</definedName>
    <definedName name="_kk1"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0" hidden="1">{"FlujoGastos",#N/A,FALSE,"Base";"FlujoGastos",#N/A,FALSE,"Buzón Tren";"FlujoGastos",#N/A,FALSE,"Buzón Camión";"FlujoGastos",#N/A,FALSE,"LHD Camión";"FlujoGastos",#N/A,FALSE,"Cámara Camión"}</definedName>
    <definedName name="_kk2" localSheetId="2"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0" hidden="1">{"desarrollo",#N/A,FALSE,"Cámara Camión";"resumen",#N/A,FALSE,"Cámara Camión";"eqprod",#N/A,FALSE,"Cámara Camión"}</definedName>
    <definedName name="_kk4" localSheetId="2" hidden="1">{"desarrollo",#N/A,FALSE,"Cámara Camión";"resumen",#N/A,FALSE,"Cámara Camión";"eqprod",#N/A,FALSE,"Cámara Camión"}</definedName>
    <definedName name="_kk4" hidden="1">{"desarrollo",#N/A,FALSE,"Cámara Camión";"resumen",#N/A,FALSE,"Cámara Camión";"eqprod",#N/A,FALSE,"Cámara Camión"}</definedName>
    <definedName name="_LocationD" localSheetId="0">#REF!</definedName>
    <definedName name="_LocationD">#REF!</definedName>
    <definedName name="_LocationO" localSheetId="0">#REF!</definedName>
    <definedName name="_LocationO">#REF!</definedName>
    <definedName name="_LocationS" localSheetId="0">#REF!</definedName>
    <definedName name="_LocationS">#REF!</definedName>
    <definedName name="_lot1" localSheetId="0" hidden="1">{#N/A,#N/A,FALSE,"Total_OC015";#N/A,#N/A,FALSE,"ADMIN";#N/A,#N/A,FALSE,"PROCES";#N/A,#N/A,FALSE,"mecan";#N/A,#N/A,FALSE,"civil";#N/A,#N/A,FALSE,"CAÑER";#N/A,#N/A,FALSE,"ELEC";#N/A,#N/A,FALSE,"INSTR"}</definedName>
    <definedName name="_lot1" localSheetId="2"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LU1" localSheetId="0">#REF!</definedName>
    <definedName name="_LU1">#REF!</definedName>
    <definedName name="_manufact" localSheetId="0">#REF!</definedName>
    <definedName name="_manufact">#REF!</definedName>
    <definedName name="_manufactr" localSheetId="0">#REF!</definedName>
    <definedName name="_manufactr">#REF!</definedName>
    <definedName name="_MatInverse_In" localSheetId="0" hidden="1">#REF!</definedName>
    <definedName name="_MatInverse_In" hidden="1">#REF!</definedName>
    <definedName name="_MatInverse_Out" localSheetId="0" hidden="1">#REF!</definedName>
    <definedName name="_MatInverse_Out" hidden="1">#REF!</definedName>
    <definedName name="_MBB108" localSheetId="0">#REF!</definedName>
    <definedName name="_MBB108">#REF!</definedName>
    <definedName name="_MBB1214" localSheetId="0">#REF!</definedName>
    <definedName name="_MBB1214">#REF!</definedName>
    <definedName name="_MBB1616" localSheetId="0">#REF!</definedName>
    <definedName name="_MBB1616">#REF!</definedName>
    <definedName name="_MfgReportHopperD" localSheetId="0">#REF!</definedName>
    <definedName name="_MfgReportHopperD">#REF!</definedName>
    <definedName name="_MfgReportHopperO" localSheetId="0">#REF!</definedName>
    <definedName name="_MfgReportHopperO">#REF!</definedName>
    <definedName name="_MfgReportHopperS" localSheetId="0">#REF!</definedName>
    <definedName name="_MfgReportHopperS">#REF!</definedName>
    <definedName name="_MfgReportLiningD">#REF!</definedName>
    <definedName name="_MfgReportLiningO">#REF!</definedName>
    <definedName name="_MfgReportLiningS">#REF!</definedName>
    <definedName name="_MHoleBlindFlgD">#REF!</definedName>
    <definedName name="_MHoleBlindFlgO">#REF!</definedName>
    <definedName name="_MHoleBlindFlgS">#REF!</definedName>
    <definedName name="_mm1" localSheetId="0">#REF!</definedName>
    <definedName name="_mm1" localSheetId="2">QQP!_mm1</definedName>
    <definedName name="_mm1">#REF!</definedName>
    <definedName name="_model" localSheetId="0">#REF!</definedName>
    <definedName name="_model" localSheetId="2">#REF!</definedName>
    <definedName name="_model">#REF!</definedName>
    <definedName name="_MTE10" localSheetId="0">#REF!</definedName>
    <definedName name="_MTE10">#REF!</definedName>
    <definedName name="_MTE5" localSheetId="0">#REF!</definedName>
    <definedName name="_MTE5">#REF!</definedName>
    <definedName name="_NozlFlgFaceD">#REF!</definedName>
    <definedName name="_NozlFlgFaceO">#REF!</definedName>
    <definedName name="_NozlFlgFaceS">#REF!</definedName>
    <definedName name="_oe1" localSheetId="0">#REF!</definedName>
    <definedName name="_oe1">#REF!</definedName>
    <definedName name="_of_sheet">#REF!</definedName>
    <definedName name="_Order1" hidden="1">255</definedName>
    <definedName name="_Order2" hidden="1">255</definedName>
    <definedName name="_p.reatia" localSheetId="0">#REF!</definedName>
    <definedName name="_p.reatia">#REF!</definedName>
    <definedName name="_p_order" localSheetId="0">#REF!</definedName>
    <definedName name="_p_order">#REF!</definedName>
    <definedName name="_p250701" localSheetId="0">#REF!</definedName>
    <definedName name="_p250701">#REF!</definedName>
    <definedName name="_p250801" localSheetId="0">#REF!</definedName>
    <definedName name="_p250801">#REF!</definedName>
    <definedName name="_p270401" localSheetId="0">#REF!</definedName>
    <definedName name="_p270401">#REF!</definedName>
    <definedName name="_p271211" localSheetId="0">#REF!</definedName>
    <definedName name="_p271211">#REF!</definedName>
    <definedName name="_p271212" localSheetId="0">#REF!</definedName>
    <definedName name="_p271212">#REF!</definedName>
    <definedName name="_p271213" localSheetId="0">#REF!</definedName>
    <definedName name="_p271213">#REF!</definedName>
    <definedName name="_p271303" localSheetId="0">#REF!</definedName>
    <definedName name="_p271303">#REF!</definedName>
    <definedName name="_p271501" localSheetId="0">#REF!</definedName>
    <definedName name="_p271501">#REF!</definedName>
    <definedName name="_p271602" localSheetId="0">#REF!</definedName>
    <definedName name="_p271602">#REF!</definedName>
    <definedName name="_p271603" localSheetId="0">#REF!</definedName>
    <definedName name="_p271603">#REF!</definedName>
    <definedName name="_p280201" localSheetId="0">#REF!</definedName>
    <definedName name="_p280201">#REF!</definedName>
    <definedName name="_p280202" localSheetId="0">#REF!</definedName>
    <definedName name="_p280202">#REF!</definedName>
    <definedName name="_p280209" localSheetId="0">#REF!</definedName>
    <definedName name="_p280209">#REF!</definedName>
    <definedName name="_p280212" localSheetId="0">#REF!</definedName>
    <definedName name="_p280212">#REF!</definedName>
    <definedName name="_p280415" localSheetId="0">#REF!</definedName>
    <definedName name="_p280415">#REF!</definedName>
    <definedName name="_PA1" localSheetId="0">#REF!</definedName>
    <definedName name="_PA1">#REF!</definedName>
    <definedName name="_PA10" localSheetId="0">#REF!</definedName>
    <definedName name="_PA10">#REF!</definedName>
    <definedName name="_PA11" localSheetId="0">#REF!</definedName>
    <definedName name="_PA11">#REF!</definedName>
    <definedName name="_PA12" localSheetId="0">#REF!</definedName>
    <definedName name="_PA12">#REF!</definedName>
    <definedName name="_PA13" localSheetId="0">#REF!</definedName>
    <definedName name="_PA13">#REF!</definedName>
    <definedName name="_PA14" localSheetId="0">#REF!</definedName>
    <definedName name="_PA14">#REF!</definedName>
    <definedName name="_PA15" localSheetId="0">#REF!</definedName>
    <definedName name="_PA15">#REF!</definedName>
    <definedName name="_PA16" localSheetId="0">#REF!</definedName>
    <definedName name="_PA16">#REF!</definedName>
    <definedName name="_PA17" localSheetId="0">#REF!</definedName>
    <definedName name="_PA17">#REF!</definedName>
    <definedName name="_PA18" localSheetId="0">#REF!</definedName>
    <definedName name="_PA18">#REF!</definedName>
    <definedName name="_PA19" localSheetId="0">#REF!</definedName>
    <definedName name="_PA19">#REF!</definedName>
    <definedName name="_PA2" localSheetId="0">#REF!</definedName>
    <definedName name="_PA2">#REF!</definedName>
    <definedName name="_PA3" localSheetId="0">#REF!</definedName>
    <definedName name="_PA3">#REF!</definedName>
    <definedName name="_PA4" localSheetId="0">#REF!</definedName>
    <definedName name="_PA4">#REF!</definedName>
    <definedName name="_pA5" localSheetId="0">#REF!</definedName>
    <definedName name="_pA5" localSheetId="2">#REF!</definedName>
    <definedName name="_pA5">#REF!</definedName>
    <definedName name="_pA6" localSheetId="0">#REF!</definedName>
    <definedName name="_pA6" localSheetId="2">#REF!</definedName>
    <definedName name="_pA6">#REF!</definedName>
    <definedName name="_PA7" localSheetId="0">#REF!</definedName>
    <definedName name="_PA7">#REF!</definedName>
    <definedName name="_PA8" localSheetId="0">#REF!</definedName>
    <definedName name="_PA8">#REF!</definedName>
    <definedName name="_PA9" localSheetId="0">#REF!</definedName>
    <definedName name="_PA9">#REF!</definedName>
    <definedName name="_pC5" localSheetId="0">#REF!</definedName>
    <definedName name="_pC5" localSheetId="2">#REF!</definedName>
    <definedName name="_pC5">#REF!</definedName>
    <definedName name="_pc95" localSheetId="0">#REF!</definedName>
    <definedName name="_pc95">#REF!</definedName>
    <definedName name="_pc96" localSheetId="0">#REF!</definedName>
    <definedName name="_pc96">#REF!</definedName>
    <definedName name="_PFD_NO" localSheetId="0">#REF!</definedName>
    <definedName name="_PFD_NO">#REF!</definedName>
    <definedName name="_pid_no" localSheetId="0">#REF!</definedName>
    <definedName name="_pid_no">#REF!</definedName>
    <definedName name="_PID_NumberS" localSheetId="0">#REF!</definedName>
    <definedName name="_PID_NumberS">#REF!</definedName>
    <definedName name="_PO1" localSheetId="0">#REF!</definedName>
    <definedName name="_PO1">#REF!</definedName>
    <definedName name="_PO2" localSheetId="0">#REF!</definedName>
    <definedName name="_PO2">#REF!</definedName>
    <definedName name="_pod_mm" localSheetId="0">#REF!</definedName>
    <definedName name="_pod_mm">#REF!</definedName>
    <definedName name="_potencia" localSheetId="0">#REF!</definedName>
    <definedName name="_potencia">#REF!</definedName>
    <definedName name="_pppprr" localSheetId="0">#REF!</definedName>
    <definedName name="_pppprr">#REF!</definedName>
    <definedName name="_Print_Area_MI" localSheetId="0">#REF!</definedName>
    <definedName name="_Print_Area_MI">#REF!</definedName>
    <definedName name="_projectDescript" localSheetId="0">#REF!</definedName>
    <definedName name="_projectDescript">#REF!</definedName>
    <definedName name="_R" localSheetId="0">#REF!</definedName>
    <definedName name="_R">#REF!</definedName>
    <definedName name="_RBR1" localSheetId="0">#REF!</definedName>
    <definedName name="_RBR1">#REF!</definedName>
    <definedName name="_RBR2" localSheetId="0">#REF!</definedName>
    <definedName name="_RBR2">#REF!</definedName>
    <definedName name="_RCA1" localSheetId="0">#REF!</definedName>
    <definedName name="_RCA1">#REF!</definedName>
    <definedName name="_RCA2" localSheetId="0">#REF!</definedName>
    <definedName name="_RCA2">#REF!</definedName>
    <definedName name="_Regression_Int">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ndimento" localSheetId="0">#REF!</definedName>
    <definedName name="_Rendimento">#REF!</definedName>
    <definedName name="_req_no" localSheetId="0">#REF!</definedName>
    <definedName name="_req_no">#REF!</definedName>
    <definedName name="_RetentionTimeNormD" localSheetId="0">#REF!</definedName>
    <definedName name="_RetentionTimeNormD">#REF!</definedName>
    <definedName name="_RetentionTimeNormO" localSheetId="0">#REF!</definedName>
    <definedName name="_RetentionTimeNormO">#REF!</definedName>
    <definedName name="_RetentionTimeNormS">#REF!</definedName>
    <definedName name="_rev">#REF!</definedName>
    <definedName name="_rev." localSheetId="0">#REF!</definedName>
    <definedName name="_rev.">#REF!</definedName>
    <definedName name="_sap1403" localSheetId="0">#REF!</definedName>
    <definedName name="_sap1403">#REF!</definedName>
    <definedName name="_SERIAL_NO" localSheetId="0">#REF!</definedName>
    <definedName name="_SERIAL_NO">#REF!</definedName>
    <definedName name="_service" localSheetId="0">#REF!</definedName>
    <definedName name="_service">#REF!</definedName>
    <definedName name="_ServiceDescD" localSheetId="0">#REF!</definedName>
    <definedName name="_ServiceDescD">#REF!</definedName>
    <definedName name="_ServiceDescO" localSheetId="0">#REF!</definedName>
    <definedName name="_ServiceDescO">#REF!</definedName>
    <definedName name="_ServiceDescS">#REF!</definedName>
    <definedName name="_sheet_no">#REF!</definedName>
    <definedName name="_ShellFloorD">#REF!</definedName>
    <definedName name="_ShellFloorO">#REF!</definedName>
    <definedName name="_ShellFloorS">#REF!</definedName>
    <definedName name="_SolidsConcD">#REF!</definedName>
    <definedName name="_SolidsConcO">#REF!</definedName>
    <definedName name="_SolidsConcS">#REF!</definedName>
    <definedName name="_Sort" localSheetId="2" hidden="1">#REF!</definedName>
    <definedName name="_Sort" hidden="1">#REF!</definedName>
    <definedName name="_sp_">" "</definedName>
    <definedName name="_SpecificationD" localSheetId="0">#REF!</definedName>
    <definedName name="_SpecificationD">#REF!</definedName>
    <definedName name="_SpecificationO" localSheetId="0">#REF!</definedName>
    <definedName name="_SpecificationO">#REF!</definedName>
    <definedName name="_SpecificationS" localSheetId="0">#REF!</definedName>
    <definedName name="_SpecificationS">#REF!</definedName>
    <definedName name="_StructDesCriteriaD">#REF!</definedName>
    <definedName name="_StructDesCriteriaO">#REF!</definedName>
    <definedName name="_StructDesCriteriaS">#REF!</definedName>
    <definedName name="_Subestação" localSheetId="0">#REF!</definedName>
    <definedName name="_Subestação">#REF!</definedName>
    <definedName name="_tab1" localSheetId="2">#REF!</definedName>
    <definedName name="_tab1">#REF!</definedName>
    <definedName name="_tabelaDenominação" localSheetId="0">#REF!</definedName>
    <definedName name="_tabelaDenominação">#REF!</definedName>
    <definedName name="_Tag_Carga" localSheetId="0">#REF!</definedName>
    <definedName name="_Tag_Carga">#REF!</definedName>
    <definedName name="_Tag_CCM" localSheetId="0">#REF!</definedName>
    <definedName name="_Tag_CCM">#REF!</definedName>
    <definedName name="_tag_no">#REF!</definedName>
    <definedName name="_TankNozlD">#REF!</definedName>
    <definedName name="_TankNozlO">#REF!</definedName>
    <definedName name="_TankNozlS">#REF!</definedName>
    <definedName name="_ti1" localSheetId="0">#REF!</definedName>
    <definedName name="_ti1">#REF!</definedName>
    <definedName name="_Titulos_Impressão_IM" localSheetId="0">#REF!</definedName>
    <definedName name="_Titulos_Impressão_IM">#REF!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yl2" localSheetId="0" hidden="1">{#N/A,#N/A,FALSE,"masez (10)";#N/A,#N/A,FALSE,"masez (7)";#N/A,#N/A,FALSE,"masez (6)";#N/A,#N/A,FALSE,"masez (5)";#N/A,#N/A,FALSE,"masez (4)";#N/A,#N/A,FALSE,"masez (3)";#N/A,#N/A,FALSE,"masez (2)";#N/A,#N/A,FALSE,"GME";#N/A,#N/A,FALSE,"masez"}</definedName>
    <definedName name="_tyl2" localSheetId="2"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TYPE" localSheetId="0">#REF!</definedName>
    <definedName name="_TYPE">#REF!</definedName>
    <definedName name="_VE3" localSheetId="0">#REF!</definedName>
    <definedName name="_VE3">#REF!</definedName>
    <definedName name="_VE4" localSheetId="0">#REF!</definedName>
    <definedName name="_VE4">#REF!</definedName>
    <definedName name="_VE5">#REF!</definedName>
    <definedName name="_VE6">#REF!</definedName>
    <definedName name="_VO1">#REF!</definedName>
    <definedName name="_VV9">#REF!</definedName>
    <definedName name="_WBS1000" localSheetId="0">#REF!</definedName>
    <definedName name="_WBS1000">#REF!</definedName>
    <definedName name="_WBS2000" localSheetId="0">#REF!</definedName>
    <definedName name="_WBS2000">#REF!</definedName>
    <definedName name="_WBS3000" localSheetId="0">#REF!</definedName>
    <definedName name="_WBS3000">#REF!</definedName>
    <definedName name="_WBS4000" localSheetId="0">#REF!</definedName>
    <definedName name="_WBS4000">#REF!</definedName>
    <definedName name="_WBS5000" localSheetId="0">#REF!</definedName>
    <definedName name="_WBS5000">#REF!</definedName>
    <definedName name="_wrn.pendencias" localSheetId="0" hidden="1">{#N/A,#N/A,FALSE,"GERAL";#N/A,#N/A,FALSE,"012-96";#N/A,#N/A,FALSE,"018-96";#N/A,#N/A,FALSE,"027-96";#N/A,#N/A,FALSE,"059-96";#N/A,#N/A,FALSE,"076-96";#N/A,#N/A,FALSE,"019-97";#N/A,#N/A,FALSE,"021-97";#N/A,#N/A,FALSE,"022-97";#N/A,#N/A,FALSE,"028-97"}</definedName>
    <definedName name="_wrn.pendencias" localSheetId="2"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_wrn1" localSheetId="0" hidden="1">{#N/A,#N/A,TRUE,"Est. de Fact.";#N/A,#N/A,TRUE,"Capitulo 19";#N/A,#N/A,TRUE,"Proyecto P855"}</definedName>
    <definedName name="_wrn1" localSheetId="2" hidden="1">{#N/A,#N/A,TRUE,"Est. de Fact.";#N/A,#N/A,TRUE,"Capitulo 19";#N/A,#N/A,TRUE,"Proyecto P855"}</definedName>
    <definedName name="_wrn1" hidden="1">{#N/A,#N/A,TRUE,"Est. de Fact.";#N/A,#N/A,TRUE,"Capitulo 19";#N/A,#N/A,TRUE,"Proyecto P855"}</definedName>
    <definedName name="_wrn2" localSheetId="0" hidden="1">{#N/A,#N/A,TRUE,"Est. de Fact.";#N/A,#N/A,TRUE,"Capitulo 19";#N/A,#N/A,TRUE,"Proyecto P855"}</definedName>
    <definedName name="_wrn2" localSheetId="2" hidden="1">{#N/A,#N/A,TRUE,"Est. de Fact.";#N/A,#N/A,TRUE,"Capitulo 19";#N/A,#N/A,TRUE,"Proyecto P855"}</definedName>
    <definedName name="_wrn2" hidden="1">{#N/A,#N/A,TRUE,"Est. de Fact.";#N/A,#N/A,TRUE,"Capitulo 19";#N/A,#N/A,TRUE,"Proyecto P855"}</definedName>
    <definedName name="_wrn3" localSheetId="0" hidden="1">{#N/A,#N/A,FALSE,"Total_OC015";#N/A,#N/A,FALSE,"ADMIN";#N/A,#N/A,FALSE,"PROCES";#N/A,#N/A,FALSE,"mecan";#N/A,#N/A,FALSE,"civil";#N/A,#N/A,FALSE,"CAÑER";#N/A,#N/A,FALSE,"ELEC";#N/A,#N/A,FALSE,"INSTR"}</definedName>
    <definedName name="_wrn3" localSheetId="2"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0" hidden="1">{#N/A,#N/A,FALSE,"minas";#N/A,#N/A,FALSE,"Total_OC015";#N/A,#N/A,FALSE,"ADMIN";#N/A,#N/A,FALSE,"PROCES";#N/A,#N/A,FALSE,"civil";#N/A,#N/A,FALSE,"CAÑER";#N/A,#N/A,FALSE,"ELEC";#N/A,#N/A,FALSE,"INSTR";#N/A,#N/A,FALSE,"PDS";#N/A,#N/A,FALSE,"mecan"}</definedName>
    <definedName name="_wrn5" localSheetId="2"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 localSheetId="0">#REF!</definedName>
    <definedName name="_X">#REF!</definedName>
    <definedName name="_XXX">#N/A</definedName>
    <definedName name="_zx2" localSheetId="0" hidden="1">{#N/A,#N/A,FALSE,"masez (10)";#N/A,#N/A,FALSE,"masez (7)";#N/A,#N/A,FALSE,"masez (6)";#N/A,#N/A,FALSE,"masez (5)";#N/A,#N/A,FALSE,"masez (4)";#N/A,#N/A,FALSE,"masez (3)";#N/A,#N/A,FALSE,"masez (2)";#N/A,#N/A,FALSE,"GME";#N/A,#N/A,FALSE,"masez"}</definedName>
    <definedName name="_zx2" localSheetId="2"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 localSheetId="0">#REF!</definedName>
    <definedName name="A">#REF!</definedName>
    <definedName name="A__4" localSheetId="0">#REF!</definedName>
    <definedName name="A__4">#REF!</definedName>
    <definedName name="A__5" localSheetId="0">#REF!</definedName>
    <definedName name="A__5">#REF!</definedName>
    <definedName name="A__INICIO" localSheetId="0">#REF!</definedName>
    <definedName name="A__INICIO">#REF!</definedName>
    <definedName name="A_1">#REF!</definedName>
    <definedName name="a_dois" localSheetId="0">#REF!</definedName>
    <definedName name="a_dois">#REF!</definedName>
    <definedName name="A_impresión_IM" localSheetId="0">#REF!</definedName>
    <definedName name="A_impresión_IM">#REF!</definedName>
    <definedName name="A_km" localSheetId="0">#REF!</definedName>
    <definedName name="A_km">#REF!</definedName>
    <definedName name="a_quatro" localSheetId="0">#REF!</definedName>
    <definedName name="a_quatro">#REF!</definedName>
    <definedName name="a_tres" localSheetId="0">#REF!</definedName>
    <definedName name="a_tres">#REF!</definedName>
    <definedName name="a_um" localSheetId="0">#REF!</definedName>
    <definedName name="a_um">#REF!</definedName>
    <definedName name="a_um_equiv" localSheetId="0">#REF!</definedName>
    <definedName name="a_um_equiv">#REF!</definedName>
    <definedName name="a_zero" localSheetId="0">#REF!</definedName>
    <definedName name="a_zero">#REF!</definedName>
    <definedName name="A1Eq" localSheetId="0">#REF!</definedName>
    <definedName name="A1Eq">#REF!</definedName>
    <definedName name="A1OO" localSheetId="0">#REF!</definedName>
    <definedName name="A1OO">#REF!</definedName>
    <definedName name="A92700_1" localSheetId="0">#REF!</definedName>
    <definedName name="A92700_1">#REF!</definedName>
    <definedName name="AA" localSheetId="0" hidden="1">{#N/A,#N/A,FALSE,"GERAL";#N/A,#N/A,FALSE,"012-96";#N/A,#N/A,FALSE,"018-96";#N/A,#N/A,FALSE,"027-96";#N/A,#N/A,FALSE,"059-96";#N/A,#N/A,FALSE,"076-96";#N/A,#N/A,FALSE,"019-97";#N/A,#N/A,FALSE,"021-97";#N/A,#N/A,FALSE,"022-97";#N/A,#N/A,FALSE,"028-97"}</definedName>
    <definedName name="AA" localSheetId="2" hidden="1">{#N/A,#N/A,FALSE,"GERAL";#N/A,#N/A,FALSE,"012-96";#N/A,#N/A,FALSE,"018-96";#N/A,#N/A,FALSE,"027-96";#N/A,#N/A,FALSE,"059-96";#N/A,#N/A,FALSE,"076-96";#N/A,#N/A,FALSE,"019-97";#N/A,#N/A,FALSE,"021-97";#N/A,#N/A,FALSE,"022-97";#N/A,#N/A,FALSE,"028-97"}</definedName>
    <definedName name="AA" hidden="1">{#N/A,#N/A,FALSE,"GERAL";#N/A,#N/A,FALSE,"012-96";#N/A,#N/A,FALSE,"018-96";#N/A,#N/A,FALSE,"027-96";#N/A,#N/A,FALSE,"059-96";#N/A,#N/A,FALSE,"076-96";#N/A,#N/A,FALSE,"019-97";#N/A,#N/A,FALSE,"021-97";#N/A,#N/A,FALSE,"022-97";#N/A,#N/A,FALSE,"028-97"}</definedName>
    <definedName name="AA1OO" localSheetId="0">#REF!</definedName>
    <definedName name="AA1OO">#REF!</definedName>
    <definedName name="aaa" localSheetId="0" hidden="1">{#N/A,#N/A,FALSE,"ET-CAPA";#N/A,#N/A,FALSE,"ET-PAG1";#N/A,#N/A,FALSE,"ET-PAG2";#N/A,#N/A,FALSE,"ET-PAG3";#N/A,#N/A,FALSE,"ET-PAG4";#N/A,#N/A,FALSE,"ET-PAG5"}</definedName>
    <definedName name="aaa" localSheetId="2" hidden="1">{#N/A,#N/A,FALSE,"ET-CAPA";#N/A,#N/A,FALSE,"ET-PAG1";#N/A,#N/A,FALSE,"ET-PAG2";#N/A,#N/A,FALSE,"ET-PAG3";#N/A,#N/A,FALSE,"ET-PAG4";#N/A,#N/A,FALSE,"ET-PAG5"}</definedName>
    <definedName name="aaa" hidden="1">{#N/A,#N/A,FALSE,"ET-CAPA";#N/A,#N/A,FALSE,"ET-PAG1";#N/A,#N/A,FALSE,"ET-PAG2";#N/A,#N/A,FALSE,"ET-PAG3";#N/A,#N/A,FALSE,"ET-PAG4";#N/A,#N/A,FALSE,"ET-PAG5"}</definedName>
    <definedName name="aaaa" localSheetId="0">#REF!</definedName>
    <definedName name="aaaa">#REF!</definedName>
    <definedName name="aaaa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"Grupo 1276"</definedName>
    <definedName name="aaaaaaaa" localSheetId="0" hidden="1">{#N/A,#N/A,FALSE,"minas";#N/A,#N/A,FALSE,"Total_OC015";#N/A,#N/A,FALSE,"ADMIN";#N/A,#N/A,FALSE,"PROCES";#N/A,#N/A,FALSE,"civil";#N/A,#N/A,FALSE,"CAÑER";#N/A,#N/A,FALSE,"ELEC";#N/A,#N/A,FALSE,"INSTR";#N/A,#N/A,FALSE,"PDS";#N/A,#N/A,FALSE,"mecan"}</definedName>
    <definedName name="aaaaaaaa" localSheetId="2" hidden="1">{#N/A,#N/A,FALSE,"minas";#N/A,#N/A,FALSE,"Total_OC015";#N/A,#N/A,FALSE,"ADMIN";#N/A,#N/A,FALSE,"PROCES";#N/A,#N/A,FALSE,"civil";#N/A,#N/A,FALSE,"CAÑER";#N/A,#N/A,FALSE,"ELEC";#N/A,#N/A,FALSE,"INSTR";#N/A,#N/A,FALSE,"PDS";#N/A,#N/A,FALSE,"mecan"}</definedName>
    <definedName name="aaaaaaaa" hidden="1">{#N/A,#N/A,FALSE,"minas";#N/A,#N/A,FALSE,"Total_OC015";#N/A,#N/A,FALSE,"ADMIN";#N/A,#N/A,FALSE,"PROCES";#N/A,#N/A,FALSE,"civil";#N/A,#N/A,FALSE,"CAÑER";#N/A,#N/A,FALSE,"ELEC";#N/A,#N/A,FALSE,"INSTR";#N/A,#N/A,FALSE,"PDS";#N/A,#N/A,FALSE,"mecan"}</definedName>
    <definedName name="aaaaaaaa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aa" localSheetId="0" hidden="1">#REF!</definedName>
    <definedName name="aaaaaaaaaaa" hidden="1">#REF!</definedName>
    <definedName name="ab" localSheetId="0" hidden="1">{#N/A,#N/A,FALSE,"masez (10)";#N/A,#N/A,FALSE,"masez (7)";#N/A,#N/A,FALSE,"masez (6)";#N/A,#N/A,FALSE,"masez (5)";#N/A,#N/A,FALSE,"masez (4)";#N/A,#N/A,FALSE,"masez (3)";#N/A,#N/A,FALSE,"masez (2)";#N/A,#N/A,FALSE,"GME";#N/A,#N/A,FALSE,"masez"}</definedName>
    <definedName name="ab" localSheetId="2" hidden="1">{#N/A,#N/A,FALSE,"masez (10)";#N/A,#N/A,FALSE,"masez (7)";#N/A,#N/A,FALSE,"masez (6)";#N/A,#N/A,FALSE,"masez (5)";#N/A,#N/A,FALSE,"masez (4)";#N/A,#N/A,FALSE,"masez (3)";#N/A,#N/A,FALSE,"masez (2)";#N/A,#N/A,FALSE,"GME";#N/A,#N/A,FALSE,"masez"}</definedName>
    <definedName name="ab" hidden="1">{#N/A,#N/A,FALSE,"masez (10)";#N/A,#N/A,FALSE,"masez (7)";#N/A,#N/A,FALSE,"masez (6)";#N/A,#N/A,FALSE,"masez (5)";#N/A,#N/A,FALSE,"masez (4)";#N/A,#N/A,FALSE,"masez (3)";#N/A,#N/A,FALSE,"masez (2)";#N/A,#N/A,FALSE,"GME";#N/A,#N/A,FALSE,"masez"}</definedName>
    <definedName name="ABARTH" localSheetId="0" hidden="1">{#N/A,#N/A,FALSE,"TEC-01";#N/A,#N/A,FALSE,"TEC - 02";#N/A,#N/A,FALSE,"TEC - 03";#N/A,#N/A,FALSE,"TEC - 04";#N/A,#N/A,FALSE,"TEC-07";#N/A,#N/A,FALSE,"TEC-08";#N/A,#N/A,FALSE,"TEC - 09A";#N/A,#N/A,FALSE,"TEC - 09B";#N/A,#N/A,FALSE,"TEC - 09C";#N/A,#N/A,FALSE,"TEC - 10";#N/A,#N/A,FALSE,"TEC-11"}</definedName>
    <definedName name="ABARTH" localSheetId="2" hidden="1">{#N/A,#N/A,FALSE,"TEC-01";#N/A,#N/A,FALSE,"TEC - 02";#N/A,#N/A,FALSE,"TEC - 03";#N/A,#N/A,FALSE,"TEC - 04";#N/A,#N/A,FALSE,"TEC-07";#N/A,#N/A,FALSE,"TEC-08";#N/A,#N/A,FALSE,"TEC - 09A";#N/A,#N/A,FALSE,"TEC - 09B";#N/A,#N/A,FALSE,"TEC - 09C";#N/A,#N/A,FALSE,"TEC - 10";#N/A,#N/A,FALSE,"TEC-11"}</definedName>
    <definedName name="ABARTH" hidden="1">{#N/A,#N/A,FALSE,"TEC-01";#N/A,#N/A,FALSE,"TEC - 02";#N/A,#N/A,FALSE,"TEC - 03";#N/A,#N/A,FALSE,"TEC - 04";#N/A,#N/A,FALSE,"TEC-07";#N/A,#N/A,FALSE,"TEC-08";#N/A,#N/A,FALSE,"TEC - 09A";#N/A,#N/A,FALSE,"TEC - 09B";#N/A,#N/A,FALSE,"TEC - 09C";#N/A,#N/A,FALSE,"TEC - 10";#N/A,#N/A,FALSE,"TEC-11"}</definedName>
    <definedName name="ABC" localSheetId="0" hidden="1">{#N/A,#N/A,FALSE,"ET-CAPA";#N/A,#N/A,FALSE,"ET-PAG1";#N/A,#N/A,FALSE,"ET-PAG2";#N/A,#N/A,FALSE,"ET-PAG3";#N/A,#N/A,FALSE,"ET-PAG4";#N/A,#N/A,FALSE,"ET-PAG5"}</definedName>
    <definedName name="ABC" localSheetId="2" hidden="1">{#N/A,#N/A,FALSE,"ET-CAPA";#N/A,#N/A,FALSE,"ET-PAG1";#N/A,#N/A,FALSE,"ET-PAG2";#N/A,#N/A,FALSE,"ET-PAG3";#N/A,#N/A,FALSE,"ET-PAG4";#N/A,#N/A,FALSE,"ET-PAG5"}</definedName>
    <definedName name="ABC" hidden="1">{#N/A,#N/A,FALSE,"ET-CAPA";#N/A,#N/A,FALSE,"ET-PAG1";#N/A,#N/A,FALSE,"ET-PAG2";#N/A,#N/A,FALSE,"ET-PAG3";#N/A,#N/A,FALSE,"ET-PAG4";#N/A,#N/A,FALSE,"ET-PAG5"}</definedName>
    <definedName name="ABCD" localSheetId="0">#REF!</definedName>
    <definedName name="ABCD">#REF!</definedName>
    <definedName name="abono_ano" localSheetId="0">#REF!</definedName>
    <definedName name="abono_ano">#REF!</definedName>
    <definedName name="AC010_" localSheetId="0">#REF!</definedName>
    <definedName name="AC010_">#REF!</definedName>
    <definedName name="AC020_" localSheetId="0">#REF!</definedName>
    <definedName name="AC020_">#REF!</definedName>
    <definedName name="AC030_" localSheetId="0">#REF!</definedName>
    <definedName name="AC030_">#REF!</definedName>
    <definedName name="AC040_" localSheetId="0">#REF!</definedName>
    <definedName name="AC040_">#REF!</definedName>
    <definedName name="AC050_" localSheetId="0">#REF!</definedName>
    <definedName name="AC050_">#REF!</definedName>
    <definedName name="AC060_" localSheetId="0">#REF!</definedName>
    <definedName name="AC060_">#REF!</definedName>
    <definedName name="AC070_" localSheetId="0">#REF!</definedName>
    <definedName name="AC070_">#REF!</definedName>
    <definedName name="AC080_" localSheetId="0">#REF!</definedName>
    <definedName name="AC080_">#REF!</definedName>
    <definedName name="AC090_" localSheetId="0">#REF!</definedName>
    <definedName name="AC090_">#REF!</definedName>
    <definedName name="AC100_" localSheetId="0">#REF!</definedName>
    <definedName name="AC100_">#REF!</definedName>
    <definedName name="AC110_" localSheetId="0">#REF!</definedName>
    <definedName name="AC110_">#REF!</definedName>
    <definedName name="AC120_" localSheetId="0">#REF!</definedName>
    <definedName name="AC120_">#REF!</definedName>
    <definedName name="AC130_" localSheetId="0">#REF!</definedName>
    <definedName name="AC130_">#REF!</definedName>
    <definedName name="AC140_" localSheetId="0">#REF!</definedName>
    <definedName name="AC140_">#REF!</definedName>
    <definedName name="AC150_" localSheetId="0">#REF!</definedName>
    <definedName name="AC150_">#REF!</definedName>
    <definedName name="AC160_" localSheetId="0">#REF!</definedName>
    <definedName name="AC160_">#REF!</definedName>
    <definedName name="AC170_" localSheetId="0">#REF!</definedName>
    <definedName name="AC170_">#REF!</definedName>
    <definedName name="AC180_" localSheetId="0">#REF!</definedName>
    <definedName name="AC180_">#REF!</definedName>
    <definedName name="AC190_" localSheetId="0">#REF!</definedName>
    <definedName name="AC190_">#REF!</definedName>
    <definedName name="AC200_" localSheetId="0">#REF!</definedName>
    <definedName name="AC200_">#REF!</definedName>
    <definedName name="AC210_" localSheetId="0">#REF!</definedName>
    <definedName name="AC210_">#REF!</definedName>
    <definedName name="AC220_" localSheetId="0">#REF!</definedName>
    <definedName name="AC220_">#REF!</definedName>
    <definedName name="AC230_" localSheetId="0">#REF!</definedName>
    <definedName name="AC230_">#REF!</definedName>
    <definedName name="AC920_" localSheetId="0">#REF!</definedName>
    <definedName name="AC920_">#REF!</definedName>
    <definedName name="AC940_" localSheetId="0">#REF!</definedName>
    <definedName name="AC940_">#REF!</definedName>
    <definedName name="AC950_" localSheetId="0">#REF!</definedName>
    <definedName name="AC950_">#REF!</definedName>
    <definedName name="AC960_" localSheetId="0">#REF!</definedName>
    <definedName name="AC960_">#REF!</definedName>
    <definedName name="AC970_" localSheetId="0">#REF!</definedName>
    <definedName name="AC970_">#REF!</definedName>
    <definedName name="Ação" localSheetId="0">#REF!</definedName>
    <definedName name="Ação">#REF!</definedName>
    <definedName name="Accom_BR" localSheetId="0">#REF!</definedName>
    <definedName name="Accom_BR">#REF!</definedName>
    <definedName name="Accom_SAF">#REF!</definedName>
    <definedName name="AÇO_TRILHO">#REF!</definedName>
    <definedName name="ACON" localSheetId="0">#REF!</definedName>
    <definedName name="ACON">#REF!</definedName>
    <definedName name="acres" localSheetId="0">#REF!</definedName>
    <definedName name="acres">#REF!</definedName>
    <definedName name="ACT" localSheetId="0">#REF!</definedName>
    <definedName name="ACT">#REF!</definedName>
    <definedName name="ActivityType" localSheetId="0">#REF!</definedName>
    <definedName name="ActivityType">#REF!</definedName>
    <definedName name="ActivityTypes" localSheetId="0">#REF!</definedName>
    <definedName name="ActivityTypes">#REF!</definedName>
    <definedName name="Actual" localSheetId="0">#REF!</definedName>
    <definedName name="Actual">#REF!</definedName>
    <definedName name="Actual_Cum_Cost_Summary" localSheetId="0">#REF!</definedName>
    <definedName name="Actual_Cum_Cost_Summary">#REF!</definedName>
    <definedName name="Actual_Cum_Mhrs_Summary" localSheetId="0">#REF!</definedName>
    <definedName name="Actual_Cum_Mhrs_Summary">#REF!</definedName>
    <definedName name="actual_rate" localSheetId="0">#REF!</definedName>
    <definedName name="actual_rate">#REF!</definedName>
    <definedName name="adad" localSheetId="0">#REF!</definedName>
    <definedName name="adad">#REF!</definedName>
    <definedName name="ADD" localSheetId="0">#REF!</definedName>
    <definedName name="ADD">#REF!</definedName>
    <definedName name="AddProjectFees" localSheetId="0">#REF!</definedName>
    <definedName name="AddProjectFees">#REF!</definedName>
    <definedName name="ADEQUAÇÃO" localSheetId="0">#REF!</definedName>
    <definedName name="ADEQUAÇÃO">#REF!</definedName>
    <definedName name="adf" localSheetId="0">#REF!</definedName>
    <definedName name="adf">#REF!</definedName>
    <definedName name="adfdfa" localSheetId="0" hidden="1">{#N/A,#N/A,FALSE,"GERAL";#N/A,#N/A,FALSE,"012-96";#N/A,#N/A,FALSE,"018-96";#N/A,#N/A,FALSE,"027-96";#N/A,#N/A,FALSE,"059-96";#N/A,#N/A,FALSE,"076-96";#N/A,#N/A,FALSE,"019-97";#N/A,#N/A,FALSE,"021-97";#N/A,#N/A,FALSE,"022-97";#N/A,#N/A,FALSE,"028-97"}</definedName>
    <definedName name="adfdfa" localSheetId="2" hidden="1">{#N/A,#N/A,FALSE,"GERAL";#N/A,#N/A,FALSE,"012-96";#N/A,#N/A,FALSE,"018-96";#N/A,#N/A,FALSE,"027-96";#N/A,#N/A,FALSE,"059-96";#N/A,#N/A,FALSE,"076-96";#N/A,#N/A,FALSE,"019-97";#N/A,#N/A,FALSE,"021-97";#N/A,#N/A,FALSE,"022-97";#N/A,#N/A,FALSE,"028-97"}</definedName>
    <definedName name="adfdfa" hidden="1">{#N/A,#N/A,FALSE,"GERAL";#N/A,#N/A,FALSE,"012-96";#N/A,#N/A,FALSE,"018-96";#N/A,#N/A,FALSE,"027-96";#N/A,#N/A,FALSE,"059-96";#N/A,#N/A,FALSE,"076-96";#N/A,#N/A,FALSE,"019-97";#N/A,#N/A,FALSE,"021-97";#N/A,#N/A,FALSE,"022-97";#N/A,#N/A,FALSE,"028-97"}</definedName>
    <definedName name="adicional_eixo" localSheetId="0">#REF!</definedName>
    <definedName name="adicional_eixo">#REF!</definedName>
    <definedName name="ADM" localSheetId="0">#REF!</definedName>
    <definedName name="ADM">#REF!</definedName>
    <definedName name="Adm.Central" localSheetId="0">#REF!</definedName>
    <definedName name="Adm.Central">#REF!</definedName>
    <definedName name="Adm.Local" localSheetId="0">#REF!</definedName>
    <definedName name="Adm.Local">#REF!</definedName>
    <definedName name="Adm_Fee">#REF!</definedName>
    <definedName name="ADMINISTRAÇÃO_DO_SITE" localSheetId="0">#REF!</definedName>
    <definedName name="ADMINISTRAÇÃO_DO_SITE">#REF!</definedName>
    <definedName name="Administracion_de_la_Construccion" localSheetId="0">#REF!</definedName>
    <definedName name="Administracion_de_la_Construccion">#REF!</definedName>
    <definedName name="adsf" localSheetId="0">#REF!</definedName>
    <definedName name="adsf">#REF!</definedName>
    <definedName name="adsfad" localSheetId="0" hidden="1">{#N/A,#N/A,FALSE,"GERAL";#N/A,#N/A,FALSE,"012-96";#N/A,#N/A,FALSE,"018-96";#N/A,#N/A,FALSE,"027-96";#N/A,#N/A,FALSE,"059-96";#N/A,#N/A,FALSE,"076-96";#N/A,#N/A,FALSE,"019-97";#N/A,#N/A,FALSE,"021-97";#N/A,#N/A,FALSE,"022-97";#N/A,#N/A,FALSE,"028-97"}</definedName>
    <definedName name="adsfad" localSheetId="2" hidden="1">{#N/A,#N/A,FALSE,"GERAL";#N/A,#N/A,FALSE,"012-96";#N/A,#N/A,FALSE,"018-96";#N/A,#N/A,FALSE,"027-96";#N/A,#N/A,FALSE,"059-96";#N/A,#N/A,FALSE,"076-96";#N/A,#N/A,FALSE,"019-97";#N/A,#N/A,FALSE,"021-97";#N/A,#N/A,FALSE,"022-97";#N/A,#N/A,FALSE,"028-97"}</definedName>
    <definedName name="adsfad" hidden="1">{#N/A,#N/A,FALSE,"GERAL";#N/A,#N/A,FALSE,"012-96";#N/A,#N/A,FALSE,"018-96";#N/A,#N/A,FALSE,"027-96";#N/A,#N/A,FALSE,"059-96";#N/A,#N/A,FALSE,"076-96";#N/A,#N/A,FALSE,"019-97";#N/A,#N/A,FALSE,"021-97";#N/A,#N/A,FALSE,"022-97";#N/A,#N/A,FALSE,"028-97"}</definedName>
    <definedName name="AF" localSheetId="0">#REF!</definedName>
    <definedName name="AF">#REF!</definedName>
    <definedName name="afdfd" localSheetId="0" hidden="1">{#N/A,#N/A,FALSE,"GERAL";#N/A,#N/A,FALSE,"012-96";#N/A,#N/A,FALSE,"018-96";#N/A,#N/A,FALSE,"027-96";#N/A,#N/A,FALSE,"059-96";#N/A,#N/A,FALSE,"076-96";#N/A,#N/A,FALSE,"019-97";#N/A,#N/A,FALSE,"021-97";#N/A,#N/A,FALSE,"022-97";#N/A,#N/A,FALSE,"028-97"}</definedName>
    <definedName name="afdfd" localSheetId="2" hidden="1">{#N/A,#N/A,FALSE,"GERAL";#N/A,#N/A,FALSE,"012-96";#N/A,#N/A,FALSE,"018-96";#N/A,#N/A,FALSE,"027-96";#N/A,#N/A,FALSE,"059-96";#N/A,#N/A,FALSE,"076-96";#N/A,#N/A,FALSE,"019-97";#N/A,#N/A,FALSE,"021-97";#N/A,#N/A,FALSE,"022-97";#N/A,#N/A,FALSE,"028-97"}</definedName>
    <definedName name="afdfd" hidden="1">{#N/A,#N/A,FALSE,"GERAL";#N/A,#N/A,FALSE,"012-96";#N/A,#N/A,FALSE,"018-96";#N/A,#N/A,FALSE,"027-96";#N/A,#N/A,FALSE,"059-96";#N/A,#N/A,FALSE,"076-96";#N/A,#N/A,FALSE,"019-97";#N/A,#N/A,FALSE,"021-97";#N/A,#N/A,FALSE,"022-97";#N/A,#N/A,FALSE,"028-97"}</definedName>
    <definedName name="afs"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fs"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f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ga" localSheetId="0" hidden="1">{#N/A,#N/A,FALSE,"GERAL";#N/A,#N/A,FALSE,"012-96";#N/A,#N/A,FALSE,"018-96";#N/A,#N/A,FALSE,"027-96";#N/A,#N/A,FALSE,"059-96";#N/A,#N/A,FALSE,"076-96";#N/A,#N/A,FALSE,"019-97";#N/A,#N/A,FALSE,"021-97";#N/A,#N/A,FALSE,"022-97";#N/A,#N/A,FALSE,"028-97"}</definedName>
    <definedName name="aga" localSheetId="2" hidden="1">{#N/A,#N/A,FALSE,"GERAL";#N/A,#N/A,FALSE,"012-96";#N/A,#N/A,FALSE,"018-96";#N/A,#N/A,FALSE,"027-96";#N/A,#N/A,FALSE,"059-96";#N/A,#N/A,FALSE,"076-96";#N/A,#N/A,FALSE,"019-97";#N/A,#N/A,FALSE,"021-97";#N/A,#N/A,FALSE,"022-97";#N/A,#N/A,FALSE,"028-97"}</definedName>
    <definedName name="aga" hidden="1">{#N/A,#N/A,FALSE,"GERAL";#N/A,#N/A,FALSE,"012-96";#N/A,#N/A,FALSE,"018-96";#N/A,#N/A,FALSE,"027-96";#N/A,#N/A,FALSE,"059-96";#N/A,#N/A,FALSE,"076-96";#N/A,#N/A,FALSE,"019-97";#N/A,#N/A,FALSE,"021-97";#N/A,#N/A,FALSE,"022-97";#N/A,#N/A,FALSE,"028-97"}</definedName>
    <definedName name="agdadf" localSheetId="0" hidden="1">{#N/A,#N/A,FALSE,"GERAL";#N/A,#N/A,FALSE,"012-96";#N/A,#N/A,FALSE,"018-96";#N/A,#N/A,FALSE,"027-96";#N/A,#N/A,FALSE,"059-96";#N/A,#N/A,FALSE,"076-96";#N/A,#N/A,FALSE,"019-97";#N/A,#N/A,FALSE,"021-97";#N/A,#N/A,FALSE,"022-97";#N/A,#N/A,FALSE,"028-97"}</definedName>
    <definedName name="agdadf" localSheetId="2" hidden="1">{#N/A,#N/A,FALSE,"GERAL";#N/A,#N/A,FALSE,"012-96";#N/A,#N/A,FALSE,"018-96";#N/A,#N/A,FALSE,"027-96";#N/A,#N/A,FALSE,"059-96";#N/A,#N/A,FALSE,"076-96";#N/A,#N/A,FALSE,"019-97";#N/A,#N/A,FALSE,"021-97";#N/A,#N/A,FALSE,"022-97";#N/A,#N/A,FALSE,"028-97"}</definedName>
    <definedName name="agdadf" hidden="1">{#N/A,#N/A,FALSE,"GERAL";#N/A,#N/A,FALSE,"012-96";#N/A,#N/A,FALSE,"018-96";#N/A,#N/A,FALSE,"027-96";#N/A,#N/A,FALSE,"059-96";#N/A,#N/A,FALSE,"076-96";#N/A,#N/A,FALSE,"019-97";#N/A,#N/A,FALSE,"021-97";#N/A,#N/A,FALSE,"022-97";#N/A,#N/A,FALSE,"028-97"}</definedName>
    <definedName name="Agen" localSheetId="0">#REF!</definedName>
    <definedName name="Agen">#REF!</definedName>
    <definedName name="Agency" localSheetId="0">#REF!</definedName>
    <definedName name="Agency">#REF!</definedName>
    <definedName name="agga" localSheetId="0" hidden="1">{#N/A,#N/A,FALSE,"GERAL";#N/A,#N/A,FALSE,"012-96";#N/A,#N/A,FALSE,"018-96";#N/A,#N/A,FALSE,"027-96";#N/A,#N/A,FALSE,"059-96";#N/A,#N/A,FALSE,"076-96";#N/A,#N/A,FALSE,"019-97";#N/A,#N/A,FALSE,"021-97";#N/A,#N/A,FALSE,"022-97";#N/A,#N/A,FALSE,"028-97"}</definedName>
    <definedName name="agga" localSheetId="2" hidden="1">{#N/A,#N/A,FALSE,"GERAL";#N/A,#N/A,FALSE,"012-96";#N/A,#N/A,FALSE,"018-96";#N/A,#N/A,FALSE,"027-96";#N/A,#N/A,FALSE,"059-96";#N/A,#N/A,FALSE,"076-96";#N/A,#N/A,FALSE,"019-97";#N/A,#N/A,FALSE,"021-97";#N/A,#N/A,FALSE,"022-97";#N/A,#N/A,FALSE,"028-97"}</definedName>
    <definedName name="agga" hidden="1">{#N/A,#N/A,FALSE,"GERAL";#N/A,#N/A,FALSE,"012-96";#N/A,#N/A,FALSE,"018-96";#N/A,#N/A,FALSE,"027-96";#N/A,#N/A,FALSE,"059-96";#N/A,#N/A,FALSE,"076-96";#N/A,#N/A,FALSE,"019-97";#N/A,#N/A,FALSE,"021-97";#N/A,#N/A,FALSE,"022-97";#N/A,#N/A,FALSE,"028-97"}</definedName>
    <definedName name="agua" localSheetId="0" hidden="1">{#N/A,#N/A,FALSE,"GERAL";#N/A,#N/A,FALSE,"012-96";#N/A,#N/A,FALSE,"018-96";#N/A,#N/A,FALSE,"027-96";#N/A,#N/A,FALSE,"059-96";#N/A,#N/A,FALSE,"076-96";#N/A,#N/A,FALSE,"019-97";#N/A,#N/A,FALSE,"021-97";#N/A,#N/A,FALSE,"022-97";#N/A,#N/A,FALSE,"028-97"}</definedName>
    <definedName name="agua" localSheetId="2"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IMP" localSheetId="0">#REF!</definedName>
    <definedName name="AIMP">#REF!</definedName>
    <definedName name="AJUDA" localSheetId="0">#REF!</definedName>
    <definedName name="AJUDA">#REF!</definedName>
    <definedName name="alalala" localSheetId="0">#REF!</definedName>
    <definedName name="alalala">#REF!</definedName>
    <definedName name="ALBS" localSheetId="0">#REF!</definedName>
    <definedName name="ALBS">#REF!</definedName>
    <definedName name="alcada">#REF!</definedName>
    <definedName name="ALESSNADRA" localSheetId="0" hidden="1">#REF!</definedName>
    <definedName name="ALESSNADRA" hidden="1">#REF!</definedName>
    <definedName name="alim" localSheetId="0">#REF!</definedName>
    <definedName name="alim">#REF!</definedName>
    <definedName name="aliment" localSheetId="0">#REF!</definedName>
    <definedName name="aliment">#REF!</definedName>
    <definedName name="Aliment.Adm.Local" localSheetId="0">#REF!</definedName>
    <definedName name="Aliment.Adm.Local">#REF!</definedName>
    <definedName name="Aliment.MOD" localSheetId="0">#REF!</definedName>
    <definedName name="Aliment.MOD">#REF!</definedName>
    <definedName name="ALIMENTACAO" localSheetId="0">#REF!</definedName>
    <definedName name="ALIMENTACAO">#REF!</definedName>
    <definedName name="ALLMKUP" localSheetId="0">#REF!</definedName>
    <definedName name="ALLMKUP">#REF!</definedName>
    <definedName name="allow" localSheetId="0">#REF!</definedName>
    <definedName name="allow">#REF!</definedName>
    <definedName name="Alonso_Peraita" localSheetId="0">#REF!</definedName>
    <definedName name="Alonso_Peraita">#REF!</definedName>
    <definedName name="Alternativa" localSheetId="0">#REF!</definedName>
    <definedName name="Alternativa">#REF!</definedName>
    <definedName name="amante"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NAC" localSheetId="0">#REF!</definedName>
    <definedName name="ANAC">#REF!</definedName>
    <definedName name="Analista" localSheetId="0">#REF!</definedName>
    <definedName name="Analista">#REF!</definedName>
    <definedName name="ANALYSE" localSheetId="0">#REF!</definedName>
    <definedName name="ANALYSE">#REF!</definedName>
    <definedName name="andrea1">#N/A</definedName>
    <definedName name="Anexo" localSheetId="0">#REF!</definedName>
    <definedName name="Anexo">#REF!</definedName>
    <definedName name="ANEXO_10_MATRIZ_DE_RESPONSABILIDADE" localSheetId="0">#REF!</definedName>
    <definedName name="ANEXO_10_MATRIZ_DE_RESPONSABILIDADE">#REF!</definedName>
    <definedName name="Año" localSheetId="0">#REF!</definedName>
    <definedName name="Año">#REF!</definedName>
    <definedName name="anscount" hidden="1">1</definedName>
    <definedName name="ANSIB_SCH" localSheetId="0">#REF!</definedName>
    <definedName name="ANSIB_SCH">#REF!</definedName>
    <definedName name="ANTEC" localSheetId="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P_Ind" localSheetId="0">#REF!</definedName>
    <definedName name="AP_Ind">#REF!</definedName>
    <definedName name="AP_trab" localSheetId="0">#REF!</definedName>
    <definedName name="AP_trab">#REF!</definedName>
    <definedName name="API" localSheetId="0">#REF!</definedName>
    <definedName name="API">#REF!</definedName>
    <definedName name="API_ESP" localSheetId="0">#REF!</definedName>
    <definedName name="API_ESP">#REF!</definedName>
    <definedName name="APMKUP" localSheetId="0">#REF!</definedName>
    <definedName name="APMKUP">#REF!</definedName>
    <definedName name="APOIO" localSheetId="0">#REF!</definedName>
    <definedName name="APOIO">#REF!</definedName>
    <definedName name="ApoioTécnico" localSheetId="0">#REF!</definedName>
    <definedName name="ApoioTécnico">#REF!</definedName>
    <definedName name="aq"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q"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q"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qaqa" localSheetId="0" hidden="1">{#N/A,#N/A,FALSE,"minas";#N/A,#N/A,FALSE,"Total_OC015";#N/A,#N/A,FALSE,"ADMIN";#N/A,#N/A,FALSE,"PROCES";#N/A,#N/A,FALSE,"civil";#N/A,#N/A,FALSE,"CAÑER";#N/A,#N/A,FALSE,"ELEC";#N/A,#N/A,FALSE,"INSTR";#N/A,#N/A,FALSE,"PDS";#N/A,#N/A,FALSE,"mecan"}</definedName>
    <definedName name="aqaqa" localSheetId="2" hidden="1">{#N/A,#N/A,FALSE,"minas";#N/A,#N/A,FALSE,"Total_OC015";#N/A,#N/A,FALSE,"ADMIN";#N/A,#N/A,FALSE,"PROCES";#N/A,#N/A,FALSE,"civil";#N/A,#N/A,FALSE,"CAÑER";#N/A,#N/A,FALSE,"ELEC";#N/A,#N/A,FALSE,"INSTR";#N/A,#N/A,FALSE,"PDS";#N/A,#N/A,FALSE,"mecan"}</definedName>
    <definedName name="aqaqa" hidden="1">{#N/A,#N/A,FALSE,"minas";#N/A,#N/A,FALSE,"Total_OC015";#N/A,#N/A,FALSE,"ADMIN";#N/A,#N/A,FALSE,"PROCES";#N/A,#N/A,FALSE,"civil";#N/A,#N/A,FALSE,"CAÑER";#N/A,#N/A,FALSE,"ELEC";#N/A,#N/A,FALSE,"INSTR";#N/A,#N/A,FALSE,"PDS";#N/A,#N/A,FALSE,"mecan"}</definedName>
    <definedName name="AQUISICAO" localSheetId="0">#REF!</definedName>
    <definedName name="AQUISICAO">#REF!</definedName>
    <definedName name="ARCHITECTURAL" localSheetId="0">#REF!</definedName>
    <definedName name="ARCHITECTURAL">#REF!</definedName>
    <definedName name="Area" localSheetId="0">#REF!</definedName>
    <definedName name="Area">#REF!</definedName>
    <definedName name="ÀREA" localSheetId="0">#REF!</definedName>
    <definedName name="ÀREA">#REF!</definedName>
    <definedName name="área_210" localSheetId="0">#REF!</definedName>
    <definedName name="área_210">#REF!</definedName>
    <definedName name="ÀREA_ACUM" localSheetId="0">#REF!</definedName>
    <definedName name="ÀREA_ACUM">#REF!</definedName>
    <definedName name="_xlnm.Print_Area" localSheetId="0">APR!$B$1:$U$65</definedName>
    <definedName name="_xlnm.Print_Area" localSheetId="12">'BDI-TRIBUTOS'!$B$1:$D$27</definedName>
    <definedName name="_xlnm.Print_Area" localSheetId="1">CHECK!$B$1:$E$183</definedName>
    <definedName name="_xlnm.Print_Area" localSheetId="3">'CPU  1'!$B$1:$K$183</definedName>
    <definedName name="_xlnm.Print_Area" localSheetId="4">'CPU  2'!$B$1:$K$183</definedName>
    <definedName name="_xlnm.Print_Area" localSheetId="5">'CPU  3'!$B$1:$K$183</definedName>
    <definedName name="_xlnm.Print_Area" localSheetId="6">'CPU  4'!$B$1:$K$183</definedName>
    <definedName name="_xlnm.Print_Area" localSheetId="7">'CPU  5'!$B$1:$E$183</definedName>
    <definedName name="_xlnm.Print_Area" localSheetId="13">'ENCARGOS SOCIAIS'!$B$1:$E$33</definedName>
    <definedName name="_xlnm.Print_Area" localSheetId="8">MO!$B$1:$K$25</definedName>
    <definedName name="_xlnm.Print_Area" localSheetId="2">QQP!$B$1:$G$44</definedName>
    <definedName name="_xlnm.Print_Area">#REF!</definedName>
    <definedName name="Área_impressão_IM">#N/A</definedName>
    <definedName name="Área1" localSheetId="0">#REF!</definedName>
    <definedName name="Área1">#REF!</definedName>
    <definedName name="Área2" localSheetId="0">#REF!</definedName>
    <definedName name="Área2">#REF!</definedName>
    <definedName name="Área3" localSheetId="0">#REF!</definedName>
    <definedName name="Área3">#REF!</definedName>
    <definedName name="AREA3D" localSheetId="0">#REF!</definedName>
    <definedName name="AREA3D">#REF!</definedName>
    <definedName name="AREA4" localSheetId="0">#REF!</definedName>
    <definedName name="AREA4">#REF!</definedName>
    <definedName name="AREA5" localSheetId="0">#REF!</definedName>
    <definedName name="AREA5">#REF!</definedName>
    <definedName name="AREA6" localSheetId="0">#REF!</definedName>
    <definedName name="AREA6">#REF!</definedName>
    <definedName name="AreaCodes" localSheetId="0">#REF!</definedName>
    <definedName name="AreaCodes">#REF!</definedName>
    <definedName name="AreaEightThreeZero" localSheetId="0">#REF!</definedName>
    <definedName name="AreaEightThreeZero">#REF!</definedName>
    <definedName name="AreaFiveOneZero" localSheetId="0">#REF!</definedName>
    <definedName name="AreaFiveOneZero">#REF!</definedName>
    <definedName name="AreaFiveSevenZero" localSheetId="0">#REF!</definedName>
    <definedName name="AreaFiveSevenZero">#REF!</definedName>
    <definedName name="AreaFiveTwoZero" localSheetId="0">#REF!</definedName>
    <definedName name="AreaFiveTwoZero">#REF!</definedName>
    <definedName name="AreaFourFourZero" localSheetId="0">#REF!</definedName>
    <definedName name="AreaFourFourZero">#REF!</definedName>
    <definedName name="AreaFourOneZero" localSheetId="0">#REF!</definedName>
    <definedName name="AreaFourOneZero">#REF!</definedName>
    <definedName name="AreaFourTwoZero" localSheetId="0">#REF!</definedName>
    <definedName name="AreaFourTwoZero">#REF!</definedName>
    <definedName name="AreaNineEightFour" localSheetId="0">#REF!</definedName>
    <definedName name="AreaNineEightFour">#REF!</definedName>
    <definedName name="AreaNineEightTwo" localSheetId="0">#REF!</definedName>
    <definedName name="AreaNineEightTwo">#REF!</definedName>
    <definedName name="AreaNineEightZero" localSheetId="0">#REF!</definedName>
    <definedName name="AreaNineEightZero">#REF!</definedName>
    <definedName name="AreaNineFourZero" localSheetId="0">#REF!</definedName>
    <definedName name="AreaNineFourZero">#REF!</definedName>
    <definedName name="AreaNineNineZero" localSheetId="0">#REF!</definedName>
    <definedName name="AreaNineNineZero">#REF!</definedName>
    <definedName name="AreaNineSixZero" localSheetId="0">#REF!</definedName>
    <definedName name="AreaNineSixZero">#REF!</definedName>
    <definedName name="AreaNineThreeZero" localSheetId="0">#REF!</definedName>
    <definedName name="AreaNineThreeZero">#REF!</definedName>
    <definedName name="AreaNineTwoZero" localSheetId="0">#REF!</definedName>
    <definedName name="AreaNineTwoZero">#REF!</definedName>
    <definedName name="AreaOneOneZero" localSheetId="0">#REF!</definedName>
    <definedName name="AreaOneOneZero">#REF!</definedName>
    <definedName name="AreaOneThreeZero" localSheetId="0">#REF!</definedName>
    <definedName name="AreaOneThreeZero">#REF!</definedName>
    <definedName name="AreaOneTwoZero" localSheetId="0">#REF!</definedName>
    <definedName name="AreaOneTwoZero">#REF!</definedName>
    <definedName name="Areas" localSheetId="0">#REF!</definedName>
    <definedName name="Areas">#REF!</definedName>
    <definedName name="AreaSevenFiveZero" localSheetId="0">#REF!</definedName>
    <definedName name="AreaSevenFiveZero">#REF!</definedName>
    <definedName name="AreaSevenFourZero" localSheetId="0">#REF!</definedName>
    <definedName name="AreaSevenFourZero">#REF!</definedName>
    <definedName name="AreaThreeFiveFive" localSheetId="0">#REF!</definedName>
    <definedName name="AreaThreeFiveFive">#REF!</definedName>
    <definedName name="AreaThreeFiveFour" localSheetId="0">#REF!</definedName>
    <definedName name="AreaThreeFiveFour">#REF!</definedName>
    <definedName name="AreaThreeFiveOne" localSheetId="0">#REF!</definedName>
    <definedName name="AreaThreeFiveOne">#REF!</definedName>
    <definedName name="AreaThreeFiveSeven" localSheetId="0">#REF!</definedName>
    <definedName name="AreaThreeFiveSeven">#REF!</definedName>
    <definedName name="AreaThreeFiveSix" localSheetId="0">#REF!</definedName>
    <definedName name="AreaThreeFiveSix">#REF!</definedName>
    <definedName name="AreaThreeFiveThree" localSheetId="0">#REF!</definedName>
    <definedName name="AreaThreeFiveThree">#REF!</definedName>
    <definedName name="AreaThreeFiveTwo" localSheetId="0">#REF!</definedName>
    <definedName name="AreaThreeFiveTwo">#REF!</definedName>
    <definedName name="AreaThreeNineZero" localSheetId="0">#REF!</definedName>
    <definedName name="AreaThreeNineZero">#REF!</definedName>
    <definedName name="AreaThreeSevenFive" localSheetId="0">#REF!</definedName>
    <definedName name="AreaThreeSevenFive">#REF!</definedName>
    <definedName name="AreaThreeSevenFour" localSheetId="0">#REF!</definedName>
    <definedName name="AreaThreeSevenFour">#REF!</definedName>
    <definedName name="AreaThreeSevenOne" localSheetId="0">#REF!</definedName>
    <definedName name="AreaThreeSevenOne">#REF!</definedName>
    <definedName name="AreaThreeSevenThree" localSheetId="0">#REF!</definedName>
    <definedName name="AreaThreeSevenThree">#REF!</definedName>
    <definedName name="AreaThreeThreeFive" localSheetId="0">#REF!</definedName>
    <definedName name="AreaThreeThreeFive">#REF!</definedName>
    <definedName name="AreaThreeThreeFour" localSheetId="0">#REF!</definedName>
    <definedName name="AreaThreeThreeFour">#REF!</definedName>
    <definedName name="AreaThreeThreeOne" localSheetId="0">#REF!</definedName>
    <definedName name="AreaThreeThreeOne">#REF!</definedName>
    <definedName name="AreaThreeThreeSix" localSheetId="0">#REF!</definedName>
    <definedName name="AreaThreeThreeSix">#REF!</definedName>
    <definedName name="AreaThreeThreeThree" localSheetId="0">#REF!</definedName>
    <definedName name="AreaThreeThreeThree">#REF!</definedName>
    <definedName name="AreaThreeThreeTwo" localSheetId="0">#REF!</definedName>
    <definedName name="AreaThreeThreeTwo">#REF!</definedName>
    <definedName name="AreaThreeTwoOne" localSheetId="0">#REF!</definedName>
    <definedName name="AreaThreeTwoOne">#REF!</definedName>
    <definedName name="AreaThreeTwoTwo" localSheetId="0">#REF!</definedName>
    <definedName name="AreaThreeTwoTwo">#REF!</definedName>
    <definedName name="AreaTwoEightZero" localSheetId="0">#REF!</definedName>
    <definedName name="AreaTwoEightZero">#REF!</definedName>
    <definedName name="AreaTwoFiveZero" localSheetId="0">#REF!</definedName>
    <definedName name="AreaTwoFiveZero">#REF!</definedName>
    <definedName name="AreaTwoFourZero" localSheetId="0">#REF!</definedName>
    <definedName name="AreaTwoFourZero">#REF!</definedName>
    <definedName name="AreaTwoOneZero" localSheetId="0">#REF!</definedName>
    <definedName name="AreaTwoOneZero">#REF!</definedName>
    <definedName name="AreaTwoThreeZero" localSheetId="0">#REF!</definedName>
    <definedName name="AreaTwoThreeZero">#REF!</definedName>
    <definedName name="AreaTwoTwoZero" localSheetId="0">#REF!</definedName>
    <definedName name="AreaTwoTwoZero">#REF!</definedName>
    <definedName name="AREE" localSheetId="0">#REF!</definedName>
    <definedName name="AREE">#REF!</definedName>
    <definedName name="Arq_Nome" localSheetId="0">#REF!</definedName>
    <definedName name="Arq_Nome">#REF!</definedName>
    <definedName name="Arranc_de_guias_de_granito" localSheetId="0">#REF!</definedName>
    <definedName name="Arranc_de_guias_de_granito">#REF!</definedName>
    <definedName name="Arranc_de_lajotas_de_concreto" localSheetId="0">#REF!</definedName>
    <definedName name="Arranc_de_lajotas_de_concreto">#REF!</definedName>
    <definedName name="Arranc_de_lousas_de_granito" localSheetId="0">#REF!</definedName>
    <definedName name="Arranc_de_lousas_de_granito">#REF!</definedName>
    <definedName name="Arranc_de_sarjeta_com_2_paralelos_rejuntados" localSheetId="0">#REF!</definedName>
    <definedName name="Arranc_de_sarjeta_com_2_paralelos_rejuntados">#REF!</definedName>
    <definedName name="Arranc_e_reassent_de_guias_de_granito" localSheetId="0">#REF!</definedName>
    <definedName name="Arranc_e_reassent_de_guias_de_granito">#REF!</definedName>
    <definedName name="Arranc_e_reassent_petit_pavet" localSheetId="0">#REF!</definedName>
    <definedName name="Arranc_e_reassent_petit_pavet">#REF!</definedName>
    <definedName name="Arranc_e_reassent_sarjeta_com_2_paralelos_rejunt" localSheetId="0">#REF!</definedName>
    <definedName name="Arranc_e_reassent_sarjeta_com_2_paralelos_rejunt">#REF!</definedName>
    <definedName name="arrrrr" localSheetId="0" hidden="1">{#N/A,#N/A,FALSE,"GERAL";#N/A,#N/A,FALSE,"012-96";#N/A,#N/A,FALSE,"018-96";#N/A,#N/A,FALSE,"027-96";#N/A,#N/A,FALSE,"059-96";#N/A,#N/A,FALSE,"076-96";#N/A,#N/A,FALSE,"019-97";#N/A,#N/A,FALSE,"021-97";#N/A,#N/A,FALSE,"022-97";#N/A,#N/A,FALSE,"028-97"}</definedName>
    <definedName name="arrrrr" localSheetId="2" hidden="1">{#N/A,#N/A,FALSE,"GERAL";#N/A,#N/A,FALSE,"012-96";#N/A,#N/A,FALSE,"018-96";#N/A,#N/A,FALSE,"027-96";#N/A,#N/A,FALSE,"059-96";#N/A,#N/A,FALSE,"076-96";#N/A,#N/A,FALSE,"019-97";#N/A,#N/A,FALSE,"021-97";#N/A,#N/A,FALSE,"022-97";#N/A,#N/A,FALSE,"028-97"}</definedName>
    <definedName name="arrrrr" hidden="1">{#N/A,#N/A,FALSE,"GERAL";#N/A,#N/A,FALSE,"012-96";#N/A,#N/A,FALSE,"018-96";#N/A,#N/A,FALSE,"027-96";#N/A,#N/A,FALSE,"059-96";#N/A,#N/A,FALSE,"076-96";#N/A,#N/A,FALSE,"019-97";#N/A,#N/A,FALSE,"021-97";#N/A,#N/A,FALSE,"022-97";#N/A,#N/A,FALSE,"028-97"}</definedName>
    <definedName name="as" localSheetId="0">#REF!</definedName>
    <definedName name="as">#REF!</definedName>
    <definedName name="asd" localSheetId="0" hidden="1">#REF!</definedName>
    <definedName name="asd" hidden="1">#REF!</definedName>
    <definedName name="ASDSD5" localSheetId="0">#REF!</definedName>
    <definedName name="ASDSD5">#REF!</definedName>
    <definedName name="ASFALTO" localSheetId="0">#REF!</definedName>
    <definedName name="ASFALTO">#REF!</definedName>
    <definedName name="Ass.Méd.Adm.Local" localSheetId="0">#REF!</definedName>
    <definedName name="Ass.Méd.Adm.Local">#REF!</definedName>
    <definedName name="Assig_Inc" localSheetId="0">#REF!</definedName>
    <definedName name="Assig_Inc">#REF!</definedName>
    <definedName name="Assigment" localSheetId="0">#REF!</definedName>
    <definedName name="Assigment">#REF!</definedName>
    <definedName name="Assign_Liv" localSheetId="0">#REF!</definedName>
    <definedName name="Assign_Liv">#REF!</definedName>
    <definedName name="ASSINATURA" localSheetId="0">#REF!</definedName>
    <definedName name="ASSINATURA">#REF!</definedName>
    <definedName name="Assist.Médica" localSheetId="0">#REF!</definedName>
    <definedName name="Assist.Médica">#REF!</definedName>
    <definedName name="at" localSheetId="0">#REF!</definedName>
    <definedName name="at">#REF!</definedName>
    <definedName name="ATF" localSheetId="0">#REF!</definedName>
    <definedName name="ATF">#REF!</definedName>
    <definedName name="ATRA" localSheetId="2">#REF!</definedName>
    <definedName name="ATRA">#REF!</definedName>
    <definedName name="AUD">#REF!</definedName>
    <definedName name="australasia" localSheetId="0">#REF!</definedName>
    <definedName name="australasia">#REF!</definedName>
    <definedName name="AUX" localSheetId="0">#REF!</definedName>
    <definedName name="AUX">#REF!</definedName>
    <definedName name="aux_diam" localSheetId="0">#REF!</definedName>
    <definedName name="aux_diam">#REF!</definedName>
    <definedName name="auxiliar">#REF!</definedName>
    <definedName name="avc" localSheetId="0" hidden="1">{#N/A,#N/A,FALSE,"Total_OC015";#N/A,#N/A,FALSE,"ADMIN";#N/A,#N/A,FALSE,"PROCES";#N/A,#N/A,FALSE,"mecan";#N/A,#N/A,FALSE,"civil";#N/A,#N/A,FALSE,"CAÑER";#N/A,#N/A,FALSE,"ELEC";#N/A,#N/A,FALSE,"INSTR"}</definedName>
    <definedName name="avc" localSheetId="2"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g_Nova_Enco" localSheetId="0">#REF!</definedName>
    <definedName name="Avg_Nova_Enco">#REF!</definedName>
    <definedName name="Avg_Plaorc" localSheetId="0">#REF!</definedName>
    <definedName name="Avg_Plaorc">#REF!</definedName>
    <definedName name="b"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_um" localSheetId="0">#REF!</definedName>
    <definedName name="b_um">#REF!</definedName>
    <definedName name="B6335Data" localSheetId="0">#REF!</definedName>
    <definedName name="B6335Data">#REF!</definedName>
    <definedName name="BALANCE" localSheetId="0">#REF!</definedName>
    <definedName name="BALANCE">#REF!</definedName>
    <definedName name="ban" localSheetId="0">#REF!</definedName>
    <definedName name="ban">#REF!</definedName>
    <definedName name="BANCO" localSheetId="0">#REF!</definedName>
    <definedName name="BANCO">#REF!</definedName>
    <definedName name="BANCO_COMP" localSheetId="0">#REF!</definedName>
    <definedName name="BANCO_COMP">#REF!</definedName>
    <definedName name="_xlnm.Database" localSheetId="0">#REF!</definedName>
    <definedName name="_xlnm.Database">#REF!</definedName>
    <definedName name="BANCO_EQUIP" localSheetId="0">#REF!</definedName>
    <definedName name="BANCO_EQUIP">#REF!</definedName>
    <definedName name="banco1" localSheetId="0">#REF!</definedName>
    <definedName name="banco1">#REF!</definedName>
    <definedName name="bandrate" localSheetId="0">#REF!</definedName>
    <definedName name="bandrate">#REF!</definedName>
    <definedName name="bar" localSheetId="0" hidden="1">{#N/A,#N/A,FALSE,"GERAL";#N/A,#N/A,FALSE,"012-96";#N/A,#N/A,FALSE,"018-96";#N/A,#N/A,FALSE,"027-96";#N/A,#N/A,FALSE,"059-96";#N/A,#N/A,FALSE,"076-96";#N/A,#N/A,FALSE,"019-97";#N/A,#N/A,FALSE,"021-97";#N/A,#N/A,FALSE,"022-97";#N/A,#N/A,FALSE,"028-97"}</definedName>
    <definedName name="bar" localSheetId="2"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 localSheetId="0">#REF!</definedName>
    <definedName name="BAS">#REF!</definedName>
    <definedName name="Base" localSheetId="0">#REF!</definedName>
    <definedName name="Base">#REF!</definedName>
    <definedName name="Base_date" localSheetId="0">#REF!</definedName>
    <definedName name="Base_date">#REF!</definedName>
    <definedName name="Base_de_ventas" localSheetId="0">#REF!</definedName>
    <definedName name="Base_de_ventas">#REF!</definedName>
    <definedName name="Base_Site">#REF!</definedName>
    <definedName name="Base_Site_local" localSheetId="0">#REF!</definedName>
    <definedName name="Base_Site_local">#REF!</definedName>
    <definedName name="baseeeeeee" localSheetId="0">#REF!</definedName>
    <definedName name="baseeeeeee">#REF!</definedName>
    <definedName name="BASEES" localSheetId="0">#REF!</definedName>
    <definedName name="BASEES">#REF!</definedName>
    <definedName name="baseevc" localSheetId="0">#REF!</definedName>
    <definedName name="baseevc">#REF!</definedName>
    <definedName name="BaseHours">#REF!</definedName>
    <definedName name="bb" localSheetId="0" hidden="1">{#N/A,#N/A,FALSE,"minas";#N/A,#N/A,FALSE,"Total_OC015";#N/A,#N/A,FALSE,"ADMIN";#N/A,#N/A,FALSE,"PROCES";#N/A,#N/A,FALSE,"civil";#N/A,#N/A,FALSE,"CAÑER";#N/A,#N/A,FALSE,"ELEC";#N/A,#N/A,FALSE,"INSTR";#N/A,#N/A,FALSE,"PDS";#N/A,#N/A,FALSE,"mecan"}</definedName>
    <definedName name="bb" localSheetId="2"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 localSheetId="0">#REF!</definedName>
    <definedName name="bbb">#REF!</definedName>
    <definedName name="bbbb" localSheetId="0">#REF!</definedName>
    <definedName name="bbbb">#REF!</definedName>
    <definedName name="bbbbb" localSheetId="0">#REF!</definedName>
    <definedName name="bbbbb">#REF!</definedName>
    <definedName name="bca" localSheetId="0" hidden="1">{#N/A,#N/A,FALSE,"ET-CAPA";#N/A,#N/A,FALSE,"ET-PAG1";#N/A,#N/A,FALSE,"ET-PAG2";#N/A,#N/A,FALSE,"ET-PAG3";#N/A,#N/A,FALSE,"ET-PAG4";#N/A,#N/A,FALSE,"ET-PAG5"}</definedName>
    <definedName name="bca" localSheetId="2" hidden="1">{#N/A,#N/A,FALSE,"ET-CAPA";#N/A,#N/A,FALSE,"ET-PAG1";#N/A,#N/A,FALSE,"ET-PAG2";#N/A,#N/A,FALSE,"ET-PAG3";#N/A,#N/A,FALSE,"ET-PAG4";#N/A,#N/A,FALSE,"ET-PAG5"}</definedName>
    <definedName name="bca" hidden="1">{#N/A,#N/A,FALSE,"ET-CAPA";#N/A,#N/A,FALSE,"ET-PAG1";#N/A,#N/A,FALSE,"ET-PAG2";#N/A,#N/A,FALSE,"ET-PAG3";#N/A,#N/A,FALSE,"ET-PAG4";#N/A,#N/A,FALSE,"ET-PAG5"}</definedName>
    <definedName name="BD" localSheetId="0">#REF!</definedName>
    <definedName name="BD">#REF!</definedName>
    <definedName name="BD_CHES" localSheetId="0">#REF!</definedName>
    <definedName name="BD_CHES">#REF!</definedName>
    <definedName name="BD_CO" localSheetId="0">#REF!</definedName>
    <definedName name="BD_CO">#REF!</definedName>
    <definedName name="BD_HH" localSheetId="0">#REF!</definedName>
    <definedName name="BD_HH">#REF!</definedName>
    <definedName name="BD_TOT" localSheetId="0">#REF!</definedName>
    <definedName name="BD_TOT">#REF!</definedName>
    <definedName name="bdados" localSheetId="0">#REF!</definedName>
    <definedName name="bdados">#REF!</definedName>
    <definedName name="bdd" localSheetId="0">#REF!</definedName>
    <definedName name="bdd">#REF!</definedName>
    <definedName name="bddmatt" localSheetId="0">#REF!</definedName>
    <definedName name="bddmatt">#REF!</definedName>
    <definedName name="BDI" localSheetId="0">#REF!</definedName>
    <definedName name="BDI" localSheetId="13">#REF!</definedName>
    <definedName name="BDI" localSheetId="2">#REF!</definedName>
    <definedName name="BDI">#REF!</definedName>
    <definedName name="BDI_Sem_Impostos" localSheetId="0">#REF!</definedName>
    <definedName name="BDI_Sem_Impostos" localSheetId="2">#REF!</definedName>
    <definedName name="BDI_Sem_Impostos">#REF!</definedName>
    <definedName name="BDI_TM" localSheetId="0">#REF!</definedName>
    <definedName name="BDI_TM">#REF!</definedName>
    <definedName name="BenCust" localSheetId="0">#REF!</definedName>
    <definedName name="BenCust">#REF!</definedName>
    <definedName name="Benefits" localSheetId="0">#REF!</definedName>
    <definedName name="Benefits">#REF!</definedName>
    <definedName name="BEx0041RNVGGN8SKGQTWHTVAGKBV" localSheetId="0" hidden="1">#REF!</definedName>
    <definedName name="BEx0041RNVGGN8SKGQTWHTVAGKBV" hidden="1">#REF!</definedName>
    <definedName name="BEx00J6L4N3WDFUWI1GNCD89U2A5" localSheetId="0" hidden="1">#REF!</definedName>
    <definedName name="BEx00J6L4N3WDFUWI1GNCD89U2A5" hidden="1">#REF!</definedName>
    <definedName name="BEx00U9SHQ0NHO9GPJITAMG5T4E9" localSheetId="0" hidden="1">#REF!</definedName>
    <definedName name="BEx00U9SHQ0NHO9GPJITAMG5T4E9" hidden="1">#REF!</definedName>
    <definedName name="BEx01049R9ZE3WM0TJWIDL7I2AO5" localSheetId="0" hidden="1">#REF!</definedName>
    <definedName name="BEx01049R9ZE3WM0TJWIDL7I2AO5" hidden="1">#REF!</definedName>
    <definedName name="BEx01HND10BIF76NP8Z3T2HXCM7F" localSheetId="0" hidden="1">#REF!</definedName>
    <definedName name="BEx01HND10BIF76NP8Z3T2HXCM7F" hidden="1">#REF!</definedName>
    <definedName name="BEx01JWCZ0X2OHSH4G0G4PKSWBW6" localSheetId="0" hidden="1">#REF!</definedName>
    <definedName name="BEx01JWCZ0X2OHSH4G0G4PKSWBW6" hidden="1">#REF!</definedName>
    <definedName name="BEx01T1EVAEW9BLAP4L6II4G6OC4" localSheetId="0" hidden="1">#REF!</definedName>
    <definedName name="BEx01T1EVAEW9BLAP4L6II4G6OC4" hidden="1">#REF!</definedName>
    <definedName name="BEx01X35DZBL50I19K4ZSW4F1ESH" localSheetId="0" hidden="1">#REF!</definedName>
    <definedName name="BEx01X35DZBL50I19K4ZSW4F1ESH" hidden="1">#REF!</definedName>
    <definedName name="BEx040GNGACOQI5MY5X2NE42ZWDU" localSheetId="0" hidden="1">#REF!</definedName>
    <definedName name="BEx040GNGACOQI5MY5X2NE42ZWDU" hidden="1">#REF!</definedName>
    <definedName name="BEx1GACQL91IG43LSU6M1F2TWPZN" localSheetId="0" hidden="1">#REF!</definedName>
    <definedName name="BEx1GACQL91IG43LSU6M1F2TWPZN" hidden="1">#REF!</definedName>
    <definedName name="BEx1GB92OWY6P3B3Z6EYFUUWMITG" localSheetId="0" hidden="1">#REF!</definedName>
    <definedName name="BEx1GB92OWY6P3B3Z6EYFUUWMITG" hidden="1">#REF!</definedName>
    <definedName name="BEx1GEUJLAZEB0C3D21E9HL8V6T3" localSheetId="0" hidden="1">#REF!</definedName>
    <definedName name="BEx1GEUJLAZEB0C3D21E9HL8V6T3" hidden="1">#REF!</definedName>
    <definedName name="BEx1HF438DQMWXU3F0U1D91OYCKZ" localSheetId="0" hidden="1">Weekly by #REF!</definedName>
    <definedName name="BEx1HF438DQMWXU3F0U1D91OYCKZ" localSheetId="1" hidden="1">Weekly by #REF!</definedName>
    <definedName name="BEx1HF438DQMWXU3F0U1D91OYCKZ" localSheetId="4" hidden="1">Weekly by #REF!</definedName>
    <definedName name="BEx1HF438DQMWXU3F0U1D91OYCKZ" localSheetId="5" hidden="1">Weekly by #REF!</definedName>
    <definedName name="BEx1HF438DQMWXU3F0U1D91OYCKZ" localSheetId="6" hidden="1">Weekly by #REF!</definedName>
    <definedName name="BEx1HF438DQMWXU3F0U1D91OYCKZ" localSheetId="7" hidden="1">Weekly by #REF!</definedName>
    <definedName name="BEx1HF438DQMWXU3F0U1D91OYCKZ" localSheetId="11" hidden="1">Weekly by #REF!</definedName>
    <definedName name="BEx1HF438DQMWXU3F0U1D91OYCKZ" localSheetId="2" hidden="1">Weekly by #REF!</definedName>
    <definedName name="BEx1HF438DQMWXU3F0U1D91OYCKZ" localSheetId="10" hidden="1">Weekly by #REF!</definedName>
    <definedName name="BEx1HF438DQMWXU3F0U1D91OYCKZ" hidden="1">Weekly by #REF!</definedName>
    <definedName name="BEx1HGM2TBFL6UBVA6E4PKNSPI96" localSheetId="0" hidden="1">#REF!</definedName>
    <definedName name="BEx1HGM2TBFL6UBVA6E4PKNSPI96" localSheetId="2" hidden="1">#REF!</definedName>
    <definedName name="BEx1HGM2TBFL6UBVA6E4PKNSPI96" hidden="1">#REF!</definedName>
    <definedName name="BEx1HHNRB903HK5QU9357MN58F9P" localSheetId="0" hidden="1">#REF!</definedName>
    <definedName name="BEx1HHNRB903HK5QU9357MN58F9P" localSheetId="2" hidden="1">#REF!</definedName>
    <definedName name="BEx1HHNRB903HK5QU9357MN58F9P" hidden="1">#REF!</definedName>
    <definedName name="BEx1I38LBZSH2UZJIZXAE5XOUU55" localSheetId="0" hidden="1">#REF!</definedName>
    <definedName name="BEx1I38LBZSH2UZJIZXAE5XOUU55" hidden="1">#REF!</definedName>
    <definedName name="BEx1I3U663Q3IXYN0ENILZ5WA60G" localSheetId="0" hidden="1">#REF!</definedName>
    <definedName name="BEx1I3U663Q3IXYN0ENILZ5WA60G" hidden="1">#REF!</definedName>
    <definedName name="BEx1I8XL80AAP66IOEVKKVDWDI2W" localSheetId="0" hidden="1">#REF!</definedName>
    <definedName name="BEx1I8XL80AAP66IOEVKKVDWDI2W" hidden="1">#REF!</definedName>
    <definedName name="BEx1KCWQ445PDI0YUBIXZBK5EWCP" localSheetId="0" hidden="1">#REF!</definedName>
    <definedName name="BEx1KCWQ445PDI0YUBIXZBK5EWCP" hidden="1">#REF!</definedName>
    <definedName name="BEx1L588BC65BGLSSABJ9TTYW9ZN" localSheetId="0" hidden="1">#REF!</definedName>
    <definedName name="BEx1L588BC65BGLSSABJ9TTYW9ZN" hidden="1">#REF!</definedName>
    <definedName name="BEx1LYW9J6RC4DLCBEHA4DGNPY6Y" localSheetId="0" hidden="1">#REF!</definedName>
    <definedName name="BEx1LYW9J6RC4DLCBEHA4DGNPY6Y" hidden="1">#REF!</definedName>
    <definedName name="BEx1M3JJGKF1YALMTNWMK99YH9FT" localSheetId="0" hidden="1">#REF!</definedName>
    <definedName name="BEx1M3JJGKF1YALMTNWMK99YH9FT" hidden="1">#REF!</definedName>
    <definedName name="BEx1MEBZTWO6XAWNC9Z6T7VUC26Q" localSheetId="0" hidden="1">#REF!</definedName>
    <definedName name="BEx1MEBZTWO6XAWNC9Z6T7VUC26Q" hidden="1">#REF!</definedName>
    <definedName name="BEx1MMQ3H3E9MBH330J6MD3EP8AD" localSheetId="0" hidden="1">#REF!</definedName>
    <definedName name="BEx1MMQ3H3E9MBH330J6MD3EP8AD" hidden="1">#REF!</definedName>
    <definedName name="BEx1MQX6AFEMRK87A7WQO7Y3DWIJ" localSheetId="0" hidden="1">Weekly by #REF!</definedName>
    <definedName name="BEx1MQX6AFEMRK87A7WQO7Y3DWIJ" localSheetId="1" hidden="1">Weekly by #REF!</definedName>
    <definedName name="BEx1MQX6AFEMRK87A7WQO7Y3DWIJ" localSheetId="4" hidden="1">Weekly by #REF!</definedName>
    <definedName name="BEx1MQX6AFEMRK87A7WQO7Y3DWIJ" localSheetId="5" hidden="1">Weekly by #REF!</definedName>
    <definedName name="BEx1MQX6AFEMRK87A7WQO7Y3DWIJ" localSheetId="6" hidden="1">Weekly by #REF!</definedName>
    <definedName name="BEx1MQX6AFEMRK87A7WQO7Y3DWIJ" localSheetId="7" hidden="1">Weekly by #REF!</definedName>
    <definedName name="BEx1MQX6AFEMRK87A7WQO7Y3DWIJ" localSheetId="11" hidden="1">Weekly by #REF!</definedName>
    <definedName name="BEx1MQX6AFEMRK87A7WQO7Y3DWIJ" localSheetId="2" hidden="1">Weekly by #REF!</definedName>
    <definedName name="BEx1MQX6AFEMRK87A7WQO7Y3DWIJ" localSheetId="10" hidden="1">Weekly by #REF!</definedName>
    <definedName name="BEx1MQX6AFEMRK87A7WQO7Y3DWIJ" hidden="1">Weekly by #REF!</definedName>
    <definedName name="BEx1MTGT5ZCQF1XCAJRTNC87UV83" localSheetId="0" hidden="1">#REF!</definedName>
    <definedName name="BEx1MTGT5ZCQF1XCAJRTNC87UV83" localSheetId="2" hidden="1">#REF!</definedName>
    <definedName name="BEx1MTGT5ZCQF1XCAJRTNC87UV83" hidden="1">#REF!</definedName>
    <definedName name="BEx1N0IFWPSL686RSLZTZA4KIY2A" localSheetId="0" hidden="1">#REF!</definedName>
    <definedName name="BEx1N0IFWPSL686RSLZTZA4KIY2A" localSheetId="2" hidden="1">#REF!</definedName>
    <definedName name="BEx1N0IFWPSL686RSLZTZA4KIY2A" hidden="1">#REF!</definedName>
    <definedName name="BEx1NFCG8AI9NXWO5ROKI6DYZP77" localSheetId="0" hidden="1">#REF!</definedName>
    <definedName name="BEx1NFCG8AI9NXWO5ROKI6DYZP77" hidden="1">#REF!</definedName>
    <definedName name="BEx1NT4RIIP1DMELF4Z1FL5857FC" localSheetId="0" hidden="1">#REF!</definedName>
    <definedName name="BEx1NT4RIIP1DMELF4Z1FL5857FC" hidden="1">#REF!</definedName>
    <definedName name="BEx1O0XA02OXBEY6AAS94L6P1KSR" localSheetId="0" hidden="1">#REF!</definedName>
    <definedName name="BEx1O0XA02OXBEY6AAS94L6P1KSR" hidden="1">#REF!</definedName>
    <definedName name="BEx1O89JQOYLT7JSTJ2ZEF5WWN3J" localSheetId="0" hidden="1">#REF!</definedName>
    <definedName name="BEx1O89JQOYLT7JSTJ2ZEF5WWN3J" hidden="1">#REF!</definedName>
    <definedName name="BEx1P4S5Y4X1AG5YL9DS164978PB" localSheetId="0" hidden="1">#REF!</definedName>
    <definedName name="BEx1P4S5Y4X1AG5YL9DS164978PB" hidden="1">#REF!</definedName>
    <definedName name="BEx1PR415U01RF514LC24LSXZ46E" localSheetId="0" hidden="1">#REF!</definedName>
    <definedName name="BEx1PR415U01RF514LC24LSXZ46E" hidden="1">#REF!</definedName>
    <definedName name="BEx1PW20Y5MADI9OTI07469ZTAF0" localSheetId="0" hidden="1">Weekly by #REF!</definedName>
    <definedName name="BEx1PW20Y5MADI9OTI07469ZTAF0" localSheetId="1" hidden="1">Weekly by #REF!</definedName>
    <definedName name="BEx1PW20Y5MADI9OTI07469ZTAF0" localSheetId="4" hidden="1">Weekly by #REF!</definedName>
    <definedName name="BEx1PW20Y5MADI9OTI07469ZTAF0" localSheetId="5" hidden="1">Weekly by #REF!</definedName>
    <definedName name="BEx1PW20Y5MADI9OTI07469ZTAF0" localSheetId="6" hidden="1">Weekly by #REF!</definedName>
    <definedName name="BEx1PW20Y5MADI9OTI07469ZTAF0" localSheetId="7" hidden="1">Weekly by #REF!</definedName>
    <definedName name="BEx1PW20Y5MADI9OTI07469ZTAF0" localSheetId="11" hidden="1">Weekly by #REF!</definedName>
    <definedName name="BEx1PW20Y5MADI9OTI07469ZTAF0" localSheetId="2" hidden="1">Weekly by #REF!</definedName>
    <definedName name="BEx1PW20Y5MADI9OTI07469ZTAF0" localSheetId="10" hidden="1">Weekly by #REF!</definedName>
    <definedName name="BEx1PW20Y5MADI9OTI07469ZTAF0" hidden="1">Weekly by #REF!</definedName>
    <definedName name="BEx1PXUPD5XRUU2SPVGZCRNTWS98" localSheetId="0" hidden="1">#REF!</definedName>
    <definedName name="BEx1PXUPD5XRUU2SPVGZCRNTWS98" localSheetId="2" hidden="1">#REF!</definedName>
    <definedName name="BEx1PXUPD5XRUU2SPVGZCRNTWS98" hidden="1">#REF!</definedName>
    <definedName name="BEx1QIU02UKQDRQO4JFJQTQPA9M2" localSheetId="0" hidden="1">#REF!</definedName>
    <definedName name="BEx1QIU02UKQDRQO4JFJQTQPA9M2" localSheetId="2" hidden="1">#REF!</definedName>
    <definedName name="BEx1QIU02UKQDRQO4JFJQTQPA9M2" hidden="1">#REF!</definedName>
    <definedName name="BEx1QOTTD8A7ZISZKTC3BOOVKWEN" localSheetId="0" hidden="1">#REF!</definedName>
    <definedName name="BEx1QOTTD8A7ZISZKTC3BOOVKWEN" hidden="1">#REF!</definedName>
    <definedName name="BEx1R02C8KNH9YXA8P430NC2J4P0" localSheetId="0" hidden="1">#REF!</definedName>
    <definedName name="BEx1R02C8KNH9YXA8P430NC2J4P0" hidden="1">#REF!</definedName>
    <definedName name="BEx1RH5DAJLQHZ5QR5I6FL08DWYL" localSheetId="0" hidden="1">Weekly by #REF!</definedName>
    <definedName name="BEx1RH5DAJLQHZ5QR5I6FL08DWYL" localSheetId="1" hidden="1">Weekly by #REF!</definedName>
    <definedName name="BEx1RH5DAJLQHZ5QR5I6FL08DWYL" localSheetId="4" hidden="1">Weekly by #REF!</definedName>
    <definedName name="BEx1RH5DAJLQHZ5QR5I6FL08DWYL" localSheetId="5" hidden="1">Weekly by #REF!</definedName>
    <definedName name="BEx1RH5DAJLQHZ5QR5I6FL08DWYL" localSheetId="6" hidden="1">Weekly by #REF!</definedName>
    <definedName name="BEx1RH5DAJLQHZ5QR5I6FL08DWYL" localSheetId="7" hidden="1">Weekly by #REF!</definedName>
    <definedName name="BEx1RH5DAJLQHZ5QR5I6FL08DWYL" localSheetId="11" hidden="1">Weekly by #REF!</definedName>
    <definedName name="BEx1RH5DAJLQHZ5QR5I6FL08DWYL" localSheetId="2" hidden="1">Weekly by #REF!</definedName>
    <definedName name="BEx1RH5DAJLQHZ5QR5I6FL08DWYL" localSheetId="10" hidden="1">Weekly by #REF!</definedName>
    <definedName name="BEx1RH5DAJLQHZ5QR5I6FL08DWYL" hidden="1">Weekly by #REF!</definedName>
    <definedName name="BEx1RT4YN50M08FENYGUFK5YN25U" localSheetId="0" hidden="1">#REF!</definedName>
    <definedName name="BEx1RT4YN50M08FENYGUFK5YN25U" localSheetId="2" hidden="1">#REF!</definedName>
    <definedName name="BEx1RT4YN50M08FENYGUFK5YN25U" hidden="1">#REF!</definedName>
    <definedName name="BEx1S0MOOGSSYT24R5GZFG5GMGFR" localSheetId="0" hidden="1">#REF!</definedName>
    <definedName name="BEx1S0MOOGSSYT24R5GZFG5GMGFR" localSheetId="2" hidden="1">#REF!</definedName>
    <definedName name="BEx1S0MOOGSSYT24R5GZFG5GMGFR" hidden="1">#REF!</definedName>
    <definedName name="BEx1T7SCX7KK0ROG334AKM67Y8WU" localSheetId="0" hidden="1">#REF!</definedName>
    <definedName name="BEx1T7SCX7KK0ROG334AKM67Y8WU" hidden="1">#REF!</definedName>
    <definedName name="BEx1TNTKITTEKOJ5Q0RUF0799ZGD" localSheetId="0" hidden="1">#REF!</definedName>
    <definedName name="BEx1TNTKITTEKOJ5Q0RUF0799ZGD" hidden="1">#REF!</definedName>
    <definedName name="BEx1VQQSB5BKTBE7EAFXSN31CNVX" localSheetId="0" hidden="1">#REF!</definedName>
    <definedName name="BEx1VQQSB5BKTBE7EAFXSN31CNVX" hidden="1">#REF!</definedName>
    <definedName name="BEx1W5QAG9OP03HI32ZBUAW0FZA8" localSheetId="0" hidden="1">#REF!</definedName>
    <definedName name="BEx1W5QAG9OP03HI32ZBUAW0FZA8" hidden="1">#REF!</definedName>
    <definedName name="BEx1W8FDLOFGE28JXY6J54MICRMP" localSheetId="0" hidden="1">#REF!</definedName>
    <definedName name="BEx1W8FDLOFGE28JXY6J54MICRMP" hidden="1">#REF!</definedName>
    <definedName name="BEx1WDO53ZG95BCDDJH20QVTZIEM" localSheetId="0" hidden="1">#REF!</definedName>
    <definedName name="BEx1WDO53ZG95BCDDJH20QVTZIEM" hidden="1">#REF!</definedName>
    <definedName name="BEx1WU09CIHOI0L84XXCKC501H1F" localSheetId="0" hidden="1">#REF!</definedName>
    <definedName name="BEx1WU09CIHOI0L84XXCKC501H1F" hidden="1">#REF!</definedName>
    <definedName name="BEx1X3QU07GK7I7KLROCFBELK7NH" localSheetId="0" hidden="1">#REF!</definedName>
    <definedName name="BEx1X3QU07GK7I7KLROCFBELK7NH" hidden="1">#REF!</definedName>
    <definedName name="BEx1XEJ9QAHH8VOBQYCVDKC9SB8B" localSheetId="0" hidden="1">#REF!</definedName>
    <definedName name="BEx1XEJ9QAHH8VOBQYCVDKC9SB8B" hidden="1">#REF!</definedName>
    <definedName name="BEx1XN86QZPXEC2550TP8XT6SWZX" localSheetId="0" hidden="1">#REF!</definedName>
    <definedName name="BEx1XN86QZPXEC2550TP8XT6SWZX" hidden="1">#REF!</definedName>
    <definedName name="BEx1YCP9AWRNC5ITMCJ02RB06P1D" localSheetId="0" hidden="1">#REF!</definedName>
    <definedName name="BEx1YCP9AWRNC5ITMCJ02RB06P1D" hidden="1">#REF!</definedName>
    <definedName name="BEx1YKHSW5HDSZLEI6ETN0XC509V" localSheetId="0" hidden="1">#REF!</definedName>
    <definedName name="BEx1YKHSW5HDSZLEI6ETN0XC509V" hidden="1">#REF!</definedName>
    <definedName name="BEx3BI288940ZA6EC0BTQEOWMNI0" localSheetId="0" hidden="1">#REF!</definedName>
    <definedName name="BEx3BI288940ZA6EC0BTQEOWMNI0" hidden="1">#REF!</definedName>
    <definedName name="BEx3BKGK4BKUN286RPTNRG61DQKB" localSheetId="0" hidden="1">#REF!</definedName>
    <definedName name="BEx3BKGK4BKUN286RPTNRG61DQKB" hidden="1">#REF!</definedName>
    <definedName name="BEx3C5ACPKV4XIAY0LO077TCRNLJ" localSheetId="0" hidden="1">#REF!</definedName>
    <definedName name="BEx3C5ACPKV4XIAY0LO077TCRNLJ" hidden="1">#REF!</definedName>
    <definedName name="BEx3CBKXPIN2XM7QJNI7O0MB70AR" localSheetId="0" hidden="1">#REF!</definedName>
    <definedName name="BEx3CBKXPIN2XM7QJNI7O0MB70AR" hidden="1">#REF!</definedName>
    <definedName name="BEx3CN9RAULQ5G0SAZ7LTJL0JTHJ" localSheetId="0" hidden="1">Weekly by #REF!</definedName>
    <definedName name="BEx3CN9RAULQ5G0SAZ7LTJL0JTHJ" localSheetId="1" hidden="1">Weekly by #REF!</definedName>
    <definedName name="BEx3CN9RAULQ5G0SAZ7LTJL0JTHJ" localSheetId="4" hidden="1">Weekly by #REF!</definedName>
    <definedName name="BEx3CN9RAULQ5G0SAZ7LTJL0JTHJ" localSheetId="5" hidden="1">Weekly by #REF!</definedName>
    <definedName name="BEx3CN9RAULQ5G0SAZ7LTJL0JTHJ" localSheetId="6" hidden="1">Weekly by #REF!</definedName>
    <definedName name="BEx3CN9RAULQ5G0SAZ7LTJL0JTHJ" localSheetId="7" hidden="1">Weekly by #REF!</definedName>
    <definedName name="BEx3CN9RAULQ5G0SAZ7LTJL0JTHJ" localSheetId="11" hidden="1">Weekly by #REF!</definedName>
    <definedName name="BEx3CN9RAULQ5G0SAZ7LTJL0JTHJ" localSheetId="2" hidden="1">Weekly by #REF!</definedName>
    <definedName name="BEx3CN9RAULQ5G0SAZ7LTJL0JTHJ" localSheetId="10" hidden="1">Weekly by #REF!</definedName>
    <definedName name="BEx3CN9RAULQ5G0SAZ7LTJL0JTHJ" hidden="1">Weekly by #REF!</definedName>
    <definedName name="BEx3CR0P2FKDEUKK2ZC25R3OFIMB" localSheetId="0" hidden="1">Weekly by #REF!</definedName>
    <definedName name="BEx3CR0P2FKDEUKK2ZC25R3OFIMB" localSheetId="1" hidden="1">Weekly by #REF!</definedName>
    <definedName name="BEx3CR0P2FKDEUKK2ZC25R3OFIMB" localSheetId="4" hidden="1">Weekly by #REF!</definedName>
    <definedName name="BEx3CR0P2FKDEUKK2ZC25R3OFIMB" localSheetId="5" hidden="1">Weekly by #REF!</definedName>
    <definedName name="BEx3CR0P2FKDEUKK2ZC25R3OFIMB" localSheetId="6" hidden="1">Weekly by #REF!</definedName>
    <definedName name="BEx3CR0P2FKDEUKK2ZC25R3OFIMB" localSheetId="7" hidden="1">Weekly by #REF!</definedName>
    <definedName name="BEx3CR0P2FKDEUKK2ZC25R3OFIMB" localSheetId="11" hidden="1">Weekly by #REF!</definedName>
    <definedName name="BEx3CR0P2FKDEUKK2ZC25R3OFIMB" localSheetId="2" hidden="1">Weekly by #REF!</definedName>
    <definedName name="BEx3CR0P2FKDEUKK2ZC25R3OFIMB" localSheetId="10" hidden="1">Weekly by #REF!</definedName>
    <definedName name="BEx3CR0P2FKDEUKK2ZC25R3OFIMB" hidden="1">Weekly by #REF!</definedName>
    <definedName name="BEx3D35KVB55GTY44YX4O9YGEVQI" localSheetId="0" hidden="1">#REF!</definedName>
    <definedName name="BEx3D35KVB55GTY44YX4O9YGEVQI" localSheetId="2" hidden="1">#REF!</definedName>
    <definedName name="BEx3D35KVB55GTY44YX4O9YGEVQI" hidden="1">#REF!</definedName>
    <definedName name="BEx3E22INXU2VKWET4AVSBR8WAD6" localSheetId="0" hidden="1">#REF!</definedName>
    <definedName name="BEx3E22INXU2VKWET4AVSBR8WAD6" localSheetId="2" hidden="1">#REF!</definedName>
    <definedName name="BEx3E22INXU2VKWET4AVSBR8WAD6" hidden="1">#REF!</definedName>
    <definedName name="BEx3EL912059CRDHNETODVVWP1MH" localSheetId="0" hidden="1">Weekly by #REF!</definedName>
    <definedName name="BEx3EL912059CRDHNETODVVWP1MH" localSheetId="1" hidden="1">Weekly by #REF!</definedName>
    <definedName name="BEx3EL912059CRDHNETODVVWP1MH" localSheetId="4" hidden="1">Weekly by #REF!</definedName>
    <definedName name="BEx3EL912059CRDHNETODVVWP1MH" localSheetId="5" hidden="1">Weekly by #REF!</definedName>
    <definedName name="BEx3EL912059CRDHNETODVVWP1MH" localSheetId="6" hidden="1">Weekly by #REF!</definedName>
    <definedName name="BEx3EL912059CRDHNETODVVWP1MH" localSheetId="7" hidden="1">Weekly by #REF!</definedName>
    <definedName name="BEx3EL912059CRDHNETODVVWP1MH" localSheetId="11" hidden="1">Weekly by #REF!</definedName>
    <definedName name="BEx3EL912059CRDHNETODVVWP1MH" localSheetId="2" hidden="1">Weekly by #REF!</definedName>
    <definedName name="BEx3EL912059CRDHNETODVVWP1MH" localSheetId="10" hidden="1">Weekly by #REF!</definedName>
    <definedName name="BEx3EL912059CRDHNETODVVWP1MH" hidden="1">Weekly by #REF!</definedName>
    <definedName name="BEx3EQY1DLE7G1BN4GY27QI7C7L8" localSheetId="0" hidden="1">#REF!</definedName>
    <definedName name="BEx3EQY1DLE7G1BN4GY27QI7C7L8" localSheetId="2" hidden="1">#REF!</definedName>
    <definedName name="BEx3EQY1DLE7G1BN4GY27QI7C7L8" hidden="1">#REF!</definedName>
    <definedName name="BEx3FG4DPAPTA9PM2Q6BMWI6BIHV" localSheetId="0" hidden="1">#REF!</definedName>
    <definedName name="BEx3FG4DPAPTA9PM2Q6BMWI6BIHV" localSheetId="2" hidden="1">#REF!</definedName>
    <definedName name="BEx3FG4DPAPTA9PM2Q6BMWI6BIHV" hidden="1">#REF!</definedName>
    <definedName name="BEx3G8FY85SUKO01ZJQZYO51EA75" localSheetId="0" hidden="1">#REF!</definedName>
    <definedName name="BEx3G8FY85SUKO01ZJQZYO51EA75" hidden="1">#REF!</definedName>
    <definedName name="BEx3GDZH5KHUU0C7RY1PDVGKTH8E" localSheetId="0" hidden="1">#REF!</definedName>
    <definedName name="BEx3GDZH5KHUU0C7RY1PDVGKTH8E" hidden="1">#REF!</definedName>
    <definedName name="BEx3GQ9V1DONRHIKU8HGIPUP1EGT" localSheetId="0" hidden="1">#REF!</definedName>
    <definedName name="BEx3GQ9V1DONRHIKU8HGIPUP1EGT" hidden="1">#REF!</definedName>
    <definedName name="BEx3HZ2SP5I7SY27SM9266GALW9V" localSheetId="0" hidden="1">#REF!</definedName>
    <definedName name="BEx3HZ2SP5I7SY27SM9266GALW9V" hidden="1">#REF!</definedName>
    <definedName name="BEx3IMLPLFDY04Z6ON69TCWA33TL" localSheetId="0" hidden="1">#REF!</definedName>
    <definedName name="BEx3IMLPLFDY04Z6ON69TCWA33TL" hidden="1">#REF!</definedName>
    <definedName name="BEx3IWN8YPN2XHSCISQB9608ZLOD" localSheetId="0" hidden="1">#REF!</definedName>
    <definedName name="BEx3IWN8YPN2XHSCISQB9608ZLOD" hidden="1">#REF!</definedName>
    <definedName name="BEx3J2XUDDF0SSPYVBJC3N2BVRNR" localSheetId="0" hidden="1">#REF!</definedName>
    <definedName name="BEx3J2XUDDF0SSPYVBJC3N2BVRNR" hidden="1">#REF!</definedName>
    <definedName name="BEx3JEMN9QMP943OQMGN5RQST7OV" localSheetId="0" hidden="1">#REF!</definedName>
    <definedName name="BEx3JEMN9QMP943OQMGN5RQST7OV" hidden="1">#REF!</definedName>
    <definedName name="BEx3JWB8EIB42E4QPNP0F6ZKJHSM" localSheetId="0" hidden="1">#REF!</definedName>
    <definedName name="BEx3JWB8EIB42E4QPNP0F6ZKJHSM" hidden="1">#REF!</definedName>
    <definedName name="BEx3JZAXL8KNT6BS2DKSBQW8WFTT" localSheetId="0" hidden="1">#REF!</definedName>
    <definedName name="BEx3JZAXL8KNT6BS2DKSBQW8WFTT" hidden="1">#REF!</definedName>
    <definedName name="BEx3K6HW24ML19XC26O0C3C34JTG" localSheetId="0" hidden="1">#REF!</definedName>
    <definedName name="BEx3K6HW24ML19XC26O0C3C34JTG" hidden="1">#REF!</definedName>
    <definedName name="BEx3K78YOI2P071V56MVNWOHLBZG" localSheetId="0" hidden="1">#REF!</definedName>
    <definedName name="BEx3K78YOI2P071V56MVNWOHLBZG" hidden="1">#REF!</definedName>
    <definedName name="BEx3L9WT886UPC0M8AH5Y82YAB1H" localSheetId="0" hidden="1">#REF!</definedName>
    <definedName name="BEx3L9WT886UPC0M8AH5Y82YAB1H" hidden="1">#REF!</definedName>
    <definedName name="BEx3LEK0CUQ1VX80AQ7LE5ZW9BWQ" localSheetId="0" hidden="1">#REF!</definedName>
    <definedName name="BEx3LEK0CUQ1VX80AQ7LE5ZW9BWQ" hidden="1">#REF!</definedName>
    <definedName name="BEx3LRQPBEYUQ8NMLL8AOZ2SXLOI" localSheetId="0" hidden="1">#REF!</definedName>
    <definedName name="BEx3LRQPBEYUQ8NMLL8AOZ2SXLOI" hidden="1">#REF!</definedName>
    <definedName name="BEx3LRW0HQ9DLTD1991VG5EVED1U" localSheetId="0" hidden="1">#REF!</definedName>
    <definedName name="BEx3LRW0HQ9DLTD1991VG5EVED1U" hidden="1">#REF!</definedName>
    <definedName name="BEx3LV1F1VMG1FSTFA69AZT7EIKD" localSheetId="0" hidden="1">#REF!</definedName>
    <definedName name="BEx3LV1F1VMG1FSTFA69AZT7EIKD" hidden="1">#REF!</definedName>
    <definedName name="BEx3M884LS06F3S4RVFK7XGG9NNK" localSheetId="0" hidden="1">Weekly by #REF!</definedName>
    <definedName name="BEx3M884LS06F3S4RVFK7XGG9NNK" localSheetId="1" hidden="1">Weekly by #REF!</definedName>
    <definedName name="BEx3M884LS06F3S4RVFK7XGG9NNK" localSheetId="4" hidden="1">Weekly by #REF!</definedName>
    <definedName name="BEx3M884LS06F3S4RVFK7XGG9NNK" localSheetId="5" hidden="1">Weekly by #REF!</definedName>
    <definedName name="BEx3M884LS06F3S4RVFK7XGG9NNK" localSheetId="6" hidden="1">Weekly by #REF!</definedName>
    <definedName name="BEx3M884LS06F3S4RVFK7XGG9NNK" localSheetId="7" hidden="1">Weekly by #REF!</definedName>
    <definedName name="BEx3M884LS06F3S4RVFK7XGG9NNK" localSheetId="11" hidden="1">Weekly by #REF!</definedName>
    <definedName name="BEx3M884LS06F3S4RVFK7XGG9NNK" localSheetId="2" hidden="1">Weekly by #REF!</definedName>
    <definedName name="BEx3M884LS06F3S4RVFK7XGG9NNK" localSheetId="10" hidden="1">Weekly by #REF!</definedName>
    <definedName name="BEx3M884LS06F3S4RVFK7XGG9NNK" hidden="1">Weekly by #REF!</definedName>
    <definedName name="BEx3MAMG3JSRCM4ZQ41JF7LACQUT" localSheetId="0" hidden="1">#REF!</definedName>
    <definedName name="BEx3MAMG3JSRCM4ZQ41JF7LACQUT" localSheetId="2" hidden="1">#REF!</definedName>
    <definedName name="BEx3MAMG3JSRCM4ZQ41JF7LACQUT" hidden="1">#REF!</definedName>
    <definedName name="BEx3MW1VHR8JIAS5J58XQ0CC4L8U" localSheetId="0" hidden="1">#REF!</definedName>
    <definedName name="BEx3MW1VHR8JIAS5J58XQ0CC4L8U" localSheetId="2" hidden="1">#REF!</definedName>
    <definedName name="BEx3MW1VHR8JIAS5J58XQ0CC4L8U" hidden="1">#REF!</definedName>
    <definedName name="BEx3N51IHA88UXRPEENI44P0KP7U" localSheetId="0" hidden="1">#REF!</definedName>
    <definedName name="BEx3N51IHA88UXRPEENI44P0KP7U" hidden="1">#REF!</definedName>
    <definedName name="BEx3N7FW0O3BI5FG5H3TN8ESSC61" localSheetId="0" hidden="1">#REF!</definedName>
    <definedName name="BEx3N7FW0O3BI5FG5H3TN8ESSC61" hidden="1">#REF!</definedName>
    <definedName name="BEx3N7VYL8CCBFTRFOA6W3BWAQJ0" localSheetId="0" hidden="1">#REF!</definedName>
    <definedName name="BEx3N7VYL8CCBFTRFOA6W3BWAQJ0" hidden="1">#REF!</definedName>
    <definedName name="BEx3NY9FTUCR9B9YMRVKMHB00JV6" localSheetId="0" hidden="1">Weekly by #REF!</definedName>
    <definedName name="BEx3NY9FTUCR9B9YMRVKMHB00JV6" localSheetId="1" hidden="1">Weekly by #REF!</definedName>
    <definedName name="BEx3NY9FTUCR9B9YMRVKMHB00JV6" localSheetId="4" hidden="1">Weekly by #REF!</definedName>
    <definedName name="BEx3NY9FTUCR9B9YMRVKMHB00JV6" localSheetId="5" hidden="1">Weekly by #REF!</definedName>
    <definedName name="BEx3NY9FTUCR9B9YMRVKMHB00JV6" localSheetId="6" hidden="1">Weekly by #REF!</definedName>
    <definedName name="BEx3NY9FTUCR9B9YMRVKMHB00JV6" localSheetId="7" hidden="1">Weekly by #REF!</definedName>
    <definedName name="BEx3NY9FTUCR9B9YMRVKMHB00JV6" localSheetId="11" hidden="1">Weekly by #REF!</definedName>
    <definedName name="BEx3NY9FTUCR9B9YMRVKMHB00JV6" localSheetId="2" hidden="1">Weekly by #REF!</definedName>
    <definedName name="BEx3NY9FTUCR9B9YMRVKMHB00JV6" localSheetId="10" hidden="1">Weekly by #REF!</definedName>
    <definedName name="BEx3NY9FTUCR9B9YMRVKMHB00JV6" hidden="1">Weekly by #REF!</definedName>
    <definedName name="BEx3O85IKWARA6NCJOLRBRJFMEWW" localSheetId="0" hidden="1">#REF!</definedName>
    <definedName name="BEx3O85IKWARA6NCJOLRBRJFMEWW" localSheetId="2" hidden="1">#REF!</definedName>
    <definedName name="BEx3O85IKWARA6NCJOLRBRJFMEWW" hidden="1">#REF!</definedName>
    <definedName name="BEx3OK5349EJ2XRYXV7W13YG9FSL" localSheetId="0" hidden="1">#REF!</definedName>
    <definedName name="BEx3OK5349EJ2XRYXV7W13YG9FSL" localSheetId="2" hidden="1">#REF!</definedName>
    <definedName name="BEx3OK5349EJ2XRYXV7W13YG9FSL" hidden="1">#REF!</definedName>
    <definedName name="BEx3OSDPC76YELEXOE4HPHR08Z63" localSheetId="0" hidden="1">#REF!</definedName>
    <definedName name="BEx3OSDPC76YELEXOE4HPHR08Z63" localSheetId="2" hidden="1">#REF!</definedName>
    <definedName name="BEx3OSDPC76YELEXOE4HPHR08Z63" hidden="1">#REF!</definedName>
    <definedName name="BEx3P54EFPJ9XERKXPZGLNSLQXCN" localSheetId="0" hidden="1">#REF!</definedName>
    <definedName name="BEx3P54EFPJ9XERKXPZGLNSLQXCN" hidden="1">#REF!</definedName>
    <definedName name="BEx3PH99MLZU1LB38QDL3NELDJBG" localSheetId="0" hidden="1">#REF!</definedName>
    <definedName name="BEx3PH99MLZU1LB38QDL3NELDJBG" hidden="1">#REF!</definedName>
    <definedName name="BEx3PN92ASU9YNF053MK1A6Q9QIC" localSheetId="0" hidden="1">#REF!</definedName>
    <definedName name="BEx3PN92ASU9YNF053MK1A6Q9QIC" hidden="1">#REF!</definedName>
    <definedName name="BEx3PPNDD7L6SUISGSI2D375NSCH" localSheetId="0" hidden="1">#REF!</definedName>
    <definedName name="BEx3PPNDD7L6SUISGSI2D375NSCH" hidden="1">#REF!</definedName>
    <definedName name="BEx3PQZZ6L9TOCDKNGIDPO8Y2G54" localSheetId="0" hidden="1">#REF!</definedName>
    <definedName name="BEx3PQZZ6L9TOCDKNGIDPO8Y2G54" hidden="1">#REF!</definedName>
    <definedName name="BEx3PT3JUDVQUG0D6GRYUC2L7E5Z" localSheetId="0" hidden="1">#REF!</definedName>
    <definedName name="BEx3PT3JUDVQUG0D6GRYUC2L7E5Z" hidden="1">#REF!</definedName>
    <definedName name="BEx3Q3QHHJB3PUJIXDIL8G6EHCRE" localSheetId="0" hidden="1">#REF!</definedName>
    <definedName name="BEx3Q3QHHJB3PUJIXDIL8G6EHCRE" hidden="1">#REF!</definedName>
    <definedName name="BEx3Q9QA35ZVN9VVHN81BBIVN881" localSheetId="0" hidden="1">#REF!</definedName>
    <definedName name="BEx3Q9QA35ZVN9VVHN81BBIVN881" hidden="1">#REF!</definedName>
    <definedName name="BEx3QD0XYUEL1G6J200V2STCORG5" localSheetId="0" hidden="1">#REF!</definedName>
    <definedName name="BEx3QD0XYUEL1G6J200V2STCORG5" hidden="1">#REF!</definedName>
    <definedName name="BEx3QH2K40ZZFYJES4QCRY78Q560" localSheetId="0" hidden="1">#REF!</definedName>
    <definedName name="BEx3QH2K40ZZFYJES4QCRY78Q560" hidden="1">#REF!</definedName>
    <definedName name="BEx3QRV0I0B15BBAP2T5UJ9T8V28" localSheetId="0" hidden="1">#REF!</definedName>
    <definedName name="BEx3QRV0I0B15BBAP2T5UJ9T8V28" hidden="1">#REF!</definedName>
    <definedName name="BEx3RSFBB83TAKX7N3F394TT3RW4" localSheetId="0" hidden="1">#REF!</definedName>
    <definedName name="BEx3RSFBB83TAKX7N3F394TT3RW4" hidden="1">#REF!</definedName>
    <definedName name="BEx3S2WXUEQA8PLX4U6G9LJB63ZN" localSheetId="0" hidden="1">#REF!</definedName>
    <definedName name="BEx3S2WXUEQA8PLX4U6G9LJB63ZN" hidden="1">#REF!</definedName>
    <definedName name="BEx3S37Q119QDD8A2BATR4K6R9TT" localSheetId="0" hidden="1">Weekly by #REF!</definedName>
    <definedName name="BEx3S37Q119QDD8A2BATR4K6R9TT" localSheetId="1" hidden="1">Weekly by #REF!</definedName>
    <definedName name="BEx3S37Q119QDD8A2BATR4K6R9TT" localSheetId="4" hidden="1">Weekly by #REF!</definedName>
    <definedName name="BEx3S37Q119QDD8A2BATR4K6R9TT" localSheetId="5" hidden="1">Weekly by #REF!</definedName>
    <definedName name="BEx3S37Q119QDD8A2BATR4K6R9TT" localSheetId="6" hidden="1">Weekly by #REF!</definedName>
    <definedName name="BEx3S37Q119QDD8A2BATR4K6R9TT" localSheetId="7" hidden="1">Weekly by #REF!</definedName>
    <definedName name="BEx3S37Q119QDD8A2BATR4K6R9TT" localSheetId="11" hidden="1">Weekly by #REF!</definedName>
    <definedName name="BEx3S37Q119QDD8A2BATR4K6R9TT" localSheetId="2" hidden="1">Weekly by #REF!</definedName>
    <definedName name="BEx3S37Q119QDD8A2BATR4K6R9TT" localSheetId="10" hidden="1">Weekly by #REF!</definedName>
    <definedName name="BEx3S37Q119QDD8A2BATR4K6R9TT" hidden="1">Weekly by #REF!</definedName>
    <definedName name="BEx3SL1NUYCLQWKW8EFSFZGONHKE" localSheetId="0" hidden="1">#REF!</definedName>
    <definedName name="BEx3SL1NUYCLQWKW8EFSFZGONHKE" localSheetId="2" hidden="1">#REF!</definedName>
    <definedName name="BEx3SL1NUYCLQWKW8EFSFZGONHKE" hidden="1">#REF!</definedName>
    <definedName name="BEx3SP37F3VAC1LV0SKWVZO78TZZ" localSheetId="0" hidden="1">Weekly by #REF!</definedName>
    <definedName name="BEx3SP37F3VAC1LV0SKWVZO78TZZ" localSheetId="1" hidden="1">Weekly by #REF!</definedName>
    <definedName name="BEx3SP37F3VAC1LV0SKWVZO78TZZ" localSheetId="4" hidden="1">Weekly by #REF!</definedName>
    <definedName name="BEx3SP37F3VAC1LV0SKWVZO78TZZ" localSheetId="5" hidden="1">Weekly by #REF!</definedName>
    <definedName name="BEx3SP37F3VAC1LV0SKWVZO78TZZ" localSheetId="6" hidden="1">Weekly by #REF!</definedName>
    <definedName name="BEx3SP37F3VAC1LV0SKWVZO78TZZ" localSheetId="7" hidden="1">Weekly by #REF!</definedName>
    <definedName name="BEx3SP37F3VAC1LV0SKWVZO78TZZ" localSheetId="11" hidden="1">Weekly by #REF!</definedName>
    <definedName name="BEx3SP37F3VAC1LV0SKWVZO78TZZ" localSheetId="2" hidden="1">Weekly by #REF!</definedName>
    <definedName name="BEx3SP37F3VAC1LV0SKWVZO78TZZ" localSheetId="10" hidden="1">Weekly by #REF!</definedName>
    <definedName name="BEx3SP37F3VAC1LV0SKWVZO78TZZ" hidden="1">Weekly by #REF!</definedName>
    <definedName name="BEx3ST4Y5OZXSIK7V846SMFT5B23" localSheetId="0" hidden="1">#REF!</definedName>
    <definedName name="BEx3ST4Y5OZXSIK7V846SMFT5B23" localSheetId="2" hidden="1">#REF!</definedName>
    <definedName name="BEx3ST4Y5OZXSIK7V846SMFT5B23" hidden="1">#REF!</definedName>
    <definedName name="BEx3SWQG9ED1M1Q5D63K0HZ15GQG" localSheetId="0" hidden="1">#REF!</definedName>
    <definedName name="BEx3SWQG9ED1M1Q5D63K0HZ15GQG" localSheetId="2" hidden="1">#REF!</definedName>
    <definedName name="BEx3SWQG9ED1M1Q5D63K0HZ15GQG" hidden="1">#REF!</definedName>
    <definedName name="BEx3SZKUY4XRG32Q9HLUI7LVXVG9" localSheetId="0" hidden="1">#REF!</definedName>
    <definedName name="BEx3SZKUY4XRG32Q9HLUI7LVXVG9" hidden="1">#REF!</definedName>
    <definedName name="BEx3TEPSM88IET8PDLKKCHMFEMFM" localSheetId="0" hidden="1">#REF!</definedName>
    <definedName name="BEx3TEPSM88IET8PDLKKCHMFEMFM" hidden="1">#REF!</definedName>
    <definedName name="BEx3TO09F9SV99SJXCUC1B49RVCJ" localSheetId="0" hidden="1">#REF!</definedName>
    <definedName name="BEx3TO09F9SV99SJXCUC1B49RVCJ" hidden="1">#REF!</definedName>
    <definedName name="BEx3UJBQWUJW9KX0PXKZ4TRHMR71" localSheetId="0" hidden="1">#REF!</definedName>
    <definedName name="BEx3UJBQWUJW9KX0PXKZ4TRHMR71" hidden="1">#REF!</definedName>
    <definedName name="BEx3V6EJO8BG91O9M5DVBLNPDBKG" localSheetId="0" hidden="1">#REF!</definedName>
    <definedName name="BEx3V6EJO8BG91O9M5DVBLNPDBKG" hidden="1">#REF!</definedName>
    <definedName name="BEx3VGLDULMESFRCG1QSTGM5VMK6" localSheetId="0" hidden="1">#REF!</definedName>
    <definedName name="BEx3VGLDULMESFRCG1QSTGM5VMK6" hidden="1">#REF!</definedName>
    <definedName name="BEx5802QAJKNHFBFPTR0PSRHQPJE" localSheetId="0" hidden="1">#REF!</definedName>
    <definedName name="BEx5802QAJKNHFBFPTR0PSRHQPJE" hidden="1">#REF!</definedName>
    <definedName name="BEx591ZJ14LAJI4Q8DU3CQQBHZDV" localSheetId="0" hidden="1">#REF!</definedName>
    <definedName name="BEx591ZJ14LAJI4Q8DU3CQQBHZDV" hidden="1">#REF!</definedName>
    <definedName name="BEx59WPJZYWUOEGJHPOVM5ETCM6G" localSheetId="0" hidden="1">#REF!</definedName>
    <definedName name="BEx59WPJZYWUOEGJHPOVM5ETCM6G" hidden="1">#REF!</definedName>
    <definedName name="BEx5A53I4OI80LV9DRIR9EFD2XUD" localSheetId="0" hidden="1">#REF!</definedName>
    <definedName name="BEx5A53I4OI80LV9DRIR9EFD2XUD" hidden="1">#REF!</definedName>
    <definedName name="BEx5ACAHJPLAS35SPSXQ88PJYGPI" localSheetId="0" hidden="1">#REF!</definedName>
    <definedName name="BEx5ACAHJPLAS35SPSXQ88PJYGPI" hidden="1">#REF!</definedName>
    <definedName name="BEx5ANDOOW91YBCYUL4H4JOJKCSS" localSheetId="0" hidden="1">#REF!</definedName>
    <definedName name="BEx5ANDOOW91YBCYUL4H4JOJKCSS" hidden="1">#REF!</definedName>
    <definedName name="BEx5ARQ6V82KDMN77WT0B1AK7B5S" localSheetId="0" hidden="1">#REF!</definedName>
    <definedName name="BEx5ARQ6V82KDMN77WT0B1AK7B5S" hidden="1">#REF!</definedName>
    <definedName name="BEx5BG00KXVW8ULFOPJKT3H6RY8Z" localSheetId="0" hidden="1">#REF!</definedName>
    <definedName name="BEx5BG00KXVW8ULFOPJKT3H6RY8Z" hidden="1">#REF!</definedName>
    <definedName name="BEx5BQN48A0P0HALA6YWGQLFIY7R" localSheetId="0" hidden="1">#REF!</definedName>
    <definedName name="BEx5BQN48A0P0HALA6YWGQLFIY7R" hidden="1">#REF!</definedName>
    <definedName name="BEx5CNR9ZYFH7VDST1YKR6JOAOVD" localSheetId="0" hidden="1">#REF!</definedName>
    <definedName name="BEx5CNR9ZYFH7VDST1YKR6JOAOVD" hidden="1">#REF!</definedName>
    <definedName name="BEx5CQR6PPHZ1S1UI8J4XM1TRDYC" localSheetId="0" hidden="1">#REF!</definedName>
    <definedName name="BEx5CQR6PPHZ1S1UI8J4XM1TRDYC" hidden="1">#REF!</definedName>
    <definedName name="BEx5E17EVROG851N0427PEKBQW6X" localSheetId="0" hidden="1">#REF!</definedName>
    <definedName name="BEx5E17EVROG851N0427PEKBQW6X" hidden="1">#REF!</definedName>
    <definedName name="BEx5E7NGXXV6OTJFBR4KJQLZPIH5" localSheetId="0" hidden="1">Weekly by #REF!</definedName>
    <definedName name="BEx5E7NGXXV6OTJFBR4KJQLZPIH5" localSheetId="1" hidden="1">Weekly by #REF!</definedName>
    <definedName name="BEx5E7NGXXV6OTJFBR4KJQLZPIH5" localSheetId="4" hidden="1">Weekly by #REF!</definedName>
    <definedName name="BEx5E7NGXXV6OTJFBR4KJQLZPIH5" localSheetId="5" hidden="1">Weekly by #REF!</definedName>
    <definedName name="BEx5E7NGXXV6OTJFBR4KJQLZPIH5" localSheetId="6" hidden="1">Weekly by #REF!</definedName>
    <definedName name="BEx5E7NGXXV6OTJFBR4KJQLZPIH5" localSheetId="7" hidden="1">Weekly by #REF!</definedName>
    <definedName name="BEx5E7NGXXV6OTJFBR4KJQLZPIH5" localSheetId="11" hidden="1">Weekly by #REF!</definedName>
    <definedName name="BEx5E7NGXXV6OTJFBR4KJQLZPIH5" localSheetId="2" hidden="1">Weekly by #REF!</definedName>
    <definedName name="BEx5E7NGXXV6OTJFBR4KJQLZPIH5" localSheetId="10" hidden="1">Weekly by #REF!</definedName>
    <definedName name="BEx5E7NGXXV6OTJFBR4KJQLZPIH5" hidden="1">Weekly by #REF!</definedName>
    <definedName name="BEx5EMHHKM10I7CZE791M6ZFFTZ3" localSheetId="0" hidden="1">#REF!</definedName>
    <definedName name="BEx5EMHHKM10I7CZE791M6ZFFTZ3" localSheetId="2" hidden="1">#REF!</definedName>
    <definedName name="BEx5EMHHKM10I7CZE791M6ZFFTZ3" hidden="1">#REF!</definedName>
    <definedName name="BEx5EZ2ORDJQSTT4KQMZALOFR80B" localSheetId="0" hidden="1">#REF!</definedName>
    <definedName name="BEx5EZ2ORDJQSTT4KQMZALOFR80B" localSheetId="2" hidden="1">#REF!</definedName>
    <definedName name="BEx5EZ2ORDJQSTT4KQMZALOFR80B" hidden="1">#REF!</definedName>
    <definedName name="BEx5FGR7YST9UWW32VFER0W4LEF2" localSheetId="0" hidden="1">#REF!</definedName>
    <definedName name="BEx5FGR7YST9UWW32VFER0W4LEF2" hidden="1">#REF!</definedName>
    <definedName name="BEx5FNNEGYJUJLGLLQPIEOV4J50C" localSheetId="0" hidden="1">Weekly by #REF!</definedName>
    <definedName name="BEx5FNNEGYJUJLGLLQPIEOV4J50C" localSheetId="1" hidden="1">Weekly by #REF!</definedName>
    <definedName name="BEx5FNNEGYJUJLGLLQPIEOV4J50C" localSheetId="4" hidden="1">Weekly by #REF!</definedName>
    <definedName name="BEx5FNNEGYJUJLGLLQPIEOV4J50C" localSheetId="5" hidden="1">Weekly by #REF!</definedName>
    <definedName name="BEx5FNNEGYJUJLGLLQPIEOV4J50C" localSheetId="6" hidden="1">Weekly by #REF!</definedName>
    <definedName name="BEx5FNNEGYJUJLGLLQPIEOV4J50C" localSheetId="7" hidden="1">Weekly by #REF!</definedName>
    <definedName name="BEx5FNNEGYJUJLGLLQPIEOV4J50C" localSheetId="11" hidden="1">Weekly by #REF!</definedName>
    <definedName name="BEx5FNNEGYJUJLGLLQPIEOV4J50C" localSheetId="2" hidden="1">Weekly by #REF!</definedName>
    <definedName name="BEx5FNNEGYJUJLGLLQPIEOV4J50C" localSheetId="10" hidden="1">Weekly by #REF!</definedName>
    <definedName name="BEx5FNNEGYJUJLGLLQPIEOV4J50C" hidden="1">Weekly by #REF!</definedName>
    <definedName name="BEx5FSW55LVAZI956T9XU4KIBELE" localSheetId="0" hidden="1">#REF!</definedName>
    <definedName name="BEx5FSW55LVAZI956T9XU4KIBELE" localSheetId="2" hidden="1">#REF!</definedName>
    <definedName name="BEx5FSW55LVAZI956T9XU4KIBELE" hidden="1">#REF!</definedName>
    <definedName name="BEx5FTCEIIRM9OOPXK6PB2KJSLTA" localSheetId="0" hidden="1">#REF!</definedName>
    <definedName name="BEx5FTCEIIRM9OOPXK6PB2KJSLTA" localSheetId="2" hidden="1">#REF!</definedName>
    <definedName name="BEx5FTCEIIRM9OOPXK6PB2KJSLTA" hidden="1">#REF!</definedName>
    <definedName name="BEx5G8H70AOIQNK90C2VU5BAF8TV" localSheetId="0" hidden="1">#REF!</definedName>
    <definedName name="BEx5G8H70AOIQNK90C2VU5BAF8TV" hidden="1">#REF!</definedName>
    <definedName name="BEx5GE66YNPSS5MSPTBXLYLNUHSJ" localSheetId="0" hidden="1">#REF!</definedName>
    <definedName name="BEx5GE66YNPSS5MSPTBXLYLNUHSJ" hidden="1">#REF!</definedName>
    <definedName name="BEx5GL2CVWMY3S947ALVPBQG1W21" localSheetId="0" hidden="1">#REF!</definedName>
    <definedName name="BEx5GL2CVWMY3S947ALVPBQG1W21" hidden="1">#REF!</definedName>
    <definedName name="BEx5GT5PB17R2GKX3F4H7WWN4M94" localSheetId="0" hidden="1">#REF!</definedName>
    <definedName name="BEx5GT5PB17R2GKX3F4H7WWN4M94" hidden="1">#REF!</definedName>
    <definedName name="BEx5GZR2KDETMC7ZPNE1YU6YELWI" localSheetId="0" hidden="1">#REF!</definedName>
    <definedName name="BEx5GZR2KDETMC7ZPNE1YU6YELWI" hidden="1">#REF!</definedName>
    <definedName name="BEx5H2WFSII73OJ41QGRAZ28JO53" localSheetId="0" hidden="1">#REF!</definedName>
    <definedName name="BEx5H2WFSII73OJ41QGRAZ28JO53" hidden="1">#REF!</definedName>
    <definedName name="BEx5I3B4OHOD6SAPLK3PZDRO1GYC" localSheetId="0" hidden="1">#REF!</definedName>
    <definedName name="BEx5I3B4OHOD6SAPLK3PZDRO1GYC" hidden="1">#REF!</definedName>
    <definedName name="BEx5I4CZWURJPJZH95QO8E7MXFWV" localSheetId="0" hidden="1">#REF!</definedName>
    <definedName name="BEx5I4CZWURJPJZH95QO8E7MXFWV" hidden="1">#REF!</definedName>
    <definedName name="BEx5IDY8PP3HBIGQPDQ46PYRBHK7" localSheetId="0" hidden="1">#REF!</definedName>
    <definedName name="BEx5IDY8PP3HBIGQPDQ46PYRBHK7" hidden="1">#REF!</definedName>
    <definedName name="BEx5JC4437H48ZR2UM14GAZ6328R" localSheetId="0" hidden="1">#REF!</definedName>
    <definedName name="BEx5JC4437H48ZR2UM14GAZ6328R" hidden="1">#REF!</definedName>
    <definedName name="BEx5JENVO7X0TBQGRMGKRTMFB470" localSheetId="0" hidden="1">#REF!</definedName>
    <definedName name="BEx5JENVO7X0TBQGRMGKRTMFB470" hidden="1">#REF!</definedName>
    <definedName name="BEx5JOP9JGD6RGKP1PYP6SZWPKHY" localSheetId="0" hidden="1">Weekly by #REF!</definedName>
    <definedName name="BEx5JOP9JGD6RGKP1PYP6SZWPKHY" localSheetId="1" hidden="1">Weekly by #REF!</definedName>
    <definedName name="BEx5JOP9JGD6RGKP1PYP6SZWPKHY" localSheetId="4" hidden="1">Weekly by #REF!</definedName>
    <definedName name="BEx5JOP9JGD6RGKP1PYP6SZWPKHY" localSheetId="5" hidden="1">Weekly by #REF!</definedName>
    <definedName name="BEx5JOP9JGD6RGKP1PYP6SZWPKHY" localSheetId="6" hidden="1">Weekly by #REF!</definedName>
    <definedName name="BEx5JOP9JGD6RGKP1PYP6SZWPKHY" localSheetId="7" hidden="1">Weekly by #REF!</definedName>
    <definedName name="BEx5JOP9JGD6RGKP1PYP6SZWPKHY" localSheetId="11" hidden="1">Weekly by #REF!</definedName>
    <definedName name="BEx5JOP9JGD6RGKP1PYP6SZWPKHY" localSheetId="2" hidden="1">Weekly by #REF!</definedName>
    <definedName name="BEx5JOP9JGD6RGKP1PYP6SZWPKHY" localSheetId="10" hidden="1">Weekly by #REF!</definedName>
    <definedName name="BEx5JOP9JGD6RGKP1PYP6SZWPKHY" hidden="1">Weekly by #REF!</definedName>
    <definedName name="BEx5JP02DZ97IB62ITCKG1MMWBKN" localSheetId="0" hidden="1">#REF!</definedName>
    <definedName name="BEx5JP02DZ97IB62ITCKG1MMWBKN" localSheetId="2" hidden="1">#REF!</definedName>
    <definedName name="BEx5JP02DZ97IB62ITCKG1MMWBKN" hidden="1">#REF!</definedName>
    <definedName name="BEx5JR91NO6ECBKQUI7KBAUHVWQY" localSheetId="0" hidden="1">#REF!</definedName>
    <definedName name="BEx5JR91NO6ECBKQUI7KBAUHVWQY" localSheetId="2" hidden="1">#REF!</definedName>
    <definedName name="BEx5JR91NO6ECBKQUI7KBAUHVWQY" hidden="1">#REF!</definedName>
    <definedName name="BEx5JTHW7OW4QTNV5XZ3NC20LDLF" localSheetId="0" hidden="1">#REF!</definedName>
    <definedName name="BEx5JTHW7OW4QTNV5XZ3NC20LDLF" hidden="1">#REF!</definedName>
    <definedName name="BEx5K1AKPNBF18M8BS3MHI13PF7R" localSheetId="0" hidden="1">#REF!</definedName>
    <definedName name="BEx5K1AKPNBF18M8BS3MHI13PF7R" hidden="1">#REF!</definedName>
    <definedName name="BEx5K21HQCDNYPG2QWFOVS99PE4A" localSheetId="0" hidden="1">#REF!</definedName>
    <definedName name="BEx5K21HQCDNYPG2QWFOVS99PE4A" hidden="1">#REF!</definedName>
    <definedName name="BEx5K51DNXHJKOVGIE6WGYNQOZOQ" localSheetId="0" hidden="1">#REF!</definedName>
    <definedName name="BEx5K51DNXHJKOVGIE6WGYNQOZOQ" hidden="1">#REF!</definedName>
    <definedName name="BEx5KCJ4JCAHU2E4LCLVKFWL64CX" localSheetId="0" hidden="1">#REF!</definedName>
    <definedName name="BEx5KCJ4JCAHU2E4LCLVKFWL64CX" hidden="1">#REF!</definedName>
    <definedName name="BEx5KFDK6UY33QZ2PCCM2NJHTS6Y" localSheetId="0" hidden="1">Weekly by #REF!</definedName>
    <definedName name="BEx5KFDK6UY33QZ2PCCM2NJHTS6Y" localSheetId="1" hidden="1">Weekly by #REF!</definedName>
    <definedName name="BEx5KFDK6UY33QZ2PCCM2NJHTS6Y" localSheetId="4" hidden="1">Weekly by #REF!</definedName>
    <definedName name="BEx5KFDK6UY33QZ2PCCM2NJHTS6Y" localSheetId="5" hidden="1">Weekly by #REF!</definedName>
    <definedName name="BEx5KFDK6UY33QZ2PCCM2NJHTS6Y" localSheetId="6" hidden="1">Weekly by #REF!</definedName>
    <definedName name="BEx5KFDK6UY33QZ2PCCM2NJHTS6Y" localSheetId="7" hidden="1">Weekly by #REF!</definedName>
    <definedName name="BEx5KFDK6UY33QZ2PCCM2NJHTS6Y" localSheetId="11" hidden="1">Weekly by #REF!</definedName>
    <definedName name="BEx5KFDK6UY33QZ2PCCM2NJHTS6Y" localSheetId="2" hidden="1">Weekly by #REF!</definedName>
    <definedName name="BEx5KFDK6UY33QZ2PCCM2NJHTS6Y" localSheetId="10" hidden="1">Weekly by #REF!</definedName>
    <definedName name="BEx5KFDK6UY33QZ2PCCM2NJHTS6Y" hidden="1">Weekly by #REF!</definedName>
    <definedName name="BEx5KM9PJMIQFJSBANJO5FVW3Z28" localSheetId="0" hidden="1">#REF!</definedName>
    <definedName name="BEx5KM9PJMIQFJSBANJO5FVW3Z28" localSheetId="2" hidden="1">#REF!</definedName>
    <definedName name="BEx5KM9PJMIQFJSBANJO5FVW3Z28" hidden="1">#REF!</definedName>
    <definedName name="BEx5KOO1FHA4BJJBZGOZKTK8PRRN" localSheetId="0" hidden="1">#REF!</definedName>
    <definedName name="BEx5KOO1FHA4BJJBZGOZKTK8PRRN" localSheetId="2" hidden="1">#REF!</definedName>
    <definedName name="BEx5KOO1FHA4BJJBZGOZKTK8PRRN" hidden="1">#REF!</definedName>
    <definedName name="BEx5KRIL3PFC9PIM7NQWA09TEQWG" localSheetId="0" hidden="1">#REF!</definedName>
    <definedName name="BEx5KRIL3PFC9PIM7NQWA09TEQWG" hidden="1">#REF!</definedName>
    <definedName name="BEx5LWQ2YRWKLHNPUOX7A77685LZ" localSheetId="0" hidden="1">#REF!</definedName>
    <definedName name="BEx5LWQ2YRWKLHNPUOX7A77685LZ" hidden="1">#REF!</definedName>
    <definedName name="BEx5LYO5AGM9ICPKZBV7EN03XYO9" localSheetId="0" hidden="1">#REF!</definedName>
    <definedName name="BEx5LYO5AGM9ICPKZBV7EN03XYO9" hidden="1">#REF!</definedName>
    <definedName name="BEx5M7T5JER9G2MLDH3G50GCW8PO" localSheetId="0" hidden="1">#REF!</definedName>
    <definedName name="BEx5M7T5JER9G2MLDH3G50GCW8PO" hidden="1">#REF!</definedName>
    <definedName name="BEx5MAIGJD3C3AO0RGLKRTEZBVUE" localSheetId="0" hidden="1">#REF!</definedName>
    <definedName name="BEx5MAIGJD3C3AO0RGLKRTEZBVUE" hidden="1">#REF!</definedName>
    <definedName name="BEx5MJSWQ04VS8WFHCZXYA7ZWU81" localSheetId="0" hidden="1">#REF!</definedName>
    <definedName name="BEx5MJSWQ04VS8WFHCZXYA7ZWU81" hidden="1">#REF!</definedName>
    <definedName name="BEx5MLQZM68YQSKARVWTTPINFQ2C" localSheetId="0" hidden="1">#REF!</definedName>
    <definedName name="BEx5MLQZM68YQSKARVWTTPINFQ2C" localSheetId="2" hidden="1">#REF!</definedName>
    <definedName name="BEx5MLQZM68YQSKARVWTTPINFQ2C" hidden="1">#REF!</definedName>
    <definedName name="BEx5NUEM24ZED9VYADF1LHA31YNV" localSheetId="0" hidden="1">#REF!</definedName>
    <definedName name="BEx5NUEM24ZED9VYADF1LHA31YNV" hidden="1">#REF!</definedName>
    <definedName name="BEx5OC8I6E67QC5RU7U3O2YXIQNM" localSheetId="0" hidden="1">Weekly by #REF!</definedName>
    <definedName name="BEx5OC8I6E67QC5RU7U3O2YXIQNM" localSheetId="1" hidden="1">Weekly by #REF!</definedName>
    <definedName name="BEx5OC8I6E67QC5RU7U3O2YXIQNM" localSheetId="4" hidden="1">Weekly by #REF!</definedName>
    <definedName name="BEx5OC8I6E67QC5RU7U3O2YXIQNM" localSheetId="5" hidden="1">Weekly by #REF!</definedName>
    <definedName name="BEx5OC8I6E67QC5RU7U3O2YXIQNM" localSheetId="6" hidden="1">Weekly by #REF!</definedName>
    <definedName name="BEx5OC8I6E67QC5RU7U3O2YXIQNM" localSheetId="7" hidden="1">Weekly by #REF!</definedName>
    <definedName name="BEx5OC8I6E67QC5RU7U3O2YXIQNM" localSheetId="11" hidden="1">Weekly by #REF!</definedName>
    <definedName name="BEx5OC8I6E67QC5RU7U3O2YXIQNM" localSheetId="2" hidden="1">Weekly by #REF!</definedName>
    <definedName name="BEx5OC8I6E67QC5RU7U3O2YXIQNM" localSheetId="10" hidden="1">Weekly by #REF!</definedName>
    <definedName name="BEx5OC8I6E67QC5RU7U3O2YXIQNM" hidden="1">Weekly by #REF!</definedName>
    <definedName name="BEx5OHXI4R617RH4NY6VKOI4ZRA2" localSheetId="0" hidden="1">#REF!</definedName>
    <definedName name="BEx5OHXI4R617RH4NY6VKOI4ZRA2" localSheetId="2" hidden="1">#REF!</definedName>
    <definedName name="BEx5OHXI4R617RH4NY6VKOI4ZRA2" hidden="1">#REF!</definedName>
    <definedName name="BEx5OL2PIOLNL6YTTGP4DOPOTP2I" localSheetId="0" hidden="1">#REF!</definedName>
    <definedName name="BEx5OL2PIOLNL6YTTGP4DOPOTP2I" localSheetId="2" hidden="1">#REF!</definedName>
    <definedName name="BEx5OL2PIOLNL6YTTGP4DOPOTP2I" hidden="1">#REF!</definedName>
    <definedName name="BEx5OL87PVSZSDHUK8KZBXSXHK2L" localSheetId="0" hidden="1">#REF!</definedName>
    <definedName name="BEx5OL87PVSZSDHUK8KZBXSXHK2L" hidden="1">#REF!</definedName>
    <definedName name="BEx5OXIKDIYQDT89AL1I005KPLFQ" localSheetId="0" hidden="1">#REF!</definedName>
    <definedName name="BEx5OXIKDIYQDT89AL1I005KPLFQ" hidden="1">#REF!</definedName>
    <definedName name="BEx5PHG040UB6SAJGMT6H4JLV2O8" localSheetId="0" hidden="1">#REF!</definedName>
    <definedName name="BEx5PHG040UB6SAJGMT6H4JLV2O8" hidden="1">#REF!</definedName>
    <definedName name="BEx5PYJ1M7KNW4566RAPKTK159HP" localSheetId="0" hidden="1">#REF!</definedName>
    <definedName name="BEx5PYJ1M7KNW4566RAPKTK159HP" hidden="1">#REF!</definedName>
    <definedName name="BEx5QGT6ZJDVW73MNRC6IUML0GKF" localSheetId="0" hidden="1">#REF!</definedName>
    <definedName name="BEx5QGT6ZJDVW73MNRC6IUML0GKF" hidden="1">#REF!</definedName>
    <definedName name="BEx746ZZ73QHTXKD87X7R3HKC2KM" localSheetId="0" hidden="1">#REF!</definedName>
    <definedName name="BEx746ZZ73QHTXKD87X7R3HKC2KM" hidden="1">#REF!</definedName>
    <definedName name="BEx74IZJLRUQ03RCK06W91H2260J" localSheetId="0" hidden="1">#REF!</definedName>
    <definedName name="BEx74IZJLRUQ03RCK06W91H2260J" hidden="1">#REF!</definedName>
    <definedName name="BEx74SA24P18HD1G823PR09GSOUJ" localSheetId="0" hidden="1">#REF!</definedName>
    <definedName name="BEx74SA24P18HD1G823PR09GSOUJ" hidden="1">#REF!</definedName>
    <definedName name="BEx757V4HY4OAGXYAJGM7RJQE3NM" localSheetId="0" hidden="1">#REF!</definedName>
    <definedName name="BEx757V4HY4OAGXYAJGM7RJQE3NM" hidden="1">#REF!</definedName>
    <definedName name="BEx75BGL4B587TM29E78APZYJUTT" localSheetId="0" hidden="1">#REF!</definedName>
    <definedName name="BEx75BGL4B587TM29E78APZYJUTT" hidden="1">#REF!</definedName>
    <definedName name="BEx75FYF5HN6YW6ISLEQI3RZ47YC" localSheetId="0" hidden="1">#REF!</definedName>
    <definedName name="BEx75FYF5HN6YW6ISLEQI3RZ47YC" hidden="1">#REF!</definedName>
    <definedName name="BEx75MJT47XEWZSLZAG6IUOQKXIX" localSheetId="0" hidden="1">#REF!</definedName>
    <definedName name="BEx75MJT47XEWZSLZAG6IUOQKXIX" hidden="1">#REF!</definedName>
    <definedName name="BEx765A28KL05DU9PG2REPK40UX3" localSheetId="0" hidden="1">#REF!</definedName>
    <definedName name="BEx765A28KL05DU9PG2REPK40UX3" hidden="1">#REF!</definedName>
    <definedName name="BEx76JYS0G8OK98QXIQN8GF7JNG2" localSheetId="0" hidden="1">#REF!</definedName>
    <definedName name="BEx76JYS0G8OK98QXIQN8GF7JNG2" hidden="1">#REF!</definedName>
    <definedName name="BEx76RR9OCJS32K8CKOG5IHM5H5U" localSheetId="0" hidden="1">#REF!</definedName>
    <definedName name="BEx76RR9OCJS32K8CKOG5IHM5H5U" hidden="1">#REF!</definedName>
    <definedName name="BEx76V1XKGBEDZIV9DV1A2YV1JOI" localSheetId="0" hidden="1">#REF!</definedName>
    <definedName name="BEx76V1XKGBEDZIV9DV1A2YV1JOI" hidden="1">#REF!</definedName>
    <definedName name="BEx77001L5Y34BZBZ0VBXOYG4SBZ" localSheetId="0" hidden="1">#REF!</definedName>
    <definedName name="BEx77001L5Y34BZBZ0VBXOYG4SBZ" hidden="1">#REF!</definedName>
    <definedName name="BEx77KOF095QQI44XF9N5UVPFV39" localSheetId="0" hidden="1">Weekly by #REF!</definedName>
    <definedName name="BEx77KOF095QQI44XF9N5UVPFV39" localSheetId="1" hidden="1">Weekly by #REF!</definedName>
    <definedName name="BEx77KOF095QQI44XF9N5UVPFV39" localSheetId="4" hidden="1">Weekly by #REF!</definedName>
    <definedName name="BEx77KOF095QQI44XF9N5UVPFV39" localSheetId="5" hidden="1">Weekly by #REF!</definedName>
    <definedName name="BEx77KOF095QQI44XF9N5UVPFV39" localSheetId="6" hidden="1">Weekly by #REF!</definedName>
    <definedName name="BEx77KOF095QQI44XF9N5UVPFV39" localSheetId="7" hidden="1">Weekly by #REF!</definedName>
    <definedName name="BEx77KOF095QQI44XF9N5UVPFV39" localSheetId="11" hidden="1">Weekly by #REF!</definedName>
    <definedName name="BEx77KOF095QQI44XF9N5UVPFV39" localSheetId="2" hidden="1">Weekly by #REF!</definedName>
    <definedName name="BEx77KOF095QQI44XF9N5UVPFV39" localSheetId="10" hidden="1">Weekly by #REF!</definedName>
    <definedName name="BEx77KOF095QQI44XF9N5UVPFV39" hidden="1">Weekly by #REF!</definedName>
    <definedName name="BEx77OQ625E4LSEXLQEMAZHPDMMC" localSheetId="0" hidden="1">#REF!</definedName>
    <definedName name="BEx77OQ625E4LSEXLQEMAZHPDMMC" localSheetId="2" hidden="1">#REF!</definedName>
    <definedName name="BEx77OQ625E4LSEXLQEMAZHPDMMC" hidden="1">#REF!</definedName>
    <definedName name="BEx789URJN01WV9L2F600AIORQTD" localSheetId="0" hidden="1">#REF!</definedName>
    <definedName name="BEx789URJN01WV9L2F600AIORQTD" localSheetId="2" hidden="1">#REF!</definedName>
    <definedName name="BEx789URJN01WV9L2F600AIORQTD" hidden="1">#REF!</definedName>
    <definedName name="BEx78A5IYYCMR88AXOWEFKVY8371" localSheetId="0" hidden="1">#REF!</definedName>
    <definedName name="BEx78A5IYYCMR88AXOWEFKVY8371" hidden="1">#REF!</definedName>
    <definedName name="BEx78A5JAWI6EMCWJ7AJWGAH8AMJ" localSheetId="0" hidden="1">#REF!</definedName>
    <definedName name="BEx78A5JAWI6EMCWJ7AJWGAH8AMJ" hidden="1">#REF!</definedName>
    <definedName name="BEx78NSKC3OQCQ4WQAIZ6JURE7GW" localSheetId="0" hidden="1">#REF!</definedName>
    <definedName name="BEx78NSKC3OQCQ4WQAIZ6JURE7GW" hidden="1">#REF!</definedName>
    <definedName name="BEx78OOPYID4QYC9KQ8TPDG220E4" localSheetId="0" hidden="1">#REF!</definedName>
    <definedName name="BEx78OOPYID4QYC9KQ8TPDG220E4" hidden="1">#REF!</definedName>
    <definedName name="BEx79HRD8NL9EMUOALME68ALFZYA" localSheetId="0" hidden="1">#REF!</definedName>
    <definedName name="BEx79HRD8NL9EMUOALME68ALFZYA" hidden="1">#REF!</definedName>
    <definedName name="BEx79YOUHTDD16ZGGUBH3JDBW1VZ" localSheetId="0" hidden="1">#REF!</definedName>
    <definedName name="BEx79YOUHTDD16ZGGUBH3JDBW1VZ" hidden="1">#REF!</definedName>
    <definedName name="BEx7AQV3PGI9EVX19Y61TNZWQD3Z" localSheetId="0" hidden="1">#REF!</definedName>
    <definedName name="BEx7AQV3PGI9EVX19Y61TNZWQD3Z" hidden="1">#REF!</definedName>
    <definedName name="BEx7ASYMO87QTI4OGS8RP4M3OLYE" localSheetId="0" hidden="1">#REF!</definedName>
    <definedName name="BEx7ASYMO87QTI4OGS8RP4M3OLYE" hidden="1">#REF!</definedName>
    <definedName name="BEx7AZJZFN7PHQG6NLZPX0KAAQYJ" localSheetId="0" hidden="1">#REF!</definedName>
    <definedName name="BEx7AZJZFN7PHQG6NLZPX0KAAQYJ" hidden="1">#REF!</definedName>
    <definedName name="BEx7B11YDBMRZG7EYCKJUO3H1Y6F" localSheetId="0" hidden="1">#REF!</definedName>
    <definedName name="BEx7B11YDBMRZG7EYCKJUO3H1Y6F" hidden="1">#REF!</definedName>
    <definedName name="BEx7B3LKPGMDIE1WTF5ZO95GA2PN" localSheetId="0" hidden="1">#REF!</definedName>
    <definedName name="BEx7B3LKPGMDIE1WTF5ZO95GA2PN" hidden="1">#REF!</definedName>
    <definedName name="BEx7BIQJ5XHOJHZUAVG3KLP0T1HX" localSheetId="0" hidden="1">#REF!</definedName>
    <definedName name="BEx7BIQJ5XHOJHZUAVG3KLP0T1HX" hidden="1">#REF!</definedName>
    <definedName name="BEx7BMMTGH3619I3Z5R85U77NV5F" localSheetId="0" hidden="1">#REF!</definedName>
    <definedName name="BEx7BMMTGH3619I3Z5R85U77NV5F" hidden="1">#REF!</definedName>
    <definedName name="BEx7CA08VD78Z0US5RS5XPHF2MC0" localSheetId="0" hidden="1">#REF!</definedName>
    <definedName name="BEx7CA08VD78Z0US5RS5XPHF2MC0" hidden="1">#REF!</definedName>
    <definedName name="BEx7DD4D7DAI5BN4L7AHWYB979CQ" localSheetId="0" hidden="1">#REF!</definedName>
    <definedName name="BEx7DD4D7DAI5BN4L7AHWYB979CQ" hidden="1">#REF!</definedName>
    <definedName name="BEx7DE626SOE3J45LKVU5Q9PJ5QI" localSheetId="0" hidden="1">#REF!</definedName>
    <definedName name="BEx7DE626SOE3J45LKVU5Q9PJ5QI" hidden="1">#REF!</definedName>
    <definedName name="BEx7DXHVQ3XRVZ2H7QO8TYMIA4P9" localSheetId="0" hidden="1">#REF!</definedName>
    <definedName name="BEx7DXHVQ3XRVZ2H7QO8TYMIA4P9" hidden="1">#REF!</definedName>
    <definedName name="BEx7E7DYOF0F0THH5CX23K6WQQGB" localSheetId="0" hidden="1">#REF!</definedName>
    <definedName name="BEx7E7DYOF0F0THH5CX23K6WQQGB" hidden="1">#REF!</definedName>
    <definedName name="BEx7F3GG2FI10JUMINUOIYICFVD9" localSheetId="0" hidden="1">#REF!</definedName>
    <definedName name="BEx7F3GG2FI10JUMINUOIYICFVD9" hidden="1">#REF!</definedName>
    <definedName name="BEx7F4NMGGTZWR8S7710RWGFG8W2" localSheetId="0" hidden="1">#REF!</definedName>
    <definedName name="BEx7F4NMGGTZWR8S7710RWGFG8W2" hidden="1">#REF!</definedName>
    <definedName name="BEx7F59614NZTP281T0UKH9XLNR1" localSheetId="0" hidden="1">#REF!</definedName>
    <definedName name="BEx7F59614NZTP281T0UKH9XLNR1" hidden="1">#REF!</definedName>
    <definedName name="BEx7FBJRLJUZKK1FVSCNP0F4GBYT" localSheetId="0" hidden="1">#REF!</definedName>
    <definedName name="BEx7FBJRLJUZKK1FVSCNP0F4GBYT" hidden="1">#REF!</definedName>
    <definedName name="BEx7FEJOQNYA7A6O7YB4SBB1KK73" localSheetId="0" hidden="1">#REF!</definedName>
    <definedName name="BEx7FEJOQNYA7A6O7YB4SBB1KK73" hidden="1">#REF!</definedName>
    <definedName name="BEx7FIL87TXQSUJ03S7NBB9S4HA5" localSheetId="0" hidden="1">#REF!</definedName>
    <definedName name="BEx7FIL87TXQSUJ03S7NBB9S4HA5" hidden="1">#REF!</definedName>
    <definedName name="BEx7FTOFOYQLDCCOJY1H3JHICFOI" localSheetId="0" hidden="1">#REF!</definedName>
    <definedName name="BEx7FTOFOYQLDCCOJY1H3JHICFOI" hidden="1">#REF!</definedName>
    <definedName name="BEx7FVMORQ1N6SIECWJVJWT23E6Y" localSheetId="0" hidden="1">#REF!</definedName>
    <definedName name="BEx7FVMORQ1N6SIECWJVJWT23E6Y" hidden="1">#REF!</definedName>
    <definedName name="BEx7FZ2NBD60FXGNYS120WYBTXA3" localSheetId="0" hidden="1">#REF!</definedName>
    <definedName name="BEx7FZ2NBD60FXGNYS120WYBTXA3" hidden="1">#REF!</definedName>
    <definedName name="BEx7G4BL7IHRMGADNS62PWEV1T1R" localSheetId="0" hidden="1">#REF!</definedName>
    <definedName name="BEx7G4BL7IHRMGADNS62PWEV1T1R" hidden="1">#REF!</definedName>
    <definedName name="BEx7GMG8RQ2YB3WVSLKZZZKKRMV0" localSheetId="0" hidden="1">#REF!</definedName>
    <definedName name="BEx7GMG8RQ2YB3WVSLKZZZKKRMV0" hidden="1">#REF!</definedName>
    <definedName name="BEx7GQCIM1W1OR8EP7JKRMYGFHW2" localSheetId="0" hidden="1">#REF!</definedName>
    <definedName name="BEx7GQCIM1W1OR8EP7JKRMYGFHW2" hidden="1">#REF!</definedName>
    <definedName name="BEx7GSLEAEDT83F2LWWOC5ZLL5JW" localSheetId="0" hidden="1">#REF!</definedName>
    <definedName name="BEx7GSLEAEDT83F2LWWOC5ZLL5JW" hidden="1">#REF!</definedName>
    <definedName name="BEx7H1QJEZSCI7839PXE3WQBNFBL" localSheetId="0" hidden="1">Weekly by #REF!</definedName>
    <definedName name="BEx7H1QJEZSCI7839PXE3WQBNFBL" localSheetId="1" hidden="1">Weekly by #REF!</definedName>
    <definedName name="BEx7H1QJEZSCI7839PXE3WQBNFBL" localSheetId="4" hidden="1">Weekly by #REF!</definedName>
    <definedName name="BEx7H1QJEZSCI7839PXE3WQBNFBL" localSheetId="5" hidden="1">Weekly by #REF!</definedName>
    <definedName name="BEx7H1QJEZSCI7839PXE3WQBNFBL" localSheetId="6" hidden="1">Weekly by #REF!</definedName>
    <definedName name="BEx7H1QJEZSCI7839PXE3WQBNFBL" localSheetId="7" hidden="1">Weekly by #REF!</definedName>
    <definedName name="BEx7H1QJEZSCI7839PXE3WQBNFBL" localSheetId="11" hidden="1">Weekly by #REF!</definedName>
    <definedName name="BEx7H1QJEZSCI7839PXE3WQBNFBL" localSheetId="2" hidden="1">Weekly by #REF!</definedName>
    <definedName name="BEx7H1QJEZSCI7839PXE3WQBNFBL" localSheetId="10" hidden="1">Weekly by #REF!</definedName>
    <definedName name="BEx7H1QJEZSCI7839PXE3WQBNFBL" hidden="1">Weekly by #REF!</definedName>
    <definedName name="BEx7H6ZA84EDCYX9HQKE2VH03R77" localSheetId="0" hidden="1">#REF!</definedName>
    <definedName name="BEx7H6ZA84EDCYX9HQKE2VH03R77" localSheetId="2" hidden="1">#REF!</definedName>
    <definedName name="BEx7H6ZA84EDCYX9HQKE2VH03R77" hidden="1">#REF!</definedName>
    <definedName name="BEx7H7A3IND3XX895B1NI519TC8J" localSheetId="0" hidden="1">#REF!</definedName>
    <definedName name="BEx7H7A3IND3XX895B1NI519TC8J" localSheetId="2" hidden="1">#REF!</definedName>
    <definedName name="BEx7H7A3IND3XX895B1NI519TC8J" hidden="1">#REF!</definedName>
    <definedName name="BEx7HHRP6OIBN749NAR4JO512P36" localSheetId="0" hidden="1">#REF!</definedName>
    <definedName name="BEx7HHRP6OIBN749NAR4JO512P36" hidden="1">#REF!</definedName>
    <definedName name="BEx7HUT4CFI9RRFD34YI7QP2Y7JA" localSheetId="0" hidden="1">#REF!</definedName>
    <definedName name="BEx7HUT4CFI9RRFD34YI7QP2Y7JA" hidden="1">#REF!</definedName>
    <definedName name="BEx7IJTYZHWYWQ1TQVKRC67VVT77" localSheetId="0" hidden="1">#REF!</definedName>
    <definedName name="BEx7IJTYZHWYWQ1TQVKRC67VVT77" hidden="1">#REF!</definedName>
    <definedName name="BEx7IWV99LM4FB1AXIXRNLT7DZJM" localSheetId="0" hidden="1">#REF!</definedName>
    <definedName name="BEx7IWV99LM4FB1AXIXRNLT7DZJM" hidden="1">#REF!</definedName>
    <definedName name="BEx7J9B4EOP8JPRQCUQJTYF4X0D6" localSheetId="0" hidden="1">#REF!</definedName>
    <definedName name="BEx7J9B4EOP8JPRQCUQJTYF4X0D6" hidden="1">#REF!</definedName>
    <definedName name="BEx7JEJVQ5WGQ1FPJHAJ21UMR85Y" localSheetId="0" hidden="1">Weekly by #REF!</definedName>
    <definedName name="BEx7JEJVQ5WGQ1FPJHAJ21UMR85Y" localSheetId="1" hidden="1">Weekly by #REF!</definedName>
    <definedName name="BEx7JEJVQ5WGQ1FPJHAJ21UMR85Y" localSheetId="4" hidden="1">Weekly by #REF!</definedName>
    <definedName name="BEx7JEJVQ5WGQ1FPJHAJ21UMR85Y" localSheetId="5" hidden="1">Weekly by #REF!</definedName>
    <definedName name="BEx7JEJVQ5WGQ1FPJHAJ21UMR85Y" localSheetId="6" hidden="1">Weekly by #REF!</definedName>
    <definedName name="BEx7JEJVQ5WGQ1FPJHAJ21UMR85Y" localSheetId="7" hidden="1">Weekly by #REF!</definedName>
    <definedName name="BEx7JEJVQ5WGQ1FPJHAJ21UMR85Y" localSheetId="11" hidden="1">Weekly by #REF!</definedName>
    <definedName name="BEx7JEJVQ5WGQ1FPJHAJ21UMR85Y" localSheetId="2" hidden="1">Weekly by #REF!</definedName>
    <definedName name="BEx7JEJVQ5WGQ1FPJHAJ21UMR85Y" localSheetId="10" hidden="1">Weekly by #REF!</definedName>
    <definedName name="BEx7JEJVQ5WGQ1FPJHAJ21UMR85Y" hidden="1">Weekly by #REF!</definedName>
    <definedName name="BEx7K0VL25LF11UTEBHWBIQ4JLM9" localSheetId="0" hidden="1">#REF!</definedName>
    <definedName name="BEx7K0VL25LF11UTEBHWBIQ4JLM9" localSheetId="2" hidden="1">#REF!</definedName>
    <definedName name="BEx7K0VL25LF11UTEBHWBIQ4JLM9" hidden="1">#REF!</definedName>
    <definedName name="BEx7KNI4CCTBCC3JJLR5IFX3N88I" localSheetId="0" hidden="1">#REF!</definedName>
    <definedName name="BEx7KNI4CCTBCC3JJLR5IFX3N88I" localSheetId="2" hidden="1">#REF!</definedName>
    <definedName name="BEx7KNI4CCTBCC3JJLR5IFX3N88I" hidden="1">#REF!</definedName>
    <definedName name="BEx7KTI2H3QPYTYB2F6I5EJ8M0ON" localSheetId="0" hidden="1">Weekly by #REF!</definedName>
    <definedName name="BEx7KTI2H3QPYTYB2F6I5EJ8M0ON" localSheetId="1" hidden="1">Weekly by #REF!</definedName>
    <definedName name="BEx7KTI2H3QPYTYB2F6I5EJ8M0ON" localSheetId="4" hidden="1">Weekly by #REF!</definedName>
    <definedName name="BEx7KTI2H3QPYTYB2F6I5EJ8M0ON" localSheetId="5" hidden="1">Weekly by #REF!</definedName>
    <definedName name="BEx7KTI2H3QPYTYB2F6I5EJ8M0ON" localSheetId="6" hidden="1">Weekly by #REF!</definedName>
    <definedName name="BEx7KTI2H3QPYTYB2F6I5EJ8M0ON" localSheetId="7" hidden="1">Weekly by #REF!</definedName>
    <definedName name="BEx7KTI2H3QPYTYB2F6I5EJ8M0ON" localSheetId="11" hidden="1">Weekly by #REF!</definedName>
    <definedName name="BEx7KTI2H3QPYTYB2F6I5EJ8M0ON" localSheetId="2" hidden="1">Weekly by #REF!</definedName>
    <definedName name="BEx7KTI2H3QPYTYB2F6I5EJ8M0ON" localSheetId="10" hidden="1">Weekly by #REF!</definedName>
    <definedName name="BEx7KTI2H3QPYTYB2F6I5EJ8M0ON" hidden="1">Weekly by #REF!</definedName>
    <definedName name="BEx7L3DZH58ZUVXJY3QMJYM4KE2N" localSheetId="0" hidden="1">#REF!</definedName>
    <definedName name="BEx7L3DZH58ZUVXJY3QMJYM4KE2N" localSheetId="2" hidden="1">#REF!</definedName>
    <definedName name="BEx7L3DZH58ZUVXJY3QMJYM4KE2N" hidden="1">#REF!</definedName>
    <definedName name="BEx8Z0MEE5XM6AT53GDPGBGBE929" localSheetId="0" hidden="1">Weekly by #REF!</definedName>
    <definedName name="BEx8Z0MEE5XM6AT53GDPGBGBE929" localSheetId="1" hidden="1">Weekly by #REF!</definedName>
    <definedName name="BEx8Z0MEE5XM6AT53GDPGBGBE929" localSheetId="4" hidden="1">Weekly by #REF!</definedName>
    <definedName name="BEx8Z0MEE5XM6AT53GDPGBGBE929" localSheetId="5" hidden="1">Weekly by #REF!</definedName>
    <definedName name="BEx8Z0MEE5XM6AT53GDPGBGBE929" localSheetId="6" hidden="1">Weekly by #REF!</definedName>
    <definedName name="BEx8Z0MEE5XM6AT53GDPGBGBE929" localSheetId="7" hidden="1">Weekly by #REF!</definedName>
    <definedName name="BEx8Z0MEE5XM6AT53GDPGBGBE929" localSheetId="11" hidden="1">Weekly by #REF!</definedName>
    <definedName name="BEx8Z0MEE5XM6AT53GDPGBGBE929" localSheetId="2" hidden="1">Weekly by #REF!</definedName>
    <definedName name="BEx8Z0MEE5XM6AT53GDPGBGBE929" localSheetId="10" hidden="1">Weekly by #REF!</definedName>
    <definedName name="BEx8Z0MEE5XM6AT53GDPGBGBE929" hidden="1">Weekly by #REF!</definedName>
    <definedName name="BEx8ZY6UFM571XUE82FQZRNOKP90" localSheetId="0" hidden="1">#REF!</definedName>
    <definedName name="BEx8ZY6UFM571XUE82FQZRNOKP90" localSheetId="2" hidden="1">#REF!</definedName>
    <definedName name="BEx8ZY6UFM571XUE82FQZRNOKP90" hidden="1">#REF!</definedName>
    <definedName name="BEx90CVJHW2G83ZSI8F4ZSPTFSPI" localSheetId="0" hidden="1">#REF!</definedName>
    <definedName name="BEx90CVJHW2G83ZSI8F4ZSPTFSPI" localSheetId="2" hidden="1">#REF!</definedName>
    <definedName name="BEx90CVJHW2G83ZSI8F4ZSPTFSPI" hidden="1">#REF!</definedName>
    <definedName name="BEx91F33K5UNI9V3JUIH4878XP1B" localSheetId="0" hidden="1">Weekly by #REF!</definedName>
    <definedName name="BEx91F33K5UNI9V3JUIH4878XP1B" localSheetId="1" hidden="1">Weekly by #REF!</definedName>
    <definedName name="BEx91F33K5UNI9V3JUIH4878XP1B" localSheetId="4" hidden="1">Weekly by #REF!</definedName>
    <definedName name="BEx91F33K5UNI9V3JUIH4878XP1B" localSheetId="5" hidden="1">Weekly by #REF!</definedName>
    <definedName name="BEx91F33K5UNI9V3JUIH4878XP1B" localSheetId="6" hidden="1">Weekly by #REF!</definedName>
    <definedName name="BEx91F33K5UNI9V3JUIH4878XP1B" localSheetId="7" hidden="1">Weekly by #REF!</definedName>
    <definedName name="BEx91F33K5UNI9V3JUIH4878XP1B" localSheetId="11" hidden="1">Weekly by #REF!</definedName>
    <definedName name="BEx91F33K5UNI9V3JUIH4878XP1B" localSheetId="2" hidden="1">Weekly by #REF!</definedName>
    <definedName name="BEx91F33K5UNI9V3JUIH4878XP1B" localSheetId="10" hidden="1">Weekly by #REF!</definedName>
    <definedName name="BEx91F33K5UNI9V3JUIH4878XP1B" hidden="1">Weekly by #REF!</definedName>
    <definedName name="BEx91YKG5M0ZZDVWNGF80SPL8GUP" localSheetId="0" hidden="1">#REF!</definedName>
    <definedName name="BEx91YKG5M0ZZDVWNGF80SPL8GUP" localSheetId="2" hidden="1">#REF!</definedName>
    <definedName name="BEx91YKG5M0ZZDVWNGF80SPL8GUP" hidden="1">#REF!</definedName>
    <definedName name="BEx923TCMRKG3IDZJXWBT3D2P982" localSheetId="0" hidden="1">#REF!</definedName>
    <definedName name="BEx923TCMRKG3IDZJXWBT3D2P982" localSheetId="2" hidden="1">#REF!</definedName>
    <definedName name="BEx923TCMRKG3IDZJXWBT3D2P982" hidden="1">#REF!</definedName>
    <definedName name="BEx92DJXEXVC627QL1HYSV2VSHSS" localSheetId="0" hidden="1">#REF!</definedName>
    <definedName name="BEx92DJXEXVC627QL1HYSV2VSHSS" hidden="1">#REF!</definedName>
    <definedName name="BEx935VHGQGAJAXJKSPCC6GC2KIE" localSheetId="0" hidden="1">#REF!</definedName>
    <definedName name="BEx935VHGQGAJAXJKSPCC6GC2KIE" hidden="1">#REF!</definedName>
    <definedName name="BEx93EF2OPUY92WSYH0W2RMHNX2M" localSheetId="0" hidden="1">#REF!</definedName>
    <definedName name="BEx93EF2OPUY92WSYH0W2RMHNX2M" hidden="1">#REF!</definedName>
    <definedName name="BEx93K9DUO8OA233O9JB0W91OQD5" localSheetId="0" hidden="1">Weekly by #REF!</definedName>
    <definedName name="BEx93K9DUO8OA233O9JB0W91OQD5" localSheetId="1" hidden="1">Weekly by #REF!</definedName>
    <definedName name="BEx93K9DUO8OA233O9JB0W91OQD5" localSheetId="4" hidden="1">Weekly by #REF!</definedName>
    <definedName name="BEx93K9DUO8OA233O9JB0W91OQD5" localSheetId="5" hidden="1">Weekly by #REF!</definedName>
    <definedName name="BEx93K9DUO8OA233O9JB0W91OQD5" localSheetId="6" hidden="1">Weekly by #REF!</definedName>
    <definedName name="BEx93K9DUO8OA233O9JB0W91OQD5" localSheetId="7" hidden="1">Weekly by #REF!</definedName>
    <definedName name="BEx93K9DUO8OA233O9JB0W91OQD5" localSheetId="11" hidden="1">Weekly by #REF!</definedName>
    <definedName name="BEx93K9DUO8OA233O9JB0W91OQD5" localSheetId="2" hidden="1">Weekly by #REF!</definedName>
    <definedName name="BEx93K9DUO8OA233O9JB0W91OQD5" localSheetId="10" hidden="1">Weekly by #REF!</definedName>
    <definedName name="BEx93K9DUO8OA233O9JB0W91OQD5" hidden="1">Weekly by #REF!</definedName>
    <definedName name="BEx94DS3LYSO8T67SWLGF71ITAH9" localSheetId="0" hidden="1">#REF!</definedName>
    <definedName name="BEx94DS3LYSO8T67SWLGF71ITAH9" localSheetId="2" hidden="1">#REF!</definedName>
    <definedName name="BEx94DS3LYSO8T67SWLGF71ITAH9" hidden="1">#REF!</definedName>
    <definedName name="BEx94E8CBMGM9YP8Z0W8OWHAAZH1" localSheetId="0" hidden="1">#REF!</definedName>
    <definedName name="BEx94E8CBMGM9YP8Z0W8OWHAAZH1" localSheetId="2" hidden="1">#REF!</definedName>
    <definedName name="BEx94E8CBMGM9YP8Z0W8OWHAAZH1" hidden="1">#REF!</definedName>
    <definedName name="BEx94LVDNYIY0PWMTTJI0SXPIT0L" localSheetId="0" hidden="1">#REF!</definedName>
    <definedName name="BEx94LVDNYIY0PWMTTJI0SXPIT0L" hidden="1">#REF!</definedName>
    <definedName name="BEx94RKEGEKNYW092SDUG38HMH0P" localSheetId="0" hidden="1">#REF!</definedName>
    <definedName name="BEx94RKEGEKNYW092SDUG38HMH0P" hidden="1">#REF!</definedName>
    <definedName name="BEx95CUHJYXTDQ9GFJZJJXQSCJ7W" localSheetId="0" hidden="1">#REF!</definedName>
    <definedName name="BEx95CUHJYXTDQ9GFJZJJXQSCJ7W" hidden="1">#REF!</definedName>
    <definedName name="BEx95ZBPVBQBIU0LCXSH93UZK4VU" localSheetId="0" hidden="1">#REF!</definedName>
    <definedName name="BEx95ZBPVBQBIU0LCXSH93UZK4VU" hidden="1">#REF!</definedName>
    <definedName name="BEx9706NFOGJWDFFOFDUAFC8NNTP" localSheetId="0" hidden="1">#REF!</definedName>
    <definedName name="BEx9706NFOGJWDFFOFDUAFC8NNTP" hidden="1">#REF!</definedName>
    <definedName name="BEx97B9W86J6JCXVPNF5A0C6UYI7" localSheetId="0" hidden="1">#REF!</definedName>
    <definedName name="BEx97B9W86J6JCXVPNF5A0C6UYI7" hidden="1">#REF!</definedName>
    <definedName name="BEx9981ZE1LUGX5AEAM1M89WE7CT" localSheetId="0" hidden="1">#REF!</definedName>
    <definedName name="BEx9981ZE1LUGX5AEAM1M89WE7CT" hidden="1">#REF!</definedName>
    <definedName name="BEx99995OO0X4HC0IQDAISYRWAJG" localSheetId="0" hidden="1">#REF!</definedName>
    <definedName name="BEx99995OO0X4HC0IQDAISYRWAJG" hidden="1">#REF!</definedName>
    <definedName name="BEx99DWI0OAUKG2DHBGIR7L0HD33" localSheetId="0" hidden="1">#REF!</definedName>
    <definedName name="BEx99DWI0OAUKG2DHBGIR7L0HD33" hidden="1">#REF!</definedName>
    <definedName name="BEx99UZBY4S7Q18LQEJOHWSFLLP8" localSheetId="0" hidden="1">#REF!</definedName>
    <definedName name="BEx99UZBY4S7Q18LQEJOHWSFLLP8" hidden="1">#REF!</definedName>
    <definedName name="BEx99YFJ8JDPEEEQRABGIA0M020Y" localSheetId="0" hidden="1">#REF!</definedName>
    <definedName name="BEx99YFJ8JDPEEEQRABGIA0M020Y" hidden="1">#REF!</definedName>
    <definedName name="BEx9A02SJ33YVU6EUB51317WNADW" localSheetId="0" hidden="1">#REF!</definedName>
    <definedName name="BEx9A02SJ33YVU6EUB51317WNADW" hidden="1">#REF!</definedName>
    <definedName name="BEx9ADPRQZSMQBC5ZVK9Y67PRZBV" localSheetId="0" hidden="1">#REF!</definedName>
    <definedName name="BEx9ADPRQZSMQBC5ZVK9Y67PRZBV" hidden="1">#REF!</definedName>
    <definedName name="BEx9AFYM7TBIUCH19NCZWQUOE4ZI" localSheetId="0" hidden="1">#REF!</definedName>
    <definedName name="BEx9AFYM7TBIUCH19NCZWQUOE4ZI" hidden="1">#REF!</definedName>
    <definedName name="BEx9AKWPNM58M88D1ZL7PKKW6ES3" localSheetId="0" hidden="1">#REF!</definedName>
    <definedName name="BEx9AKWPNM58M88D1ZL7PKKW6ES3" hidden="1">#REF!</definedName>
    <definedName name="BEx9ARY7F2Q2JQT63RW0CEZQ1WDB" localSheetId="0" hidden="1">#REF!</definedName>
    <definedName name="BEx9ARY7F2Q2JQT63RW0CEZQ1WDB" hidden="1">#REF!</definedName>
    <definedName name="BEx9B6MVQ1E5NBYWDO5JVNS23OI1" localSheetId="0" hidden="1">#REF!</definedName>
    <definedName name="BEx9B6MVQ1E5NBYWDO5JVNS23OI1" hidden="1">#REF!</definedName>
    <definedName name="BEx9BAOGUISRQKRB42IUZNSUS3RS" localSheetId="0" hidden="1">#REF!</definedName>
    <definedName name="BEx9BAOGUISRQKRB42IUZNSUS3RS" hidden="1">#REF!</definedName>
    <definedName name="BEx9BCBV86NAOTMCAYGOG2K426CC" localSheetId="0" hidden="1">#REF!</definedName>
    <definedName name="BEx9BCBV86NAOTMCAYGOG2K426CC" hidden="1">#REF!</definedName>
    <definedName name="BEx9BKVCL08ZCKEW3BV7RN6JGVUV" localSheetId="0" hidden="1">#REF!</definedName>
    <definedName name="BEx9BKVCL08ZCKEW3BV7RN6JGVUV" hidden="1">#REF!</definedName>
    <definedName name="BEx9BMYVC3HQT7NGGXXHFIIGKEUM" localSheetId="0" hidden="1">Weekly by #REF!</definedName>
    <definedName name="BEx9BMYVC3HQT7NGGXXHFIIGKEUM" localSheetId="1" hidden="1">Weekly by #REF!</definedName>
    <definedName name="BEx9BMYVC3HQT7NGGXXHFIIGKEUM" localSheetId="4" hidden="1">Weekly by #REF!</definedName>
    <definedName name="BEx9BMYVC3HQT7NGGXXHFIIGKEUM" localSheetId="5" hidden="1">Weekly by #REF!</definedName>
    <definedName name="BEx9BMYVC3HQT7NGGXXHFIIGKEUM" localSheetId="6" hidden="1">Weekly by #REF!</definedName>
    <definedName name="BEx9BMYVC3HQT7NGGXXHFIIGKEUM" localSheetId="7" hidden="1">Weekly by #REF!</definedName>
    <definedName name="BEx9BMYVC3HQT7NGGXXHFIIGKEUM" localSheetId="11" hidden="1">Weekly by #REF!</definedName>
    <definedName name="BEx9BMYVC3HQT7NGGXXHFIIGKEUM" localSheetId="2" hidden="1">Weekly by #REF!</definedName>
    <definedName name="BEx9BMYVC3HQT7NGGXXHFIIGKEUM" localSheetId="10" hidden="1">Weekly by #REF!</definedName>
    <definedName name="BEx9BMYVC3HQT7NGGXXHFIIGKEUM" hidden="1">Weekly by #REF!</definedName>
    <definedName name="BEx9C17AHM4NMY8G3WK6YQ0T0WDU" localSheetId="0" hidden="1">#REF!</definedName>
    <definedName name="BEx9C17AHM4NMY8G3WK6YQ0T0WDU" localSheetId="2" hidden="1">#REF!</definedName>
    <definedName name="BEx9C17AHM4NMY8G3WK6YQ0T0WDU" hidden="1">#REF!</definedName>
    <definedName name="BEx9CJHG02ADUIJ0WCG5FYLWETIN" localSheetId="0" hidden="1">#REF!</definedName>
    <definedName name="BEx9CJHG02ADUIJ0WCG5FYLWETIN" localSheetId="2" hidden="1">#REF!</definedName>
    <definedName name="BEx9CJHG02ADUIJ0WCG5FYLWETIN" hidden="1">#REF!</definedName>
    <definedName name="BEx9CLL0C4F6OL88RVPYF2ULGFMH" localSheetId="0" hidden="1">Weekly by #REF!</definedName>
    <definedName name="BEx9CLL0C4F6OL88RVPYF2ULGFMH" localSheetId="1" hidden="1">Weekly by #REF!</definedName>
    <definedName name="BEx9CLL0C4F6OL88RVPYF2ULGFMH" localSheetId="4" hidden="1">Weekly by #REF!</definedName>
    <definedName name="BEx9CLL0C4F6OL88RVPYF2ULGFMH" localSheetId="5" hidden="1">Weekly by #REF!</definedName>
    <definedName name="BEx9CLL0C4F6OL88RVPYF2ULGFMH" localSheetId="6" hidden="1">Weekly by #REF!</definedName>
    <definedName name="BEx9CLL0C4F6OL88RVPYF2ULGFMH" localSheetId="7" hidden="1">Weekly by #REF!</definedName>
    <definedName name="BEx9CLL0C4F6OL88RVPYF2ULGFMH" localSheetId="11" hidden="1">Weekly by #REF!</definedName>
    <definedName name="BEx9CLL0C4F6OL88RVPYF2ULGFMH" localSheetId="2" hidden="1">Weekly by #REF!</definedName>
    <definedName name="BEx9CLL0C4F6OL88RVPYF2ULGFMH" localSheetId="10" hidden="1">Weekly by #REF!</definedName>
    <definedName name="BEx9CLL0C4F6OL88RVPYF2ULGFMH" hidden="1">Weekly by #REF!</definedName>
    <definedName name="BEx9CMMSQA4LXHX5RGGTAJ9WVHTY" localSheetId="0" hidden="1">#REF!</definedName>
    <definedName name="BEx9CMMSQA4LXHX5RGGTAJ9WVHTY" localSheetId="2" hidden="1">#REF!</definedName>
    <definedName name="BEx9CMMSQA4LXHX5RGGTAJ9WVHTY" hidden="1">#REF!</definedName>
    <definedName name="BEx9CRKQK6XJ9UYIYVYP2AJHWBTS" localSheetId="0" hidden="1">#REF!</definedName>
    <definedName name="BEx9CRKQK6XJ9UYIYVYP2AJHWBTS" localSheetId="2" hidden="1">#REF!</definedName>
    <definedName name="BEx9CRKQK6XJ9UYIYVYP2AJHWBTS" hidden="1">#REF!</definedName>
    <definedName name="BEx9CTDJ6OYUCCHJVREB4QE71EVB" localSheetId="0" hidden="1">#REF!</definedName>
    <definedName name="BEx9CTDJ6OYUCCHJVREB4QE71EVB" hidden="1">#REF!</definedName>
    <definedName name="BEx9DGLRBAA81DUUOT35XR05XLKG" localSheetId="0" hidden="1">#REF!</definedName>
    <definedName name="BEx9DGLRBAA81DUUOT35XR05XLKG" hidden="1">#REF!</definedName>
    <definedName name="BEx9DIZXF9X0GE90ROFYKV6K3PM9" localSheetId="0" hidden="1">#REF!</definedName>
    <definedName name="BEx9DIZXF9X0GE90ROFYKV6K3PM9" hidden="1">#REF!</definedName>
    <definedName name="BEx9DL8Y6IUBYSX8957UBXEIRYBL" localSheetId="0" hidden="1">#REF!</definedName>
    <definedName name="BEx9DL8Y6IUBYSX8957UBXEIRYBL" hidden="1">#REF!</definedName>
    <definedName name="BEx9E08EK253W8SNA7NOGR32IG6U" localSheetId="0" hidden="1">#REF!</definedName>
    <definedName name="BEx9E08EK253W8SNA7NOGR32IG6U" hidden="1">#REF!</definedName>
    <definedName name="BEx9E2H8PS8ABUEC6ZEB44QR2Z0S" localSheetId="0" hidden="1">#REF!</definedName>
    <definedName name="BEx9E2H8PS8ABUEC6ZEB44QR2Z0S" hidden="1">#REF!</definedName>
    <definedName name="BEx9E2S1LDHWNY3YCSQ6AY2CX2VH" localSheetId="0" hidden="1">#REF!</definedName>
    <definedName name="BEx9E2S1LDHWNY3YCSQ6AY2CX2VH" hidden="1">#REF!</definedName>
    <definedName name="BEx9EEGVFGD9P2J88ICA4KVPXY9N" localSheetId="0" hidden="1">#REF!</definedName>
    <definedName name="BEx9EEGVFGD9P2J88ICA4KVPXY9N" hidden="1">#REF!</definedName>
    <definedName name="BEx9EGV77GWH7Y466PD7U0LX8UCC" localSheetId="0" hidden="1">Employee Detail #REF!</definedName>
    <definedName name="BEx9EGV77GWH7Y466PD7U0LX8UCC" localSheetId="1" hidden="1">Employee Detail #REF!</definedName>
    <definedName name="BEx9EGV77GWH7Y466PD7U0LX8UCC" localSheetId="4" hidden="1">Employee Detail #REF!</definedName>
    <definedName name="BEx9EGV77GWH7Y466PD7U0LX8UCC" localSheetId="5" hidden="1">Employee Detail #REF!</definedName>
    <definedName name="BEx9EGV77GWH7Y466PD7U0LX8UCC" localSheetId="6" hidden="1">Employee Detail #REF!</definedName>
    <definedName name="BEx9EGV77GWH7Y466PD7U0LX8UCC" localSheetId="7" hidden="1">Employee Detail #REF!</definedName>
    <definedName name="BEx9EGV77GWH7Y466PD7U0LX8UCC" localSheetId="11" hidden="1">Employee Detail #REF!</definedName>
    <definedName name="BEx9EGV77GWH7Y466PD7U0LX8UCC" localSheetId="2" hidden="1">Employee Detail #REF!</definedName>
    <definedName name="BEx9EGV77GWH7Y466PD7U0LX8UCC" localSheetId="10" hidden="1">Employee Detail #REF!</definedName>
    <definedName name="BEx9EGV77GWH7Y466PD7U0LX8UCC" hidden="1">Employee Detail #REF!</definedName>
    <definedName name="BEx9EHGQHOBSWB60JAPUOVE46FK0" localSheetId="0" hidden="1">#REF!</definedName>
    <definedName name="BEx9EHGQHOBSWB60JAPUOVE46FK0" localSheetId="2" hidden="1">#REF!</definedName>
    <definedName name="BEx9EHGQHOBSWB60JAPUOVE46FK0" hidden="1">#REF!</definedName>
    <definedName name="BEx9FLRVEKHKYUC14ZMVEXYYH8R8" localSheetId="0" hidden="1">#REF!</definedName>
    <definedName name="BEx9FLRVEKHKYUC14ZMVEXYYH8R8" localSheetId="2" hidden="1">#REF!</definedName>
    <definedName name="BEx9FLRVEKHKYUC14ZMVEXYYH8R8" hidden="1">#REF!</definedName>
    <definedName name="BEx9FOGZQNHHWSWD9WIWVEZG5GRU" localSheetId="0" hidden="1">#REF!</definedName>
    <definedName name="BEx9FOGZQNHHWSWD9WIWVEZG5GRU" hidden="1">#REF!</definedName>
    <definedName name="BEx9FUX1BYUC9GDN6DFJR5XND3XM" localSheetId="0" hidden="1">#REF!</definedName>
    <definedName name="BEx9FUX1BYUC9GDN6DFJR5XND3XM" hidden="1">#REF!</definedName>
    <definedName name="BEx9G17GB2V3PQ50QQFW2NROEZT9" localSheetId="0" hidden="1">#REF!</definedName>
    <definedName name="BEx9G17GB2V3PQ50QQFW2NROEZT9" hidden="1">#REF!</definedName>
    <definedName name="BEx9G892CF6SM99J007LDYZPPYNL" localSheetId="0" hidden="1">#REF!</definedName>
    <definedName name="BEx9G892CF6SM99J007LDYZPPYNL" hidden="1">#REF!</definedName>
    <definedName name="BEx9GJCC7BWX156MTPY59VC5JN0O" localSheetId="0" hidden="1">#REF!</definedName>
    <definedName name="BEx9GJCC7BWX156MTPY59VC5JN0O" hidden="1">#REF!</definedName>
    <definedName name="BEx9GJN5CQIXI97CFW4XT4UXSU3I" localSheetId="0" hidden="1">#REF!</definedName>
    <definedName name="BEx9GJN5CQIXI97CFW4XT4UXSU3I" hidden="1">#REF!</definedName>
    <definedName name="BEx9GNU701BD7YSS9TFG6GMA2Z8A" localSheetId="0" hidden="1">#REF!</definedName>
    <definedName name="BEx9GNU701BD7YSS9TFG6GMA2Z8A" hidden="1">#REF!</definedName>
    <definedName name="BEx9GUQBMRQUXF3D4SE2AXYMUNFA" localSheetId="0" hidden="1">#REF!</definedName>
    <definedName name="BEx9GUQBMRQUXF3D4SE2AXYMUNFA" hidden="1">#REF!</definedName>
    <definedName name="BEx9H9V5D52IFWEZD3I221Z2VYVD" localSheetId="0" hidden="1">#REF!</definedName>
    <definedName name="BEx9H9V5D52IFWEZD3I221Z2VYVD" hidden="1">#REF!</definedName>
    <definedName name="BEx9HJ5KT3Z7DM4158ECAUZF1324" localSheetId="0" hidden="1">#REF!</definedName>
    <definedName name="BEx9HJ5KT3Z7DM4158ECAUZF1324" hidden="1">#REF!</definedName>
    <definedName name="BEx9HQHV4N00R3PBTH3QTYPDU3WQ" localSheetId="0" hidden="1">#REF!</definedName>
    <definedName name="BEx9HQHV4N00R3PBTH3QTYPDU3WQ" hidden="1">#REF!</definedName>
    <definedName name="BEx9IX1ZRFUE85ATW4NGTSACFIOO" localSheetId="0" hidden="1">#REF!</definedName>
    <definedName name="BEx9IX1ZRFUE85ATW4NGTSACFIOO" hidden="1">#REF!</definedName>
    <definedName name="BEx9J1EJIB9UVZKMZ7QHB9U6VVOO" localSheetId="0" hidden="1">#REF!</definedName>
    <definedName name="BEx9J1EJIB9UVZKMZ7QHB9U6VVOO" hidden="1">#REF!</definedName>
    <definedName name="BEx9J5WDAQTSL371QN3JUDEAK9PY" localSheetId="0" hidden="1">Weekly by #REF!</definedName>
    <definedName name="BEx9J5WDAQTSL371QN3JUDEAK9PY" localSheetId="1" hidden="1">Weekly by #REF!</definedName>
    <definedName name="BEx9J5WDAQTSL371QN3JUDEAK9PY" localSheetId="4" hidden="1">Weekly by #REF!</definedName>
    <definedName name="BEx9J5WDAQTSL371QN3JUDEAK9PY" localSheetId="5" hidden="1">Weekly by #REF!</definedName>
    <definedName name="BEx9J5WDAQTSL371QN3JUDEAK9PY" localSheetId="6" hidden="1">Weekly by #REF!</definedName>
    <definedName name="BEx9J5WDAQTSL371QN3JUDEAK9PY" localSheetId="7" hidden="1">Weekly by #REF!</definedName>
    <definedName name="BEx9J5WDAQTSL371QN3JUDEAK9PY" localSheetId="11" hidden="1">Weekly by #REF!</definedName>
    <definedName name="BEx9J5WDAQTSL371QN3JUDEAK9PY" localSheetId="2" hidden="1">Weekly by #REF!</definedName>
    <definedName name="BEx9J5WDAQTSL371QN3JUDEAK9PY" localSheetId="10" hidden="1">Weekly by #REF!</definedName>
    <definedName name="BEx9J5WDAQTSL371QN3JUDEAK9PY" hidden="1">Weekly by #REF!</definedName>
    <definedName name="BExAVIMU7DJ1WMG4KZESFNSSTVI1" localSheetId="0" hidden="1">#REF!</definedName>
    <definedName name="BExAVIMU7DJ1WMG4KZESFNSSTVI1" localSheetId="2" hidden="1">#REF!</definedName>
    <definedName name="BExAVIMU7DJ1WMG4KZESFNSSTVI1" hidden="1">#REF!</definedName>
    <definedName name="BExAX2TU15VIP65OGKSZD41PMO4N" localSheetId="0" hidden="1">#REF!</definedName>
    <definedName name="BExAX2TU15VIP65OGKSZD41PMO4N" localSheetId="2" hidden="1">#REF!</definedName>
    <definedName name="BExAX2TU15VIP65OGKSZD41PMO4N" hidden="1">#REF!</definedName>
    <definedName name="BExAX7MGY5CN1WAP1QHKM9CYI2S9" localSheetId="0" hidden="1">Weekly by #REF!</definedName>
    <definedName name="BExAX7MGY5CN1WAP1QHKM9CYI2S9" localSheetId="1" hidden="1">Weekly by #REF!</definedName>
    <definedName name="BExAX7MGY5CN1WAP1QHKM9CYI2S9" localSheetId="4" hidden="1">Weekly by #REF!</definedName>
    <definedName name="BExAX7MGY5CN1WAP1QHKM9CYI2S9" localSheetId="5" hidden="1">Weekly by #REF!</definedName>
    <definedName name="BExAX7MGY5CN1WAP1QHKM9CYI2S9" localSheetId="6" hidden="1">Weekly by #REF!</definedName>
    <definedName name="BExAX7MGY5CN1WAP1QHKM9CYI2S9" localSheetId="7" hidden="1">Weekly by #REF!</definedName>
    <definedName name="BExAX7MGY5CN1WAP1QHKM9CYI2S9" localSheetId="11" hidden="1">Weekly by #REF!</definedName>
    <definedName name="BExAX7MGY5CN1WAP1QHKM9CYI2S9" localSheetId="2" hidden="1">Weekly by #REF!</definedName>
    <definedName name="BExAX7MGY5CN1WAP1QHKM9CYI2S9" localSheetId="10" hidden="1">Weekly by #REF!</definedName>
    <definedName name="BExAX7MGY5CN1WAP1QHKM9CYI2S9" hidden="1">Weekly by #REF!</definedName>
    <definedName name="BExAX8TMJLD2D11SAMMR5OI98IIS" localSheetId="0" hidden="1">#REF!</definedName>
    <definedName name="BExAX8TMJLD2D11SAMMR5OI98IIS" localSheetId="2" hidden="1">#REF!</definedName>
    <definedName name="BExAX8TMJLD2D11SAMMR5OI98IIS" hidden="1">#REF!</definedName>
    <definedName name="BExAXEDC2IXZ6Z8R5OUFS8OGJR89" localSheetId="0" hidden="1">#REF!</definedName>
    <definedName name="BExAXEDC2IXZ6Z8R5OUFS8OGJR89" localSheetId="2" hidden="1">#REF!</definedName>
    <definedName name="BExAXEDC2IXZ6Z8R5OUFS8OGJR89" hidden="1">#REF!</definedName>
    <definedName name="BExAXFV9PH5JV8HPQ4ADTD1KHVCE" localSheetId="0" hidden="1">#REF!</definedName>
    <definedName name="BExAXFV9PH5JV8HPQ4ADTD1KHVCE" hidden="1">#REF!</definedName>
    <definedName name="BExAXI9K2PJQH4QLETR7MGS2BNZZ" localSheetId="0" hidden="1">#REF!</definedName>
    <definedName name="BExAXI9K2PJQH4QLETR7MGS2BNZZ" hidden="1">#REF!</definedName>
    <definedName name="BExAXL3ZT02BUZOGSRNS6WGCOV7K" localSheetId="0" hidden="1">#REF!</definedName>
    <definedName name="BExAXL3ZT02BUZOGSRNS6WGCOV7K" hidden="1">#REF!</definedName>
    <definedName name="BExAXL40LDNIK611AYB1QPTYW9XW" localSheetId="0" hidden="1">#REF!</definedName>
    <definedName name="BExAXL40LDNIK611AYB1QPTYW9XW" hidden="1">#REF!</definedName>
    <definedName name="BExAY9DZDS6RN4F7LPICOBGZ4AF5" localSheetId="0" hidden="1">#REF!</definedName>
    <definedName name="BExAY9DZDS6RN4F7LPICOBGZ4AF5" hidden="1">#REF!</definedName>
    <definedName name="BExAY9ZJT64UBNSHPOGOXOER0FA5" localSheetId="0" hidden="1">#REF!</definedName>
    <definedName name="BExAY9ZJT64UBNSHPOGOXOER0FA5" hidden="1">#REF!</definedName>
    <definedName name="BExAYOO9DKXP4BYOJNDXGK1R2ZSV" localSheetId="0" hidden="1">#REF!</definedName>
    <definedName name="BExAYOO9DKXP4BYOJNDXGK1R2ZSV" hidden="1">#REF!</definedName>
    <definedName name="BExAYVKDXJJ761HTFFUOH6P2CSF7" localSheetId="0" hidden="1">#REF!</definedName>
    <definedName name="BExAYVKDXJJ761HTFFUOH6P2CSF7" hidden="1">#REF!</definedName>
    <definedName name="BExAZNFTTSXASHLBAG5O0MNFU583" localSheetId="0" hidden="1">#REF!</definedName>
    <definedName name="BExAZNFTTSXASHLBAG5O0MNFU583" hidden="1">#REF!</definedName>
    <definedName name="BExAZUMS1QDZ8OXM1S4OYG31L04P" localSheetId="0" hidden="1">#REF!</definedName>
    <definedName name="BExAZUMS1QDZ8OXM1S4OYG31L04P" hidden="1">#REF!</definedName>
    <definedName name="BExB0B9J6QEM4BI56ZRWF61DUZKI" localSheetId="0" hidden="1">Weekly by #REF!</definedName>
    <definedName name="BExB0B9J6QEM4BI56ZRWF61DUZKI" localSheetId="1" hidden="1">Weekly by #REF!</definedName>
    <definedName name="BExB0B9J6QEM4BI56ZRWF61DUZKI" localSheetId="4" hidden="1">Weekly by #REF!</definedName>
    <definedName name="BExB0B9J6QEM4BI56ZRWF61DUZKI" localSheetId="5" hidden="1">Weekly by #REF!</definedName>
    <definedName name="BExB0B9J6QEM4BI56ZRWF61DUZKI" localSheetId="6" hidden="1">Weekly by #REF!</definedName>
    <definedName name="BExB0B9J6QEM4BI56ZRWF61DUZKI" localSheetId="7" hidden="1">Weekly by #REF!</definedName>
    <definedName name="BExB0B9J6QEM4BI56ZRWF61DUZKI" localSheetId="11" hidden="1">Weekly by #REF!</definedName>
    <definedName name="BExB0B9J6QEM4BI56ZRWF61DUZKI" localSheetId="2" hidden="1">Weekly by #REF!</definedName>
    <definedName name="BExB0B9J6QEM4BI56ZRWF61DUZKI" localSheetId="10" hidden="1">Weekly by #REF!</definedName>
    <definedName name="BExB0B9J6QEM4BI56ZRWF61DUZKI" hidden="1">Weekly by #REF!</definedName>
    <definedName name="BExB0OASZZC08FMDYX9HRSM9OXEF" localSheetId="0" hidden="1">#REF!</definedName>
    <definedName name="BExB0OASZZC08FMDYX9HRSM9OXEF" localSheetId="2" hidden="1">#REF!</definedName>
    <definedName name="BExB0OASZZC08FMDYX9HRSM9OXEF" hidden="1">#REF!</definedName>
    <definedName name="BExB12OPX4FIWY3UUQ7N9MXBTXY2" localSheetId="0" hidden="1">#REF!</definedName>
    <definedName name="BExB12OPX4FIWY3UUQ7N9MXBTXY2" localSheetId="2" hidden="1">#REF!</definedName>
    <definedName name="BExB12OPX4FIWY3UUQ7N9MXBTXY2" hidden="1">#REF!</definedName>
    <definedName name="BExB12ZHTPYICL0A8RA5MRDZPYAX" localSheetId="0" hidden="1">#REF!</definedName>
    <definedName name="BExB12ZHTPYICL0A8RA5MRDZPYAX" hidden="1">#REF!</definedName>
    <definedName name="BExB1D6DDDMV7AOB9S4XD45OPKJ3" localSheetId="0" hidden="1">#REF!</definedName>
    <definedName name="BExB1D6DDDMV7AOB9S4XD45OPKJ3" hidden="1">#REF!</definedName>
    <definedName name="BExB1FKN9YUYJ7B8ZJSMRSJ6ONT6" localSheetId="0" hidden="1">#REF!</definedName>
    <definedName name="BExB1FKN9YUYJ7B8ZJSMRSJ6ONT6" hidden="1">#REF!</definedName>
    <definedName name="BExB1HIQKUZGEBQ2MPH0TPTAZKIT" localSheetId="0" hidden="1">#REF!</definedName>
    <definedName name="BExB1HIQKUZGEBQ2MPH0TPTAZKIT" hidden="1">#REF!</definedName>
    <definedName name="BExB1I4BK3AB6GEEFY7ZAOON31BO" localSheetId="0" hidden="1">#REF!</definedName>
    <definedName name="BExB1I4BK3AB6GEEFY7ZAOON31BO" hidden="1">#REF!</definedName>
    <definedName name="BExB1UENFKIO27UN311RA6Q7UZX5" localSheetId="0" hidden="1">#REF!</definedName>
    <definedName name="BExB1UENFKIO27UN311RA6Q7UZX5" hidden="1">#REF!</definedName>
    <definedName name="BExB2HS8OVYPDFJPQT2HXZS3KPGA" localSheetId="0" hidden="1">#REF!</definedName>
    <definedName name="BExB2HS8OVYPDFJPQT2HXZS3KPGA" hidden="1">#REF!</definedName>
    <definedName name="BExB2V4G4W3DIHZU05TOOTUR2SQF" localSheetId="0" hidden="1">#REF!</definedName>
    <definedName name="BExB2V4G4W3DIHZU05TOOTUR2SQF" hidden="1">#REF!</definedName>
    <definedName name="BExB35M4M9VQF0DHGYBEA3KV711P" localSheetId="0" hidden="1">#REF!</definedName>
    <definedName name="BExB35M4M9VQF0DHGYBEA3KV711P" hidden="1">#REF!</definedName>
    <definedName name="BExB3M3EKZJ7IBKJWNJ2T1W79J4X" localSheetId="0" hidden="1">#REF!</definedName>
    <definedName name="BExB3M3EKZJ7IBKJWNJ2T1W79J4X" hidden="1">#REF!</definedName>
    <definedName name="BExB3X1562QGGE740OCMWG5AN6V6" localSheetId="0" hidden="1">#REF!</definedName>
    <definedName name="BExB3X1562QGGE740OCMWG5AN6V6" hidden="1">#REF!</definedName>
    <definedName name="BExB406HXCZGNSDPPO8VOG1110ZG" localSheetId="0" hidden="1">#REF!</definedName>
    <definedName name="BExB406HXCZGNSDPPO8VOG1110ZG" hidden="1">#REF!</definedName>
    <definedName name="BExB4B9PTN6T4CSKH6U5OZ3JFDD8" localSheetId="0" hidden="1">#REF!</definedName>
    <definedName name="BExB4B9PTN6T4CSKH6U5OZ3JFDD8" hidden="1">#REF!</definedName>
    <definedName name="BExB4R5JZFW6A1CMY56N51JV2U9K" localSheetId="0" hidden="1">#REF!</definedName>
    <definedName name="BExB4R5JZFW6A1CMY56N51JV2U9K" hidden="1">#REF!</definedName>
    <definedName name="BExB541CBB1D8CTY30SOY75V64NO" localSheetId="0" hidden="1">#REF!</definedName>
    <definedName name="BExB541CBB1D8CTY30SOY75V64NO" hidden="1">#REF!</definedName>
    <definedName name="BExB5JMJYPQII7HTS95KC6O9OPKJ" localSheetId="0" hidden="1">#REF!</definedName>
    <definedName name="BExB5JMJYPQII7HTS95KC6O9OPKJ" hidden="1">#REF!</definedName>
    <definedName name="BExB5QO30WI9WES28Y2RINNXRHWC" localSheetId="0" hidden="1">#REF!</definedName>
    <definedName name="BExB5QO30WI9WES28Y2RINNXRHWC" hidden="1">#REF!</definedName>
    <definedName name="BExB5S0JR62HORGVN1PDZ8E7Y8Y1" localSheetId="0" hidden="1">Weekly by #REF!</definedName>
    <definedName name="BExB5S0JR62HORGVN1PDZ8E7Y8Y1" localSheetId="1" hidden="1">Weekly by #REF!</definedName>
    <definedName name="BExB5S0JR62HORGVN1PDZ8E7Y8Y1" localSheetId="4" hidden="1">Weekly by #REF!</definedName>
    <definedName name="BExB5S0JR62HORGVN1PDZ8E7Y8Y1" localSheetId="5" hidden="1">Weekly by #REF!</definedName>
    <definedName name="BExB5S0JR62HORGVN1PDZ8E7Y8Y1" localSheetId="6" hidden="1">Weekly by #REF!</definedName>
    <definedName name="BExB5S0JR62HORGVN1PDZ8E7Y8Y1" localSheetId="7" hidden="1">Weekly by #REF!</definedName>
    <definedName name="BExB5S0JR62HORGVN1PDZ8E7Y8Y1" localSheetId="11" hidden="1">Weekly by #REF!</definedName>
    <definedName name="BExB5S0JR62HORGVN1PDZ8E7Y8Y1" localSheetId="2" hidden="1">Weekly by #REF!</definedName>
    <definedName name="BExB5S0JR62HORGVN1PDZ8E7Y8Y1" localSheetId="10" hidden="1">Weekly by #REF!</definedName>
    <definedName name="BExB5S0JR62HORGVN1PDZ8E7Y8Y1" hidden="1">Weekly by #REF!</definedName>
    <definedName name="BExB61LTJN6FXZHNDVS4EALDMTND" localSheetId="0" hidden="1">#REF!</definedName>
    <definedName name="BExB61LTJN6FXZHNDVS4EALDMTND" localSheetId="2" hidden="1">#REF!</definedName>
    <definedName name="BExB61LTJN6FXZHNDVS4EALDMTND" hidden="1">#REF!</definedName>
    <definedName name="BExB6692ZQP36NHHWV7TLSTYCP8G" localSheetId="0" hidden="1">#REF!</definedName>
    <definedName name="BExB6692ZQP36NHHWV7TLSTYCP8G" localSheetId="2" hidden="1">#REF!</definedName>
    <definedName name="BExB6692ZQP36NHHWV7TLSTYCP8G" hidden="1">#REF!</definedName>
    <definedName name="BExB6CZTE0PWILZ6X0SQ2FCCSK0D" localSheetId="0" hidden="1">#REF!</definedName>
    <definedName name="BExB6CZTE0PWILZ6X0SQ2FCCSK0D" hidden="1">#REF!</definedName>
    <definedName name="BExB6ML2FEB7YTL3RYRA90W0MTUZ" localSheetId="0" hidden="1">#REF!</definedName>
    <definedName name="BExB6ML2FEB7YTL3RYRA90W0MTUZ" hidden="1">#REF!</definedName>
    <definedName name="BExB6Q6JKBMO3M4WX8XUD0JET6HB" localSheetId="0" hidden="1">#REF!</definedName>
    <definedName name="BExB6Q6JKBMO3M4WX8XUD0JET6HB" hidden="1">#REF!</definedName>
    <definedName name="BExB74F088Z5LM9SEUAESIZUQ3X8" localSheetId="0" hidden="1">#REF!</definedName>
    <definedName name="BExB74F088Z5LM9SEUAESIZUQ3X8" hidden="1">#REF!</definedName>
    <definedName name="BExB7ZL3QL5ZSMJ9XLX8KPNYLIQF" localSheetId="0" hidden="1">#REF!</definedName>
    <definedName name="BExB7ZL3QL5ZSMJ9XLX8KPNYLIQF" hidden="1">#REF!</definedName>
    <definedName name="BExB8CMJD6ZML9661CLGO4NDW34Q" localSheetId="0" hidden="1">#REF!</definedName>
    <definedName name="BExB8CMJD6ZML9661CLGO4NDW34Q" hidden="1">#REF!</definedName>
    <definedName name="BExB8LRJJSLXG3GWG62HEAQHG6X1" localSheetId="0" hidden="1">Weekly by #REF!</definedName>
    <definedName name="BExB8LRJJSLXG3GWG62HEAQHG6X1" localSheetId="1" hidden="1">Weekly by #REF!</definedName>
    <definedName name="BExB8LRJJSLXG3GWG62HEAQHG6X1" localSheetId="4" hidden="1">Weekly by #REF!</definedName>
    <definedName name="BExB8LRJJSLXG3GWG62HEAQHG6X1" localSheetId="5" hidden="1">Weekly by #REF!</definedName>
    <definedName name="BExB8LRJJSLXG3GWG62HEAQHG6X1" localSheetId="6" hidden="1">Weekly by #REF!</definedName>
    <definedName name="BExB8LRJJSLXG3GWG62HEAQHG6X1" localSheetId="7" hidden="1">Weekly by #REF!</definedName>
    <definedName name="BExB8LRJJSLXG3GWG62HEAQHG6X1" localSheetId="11" hidden="1">Weekly by #REF!</definedName>
    <definedName name="BExB8LRJJSLXG3GWG62HEAQHG6X1" localSheetId="2" hidden="1">Weekly by #REF!</definedName>
    <definedName name="BExB8LRJJSLXG3GWG62HEAQHG6X1" localSheetId="10" hidden="1">Weekly by #REF!</definedName>
    <definedName name="BExB8LRJJSLXG3GWG62HEAQHG6X1" hidden="1">Weekly by #REF!</definedName>
    <definedName name="BExB8YNH8DIQNYJTUV5OV4B1HB8P" localSheetId="0" hidden="1">#REF!</definedName>
    <definedName name="BExB8YNH8DIQNYJTUV5OV4B1HB8P" localSheetId="2" hidden="1">#REF!</definedName>
    <definedName name="BExB8YNH8DIQNYJTUV5OV4B1HB8P" hidden="1">#REF!</definedName>
    <definedName name="BExB96QU0AXZZEG57C0W7GASBKEB" localSheetId="0" hidden="1">#REF!</definedName>
    <definedName name="BExB96QU0AXZZEG57C0W7GASBKEB" localSheetId="2" hidden="1">#REF!</definedName>
    <definedName name="BExB96QU0AXZZEG57C0W7GASBKEB" hidden="1">#REF!</definedName>
    <definedName name="BExB9FFORPLYG8QEPAVWQ02XVK45" localSheetId="0" hidden="1">Weekly by #REF!</definedName>
    <definedName name="BExB9FFORPLYG8QEPAVWQ02XVK45" localSheetId="1" hidden="1">Weekly by #REF!</definedName>
    <definedName name="BExB9FFORPLYG8QEPAVWQ02XVK45" localSheetId="4" hidden="1">Weekly by #REF!</definedName>
    <definedName name="BExB9FFORPLYG8QEPAVWQ02XVK45" localSheetId="5" hidden="1">Weekly by #REF!</definedName>
    <definedName name="BExB9FFORPLYG8QEPAVWQ02XVK45" localSheetId="6" hidden="1">Weekly by #REF!</definedName>
    <definedName name="BExB9FFORPLYG8QEPAVWQ02XVK45" localSheetId="7" hidden="1">Weekly by #REF!</definedName>
    <definedName name="BExB9FFORPLYG8QEPAVWQ02XVK45" localSheetId="11" hidden="1">Weekly by #REF!</definedName>
    <definedName name="BExB9FFORPLYG8QEPAVWQ02XVK45" localSheetId="2" hidden="1">Weekly by #REF!</definedName>
    <definedName name="BExB9FFORPLYG8QEPAVWQ02XVK45" localSheetId="10" hidden="1">Weekly by #REF!</definedName>
    <definedName name="BExB9FFORPLYG8QEPAVWQ02XVK45" hidden="1">Weekly by #REF!</definedName>
    <definedName name="BExB9S66MFUL9J891R547MSVIVV1" localSheetId="0" hidden="1">#REF!</definedName>
    <definedName name="BExB9S66MFUL9J891R547MSVIVV1" localSheetId="2" hidden="1">#REF!</definedName>
    <definedName name="BExB9S66MFUL9J891R547MSVIVV1" hidden="1">#REF!</definedName>
    <definedName name="BExBAGQYIBV77JKN346FU4VT1MB4" localSheetId="0" hidden="1">#REF!</definedName>
    <definedName name="BExBAGQYIBV77JKN346FU4VT1MB4" localSheetId="2" hidden="1">#REF!</definedName>
    <definedName name="BExBAGQYIBV77JKN346FU4VT1MB4" hidden="1">#REF!</definedName>
    <definedName name="BExBAIZT07RTGVJKHVBTGG72O8PB" localSheetId="0" hidden="1">#REF!</definedName>
    <definedName name="BExBAIZT07RTGVJKHVBTGG72O8PB" hidden="1">#REF!</definedName>
    <definedName name="BExBATS6QTKFZ3S66DBSAAJJ1257" localSheetId="0" hidden="1">#REF!</definedName>
    <definedName name="BExBATS6QTKFZ3S66DBSAAJJ1257" hidden="1">#REF!</definedName>
    <definedName name="BExBB9D9GNURCRZN3NR6UY375OX5" localSheetId="0" hidden="1">#REF!</definedName>
    <definedName name="BExBB9D9GNURCRZN3NR6UY375OX5" hidden="1">#REF!</definedName>
    <definedName name="BExBBJ9BWME32GCDTD4GDSQBG1SE" localSheetId="0" hidden="1">#REF!</definedName>
    <definedName name="BExBBJ9BWME32GCDTD4GDSQBG1SE" hidden="1">#REF!</definedName>
    <definedName name="BExBBJUVPE34F3MS65X93MGTPTS7" localSheetId="0" hidden="1">#REF!</definedName>
    <definedName name="BExBBJUVPE34F3MS65X93MGTPTS7" hidden="1">#REF!</definedName>
    <definedName name="BExBBXN85V6BRKSEPLFA92KIRDRO" localSheetId="0" hidden="1">Weekly by #REF!</definedName>
    <definedName name="BExBBXN85V6BRKSEPLFA92KIRDRO" localSheetId="1" hidden="1">Weekly by #REF!</definedName>
    <definedName name="BExBBXN85V6BRKSEPLFA92KIRDRO" localSheetId="4" hidden="1">Weekly by #REF!</definedName>
    <definedName name="BExBBXN85V6BRKSEPLFA92KIRDRO" localSheetId="5" hidden="1">Weekly by #REF!</definedName>
    <definedName name="BExBBXN85V6BRKSEPLFA92KIRDRO" localSheetId="6" hidden="1">Weekly by #REF!</definedName>
    <definedName name="BExBBXN85V6BRKSEPLFA92KIRDRO" localSheetId="7" hidden="1">Weekly by #REF!</definedName>
    <definedName name="BExBBXN85V6BRKSEPLFA92KIRDRO" localSheetId="11" hidden="1">Weekly by #REF!</definedName>
    <definedName name="BExBBXN85V6BRKSEPLFA92KIRDRO" localSheetId="2" hidden="1">Weekly by #REF!</definedName>
    <definedName name="BExBBXN85V6BRKSEPLFA92KIRDRO" localSheetId="10" hidden="1">Weekly by #REF!</definedName>
    <definedName name="BExBBXN85V6BRKSEPLFA92KIRDRO" hidden="1">Weekly by #REF!</definedName>
    <definedName name="BExBC4JDQIYGNOS9XSFS5TO0J1UG" localSheetId="0" hidden="1">#REF!</definedName>
    <definedName name="BExBC4JDQIYGNOS9XSFS5TO0J1UG" localSheetId="2" hidden="1">#REF!</definedName>
    <definedName name="BExBC4JDQIYGNOS9XSFS5TO0J1UG" hidden="1">#REF!</definedName>
    <definedName name="BExBC6S9JZS9ZX6V7SBKDJ5R3CGN" localSheetId="0" hidden="1">#REF!</definedName>
    <definedName name="BExBC6S9JZS9ZX6V7SBKDJ5R3CGN" localSheetId="2" hidden="1">#REF!</definedName>
    <definedName name="BExBC6S9JZS9ZX6V7SBKDJ5R3CGN" hidden="1">#REF!</definedName>
    <definedName name="BExBCDTV7GTBOTIE9EFJ36EX4FKM" localSheetId="0" hidden="1">#REF!</definedName>
    <definedName name="BExBCDTV7GTBOTIE9EFJ36EX4FKM" hidden="1">#REF!</definedName>
    <definedName name="BExBCK4H2CF3XDL7AH3W254CWF4R" localSheetId="0" hidden="1">#REF!</definedName>
    <definedName name="BExBCK4H2CF3XDL7AH3W254CWF4R" hidden="1">#REF!</definedName>
    <definedName name="BExBCMTEH63P6H1CKWQH2DGVNSVX" localSheetId="0" hidden="1">#REF!</definedName>
    <definedName name="BExBCMTEH63P6H1CKWQH2DGVNSVX" hidden="1">#REF!</definedName>
    <definedName name="BExBCZUU1UR90PQUCOSYNFQQTXI1" localSheetId="0" hidden="1">#REF!</definedName>
    <definedName name="BExBCZUU1UR90PQUCOSYNFQQTXI1" hidden="1">#REF!</definedName>
    <definedName name="BExBD1CR31JE4TBZEMZ6ZNRFIDNP" localSheetId="0" hidden="1">#REF!</definedName>
    <definedName name="BExBD1CR31JE4TBZEMZ6ZNRFIDNP" hidden="1">#REF!</definedName>
    <definedName name="BExBDTDIHS3IA85P49E3FM64KE4B" localSheetId="0" hidden="1">#REF!</definedName>
    <definedName name="BExBDTDIHS3IA85P49E3FM64KE4B" hidden="1">#REF!</definedName>
    <definedName name="BExBDWDG2GXBTEGBOQMQLB38QUEV" localSheetId="0" hidden="1">#REF!</definedName>
    <definedName name="BExBDWDG2GXBTEGBOQMQLB38QUEV" hidden="1">#REF!</definedName>
    <definedName name="BExBDZITI2UCDSH0V24NITQG9SFA" localSheetId="0" hidden="1">#REF!</definedName>
    <definedName name="BExBDZITI2UCDSH0V24NITQG9SFA" hidden="1">#REF!</definedName>
    <definedName name="BExBE4M6YL512JJD7QCT5NHC893P" localSheetId="0" hidden="1">#REF!</definedName>
    <definedName name="BExBE4M6YL512JJD7QCT5NHC893P" hidden="1">#REF!</definedName>
    <definedName name="BExBEKI2OI0HDKJYXUJ4T4MB4WEH" localSheetId="0" hidden="1">#REF!</definedName>
    <definedName name="BExBEKI2OI0HDKJYXUJ4T4MB4WEH" hidden="1">#REF!</definedName>
    <definedName name="BExBF0U1PNBWLGLVVPNYEZHKB0ON" localSheetId="0" hidden="1">#REF!</definedName>
    <definedName name="BExBF0U1PNBWLGLVVPNYEZHKB0ON" hidden="1">#REF!</definedName>
    <definedName name="BExBF3TXJTJ52WTH5JS1IEEUKRWA" localSheetId="0" hidden="1">#REF!</definedName>
    <definedName name="BExBF3TXJTJ52WTH5JS1IEEUKRWA" hidden="1">#REF!</definedName>
    <definedName name="BExCRHBGQVJF4KLDUGN2C3FE8ZQD" localSheetId="0" hidden="1">#REF!</definedName>
    <definedName name="BExCRHBGQVJF4KLDUGN2C3FE8ZQD" hidden="1">#REF!</definedName>
    <definedName name="BExCROIFDQP6GEN1GZNTC0JUNTOZ" localSheetId="0" hidden="1">#REF!</definedName>
    <definedName name="BExCROIFDQP6GEN1GZNTC0JUNTOZ" hidden="1">#REF!</definedName>
    <definedName name="BExCRRIBGG57IJ1DUG0GCSPL72DO" localSheetId="0" hidden="1">#REF!</definedName>
    <definedName name="BExCRRIBGG57IJ1DUG0GCSPL72DO" hidden="1">#REF!</definedName>
    <definedName name="BExCS078RE3CUATM8A8NCC0WWHGC" localSheetId="0" hidden="1">#REF!</definedName>
    <definedName name="BExCS078RE3CUATM8A8NCC0WWHGC" hidden="1">#REF!</definedName>
    <definedName name="BExCSGZG9G2SOKYYBCQF48XUIYCJ" localSheetId="0" hidden="1">#REF!</definedName>
    <definedName name="BExCSGZG9G2SOKYYBCQF48XUIYCJ" hidden="1">#REF!</definedName>
    <definedName name="BExCTK3EKU33BX4OCHAVIBDIO41M" localSheetId="0" hidden="1">Weekly by #REF!</definedName>
    <definedName name="BExCTK3EKU33BX4OCHAVIBDIO41M" localSheetId="1" hidden="1">Weekly by #REF!</definedName>
    <definedName name="BExCTK3EKU33BX4OCHAVIBDIO41M" localSheetId="4" hidden="1">Weekly by #REF!</definedName>
    <definedName name="BExCTK3EKU33BX4OCHAVIBDIO41M" localSheetId="5" hidden="1">Weekly by #REF!</definedName>
    <definedName name="BExCTK3EKU33BX4OCHAVIBDIO41M" localSheetId="6" hidden="1">Weekly by #REF!</definedName>
    <definedName name="BExCTK3EKU33BX4OCHAVIBDIO41M" localSheetId="7" hidden="1">Weekly by #REF!</definedName>
    <definedName name="BExCTK3EKU33BX4OCHAVIBDIO41M" localSheetId="11" hidden="1">Weekly by #REF!</definedName>
    <definedName name="BExCTK3EKU33BX4OCHAVIBDIO41M" localSheetId="2" hidden="1">Weekly by #REF!</definedName>
    <definedName name="BExCTK3EKU33BX4OCHAVIBDIO41M" localSheetId="10" hidden="1">Weekly by #REF!</definedName>
    <definedName name="BExCTK3EKU33BX4OCHAVIBDIO41M" hidden="1">Weekly by #REF!</definedName>
    <definedName name="BExCU0A1FTLDSB531Y0PHH4EIPRF" localSheetId="0" hidden="1">Weekly by #REF!</definedName>
    <definedName name="BExCU0A1FTLDSB531Y0PHH4EIPRF" localSheetId="1" hidden="1">Weekly by #REF!</definedName>
    <definedName name="BExCU0A1FTLDSB531Y0PHH4EIPRF" localSheetId="4" hidden="1">Weekly by #REF!</definedName>
    <definedName name="BExCU0A1FTLDSB531Y0PHH4EIPRF" localSheetId="5" hidden="1">Weekly by #REF!</definedName>
    <definedName name="BExCU0A1FTLDSB531Y0PHH4EIPRF" localSheetId="6" hidden="1">Weekly by #REF!</definedName>
    <definedName name="BExCU0A1FTLDSB531Y0PHH4EIPRF" localSheetId="7" hidden="1">Weekly by #REF!</definedName>
    <definedName name="BExCU0A1FTLDSB531Y0PHH4EIPRF" localSheetId="11" hidden="1">Weekly by #REF!</definedName>
    <definedName name="BExCU0A1FTLDSB531Y0PHH4EIPRF" localSheetId="2" hidden="1">Weekly by #REF!</definedName>
    <definedName name="BExCU0A1FTLDSB531Y0PHH4EIPRF" localSheetId="10" hidden="1">Weekly by #REF!</definedName>
    <definedName name="BExCU0A1FTLDSB531Y0PHH4EIPRF" hidden="1">Weekly by #REF!</definedName>
    <definedName name="BExCU16FAFHSYEENQXBNLERR7V3K" localSheetId="0" hidden="1">#REF!</definedName>
    <definedName name="BExCU16FAFHSYEENQXBNLERR7V3K" localSheetId="2" hidden="1">#REF!</definedName>
    <definedName name="BExCU16FAFHSYEENQXBNLERR7V3K" hidden="1">#REF!</definedName>
    <definedName name="BExCUD60H1UMM2E28QIX022PMAO3" localSheetId="0" hidden="1">#REF!</definedName>
    <definedName name="BExCUD60H1UMM2E28QIX022PMAO3" localSheetId="2" hidden="1">#REF!</definedName>
    <definedName name="BExCUD60H1UMM2E28QIX022PMAO3" hidden="1">#REF!</definedName>
    <definedName name="BExCUPAWHM0P4BSKFZ5SJKV1ERM7" localSheetId="0" hidden="1">#REF!</definedName>
    <definedName name="BExCUPAWHM0P4BSKFZ5SJKV1ERM7" hidden="1">#REF!</definedName>
    <definedName name="BExCUW1Q2AR1JX2Z1B9CGJ6H60GY" localSheetId="0" hidden="1">#REF!</definedName>
    <definedName name="BExCUW1Q2AR1JX2Z1B9CGJ6H60GY" hidden="1">#REF!</definedName>
    <definedName name="BExCUW1RF5RHW7OK9J4GFUGR30IK" localSheetId="0" hidden="1">#REF!</definedName>
    <definedName name="BExCUW1RF5RHW7OK9J4GFUGR30IK" hidden="1">#REF!</definedName>
    <definedName name="BExCVBXG4TTE2ERW52ZA09FBTDH2" localSheetId="0" hidden="1">#REF!</definedName>
    <definedName name="BExCVBXG4TTE2ERW52ZA09FBTDH2" hidden="1">#REF!</definedName>
    <definedName name="BExCVDA27LGXYV9FEXATUHP2IHS0" localSheetId="0" hidden="1">#REF!</definedName>
    <definedName name="BExCVDA27LGXYV9FEXATUHP2IHS0" hidden="1">#REF!</definedName>
    <definedName name="BExCVKH0KFLY4D0IVRFGVTJYRXFX" localSheetId="0" hidden="1">#REF!</definedName>
    <definedName name="BExCVKH0KFLY4D0IVRFGVTJYRXFX" hidden="1">#REF!</definedName>
    <definedName name="BExCVWLXVAKW0MGL9EAXK4DRRB6T" localSheetId="0" hidden="1">#REF!</definedName>
    <definedName name="BExCVWLXVAKW0MGL9EAXK4DRRB6T" hidden="1">#REF!</definedName>
    <definedName name="BExCWLMRS46CTRI5Q30MQMLOJ2NH" localSheetId="0" hidden="1">#REF!</definedName>
    <definedName name="BExCWLMRS46CTRI5Q30MQMLOJ2NH" hidden="1">#REF!</definedName>
    <definedName name="BExCWX69ER7R6C6VGOZAPRGXJR2R" localSheetId="0" hidden="1">#REF!</definedName>
    <definedName name="BExCWX69ER7R6C6VGOZAPRGXJR2R" hidden="1">#REF!</definedName>
    <definedName name="BExCWXH17ASG0NSX26ZZXY1D2JKY" localSheetId="0" hidden="1">#REF!</definedName>
    <definedName name="BExCWXH17ASG0NSX26ZZXY1D2JKY" hidden="1">#REF!</definedName>
    <definedName name="BExCX47R2DICGOKDAXYPIWMXT0F0" localSheetId="0" hidden="1">#REF!</definedName>
    <definedName name="BExCX47R2DICGOKDAXYPIWMXT0F0" hidden="1">#REF!</definedName>
    <definedName name="BExCXAYLA3TMOHIRCEXCXXUSNOKZ" localSheetId="0" hidden="1">#REF!</definedName>
    <definedName name="BExCXAYLA3TMOHIRCEXCXXUSNOKZ" hidden="1">#REF!</definedName>
    <definedName name="BExCXC0EIRZGKHGFWVH6BZGZKSL5" localSheetId="0" hidden="1">#REF!</definedName>
    <definedName name="BExCXC0EIRZGKHGFWVH6BZGZKSL5" hidden="1">#REF!</definedName>
    <definedName name="BExCXZJ5G598C4VXA3GXGYHN6COW" localSheetId="0" hidden="1">#REF!</definedName>
    <definedName name="BExCXZJ5G598C4VXA3GXGYHN6COW" hidden="1">#REF!</definedName>
    <definedName name="BExCY4H9JMPB090TG2SILY28IPCR" localSheetId="0" hidden="1">#REF!</definedName>
    <definedName name="BExCY4H9JMPB090TG2SILY28IPCR" hidden="1">#REF!</definedName>
    <definedName name="BExCYK7MZ56O5XIV8T5XIE9VBQXN" localSheetId="0" hidden="1">#REF!</definedName>
    <definedName name="BExCYK7MZ56O5XIV8T5XIE9VBQXN" hidden="1">#REF!</definedName>
    <definedName name="BExCZBHJ4ZDFD4N4ZS7VAL7FA7P7" localSheetId="0" hidden="1">#REF!</definedName>
    <definedName name="BExCZBHJ4ZDFD4N4ZS7VAL7FA7P7" hidden="1">#REF!</definedName>
    <definedName name="BExD06SXR2OPV4282WTX6ARRQ4JS" localSheetId="0" hidden="1">#REF!</definedName>
    <definedName name="BExD06SXR2OPV4282WTX6ARRQ4JS" hidden="1">#REF!</definedName>
    <definedName name="BExD0WQ71JYMUDXQTQEITA6DXV3F" localSheetId="0" hidden="1">#REF!</definedName>
    <definedName name="BExD0WQ71JYMUDXQTQEITA6DXV3F" hidden="1">#REF!</definedName>
    <definedName name="BExD189NLCZ0MV1E8GXPW23W160D" localSheetId="0" hidden="1">#REF!</definedName>
    <definedName name="BExD189NLCZ0MV1E8GXPW23W160D" hidden="1">#REF!</definedName>
    <definedName name="BExD1I5QGOIO4W9UL7YB328EA3V7" localSheetId="0" hidden="1">#REF!</definedName>
    <definedName name="BExD1I5QGOIO4W9UL7YB328EA3V7" hidden="1">#REF!</definedName>
    <definedName name="BExD2MRMSOCW29ZLJ226FVCE2K34" localSheetId="0" hidden="1">#REF!</definedName>
    <definedName name="BExD2MRMSOCW29ZLJ226FVCE2K34" hidden="1">#REF!</definedName>
    <definedName name="BExD2RK9LE7I985N677G3WNH5DIV" localSheetId="0" hidden="1">#REF!</definedName>
    <definedName name="BExD2RK9LE7I985N677G3WNH5DIV" hidden="1">#REF!</definedName>
    <definedName name="BExD315IVQFPVHM4YUV8T1NVSQLK" localSheetId="0" hidden="1">#REF!</definedName>
    <definedName name="BExD315IVQFPVHM4YUV8T1NVSQLK" hidden="1">#REF!</definedName>
    <definedName name="BExD37W7YUULHO5DGYRP7KYM65NC" localSheetId="0" hidden="1">#REF!</definedName>
    <definedName name="BExD37W7YUULHO5DGYRP7KYM65NC" hidden="1">#REF!</definedName>
    <definedName name="BExD3F35IW13G9ZW2RGW637IX0SB" localSheetId="0" hidden="1">Weekly by #REF!</definedName>
    <definedName name="BExD3F35IW13G9ZW2RGW637IX0SB" localSheetId="1" hidden="1">Weekly by #REF!</definedName>
    <definedName name="BExD3F35IW13G9ZW2RGW637IX0SB" localSheetId="4" hidden="1">Weekly by #REF!</definedName>
    <definedName name="BExD3F35IW13G9ZW2RGW637IX0SB" localSheetId="5" hidden="1">Weekly by #REF!</definedName>
    <definedName name="BExD3F35IW13G9ZW2RGW637IX0SB" localSheetId="6" hidden="1">Weekly by #REF!</definedName>
    <definedName name="BExD3F35IW13G9ZW2RGW637IX0SB" localSheetId="7" hidden="1">Weekly by #REF!</definedName>
    <definedName name="BExD3F35IW13G9ZW2RGW637IX0SB" localSheetId="11" hidden="1">Weekly by #REF!</definedName>
    <definedName name="BExD3F35IW13G9ZW2RGW637IX0SB" localSheetId="2" hidden="1">Weekly by #REF!</definedName>
    <definedName name="BExD3F35IW13G9ZW2RGW637IX0SB" localSheetId="10" hidden="1">Weekly by #REF!</definedName>
    <definedName name="BExD3F35IW13G9ZW2RGW637IX0SB" hidden="1">Weekly by #REF!</definedName>
    <definedName name="BExD3ODNGWEV6DBJR97P2II2EVF3" localSheetId="0" hidden="1">Weekly by #REF!</definedName>
    <definedName name="BExD3ODNGWEV6DBJR97P2II2EVF3" localSheetId="1" hidden="1">Weekly by #REF!</definedName>
    <definedName name="BExD3ODNGWEV6DBJR97P2II2EVF3" localSheetId="4" hidden="1">Weekly by #REF!</definedName>
    <definedName name="BExD3ODNGWEV6DBJR97P2II2EVF3" localSheetId="5" hidden="1">Weekly by #REF!</definedName>
    <definedName name="BExD3ODNGWEV6DBJR97P2II2EVF3" localSheetId="6" hidden="1">Weekly by #REF!</definedName>
    <definedName name="BExD3ODNGWEV6DBJR97P2II2EVF3" localSheetId="7" hidden="1">Weekly by #REF!</definedName>
    <definedName name="BExD3ODNGWEV6DBJR97P2II2EVF3" localSheetId="11" hidden="1">Weekly by #REF!</definedName>
    <definedName name="BExD3ODNGWEV6DBJR97P2II2EVF3" localSheetId="2" hidden="1">Weekly by #REF!</definedName>
    <definedName name="BExD3ODNGWEV6DBJR97P2II2EVF3" localSheetId="10" hidden="1">Weekly by #REF!</definedName>
    <definedName name="BExD3ODNGWEV6DBJR97P2II2EVF3" hidden="1">Weekly by #REF!</definedName>
    <definedName name="BExD3PKTT0MHJPK56ADYPFIYXKO7" localSheetId="0" hidden="1">#REF!</definedName>
    <definedName name="BExD3PKTT0MHJPK56ADYPFIYXKO7" localSheetId="2" hidden="1">#REF!</definedName>
    <definedName name="BExD3PKTT0MHJPK56ADYPFIYXKO7" hidden="1">#REF!</definedName>
    <definedName name="BExD47UZN79E7UZ1PF13H1AL03VT" localSheetId="0" hidden="1">#REF!</definedName>
    <definedName name="BExD47UZN79E7UZ1PF13H1AL03VT" localSheetId="2" hidden="1">#REF!</definedName>
    <definedName name="BExD47UZN79E7UZ1PF13H1AL03VT" hidden="1">#REF!</definedName>
    <definedName name="BExD4B5OJKUPJMFR7AZJGR6UVR3E" localSheetId="0" hidden="1">#REF!</definedName>
    <definedName name="BExD4B5OJKUPJMFR7AZJGR6UVR3E" hidden="1">#REF!</definedName>
    <definedName name="BExD4RHMHOHG2WM6HI950PSP13F8" localSheetId="0" hidden="1">#REF!</definedName>
    <definedName name="BExD4RHMHOHG2WM6HI950PSP13F8" hidden="1">#REF!</definedName>
    <definedName name="BExD5P7D7B3TCMJQY4TM56KCPB73" localSheetId="0" hidden="1">#REF!</definedName>
    <definedName name="BExD5P7D7B3TCMJQY4TM56KCPB73" hidden="1">#REF!</definedName>
    <definedName name="BExD60W79PK074CAKD5DGUG6FLIL" localSheetId="0" hidden="1">#REF!</definedName>
    <definedName name="BExD60W79PK074CAKD5DGUG6FLIL" hidden="1">#REF!</definedName>
    <definedName name="BExD6BZF6UGC8YXEZJ8URJDY0HUJ" localSheetId="0" hidden="1">#REF!</definedName>
    <definedName name="BExD6BZF6UGC8YXEZJ8URJDY0HUJ" hidden="1">#REF!</definedName>
    <definedName name="BExD6O9R3LS96DOIWX0OUCG8WYTX" localSheetId="0" hidden="1">#REF!</definedName>
    <definedName name="BExD6O9R3LS96DOIWX0OUCG8WYTX" hidden="1">#REF!</definedName>
    <definedName name="BExD6XV0BDU8LPQPWSKHU0XX0UPR" localSheetId="0" hidden="1">#REF!</definedName>
    <definedName name="BExD6XV0BDU8LPQPWSKHU0XX0UPR" hidden="1">#REF!</definedName>
    <definedName name="BExD78HZXST2VA16CD7MZ9XZG7HK" localSheetId="0" hidden="1">#REF!</definedName>
    <definedName name="BExD78HZXST2VA16CD7MZ9XZG7HK" hidden="1">#REF!</definedName>
    <definedName name="BExD7CE8ZR0EL3ZQP0AYQ5XQUH9L" localSheetId="0" hidden="1">#REF!</definedName>
    <definedName name="BExD7CE8ZR0EL3ZQP0AYQ5XQUH9L" hidden="1">#REF!</definedName>
    <definedName name="BExD7D5BENMIPN2M611H2L9AV3AK" localSheetId="0" hidden="1">#REF!</definedName>
    <definedName name="BExD7D5BENMIPN2M611H2L9AV3AK" hidden="1">#REF!</definedName>
    <definedName name="BExD7GAIHX094KROB46WFTL2XBWL" localSheetId="0" hidden="1">#REF!</definedName>
    <definedName name="BExD7GAIHX094KROB46WFTL2XBWL" hidden="1">#REF!</definedName>
    <definedName name="BExD7IZMKM0QIFE7EV1NYL6EZVJZ" localSheetId="0" hidden="1">#REF!</definedName>
    <definedName name="BExD7IZMKM0QIFE7EV1NYL6EZVJZ" hidden="1">#REF!</definedName>
    <definedName name="BExD7SVOH5J3ZVHK9KI2N1XE0CC3" localSheetId="0" hidden="1">#REF!</definedName>
    <definedName name="BExD7SVOH5J3ZVHK9KI2N1XE0CC3" hidden="1">#REF!</definedName>
    <definedName name="BExD7V4PCVR1ACVPOJXKJ4CSROIX" localSheetId="0" hidden="1">#REF!</definedName>
    <definedName name="BExD7V4PCVR1ACVPOJXKJ4CSROIX" hidden="1">#REF!</definedName>
    <definedName name="BExD819S39VUTMASCBMYI883THJ3" localSheetId="0" hidden="1">#REF!</definedName>
    <definedName name="BExD819S39VUTMASCBMYI883THJ3" hidden="1">#REF!</definedName>
    <definedName name="BExD87V5NA5FTBL0ESM00FYKKNJO" localSheetId="0" hidden="1">#REF!</definedName>
    <definedName name="BExD87V5NA5FTBL0ESM00FYKKNJO" hidden="1">#REF!</definedName>
    <definedName name="BExD8CYKX2WGEDSW6KFP6MND1PM0" localSheetId="0" hidden="1">#REF!</definedName>
    <definedName name="BExD8CYKX2WGEDSW6KFP6MND1PM0" hidden="1">#REF!</definedName>
    <definedName name="BExD8H5MGJFMK4HK6DOAGTFYV6JT" localSheetId="0" hidden="1">#REF!</definedName>
    <definedName name="BExD8H5MGJFMK4HK6DOAGTFYV6JT" hidden="1">#REF!</definedName>
    <definedName name="BExD8KWFYVMYYY2YJ34JT4QNLLTE" localSheetId="0" hidden="1">#REF!</definedName>
    <definedName name="BExD8KWFYVMYYY2YJ34JT4QNLLTE" hidden="1">#REF!</definedName>
    <definedName name="BExD8N5GSH2449ON28PQ4COA2876" localSheetId="0" hidden="1">#REF!</definedName>
    <definedName name="BExD8N5GSH2449ON28PQ4COA2876" hidden="1">#REF!</definedName>
    <definedName name="BExD90HHZ46XOVPFR9TZ1TZ92LX6" localSheetId="0" hidden="1">Weekly by #REF!</definedName>
    <definedName name="BExD90HHZ46XOVPFR9TZ1TZ92LX6" localSheetId="1" hidden="1">Weekly by #REF!</definedName>
    <definedName name="BExD90HHZ46XOVPFR9TZ1TZ92LX6" localSheetId="4" hidden="1">Weekly by #REF!</definedName>
    <definedName name="BExD90HHZ46XOVPFR9TZ1TZ92LX6" localSheetId="5" hidden="1">Weekly by #REF!</definedName>
    <definedName name="BExD90HHZ46XOVPFR9TZ1TZ92LX6" localSheetId="6" hidden="1">Weekly by #REF!</definedName>
    <definedName name="BExD90HHZ46XOVPFR9TZ1TZ92LX6" localSheetId="7" hidden="1">Weekly by #REF!</definedName>
    <definedName name="BExD90HHZ46XOVPFR9TZ1TZ92LX6" localSheetId="11" hidden="1">Weekly by #REF!</definedName>
    <definedName name="BExD90HHZ46XOVPFR9TZ1TZ92LX6" localSheetId="2" hidden="1">Weekly by #REF!</definedName>
    <definedName name="BExD90HHZ46XOVPFR9TZ1TZ92LX6" localSheetId="10" hidden="1">Weekly by #REF!</definedName>
    <definedName name="BExD90HHZ46XOVPFR9TZ1TZ92LX6" hidden="1">Weekly by #REF!</definedName>
    <definedName name="BExD9IMBI0P6S6QRAXHE26HMK86D" localSheetId="0" hidden="1">#REF!</definedName>
    <definedName name="BExD9IMBI0P6S6QRAXHE26HMK86D" localSheetId="2" hidden="1">#REF!</definedName>
    <definedName name="BExD9IMBI0P6S6QRAXHE26HMK86D" hidden="1">#REF!</definedName>
    <definedName name="BExDB39GNDHCPPB7U2PZQO5TJ1OI" localSheetId="0" hidden="1">#REF!</definedName>
    <definedName name="BExDB39GNDHCPPB7U2PZQO5TJ1OI" localSheetId="2" hidden="1">#REF!</definedName>
    <definedName name="BExDB39GNDHCPPB7U2PZQO5TJ1OI" hidden="1">#REF!</definedName>
    <definedName name="BExDBECNFJKO0HIOIKTWDCSWP755" localSheetId="0" hidden="1">#REF!</definedName>
    <definedName name="BExDBECNFJKO0HIOIKTWDCSWP755" hidden="1">#REF!</definedName>
    <definedName name="BExDBI8WRY61SHXKAT4UFXLB15E8" localSheetId="0" hidden="1">#REF!</definedName>
    <definedName name="BExDBI8WRY61SHXKAT4UFXLB15E8" hidden="1">#REF!</definedName>
    <definedName name="BExDBZBW3EHQF6J0XXIT3ZMXPL8C" localSheetId="0" hidden="1">#REF!</definedName>
    <definedName name="BExDBZBW3EHQF6J0XXIT3ZMXPL8C" hidden="1">#REF!</definedName>
    <definedName name="BExDCMPIHH27EAXTDLP095HYA29X" localSheetId="0" hidden="1">#REF!</definedName>
    <definedName name="BExDCMPIHH27EAXTDLP095HYA29X" hidden="1">#REF!</definedName>
    <definedName name="BExENRJDC2MGQRJ6EHLAWX5I4SRS" localSheetId="0" hidden="1">#REF!</definedName>
    <definedName name="BExENRJDC2MGQRJ6EHLAWX5I4SRS" hidden="1">#REF!</definedName>
    <definedName name="BExEP7388TKNL6FEJW00XN7FHEUG" localSheetId="0" hidden="1">#REF!</definedName>
    <definedName name="BExEP7388TKNL6FEJW00XN7FHEUG" hidden="1">#REF!</definedName>
    <definedName name="BExEP9HILU9SUSO38EK2584F5Z9V" localSheetId="0" hidden="1">#REF!</definedName>
    <definedName name="BExEP9HILU9SUSO38EK2584F5Z9V" hidden="1">#REF!</definedName>
    <definedName name="BExEQD73QE34MW57L1HFXSTB7QEG" localSheetId="0" hidden="1">#REF!</definedName>
    <definedName name="BExEQD73QE34MW57L1HFXSTB7QEG" hidden="1">#REF!</definedName>
    <definedName name="BExEQTTU72F3AZAQLU8TM5QXVZZS" localSheetId="0" hidden="1">#REF!</definedName>
    <definedName name="BExEQTTU72F3AZAQLU8TM5QXVZZS" hidden="1">#REF!</definedName>
    <definedName name="BExER22NHDV2CL9P4VQ4OI396138" localSheetId="0" hidden="1">#REF!</definedName>
    <definedName name="BExER22NHDV2CL9P4VQ4OI396138" hidden="1">#REF!</definedName>
    <definedName name="BExERA5Y3NAE7423Z05OXMVP2IOG" localSheetId="0" hidden="1">Weekly by #REF!</definedName>
    <definedName name="BExERA5Y3NAE7423Z05OXMVP2IOG" localSheetId="1" hidden="1">Weekly by #REF!</definedName>
    <definedName name="BExERA5Y3NAE7423Z05OXMVP2IOG" localSheetId="4" hidden="1">Weekly by #REF!</definedName>
    <definedName name="BExERA5Y3NAE7423Z05OXMVP2IOG" localSheetId="5" hidden="1">Weekly by #REF!</definedName>
    <definedName name="BExERA5Y3NAE7423Z05OXMVP2IOG" localSheetId="6" hidden="1">Weekly by #REF!</definedName>
    <definedName name="BExERA5Y3NAE7423Z05OXMVP2IOG" localSheetId="7" hidden="1">Weekly by #REF!</definedName>
    <definedName name="BExERA5Y3NAE7423Z05OXMVP2IOG" localSheetId="11" hidden="1">Weekly by #REF!</definedName>
    <definedName name="BExERA5Y3NAE7423Z05OXMVP2IOG" localSheetId="2" hidden="1">Weekly by #REF!</definedName>
    <definedName name="BExERA5Y3NAE7423Z05OXMVP2IOG" localSheetId="10" hidden="1">Weekly by #REF!</definedName>
    <definedName name="BExERA5Y3NAE7423Z05OXMVP2IOG" hidden="1">Weekly by #REF!</definedName>
    <definedName name="BExERCETL5ZVXSS6EENB85QCSRYG" localSheetId="0" hidden="1">#REF!</definedName>
    <definedName name="BExERCETL5ZVXSS6EENB85QCSRYG" localSheetId="2" hidden="1">#REF!</definedName>
    <definedName name="BExERCETL5ZVXSS6EENB85QCSRYG" hidden="1">#REF!</definedName>
    <definedName name="BExERIUTB21WQ9WVQXUCDCGSH23E" localSheetId="0" hidden="1">#REF!</definedName>
    <definedName name="BExERIUTB21WQ9WVQXUCDCGSH23E" localSheetId="2" hidden="1">#REF!</definedName>
    <definedName name="BExERIUTB21WQ9WVQXUCDCGSH23E" hidden="1">#REF!</definedName>
    <definedName name="BExERSLFEDXNMOLAZ2VOI6VVJCBW" localSheetId="0" hidden="1">#REF!</definedName>
    <definedName name="BExERSLFEDXNMOLAZ2VOI6VVJCBW" hidden="1">#REF!</definedName>
    <definedName name="BExERWCEBKQRYWRQLYJ4UCMMKTHG" localSheetId="0" hidden="1">#REF!</definedName>
    <definedName name="BExERWCEBKQRYWRQLYJ4UCMMKTHG" localSheetId="2" hidden="1">#REF!</definedName>
    <definedName name="BExERWCEBKQRYWRQLYJ4UCMMKTHG" hidden="1">#REF!</definedName>
    <definedName name="BExERWSHS5678NWP0NM8J09K2OGY" localSheetId="0" hidden="1">#REF!</definedName>
    <definedName name="BExERWSHS5678NWP0NM8J09K2OGY" hidden="1">#REF!</definedName>
    <definedName name="BExESVUV75ORB8EHJ9ZBRAXK5HKX" localSheetId="0" hidden="1">Weekly by #REF!</definedName>
    <definedName name="BExESVUV75ORB8EHJ9ZBRAXK5HKX" localSheetId="1" hidden="1">Weekly by #REF!</definedName>
    <definedName name="BExESVUV75ORB8EHJ9ZBRAXK5HKX" localSheetId="4" hidden="1">Weekly by #REF!</definedName>
    <definedName name="BExESVUV75ORB8EHJ9ZBRAXK5HKX" localSheetId="5" hidden="1">Weekly by #REF!</definedName>
    <definedName name="BExESVUV75ORB8EHJ9ZBRAXK5HKX" localSheetId="6" hidden="1">Weekly by #REF!</definedName>
    <definedName name="BExESVUV75ORB8EHJ9ZBRAXK5HKX" localSheetId="7" hidden="1">Weekly by #REF!</definedName>
    <definedName name="BExESVUV75ORB8EHJ9ZBRAXK5HKX" localSheetId="11" hidden="1">Weekly by #REF!</definedName>
    <definedName name="BExESVUV75ORB8EHJ9ZBRAXK5HKX" localSheetId="2" hidden="1">Weekly by #REF!</definedName>
    <definedName name="BExESVUV75ORB8EHJ9ZBRAXK5HKX" localSheetId="10" hidden="1">Weekly by #REF!</definedName>
    <definedName name="BExESVUV75ORB8EHJ9ZBRAXK5HKX" hidden="1">Weekly by #REF!</definedName>
    <definedName name="BExESZWG5NZ8IHCROQMPMIAY0TSO" localSheetId="0" hidden="1">#REF!</definedName>
    <definedName name="BExESZWG5NZ8IHCROQMPMIAY0TSO" localSheetId="2" hidden="1">#REF!</definedName>
    <definedName name="BExESZWG5NZ8IHCROQMPMIAY0TSO" hidden="1">#REF!</definedName>
    <definedName name="BExETLS2RZ2B6U29Y78UAD8896C8" localSheetId="0" hidden="1">#REF!</definedName>
    <definedName name="BExETLS2RZ2B6U29Y78UAD8896C8" localSheetId="2" hidden="1">#REF!</definedName>
    <definedName name="BExETLS2RZ2B6U29Y78UAD8896C8" hidden="1">#REF!</definedName>
    <definedName name="BExETQFFLH766OHX0PD3NEIK0DIF" localSheetId="0" hidden="1">#REF!</definedName>
    <definedName name="BExETQFFLH766OHX0PD3NEIK0DIF" hidden="1">#REF!</definedName>
    <definedName name="BExETVDCXGPYA4OP2UI1URTJ60TK" localSheetId="0" hidden="1">#REF!</definedName>
    <definedName name="BExETVDCXGPYA4OP2UI1URTJ60TK" hidden="1">#REF!</definedName>
    <definedName name="BExEUM6Y5MUDV2WYYY9ICV8796JQ" localSheetId="0" hidden="1">#REF!</definedName>
    <definedName name="BExEUM6Y5MUDV2WYYY9ICV8796JQ" hidden="1">#REF!</definedName>
    <definedName name="BExEUTOOSAR1CJ6S2O9NTTQMWXNZ" localSheetId="0" hidden="1">#REF!</definedName>
    <definedName name="BExEUTOOSAR1CJ6S2O9NTTQMWXNZ" hidden="1">#REF!</definedName>
    <definedName name="BExEUWDSE4XZU43EN44GVWEZ7EHZ" localSheetId="0" hidden="1">#REF!</definedName>
    <definedName name="BExEUWDSE4XZU43EN44GVWEZ7EHZ" hidden="1">#REF!</definedName>
    <definedName name="BExEVAM8BLTWVS6IMVJWDOZBQK9R" localSheetId="0" hidden="1">#REF!</definedName>
    <definedName name="BExEVAM8BLTWVS6IMVJWDOZBQK9R" hidden="1">#REF!</definedName>
    <definedName name="BExEVL3UZ22W55ZRF3F0J21PKQLX" localSheetId="0" hidden="1">#REF!</definedName>
    <definedName name="BExEVL3UZ22W55ZRF3F0J21PKQLX" hidden="1">#REF!</definedName>
    <definedName name="BExEW6357VV6LVZCWOOM0R3T78QK" localSheetId="0" hidden="1">#REF!</definedName>
    <definedName name="BExEW6357VV6LVZCWOOM0R3T78QK" hidden="1">#REF!</definedName>
    <definedName name="BExEWHXF5F2E8FN7TRI5U2ZY0T0P" localSheetId="0" hidden="1">#REF!</definedName>
    <definedName name="BExEWHXF5F2E8FN7TRI5U2ZY0T0P" hidden="1">#REF!</definedName>
    <definedName name="BExEXF1KNHTWOGTPOGP3XHLMD7EF" localSheetId="0" hidden="1">#REF!</definedName>
    <definedName name="BExEXF1KNHTWOGTPOGP3XHLMD7EF" hidden="1">#REF!</definedName>
    <definedName name="BExEY067KMBNYP9WMRGOH8ITDBLD" localSheetId="0" hidden="1">#REF!</definedName>
    <definedName name="BExEY067KMBNYP9WMRGOH8ITDBLD" hidden="1">#REF!</definedName>
    <definedName name="BExEY6M2RVOP8F1NSW2IZNX6W61D" localSheetId="0" hidden="1">#REF!</definedName>
    <definedName name="BExEY6M2RVOP8F1NSW2IZNX6W61D" hidden="1">#REF!</definedName>
    <definedName name="BExEYGCSYH6XC1X89ZT8VJVQ6THP" localSheetId="0" hidden="1">#REF!</definedName>
    <definedName name="BExEYGCSYH6XC1X89ZT8VJVQ6THP" hidden="1">#REF!</definedName>
    <definedName name="BExEYVHM7COM2XBAZH71USCAT6K9" localSheetId="0" hidden="1">#REF!</definedName>
    <definedName name="BExEYVHM7COM2XBAZH71USCAT6K9" hidden="1">#REF!</definedName>
    <definedName name="BExEYW8O56SE67A8CIT413PPQFWN" localSheetId="0" hidden="1">#REF!</definedName>
    <definedName name="BExEYW8O56SE67A8CIT413PPQFWN" hidden="1">#REF!</definedName>
    <definedName name="BExEYXQGOT90CC2QXVUDAMIS2SD6" localSheetId="0" hidden="1">#REF!</definedName>
    <definedName name="BExEYXQGOT90CC2QXVUDAMIS2SD6" hidden="1">#REF!</definedName>
    <definedName name="BExEYY17N22FDMK6IA4HQRCTNPYL" localSheetId="0" hidden="1">#REF!</definedName>
    <definedName name="BExEYY17N22FDMK6IA4HQRCTNPYL" hidden="1">#REF!</definedName>
    <definedName name="BExEZ46IAZBD4CP877698X6U1Q13" localSheetId="0" hidden="1">Weekly by #REF!</definedName>
    <definedName name="BExEZ46IAZBD4CP877698X6U1Q13" localSheetId="1" hidden="1">Weekly by #REF!</definedName>
    <definedName name="BExEZ46IAZBD4CP877698X6U1Q13" localSheetId="4" hidden="1">Weekly by #REF!</definedName>
    <definedName name="BExEZ46IAZBD4CP877698X6U1Q13" localSheetId="5" hidden="1">Weekly by #REF!</definedName>
    <definedName name="BExEZ46IAZBD4CP877698X6U1Q13" localSheetId="6" hidden="1">Weekly by #REF!</definedName>
    <definedName name="BExEZ46IAZBD4CP877698X6U1Q13" localSheetId="7" hidden="1">Weekly by #REF!</definedName>
    <definedName name="BExEZ46IAZBD4CP877698X6U1Q13" localSheetId="11" hidden="1">Weekly by #REF!</definedName>
    <definedName name="BExEZ46IAZBD4CP877698X6U1Q13" localSheetId="2" hidden="1">Weekly by #REF!</definedName>
    <definedName name="BExEZ46IAZBD4CP877698X6U1Q13" localSheetId="10" hidden="1">Weekly by #REF!</definedName>
    <definedName name="BExEZ46IAZBD4CP877698X6U1Q13" hidden="1">Weekly by #REF!</definedName>
    <definedName name="BExEZFPZKLS4GGKV39NX0GL8AK7B" localSheetId="0" hidden="1">#REF!</definedName>
    <definedName name="BExEZFPZKLS4GGKV39NX0GL8AK7B" localSheetId="2" hidden="1">#REF!</definedName>
    <definedName name="BExEZFPZKLS4GGKV39NX0GL8AK7B" hidden="1">#REF!</definedName>
    <definedName name="BExEZQYJW81F362CWKW5HLAAM45I" localSheetId="0" hidden="1">#REF!</definedName>
    <definedName name="BExEZQYJW81F362CWKW5HLAAM45I" localSheetId="2" hidden="1">#REF!</definedName>
    <definedName name="BExEZQYJW81F362CWKW5HLAAM45I" hidden="1">#REF!</definedName>
    <definedName name="BExEZSWLMZZ2RK34GSJ9Q3NPCFT2" localSheetId="0" hidden="1">#REF!</definedName>
    <definedName name="BExEZSWLMZZ2RK34GSJ9Q3NPCFT2" hidden="1">#REF!</definedName>
    <definedName name="BExF03ZSVT8IV0I7W0B0RK3R4CNF" localSheetId="0" hidden="1">Weekly by #REF!</definedName>
    <definedName name="BExF03ZSVT8IV0I7W0B0RK3R4CNF" localSheetId="1" hidden="1">Weekly by #REF!</definedName>
    <definedName name="BExF03ZSVT8IV0I7W0B0RK3R4CNF" localSheetId="4" hidden="1">Weekly by #REF!</definedName>
    <definedName name="BExF03ZSVT8IV0I7W0B0RK3R4CNF" localSheetId="5" hidden="1">Weekly by #REF!</definedName>
    <definedName name="BExF03ZSVT8IV0I7W0B0RK3R4CNF" localSheetId="6" hidden="1">Weekly by #REF!</definedName>
    <definedName name="BExF03ZSVT8IV0I7W0B0RK3R4CNF" localSheetId="7" hidden="1">Weekly by #REF!</definedName>
    <definedName name="BExF03ZSVT8IV0I7W0B0RK3R4CNF" localSheetId="11" hidden="1">Weekly by #REF!</definedName>
    <definedName name="BExF03ZSVT8IV0I7W0B0RK3R4CNF" localSheetId="2" hidden="1">Weekly by #REF!</definedName>
    <definedName name="BExF03ZSVT8IV0I7W0B0RK3R4CNF" localSheetId="10" hidden="1">Weekly by #REF!</definedName>
    <definedName name="BExF03ZSVT8IV0I7W0B0RK3R4CNF" hidden="1">Weekly by #REF!</definedName>
    <definedName name="BExF09E0LEV54VX8AQTG2FXYGWW5" localSheetId="0" hidden="1">#REF!</definedName>
    <definedName name="BExF09E0LEV54VX8AQTG2FXYGWW5" localSheetId="2" hidden="1">#REF!</definedName>
    <definedName name="BExF09E0LEV54VX8AQTG2FXYGWW5" hidden="1">#REF!</definedName>
    <definedName name="BExF0HHBY4R915SX9W981L70W8T2" localSheetId="0" hidden="1">#REF!</definedName>
    <definedName name="BExF0HHBY4R915SX9W981L70W8T2" localSheetId="2" hidden="1">#REF!</definedName>
    <definedName name="BExF0HHBY4R915SX9W981L70W8T2" hidden="1">#REF!</definedName>
    <definedName name="BExF0JQCTFN8YI67LO6JHV2H16HD" localSheetId="0" hidden="1">#REF!</definedName>
    <definedName name="BExF0JQCTFN8YI67LO6JHV2H16HD" hidden="1">#REF!</definedName>
    <definedName name="BExF0L2TP18E48BYIVEYR9BGX4HR" localSheetId="0" hidden="1">#REF!</definedName>
    <definedName name="BExF0L2TP18E48BYIVEYR9BGX4HR" hidden="1">#REF!</definedName>
    <definedName name="BExF0QH116YF95UAL83HSM0C2X7Y" localSheetId="0" hidden="1">#REF!</definedName>
    <definedName name="BExF0QH116YF95UAL83HSM0C2X7Y" hidden="1">#REF!</definedName>
    <definedName name="BExF1NL6YF38G8HBORHUB0N00Q80" localSheetId="0" hidden="1">Weekly by #REF!</definedName>
    <definedName name="BExF1NL6YF38G8HBORHUB0N00Q80" localSheetId="1" hidden="1">Weekly by #REF!</definedName>
    <definedName name="BExF1NL6YF38G8HBORHUB0N00Q80" localSheetId="4" hidden="1">Weekly by #REF!</definedName>
    <definedName name="BExF1NL6YF38G8HBORHUB0N00Q80" localSheetId="5" hidden="1">Weekly by #REF!</definedName>
    <definedName name="BExF1NL6YF38G8HBORHUB0N00Q80" localSheetId="6" hidden="1">Weekly by #REF!</definedName>
    <definedName name="BExF1NL6YF38G8HBORHUB0N00Q80" localSheetId="7" hidden="1">Weekly by #REF!</definedName>
    <definedName name="BExF1NL6YF38G8HBORHUB0N00Q80" localSheetId="11" hidden="1">Weekly by #REF!</definedName>
    <definedName name="BExF1NL6YF38G8HBORHUB0N00Q80" localSheetId="2" hidden="1">Weekly by #REF!</definedName>
    <definedName name="BExF1NL6YF38G8HBORHUB0N00Q80" localSheetId="10" hidden="1">Weekly by #REF!</definedName>
    <definedName name="BExF1NL6YF38G8HBORHUB0N00Q80" hidden="1">Weekly by #REF!</definedName>
    <definedName name="BExF200VK438ANZMJEAPZ2RQDB8U" localSheetId="0" hidden="1">#REF!</definedName>
    <definedName name="BExF200VK438ANZMJEAPZ2RQDB8U" localSheetId="2" hidden="1">#REF!</definedName>
    <definedName name="BExF200VK438ANZMJEAPZ2RQDB8U" hidden="1">#REF!</definedName>
    <definedName name="BExF21OBXGVA9D1CPMHVJHL599BC" localSheetId="0" hidden="1">#REF!</definedName>
    <definedName name="BExF21OBXGVA9D1CPMHVJHL599BC" localSheetId="2" hidden="1">#REF!</definedName>
    <definedName name="BExF21OBXGVA9D1CPMHVJHL599BC" hidden="1">#REF!</definedName>
    <definedName name="BExF28PXA9VBW4OZ74OITX6LHR12" localSheetId="0" hidden="1">#REF!</definedName>
    <definedName name="BExF28PXA9VBW4OZ74OITX6LHR12" hidden="1">#REF!</definedName>
    <definedName name="BExF2LR83KWDOSK9ACAROCGMTQ8X" localSheetId="0" hidden="1">#REF!</definedName>
    <definedName name="BExF2LR83KWDOSK9ACAROCGMTQ8X" hidden="1">#REF!</definedName>
    <definedName name="BExF3AS2T7GFVNU9JPBXWUQH845Y" localSheetId="0" hidden="1">#REF!</definedName>
    <definedName name="BExF3AS2T7GFVNU9JPBXWUQH845Y" hidden="1">#REF!</definedName>
    <definedName name="BExF3GBMLCA5ZT2251N0N3CRN11O" localSheetId="0" hidden="1">#REF!</definedName>
    <definedName name="BExF3GBMLCA5ZT2251N0N3CRN11O" hidden="1">#REF!</definedName>
    <definedName name="BExF3RET913530OJZJYWUA4LCSLF" localSheetId="0" hidden="1">#REF!</definedName>
    <definedName name="BExF3RET913530OJZJYWUA4LCSLF" hidden="1">#REF!</definedName>
    <definedName name="BExF42YB94137BLE2UERV9TH4SUP" localSheetId="0" hidden="1">#REF!</definedName>
    <definedName name="BExF42YB94137BLE2UERV9TH4SUP" hidden="1">#REF!</definedName>
    <definedName name="BExF59NQHJ39J7AF8B91RVX0H3P6" localSheetId="0" hidden="1">#REF!</definedName>
    <definedName name="BExF59NQHJ39J7AF8B91RVX0H3P6" hidden="1">#REF!</definedName>
    <definedName name="BExF64DLHGTWAUWH88FKF1AMMEHH" localSheetId="0" hidden="1">#REF!</definedName>
    <definedName name="BExF64DLHGTWAUWH88FKF1AMMEHH" hidden="1">#REF!</definedName>
    <definedName name="BExF65FFOHNFLM63A7M0XSPHOAGY" localSheetId="0" hidden="1">#REF!</definedName>
    <definedName name="BExF65FFOHNFLM63A7M0XSPHOAGY" hidden="1">#REF!</definedName>
    <definedName name="BExF68FCTLQFG30V57VHMW70CNXK" localSheetId="0" hidden="1">#REF!</definedName>
    <definedName name="BExF68FCTLQFG30V57VHMW70CNXK" hidden="1">#REF!</definedName>
    <definedName name="BExF6JNWE4H8L694Y8Z1VCZ9EMVP" localSheetId="0" hidden="1">#REF!</definedName>
    <definedName name="BExF6JNWE4H8L694Y8Z1VCZ9EMVP" hidden="1">#REF!</definedName>
    <definedName name="BExF71SL7S5BDGRZ694893ZZ2ZTI" localSheetId="0" hidden="1">#REF!</definedName>
    <definedName name="BExF71SL7S5BDGRZ694893ZZ2ZTI" hidden="1">#REF!</definedName>
    <definedName name="BExF75OTGPQ9MVI5VVGD63G0WED4" localSheetId="0" hidden="1">#REF!</definedName>
    <definedName name="BExF75OTGPQ9MVI5VVGD63G0WED4" hidden="1">#REF!</definedName>
    <definedName name="BExF7FVNFEHQQH5MIO6AIUWSERR7" localSheetId="0" hidden="1">#REF!</definedName>
    <definedName name="BExF7FVNFEHQQH5MIO6AIUWSERR7" hidden="1">#REF!</definedName>
    <definedName name="BExF7G6H3SQI77B8NYP7N4KBR2H8" localSheetId="0" hidden="1">#REF!</definedName>
    <definedName name="BExF7G6H3SQI77B8NYP7N4KBR2H8" hidden="1">#REF!</definedName>
    <definedName name="BExF7RV9JQHNUU59Z7TLWW2ARAN8" localSheetId="0" hidden="1">#REF!</definedName>
    <definedName name="BExF7RV9JQHNUU59Z7TLWW2ARAN8" hidden="1">#REF!</definedName>
    <definedName name="BExF7YBC4WBGUQDLD8GXHDBBB78X" localSheetId="0" hidden="1">#REF!</definedName>
    <definedName name="BExF7YBC4WBGUQDLD8GXHDBBB78X" hidden="1">#REF!</definedName>
    <definedName name="BExF84R8ZH2K4C0CYI1IVFH8WUYD" localSheetId="0" hidden="1">#REF!</definedName>
    <definedName name="BExF84R8ZH2K4C0CYI1IVFH8WUYD" hidden="1">#REF!</definedName>
    <definedName name="BExF9CTA0UGH0U2JUPUJKMEEI1Z2" localSheetId="0" hidden="1">#REF!</definedName>
    <definedName name="BExF9CTA0UGH0U2JUPUJKMEEI1Z2" hidden="1">#REF!</definedName>
    <definedName name="BExGKJFW3SYWN9W743H2LIFHY67N" localSheetId="0" hidden="1">#REF!</definedName>
    <definedName name="BExGKJFW3SYWN9W743H2LIFHY67N" hidden="1">#REF!</definedName>
    <definedName name="BExGKNC6UCNO0YTOPVJZMQ34IVMH" localSheetId="0" hidden="1">#REF!</definedName>
    <definedName name="BExGKNC6UCNO0YTOPVJZMQ34IVMH" hidden="1">#REF!</definedName>
    <definedName name="BExGKT17Q7NLLXEVPD5JH5USNBZN" localSheetId="0" hidden="1">#REF!</definedName>
    <definedName name="BExGKT17Q7NLLXEVPD5JH5USNBZN" hidden="1">#REF!</definedName>
    <definedName name="BExGLTWCCY1TI4Y56XQEXXWAW600" localSheetId="0" hidden="1">#REF!</definedName>
    <definedName name="BExGLTWCCY1TI4Y56XQEXXWAW600" hidden="1">#REF!</definedName>
    <definedName name="BExGMEFBL47KYW564WF1RQ6VY453" localSheetId="0" hidden="1">#REF!</definedName>
    <definedName name="BExGMEFBL47KYW564WF1RQ6VY453" hidden="1">#REF!</definedName>
    <definedName name="BExGMR5YKGB6A4YH7J3UST1D3BYQ" localSheetId="0" hidden="1">#REF!</definedName>
    <definedName name="BExGMR5YKGB6A4YH7J3UST1D3BYQ" hidden="1">#REF!</definedName>
    <definedName name="BExGN0LRKAPMAKXJTDAKS7Q1MV6S" localSheetId="0" hidden="1">#REF!</definedName>
    <definedName name="BExGN0LRKAPMAKXJTDAKS7Q1MV6S" hidden="1">#REF!</definedName>
    <definedName name="BExGN1CTYZMUJOZYWPL70LRWEF7H" localSheetId="0" hidden="1">#REF!</definedName>
    <definedName name="BExGN1CTYZMUJOZYWPL70LRWEF7H" hidden="1">#REF!</definedName>
    <definedName name="BExGNCFW1HJRE2CBZ65J7JB4DCF3" localSheetId="0" hidden="1">#REF!</definedName>
    <definedName name="BExGNCFW1HJRE2CBZ65J7JB4DCF3" hidden="1">#REF!</definedName>
    <definedName name="BExGNPBUQ4MFVXFVD9LJPL5PZU68" localSheetId="0" hidden="1">#REF!</definedName>
    <definedName name="BExGNPBUQ4MFVXFVD9LJPL5PZU68" hidden="1">#REF!</definedName>
    <definedName name="BExGOE7C2HSW9M6L6R25H0Z4JEKM" localSheetId="0" hidden="1">#REF!</definedName>
    <definedName name="BExGOE7C2HSW9M6L6R25H0Z4JEKM" hidden="1">#REF!</definedName>
    <definedName name="BExGOI3M84PCOV0FSX0APR834A9T" localSheetId="0" hidden="1">#REF!</definedName>
    <definedName name="BExGOI3M84PCOV0FSX0APR834A9T" hidden="1">#REF!</definedName>
    <definedName name="BExGOL903YF63SRYHHD7UNE2B0E7" localSheetId="0" hidden="1">#REF!</definedName>
    <definedName name="BExGOL903YF63SRYHHD7UNE2B0E7" hidden="1">#REF!</definedName>
    <definedName name="BExGOROWSCEN1I6IXZVXWNFSY76K" localSheetId="0" hidden="1">#REF!</definedName>
    <definedName name="BExGOROWSCEN1I6IXZVXWNFSY76K" hidden="1">#REF!</definedName>
    <definedName name="BExGPB0QWZQYZ4O1B28QZMIZK4R5" localSheetId="0" hidden="1">#REF!</definedName>
    <definedName name="BExGPB0QWZQYZ4O1B28QZMIZK4R5" hidden="1">#REF!</definedName>
    <definedName name="BExGQ07389PUAAALMYLWN97W9XZ3" localSheetId="0" hidden="1">Weekly by #REF!</definedName>
    <definedName name="BExGQ07389PUAAALMYLWN97W9XZ3" localSheetId="1" hidden="1">Weekly by #REF!</definedName>
    <definedName name="BExGQ07389PUAAALMYLWN97W9XZ3" localSheetId="4" hidden="1">Weekly by #REF!</definedName>
    <definedName name="BExGQ07389PUAAALMYLWN97W9XZ3" localSheetId="5" hidden="1">Weekly by #REF!</definedName>
    <definedName name="BExGQ07389PUAAALMYLWN97W9XZ3" localSheetId="6" hidden="1">Weekly by #REF!</definedName>
    <definedName name="BExGQ07389PUAAALMYLWN97W9XZ3" localSheetId="7" hidden="1">Weekly by #REF!</definedName>
    <definedName name="BExGQ07389PUAAALMYLWN97W9XZ3" localSheetId="11" hidden="1">Weekly by #REF!</definedName>
    <definedName name="BExGQ07389PUAAALMYLWN97W9XZ3" localSheetId="2" hidden="1">Weekly by #REF!</definedName>
    <definedName name="BExGQ07389PUAAALMYLWN97W9XZ3" localSheetId="10" hidden="1">Weekly by #REF!</definedName>
    <definedName name="BExGQ07389PUAAALMYLWN97W9XZ3" hidden="1">Weekly by #REF!</definedName>
    <definedName name="BExGQOX5SC3QE5GND2P8HAHC7ZN6" localSheetId="0" hidden="1">#REF!</definedName>
    <definedName name="BExGQOX5SC3QE5GND2P8HAHC7ZN6" localSheetId="2" hidden="1">#REF!</definedName>
    <definedName name="BExGQOX5SC3QE5GND2P8HAHC7ZN6" hidden="1">#REF!</definedName>
    <definedName name="BExGQP2M90PWKZU8RDMLC9SJN90J" localSheetId="0" hidden="1">#REF!</definedName>
    <definedName name="BExGQP2M90PWKZU8RDMLC9SJN90J" localSheetId="2" hidden="1">#REF!</definedName>
    <definedName name="BExGQP2M90PWKZU8RDMLC9SJN90J" hidden="1">#REF!</definedName>
    <definedName name="BExGQRM9NCME1AQA8RNH8GRKBEY8" localSheetId="0" hidden="1">#REF!</definedName>
    <definedName name="BExGQRM9NCME1AQA8RNH8GRKBEY8" hidden="1">#REF!</definedName>
    <definedName name="BExGR1YLGFPIMJ51UHGF9RRB2LGB" localSheetId="0" hidden="1">#REF!</definedName>
    <definedName name="BExGR1YLGFPIMJ51UHGF9RRB2LGB" hidden="1">#REF!</definedName>
    <definedName name="BExGR23WEFG8G3CHQC5Q2M1VP9Q0" localSheetId="0" hidden="1">#REF!</definedName>
    <definedName name="BExGR23WEFG8G3CHQC5Q2M1VP9Q0" hidden="1">#REF!</definedName>
    <definedName name="BExGRHZROC86IFGNDBDWZNBH5Q2V" localSheetId="0" hidden="1">#REF!</definedName>
    <definedName name="BExGRHZROC86IFGNDBDWZNBH5Q2V" hidden="1">#REF!</definedName>
    <definedName name="BExGRQOMGLMWO84HD8OJNT6MVYYQ" localSheetId="0" hidden="1">#REF!</definedName>
    <definedName name="BExGRQOMGLMWO84HD8OJNT6MVYYQ" hidden="1">#REF!</definedName>
    <definedName name="BExGRWOG8H774BWL55XHDM510RIO" localSheetId="0" hidden="1">#REF!</definedName>
    <definedName name="BExGRWOG8H774BWL55XHDM510RIO" hidden="1">#REF!</definedName>
    <definedName name="BExGS57VI717VC0GZVTL5UI16MGX" localSheetId="0" hidden="1">#REF!</definedName>
    <definedName name="BExGS57VI717VC0GZVTL5UI16MGX" hidden="1">#REF!</definedName>
    <definedName name="BExGT8S447K94294E5ZM75V29KWV" localSheetId="0" hidden="1">#REF!</definedName>
    <definedName name="BExGT8S447K94294E5ZM75V29KWV" hidden="1">#REF!</definedName>
    <definedName name="BExGUQVJE1MV019H8EUN9O73RXA9" localSheetId="0" hidden="1">#REF!</definedName>
    <definedName name="BExGUQVJE1MV019H8EUN9O73RXA9" hidden="1">#REF!</definedName>
    <definedName name="BExGVCLPV6WOK1QDD4VXCUQUX5HQ" localSheetId="0" hidden="1">#REF!</definedName>
    <definedName name="BExGVCLPV6WOK1QDD4VXCUQUX5HQ" hidden="1">#REF!</definedName>
    <definedName name="BExGVFWDKW8LO48OL2ZZUGFJFDDA" localSheetId="0" hidden="1">#REF!</definedName>
    <definedName name="BExGVFWDKW8LO48OL2ZZUGFJFDDA" hidden="1">#REF!</definedName>
    <definedName name="BExGVHECORFTHA1L0G9CS61TQBZL" localSheetId="0" hidden="1">#REF!</definedName>
    <definedName name="BExGVHECORFTHA1L0G9CS61TQBZL" hidden="1">#REF!</definedName>
    <definedName name="BExGVNE60UM34MF9CJP01250WWKU" localSheetId="0" hidden="1">#REF!</definedName>
    <definedName name="BExGVNE60UM34MF9CJP01250WWKU" hidden="1">#REF!</definedName>
    <definedName name="BExGVPSFXNJJNCO0EEAIAWB0ZR9M" localSheetId="0" hidden="1">#REF!</definedName>
    <definedName name="BExGVPSFXNJJNCO0EEAIAWB0ZR9M" hidden="1">#REF!</definedName>
    <definedName name="BExGW0KVOL93Z29HD7AAKNQ59I24" localSheetId="0" hidden="1">#REF!</definedName>
    <definedName name="BExGW0KVOL93Z29HD7AAKNQ59I24" hidden="1">#REF!</definedName>
    <definedName name="BExGWGGQIA9XHTB1BWWD8ZNUQZJQ" localSheetId="0" hidden="1">Weekly by #REF!</definedName>
    <definedName name="BExGWGGQIA9XHTB1BWWD8ZNUQZJQ" localSheetId="1" hidden="1">Weekly by #REF!</definedName>
    <definedName name="BExGWGGQIA9XHTB1BWWD8ZNUQZJQ" localSheetId="4" hidden="1">Weekly by #REF!</definedName>
    <definedName name="BExGWGGQIA9XHTB1BWWD8ZNUQZJQ" localSheetId="5" hidden="1">Weekly by #REF!</definedName>
    <definedName name="BExGWGGQIA9XHTB1BWWD8ZNUQZJQ" localSheetId="6" hidden="1">Weekly by #REF!</definedName>
    <definedName name="BExGWGGQIA9XHTB1BWWD8ZNUQZJQ" localSheetId="7" hidden="1">Weekly by #REF!</definedName>
    <definedName name="BExGWGGQIA9XHTB1BWWD8ZNUQZJQ" localSheetId="11" hidden="1">Weekly by #REF!</definedName>
    <definedName name="BExGWGGQIA9XHTB1BWWD8ZNUQZJQ" localSheetId="2" hidden="1">Weekly by #REF!</definedName>
    <definedName name="BExGWGGQIA9XHTB1BWWD8ZNUQZJQ" localSheetId="10" hidden="1">Weekly by #REF!</definedName>
    <definedName name="BExGWGGQIA9XHTB1BWWD8ZNUQZJQ" hidden="1">Weekly by #REF!</definedName>
    <definedName name="BExGX453OMLZPGJF63K8PNB8EDJJ" localSheetId="0" hidden="1">#REF!</definedName>
    <definedName name="BExGX453OMLZPGJF63K8PNB8EDJJ" localSheetId="2" hidden="1">#REF!</definedName>
    <definedName name="BExGX453OMLZPGJF63K8PNB8EDJJ" hidden="1">#REF!</definedName>
    <definedName name="BExGXQGVELUHEDSBNLEGTLOGNVS5" localSheetId="0" hidden="1">#REF!</definedName>
    <definedName name="BExGXQGVELUHEDSBNLEGTLOGNVS5" localSheetId="2" hidden="1">#REF!</definedName>
    <definedName name="BExGXQGVELUHEDSBNLEGTLOGNVS5" hidden="1">#REF!</definedName>
    <definedName name="BExGY0T0UPBWF73OV2QYIOSP1VVJ" localSheetId="0" hidden="1">#REF!</definedName>
    <definedName name="BExGY0T0UPBWF73OV2QYIOSP1VVJ" hidden="1">#REF!</definedName>
    <definedName name="BExGYHAGH0IZT9WAS43U752U84WI" localSheetId="0" hidden="1">#REF!</definedName>
    <definedName name="BExGYHAGH0IZT9WAS43U752U84WI" hidden="1">#REF!</definedName>
    <definedName name="BExGYQ4TIE90F32MIXA9WROISYN3" localSheetId="0" hidden="1">#REF!</definedName>
    <definedName name="BExGYQ4TIE90F32MIXA9WROISYN3" hidden="1">#REF!</definedName>
    <definedName name="BExGYVJ15803W6ASWUSQ8HA3AQL0" localSheetId="0" hidden="1">#REF!</definedName>
    <definedName name="BExGYVJ15803W6ASWUSQ8HA3AQL0" hidden="1">#REF!</definedName>
    <definedName name="BExGYXXCM53K2H84S4WZTHTHZPHE" localSheetId="0" hidden="1">#REF!</definedName>
    <definedName name="BExGYXXCM53K2H84S4WZTHTHZPHE" hidden="1">#REF!</definedName>
    <definedName name="BExGYY2PBI68I55GPNKXV5RYR1WF" localSheetId="0" hidden="1">#REF!</definedName>
    <definedName name="BExGYY2PBI68I55GPNKXV5RYR1WF" hidden="1">#REF!</definedName>
    <definedName name="BExGZ0MC1XT4VWABFT1UK2UMI0CP" localSheetId="0" hidden="1">#REF!</definedName>
    <definedName name="BExGZ0MC1XT4VWABFT1UK2UMI0CP" hidden="1">#REF!</definedName>
    <definedName name="BExGZSN96MC2HMMYQ3BMZ50490SJ" localSheetId="0" hidden="1">#REF!</definedName>
    <definedName name="BExGZSN96MC2HMMYQ3BMZ50490SJ" hidden="1">#REF!</definedName>
    <definedName name="BExGZYXS0GTA29TRAW6KAUBGG6D4" localSheetId="0" hidden="1">#REF!</definedName>
    <definedName name="BExGZYXS0GTA29TRAW6KAUBGG6D4" hidden="1">#REF!</definedName>
    <definedName name="BExH04S4C11GK7G92T3TYDIIW2RU" localSheetId="0" hidden="1">#REF!</definedName>
    <definedName name="BExH04S4C11GK7G92T3TYDIIW2RU" hidden="1">#REF!</definedName>
    <definedName name="BExH07XC83E8WXF2O7EJTNS1DOZD" localSheetId="0" hidden="1">#REF!</definedName>
    <definedName name="BExH07XC83E8WXF2O7EJTNS1DOZD" hidden="1">#REF!</definedName>
    <definedName name="BExH0KTA6PC3C1H961G6G3WB4ROD" localSheetId="0" hidden="1">#REF!</definedName>
    <definedName name="BExH0KTA6PC3C1H961G6G3WB4ROD" hidden="1">#REF!</definedName>
    <definedName name="BExH0Y5JGUO7Z6TD8HXAB8MDIXSA" localSheetId="0" hidden="1">#REF!</definedName>
    <definedName name="BExH0Y5JGUO7Z6TD8HXAB8MDIXSA" hidden="1">#REF!</definedName>
    <definedName name="BExH1AFVY3DFB10LXJXXA05EU6X8" localSheetId="0" hidden="1">#REF!</definedName>
    <definedName name="BExH1AFVY3DFB10LXJXXA05EU6X8" hidden="1">#REF!</definedName>
    <definedName name="BExH1NRXNXU0WLQASP81I62087ON" localSheetId="0" hidden="1">#REF!</definedName>
    <definedName name="BExH1NRXNXU0WLQASP81I62087ON" hidden="1">#REF!</definedName>
    <definedName name="BExH1QMD1UU8X5NZERDZ7OIP3IBI" localSheetId="0" hidden="1">#REF!</definedName>
    <definedName name="BExH1QMD1UU8X5NZERDZ7OIP3IBI" hidden="1">#REF!</definedName>
    <definedName name="BExH1WX4QQDE5ZAXPMUO3QVNTXA4" localSheetId="0" hidden="1">Weekly by #REF!</definedName>
    <definedName name="BExH1WX4QQDE5ZAXPMUO3QVNTXA4" localSheetId="1" hidden="1">Weekly by #REF!</definedName>
    <definedName name="BExH1WX4QQDE5ZAXPMUO3QVNTXA4" localSheetId="4" hidden="1">Weekly by #REF!</definedName>
    <definedName name="BExH1WX4QQDE5ZAXPMUO3QVNTXA4" localSheetId="5" hidden="1">Weekly by #REF!</definedName>
    <definedName name="BExH1WX4QQDE5ZAXPMUO3QVNTXA4" localSheetId="6" hidden="1">Weekly by #REF!</definedName>
    <definedName name="BExH1WX4QQDE5ZAXPMUO3QVNTXA4" localSheetId="7" hidden="1">Weekly by #REF!</definedName>
    <definedName name="BExH1WX4QQDE5ZAXPMUO3QVNTXA4" localSheetId="11" hidden="1">Weekly by #REF!</definedName>
    <definedName name="BExH1WX4QQDE5ZAXPMUO3QVNTXA4" localSheetId="2" hidden="1">Weekly by #REF!</definedName>
    <definedName name="BExH1WX4QQDE5ZAXPMUO3QVNTXA4" localSheetId="10" hidden="1">Weekly by #REF!</definedName>
    <definedName name="BExH1WX4QQDE5ZAXPMUO3QVNTXA4" hidden="1">Weekly by #REF!</definedName>
    <definedName name="BExH2VOJHV37HS52S8HIMGNXFGY8" localSheetId="0" hidden="1">Weekly by #REF!</definedName>
    <definedName name="BExH2VOJHV37HS52S8HIMGNXFGY8" localSheetId="1" hidden="1">Weekly by #REF!</definedName>
    <definedName name="BExH2VOJHV37HS52S8HIMGNXFGY8" localSheetId="4" hidden="1">Weekly by #REF!</definedName>
    <definedName name="BExH2VOJHV37HS52S8HIMGNXFGY8" localSheetId="5" hidden="1">Weekly by #REF!</definedName>
    <definedName name="BExH2VOJHV37HS52S8HIMGNXFGY8" localSheetId="6" hidden="1">Weekly by #REF!</definedName>
    <definedName name="BExH2VOJHV37HS52S8HIMGNXFGY8" localSheetId="7" hidden="1">Weekly by #REF!</definedName>
    <definedName name="BExH2VOJHV37HS52S8HIMGNXFGY8" localSheetId="11" hidden="1">Weekly by #REF!</definedName>
    <definedName name="BExH2VOJHV37HS52S8HIMGNXFGY8" localSheetId="2" hidden="1">Weekly by #REF!</definedName>
    <definedName name="BExH2VOJHV37HS52S8HIMGNXFGY8" localSheetId="10" hidden="1">Weekly by #REF!</definedName>
    <definedName name="BExH2VOJHV37HS52S8HIMGNXFGY8" hidden="1">Weekly by #REF!</definedName>
    <definedName name="BExH2VU17ZSQ6UMFZ9FOP753TT9E" localSheetId="0" hidden="1">#REF!</definedName>
    <definedName name="BExH2VU17ZSQ6UMFZ9FOP753TT9E" localSheetId="2" hidden="1">#REF!</definedName>
    <definedName name="BExH2VU17ZSQ6UMFZ9FOP753TT9E" hidden="1">#REF!</definedName>
    <definedName name="BExH2WVQ47YQ6F7KC8S6KFLM3WDK" localSheetId="0" hidden="1">#REF!</definedName>
    <definedName name="BExH2WVQ47YQ6F7KC8S6KFLM3WDK" localSheetId="2" hidden="1">#REF!</definedName>
    <definedName name="BExH2WVQ47YQ6F7KC8S6KFLM3WDK" hidden="1">#REF!</definedName>
    <definedName name="BExH3B9LNV0OSRKB3TCDTMP84OFR" localSheetId="0" hidden="1">#REF!</definedName>
    <definedName name="BExH3B9LNV0OSRKB3TCDTMP84OFR" hidden="1">#REF!</definedName>
    <definedName name="BExH3BPW245WVGA1K1DGTL1XWDCH" localSheetId="0" hidden="1">#REF!</definedName>
    <definedName name="BExH3BPW245WVGA1K1DGTL1XWDCH" hidden="1">#REF!</definedName>
    <definedName name="BExH4HTPYPQ91XIJ8IWIMHWOB0RA" localSheetId="0" hidden="1">#REF!</definedName>
    <definedName name="BExH4HTPYPQ91XIJ8IWIMHWOB0RA" hidden="1">#REF!</definedName>
    <definedName name="BExIG9FMY6OOSODNTWQJ2F28Y2FK" localSheetId="0" hidden="1">#REF!</definedName>
    <definedName name="BExIG9FMY6OOSODNTWQJ2F28Y2FK" hidden="1">#REF!</definedName>
    <definedName name="BExIH51URLQJA6KNX5CJKIUIR5UQ" localSheetId="0" hidden="1">#REF!</definedName>
    <definedName name="BExIH51URLQJA6KNX5CJKIUIR5UQ" hidden="1">#REF!</definedName>
    <definedName name="BExIHNMT9P59WY619GEWB1XONTAE" localSheetId="0" hidden="1">#REF!</definedName>
    <definedName name="BExIHNMT9P59WY619GEWB1XONTAE" hidden="1">#REF!</definedName>
    <definedName name="BExIHNMTY8HBM7KQDSTMXEM6MHL4" localSheetId="0" hidden="1">#REF!</definedName>
    <definedName name="BExIHNMTY8HBM7KQDSTMXEM6MHL4" hidden="1">#REF!</definedName>
    <definedName name="BExIHU2VSXTKRMO3RHJI6RZ206Q5" localSheetId="0" hidden="1">#REF!</definedName>
    <definedName name="BExIHU2VSXTKRMO3RHJI6RZ206Q5" hidden="1">#REF!</definedName>
    <definedName name="BExIHZ6ALVREAYK4T741OOLGXOZA" localSheetId="0" hidden="1">#REF!</definedName>
    <definedName name="BExIHZ6ALVREAYK4T741OOLGXOZA" hidden="1">#REF!</definedName>
    <definedName name="BExII20QQ1K3GHOPL1ZQX5SL618M" localSheetId="0" hidden="1">#REF!</definedName>
    <definedName name="BExII20QQ1K3GHOPL1ZQX5SL618M" hidden="1">#REF!</definedName>
    <definedName name="BExIJ8Q4WWPTKVONF0FPLTD4L7CH" localSheetId="0" hidden="1">#REF!</definedName>
    <definedName name="BExIJ8Q4WWPTKVONF0FPLTD4L7CH" hidden="1">#REF!</definedName>
    <definedName name="BExIJ9MI8QNCVF6L1SK4ZWC4CPJ7" localSheetId="0" hidden="1">#REF!</definedName>
    <definedName name="BExIJ9MI8QNCVF6L1SK4ZWC4CPJ7" hidden="1">#REF!</definedName>
    <definedName name="BExIJXLPZ9RBB8VL69FR8XO95HDW" localSheetId="0" hidden="1">Weekly by #REF!</definedName>
    <definedName name="BExIJXLPZ9RBB8VL69FR8XO95HDW" localSheetId="1" hidden="1">Weekly by #REF!</definedName>
    <definedName name="BExIJXLPZ9RBB8VL69FR8XO95HDW" localSheetId="4" hidden="1">Weekly by #REF!</definedName>
    <definedName name="BExIJXLPZ9RBB8VL69FR8XO95HDW" localSheetId="5" hidden="1">Weekly by #REF!</definedName>
    <definedName name="BExIJXLPZ9RBB8VL69FR8XO95HDW" localSheetId="6" hidden="1">Weekly by #REF!</definedName>
    <definedName name="BExIJXLPZ9RBB8VL69FR8XO95HDW" localSheetId="7" hidden="1">Weekly by #REF!</definedName>
    <definedName name="BExIJXLPZ9RBB8VL69FR8XO95HDW" localSheetId="11" hidden="1">Weekly by #REF!</definedName>
    <definedName name="BExIJXLPZ9RBB8VL69FR8XO95HDW" localSheetId="2" hidden="1">Weekly by #REF!</definedName>
    <definedName name="BExIJXLPZ9RBB8VL69FR8XO95HDW" localSheetId="10" hidden="1">Weekly by #REF!</definedName>
    <definedName name="BExIJXLPZ9RBB8VL69FR8XO95HDW" hidden="1">Weekly by #REF!</definedName>
    <definedName name="BExIJZP8AKK000EFDGK7KZ1YKRXT" localSheetId="0" hidden="1">#REF!</definedName>
    <definedName name="BExIJZP8AKK000EFDGK7KZ1YKRXT" localSheetId="2" hidden="1">#REF!</definedName>
    <definedName name="BExIJZP8AKK000EFDGK7KZ1YKRXT" hidden="1">#REF!</definedName>
    <definedName name="BExIKQITSCAZTMCG149IYT7620DV" localSheetId="0" hidden="1">#REF!</definedName>
    <definedName name="BExIKQITSCAZTMCG149IYT7620DV" localSheetId="2" hidden="1">#REF!</definedName>
    <definedName name="BExIKQITSCAZTMCG149IYT7620DV" hidden="1">#REF!</definedName>
    <definedName name="BExIL45UAJTQCLO0PRR3OAT4FUN0" localSheetId="0" hidden="1">#REF!</definedName>
    <definedName name="BExIL45UAJTQCLO0PRR3OAT4FUN0" hidden="1">#REF!</definedName>
    <definedName name="BExILI8Z41WP1I83L06KGRLKLGUL" localSheetId="0" hidden="1">#REF!</definedName>
    <definedName name="BExILI8Z41WP1I83L06KGRLKLGUL" hidden="1">#REF!</definedName>
    <definedName name="BExILJ558DU4VWYTKQGUZWNZN6KS" localSheetId="0" hidden="1">#REF!</definedName>
    <definedName name="BExILJ558DU4VWYTKQGUZWNZN6KS" hidden="1">#REF!</definedName>
    <definedName name="BExIM02UP3RCUWZ2RO86WO6595EZ" localSheetId="0" hidden="1">#REF!</definedName>
    <definedName name="BExIM02UP3RCUWZ2RO86WO6595EZ" hidden="1">#REF!</definedName>
    <definedName name="BExIM0DNN98IS3L5116OUVO67LV4" localSheetId="0" hidden="1">Employee Detail #REF!</definedName>
    <definedName name="BExIM0DNN98IS3L5116OUVO67LV4" localSheetId="1" hidden="1">Employee Detail #REF!</definedName>
    <definedName name="BExIM0DNN98IS3L5116OUVO67LV4" localSheetId="4" hidden="1">Employee Detail #REF!</definedName>
    <definedName name="BExIM0DNN98IS3L5116OUVO67LV4" localSheetId="5" hidden="1">Employee Detail #REF!</definedName>
    <definedName name="BExIM0DNN98IS3L5116OUVO67LV4" localSheetId="6" hidden="1">Employee Detail #REF!</definedName>
    <definedName name="BExIM0DNN98IS3L5116OUVO67LV4" localSheetId="7" hidden="1">Employee Detail #REF!</definedName>
    <definedName name="BExIM0DNN98IS3L5116OUVO67LV4" localSheetId="11" hidden="1">Employee Detail #REF!</definedName>
    <definedName name="BExIM0DNN98IS3L5116OUVO67LV4" localSheetId="2" hidden="1">Employee Detail #REF!</definedName>
    <definedName name="BExIM0DNN98IS3L5116OUVO67LV4" localSheetId="10" hidden="1">Employee Detail #REF!</definedName>
    <definedName name="BExIM0DNN98IS3L5116OUVO67LV4" hidden="1">Employee Detail #REF!</definedName>
    <definedName name="BExIMIT427CJSYOCFG8JGTIJC8EC" localSheetId="0" hidden="1">#REF!</definedName>
    <definedName name="BExIMIT427CJSYOCFG8JGTIJC8EC" localSheetId="2" hidden="1">#REF!</definedName>
    <definedName name="BExIMIT427CJSYOCFG8JGTIJC8EC" hidden="1">#REF!</definedName>
    <definedName name="BExIMTAR1TFV3DP2D7HWECJEOYUG" localSheetId="0" hidden="1">#REF!</definedName>
    <definedName name="BExIMTAR1TFV3DP2D7HWECJEOYUG" localSheetId="2" hidden="1">#REF!</definedName>
    <definedName name="BExIMTAR1TFV3DP2D7HWECJEOYUG" hidden="1">#REF!</definedName>
    <definedName name="BExIN3SELWXIGE9EWSK9QJ3RHFPD" localSheetId="0" hidden="1">#REF!</definedName>
    <definedName name="BExIN3SELWXIGE9EWSK9QJ3RHFPD" hidden="1">#REF!</definedName>
    <definedName name="BExIN8FK0VJT3CRRWGRO3XE26YZS" localSheetId="0" hidden="1">#REF!</definedName>
    <definedName name="BExIN8FK0VJT3CRRWGRO3XE26YZS" hidden="1">#REF!</definedName>
    <definedName name="BExINO0MM0VFZGX84AO4LV2VTJSL" localSheetId="0" hidden="1">#REF!</definedName>
    <definedName name="BExINO0MM0VFZGX84AO4LV2VTJSL" hidden="1">#REF!</definedName>
    <definedName name="BExINOBE3H1TKVT6KIUB5XSVIMAF" localSheetId="0" hidden="1">#REF!</definedName>
    <definedName name="BExINOBE3H1TKVT6KIUB5XSVIMAF" hidden="1">#REF!</definedName>
    <definedName name="BExINVT50DNQFXWZEBLEC0HIJDBS" localSheetId="0" hidden="1">#REF!</definedName>
    <definedName name="BExINVT50DNQFXWZEBLEC0HIJDBS" hidden="1">#REF!</definedName>
    <definedName name="BExINYT1S9HTKX12F6T1MBDFL53T" localSheetId="0" hidden="1">#REF!</definedName>
    <definedName name="BExINYT1S9HTKX12F6T1MBDFL53T" hidden="1">#REF!</definedName>
    <definedName name="BExIOEUDLMQULYKSXV94CO63QD9I" localSheetId="0" hidden="1">#REF!</definedName>
    <definedName name="BExIOEUDLMQULYKSXV94CO63QD9I" hidden="1">#REF!</definedName>
    <definedName name="BExIP1BF9YWHVQNAGQ6WL2FJ2WK3" localSheetId="0" hidden="1">Weekly by #REF!</definedName>
    <definedName name="BExIP1BF9YWHVQNAGQ6WL2FJ2WK3" localSheetId="1" hidden="1">Weekly by #REF!</definedName>
    <definedName name="BExIP1BF9YWHVQNAGQ6WL2FJ2WK3" localSheetId="4" hidden="1">Weekly by #REF!</definedName>
    <definedName name="BExIP1BF9YWHVQNAGQ6WL2FJ2WK3" localSheetId="5" hidden="1">Weekly by #REF!</definedName>
    <definedName name="BExIP1BF9YWHVQNAGQ6WL2FJ2WK3" localSheetId="6" hidden="1">Weekly by #REF!</definedName>
    <definedName name="BExIP1BF9YWHVQNAGQ6WL2FJ2WK3" localSheetId="7" hidden="1">Weekly by #REF!</definedName>
    <definedName name="BExIP1BF9YWHVQNAGQ6WL2FJ2WK3" localSheetId="11" hidden="1">Weekly by #REF!</definedName>
    <definedName name="BExIP1BF9YWHVQNAGQ6WL2FJ2WK3" localSheetId="2" hidden="1">Weekly by #REF!</definedName>
    <definedName name="BExIP1BF9YWHVQNAGQ6WL2FJ2WK3" localSheetId="10" hidden="1">Weekly by #REF!</definedName>
    <definedName name="BExIP1BF9YWHVQNAGQ6WL2FJ2WK3" hidden="1">Weekly by #REF!</definedName>
    <definedName name="BExIP3EYMLXYSYD644AIULVB4SM4" localSheetId="0" hidden="1">#REF!</definedName>
    <definedName name="BExIP3EYMLXYSYD644AIULVB4SM4" localSheetId="2" hidden="1">#REF!</definedName>
    <definedName name="BExIP3EYMLXYSYD644AIULVB4SM4" hidden="1">#REF!</definedName>
    <definedName name="BExIPKCNG2M6L73ES2UQI5310WB7" localSheetId="0" hidden="1">#REF!</definedName>
    <definedName name="BExIPKCNG2M6L73ES2UQI5310WB7" localSheetId="2" hidden="1">#REF!</definedName>
    <definedName name="BExIPKCNG2M6L73ES2UQI5310WB7" hidden="1">#REF!</definedName>
    <definedName name="BExIPLJTRJRKOL7VVP0PEP05W0QL" localSheetId="0" hidden="1">#REF!</definedName>
    <definedName name="BExIPLJTRJRKOL7VVP0PEP05W0QL" hidden="1">#REF!</definedName>
    <definedName name="BExIPYFR9Q89IRAL0HPOES7623H9" localSheetId="0" hidden="1">#REF!</definedName>
    <definedName name="BExIPYFR9Q89IRAL0HPOES7623H9" hidden="1">#REF!</definedName>
    <definedName name="BExIQ030ZFC43357A2D8GTB3O8KK" localSheetId="0" hidden="1">Weekly by #REF!</definedName>
    <definedName name="BExIQ030ZFC43357A2D8GTB3O8KK" localSheetId="1" hidden="1">Weekly by #REF!</definedName>
    <definedName name="BExIQ030ZFC43357A2D8GTB3O8KK" localSheetId="4" hidden="1">Weekly by #REF!</definedName>
    <definedName name="BExIQ030ZFC43357A2D8GTB3O8KK" localSheetId="5" hidden="1">Weekly by #REF!</definedName>
    <definedName name="BExIQ030ZFC43357A2D8GTB3O8KK" localSheetId="6" hidden="1">Weekly by #REF!</definedName>
    <definedName name="BExIQ030ZFC43357A2D8GTB3O8KK" localSheetId="7" hidden="1">Weekly by #REF!</definedName>
    <definedName name="BExIQ030ZFC43357A2D8GTB3O8KK" localSheetId="11" hidden="1">Weekly by #REF!</definedName>
    <definedName name="BExIQ030ZFC43357A2D8GTB3O8KK" localSheetId="2" hidden="1">Weekly by #REF!</definedName>
    <definedName name="BExIQ030ZFC43357A2D8GTB3O8KK" localSheetId="10" hidden="1">Weekly by #REF!</definedName>
    <definedName name="BExIQ030ZFC43357A2D8GTB3O8KK" hidden="1">Weekly by #REF!</definedName>
    <definedName name="BExIQ684VFARGI9L2530JQNZTBZJ" localSheetId="0" hidden="1">#REF!</definedName>
    <definedName name="BExIQ684VFARGI9L2530JQNZTBZJ" localSheetId="2" hidden="1">#REF!</definedName>
    <definedName name="BExIQ684VFARGI9L2530JQNZTBZJ" hidden="1">#REF!</definedName>
    <definedName name="BExIQCDFFALELXAMMR1ZQBGNV1HO" localSheetId="0" hidden="1">#REF!</definedName>
    <definedName name="BExIQCDFFALELXAMMR1ZQBGNV1HO" localSheetId="2" hidden="1">#REF!</definedName>
    <definedName name="BExIQCDFFALELXAMMR1ZQBGNV1HO" hidden="1">#REF!</definedName>
    <definedName name="BExIQCTILU1D6OD8XR0K44Z9OTI8" localSheetId="0" hidden="1">#REF!</definedName>
    <definedName name="BExIQCTILU1D6OD8XR0K44Z9OTI8" hidden="1">#REF!</definedName>
    <definedName name="BExIQIII4MABGPDVFEBH294F5JBS" localSheetId="0" hidden="1">#REF!</definedName>
    <definedName name="BExIQIII4MABGPDVFEBH294F5JBS" hidden="1">#REF!</definedName>
    <definedName name="BExIRJTWJEYB0GVQOJ3M8L3VZHZG" localSheetId="0" hidden="1">#REF!</definedName>
    <definedName name="BExIRJTWJEYB0GVQOJ3M8L3VZHZG" hidden="1">#REF!</definedName>
    <definedName name="BExIRY7MG3J8DCDYCDO6LIKX4AQ1" localSheetId="0" hidden="1">#REF!</definedName>
    <definedName name="BExIRY7MG3J8DCDYCDO6LIKX4AQ1" hidden="1">#REF!</definedName>
    <definedName name="BExISJ6WFYQKE0RGTDWHAWUAE1AP" localSheetId="0" hidden="1">#REF!</definedName>
    <definedName name="BExISJ6WFYQKE0RGTDWHAWUAE1AP" hidden="1">#REF!</definedName>
    <definedName name="BExISS6LIT8AZPEZCARQZWXD6XMF" localSheetId="0" hidden="1">Weekly by #REF!</definedName>
    <definedName name="BExISS6LIT8AZPEZCARQZWXD6XMF" localSheetId="1" hidden="1">Weekly by #REF!</definedName>
    <definedName name="BExISS6LIT8AZPEZCARQZWXD6XMF" localSheetId="4" hidden="1">Weekly by #REF!</definedName>
    <definedName name="BExISS6LIT8AZPEZCARQZWXD6XMF" localSheetId="5" hidden="1">Weekly by #REF!</definedName>
    <definedName name="BExISS6LIT8AZPEZCARQZWXD6XMF" localSheetId="6" hidden="1">Weekly by #REF!</definedName>
    <definedName name="BExISS6LIT8AZPEZCARQZWXD6XMF" localSheetId="7" hidden="1">Weekly by #REF!</definedName>
    <definedName name="BExISS6LIT8AZPEZCARQZWXD6XMF" localSheetId="11" hidden="1">Weekly by #REF!</definedName>
    <definedName name="BExISS6LIT8AZPEZCARQZWXD6XMF" localSheetId="2" hidden="1">Weekly by #REF!</definedName>
    <definedName name="BExISS6LIT8AZPEZCARQZWXD6XMF" localSheetId="10" hidden="1">Weekly by #REF!</definedName>
    <definedName name="BExISS6LIT8AZPEZCARQZWXD6XMF" hidden="1">Weekly by #REF!</definedName>
    <definedName name="BExIT2IT2V9GEHP8BOT7V4TQL64A" localSheetId="0" hidden="1">#REF!</definedName>
    <definedName name="BExIT2IT2V9GEHP8BOT7V4TQL64A" localSheetId="2" hidden="1">#REF!</definedName>
    <definedName name="BExIT2IT2V9GEHP8BOT7V4TQL64A" hidden="1">#REF!</definedName>
    <definedName name="BExIUB6GMB0SK1G4X7OS9A0AYW30" localSheetId="0" hidden="1">#REF!</definedName>
    <definedName name="BExIUB6GMB0SK1G4X7OS9A0AYW30" localSheetId="2" hidden="1">#REF!</definedName>
    <definedName name="BExIUB6GMB0SK1G4X7OS9A0AYW30" hidden="1">#REF!</definedName>
    <definedName name="BExIULYTKJ6F74ZZ6GFR3H0502B9" localSheetId="0" hidden="1">#REF!</definedName>
    <definedName name="BExIULYTKJ6F74ZZ6GFR3H0502B9" hidden="1">#REF!</definedName>
    <definedName name="BExIUXI7T2XUZCSZE9GKUIN8NC2X" localSheetId="0" hidden="1">#REF!</definedName>
    <definedName name="BExIUXI7T2XUZCSZE9GKUIN8NC2X" hidden="1">#REF!</definedName>
    <definedName name="BExIVHVWLE97GSYXI5MCGEPG5OPB" localSheetId="0" hidden="1">#REF!</definedName>
    <definedName name="BExIVHVWLE97GSYXI5MCGEPG5OPB" hidden="1">#REF!</definedName>
    <definedName name="BExIVQ4P29OYVO0VVKRDSQ11L7WA" localSheetId="0" hidden="1">#REF!</definedName>
    <definedName name="BExIVQ4P29OYVO0VVKRDSQ11L7WA" hidden="1">#REF!</definedName>
    <definedName name="BExIW7NT214RNCTNHTN1ABHVRAG1" localSheetId="0" hidden="1">#REF!</definedName>
    <definedName name="BExIW7NT214RNCTNHTN1ABHVRAG1" hidden="1">#REF!</definedName>
    <definedName name="BExIWPXSMFEJMJPS0LOX7WODYP03" localSheetId="0" hidden="1">Weekly by #REF!</definedName>
    <definedName name="BExIWPXSMFEJMJPS0LOX7WODYP03" localSheetId="1" hidden="1">Weekly by #REF!</definedName>
    <definedName name="BExIWPXSMFEJMJPS0LOX7WODYP03" localSheetId="4" hidden="1">Weekly by #REF!</definedName>
    <definedName name="BExIWPXSMFEJMJPS0LOX7WODYP03" localSheetId="5" hidden="1">Weekly by #REF!</definedName>
    <definedName name="BExIWPXSMFEJMJPS0LOX7WODYP03" localSheetId="6" hidden="1">Weekly by #REF!</definedName>
    <definedName name="BExIWPXSMFEJMJPS0LOX7WODYP03" localSheetId="7" hidden="1">Weekly by #REF!</definedName>
    <definedName name="BExIWPXSMFEJMJPS0LOX7WODYP03" localSheetId="11" hidden="1">Weekly by #REF!</definedName>
    <definedName name="BExIWPXSMFEJMJPS0LOX7WODYP03" localSheetId="2" hidden="1">Weekly by #REF!</definedName>
    <definedName name="BExIWPXSMFEJMJPS0LOX7WODYP03" localSheetId="10" hidden="1">Weekly by #REF!</definedName>
    <definedName name="BExIWPXSMFEJMJPS0LOX7WODYP03" hidden="1">Weekly by #REF!</definedName>
    <definedName name="BExIWZZC34JKY05BC7VWZIK3RACH" localSheetId="0" hidden="1">Weekly by #REF!</definedName>
    <definedName name="BExIWZZC34JKY05BC7VWZIK3RACH" localSheetId="1" hidden="1">Weekly by #REF!</definedName>
    <definedName name="BExIWZZC34JKY05BC7VWZIK3RACH" localSheetId="4" hidden="1">Weekly by #REF!</definedName>
    <definedName name="BExIWZZC34JKY05BC7VWZIK3RACH" localSheetId="5" hidden="1">Weekly by #REF!</definedName>
    <definedName name="BExIWZZC34JKY05BC7VWZIK3RACH" localSheetId="6" hidden="1">Weekly by #REF!</definedName>
    <definedName name="BExIWZZC34JKY05BC7VWZIK3RACH" localSheetId="7" hidden="1">Weekly by #REF!</definedName>
    <definedName name="BExIWZZC34JKY05BC7VWZIK3RACH" localSheetId="11" hidden="1">Weekly by #REF!</definedName>
    <definedName name="BExIWZZC34JKY05BC7VWZIK3RACH" localSheetId="2" hidden="1">Weekly by #REF!</definedName>
    <definedName name="BExIWZZC34JKY05BC7VWZIK3RACH" localSheetId="10" hidden="1">Weekly by #REF!</definedName>
    <definedName name="BExIWZZC34JKY05BC7VWZIK3RACH" hidden="1">Weekly by #REF!</definedName>
    <definedName name="BExIX2DMJCFY68X9XPKX7A9YBWQV" localSheetId="0" hidden="1">#REF!</definedName>
    <definedName name="BExIX2DMJCFY68X9XPKX7A9YBWQV" localSheetId="2" hidden="1">#REF!</definedName>
    <definedName name="BExIX2DMJCFY68X9XPKX7A9YBWQV" hidden="1">#REF!</definedName>
    <definedName name="BExIX4S01VKH0V2KWQZGAY2FUFFS" localSheetId="0" hidden="1">#REF!</definedName>
    <definedName name="BExIX4S01VKH0V2KWQZGAY2FUFFS" localSheetId="2" hidden="1">#REF!</definedName>
    <definedName name="BExIX4S01VKH0V2KWQZGAY2FUFFS" hidden="1">#REF!</definedName>
    <definedName name="BExIXVWC6L2003JTP97MDKMZR8UC" localSheetId="0" hidden="1">Weekly by #REF!</definedName>
    <definedName name="BExIXVWC6L2003JTP97MDKMZR8UC" localSheetId="1" hidden="1">Weekly by #REF!</definedName>
    <definedName name="BExIXVWC6L2003JTP97MDKMZR8UC" localSheetId="4" hidden="1">Weekly by #REF!</definedName>
    <definedName name="BExIXVWC6L2003JTP97MDKMZR8UC" localSheetId="5" hidden="1">Weekly by #REF!</definedName>
    <definedName name="BExIXVWC6L2003JTP97MDKMZR8UC" localSheetId="6" hidden="1">Weekly by #REF!</definedName>
    <definedName name="BExIXVWC6L2003JTP97MDKMZR8UC" localSheetId="7" hidden="1">Weekly by #REF!</definedName>
    <definedName name="BExIXVWC6L2003JTP97MDKMZR8UC" localSheetId="11" hidden="1">Weekly by #REF!</definedName>
    <definedName name="BExIXVWC6L2003JTP97MDKMZR8UC" localSheetId="2" hidden="1">Weekly by #REF!</definedName>
    <definedName name="BExIXVWC6L2003JTP97MDKMZR8UC" localSheetId="10" hidden="1">Weekly by #REF!</definedName>
    <definedName name="BExIXVWC6L2003JTP97MDKMZR8UC" hidden="1">Weekly by #REF!</definedName>
    <definedName name="BExIYBC3AYOLUSYDHNX1NPUTFS0Z" localSheetId="0" hidden="1">Weekly by #REF!</definedName>
    <definedName name="BExIYBC3AYOLUSYDHNX1NPUTFS0Z" localSheetId="1" hidden="1">Weekly by #REF!</definedName>
    <definedName name="BExIYBC3AYOLUSYDHNX1NPUTFS0Z" localSheetId="4" hidden="1">Weekly by #REF!</definedName>
    <definedName name="BExIYBC3AYOLUSYDHNX1NPUTFS0Z" localSheetId="5" hidden="1">Weekly by #REF!</definedName>
    <definedName name="BExIYBC3AYOLUSYDHNX1NPUTFS0Z" localSheetId="6" hidden="1">Weekly by #REF!</definedName>
    <definedName name="BExIYBC3AYOLUSYDHNX1NPUTFS0Z" localSheetId="7" hidden="1">Weekly by #REF!</definedName>
    <definedName name="BExIYBC3AYOLUSYDHNX1NPUTFS0Z" localSheetId="11" hidden="1">Weekly by #REF!</definedName>
    <definedName name="BExIYBC3AYOLUSYDHNX1NPUTFS0Z" localSheetId="2" hidden="1">Weekly by #REF!</definedName>
    <definedName name="BExIYBC3AYOLUSYDHNX1NPUTFS0Z" localSheetId="10" hidden="1">Weekly by #REF!</definedName>
    <definedName name="BExIYBC3AYOLUSYDHNX1NPUTFS0Z" hidden="1">Weekly by #REF!</definedName>
    <definedName name="BExIYKBM2QQUEIH60KFQZI924D16" localSheetId="0" hidden="1">#REF!</definedName>
    <definedName name="BExIYKBM2QQUEIH60KFQZI924D16" localSheetId="2" hidden="1">#REF!</definedName>
    <definedName name="BExIYKBM2QQUEIH60KFQZI924D16" hidden="1">#REF!</definedName>
    <definedName name="BExIYLZ197J41V6KKS895D8O81AS" localSheetId="0" hidden="1">#REF!</definedName>
    <definedName name="BExIYLZ197J41V6KKS895D8O81AS" localSheetId="2" hidden="1">#REF!</definedName>
    <definedName name="BExIYLZ197J41V6KKS895D8O81AS" hidden="1">#REF!</definedName>
    <definedName name="BExIYOO4P2NLI0GTES3GN8FDL0US" localSheetId="0" hidden="1">#REF!</definedName>
    <definedName name="BExIYOO4P2NLI0GTES3GN8FDL0US" hidden="1">#REF!</definedName>
    <definedName name="BExIYRTCOZA1OQ7D46XDWMCW6RFR" localSheetId="0" hidden="1">#REF!</definedName>
    <definedName name="BExIYRTCOZA1OQ7D46XDWMCW6RFR" hidden="1">#REF!</definedName>
    <definedName name="BExIYUNXBK36HLZQ3V4V3Z4C5K2P" localSheetId="0" hidden="1">#REF!</definedName>
    <definedName name="BExIYUNXBK36HLZQ3V4V3Z4C5K2P" hidden="1">#REF!</definedName>
    <definedName name="BExJ08KB42GOUC2P92D8UI7KEHKL" localSheetId="0" hidden="1">#REF!</definedName>
    <definedName name="BExJ08KB42GOUC2P92D8UI7KEHKL" hidden="1">#REF!</definedName>
    <definedName name="BExJ0HUTCJ9RW7DYPTJUSEW7LDTU" localSheetId="0" hidden="1">#REF!</definedName>
    <definedName name="BExJ0HUTCJ9RW7DYPTJUSEW7LDTU" hidden="1">#REF!</definedName>
    <definedName name="BExJ0JCRE7HP1J5ICCTGR58SY007" localSheetId="0" hidden="1">#REF!</definedName>
    <definedName name="BExJ0JCRE7HP1J5ICCTGR58SY007" hidden="1">#REF!</definedName>
    <definedName name="BExJ11MY9B0F7RFESFSORX1Z25QM" localSheetId="0" hidden="1">#REF!</definedName>
    <definedName name="BExJ11MY9B0F7RFESFSORX1Z25QM" hidden="1">#REF!</definedName>
    <definedName name="BExKCCREBIWYDT3KYY47J6PKFUJC" localSheetId="0" hidden="1">#REF!</definedName>
    <definedName name="BExKCCREBIWYDT3KYY47J6PKFUJC" hidden="1">#REF!</definedName>
    <definedName name="BExKDJBKAJPY1RL4WY6D99TGYHCW" localSheetId="0" hidden="1">#REF!</definedName>
    <definedName name="BExKDJBKAJPY1RL4WY6D99TGYHCW" hidden="1">#REF!</definedName>
    <definedName name="BExKDO45GL6PAZQR3PAOWFVA6WLZ" localSheetId="0" hidden="1">#REF!</definedName>
    <definedName name="BExKDO45GL6PAZQR3PAOWFVA6WLZ" hidden="1">#REF!</definedName>
    <definedName name="BExKE400P7WOFSUK628BT91CWB4H" localSheetId="0" hidden="1">#REF!</definedName>
    <definedName name="BExKE400P7WOFSUK628BT91CWB4H" hidden="1">#REF!</definedName>
    <definedName name="BExKEB1H78BU5ZN9NEOZVD95HLJ6" localSheetId="0" hidden="1">Weekly by #REF!</definedName>
    <definedName name="BExKEB1H78BU5ZN9NEOZVD95HLJ6" localSheetId="1" hidden="1">Weekly by #REF!</definedName>
    <definedName name="BExKEB1H78BU5ZN9NEOZVD95HLJ6" localSheetId="4" hidden="1">Weekly by #REF!</definedName>
    <definedName name="BExKEB1H78BU5ZN9NEOZVD95HLJ6" localSheetId="5" hidden="1">Weekly by #REF!</definedName>
    <definedName name="BExKEB1H78BU5ZN9NEOZVD95HLJ6" localSheetId="6" hidden="1">Weekly by #REF!</definedName>
    <definedName name="BExKEB1H78BU5ZN9NEOZVD95HLJ6" localSheetId="7" hidden="1">Weekly by #REF!</definedName>
    <definedName name="BExKEB1H78BU5ZN9NEOZVD95HLJ6" localSheetId="11" hidden="1">Weekly by #REF!</definedName>
    <definedName name="BExKEB1H78BU5ZN9NEOZVD95HLJ6" localSheetId="2" hidden="1">Weekly by #REF!</definedName>
    <definedName name="BExKEB1H78BU5ZN9NEOZVD95HLJ6" localSheetId="10" hidden="1">Weekly by #REF!</definedName>
    <definedName name="BExKEB1H78BU5ZN9NEOZVD95HLJ6" hidden="1">Weekly by #REF!</definedName>
    <definedName name="BExKEKMRQLC0TPETMUVPBOHVEK6D" localSheetId="0" hidden="1">#REF!</definedName>
    <definedName name="BExKEKMRQLC0TPETMUVPBOHVEK6D" localSheetId="2" hidden="1">#REF!</definedName>
    <definedName name="BExKEKMRQLC0TPETMUVPBOHVEK6D" hidden="1">#REF!</definedName>
    <definedName name="BExKES9ZA5L22XTSO9Y8GAI2RIIH" localSheetId="0" hidden="1">#REF!</definedName>
    <definedName name="BExKES9ZA5L22XTSO9Y8GAI2RIIH" localSheetId="2" hidden="1">#REF!</definedName>
    <definedName name="BExKES9ZA5L22XTSO9Y8GAI2RIIH" hidden="1">#REF!</definedName>
    <definedName name="BExKF02HYBPMKRSPJGAK1MWM2V4R" localSheetId="0" hidden="1">#REF!</definedName>
    <definedName name="BExKF02HYBPMKRSPJGAK1MWM2V4R" hidden="1">#REF!</definedName>
    <definedName name="BExKF1KH9VFKXTCU684HMK33HHBL" localSheetId="0" hidden="1">#REF!</definedName>
    <definedName name="BExKF1KH9VFKXTCU684HMK33HHBL" hidden="1">#REF!</definedName>
    <definedName name="BExKF5RJ8HBK89KH5199LN28I9DW" localSheetId="0" hidden="1">#REF!</definedName>
    <definedName name="BExKF5RJ8HBK89KH5199LN28I9DW" hidden="1">#REF!</definedName>
    <definedName name="BExKG7Z3NRN1GLB16OLE0LD37OTA" localSheetId="0" hidden="1">Weekly by #REF!</definedName>
    <definedName name="BExKG7Z3NRN1GLB16OLE0LD37OTA" localSheetId="1" hidden="1">Weekly by #REF!</definedName>
    <definedName name="BExKG7Z3NRN1GLB16OLE0LD37OTA" localSheetId="4" hidden="1">Weekly by #REF!</definedName>
    <definedName name="BExKG7Z3NRN1GLB16OLE0LD37OTA" localSheetId="5" hidden="1">Weekly by #REF!</definedName>
    <definedName name="BExKG7Z3NRN1GLB16OLE0LD37OTA" localSheetId="6" hidden="1">Weekly by #REF!</definedName>
    <definedName name="BExKG7Z3NRN1GLB16OLE0LD37OTA" localSheetId="7" hidden="1">Weekly by #REF!</definedName>
    <definedName name="BExKG7Z3NRN1GLB16OLE0LD37OTA" localSheetId="11" hidden="1">Weekly by #REF!</definedName>
    <definedName name="BExKG7Z3NRN1GLB16OLE0LD37OTA" localSheetId="2" hidden="1">Weekly by #REF!</definedName>
    <definedName name="BExKG7Z3NRN1GLB16OLE0LD37OTA" localSheetId="10" hidden="1">Weekly by #REF!</definedName>
    <definedName name="BExKG7Z3NRN1GLB16OLE0LD37OTA" hidden="1">Weekly by #REF!</definedName>
    <definedName name="BExKG8KO0T2K2PJKN0MY59LZRPC0" localSheetId="0" hidden="1">#REF!</definedName>
    <definedName name="BExKG8KO0T2K2PJKN0MY59LZRPC0" localSheetId="2" hidden="1">#REF!</definedName>
    <definedName name="BExKG8KO0T2K2PJKN0MY59LZRPC0" hidden="1">#REF!</definedName>
    <definedName name="BExKG9BM3HFBFTXZYETVQY5A2NDP" localSheetId="0" hidden="1">#REF!</definedName>
    <definedName name="BExKG9BM3HFBFTXZYETVQY5A2NDP" localSheetId="2" hidden="1">#REF!</definedName>
    <definedName name="BExKG9BM3HFBFTXZYETVQY5A2NDP" hidden="1">#REF!</definedName>
    <definedName name="BExKGJNRYQAFN6OSO5GWBFBI5JNX" localSheetId="0" hidden="1">#REF!</definedName>
    <definedName name="BExKGJNRYQAFN6OSO5GWBFBI5JNX" hidden="1">#REF!</definedName>
    <definedName name="BExKGQK1P07IGN7ZWFJVN9KAEVEG" localSheetId="0" hidden="1">#REF!</definedName>
    <definedName name="BExKGQK1P07IGN7ZWFJVN9KAEVEG" hidden="1">#REF!</definedName>
    <definedName name="BExKGWUGUAZ9RHGMMEHY6AG0GBZC" localSheetId="0" hidden="1">#REF!</definedName>
    <definedName name="BExKGWUGUAZ9RHGMMEHY6AG0GBZC" hidden="1">#REF!</definedName>
    <definedName name="BExKH0ANKNJUT5MEASVBDV24PB47" localSheetId="0" hidden="1">#REF!</definedName>
    <definedName name="BExKH0ANKNJUT5MEASVBDV24PB47" hidden="1">#REF!</definedName>
    <definedName name="BExKH6L8BUEGZ1O7ZYFE7R04MJJV" localSheetId="0" hidden="1">#REF!</definedName>
    <definedName name="BExKH6L8BUEGZ1O7ZYFE7R04MJJV" hidden="1">#REF!</definedName>
    <definedName name="BExKHEDRAWAMX4XMIXBZK8Q2DGUY" localSheetId="0" hidden="1">#REF!</definedName>
    <definedName name="BExKHEDRAWAMX4XMIXBZK8Q2DGUY" hidden="1">#REF!</definedName>
    <definedName name="BExKI0EPTJRGZA7ZDYO59SSD2NEO" localSheetId="0" hidden="1">#REF!</definedName>
    <definedName name="BExKI0EPTJRGZA7ZDYO59SSD2NEO" hidden="1">#REF!</definedName>
    <definedName name="BExKI703H6LLQ9SUAO1Q66RXBCFT" localSheetId="0" hidden="1">#REF!</definedName>
    <definedName name="BExKI703H6LLQ9SUAO1Q66RXBCFT" hidden="1">#REF!</definedName>
    <definedName name="BExKL002TQQTZZ9BETERCDLUDV0K" localSheetId="0" hidden="1">#REF!</definedName>
    <definedName name="BExKL002TQQTZZ9BETERCDLUDV0K" hidden="1">#REF!</definedName>
    <definedName name="BExKLGBZ8D7W1HW672WZB4ZK47TN" localSheetId="0" hidden="1">#REF!</definedName>
    <definedName name="BExKLGBZ8D7W1HW672WZB4ZK47TN" hidden="1">#REF!</definedName>
    <definedName name="BExKLO4OJ4LE6YA3WZB02FDH4ZBC" localSheetId="0" hidden="1">#REF!</definedName>
    <definedName name="BExKLO4OJ4LE6YA3WZB02FDH4ZBC" hidden="1">#REF!</definedName>
    <definedName name="BExKLWYWL8HEKZRA5IGCCM60HYID" localSheetId="0" hidden="1">#REF!</definedName>
    <definedName name="BExKLWYWL8HEKZRA5IGCCM60HYID" hidden="1">#REF!</definedName>
    <definedName name="BExKLX9OMIZRVELEESUGRFHXM0CU" localSheetId="0" hidden="1">#REF!</definedName>
    <definedName name="BExKLX9OMIZRVELEESUGRFHXM0CU" hidden="1">#REF!</definedName>
    <definedName name="BExKM10HI90720O4OXCU5CS7ARIC" localSheetId="0" hidden="1">#REF!</definedName>
    <definedName name="BExKM10HI90720O4OXCU5CS7ARIC" hidden="1">#REF!</definedName>
    <definedName name="BExKNM3TO8JLDR94J4BKF7TE6872" localSheetId="0" hidden="1">#REF!</definedName>
    <definedName name="BExKNM3TO8JLDR94J4BKF7TE6872" hidden="1">#REF!</definedName>
    <definedName name="BExKNYUAYWR68YCUOIW6WYVNJ198" localSheetId="0" hidden="1">#REF!</definedName>
    <definedName name="BExKNYUAYWR68YCUOIW6WYVNJ198" hidden="1">#REF!</definedName>
    <definedName name="BExKOBVR6FBO1U02GWCHZEQEFC13" localSheetId="0" hidden="1">#REF!</definedName>
    <definedName name="BExKOBVR6FBO1U02GWCHZEQEFC13" hidden="1">#REF!</definedName>
    <definedName name="BExKOEA1HY8RIY04636RSKF38SDX" localSheetId="0" hidden="1">#REF!</definedName>
    <definedName name="BExKOEA1HY8RIY04636RSKF38SDX" hidden="1">#REF!</definedName>
    <definedName name="BExKP9WB40QI6W70NJS06SZ6ZWA5" localSheetId="0" hidden="1">#REF!</definedName>
    <definedName name="BExKP9WB40QI6W70NJS06SZ6ZWA5" hidden="1">#REF!</definedName>
    <definedName name="BExKPMHGZUCV3KWR44XNE63RJZDY" localSheetId="0" hidden="1">Weekly by #REF!</definedName>
    <definedName name="BExKPMHGZUCV3KWR44XNE63RJZDY" localSheetId="1" hidden="1">Weekly by #REF!</definedName>
    <definedName name="BExKPMHGZUCV3KWR44XNE63RJZDY" localSheetId="4" hidden="1">Weekly by #REF!</definedName>
    <definedName name="BExKPMHGZUCV3KWR44XNE63RJZDY" localSheetId="5" hidden="1">Weekly by #REF!</definedName>
    <definedName name="BExKPMHGZUCV3KWR44XNE63RJZDY" localSheetId="6" hidden="1">Weekly by #REF!</definedName>
    <definedName name="BExKPMHGZUCV3KWR44XNE63RJZDY" localSheetId="7" hidden="1">Weekly by #REF!</definedName>
    <definedName name="BExKPMHGZUCV3KWR44XNE63RJZDY" localSheetId="11" hidden="1">Weekly by #REF!</definedName>
    <definedName name="BExKPMHGZUCV3KWR44XNE63RJZDY" localSheetId="2" hidden="1">Weekly by #REF!</definedName>
    <definedName name="BExKPMHGZUCV3KWR44XNE63RJZDY" localSheetId="10" hidden="1">Weekly by #REF!</definedName>
    <definedName name="BExKPMHGZUCV3KWR44XNE63RJZDY" hidden="1">Weekly by #REF!</definedName>
    <definedName name="BExKQJ01GRP9KX7BHWUGSV76KSSN" localSheetId="0" hidden="1">#REF!</definedName>
    <definedName name="BExKQJ01GRP9KX7BHWUGSV76KSSN" localSheetId="2" hidden="1">#REF!</definedName>
    <definedName name="BExKQJ01GRP9KX7BHWUGSV76KSSN" hidden="1">#REF!</definedName>
    <definedName name="BExKQO3G0R230211GSQXEUMGOJJH" localSheetId="0" hidden="1">#REF!</definedName>
    <definedName name="BExKQO3G0R230211GSQXEUMGOJJH" localSheetId="2" hidden="1">#REF!</definedName>
    <definedName name="BExKQO3G0R230211GSQXEUMGOJJH" hidden="1">#REF!</definedName>
    <definedName name="BExKQROXFHOAXZAJ9P338TCB51AS" localSheetId="0" hidden="1">#REF!</definedName>
    <definedName name="BExKQROXFHOAXZAJ9P338TCB51AS" hidden="1">#REF!</definedName>
    <definedName name="BExKRS3TU9ZISEFNAGIP4D2THSPK" localSheetId="0" hidden="1">#REF!</definedName>
    <definedName name="BExKRS3TU9ZISEFNAGIP4D2THSPK" hidden="1">#REF!</definedName>
    <definedName name="BExKSAJ9PLFSAM5DGYLJ0LGWBOCJ" localSheetId="0" hidden="1">#REF!</definedName>
    <definedName name="BExKSAJ9PLFSAM5DGYLJ0LGWBOCJ" hidden="1">#REF!</definedName>
    <definedName name="BExKSFHEJYQU3MJ64AXH349TS3AS" localSheetId="0" hidden="1">#REF!</definedName>
    <definedName name="BExKSFHEJYQU3MJ64AXH349TS3AS" hidden="1">#REF!</definedName>
    <definedName name="BExKSMDKVAO0A43CLVBQQD41BXOS" localSheetId="0" hidden="1">#REF!</definedName>
    <definedName name="BExKSMDKVAO0A43CLVBQQD41BXOS" hidden="1">#REF!</definedName>
    <definedName name="BExKSR66M8VX6DOVY5XKESJ3UH2N" localSheetId="0" hidden="1">#REF!</definedName>
    <definedName name="BExKSR66M8VX6DOVY5XKESJ3UH2N" hidden="1">#REF!</definedName>
    <definedName name="BExKTGHU41U7OXQNLCH9L528CTKN" localSheetId="0" hidden="1">#REF!</definedName>
    <definedName name="BExKTGHU41U7OXQNLCH9L528CTKN" hidden="1">#REF!</definedName>
    <definedName name="BExKTMSEU6AQ1DAD9P20980W1KYT" localSheetId="0" hidden="1">#REF!</definedName>
    <definedName name="BExKTMSEU6AQ1DAD9P20980W1KYT" hidden="1">#REF!</definedName>
    <definedName name="BExKUEIEGD9JH03Q4QGCL2ZVM2AQ" localSheetId="0" hidden="1">#REF!</definedName>
    <definedName name="BExKUEIEGD9JH03Q4QGCL2ZVM2AQ" hidden="1">#REF!</definedName>
    <definedName name="BExKUPASS3H5268MTUCTQGAWNU4C" localSheetId="0" hidden="1">#REF!</definedName>
    <definedName name="BExKUPASS3H5268MTUCTQGAWNU4C" hidden="1">#REF!</definedName>
    <definedName name="BExKV8S497WD25N3LA72PSCGO8G3" localSheetId="0" hidden="1">#REF!</definedName>
    <definedName name="BExKV8S497WD25N3LA72PSCGO8G3" hidden="1">#REF!</definedName>
    <definedName name="BExM9UQN0TIL2QB8BQX5YK9L7EW9" localSheetId="0" hidden="1">#REF!</definedName>
    <definedName name="BExM9UQN0TIL2QB8BQX5YK9L7EW9" hidden="1">#REF!</definedName>
    <definedName name="BExMAIV4KSX137TYNQQG3FD3PF7J" localSheetId="0" hidden="1">#REF!</definedName>
    <definedName name="BExMAIV4KSX137TYNQQG3FD3PF7J" hidden="1">#REF!</definedName>
    <definedName name="BExMAV06YKBNZ0AMG793D1T6TZ17" localSheetId="0" hidden="1">Weekly by #REF!</definedName>
    <definedName name="BExMAV06YKBNZ0AMG793D1T6TZ17" localSheetId="1" hidden="1">Weekly by #REF!</definedName>
    <definedName name="BExMAV06YKBNZ0AMG793D1T6TZ17" localSheetId="4" hidden="1">Weekly by #REF!</definedName>
    <definedName name="BExMAV06YKBNZ0AMG793D1T6TZ17" localSheetId="5" hidden="1">Weekly by #REF!</definedName>
    <definedName name="BExMAV06YKBNZ0AMG793D1T6TZ17" localSheetId="6" hidden="1">Weekly by #REF!</definedName>
    <definedName name="BExMAV06YKBNZ0AMG793D1T6TZ17" localSheetId="7" hidden="1">Weekly by #REF!</definedName>
    <definedName name="BExMAV06YKBNZ0AMG793D1T6TZ17" localSheetId="11" hidden="1">Weekly by #REF!</definedName>
    <definedName name="BExMAV06YKBNZ0AMG793D1T6TZ17" localSheetId="2" hidden="1">Weekly by #REF!</definedName>
    <definedName name="BExMAV06YKBNZ0AMG793D1T6TZ17" localSheetId="10" hidden="1">Weekly by #REF!</definedName>
    <definedName name="BExMAV06YKBNZ0AMG793D1T6TZ17" hidden="1">Weekly by #REF!</definedName>
    <definedName name="BExMB2Y08ZQ6ES53Z1Z85LK1XPJG" localSheetId="0" hidden="1">#REF!</definedName>
    <definedName name="BExMB2Y08ZQ6ES53Z1Z85LK1XPJG" localSheetId="2" hidden="1">#REF!</definedName>
    <definedName name="BExMB2Y08ZQ6ES53Z1Z85LK1XPJG" hidden="1">#REF!</definedName>
    <definedName name="BExMBOZ4C967HM4Z5BM85PTFZD8X" localSheetId="0" hidden="1">#REF!</definedName>
    <definedName name="BExMBOZ4C967HM4Z5BM85PTFZD8X" localSheetId="2" hidden="1">#REF!</definedName>
    <definedName name="BExMBOZ4C967HM4Z5BM85PTFZD8X" hidden="1">#REF!</definedName>
    <definedName name="BExMBYPQDG9AYDQ5E8IECVFREPO6" localSheetId="0" hidden="1">#REF!</definedName>
    <definedName name="BExMBYPQDG9AYDQ5E8IECVFREPO6" localSheetId="2" hidden="1">#REF!</definedName>
    <definedName name="BExMBYPQDG9AYDQ5E8IECVFREPO6" hidden="1">#REF!</definedName>
    <definedName name="BExMC5R82S07KSLMO7YA8CCU0ZAI" localSheetId="0" hidden="1">#REF!</definedName>
    <definedName name="BExMC5R82S07KSLMO7YA8CCU0ZAI" hidden="1">#REF!</definedName>
    <definedName name="BExMCA3QVQ2F6ISDKS4YOT1T7GN2" localSheetId="0" hidden="1">Weekly by #REF!</definedName>
    <definedName name="BExMCA3QVQ2F6ISDKS4YOT1T7GN2" localSheetId="1" hidden="1">Weekly by #REF!</definedName>
    <definedName name="BExMCA3QVQ2F6ISDKS4YOT1T7GN2" localSheetId="4" hidden="1">Weekly by #REF!</definedName>
    <definedName name="BExMCA3QVQ2F6ISDKS4YOT1T7GN2" localSheetId="5" hidden="1">Weekly by #REF!</definedName>
    <definedName name="BExMCA3QVQ2F6ISDKS4YOT1T7GN2" localSheetId="6" hidden="1">Weekly by #REF!</definedName>
    <definedName name="BExMCA3QVQ2F6ISDKS4YOT1T7GN2" localSheetId="7" hidden="1">Weekly by #REF!</definedName>
    <definedName name="BExMCA3QVQ2F6ISDKS4YOT1T7GN2" localSheetId="11" hidden="1">Weekly by #REF!</definedName>
    <definedName name="BExMCA3QVQ2F6ISDKS4YOT1T7GN2" localSheetId="2" hidden="1">Weekly by #REF!</definedName>
    <definedName name="BExMCA3QVQ2F6ISDKS4YOT1T7GN2" localSheetId="10" hidden="1">Weekly by #REF!</definedName>
    <definedName name="BExMCA3QVQ2F6ISDKS4YOT1T7GN2" hidden="1">Weekly by #REF!</definedName>
    <definedName name="BExMCAPB2KR2CNKS8MYVWTH5MOT2" localSheetId="0" hidden="1">#REF!</definedName>
    <definedName name="BExMCAPB2KR2CNKS8MYVWTH5MOT2" localSheetId="2" hidden="1">#REF!</definedName>
    <definedName name="BExMCAPB2KR2CNKS8MYVWTH5MOT2" hidden="1">#REF!</definedName>
    <definedName name="BExMCQL4Z75KFIHDWEW5GPWXH473" localSheetId="0" hidden="1">#REF!</definedName>
    <definedName name="BExMCQL4Z75KFIHDWEW5GPWXH473" localSheetId="2" hidden="1">#REF!</definedName>
    <definedName name="BExMCQL4Z75KFIHDWEW5GPWXH473" hidden="1">#REF!</definedName>
    <definedName name="BExMCRSC61GNE2C255DR0NN6NYI0" localSheetId="0" hidden="1">#REF!</definedName>
    <definedName name="BExMCRSC61GNE2C255DR0NN6NYI0" hidden="1">#REF!</definedName>
    <definedName name="BExMCXMMDFHHNJDRURMCXF1DGUOM" localSheetId="0" hidden="1">#REF!</definedName>
    <definedName name="BExMCXMMDFHHNJDRURMCXF1DGUOM" hidden="1">#REF!</definedName>
    <definedName name="BExMD963673NTBXBO0VDNBAG9YWM" localSheetId="0" hidden="1">#REF!</definedName>
    <definedName name="BExMD963673NTBXBO0VDNBAG9YWM" hidden="1">#REF!</definedName>
    <definedName name="BExMDQ3NI3GV1A8JDHIRIL4YLESR" localSheetId="0" hidden="1">#REF!</definedName>
    <definedName name="BExMDQ3NI3GV1A8JDHIRIL4YLESR" hidden="1">#REF!</definedName>
    <definedName name="BExMDUWAATB6AI7BI1UYVBD6BVVO" localSheetId="0" hidden="1">#REF!</definedName>
    <definedName name="BExMDUWAATB6AI7BI1UYVBD6BVVO" hidden="1">#REF!</definedName>
    <definedName name="BExMDVSO20ADTTVCKT513NZBKC0Q" localSheetId="0" hidden="1">#REF!</definedName>
    <definedName name="BExMDVSO20ADTTVCKT513NZBKC0Q" hidden="1">#REF!</definedName>
    <definedName name="BExMEKTHIM47ERJ7ML7M759FF32G" localSheetId="0" hidden="1">#REF!</definedName>
    <definedName name="BExMEKTHIM47ERJ7ML7M759FF32G" hidden="1">#REF!</definedName>
    <definedName name="BExMEY095ELVR1FY94CBBWCTD3ND" localSheetId="0" hidden="1">#REF!</definedName>
    <definedName name="BExMEY095ELVR1FY94CBBWCTD3ND" hidden="1">#REF!</definedName>
    <definedName name="BExMF4G50RY5B1FS3NOYY7LQ3683" localSheetId="0" hidden="1">Weekly by #REF!</definedName>
    <definedName name="BExMF4G50RY5B1FS3NOYY7LQ3683" localSheetId="1" hidden="1">Weekly by #REF!</definedName>
    <definedName name="BExMF4G50RY5B1FS3NOYY7LQ3683" localSheetId="4" hidden="1">Weekly by #REF!</definedName>
    <definedName name="BExMF4G50RY5B1FS3NOYY7LQ3683" localSheetId="5" hidden="1">Weekly by #REF!</definedName>
    <definedName name="BExMF4G50RY5B1FS3NOYY7LQ3683" localSheetId="6" hidden="1">Weekly by #REF!</definedName>
    <definedName name="BExMF4G50RY5B1FS3NOYY7LQ3683" localSheetId="7" hidden="1">Weekly by #REF!</definedName>
    <definedName name="BExMF4G50RY5B1FS3NOYY7LQ3683" localSheetId="11" hidden="1">Weekly by #REF!</definedName>
    <definedName name="BExMF4G50RY5B1FS3NOYY7LQ3683" localSheetId="2" hidden="1">Weekly by #REF!</definedName>
    <definedName name="BExMF4G50RY5B1FS3NOYY7LQ3683" localSheetId="10" hidden="1">Weekly by #REF!</definedName>
    <definedName name="BExMF4G50RY5B1FS3NOYY7LQ3683" hidden="1">Weekly by #REF!</definedName>
    <definedName name="BExMF7WASCH1R5HXPRZ3QUOVQCDS" localSheetId="0" hidden="1">Weekly by #REF!</definedName>
    <definedName name="BExMF7WASCH1R5HXPRZ3QUOVQCDS" localSheetId="1" hidden="1">Weekly by #REF!</definedName>
    <definedName name="BExMF7WASCH1R5HXPRZ3QUOVQCDS" localSheetId="4" hidden="1">Weekly by #REF!</definedName>
    <definedName name="BExMF7WASCH1R5HXPRZ3QUOVQCDS" localSheetId="5" hidden="1">Weekly by #REF!</definedName>
    <definedName name="BExMF7WASCH1R5HXPRZ3QUOVQCDS" localSheetId="6" hidden="1">Weekly by #REF!</definedName>
    <definedName name="BExMF7WASCH1R5HXPRZ3QUOVQCDS" localSheetId="7" hidden="1">Weekly by #REF!</definedName>
    <definedName name="BExMF7WASCH1R5HXPRZ3QUOVQCDS" localSheetId="11" hidden="1">Weekly by #REF!</definedName>
    <definedName name="BExMF7WASCH1R5HXPRZ3QUOVQCDS" localSheetId="2" hidden="1">Weekly by #REF!</definedName>
    <definedName name="BExMF7WASCH1R5HXPRZ3QUOVQCDS" localSheetId="10" hidden="1">Weekly by #REF!</definedName>
    <definedName name="BExMF7WASCH1R5HXPRZ3QUOVQCDS" hidden="1">Weekly by #REF!</definedName>
    <definedName name="BExMFAW85CSACS2YPNRMAOVGL6M1" localSheetId="0" hidden="1">Weekly by #REF!</definedName>
    <definedName name="BExMFAW85CSACS2YPNRMAOVGL6M1" localSheetId="1" hidden="1">Weekly by #REF!</definedName>
    <definedName name="BExMFAW85CSACS2YPNRMAOVGL6M1" localSheetId="4" hidden="1">Weekly by #REF!</definedName>
    <definedName name="BExMFAW85CSACS2YPNRMAOVGL6M1" localSheetId="5" hidden="1">Weekly by #REF!</definedName>
    <definedName name="BExMFAW85CSACS2YPNRMAOVGL6M1" localSheetId="6" hidden="1">Weekly by #REF!</definedName>
    <definedName name="BExMFAW85CSACS2YPNRMAOVGL6M1" localSheetId="7" hidden="1">Weekly by #REF!</definedName>
    <definedName name="BExMFAW85CSACS2YPNRMAOVGL6M1" localSheetId="11" hidden="1">Weekly by #REF!</definedName>
    <definedName name="BExMFAW85CSACS2YPNRMAOVGL6M1" localSheetId="2" hidden="1">Weekly by #REF!</definedName>
    <definedName name="BExMFAW85CSACS2YPNRMAOVGL6M1" localSheetId="10" hidden="1">Weekly by #REF!</definedName>
    <definedName name="BExMFAW85CSACS2YPNRMAOVGL6M1" hidden="1">Weekly by #REF!</definedName>
    <definedName name="BExMFFJCU2N6QOC5V50II5WTLPAF" localSheetId="0" hidden="1">#REF!</definedName>
    <definedName name="BExMFFJCU2N6QOC5V50II5WTLPAF" localSheetId="2" hidden="1">#REF!</definedName>
    <definedName name="BExMFFJCU2N6QOC5V50II5WTLPAF" hidden="1">#REF!</definedName>
    <definedName name="BExMFH6SWBYCN98LEO4HJ8MYBMEV" localSheetId="0" hidden="1">#REF!</definedName>
    <definedName name="BExMFH6SWBYCN98LEO4HJ8MYBMEV" localSheetId="2" hidden="1">#REF!</definedName>
    <definedName name="BExMFH6SWBYCN98LEO4HJ8MYBMEV" hidden="1">#REF!</definedName>
    <definedName name="BExMFQ102FN53YEFF1Q73O5PKTN2" localSheetId="0" hidden="1">#REF!</definedName>
    <definedName name="BExMFQ102FN53YEFF1Q73O5PKTN2" hidden="1">#REF!</definedName>
    <definedName name="BExMFY4B5JW31L4PL9F4S16LTC8G" localSheetId="0" hidden="1">#REF!</definedName>
    <definedName name="BExMFY4B5JW31L4PL9F4S16LTC8G" hidden="1">#REF!</definedName>
    <definedName name="BExMG07TXA5LBAFUNK9ZL36S1K3P" localSheetId="0" hidden="1">#REF!</definedName>
    <definedName name="BExMG07TXA5LBAFUNK9ZL36S1K3P" hidden="1">#REF!</definedName>
    <definedName name="BExMGBGD459HSR8BDU39PXJW1YD1" localSheetId="0" hidden="1">#REF!</definedName>
    <definedName name="BExMGBGD459HSR8BDU39PXJW1YD1" hidden="1">#REF!</definedName>
    <definedName name="BExMGFSWSVUC8O4EM6ZP6T82VC1A" localSheetId="0" hidden="1">#REF!</definedName>
    <definedName name="BExMGFSWSVUC8O4EM6ZP6T82VC1A" hidden="1">#REF!</definedName>
    <definedName name="BExMGU1BBKL75M103UDRTYSZGEFN" localSheetId="0" hidden="1">#REF!</definedName>
    <definedName name="BExMGU1BBKL75M103UDRTYSZGEFN" hidden="1">#REF!</definedName>
    <definedName name="BExMHGO26XGSHH5SC2Q9JNGCE2IO" localSheetId="0" hidden="1">#REF!</definedName>
    <definedName name="BExMHGO26XGSHH5SC2Q9JNGCE2IO" hidden="1">#REF!</definedName>
    <definedName name="BExMHNPHOVS9X8O0KIZL9LTG858E" localSheetId="0" hidden="1">#REF!</definedName>
    <definedName name="BExMHNPHOVS9X8O0KIZL9LTG858E" hidden="1">#REF!</definedName>
    <definedName name="BExMI3QOZTYEQUF0SE6AK4HHWJO7" localSheetId="0" hidden="1">#REF!</definedName>
    <definedName name="BExMI3QOZTYEQUF0SE6AK4HHWJO7" hidden="1">#REF!</definedName>
    <definedName name="BExMI71D8IX6Y6H7DLSAPYHEGRFP" localSheetId="0" hidden="1">#REF!</definedName>
    <definedName name="BExMI71D8IX6Y6H7DLSAPYHEGRFP" hidden="1">#REF!</definedName>
    <definedName name="BExMIKZ5EDDZDK5D6GTXJPH9XWND" localSheetId="0" hidden="1">#REF!</definedName>
    <definedName name="BExMIKZ5EDDZDK5D6GTXJPH9XWND" hidden="1">#REF!</definedName>
    <definedName name="BExMJ51XJZN31B84NVPI18J3CWTB" localSheetId="0" hidden="1">#REF!</definedName>
    <definedName name="BExMJ51XJZN31B84NVPI18J3CWTB" hidden="1">#REF!</definedName>
    <definedName name="BExMJA01LCAWUR1OX7H4E7JGNN3W" localSheetId="0" hidden="1">#REF!</definedName>
    <definedName name="BExMJA01LCAWUR1OX7H4E7JGNN3W" hidden="1">#REF!</definedName>
    <definedName name="BExMK0OA4CYPHQFXIOZFG5E4Y027" localSheetId="0" hidden="1">#REF!</definedName>
    <definedName name="BExMK0OA4CYPHQFXIOZFG5E4Y027" hidden="1">#REF!</definedName>
    <definedName name="BExMKOI0IEYQSWL82F4MI37J9NZ3" localSheetId="0" hidden="1">#REF!</definedName>
    <definedName name="BExMKOI0IEYQSWL82F4MI37J9NZ3" hidden="1">#REF!</definedName>
    <definedName name="BExMLST4GQSNKCS4QDS19G31V6NY" localSheetId="0" hidden="1">#REF!</definedName>
    <definedName name="BExMLST4GQSNKCS4QDS19G31V6NY" hidden="1">#REF!</definedName>
    <definedName name="BExMM0LNT0WIRYYQ90C5T5CDOOSX" localSheetId="0" hidden="1">#REF!</definedName>
    <definedName name="BExMM0LNT0WIRYYQ90C5T5CDOOSX" hidden="1">#REF!</definedName>
    <definedName name="BExMMZTDDCFDHK0GU54VF8EVH99F" localSheetId="0" hidden="1">#REF!</definedName>
    <definedName name="BExMMZTDDCFDHK0GU54VF8EVH99F" hidden="1">#REF!</definedName>
    <definedName name="BExMNQ1J7QX20FWV4DQ41E6S4T2W" localSheetId="0" hidden="1">#REF!</definedName>
    <definedName name="BExMNQ1J7QX20FWV4DQ41E6S4T2W" hidden="1">#REF!</definedName>
    <definedName name="BExMNQMY2IUP61KESI720VOMTAJ1" localSheetId="0" hidden="1">#REF!</definedName>
    <definedName name="BExMNQMY2IUP61KESI720VOMTAJ1" hidden="1">#REF!</definedName>
    <definedName name="BExMNUZHMKFZ814RTA641MNKZ7HQ" localSheetId="0" hidden="1">#REF!</definedName>
    <definedName name="BExMNUZHMKFZ814RTA641MNKZ7HQ" hidden="1">#REF!</definedName>
    <definedName name="BExMNW6NIOK4PW2K16RX2DT8BCKP" localSheetId="0" hidden="1">#REF!</definedName>
    <definedName name="BExMNW6NIOK4PW2K16RX2DT8BCKP" hidden="1">#REF!</definedName>
    <definedName name="BExMOHWSBNP0XTE3NV21XJHNIJVH" localSheetId="0" hidden="1">#REF!</definedName>
    <definedName name="BExMOHWSBNP0XTE3NV21XJHNIJVH" hidden="1">#REF!</definedName>
    <definedName name="BExMOJ9GY6AQGI153FV703AE296H" localSheetId="0" hidden="1">#REF!</definedName>
    <definedName name="BExMOJ9GY6AQGI153FV703AE296H" hidden="1">#REF!</definedName>
    <definedName name="BExMOUY83LJ8CH667WK0OM5FP9MP" localSheetId="0" hidden="1">#REF!</definedName>
    <definedName name="BExMOUY83LJ8CH667WK0OM5FP9MP" hidden="1">#REF!</definedName>
    <definedName name="BExMOV3KSBKMOLETEBCVI6CD7E9Q" localSheetId="0" hidden="1">#REF!</definedName>
    <definedName name="BExMOV3KSBKMOLETEBCVI6CD7E9Q" hidden="1">#REF!</definedName>
    <definedName name="BExMP06Y7JRUYXTNBLZEZIIFMP8Z" localSheetId="0" hidden="1">#REF!</definedName>
    <definedName name="BExMP06Y7JRUYXTNBLZEZIIFMP8Z" hidden="1">#REF!</definedName>
    <definedName name="BExMPGTVPYQ1ACGV1RRRS5LYB125" localSheetId="0" hidden="1">#REF!</definedName>
    <definedName name="BExMPGTVPYQ1ACGV1RRRS5LYB125" hidden="1">#REF!</definedName>
    <definedName name="BExMPLBKFPJM4GF27I2D45X0U9QF" localSheetId="0" hidden="1">#REF!</definedName>
    <definedName name="BExMPLBKFPJM4GF27I2D45X0U9QF" hidden="1">#REF!</definedName>
    <definedName name="BExMQ41ZQNCI291UVV7EBWD8RXWS" localSheetId="0" hidden="1">#REF!</definedName>
    <definedName name="BExMQ41ZQNCI291UVV7EBWD8RXWS" hidden="1">#REF!</definedName>
    <definedName name="BExMR4GUTFCN4RD7H81IOKECLEG3" localSheetId="0" hidden="1">#REF!</definedName>
    <definedName name="BExMR4GUTFCN4RD7H81IOKECLEG3" hidden="1">#REF!</definedName>
    <definedName name="BExMRDB2U95WN330W6952DM5WXZ1" localSheetId="0" hidden="1">Weekly by #REF!</definedName>
    <definedName name="BExMRDB2U95WN330W6952DM5WXZ1" localSheetId="1" hidden="1">Weekly by #REF!</definedName>
    <definedName name="BExMRDB2U95WN330W6952DM5WXZ1" localSheetId="4" hidden="1">Weekly by #REF!</definedName>
    <definedName name="BExMRDB2U95WN330W6952DM5WXZ1" localSheetId="5" hidden="1">Weekly by #REF!</definedName>
    <definedName name="BExMRDB2U95WN330W6952DM5WXZ1" localSheetId="6" hidden="1">Weekly by #REF!</definedName>
    <definedName name="BExMRDB2U95WN330W6952DM5WXZ1" localSheetId="7" hidden="1">Weekly by #REF!</definedName>
    <definedName name="BExMRDB2U95WN330W6952DM5WXZ1" localSheetId="11" hidden="1">Weekly by #REF!</definedName>
    <definedName name="BExMRDB2U95WN330W6952DM5WXZ1" localSheetId="2" hidden="1">Weekly by #REF!</definedName>
    <definedName name="BExMRDB2U95WN330W6952DM5WXZ1" localSheetId="10" hidden="1">Weekly by #REF!</definedName>
    <definedName name="BExMRDB2U95WN330W6952DM5WXZ1" hidden="1">Weekly by #REF!</definedName>
    <definedName name="BExMRP5C9V3XNIT2DRA9I6G73H2V" localSheetId="0" hidden="1">#REF!</definedName>
    <definedName name="BExMRP5C9V3XNIT2DRA9I6G73H2V" localSheetId="2" hidden="1">#REF!</definedName>
    <definedName name="BExMRP5C9V3XNIT2DRA9I6G73H2V" hidden="1">#REF!</definedName>
    <definedName name="BExMRPG54LNH7HRC92MBSUT6UL6L" localSheetId="0" hidden="1">#REF!</definedName>
    <definedName name="BExMRPG54LNH7HRC92MBSUT6UL6L" localSheetId="2" hidden="1">#REF!</definedName>
    <definedName name="BExMRPG54LNH7HRC92MBSUT6UL6L" hidden="1">#REF!</definedName>
    <definedName name="BExMSM9I7XZ0BC793Y8GWVJNG1V9" localSheetId="0" hidden="1">#REF!</definedName>
    <definedName name="BExMSM9I7XZ0BC793Y8GWVJNG1V9" hidden="1">#REF!</definedName>
    <definedName name="BExO4P9G3CC5P66YXQJ1MQZE3Q3L" localSheetId="0" hidden="1">#REF!</definedName>
    <definedName name="BExO4P9G3CC5P66YXQJ1MQZE3Q3L" hidden="1">#REF!</definedName>
    <definedName name="BExO4Q5T1IO39TUFXG41PZPWD8H5" localSheetId="0" hidden="1">#REF!</definedName>
    <definedName name="BExO4Q5T1IO39TUFXG41PZPWD8H5" hidden="1">#REF!</definedName>
    <definedName name="BExO6EPBP3U3VANWLB9Y7EXJOA47" localSheetId="0" hidden="1">#REF!</definedName>
    <definedName name="BExO6EPBP3U3VANWLB9Y7EXJOA47" hidden="1">#REF!</definedName>
    <definedName name="BExO7A0RAM8VLJ9WVOS0CNSGVOZA" localSheetId="0" hidden="1">#REF!</definedName>
    <definedName name="BExO7A0RAM8VLJ9WVOS0CNSGVOZA" hidden="1">#REF!</definedName>
    <definedName name="BExO7DRP7J97F5QVZ3N9S8LOP80B" localSheetId="0" hidden="1">#REF!</definedName>
    <definedName name="BExO7DRP7J97F5QVZ3N9S8LOP80B" hidden="1">#REF!</definedName>
    <definedName name="BExO7W1PSMP8KLLJ6LI9QUDVQEVV" localSheetId="0" hidden="1">#REF!</definedName>
    <definedName name="BExO7W1PSMP8KLLJ6LI9QUDVQEVV" hidden="1">#REF!</definedName>
    <definedName name="BExO7ZCDYRHD383KOIMJRVRYVSKV" localSheetId="0" hidden="1">#REF!</definedName>
    <definedName name="BExO7ZCDYRHD383KOIMJRVRYVSKV" hidden="1">#REF!</definedName>
    <definedName name="BExO8TM4L261JTCSQ24FHE73242J" localSheetId="0" hidden="1">#REF!</definedName>
    <definedName name="BExO8TM4L261JTCSQ24FHE73242J" hidden="1">#REF!</definedName>
    <definedName name="BExO8TM5V5CFSV5A13AYOWY4NGRS" localSheetId="0" hidden="1">#REF!</definedName>
    <definedName name="BExO8TM5V5CFSV5A13AYOWY4NGRS" hidden="1">#REF!</definedName>
    <definedName name="BExO8Z5TLFFDPWQYO9YKSACPTG6I" localSheetId="0" hidden="1">#REF!</definedName>
    <definedName name="BExO8Z5TLFFDPWQYO9YKSACPTG6I" hidden="1">#REF!</definedName>
    <definedName name="BExO97P8YZIMCQ10KUN4KVPR1I2Q" localSheetId="0" hidden="1">Weekly by #REF!</definedName>
    <definedName name="BExO97P8YZIMCQ10KUN4KVPR1I2Q" localSheetId="1" hidden="1">Weekly by #REF!</definedName>
    <definedName name="BExO97P8YZIMCQ10KUN4KVPR1I2Q" localSheetId="4" hidden="1">Weekly by #REF!</definedName>
    <definedName name="BExO97P8YZIMCQ10KUN4KVPR1I2Q" localSheetId="5" hidden="1">Weekly by #REF!</definedName>
    <definedName name="BExO97P8YZIMCQ10KUN4KVPR1I2Q" localSheetId="6" hidden="1">Weekly by #REF!</definedName>
    <definedName name="BExO97P8YZIMCQ10KUN4KVPR1I2Q" localSheetId="7" hidden="1">Weekly by #REF!</definedName>
    <definedName name="BExO97P8YZIMCQ10KUN4KVPR1I2Q" localSheetId="11" hidden="1">Weekly by #REF!</definedName>
    <definedName name="BExO97P8YZIMCQ10KUN4KVPR1I2Q" localSheetId="2" hidden="1">Weekly by #REF!</definedName>
    <definedName name="BExO97P8YZIMCQ10KUN4KVPR1I2Q" localSheetId="10" hidden="1">Weekly by #REF!</definedName>
    <definedName name="BExO97P8YZIMCQ10KUN4KVPR1I2Q" hidden="1">Weekly by #REF!</definedName>
    <definedName name="BExO9E55CA3WAMSY206DD10PGT3Y" localSheetId="0" hidden="1">#REF!</definedName>
    <definedName name="BExO9E55CA3WAMSY206DD10PGT3Y" localSheetId="2" hidden="1">#REF!</definedName>
    <definedName name="BExO9E55CA3WAMSY206DD10PGT3Y" hidden="1">#REF!</definedName>
    <definedName name="BExOA17XYBTPADQY60I9BRDNM5LT" localSheetId="0" hidden="1">#REF!</definedName>
    <definedName name="BExOA17XYBTPADQY60I9BRDNM5LT" localSheetId="2" hidden="1">#REF!</definedName>
    <definedName name="BExOA17XYBTPADQY60I9BRDNM5LT" hidden="1">#REF!</definedName>
    <definedName name="BExOA8PPAT6BFKDHD9OQK39O9RSG" localSheetId="0" hidden="1">#REF!</definedName>
    <definedName name="BExOA8PPAT6BFKDHD9OQK39O9RSG" hidden="1">#REF!</definedName>
    <definedName name="BExOAAIENBH5IN1CP70XQPSVREGG" localSheetId="0" hidden="1">#REF!</definedName>
    <definedName name="BExOAAIENBH5IN1CP70XQPSVREGG" hidden="1">#REF!</definedName>
    <definedName name="BExOAFR6JHRK4AP8O7TB9UDEAVJL" localSheetId="0" hidden="1">#REF!</definedName>
    <definedName name="BExOAFR6JHRK4AP8O7TB9UDEAVJL" hidden="1">#REF!</definedName>
    <definedName name="BExOAGCX9ISY83KMXO02KFMKR8OW" localSheetId="0" hidden="1">#REF!</definedName>
    <definedName name="BExOAGCX9ISY83KMXO02KFMKR8OW" hidden="1">#REF!</definedName>
    <definedName name="BExOAGYIK9WKLV4D54T0ZWC0J1ZM" localSheetId="0" hidden="1">#REF!</definedName>
    <definedName name="BExOAGYIK9WKLV4D54T0ZWC0J1ZM" hidden="1">#REF!</definedName>
    <definedName name="BExOARW91Y6NW924Q6S22LKSRRNW" localSheetId="0" hidden="1">Weekly by #REF!</definedName>
    <definedName name="BExOARW91Y6NW924Q6S22LKSRRNW" localSheetId="1" hidden="1">Weekly by #REF!</definedName>
    <definedName name="BExOARW91Y6NW924Q6S22LKSRRNW" localSheetId="4" hidden="1">Weekly by #REF!</definedName>
    <definedName name="BExOARW91Y6NW924Q6S22LKSRRNW" localSheetId="5" hidden="1">Weekly by #REF!</definedName>
    <definedName name="BExOARW91Y6NW924Q6S22LKSRRNW" localSheetId="6" hidden="1">Weekly by #REF!</definedName>
    <definedName name="BExOARW91Y6NW924Q6S22LKSRRNW" localSheetId="7" hidden="1">Weekly by #REF!</definedName>
    <definedName name="BExOARW91Y6NW924Q6S22LKSRRNW" localSheetId="11" hidden="1">Weekly by #REF!</definedName>
    <definedName name="BExOARW91Y6NW924Q6S22LKSRRNW" localSheetId="2" hidden="1">Weekly by #REF!</definedName>
    <definedName name="BExOARW91Y6NW924Q6S22LKSRRNW" localSheetId="10" hidden="1">Weekly by #REF!</definedName>
    <definedName name="BExOARW91Y6NW924Q6S22LKSRRNW" hidden="1">Weekly by #REF!</definedName>
    <definedName name="BExOB886RIKYRO6D0LXJDAB2M84Z" localSheetId="0" hidden="1">#REF!</definedName>
    <definedName name="BExOB886RIKYRO6D0LXJDAB2M84Z" localSheetId="2" hidden="1">#REF!</definedName>
    <definedName name="BExOB886RIKYRO6D0LXJDAB2M84Z" hidden="1">#REF!</definedName>
    <definedName name="BExOBB83DFC5ZB1NZLNUIV7QYQES" localSheetId="0" hidden="1">#REF!</definedName>
    <definedName name="BExOBB83DFC5ZB1NZLNUIV7QYQES" localSheetId="2" hidden="1">#REF!</definedName>
    <definedName name="BExOBB83DFC5ZB1NZLNUIV7QYQES" hidden="1">#REF!</definedName>
    <definedName name="BExOBMWVSAP724QF2UOBCHRCTMRG" localSheetId="0" hidden="1">Weekly by #REF!</definedName>
    <definedName name="BExOBMWVSAP724QF2UOBCHRCTMRG" localSheetId="1" hidden="1">Weekly by #REF!</definedName>
    <definedName name="BExOBMWVSAP724QF2UOBCHRCTMRG" localSheetId="4" hidden="1">Weekly by #REF!</definedName>
    <definedName name="BExOBMWVSAP724QF2UOBCHRCTMRG" localSheetId="5" hidden="1">Weekly by #REF!</definedName>
    <definedName name="BExOBMWVSAP724QF2UOBCHRCTMRG" localSheetId="6" hidden="1">Weekly by #REF!</definedName>
    <definedName name="BExOBMWVSAP724QF2UOBCHRCTMRG" localSheetId="7" hidden="1">Weekly by #REF!</definedName>
    <definedName name="BExOBMWVSAP724QF2UOBCHRCTMRG" localSheetId="11" hidden="1">Weekly by #REF!</definedName>
    <definedName name="BExOBMWVSAP724QF2UOBCHRCTMRG" localSheetId="2" hidden="1">Weekly by #REF!</definedName>
    <definedName name="BExOBMWVSAP724QF2UOBCHRCTMRG" localSheetId="10" hidden="1">Weekly by #REF!</definedName>
    <definedName name="BExOBMWVSAP724QF2UOBCHRCTMRG" hidden="1">Weekly by #REF!</definedName>
    <definedName name="BExOBNNWXJI9Y0IQ9VT4NMZCB3SW" localSheetId="0" hidden="1">#REF!</definedName>
    <definedName name="BExOBNNWXJI9Y0IQ9VT4NMZCB3SW" localSheetId="2" hidden="1">#REF!</definedName>
    <definedName name="BExOBNNWXJI9Y0IQ9VT4NMZCB3SW" hidden="1">#REF!</definedName>
    <definedName name="BExOBYLMYCYZ1NJLHJCPLA3PVKYK" localSheetId="0" hidden="1">#REF!</definedName>
    <definedName name="BExOBYLMYCYZ1NJLHJCPLA3PVKYK" localSheetId="2" hidden="1">#REF!</definedName>
    <definedName name="BExOBYLMYCYZ1NJLHJCPLA3PVKYK" hidden="1">#REF!</definedName>
    <definedName name="BExOBYLO8NTLBKV3569Y2UNNIV1K" localSheetId="0" hidden="1">#REF!</definedName>
    <definedName name="BExOBYLO8NTLBKV3569Y2UNNIV1K" hidden="1">#REF!</definedName>
    <definedName name="BExOBZI1C66MSR4C3REWH9DQREGZ" localSheetId="0" hidden="1">#REF!</definedName>
    <definedName name="BExOBZI1C66MSR4C3REWH9DQREGZ" hidden="1">#REF!</definedName>
    <definedName name="BExOC08Y6OIMB5N7XH5Q1IR1M20Q" localSheetId="0" hidden="1">#REF!</definedName>
    <definedName name="BExOC08Y6OIMB5N7XH5Q1IR1M20Q" hidden="1">#REF!</definedName>
    <definedName name="BExOC7LCVAJC36Q60I8PKPCD0T1S" localSheetId="0" hidden="1">#REF!</definedName>
    <definedName name="BExOC7LCVAJC36Q60I8PKPCD0T1S" hidden="1">#REF!</definedName>
    <definedName name="BExOCQX7MZG1R6UPBHNGI606SL8K" localSheetId="0" hidden="1">#REF!</definedName>
    <definedName name="BExOCQX7MZG1R6UPBHNGI606SL8K" hidden="1">#REF!</definedName>
    <definedName name="BExOD3YN3M7LMY4E0E507QA8CWQ2" localSheetId="0" hidden="1">Weekly by #REF!</definedName>
    <definedName name="BExOD3YN3M7LMY4E0E507QA8CWQ2" localSheetId="1" hidden="1">Weekly by #REF!</definedName>
    <definedName name="BExOD3YN3M7LMY4E0E507QA8CWQ2" localSheetId="4" hidden="1">Weekly by #REF!</definedName>
    <definedName name="BExOD3YN3M7LMY4E0E507QA8CWQ2" localSheetId="5" hidden="1">Weekly by #REF!</definedName>
    <definedName name="BExOD3YN3M7LMY4E0E507QA8CWQ2" localSheetId="6" hidden="1">Weekly by #REF!</definedName>
    <definedName name="BExOD3YN3M7LMY4E0E507QA8CWQ2" localSheetId="7" hidden="1">Weekly by #REF!</definedName>
    <definedName name="BExOD3YN3M7LMY4E0E507QA8CWQ2" localSheetId="11" hidden="1">Weekly by #REF!</definedName>
    <definedName name="BExOD3YN3M7LMY4E0E507QA8CWQ2" localSheetId="2" hidden="1">Weekly by #REF!</definedName>
    <definedName name="BExOD3YN3M7LMY4E0E507QA8CWQ2" localSheetId="10" hidden="1">Weekly by #REF!</definedName>
    <definedName name="BExOD3YN3M7LMY4E0E507QA8CWQ2" hidden="1">Weekly by #REF!</definedName>
    <definedName name="BExODPZLGXNVUEO34XPQH5O6BN86" localSheetId="0" hidden="1">#REF!</definedName>
    <definedName name="BExODPZLGXNVUEO34XPQH5O6BN86" localSheetId="2" hidden="1">#REF!</definedName>
    <definedName name="BExODPZLGXNVUEO34XPQH5O6BN86" hidden="1">#REF!</definedName>
    <definedName name="BExOE2KSKXBKYKZPW4A6XU9CC11S" localSheetId="0" hidden="1">#REF!</definedName>
    <definedName name="BExOE2KSKXBKYKZPW4A6XU9CC11S" localSheetId="2" hidden="1">#REF!</definedName>
    <definedName name="BExOE2KSKXBKYKZPW4A6XU9CC11S" hidden="1">#REF!</definedName>
    <definedName name="BExOE6X4GM2FI8J0OCWJN8HLAR4Z" localSheetId="0" hidden="1">#REF!</definedName>
    <definedName name="BExOE6X4GM2FI8J0OCWJN8HLAR4Z" hidden="1">#REF!</definedName>
    <definedName name="BExOE89QWLYZ033JJYOXL9EN126C" localSheetId="0" hidden="1">#REF!</definedName>
    <definedName name="BExOE89QWLYZ033JJYOXL9EN126C" hidden="1">#REF!</definedName>
    <definedName name="BExOF5ZJR1UJ9IQRGDTEZM7GPQX4" localSheetId="0" hidden="1">#REF!</definedName>
    <definedName name="BExOF5ZJR1UJ9IQRGDTEZM7GPQX4" hidden="1">#REF!</definedName>
    <definedName name="BExOFFVKV03BN8T3HNXZ55S352S3" localSheetId="0" hidden="1">#REF!</definedName>
    <definedName name="BExOFFVKV03BN8T3HNXZ55S352S3" hidden="1">#REF!</definedName>
    <definedName name="BExOFJH1W33H5R9GH680DNXTZ0ZN" localSheetId="0" hidden="1">#REF!</definedName>
    <definedName name="BExOFJH1W33H5R9GH680DNXTZ0ZN" hidden="1">#REF!</definedName>
    <definedName name="BExOFN2CCI1J0EUWG6CV07EKJOT7" localSheetId="0" hidden="1">#REF!</definedName>
    <definedName name="BExOFN2CCI1J0EUWG6CV07EKJOT7" hidden="1">#REF!</definedName>
    <definedName name="BExOFP625BUADGKPXERB5IANJBMR" localSheetId="0" hidden="1">Weekly by #REF!</definedName>
    <definedName name="BExOFP625BUADGKPXERB5IANJBMR" localSheetId="1" hidden="1">Weekly by #REF!</definedName>
    <definedName name="BExOFP625BUADGKPXERB5IANJBMR" localSheetId="4" hidden="1">Weekly by #REF!</definedName>
    <definedName name="BExOFP625BUADGKPXERB5IANJBMR" localSheetId="5" hidden="1">Weekly by #REF!</definedName>
    <definedName name="BExOFP625BUADGKPXERB5IANJBMR" localSheetId="6" hidden="1">Weekly by #REF!</definedName>
    <definedName name="BExOFP625BUADGKPXERB5IANJBMR" localSheetId="7" hidden="1">Weekly by #REF!</definedName>
    <definedName name="BExOFP625BUADGKPXERB5IANJBMR" localSheetId="11" hidden="1">Weekly by #REF!</definedName>
    <definedName name="BExOFP625BUADGKPXERB5IANJBMR" localSheetId="2" hidden="1">Weekly by #REF!</definedName>
    <definedName name="BExOFP625BUADGKPXERB5IANJBMR" localSheetId="10" hidden="1">Weekly by #REF!</definedName>
    <definedName name="BExOFP625BUADGKPXERB5IANJBMR" hidden="1">Weekly by #REF!</definedName>
    <definedName name="BExOG1AZCK9QN09SNEN2DTTFFCLJ" localSheetId="0" hidden="1">#REF!</definedName>
    <definedName name="BExOG1AZCK9QN09SNEN2DTTFFCLJ" localSheetId="2" hidden="1">#REF!</definedName>
    <definedName name="BExOG1AZCK9QN09SNEN2DTTFFCLJ" hidden="1">#REF!</definedName>
    <definedName name="BExOGVQ0OYGKXCECX4UBBL6UFRSM" localSheetId="0" hidden="1">#REF!</definedName>
    <definedName name="BExOGVQ0OYGKXCECX4UBBL6UFRSM" localSheetId="2" hidden="1">#REF!</definedName>
    <definedName name="BExOGVQ0OYGKXCECX4UBBL6UFRSM" hidden="1">#REF!</definedName>
    <definedName name="BExOGWX6H8AVR4QE2RTJ77SEJRN6" localSheetId="0" hidden="1">#REF!</definedName>
    <definedName name="BExOGWX6H8AVR4QE2RTJ77SEJRN6" hidden="1">#REF!</definedName>
    <definedName name="BExOGYVEAJFUXQVT8YQO2U7YT5OY" localSheetId="0" hidden="1">#REF!</definedName>
    <definedName name="BExOGYVEAJFUXQVT8YQO2U7YT5OY" hidden="1">#REF!</definedName>
    <definedName name="BExOH2GVFOFXDG3YQK89NSKG7WJG" localSheetId="0" hidden="1">#REF!</definedName>
    <definedName name="BExOH2GVFOFXDG3YQK89NSKG7WJG" hidden="1">#REF!</definedName>
    <definedName name="BExOH7KB5HAPBB5K1Z3DIW5LCRSI" localSheetId="0" hidden="1">#REF!</definedName>
    <definedName name="BExOH7KB5HAPBB5K1Z3DIW5LCRSI" hidden="1">#REF!</definedName>
    <definedName name="BExOHBB43JS54D6MARIQR5PJNUDG" localSheetId="0" hidden="1">#REF!</definedName>
    <definedName name="BExOHBB43JS54D6MARIQR5PJNUDG" hidden="1">#REF!</definedName>
    <definedName name="BExOIN9ETPA87K6NINBIFRSWHK4C" localSheetId="0" hidden="1">#REF!</definedName>
    <definedName name="BExOIN9ETPA87K6NINBIFRSWHK4C" hidden="1">#REF!</definedName>
    <definedName name="BExOJAXNMJ8Y9U9A32N69AJ420UU" localSheetId="0" hidden="1">Weekly by #REF!</definedName>
    <definedName name="BExOJAXNMJ8Y9U9A32N69AJ420UU" localSheetId="1" hidden="1">Weekly by #REF!</definedName>
    <definedName name="BExOJAXNMJ8Y9U9A32N69AJ420UU" localSheetId="4" hidden="1">Weekly by #REF!</definedName>
    <definedName name="BExOJAXNMJ8Y9U9A32N69AJ420UU" localSheetId="5" hidden="1">Weekly by #REF!</definedName>
    <definedName name="BExOJAXNMJ8Y9U9A32N69AJ420UU" localSheetId="6" hidden="1">Weekly by #REF!</definedName>
    <definedName name="BExOJAXNMJ8Y9U9A32N69AJ420UU" localSheetId="7" hidden="1">Weekly by #REF!</definedName>
    <definedName name="BExOJAXNMJ8Y9U9A32N69AJ420UU" localSheetId="11" hidden="1">Weekly by #REF!</definedName>
    <definedName name="BExOJAXNMJ8Y9U9A32N69AJ420UU" localSheetId="2" hidden="1">Weekly by #REF!</definedName>
    <definedName name="BExOJAXNMJ8Y9U9A32N69AJ420UU" localSheetId="10" hidden="1">Weekly by #REF!</definedName>
    <definedName name="BExOJAXNMJ8Y9U9A32N69AJ420UU" hidden="1">Weekly by #REF!</definedName>
    <definedName name="BExOJPBK5T2TFSQCI5PYD3DTPA26" localSheetId="0" hidden="1">#REF!</definedName>
    <definedName name="BExOJPBK5T2TFSQCI5PYD3DTPA26" localSheetId="2" hidden="1">#REF!</definedName>
    <definedName name="BExOJPBK5T2TFSQCI5PYD3DTPA26" hidden="1">#REF!</definedName>
    <definedName name="BExOK699MBCVTFKUMVPKBGM2W63L" localSheetId="0" hidden="1">#REF!</definedName>
    <definedName name="BExOK699MBCVTFKUMVPKBGM2W63L" localSheetId="2" hidden="1">#REF!</definedName>
    <definedName name="BExOK699MBCVTFKUMVPKBGM2W63L" hidden="1">#REF!</definedName>
    <definedName name="BExOKCECQSFWA99RY6KEDPH30KT6" localSheetId="0" hidden="1">#REF!</definedName>
    <definedName name="BExOKCECQSFWA99RY6KEDPH30KT6" hidden="1">#REF!</definedName>
    <definedName name="BExOKDAQ31PVS0Q7NXOF66C24GYL" localSheetId="0" hidden="1">#REF!</definedName>
    <definedName name="BExOKDAQ31PVS0Q7NXOF66C24GYL" hidden="1">#REF!</definedName>
    <definedName name="BExOLB5SC7VD8OG53K8II93SAENQ" localSheetId="0" hidden="1">#REF!</definedName>
    <definedName name="BExOLB5SC7VD8OG53K8II93SAENQ" hidden="1">#REF!</definedName>
    <definedName name="BExOLD411QWFX4FN11349510DRJ8" localSheetId="0" hidden="1">#REF!</definedName>
    <definedName name="BExOLD411QWFX4FN11349510DRJ8" hidden="1">#REF!</definedName>
    <definedName name="BExOLYZNCQU9YFRCJTSR1R7098U7" localSheetId="0" hidden="1">#REF!</definedName>
    <definedName name="BExOLYZNCQU9YFRCJTSR1R7098U7" hidden="1">#REF!</definedName>
    <definedName name="BExOM1JHBQW1WQ5TNAB1F6PMWCCS" localSheetId="0" hidden="1">#REF!</definedName>
    <definedName name="BExOM1JHBQW1WQ5TNAB1F6PMWCCS" hidden="1">#REF!</definedName>
    <definedName name="BExOMBFCBGGM6KO5RX1LMJ0M22S4" localSheetId="0" hidden="1">#REF!</definedName>
    <definedName name="BExOMBFCBGGM6KO5RX1LMJ0M22S4" hidden="1">#REF!</definedName>
    <definedName name="BExOMI672TH8VPB5MGW4I7CD339Q" localSheetId="0" hidden="1">#REF!</definedName>
    <definedName name="BExOMI672TH8VPB5MGW4I7CD339Q" hidden="1">#REF!</definedName>
    <definedName name="BExOMMD8OU5GP7UJQ5YR5BWUC7WC" localSheetId="0" hidden="1">#REF!</definedName>
    <definedName name="BExOMMD8OU5GP7UJQ5YR5BWUC7WC" hidden="1">#REF!</definedName>
    <definedName name="BExON8UB96J8UZO1ZX4IVWLM8DGA" localSheetId="0" hidden="1">#REF!</definedName>
    <definedName name="BExON8UB96J8UZO1ZX4IVWLM8DGA" hidden="1">#REF!</definedName>
    <definedName name="BExONFL4TFXSXWK3WNKGBKED9MO0" localSheetId="0" hidden="1">#REF!</definedName>
    <definedName name="BExONFL4TFXSXWK3WNKGBKED9MO0" hidden="1">#REF!</definedName>
    <definedName name="BExONIL1EPN8W1SVF4S473NVT9G0" localSheetId="0" hidden="1">#REF!</definedName>
    <definedName name="BExONIL1EPN8W1SVF4S473NVT9G0" hidden="1">#REF!</definedName>
    <definedName name="BExONVBIXX436X1BG1TMAO4S9LD0" localSheetId="0" hidden="1">#REF!</definedName>
    <definedName name="BExONVBIXX436X1BG1TMAO4S9LD0" hidden="1">#REF!</definedName>
    <definedName name="BExOOJG6U1DNB2O502EO99CY4DQL" localSheetId="0" hidden="1">Weekly by #REF!</definedName>
    <definedName name="BExOOJG6U1DNB2O502EO99CY4DQL" localSheetId="1" hidden="1">Weekly by #REF!</definedName>
    <definedName name="BExOOJG6U1DNB2O502EO99CY4DQL" localSheetId="4" hidden="1">Weekly by #REF!</definedName>
    <definedName name="BExOOJG6U1DNB2O502EO99CY4DQL" localSheetId="5" hidden="1">Weekly by #REF!</definedName>
    <definedName name="BExOOJG6U1DNB2O502EO99CY4DQL" localSheetId="6" hidden="1">Weekly by #REF!</definedName>
    <definedName name="BExOOJG6U1DNB2O502EO99CY4DQL" localSheetId="7" hidden="1">Weekly by #REF!</definedName>
    <definedName name="BExOOJG6U1DNB2O502EO99CY4DQL" localSheetId="11" hidden="1">Weekly by #REF!</definedName>
    <definedName name="BExOOJG6U1DNB2O502EO99CY4DQL" localSheetId="2" hidden="1">Weekly by #REF!</definedName>
    <definedName name="BExOOJG6U1DNB2O502EO99CY4DQL" localSheetId="10" hidden="1">Weekly by #REF!</definedName>
    <definedName name="BExOOJG6U1DNB2O502EO99CY4DQL" hidden="1">Weekly by #REF!</definedName>
    <definedName name="BExOOKSN435DXXUEHWYKGP1DHQD6" localSheetId="0" hidden="1">Weekly by #REF!</definedName>
    <definedName name="BExOOKSN435DXXUEHWYKGP1DHQD6" localSheetId="1" hidden="1">Weekly by #REF!</definedName>
    <definedName name="BExOOKSN435DXXUEHWYKGP1DHQD6" localSheetId="4" hidden="1">Weekly by #REF!</definedName>
    <definedName name="BExOOKSN435DXXUEHWYKGP1DHQD6" localSheetId="5" hidden="1">Weekly by #REF!</definedName>
    <definedName name="BExOOKSN435DXXUEHWYKGP1DHQD6" localSheetId="6" hidden="1">Weekly by #REF!</definedName>
    <definedName name="BExOOKSN435DXXUEHWYKGP1DHQD6" localSheetId="7" hidden="1">Weekly by #REF!</definedName>
    <definedName name="BExOOKSN435DXXUEHWYKGP1DHQD6" localSheetId="11" hidden="1">Weekly by #REF!</definedName>
    <definedName name="BExOOKSN435DXXUEHWYKGP1DHQD6" localSheetId="2" hidden="1">Weekly by #REF!</definedName>
    <definedName name="BExOOKSN435DXXUEHWYKGP1DHQD6" localSheetId="10" hidden="1">Weekly by #REF!</definedName>
    <definedName name="BExOOKSN435DXXUEHWYKGP1DHQD6" hidden="1">Weekly by #REF!</definedName>
    <definedName name="BExOORE1DP6UVW28XJX2VS05649B" localSheetId="0" hidden="1">#REF!</definedName>
    <definedName name="BExOORE1DP6UVW28XJX2VS05649B" localSheetId="2" hidden="1">#REF!</definedName>
    <definedName name="BExOORE1DP6UVW28XJX2VS05649B" hidden="1">#REF!</definedName>
    <definedName name="BExOPJV0G43Z50LNI0UWME9NPU9S" localSheetId="0" hidden="1">#REF!</definedName>
    <definedName name="BExOPJV0G43Z50LNI0UWME9NPU9S" localSheetId="2" hidden="1">#REF!</definedName>
    <definedName name="BExOPJV0G43Z50LNI0UWME9NPU9S" hidden="1">#REF!</definedName>
    <definedName name="BExOQHQA0EVF78FW5LITZ5OAD13N" localSheetId="0" hidden="1">Weekly by #REF!</definedName>
    <definedName name="BExOQHQA0EVF78FW5LITZ5OAD13N" localSheetId="1" hidden="1">Weekly by #REF!</definedName>
    <definedName name="BExOQHQA0EVF78FW5LITZ5OAD13N" localSheetId="4" hidden="1">Weekly by #REF!</definedName>
    <definedName name="BExOQHQA0EVF78FW5LITZ5OAD13N" localSheetId="5" hidden="1">Weekly by #REF!</definedName>
    <definedName name="BExOQHQA0EVF78FW5LITZ5OAD13N" localSheetId="6" hidden="1">Weekly by #REF!</definedName>
    <definedName name="BExOQHQA0EVF78FW5LITZ5OAD13N" localSheetId="7" hidden="1">Weekly by #REF!</definedName>
    <definedName name="BExOQHQA0EVF78FW5LITZ5OAD13N" localSheetId="11" hidden="1">Weekly by #REF!</definedName>
    <definedName name="BExOQHQA0EVF78FW5LITZ5OAD13N" localSheetId="2" hidden="1">Weekly by #REF!</definedName>
    <definedName name="BExOQHQA0EVF78FW5LITZ5OAD13N" localSheetId="10" hidden="1">Weekly by #REF!</definedName>
    <definedName name="BExOQHQA0EVF78FW5LITZ5OAD13N" hidden="1">Weekly by #REF!</definedName>
    <definedName name="BExQ1X1RE71HCCMKWV64X8HPHR0R" localSheetId="0" hidden="1">#REF!</definedName>
    <definedName name="BExQ1X1RE71HCCMKWV64X8HPHR0R" localSheetId="2" hidden="1">#REF!</definedName>
    <definedName name="BExQ1X1RE71HCCMKWV64X8HPHR0R" hidden="1">#REF!</definedName>
    <definedName name="BExQ41BOL730OSEM60CEMAMP4ARQ" localSheetId="0" hidden="1">#REF!</definedName>
    <definedName name="BExQ41BOL730OSEM60CEMAMP4ARQ" localSheetId="2" hidden="1">#REF!</definedName>
    <definedName name="BExQ41BOL730OSEM60CEMAMP4ARQ" hidden="1">#REF!</definedName>
    <definedName name="BExQ4B7Q3NN5PZMR9C0YCQ9KMIUO" localSheetId="0" hidden="1">#REF!</definedName>
    <definedName name="BExQ4B7Q3NN5PZMR9C0YCQ9KMIUO" hidden="1">#REF!</definedName>
    <definedName name="BExQ4FV1OZRJ6YM4UEDXEU1304ZJ" localSheetId="0" hidden="1">#REF!</definedName>
    <definedName name="BExQ4FV1OZRJ6YM4UEDXEU1304ZJ" hidden="1">#REF!</definedName>
    <definedName name="BExQ53U1WPQDQWX1BVV1GSXRBF6E" localSheetId="0" hidden="1">#REF!</definedName>
    <definedName name="BExQ53U1WPQDQWX1BVV1GSXRBF6E" hidden="1">#REF!</definedName>
    <definedName name="BExQ69N48G94UPDFBCW48CUT9JJQ" localSheetId="0" hidden="1">#REF!</definedName>
    <definedName name="BExQ69N48G94UPDFBCW48CUT9JJQ" hidden="1">#REF!</definedName>
    <definedName name="BExQ6JJ6GQ820H268M24Q000VLS5" localSheetId="0" hidden="1">#REF!</definedName>
    <definedName name="BExQ6JJ6GQ820H268M24Q000VLS5" hidden="1">#REF!</definedName>
    <definedName name="BExQ6NKT7GLCK5DO3FT99FA0VH7Y" localSheetId="0" hidden="1">#REF!</definedName>
    <definedName name="BExQ6NKT7GLCK5DO3FT99FA0VH7Y" hidden="1">#REF!</definedName>
    <definedName name="BExQ6PIZEB3532T46HXOTSDMM8XR" localSheetId="0" hidden="1">#REF!</definedName>
    <definedName name="BExQ6PIZEB3532T46HXOTSDMM8XR" hidden="1">#REF!</definedName>
    <definedName name="BExQ7XVPF99MSHS033A2L2EUW0IA" localSheetId="0" hidden="1">#REF!</definedName>
    <definedName name="BExQ7XVPF99MSHS033A2L2EUW0IA" hidden="1">#REF!</definedName>
    <definedName name="BExQ87MGWSOJO77VQQJDW8UP97UJ" localSheetId="0" hidden="1">Weekly by #REF!</definedName>
    <definedName name="BExQ87MGWSOJO77VQQJDW8UP97UJ" localSheetId="1" hidden="1">Weekly by #REF!</definedName>
    <definedName name="BExQ87MGWSOJO77VQQJDW8UP97UJ" localSheetId="4" hidden="1">Weekly by #REF!</definedName>
    <definedName name="BExQ87MGWSOJO77VQQJDW8UP97UJ" localSheetId="5" hidden="1">Weekly by #REF!</definedName>
    <definedName name="BExQ87MGWSOJO77VQQJDW8UP97UJ" localSheetId="6" hidden="1">Weekly by #REF!</definedName>
    <definedName name="BExQ87MGWSOJO77VQQJDW8UP97UJ" localSheetId="7" hidden="1">Weekly by #REF!</definedName>
    <definedName name="BExQ87MGWSOJO77VQQJDW8UP97UJ" localSheetId="11" hidden="1">Weekly by #REF!</definedName>
    <definedName name="BExQ87MGWSOJO77VQQJDW8UP97UJ" localSheetId="2" hidden="1">Weekly by #REF!</definedName>
    <definedName name="BExQ87MGWSOJO77VQQJDW8UP97UJ" localSheetId="10" hidden="1">Weekly by #REF!</definedName>
    <definedName name="BExQ87MGWSOJO77VQQJDW8UP97UJ" hidden="1">Weekly by #REF!</definedName>
    <definedName name="BExQ8U95JXE2ZGDDWOEHH46ENO5L" localSheetId="0" hidden="1">#REF!</definedName>
    <definedName name="BExQ8U95JXE2ZGDDWOEHH46ENO5L" localSheetId="2" hidden="1">#REF!</definedName>
    <definedName name="BExQ8U95JXE2ZGDDWOEHH46ENO5L" hidden="1">#REF!</definedName>
    <definedName name="BExQ8UUP7KQWLXPL81ZMF3AC1K7V" localSheetId="0" hidden="1">#REF!</definedName>
    <definedName name="BExQ8UUP7KQWLXPL81ZMF3AC1K7V" localSheetId="2" hidden="1">#REF!</definedName>
    <definedName name="BExQ8UUP7KQWLXPL81ZMF3AC1K7V" hidden="1">#REF!</definedName>
    <definedName name="BExQ9BMR87ZZ9MI9WB80IMXG5IDA" localSheetId="0" hidden="1">#REF!</definedName>
    <definedName name="BExQ9BMR87ZZ9MI9WB80IMXG5IDA" hidden="1">#REF!</definedName>
    <definedName name="BExQ9DQATTM64NGUOQWM96CIR7J1" localSheetId="0" hidden="1">#REF!</definedName>
    <definedName name="BExQ9DQATTM64NGUOQWM96CIR7J1" hidden="1">#REF!</definedName>
    <definedName name="BExQ9DVR0WJQK432BJFWT5WHPMRB" localSheetId="0" hidden="1">#REF!</definedName>
    <definedName name="BExQ9DVR0WJQK432BJFWT5WHPMRB" hidden="1">#REF!</definedName>
    <definedName name="BExQ9H10BBOUIHL3RAD3JZ1SYUSZ" localSheetId="0" hidden="1">#REF!</definedName>
    <definedName name="BExQ9H10BBOUIHL3RAD3JZ1SYUSZ" hidden="1">#REF!</definedName>
    <definedName name="BExQ9H6GR5JZW9VZ67ZKG0THDO51" localSheetId="0" hidden="1">Weekly by #REF!</definedName>
    <definedName name="BExQ9H6GR5JZW9VZ67ZKG0THDO51" localSheetId="1" hidden="1">Weekly by #REF!</definedName>
    <definedName name="BExQ9H6GR5JZW9VZ67ZKG0THDO51" localSheetId="4" hidden="1">Weekly by #REF!</definedName>
    <definedName name="BExQ9H6GR5JZW9VZ67ZKG0THDO51" localSheetId="5" hidden="1">Weekly by #REF!</definedName>
    <definedName name="BExQ9H6GR5JZW9VZ67ZKG0THDO51" localSheetId="6" hidden="1">Weekly by #REF!</definedName>
    <definedName name="BExQ9H6GR5JZW9VZ67ZKG0THDO51" localSheetId="7" hidden="1">Weekly by #REF!</definedName>
    <definedName name="BExQ9H6GR5JZW9VZ67ZKG0THDO51" localSheetId="11" hidden="1">Weekly by #REF!</definedName>
    <definedName name="BExQ9H6GR5JZW9VZ67ZKG0THDO51" localSheetId="2" hidden="1">Weekly by #REF!</definedName>
    <definedName name="BExQ9H6GR5JZW9VZ67ZKG0THDO51" localSheetId="10" hidden="1">Weekly by #REF!</definedName>
    <definedName name="BExQ9H6GR5JZW9VZ67ZKG0THDO51" hidden="1">Weekly by #REF!</definedName>
    <definedName name="BExQ9ZLYHWABXAA9NJDW8ZS0UQ9P" localSheetId="0" hidden="1">#REF!</definedName>
    <definedName name="BExQ9ZLYHWABXAA9NJDW8ZS0UQ9P" localSheetId="2" hidden="1">#REF!</definedName>
    <definedName name="BExQ9ZLYHWABXAA9NJDW8ZS0UQ9P" hidden="1">#REF!</definedName>
    <definedName name="BExQA1EPIKODTQH4YSKF2LZRULP0" localSheetId="0" hidden="1">#REF!</definedName>
    <definedName name="BExQA1EPIKODTQH4YSKF2LZRULP0" localSheetId="2" hidden="1">#REF!</definedName>
    <definedName name="BExQA1EPIKODTQH4YSKF2LZRULP0" hidden="1">#REF!</definedName>
    <definedName name="BExQB12NJ5X291RPNTPKDTV0Z8BZ" localSheetId="0" hidden="1">#REF!</definedName>
    <definedName name="BExQB12NJ5X291RPNTPKDTV0Z8BZ" localSheetId="2" hidden="1">#REF!</definedName>
    <definedName name="BExQB12NJ5X291RPNTPKDTV0Z8BZ" hidden="1">#REF!</definedName>
    <definedName name="BExQBNJPY68MK3WA3NXR4XZSI4NP" localSheetId="0" hidden="1">Weekly by #REF!</definedName>
    <definedName name="BExQBNJPY68MK3WA3NXR4XZSI4NP" localSheetId="1" hidden="1">Weekly by #REF!</definedName>
    <definedName name="BExQBNJPY68MK3WA3NXR4XZSI4NP" localSheetId="4" hidden="1">Weekly by #REF!</definedName>
    <definedName name="BExQBNJPY68MK3WA3NXR4XZSI4NP" localSheetId="5" hidden="1">Weekly by #REF!</definedName>
    <definedName name="BExQBNJPY68MK3WA3NXR4XZSI4NP" localSheetId="6" hidden="1">Weekly by #REF!</definedName>
    <definedName name="BExQBNJPY68MK3WA3NXR4XZSI4NP" localSheetId="7" hidden="1">Weekly by #REF!</definedName>
    <definedName name="BExQBNJPY68MK3WA3NXR4XZSI4NP" localSheetId="11" hidden="1">Weekly by #REF!</definedName>
    <definedName name="BExQBNJPY68MK3WA3NXR4XZSI4NP" localSheetId="2" hidden="1">Weekly by #REF!</definedName>
    <definedName name="BExQBNJPY68MK3WA3NXR4XZSI4NP" localSheetId="10" hidden="1">Weekly by #REF!</definedName>
    <definedName name="BExQBNJPY68MK3WA3NXR4XZSI4NP" hidden="1">Weekly by #REF!</definedName>
    <definedName name="BExQCI9M5F9BX0WO90T8KQKXJECZ" localSheetId="0" hidden="1">#REF!</definedName>
    <definedName name="BExQCI9M5F9BX0WO90T8KQKXJECZ" localSheetId="2" hidden="1">#REF!</definedName>
    <definedName name="BExQCI9M5F9BX0WO90T8KQKXJECZ" hidden="1">#REF!</definedName>
    <definedName name="BExQCVB0MULHQF1E7DH3AKOJ5IOF" localSheetId="0" hidden="1">#REF!</definedName>
    <definedName name="BExQCVB0MULHQF1E7DH3AKOJ5IOF" localSheetId="2" hidden="1">#REF!</definedName>
    <definedName name="BExQCVB0MULHQF1E7DH3AKOJ5IOF" hidden="1">#REF!</definedName>
    <definedName name="BExQE6IAA3QFZ6TX9BXPJISLE0Q1" localSheetId="0" hidden="1">#REF!</definedName>
    <definedName name="BExQE6IAA3QFZ6TX9BXPJISLE0Q1" hidden="1">#REF!</definedName>
    <definedName name="BExQEJUD5RQJ325ULPV2E4W8QAL6" localSheetId="0" hidden="1">#REF!</definedName>
    <definedName name="BExQEJUD5RQJ325ULPV2E4W8QAL6" hidden="1">#REF!</definedName>
    <definedName name="BExQF00ZDAC842R706797DN4H4HE" localSheetId="0" hidden="1">#REF!</definedName>
    <definedName name="BExQF00ZDAC842R706797DN4H4HE" hidden="1">#REF!</definedName>
    <definedName name="BExQFMNOOBC2XE1R03V1MF8QJSDG" localSheetId="0" hidden="1">#REF!</definedName>
    <definedName name="BExQFMNOOBC2XE1R03V1MF8QJSDG" hidden="1">#REF!</definedName>
    <definedName name="BExQFNPE0JNBFPGM91B5GNSDG31N" localSheetId="0" hidden="1">#REF!</definedName>
    <definedName name="BExQFNPE0JNBFPGM91B5GNSDG31N" hidden="1">#REF!</definedName>
    <definedName name="BExQFTZYRQHP8U8ODL2W6ATWA2R5" localSheetId="0" hidden="1">#REF!</definedName>
    <definedName name="BExQFTZYRQHP8U8ODL2W6ATWA2R5" hidden="1">#REF!</definedName>
    <definedName name="BExQG8TZ75I20YUP0KNZMM2IYG56" localSheetId="0" hidden="1">#REF!</definedName>
    <definedName name="BExQG8TZ75I20YUP0KNZMM2IYG56" hidden="1">#REF!</definedName>
    <definedName name="BExQGFKTOP6WGJAF2OI8PXQPMWT4" localSheetId="0" hidden="1">#REF!</definedName>
    <definedName name="BExQGFKTOP6WGJAF2OI8PXQPMWT4" hidden="1">#REF!</definedName>
    <definedName name="BExQGMM9RZL83B2Z0ZZPHKUY6VTK" localSheetId="0" hidden="1">#REF!</definedName>
    <definedName name="BExQGMM9RZL83B2Z0ZZPHKUY6VTK" hidden="1">#REF!</definedName>
    <definedName name="BExQHZGZ5JZ4AE00IROC5LG5734F" localSheetId="0" hidden="1">#REF!</definedName>
    <definedName name="BExQHZGZ5JZ4AE00IROC5LG5734F" hidden="1">#REF!</definedName>
    <definedName name="BExQIAK7WK9XY1HWIS0RB6LCI38U" localSheetId="0" hidden="1">#REF!</definedName>
    <definedName name="BExQIAK7WK9XY1HWIS0RB6LCI38U" hidden="1">#REF!</definedName>
    <definedName name="BExQICT281Q1E6HHLEIC7LOYTR4F" localSheetId="0" hidden="1">#REF!</definedName>
    <definedName name="BExQICT281Q1E6HHLEIC7LOYTR4F" hidden="1">#REF!</definedName>
    <definedName name="BExQIDUXFRRQTUP42M6V5KODFDPZ" localSheetId="0" hidden="1">#REF!</definedName>
    <definedName name="BExQIDUXFRRQTUP42M6V5KODFDPZ" hidden="1">#REF!</definedName>
    <definedName name="BExQIEWM4YHWE15RFGAT8AWBZ25Y" localSheetId="0" hidden="1">#REF!</definedName>
    <definedName name="BExQIEWM4YHWE15RFGAT8AWBZ25Y" hidden="1">#REF!</definedName>
    <definedName name="BExQIII2YKNNBPUFZNOC88FK394S" localSheetId="0" hidden="1">#REF!</definedName>
    <definedName name="BExQIII2YKNNBPUFZNOC88FK394S" hidden="1">#REF!</definedName>
    <definedName name="BExQINW95C7N048P3U0KM5A2Q0VU" localSheetId="0" hidden="1">#REF!</definedName>
    <definedName name="BExQINW95C7N048P3U0KM5A2Q0VU" hidden="1">#REF!</definedName>
    <definedName name="BExQJ7IXTYN8ELZIUSOUURFAP5Z5" localSheetId="0" hidden="1">#REF!</definedName>
    <definedName name="BExQJ7IXTYN8ELZIUSOUURFAP5Z5" hidden="1">#REF!</definedName>
    <definedName name="BExQJIBCENFZ4FNIPQ8IC1PBMHA9" localSheetId="0" hidden="1">#REF!</definedName>
    <definedName name="BExQJIBCENFZ4FNIPQ8IC1PBMHA9" hidden="1">#REF!</definedName>
    <definedName name="BExQJX019VWBQMW1HCV154DP9287" localSheetId="0" hidden="1">#REF!</definedName>
    <definedName name="BExQJX019VWBQMW1HCV154DP9287" hidden="1">#REF!</definedName>
    <definedName name="BExQK1SODHG66277P2K5V2W6173O" localSheetId="0" hidden="1">#REF!</definedName>
    <definedName name="BExQK1SODHG66277P2K5V2W6173O" hidden="1">#REF!</definedName>
    <definedName name="BExRZEFECITBL9AGIG2OKJWCNJZD" localSheetId="0" hidden="1">#REF!</definedName>
    <definedName name="BExRZEFECITBL9AGIG2OKJWCNJZD" hidden="1">#REF!</definedName>
    <definedName name="BExRZEQ81ZHNVX8G0RUKKD4L1ZQI" localSheetId="0" hidden="1">#REF!</definedName>
    <definedName name="BExRZEQ81ZHNVX8G0RUKKD4L1ZQI" hidden="1">#REF!</definedName>
    <definedName name="BExS02PDU3RIYDBR02EV6VUXEVN6" localSheetId="0" hidden="1">#REF!</definedName>
    <definedName name="BExS02PDU3RIYDBR02EV6VUXEVN6" hidden="1">#REF!</definedName>
    <definedName name="BExS0AHXKGTN2MZ48TYURZI3RLFD" localSheetId="0" hidden="1">#REF!</definedName>
    <definedName name="BExS0AHXKGTN2MZ48TYURZI3RLFD" hidden="1">#REF!</definedName>
    <definedName name="BExS0UFCKI6Z4BDWL0C1TI1UZA8D" localSheetId="0" hidden="1">#REF!</definedName>
    <definedName name="BExS0UFCKI6Z4BDWL0C1TI1UZA8D" hidden="1">#REF!</definedName>
    <definedName name="BExS16PROWSNHW3MZQBGQNQU7S8R" localSheetId="0" hidden="1">#REF!</definedName>
    <definedName name="BExS16PROWSNHW3MZQBGQNQU7S8R" hidden="1">#REF!</definedName>
    <definedName name="BExS1VQKWZC7SM0UY7BWIPST3VU3" localSheetId="0" hidden="1">#REF!</definedName>
    <definedName name="BExS1VQKWZC7SM0UY7BWIPST3VU3" hidden="1">#REF!</definedName>
    <definedName name="BExS2DPX9DV2GVSP4XC7PZE39F8F" localSheetId="0" hidden="1">#REF!</definedName>
    <definedName name="BExS2DPX9DV2GVSP4XC7PZE39F8F" hidden="1">#REF!</definedName>
    <definedName name="BExS2FIPLUW9ARHG2X2TG07DHC6G" localSheetId="0" hidden="1">#REF!</definedName>
    <definedName name="BExS2FIPLUW9ARHG2X2TG07DHC6G" hidden="1">#REF!</definedName>
    <definedName name="BExS2OT61VXS58SSI0I90Z76DFCQ" localSheetId="0" hidden="1">#REF!</definedName>
    <definedName name="BExS2OT61VXS58SSI0I90Z76DFCQ" hidden="1">#REF!</definedName>
    <definedName name="BExS2QGLIDSWBA2VTD3MQ0LD6UCX" localSheetId="0" hidden="1">#REF!</definedName>
    <definedName name="BExS2QGLIDSWBA2VTD3MQ0LD6UCX" hidden="1">#REF!</definedName>
    <definedName name="BExS2RIBMZPBDB3W6PKRNHUM06WI" localSheetId="0" hidden="1">#REF!</definedName>
    <definedName name="BExS2RIBMZPBDB3W6PKRNHUM06WI" hidden="1">#REF!</definedName>
    <definedName name="BExS38AHQWKT950DKJR1SJAY5NKD" localSheetId="0" hidden="1">#REF!</definedName>
    <definedName name="BExS38AHQWKT950DKJR1SJAY5NKD" hidden="1">#REF!</definedName>
    <definedName name="BExS3BL7KZUM0PK7UW1Y6M98ZKXC" localSheetId="0" hidden="1">#REF!</definedName>
    <definedName name="BExS3BL7KZUM0PK7UW1Y6M98ZKXC" hidden="1">#REF!</definedName>
    <definedName name="BExS3G8CSHMSEP0O1XGHAHK2FYUD" localSheetId="0" hidden="1">#REF!</definedName>
    <definedName name="BExS3G8CSHMSEP0O1XGHAHK2FYUD" hidden="1">#REF!</definedName>
    <definedName name="BExS3OH5XH1H0NEUDJGB0D1EF3C6" localSheetId="0" hidden="1">#REF!</definedName>
    <definedName name="BExS3OH5XH1H0NEUDJGB0D1EF3C6" hidden="1">#REF!</definedName>
    <definedName name="BExS3WV2VQ19L2A1DJ73AUFN7SRX" localSheetId="0" hidden="1">#REF!</definedName>
    <definedName name="BExS3WV2VQ19L2A1DJ73AUFN7SRX" hidden="1">#REF!</definedName>
    <definedName name="BExS417MEWWKNMO71CAG1M726IAH" localSheetId="0" hidden="1">#REF!</definedName>
    <definedName name="BExS417MEWWKNMO71CAG1M726IAH" hidden="1">#REF!</definedName>
    <definedName name="BExS4CLN8HTQJ94E1OS70HRFEC8I" localSheetId="0" hidden="1">Weekly by #REF!</definedName>
    <definedName name="BExS4CLN8HTQJ94E1OS70HRFEC8I" localSheetId="1" hidden="1">Weekly by #REF!</definedName>
    <definedName name="BExS4CLN8HTQJ94E1OS70HRFEC8I" localSheetId="4" hidden="1">Weekly by #REF!</definedName>
    <definedName name="BExS4CLN8HTQJ94E1OS70HRFEC8I" localSheetId="5" hidden="1">Weekly by #REF!</definedName>
    <definedName name="BExS4CLN8HTQJ94E1OS70HRFEC8I" localSheetId="6" hidden="1">Weekly by #REF!</definedName>
    <definedName name="BExS4CLN8HTQJ94E1OS70HRFEC8I" localSheetId="7" hidden="1">Weekly by #REF!</definedName>
    <definedName name="BExS4CLN8HTQJ94E1OS70HRFEC8I" localSheetId="11" hidden="1">Weekly by #REF!</definedName>
    <definedName name="BExS4CLN8HTQJ94E1OS70HRFEC8I" localSheetId="2" hidden="1">Weekly by #REF!</definedName>
    <definedName name="BExS4CLN8HTQJ94E1OS70HRFEC8I" localSheetId="10" hidden="1">Weekly by #REF!</definedName>
    <definedName name="BExS4CLN8HTQJ94E1OS70HRFEC8I" hidden="1">Weekly by #REF!</definedName>
    <definedName name="BExS4IAMWTT1CKFNHGN8SPWSD3QR" localSheetId="0" hidden="1">#REF!</definedName>
    <definedName name="BExS4IAMWTT1CKFNHGN8SPWSD3QR" localSheetId="2" hidden="1">#REF!</definedName>
    <definedName name="BExS4IAMWTT1CKFNHGN8SPWSD3QR" hidden="1">#REF!</definedName>
    <definedName name="BExS4UFKWNI7QAX0PTOVVBUB0LP8" localSheetId="0" hidden="1">#REF!</definedName>
    <definedName name="BExS4UFKWNI7QAX0PTOVVBUB0LP8" localSheetId="2" hidden="1">#REF!</definedName>
    <definedName name="BExS4UFKWNI7QAX0PTOVVBUB0LP8" hidden="1">#REF!</definedName>
    <definedName name="BExS510VZ1N9MMBQRIAOLSNI450T" localSheetId="0" hidden="1">#REF!</definedName>
    <definedName name="BExS510VZ1N9MMBQRIAOLSNI450T" hidden="1">#REF!</definedName>
    <definedName name="BExS5BYO19H5ZKO75ERO60KF7DQH" localSheetId="0" hidden="1">#REF!</definedName>
    <definedName name="BExS5BYO19H5ZKO75ERO60KF7DQH" hidden="1">#REF!</definedName>
    <definedName name="BExS5SG3GBHVDR15MOYHV230A4BG" localSheetId="0" hidden="1">#REF!</definedName>
    <definedName name="BExS5SG3GBHVDR15MOYHV230A4BG" hidden="1">#REF!</definedName>
    <definedName name="BExS5TY0F5R1ZXIVJHAAVVG81G5H" localSheetId="0" hidden="1">#REF!</definedName>
    <definedName name="BExS5TY0F5R1ZXIVJHAAVVG81G5H" hidden="1">#REF!</definedName>
    <definedName name="BExS60U715R4AEHM2G9VUHLTYRCY" localSheetId="0" hidden="1">Weekly by #REF!</definedName>
    <definedName name="BExS60U715R4AEHM2G9VUHLTYRCY" localSheetId="1" hidden="1">Weekly by #REF!</definedName>
    <definedName name="BExS60U715R4AEHM2G9VUHLTYRCY" localSheetId="4" hidden="1">Weekly by #REF!</definedName>
    <definedName name="BExS60U715R4AEHM2G9VUHLTYRCY" localSheetId="5" hidden="1">Weekly by #REF!</definedName>
    <definedName name="BExS60U715R4AEHM2G9VUHLTYRCY" localSheetId="6" hidden="1">Weekly by #REF!</definedName>
    <definedName name="BExS60U715R4AEHM2G9VUHLTYRCY" localSheetId="7" hidden="1">Weekly by #REF!</definedName>
    <definedName name="BExS60U715R4AEHM2G9VUHLTYRCY" localSheetId="11" hidden="1">Weekly by #REF!</definedName>
    <definedName name="BExS60U715R4AEHM2G9VUHLTYRCY" localSheetId="2" hidden="1">Weekly by #REF!</definedName>
    <definedName name="BExS60U715R4AEHM2G9VUHLTYRCY" localSheetId="10" hidden="1">Weekly by #REF!</definedName>
    <definedName name="BExS60U715R4AEHM2G9VUHLTYRCY" hidden="1">Weekly by #REF!</definedName>
    <definedName name="BExS656PCTMR2NPL2RX0Y3HAE8H2" localSheetId="0" hidden="1">#REF!</definedName>
    <definedName name="BExS656PCTMR2NPL2RX0Y3HAE8H2" localSheetId="2" hidden="1">#REF!</definedName>
    <definedName name="BExS656PCTMR2NPL2RX0Y3HAE8H2" hidden="1">#REF!</definedName>
    <definedName name="BExS6GKL6HNPDDG1R3OJ79HFEK6J" localSheetId="0" hidden="1">#REF!</definedName>
    <definedName name="BExS6GKL6HNPDDG1R3OJ79HFEK6J" localSheetId="2" hidden="1">#REF!</definedName>
    <definedName name="BExS6GKL6HNPDDG1R3OJ79HFEK6J" hidden="1">#REF!</definedName>
    <definedName name="BExS6IYVVGGZJXGGYPX7UNAQOB2X" localSheetId="0" hidden="1">#REF!</definedName>
    <definedName name="BExS6IYVVGGZJXGGYPX7UNAQOB2X" hidden="1">#REF!</definedName>
    <definedName name="BExS6KGU63BUOXCPJ9TSCDS9ZY2T" localSheetId="0" hidden="1">#REF!</definedName>
    <definedName name="BExS6KGU63BUOXCPJ9TSCDS9ZY2T" hidden="1">#REF!</definedName>
    <definedName name="BExS79HUY1GAJJP4VMMZHU8UJI6O" localSheetId="0" hidden="1">#REF!</definedName>
    <definedName name="BExS79HUY1GAJJP4VMMZHU8UJI6O" hidden="1">#REF!</definedName>
    <definedName name="BExS7DU7IOWG5MHL28Z4KOM2V434" localSheetId="0" hidden="1">#REF!</definedName>
    <definedName name="BExS7DU7IOWG5MHL28Z4KOM2V434" hidden="1">#REF!</definedName>
    <definedName name="BExS7G38ASJVTDO2IAPA36EB2SPF" localSheetId="0" hidden="1">#REF!</definedName>
    <definedName name="BExS7G38ASJVTDO2IAPA36EB2SPF" hidden="1">#REF!</definedName>
    <definedName name="BExS7HQI0PBQNP39JUZ69RMC7M7N" localSheetId="0" hidden="1">#REF!</definedName>
    <definedName name="BExS7HQI0PBQNP39JUZ69RMC7M7N" hidden="1">#REF!</definedName>
    <definedName name="BExS7TVIHJQ54K2Q7S5TI60WWB6A" localSheetId="0" hidden="1">#REF!</definedName>
    <definedName name="BExS7TVIHJQ54K2Q7S5TI60WWB6A" hidden="1">#REF!</definedName>
    <definedName name="BExS7YIO3RHZ2SRR5FQ3TE00UQCE" localSheetId="0" hidden="1">Weekly by #REF!</definedName>
    <definedName name="BExS7YIO3RHZ2SRR5FQ3TE00UQCE" localSheetId="1" hidden="1">Weekly by #REF!</definedName>
    <definedName name="BExS7YIO3RHZ2SRR5FQ3TE00UQCE" localSheetId="4" hidden="1">Weekly by #REF!</definedName>
    <definedName name="BExS7YIO3RHZ2SRR5FQ3TE00UQCE" localSheetId="5" hidden="1">Weekly by #REF!</definedName>
    <definedName name="BExS7YIO3RHZ2SRR5FQ3TE00UQCE" localSheetId="6" hidden="1">Weekly by #REF!</definedName>
    <definedName name="BExS7YIO3RHZ2SRR5FQ3TE00UQCE" localSheetId="7" hidden="1">Weekly by #REF!</definedName>
    <definedName name="BExS7YIO3RHZ2SRR5FQ3TE00UQCE" localSheetId="11" hidden="1">Weekly by #REF!</definedName>
    <definedName name="BExS7YIO3RHZ2SRR5FQ3TE00UQCE" localSheetId="2" hidden="1">Weekly by #REF!</definedName>
    <definedName name="BExS7YIO3RHZ2SRR5FQ3TE00UQCE" localSheetId="10" hidden="1">Weekly by #REF!</definedName>
    <definedName name="BExS7YIO3RHZ2SRR5FQ3TE00UQCE" hidden="1">Weekly by #REF!</definedName>
    <definedName name="BExS80RP8GCPNFHHGN85D3RLJQWW" localSheetId="0" hidden="1">#REF!</definedName>
    <definedName name="BExS80RP8GCPNFHHGN85D3RLJQWW" localSheetId="2" hidden="1">#REF!</definedName>
    <definedName name="BExS80RP8GCPNFHHGN85D3RLJQWW" hidden="1">#REF!</definedName>
    <definedName name="BExS8K8UA11RDV8LG8CMBWSDIGB3" localSheetId="0" hidden="1">#REF!</definedName>
    <definedName name="BExS8K8UA11RDV8LG8CMBWSDIGB3" localSheetId="2" hidden="1">#REF!</definedName>
    <definedName name="BExS8K8UA11RDV8LG8CMBWSDIGB3" hidden="1">#REF!</definedName>
    <definedName name="BExS8LQTNX922FCMI8FORKMV1ZCD" localSheetId="0" hidden="1">#REF!</definedName>
    <definedName name="BExS8LQTNX922FCMI8FORKMV1ZCD" hidden="1">#REF!</definedName>
    <definedName name="BExS8W8G0X4RIQXAZCCLUM05FF9P" localSheetId="0" hidden="1">#REF!</definedName>
    <definedName name="BExS8W8G0X4RIQXAZCCLUM05FF9P" hidden="1">#REF!</definedName>
    <definedName name="BExS90FHSHJ6PMC8EXOFOSK07MZF" localSheetId="0" hidden="1">#REF!</definedName>
    <definedName name="BExS90FHSHJ6PMC8EXOFOSK07MZF" hidden="1">#REF!</definedName>
    <definedName name="BExS970VMB40OE1CEB7FR2ZHFGZ0" localSheetId="0" hidden="1">#REF!</definedName>
    <definedName name="BExS970VMB40OE1CEB7FR2ZHFGZ0" hidden="1">#REF!</definedName>
    <definedName name="BExSAA4TQVBEW9YTSAC7IB9WGR0N" localSheetId="0" hidden="1">#REF!</definedName>
    <definedName name="BExSAA4TQVBEW9YTSAC7IB9WGR0N" hidden="1">#REF!</definedName>
    <definedName name="BExSAT5WZEM6Z4GG7X374JPK349Y" localSheetId="0" hidden="1">#REF!</definedName>
    <definedName name="BExSAT5WZEM6Z4GG7X374JPK349Y" hidden="1">#REF!</definedName>
    <definedName name="BExSBLHMDPAU7TLJHXOGAD2L0A74" localSheetId="0" hidden="1">#REF!</definedName>
    <definedName name="BExSBLHMDPAU7TLJHXOGAD2L0A74" hidden="1">#REF!</definedName>
    <definedName name="BExSBMU3BNCXPYJKNARN9Y1AGFKV" localSheetId="0" hidden="1">Weekly by #REF!</definedName>
    <definedName name="BExSBMU3BNCXPYJKNARN9Y1AGFKV" localSheetId="1" hidden="1">Weekly by #REF!</definedName>
    <definedName name="BExSBMU3BNCXPYJKNARN9Y1AGFKV" localSheetId="4" hidden="1">Weekly by #REF!</definedName>
    <definedName name="BExSBMU3BNCXPYJKNARN9Y1AGFKV" localSheetId="5" hidden="1">Weekly by #REF!</definedName>
    <definedName name="BExSBMU3BNCXPYJKNARN9Y1AGFKV" localSheetId="6" hidden="1">Weekly by #REF!</definedName>
    <definedName name="BExSBMU3BNCXPYJKNARN9Y1AGFKV" localSheetId="7" hidden="1">Weekly by #REF!</definedName>
    <definedName name="BExSBMU3BNCXPYJKNARN9Y1AGFKV" localSheetId="11" hidden="1">Weekly by #REF!</definedName>
    <definedName name="BExSBMU3BNCXPYJKNARN9Y1AGFKV" localSheetId="2" hidden="1">Weekly by #REF!</definedName>
    <definedName name="BExSBMU3BNCXPYJKNARN9Y1AGFKV" localSheetId="10" hidden="1">Weekly by #REF!</definedName>
    <definedName name="BExSBMU3BNCXPYJKNARN9Y1AGFKV" hidden="1">Weekly by #REF!</definedName>
    <definedName name="BExSBSJ3AFPYAIP68SEY2BFFNK3C" localSheetId="0" hidden="1">Weekly by #REF!</definedName>
    <definedName name="BExSBSJ3AFPYAIP68SEY2BFFNK3C" localSheetId="1" hidden="1">Weekly by #REF!</definedName>
    <definedName name="BExSBSJ3AFPYAIP68SEY2BFFNK3C" localSheetId="4" hidden="1">Weekly by #REF!</definedName>
    <definedName name="BExSBSJ3AFPYAIP68SEY2BFFNK3C" localSheetId="5" hidden="1">Weekly by #REF!</definedName>
    <definedName name="BExSBSJ3AFPYAIP68SEY2BFFNK3C" localSheetId="6" hidden="1">Weekly by #REF!</definedName>
    <definedName name="BExSBSJ3AFPYAIP68SEY2BFFNK3C" localSheetId="7" hidden="1">Weekly by #REF!</definedName>
    <definedName name="BExSBSJ3AFPYAIP68SEY2BFFNK3C" localSheetId="11" hidden="1">Weekly by #REF!</definedName>
    <definedName name="BExSBSJ3AFPYAIP68SEY2BFFNK3C" localSheetId="2" hidden="1">Weekly by #REF!</definedName>
    <definedName name="BExSBSJ3AFPYAIP68SEY2BFFNK3C" localSheetId="10" hidden="1">Weekly by #REF!</definedName>
    <definedName name="BExSBSJ3AFPYAIP68SEY2BFFNK3C" hidden="1">Weekly by #REF!</definedName>
    <definedName name="BExSC9M353D3EKCXI5GRYJZYPZYZ" localSheetId="0" hidden="1">#REF!</definedName>
    <definedName name="BExSC9M353D3EKCXI5GRYJZYPZYZ" localSheetId="2" hidden="1">#REF!</definedName>
    <definedName name="BExSC9M353D3EKCXI5GRYJZYPZYZ" hidden="1">#REF!</definedName>
    <definedName name="BExSD16RWPJ4BKJERNVKGA3W1V8N" localSheetId="0" hidden="1">#REF!</definedName>
    <definedName name="BExSD16RWPJ4BKJERNVKGA3W1V8N" localSheetId="2" hidden="1">#REF!</definedName>
    <definedName name="BExSD16RWPJ4BKJERNVKGA3W1V8N" hidden="1">#REF!</definedName>
    <definedName name="BExSDJ5ZE3T46HSF6W0OXL80TXQG" localSheetId="0" hidden="1">#REF!</definedName>
    <definedName name="BExSDJ5ZE3T46HSF6W0OXL80TXQG" hidden="1">#REF!</definedName>
    <definedName name="BExSEB1ELM7LMEQL1PMX4X1Q8CTS" localSheetId="0" hidden="1">Weekly by #REF!</definedName>
    <definedName name="BExSEB1ELM7LMEQL1PMX4X1Q8CTS" localSheetId="1" hidden="1">Weekly by #REF!</definedName>
    <definedName name="BExSEB1ELM7LMEQL1PMX4X1Q8CTS" localSheetId="4" hidden="1">Weekly by #REF!</definedName>
    <definedName name="BExSEB1ELM7LMEQL1PMX4X1Q8CTS" localSheetId="5" hidden="1">Weekly by #REF!</definedName>
    <definedName name="BExSEB1ELM7LMEQL1PMX4X1Q8CTS" localSheetId="6" hidden="1">Weekly by #REF!</definedName>
    <definedName name="BExSEB1ELM7LMEQL1PMX4X1Q8CTS" localSheetId="7" hidden="1">Weekly by #REF!</definedName>
    <definedName name="BExSEB1ELM7LMEQL1PMX4X1Q8CTS" localSheetId="11" hidden="1">Weekly by #REF!</definedName>
    <definedName name="BExSEB1ELM7LMEQL1PMX4X1Q8CTS" localSheetId="2" hidden="1">Weekly by #REF!</definedName>
    <definedName name="BExSEB1ELM7LMEQL1PMX4X1Q8CTS" localSheetId="10" hidden="1">Weekly by #REF!</definedName>
    <definedName name="BExSEB1ELM7LMEQL1PMX4X1Q8CTS" hidden="1">Weekly by #REF!</definedName>
    <definedName name="BExSFXHEOQACS563S2Q51STT4H08" localSheetId="0" hidden="1">#REF!</definedName>
    <definedName name="BExSFXHEOQACS563S2Q51STT4H08" localSheetId="2" hidden="1">#REF!</definedName>
    <definedName name="BExSFXHEOQACS563S2Q51STT4H08" hidden="1">#REF!</definedName>
    <definedName name="BExSFXMPN5DYWL2UHWTC96N21Y3X" localSheetId="0" hidden="1">#REF!</definedName>
    <definedName name="BExSFXMPN5DYWL2UHWTC96N21Y3X" localSheetId="2" hidden="1">#REF!</definedName>
    <definedName name="BExSFXMPN5DYWL2UHWTC96N21Y3X" hidden="1">#REF!</definedName>
    <definedName name="BExSGEEWSM6V6B3J3F29MN7WAH14" localSheetId="0" hidden="1">#REF!</definedName>
    <definedName name="BExSGEEWSM6V6B3J3F29MN7WAH14" hidden="1">#REF!</definedName>
    <definedName name="BExSGJT4LF1CNH5RN5GZ373ISW9D" localSheetId="0" hidden="1">#REF!</definedName>
    <definedName name="BExSGJT4LF1CNH5RN5GZ373ISW9D" hidden="1">#REF!</definedName>
    <definedName name="BExSH4HLTQVL4MI545VJL4WFN9U2" localSheetId="0" hidden="1">#REF!</definedName>
    <definedName name="BExSH4HLTQVL4MI545VJL4WFN9U2" hidden="1">#REF!</definedName>
    <definedName name="BExSH4HMJS0TXSYHRWJRFTJ7NOSN" localSheetId="0" hidden="1">#REF!</definedName>
    <definedName name="BExSH4HMJS0TXSYHRWJRFTJ7NOSN" hidden="1">#REF!</definedName>
    <definedName name="BExSHDS3RJMD6MEJ67RL63M0SEIC" localSheetId="0" hidden="1">#REF!</definedName>
    <definedName name="BExSHDS3RJMD6MEJ67RL63M0SEIC" hidden="1">#REF!</definedName>
    <definedName name="BExSHUKBQVT2G9G0K9ORVIJO6TU8" localSheetId="0" hidden="1">#REF!</definedName>
    <definedName name="BExSHUKBQVT2G9G0K9ORVIJO6TU8" hidden="1">#REF!</definedName>
    <definedName name="BExTUOOMC43GH95KQ1PJ86MN9XDF" localSheetId="0" hidden="1">#REF!</definedName>
    <definedName name="BExTUOOMC43GH95KQ1PJ86MN9XDF" hidden="1">#REF!</definedName>
    <definedName name="BExTUQC12D67B0T5LXHNB2IX16LE" localSheetId="0" hidden="1">#REF!</definedName>
    <definedName name="BExTUQC12D67B0T5LXHNB2IX16LE" hidden="1">#REF!</definedName>
    <definedName name="BExTUY9WNSJ91GV8CP0SKJTEIV82" localSheetId="0" hidden="1">#REF!</definedName>
    <definedName name="BExTUY9WNSJ91GV8CP0SKJTEIV82" localSheetId="2" hidden="1">#REF!</definedName>
    <definedName name="BExTUY9WNSJ91GV8CP0SKJTEIV82" hidden="1">#REF!</definedName>
    <definedName name="BExTVNQZKATJ0A40FX2VIAZEEYJI" localSheetId="0" hidden="1">#REF!</definedName>
    <definedName name="BExTVNQZKATJ0A40FX2VIAZEEYJI" hidden="1">#REF!</definedName>
    <definedName name="BExTVTLH2E1SH7Z2XBYHUOQBWWLI" localSheetId="0" hidden="1">#REF!</definedName>
    <definedName name="BExTVTLH2E1SH7Z2XBYHUOQBWWLI" hidden="1">#REF!</definedName>
    <definedName name="BExTWFX8OYD9IX59PTP73YAC8O9G" localSheetId="0" hidden="1">#REF!</definedName>
    <definedName name="BExTWFX8OYD9IX59PTP73YAC8O9G" hidden="1">#REF!</definedName>
    <definedName name="BExTWI0R31187AOWYLZ1W1WNI84K" localSheetId="0" hidden="1">#REF!</definedName>
    <definedName name="BExTWI0R31187AOWYLZ1W1WNI84K" hidden="1">#REF!</definedName>
    <definedName name="BExTWJTGTEM42YMMOXES1DOPT9UG" localSheetId="0" hidden="1">#REF!</definedName>
    <definedName name="BExTWJTGTEM42YMMOXES1DOPT9UG" hidden="1">#REF!</definedName>
    <definedName name="BExTWTERU1SE8R3LRC2C4HQMOIB1" localSheetId="0" hidden="1">#REF!</definedName>
    <definedName name="BExTWTERU1SE8R3LRC2C4HQMOIB1" hidden="1">#REF!</definedName>
    <definedName name="BExTXSGYX5392LBXQJDKN9GM6GP9" localSheetId="0" hidden="1">Weekly by #REF!</definedName>
    <definedName name="BExTXSGYX5392LBXQJDKN9GM6GP9" localSheetId="1" hidden="1">Weekly by #REF!</definedName>
    <definedName name="BExTXSGYX5392LBXQJDKN9GM6GP9" localSheetId="4" hidden="1">Weekly by #REF!</definedName>
    <definedName name="BExTXSGYX5392LBXQJDKN9GM6GP9" localSheetId="5" hidden="1">Weekly by #REF!</definedName>
    <definedName name="BExTXSGYX5392LBXQJDKN9GM6GP9" localSheetId="6" hidden="1">Weekly by #REF!</definedName>
    <definedName name="BExTXSGYX5392LBXQJDKN9GM6GP9" localSheetId="7" hidden="1">Weekly by #REF!</definedName>
    <definedName name="BExTXSGYX5392LBXQJDKN9GM6GP9" localSheetId="11" hidden="1">Weekly by #REF!</definedName>
    <definedName name="BExTXSGYX5392LBXQJDKN9GM6GP9" localSheetId="2" hidden="1">Weekly by #REF!</definedName>
    <definedName name="BExTXSGYX5392LBXQJDKN9GM6GP9" localSheetId="10" hidden="1">Weekly by #REF!</definedName>
    <definedName name="BExTXSGYX5392LBXQJDKN9GM6GP9" hidden="1">Weekly by #REF!</definedName>
    <definedName name="BExTXZD6DNHUK63ORIVZQR52BQDB" localSheetId="0" hidden="1">#REF!</definedName>
    <definedName name="BExTXZD6DNHUK63ORIVZQR52BQDB" localSheetId="2" hidden="1">#REF!</definedName>
    <definedName name="BExTXZD6DNHUK63ORIVZQR52BQDB" hidden="1">#REF!</definedName>
    <definedName name="BExTY1WXTBXUD0M1NWE12NMAUGCO" localSheetId="0" hidden="1">#REF!</definedName>
    <definedName name="BExTY1WXTBXUD0M1NWE12NMAUGCO" localSheetId="2" hidden="1">#REF!</definedName>
    <definedName name="BExTY1WXTBXUD0M1NWE12NMAUGCO" hidden="1">#REF!</definedName>
    <definedName name="BExTY8T41OBZ32MRCWT76H4XO1YE" localSheetId="0" hidden="1">#REF!</definedName>
    <definedName name="BExTY8T41OBZ32MRCWT76H4XO1YE" hidden="1">#REF!</definedName>
    <definedName name="BExTYIZRZ3YNYQKLALPU5HPR2DOH" localSheetId="0" hidden="1">#REF!</definedName>
    <definedName name="BExTYIZRZ3YNYQKLALPU5HPR2DOH" hidden="1">#REF!</definedName>
    <definedName name="BExU091A10QVE7583Q5CAHW138RD" localSheetId="0" hidden="1">#REF!</definedName>
    <definedName name="BExU091A10QVE7583Q5CAHW138RD" hidden="1">#REF!</definedName>
    <definedName name="BExU0FMLYKBHXH0JHAD0FA64EF92" localSheetId="0" hidden="1">#REF!</definedName>
    <definedName name="BExU0FMLYKBHXH0JHAD0FA64EF92" hidden="1">#REF!</definedName>
    <definedName name="BExU0U0J8Q06GJAGHHN9X5FXNZL3" localSheetId="0" hidden="1">#REF!</definedName>
    <definedName name="BExU0U0J8Q06GJAGHHN9X5FXNZL3" hidden="1">#REF!</definedName>
    <definedName name="BExU1DN4RELJSQTQUF8YK7BNGXKO" localSheetId="0" hidden="1">#REF!</definedName>
    <definedName name="BExU1DN4RELJSQTQUF8YK7BNGXKO" hidden="1">#REF!</definedName>
    <definedName name="BExU2941Z7GTMQ5O1VVPEU7YRR7P" localSheetId="0" hidden="1">#REF!</definedName>
    <definedName name="BExU2941Z7GTMQ5O1VVPEU7YRR7P" hidden="1">#REF!</definedName>
    <definedName name="BExU3D9R4DRJADX0E7E2OZ3T6J9D" localSheetId="0" hidden="1">#REF!</definedName>
    <definedName name="BExU3D9R4DRJADX0E7E2OZ3T6J9D" hidden="1">#REF!</definedName>
    <definedName name="BExU3HBGOXNJN5MS2UX8A2S3C0GL" localSheetId="0" hidden="1">#REF!</definedName>
    <definedName name="BExU3HBGOXNJN5MS2UX8A2S3C0GL" hidden="1">#REF!</definedName>
    <definedName name="BExU3HX1IEJGNDJI6N6CLR8ZJK9D" localSheetId="0" hidden="1">#REF!</definedName>
    <definedName name="BExU3HX1IEJGNDJI6N6CLR8ZJK9D" hidden="1">#REF!</definedName>
    <definedName name="BExU3QWQVA35KFNEQYRLU0ZG2TZ0" localSheetId="0" hidden="1">#REF!</definedName>
    <definedName name="BExU3QWQVA35KFNEQYRLU0ZG2TZ0" hidden="1">#REF!</definedName>
    <definedName name="BExU4JTVA435DV4G5Y6DGJQWPBZU" localSheetId="0" hidden="1">Weekly by #REF!</definedName>
    <definedName name="BExU4JTVA435DV4G5Y6DGJQWPBZU" localSheetId="1" hidden="1">Weekly by #REF!</definedName>
    <definedName name="BExU4JTVA435DV4G5Y6DGJQWPBZU" localSheetId="4" hidden="1">Weekly by #REF!</definedName>
    <definedName name="BExU4JTVA435DV4G5Y6DGJQWPBZU" localSheetId="5" hidden="1">Weekly by #REF!</definedName>
    <definedName name="BExU4JTVA435DV4G5Y6DGJQWPBZU" localSheetId="6" hidden="1">Weekly by #REF!</definedName>
    <definedName name="BExU4JTVA435DV4G5Y6DGJQWPBZU" localSheetId="7" hidden="1">Weekly by #REF!</definedName>
    <definedName name="BExU4JTVA435DV4G5Y6DGJQWPBZU" localSheetId="11" hidden="1">Weekly by #REF!</definedName>
    <definedName name="BExU4JTVA435DV4G5Y6DGJQWPBZU" localSheetId="2" hidden="1">Weekly by #REF!</definedName>
    <definedName name="BExU4JTVA435DV4G5Y6DGJQWPBZU" localSheetId="10" hidden="1">Weekly by #REF!</definedName>
    <definedName name="BExU4JTVA435DV4G5Y6DGJQWPBZU" hidden="1">Weekly by #REF!</definedName>
    <definedName name="BExU4MIZMMFZZWTK4WHGFZSMWPS8" localSheetId="0" hidden="1">#REF!</definedName>
    <definedName name="BExU4MIZMMFZZWTK4WHGFZSMWPS8" localSheetId="2" hidden="1">#REF!</definedName>
    <definedName name="BExU4MIZMMFZZWTK4WHGFZSMWPS8" hidden="1">#REF!</definedName>
    <definedName name="BExU4URMLNRG3O4Q191YL3JICQO9" localSheetId="0" hidden="1">Weekly by #REF!</definedName>
    <definedName name="BExU4URMLNRG3O4Q191YL3JICQO9" localSheetId="1" hidden="1">Weekly by #REF!</definedName>
    <definedName name="BExU4URMLNRG3O4Q191YL3JICQO9" localSheetId="4" hidden="1">Weekly by #REF!</definedName>
    <definedName name="BExU4URMLNRG3O4Q191YL3JICQO9" localSheetId="5" hidden="1">Weekly by #REF!</definedName>
    <definedName name="BExU4URMLNRG3O4Q191YL3JICQO9" localSheetId="6" hidden="1">Weekly by #REF!</definedName>
    <definedName name="BExU4URMLNRG3O4Q191YL3JICQO9" localSheetId="7" hidden="1">Weekly by #REF!</definedName>
    <definedName name="BExU4URMLNRG3O4Q191YL3JICQO9" localSheetId="11" hidden="1">Weekly by #REF!</definedName>
    <definedName name="BExU4URMLNRG3O4Q191YL3JICQO9" localSheetId="2" hidden="1">Weekly by #REF!</definedName>
    <definedName name="BExU4URMLNRG3O4Q191YL3JICQO9" localSheetId="10" hidden="1">Weekly by #REF!</definedName>
    <definedName name="BExU4URMLNRG3O4Q191YL3JICQO9" hidden="1">Weekly by #REF!</definedName>
    <definedName name="BExU4XWZRGDFLCPK6HI2B3EXIQNU" localSheetId="0" hidden="1">#REF!</definedName>
    <definedName name="BExU4XWZRGDFLCPK6HI2B3EXIQNU" localSheetId="2" hidden="1">#REF!</definedName>
    <definedName name="BExU4XWZRGDFLCPK6HI2B3EXIQNU" hidden="1">#REF!</definedName>
    <definedName name="BExU529CJ5AWHU0WNPZUYLVVT9GO" localSheetId="0" hidden="1">#REF!</definedName>
    <definedName name="BExU529CJ5AWHU0WNPZUYLVVT9GO" localSheetId="2" hidden="1">#REF!</definedName>
    <definedName name="BExU529CJ5AWHU0WNPZUYLVVT9GO" hidden="1">#REF!</definedName>
    <definedName name="BExU5N8L0E2WDEBA4ITD4A8FT8ON" localSheetId="0" hidden="1">#REF!</definedName>
    <definedName name="BExU5N8L0E2WDEBA4ITD4A8FT8ON" hidden="1">#REF!</definedName>
    <definedName name="BExU5TDW60U6DGV3RHR9DU3PV85W" localSheetId="0" hidden="1">#REF!</definedName>
    <definedName name="BExU5TDW60U6DGV3RHR9DU3PV85W" hidden="1">#REF!</definedName>
    <definedName name="BExU67BIP4IDGLTCZMUKNEA7DFWZ" localSheetId="0" hidden="1">#REF!</definedName>
    <definedName name="BExU67BIP4IDGLTCZMUKNEA7DFWZ" hidden="1">#REF!</definedName>
    <definedName name="BExU68TGC2RHQAVP2W2P1FWJ8XWM" localSheetId="0" hidden="1">#REF!</definedName>
    <definedName name="BExU68TGC2RHQAVP2W2P1FWJ8XWM" hidden="1">#REF!</definedName>
    <definedName name="BExU6MWL30NHY8I1G97R2SU1TD1Y" localSheetId="0" hidden="1">#REF!</definedName>
    <definedName name="BExU6MWL30NHY8I1G97R2SU1TD1Y" hidden="1">#REF!</definedName>
    <definedName name="BExU6QNDHGHWD7C8WTP84EL0AS0U" localSheetId="0" hidden="1">Weekly by #REF!</definedName>
    <definedName name="BExU6QNDHGHWD7C8WTP84EL0AS0U" localSheetId="1" hidden="1">Weekly by #REF!</definedName>
    <definedName name="BExU6QNDHGHWD7C8WTP84EL0AS0U" localSheetId="4" hidden="1">Weekly by #REF!</definedName>
    <definedName name="BExU6QNDHGHWD7C8WTP84EL0AS0U" localSheetId="5" hidden="1">Weekly by #REF!</definedName>
    <definedName name="BExU6QNDHGHWD7C8WTP84EL0AS0U" localSheetId="6" hidden="1">Weekly by #REF!</definedName>
    <definedName name="BExU6QNDHGHWD7C8WTP84EL0AS0U" localSheetId="7" hidden="1">Weekly by #REF!</definedName>
    <definedName name="BExU6QNDHGHWD7C8WTP84EL0AS0U" localSheetId="11" hidden="1">Weekly by #REF!</definedName>
    <definedName name="BExU6QNDHGHWD7C8WTP84EL0AS0U" localSheetId="2" hidden="1">Weekly by #REF!</definedName>
    <definedName name="BExU6QNDHGHWD7C8WTP84EL0AS0U" localSheetId="10" hidden="1">Weekly by #REF!</definedName>
    <definedName name="BExU6QNDHGHWD7C8WTP84EL0AS0U" hidden="1">Weekly by #REF!</definedName>
    <definedName name="BExU77L1ZM2BRJB4M5RWTLREPRBO" localSheetId="0" hidden="1">#REF!</definedName>
    <definedName name="BExU77L1ZM2BRJB4M5RWTLREPRBO" localSheetId="2" hidden="1">#REF!</definedName>
    <definedName name="BExU77L1ZM2BRJB4M5RWTLREPRBO" hidden="1">#REF!</definedName>
    <definedName name="BExU7DQ51YCEX9WP8U4SWEI8EU95" localSheetId="0" hidden="1">#REF!</definedName>
    <definedName name="BExU7DQ51YCEX9WP8U4SWEI8EU95" localSheetId="2" hidden="1">#REF!</definedName>
    <definedName name="BExU7DQ51YCEX9WP8U4SWEI8EU95" hidden="1">#REF!</definedName>
    <definedName name="BExU7DVMNLPZ8DIZKTOS0GLZESXN" localSheetId="0" hidden="1">#REF!</definedName>
    <definedName name="BExU7DVMNLPZ8DIZKTOS0GLZESXN" hidden="1">#REF!</definedName>
    <definedName name="BExU7VUWIK7942LR3XULMKX3BJWZ" localSheetId="0" hidden="1">#REF!</definedName>
    <definedName name="BExU7VUWIK7942LR3XULMKX3BJWZ" hidden="1">#REF!</definedName>
    <definedName name="BExU85AUW6RSKQIVXFO60KKE5T20" localSheetId="0" hidden="1">#REF!</definedName>
    <definedName name="BExU85AUW6RSKQIVXFO60KKE5T20" hidden="1">#REF!</definedName>
    <definedName name="BExU873K2ANL61JM42BBLBUZRV1R" localSheetId="0" hidden="1">#REF!</definedName>
    <definedName name="BExU873K2ANL61JM42BBLBUZRV1R" hidden="1">#REF!</definedName>
    <definedName name="BExU89XZ24NAEGSD8GN6NKO3596G" localSheetId="0" hidden="1">#REF!</definedName>
    <definedName name="BExU89XZ24NAEGSD8GN6NKO3596G" hidden="1">#REF!</definedName>
    <definedName name="BExU8FSGATXULCM675VF1KYAHGP1" localSheetId="0" hidden="1">#REF!</definedName>
    <definedName name="BExU8FSGATXULCM675VF1KYAHGP1" hidden="1">#REF!</definedName>
    <definedName name="BExU8Q9XLS3KH24CLQ4M5IJYXT8X" localSheetId="0" hidden="1">Employee Detail #REF!</definedName>
    <definedName name="BExU8Q9XLS3KH24CLQ4M5IJYXT8X" localSheetId="1" hidden="1">Employee Detail #REF!</definedName>
    <definedName name="BExU8Q9XLS3KH24CLQ4M5IJYXT8X" localSheetId="4" hidden="1">Employee Detail #REF!</definedName>
    <definedName name="BExU8Q9XLS3KH24CLQ4M5IJYXT8X" localSheetId="5" hidden="1">Employee Detail #REF!</definedName>
    <definedName name="BExU8Q9XLS3KH24CLQ4M5IJYXT8X" localSheetId="6" hidden="1">Employee Detail #REF!</definedName>
    <definedName name="BExU8Q9XLS3KH24CLQ4M5IJYXT8X" localSheetId="7" hidden="1">Employee Detail #REF!</definedName>
    <definedName name="BExU8Q9XLS3KH24CLQ4M5IJYXT8X" localSheetId="11" hidden="1">Employee Detail #REF!</definedName>
    <definedName name="BExU8Q9XLS3KH24CLQ4M5IJYXT8X" localSheetId="2" hidden="1">Employee Detail #REF!</definedName>
    <definedName name="BExU8Q9XLS3KH24CLQ4M5IJYXT8X" localSheetId="10" hidden="1">Employee Detail #REF!</definedName>
    <definedName name="BExU8Q9XLS3KH24CLQ4M5IJYXT8X" hidden="1">Employee Detail #REF!</definedName>
    <definedName name="BExU8S2O68RLH6LUDGJKFXMKKE5J" localSheetId="0" hidden="1">#REF!</definedName>
    <definedName name="BExU8S2O68RLH6LUDGJKFXMKKE5J" localSheetId="2" hidden="1">#REF!</definedName>
    <definedName name="BExU8S2O68RLH6LUDGJKFXMKKE5J" hidden="1">#REF!</definedName>
    <definedName name="BExU8V2QEONF9R0X2D3R15MZ0GVY" localSheetId="0" hidden="1">#REF!</definedName>
    <definedName name="BExU8V2QEONF9R0X2D3R15MZ0GVY" localSheetId="2" hidden="1">#REF!</definedName>
    <definedName name="BExU8V2QEONF9R0X2D3R15MZ0GVY" hidden="1">#REF!</definedName>
    <definedName name="BExU9B98E0WUJ89KDTIKL2K0JEM7" localSheetId="0" hidden="1">#REF!</definedName>
    <definedName name="BExU9B98E0WUJ89KDTIKL2K0JEM7" hidden="1">#REF!</definedName>
    <definedName name="BExU9JCOJEJO7TDSQQ0BBRV7BNUF" localSheetId="0" hidden="1">Weekly by #REF!</definedName>
    <definedName name="BExU9JCOJEJO7TDSQQ0BBRV7BNUF" localSheetId="1" hidden="1">Weekly by #REF!</definedName>
    <definedName name="BExU9JCOJEJO7TDSQQ0BBRV7BNUF" localSheetId="4" hidden="1">Weekly by #REF!</definedName>
    <definedName name="BExU9JCOJEJO7TDSQQ0BBRV7BNUF" localSheetId="5" hidden="1">Weekly by #REF!</definedName>
    <definedName name="BExU9JCOJEJO7TDSQQ0BBRV7BNUF" localSheetId="6" hidden="1">Weekly by #REF!</definedName>
    <definedName name="BExU9JCOJEJO7TDSQQ0BBRV7BNUF" localSheetId="7" hidden="1">Weekly by #REF!</definedName>
    <definedName name="BExU9JCOJEJO7TDSQQ0BBRV7BNUF" localSheetId="11" hidden="1">Weekly by #REF!</definedName>
    <definedName name="BExU9JCOJEJO7TDSQQ0BBRV7BNUF" localSheetId="2" hidden="1">Weekly by #REF!</definedName>
    <definedName name="BExU9JCOJEJO7TDSQQ0BBRV7BNUF" localSheetId="10" hidden="1">Weekly by #REF!</definedName>
    <definedName name="BExU9JCOJEJO7TDSQQ0BBRV7BNUF" hidden="1">Weekly by #REF!</definedName>
    <definedName name="BExUAXUNIM398WJHCEYHU572IVWU" localSheetId="0" hidden="1">Weekly by #REF!</definedName>
    <definedName name="BExUAXUNIM398WJHCEYHU572IVWU" localSheetId="1" hidden="1">Weekly by #REF!</definedName>
    <definedName name="BExUAXUNIM398WJHCEYHU572IVWU" localSheetId="4" hidden="1">Weekly by #REF!</definedName>
    <definedName name="BExUAXUNIM398WJHCEYHU572IVWU" localSheetId="5" hidden="1">Weekly by #REF!</definedName>
    <definedName name="BExUAXUNIM398WJHCEYHU572IVWU" localSheetId="6" hidden="1">Weekly by #REF!</definedName>
    <definedName name="BExUAXUNIM398WJHCEYHU572IVWU" localSheetId="7" hidden="1">Weekly by #REF!</definedName>
    <definedName name="BExUAXUNIM398WJHCEYHU572IVWU" localSheetId="11" hidden="1">Weekly by #REF!</definedName>
    <definedName name="BExUAXUNIM398WJHCEYHU572IVWU" localSheetId="2" hidden="1">Weekly by #REF!</definedName>
    <definedName name="BExUAXUNIM398WJHCEYHU572IVWU" localSheetId="10" hidden="1">Weekly by #REF!</definedName>
    <definedName name="BExUAXUNIM398WJHCEYHU572IVWU" hidden="1">Weekly by #REF!</definedName>
    <definedName name="BExUB33FJHDI3XKPQSVL75HO9RQ3" localSheetId="0" hidden="1">#REF!</definedName>
    <definedName name="BExUB33FJHDI3XKPQSVL75HO9RQ3" localSheetId="2" hidden="1">#REF!</definedName>
    <definedName name="BExUB33FJHDI3XKPQSVL75HO9RQ3" hidden="1">#REF!</definedName>
    <definedName name="BExUB3JHDL430WKBOVB9KNTSWU3Q" localSheetId="0" hidden="1">#REF!</definedName>
    <definedName name="BExUB3JHDL430WKBOVB9KNTSWU3Q" localSheetId="2" hidden="1">#REF!</definedName>
    <definedName name="BExUB3JHDL430WKBOVB9KNTSWU3Q" hidden="1">#REF!</definedName>
    <definedName name="BExUBN64LPXX4Z738WO97YQ5MXMX" localSheetId="0" hidden="1">#REF!</definedName>
    <definedName name="BExUBN64LPXX4Z738WO97YQ5MXMX" hidden="1">#REF!</definedName>
    <definedName name="BExUBNRVHXRIJBHKA2TWL10IFYUF" localSheetId="0" hidden="1">#REF!</definedName>
    <definedName name="BExUBNRVHXRIJBHKA2TWL10IFYUF" hidden="1">#REF!</definedName>
    <definedName name="BExUBPV8GB3LLCKQZCK9OFOFPN4G" localSheetId="0" hidden="1">#REF!</definedName>
    <definedName name="BExUBPV8GB3LLCKQZCK9OFOFPN4G" hidden="1">#REF!</definedName>
    <definedName name="BExUCAEGQZ6PB4AG64761OAR17RY" localSheetId="0" hidden="1">#REF!</definedName>
    <definedName name="BExUCAEGQZ6PB4AG64761OAR17RY" hidden="1">#REF!</definedName>
    <definedName name="BExUCS8BRBYHSEG6P5HKZAM7CTOM" localSheetId="0" hidden="1">#REF!</definedName>
    <definedName name="BExUCS8BRBYHSEG6P5HKZAM7CTOM" hidden="1">#REF!</definedName>
    <definedName name="BExUDQ3JPLF15XXZMZ6T43VLXCV3" localSheetId="0" hidden="1">#REF!</definedName>
    <definedName name="BExUDQ3JPLF15XXZMZ6T43VLXCV3" hidden="1">#REF!</definedName>
    <definedName name="BExUE7S6MSU958CKTBKGTMECGNU3" localSheetId="0" hidden="1">Weekly by #REF!</definedName>
    <definedName name="BExUE7S6MSU958CKTBKGTMECGNU3" localSheetId="1" hidden="1">Weekly by #REF!</definedName>
    <definedName name="BExUE7S6MSU958CKTBKGTMECGNU3" localSheetId="4" hidden="1">Weekly by #REF!</definedName>
    <definedName name="BExUE7S6MSU958CKTBKGTMECGNU3" localSheetId="5" hidden="1">Weekly by #REF!</definedName>
    <definedName name="BExUE7S6MSU958CKTBKGTMECGNU3" localSheetId="6" hidden="1">Weekly by #REF!</definedName>
    <definedName name="BExUE7S6MSU958CKTBKGTMECGNU3" localSheetId="7" hidden="1">Weekly by #REF!</definedName>
    <definedName name="BExUE7S6MSU958CKTBKGTMECGNU3" localSheetId="11" hidden="1">Weekly by #REF!</definedName>
    <definedName name="BExUE7S6MSU958CKTBKGTMECGNU3" localSheetId="2" hidden="1">Weekly by #REF!</definedName>
    <definedName name="BExUE7S6MSU958CKTBKGTMECGNU3" localSheetId="10" hidden="1">Weekly by #REF!</definedName>
    <definedName name="BExUE7S6MSU958CKTBKGTMECGNU3" hidden="1">Weekly by #REF!</definedName>
    <definedName name="BExVR15ITEN8TF2H5MGLG77YNGFE" localSheetId="0" hidden="1">#REF!</definedName>
    <definedName name="BExVR15ITEN8TF2H5MGLG77YNGFE" localSheetId="2" hidden="1">#REF!</definedName>
    <definedName name="BExVR15ITEN8TF2H5MGLG77YNGFE" hidden="1">#REF!</definedName>
    <definedName name="BExVR8NAH73TVNEQ6TXX8GAYA4RX" localSheetId="0" hidden="1">#REF!</definedName>
    <definedName name="BExVR8NAH73TVNEQ6TXX8GAYA4RX" localSheetId="2" hidden="1">#REF!</definedName>
    <definedName name="BExVR8NAH73TVNEQ6TXX8GAYA4RX" hidden="1">#REF!</definedName>
    <definedName name="BExVRGQLT9ZF65TKD0ARWGOQBMEJ" localSheetId="0" hidden="1">#REF!</definedName>
    <definedName name="BExVRGQLT9ZF65TKD0ARWGOQBMEJ" hidden="1">#REF!</definedName>
    <definedName name="BExVRYVBI357GFPODFN7ZC1BDYTU" localSheetId="0" hidden="1">Weekly by #REF!</definedName>
    <definedName name="BExVRYVBI357GFPODFN7ZC1BDYTU" localSheetId="1" hidden="1">Weekly by #REF!</definedName>
    <definedName name="BExVRYVBI357GFPODFN7ZC1BDYTU" localSheetId="4" hidden="1">Weekly by #REF!</definedName>
    <definedName name="BExVRYVBI357GFPODFN7ZC1BDYTU" localSheetId="5" hidden="1">Weekly by #REF!</definedName>
    <definedName name="BExVRYVBI357GFPODFN7ZC1BDYTU" localSheetId="6" hidden="1">Weekly by #REF!</definedName>
    <definedName name="BExVRYVBI357GFPODFN7ZC1BDYTU" localSheetId="7" hidden="1">Weekly by #REF!</definedName>
    <definedName name="BExVRYVBI357GFPODFN7ZC1BDYTU" localSheetId="11" hidden="1">Weekly by #REF!</definedName>
    <definedName name="BExVRYVBI357GFPODFN7ZC1BDYTU" localSheetId="2" hidden="1">Weekly by #REF!</definedName>
    <definedName name="BExVRYVBI357GFPODFN7ZC1BDYTU" localSheetId="10" hidden="1">Weekly by #REF!</definedName>
    <definedName name="BExVRYVBI357GFPODFN7ZC1BDYTU" hidden="1">Weekly by #REF!</definedName>
    <definedName name="BExVS6TAND82CBJNY4L4SO9LKEMV" localSheetId="0" hidden="1">#REF!</definedName>
    <definedName name="BExVS6TAND82CBJNY4L4SO9LKEMV" localSheetId="2" hidden="1">#REF!</definedName>
    <definedName name="BExVS6TAND82CBJNY4L4SO9LKEMV" hidden="1">#REF!</definedName>
    <definedName name="BExVT3XGC22T8Q9HDM3LIYNFIJV7" localSheetId="0" hidden="1">Weekly by #REF!</definedName>
    <definedName name="BExVT3XGC22T8Q9HDM3LIYNFIJV7" localSheetId="1" hidden="1">Weekly by #REF!</definedName>
    <definedName name="BExVT3XGC22T8Q9HDM3LIYNFIJV7" localSheetId="4" hidden="1">Weekly by #REF!</definedName>
    <definedName name="BExVT3XGC22T8Q9HDM3LIYNFIJV7" localSheetId="5" hidden="1">Weekly by #REF!</definedName>
    <definedName name="BExVT3XGC22T8Q9HDM3LIYNFIJV7" localSheetId="6" hidden="1">Weekly by #REF!</definedName>
    <definedName name="BExVT3XGC22T8Q9HDM3LIYNFIJV7" localSheetId="7" hidden="1">Weekly by #REF!</definedName>
    <definedName name="BExVT3XGC22T8Q9HDM3LIYNFIJV7" localSheetId="11" hidden="1">Weekly by #REF!</definedName>
    <definedName name="BExVT3XGC22T8Q9HDM3LIYNFIJV7" localSheetId="2" hidden="1">Weekly by #REF!</definedName>
    <definedName name="BExVT3XGC22T8Q9HDM3LIYNFIJV7" localSheetId="10" hidden="1">Weekly by #REF!</definedName>
    <definedName name="BExVT3XGC22T8Q9HDM3LIYNFIJV7" hidden="1">Weekly by #REF!</definedName>
    <definedName name="BExVTUAYUR922VXBNO4MN569BULR" localSheetId="0" hidden="1">#REF!</definedName>
    <definedName name="BExVTUAYUR922VXBNO4MN569BULR" localSheetId="2" hidden="1">#REF!</definedName>
    <definedName name="BExVTUAYUR922VXBNO4MN569BULR" hidden="1">#REF!</definedName>
    <definedName name="BExVTW3OZ04QHKTFPPDM5JDNT6C1" localSheetId="0" hidden="1">#REF!</definedName>
    <definedName name="BExVTW3OZ04QHKTFPPDM5JDNT6C1" localSheetId="2" hidden="1">#REF!</definedName>
    <definedName name="BExVTW3OZ04QHKTFPPDM5JDNT6C1" hidden="1">#REF!</definedName>
    <definedName name="BExVU6QMM5J49S1312H8AMNK3Y8U" localSheetId="0" hidden="1">#REF!</definedName>
    <definedName name="BExVU6QMM5J49S1312H8AMNK3Y8U" hidden="1">#REF!</definedName>
    <definedName name="BExVVA033OB71P301YYKYS90S2LK" localSheetId="0" hidden="1">#REF!</definedName>
    <definedName name="BExVVA033OB71P301YYKYS90S2LK" hidden="1">#REF!</definedName>
    <definedName name="BExVVG5757ZUCIOH6NI1OTZC4IUM" localSheetId="0" hidden="1">Weekly by #REF!</definedName>
    <definedName name="BExVVG5757ZUCIOH6NI1OTZC4IUM" localSheetId="1" hidden="1">Weekly by #REF!</definedName>
    <definedName name="BExVVG5757ZUCIOH6NI1OTZC4IUM" localSheetId="4" hidden="1">Weekly by #REF!</definedName>
    <definedName name="BExVVG5757ZUCIOH6NI1OTZC4IUM" localSheetId="5" hidden="1">Weekly by #REF!</definedName>
    <definedName name="BExVVG5757ZUCIOH6NI1OTZC4IUM" localSheetId="6" hidden="1">Weekly by #REF!</definedName>
    <definedName name="BExVVG5757ZUCIOH6NI1OTZC4IUM" localSheetId="7" hidden="1">Weekly by #REF!</definedName>
    <definedName name="BExVVG5757ZUCIOH6NI1OTZC4IUM" localSheetId="11" hidden="1">Weekly by #REF!</definedName>
    <definedName name="BExVVG5757ZUCIOH6NI1OTZC4IUM" localSheetId="2" hidden="1">Weekly by #REF!</definedName>
    <definedName name="BExVVG5757ZUCIOH6NI1OTZC4IUM" localSheetId="10" hidden="1">Weekly by #REF!</definedName>
    <definedName name="BExVVG5757ZUCIOH6NI1OTZC4IUM" hidden="1">Weekly by #REF!</definedName>
    <definedName name="BExVVIE6N8HTS5LBMWMN3XB7YR16" localSheetId="0" hidden="1">#REF!</definedName>
    <definedName name="BExVVIE6N8HTS5LBMWMN3XB7YR16" localSheetId="2" hidden="1">#REF!</definedName>
    <definedName name="BExVVIE6N8HTS5LBMWMN3XB7YR16" hidden="1">#REF!</definedName>
    <definedName name="BExVVUOKZ9FMJP6SP8B7RW9ZVKIZ" localSheetId="0" hidden="1">Weekly by #REF!</definedName>
    <definedName name="BExVVUOKZ9FMJP6SP8B7RW9ZVKIZ" localSheetId="1" hidden="1">Weekly by #REF!</definedName>
    <definedName name="BExVVUOKZ9FMJP6SP8B7RW9ZVKIZ" localSheetId="4" hidden="1">Weekly by #REF!</definedName>
    <definedName name="BExVVUOKZ9FMJP6SP8B7RW9ZVKIZ" localSheetId="5" hidden="1">Weekly by #REF!</definedName>
    <definedName name="BExVVUOKZ9FMJP6SP8B7RW9ZVKIZ" localSheetId="6" hidden="1">Weekly by #REF!</definedName>
    <definedName name="BExVVUOKZ9FMJP6SP8B7RW9ZVKIZ" localSheetId="7" hidden="1">Weekly by #REF!</definedName>
    <definedName name="BExVVUOKZ9FMJP6SP8B7RW9ZVKIZ" localSheetId="11" hidden="1">Weekly by #REF!</definedName>
    <definedName name="BExVVUOKZ9FMJP6SP8B7RW9ZVKIZ" localSheetId="2" hidden="1">Weekly by #REF!</definedName>
    <definedName name="BExVVUOKZ9FMJP6SP8B7RW9ZVKIZ" localSheetId="10" hidden="1">Weekly by #REF!</definedName>
    <definedName name="BExVVUOKZ9FMJP6SP8B7RW9ZVKIZ" hidden="1">Weekly by #REF!</definedName>
    <definedName name="BExVWUSMK9CIS9O051DQPT0KY7WQ" localSheetId="0" hidden="1">#REF!</definedName>
    <definedName name="BExVWUSMK9CIS9O051DQPT0KY7WQ" localSheetId="2" hidden="1">#REF!</definedName>
    <definedName name="BExVWUSMK9CIS9O051DQPT0KY7WQ" hidden="1">#REF!</definedName>
    <definedName name="BExVX3HJPV9ZPAY12RMBV261NE68" localSheetId="0" hidden="1">#REF!</definedName>
    <definedName name="BExVX3HJPV9ZPAY12RMBV261NE68" localSheetId="2" hidden="1">#REF!</definedName>
    <definedName name="BExVX3HJPV9ZPAY12RMBV261NE68" hidden="1">#REF!</definedName>
    <definedName name="BExVXH4FRKWI8T09UBZOTZ7ELGD2" localSheetId="0" hidden="1">#REF!</definedName>
    <definedName name="BExVXH4FRKWI8T09UBZOTZ7ELGD2" hidden="1">#REF!</definedName>
    <definedName name="BExVY7N7APOSX562C86T41J73BNN" localSheetId="0" hidden="1">#REF!</definedName>
    <definedName name="BExVY7N7APOSX562C86T41J73BNN" hidden="1">#REF!</definedName>
    <definedName name="BExVY7XZS7ZEEEI66TWUYUKRGMHJ" localSheetId="0" hidden="1">#REF!</definedName>
    <definedName name="BExVY7XZS7ZEEEI66TWUYUKRGMHJ" hidden="1">#REF!</definedName>
    <definedName name="BExVZESW4KWQ72XZ6AAT3JSAGMMO" localSheetId="0" hidden="1">#REF!</definedName>
    <definedName name="BExVZESW4KWQ72XZ6AAT3JSAGMMO" hidden="1">#REF!</definedName>
    <definedName name="BExW08X7MUCAUZUT84HH2K0HG8JM" localSheetId="0" hidden="1">#REF!</definedName>
    <definedName name="BExW08X7MUCAUZUT84HH2K0HG8JM" hidden="1">#REF!</definedName>
    <definedName name="BExW0HBAR94L0RTT4FLGEJ88FO94" localSheetId="0" hidden="1">#REF!</definedName>
    <definedName name="BExW0HBAR94L0RTT4FLGEJ88FO94" hidden="1">#REF!</definedName>
    <definedName name="BExW0HBC1RMZ2GDGOGDTNAOOFO74" localSheetId="0" hidden="1">#REF!</definedName>
    <definedName name="BExW0HBC1RMZ2GDGOGDTNAOOFO74" hidden="1">#REF!</definedName>
    <definedName name="BExW0PJY0QT1YYHEOQPDHHNJJOC5" localSheetId="0" hidden="1">#REF!</definedName>
    <definedName name="BExW0PJY0QT1YYHEOQPDHHNJJOC5" hidden="1">#REF!</definedName>
    <definedName name="BExW0TAW9LYIK2EQVODX96VJOOGW" localSheetId="0" hidden="1">#REF!</definedName>
    <definedName name="BExW0TAW9LYIK2EQVODX96VJOOGW" hidden="1">#REF!</definedName>
    <definedName name="BExW0ZFZK22WVH1ET2MVEUVKIIWF" localSheetId="0" hidden="1">#REF!</definedName>
    <definedName name="BExW0ZFZK22WVH1ET2MVEUVKIIWF" hidden="1">#REF!</definedName>
    <definedName name="BExW1L0UBOQM7K490QSU9DAPF6L2" localSheetId="0" hidden="1">Weekly by #REF!</definedName>
    <definedName name="BExW1L0UBOQM7K490QSU9DAPF6L2" localSheetId="1" hidden="1">Weekly by #REF!</definedName>
    <definedName name="BExW1L0UBOQM7K490QSU9DAPF6L2" localSheetId="4" hidden="1">Weekly by #REF!</definedName>
    <definedName name="BExW1L0UBOQM7K490QSU9DAPF6L2" localSheetId="5" hidden="1">Weekly by #REF!</definedName>
    <definedName name="BExW1L0UBOQM7K490QSU9DAPF6L2" localSheetId="6" hidden="1">Weekly by #REF!</definedName>
    <definedName name="BExW1L0UBOQM7K490QSU9DAPF6L2" localSheetId="7" hidden="1">Weekly by #REF!</definedName>
    <definedName name="BExW1L0UBOQM7K490QSU9DAPF6L2" localSheetId="11" hidden="1">Weekly by #REF!</definedName>
    <definedName name="BExW1L0UBOQM7K490QSU9DAPF6L2" localSheetId="2" hidden="1">Weekly by #REF!</definedName>
    <definedName name="BExW1L0UBOQM7K490QSU9DAPF6L2" localSheetId="10" hidden="1">Weekly by #REF!</definedName>
    <definedName name="BExW1L0UBOQM7K490QSU9DAPF6L2" hidden="1">Weekly by #REF!</definedName>
    <definedName name="BExW22PGTQTO5C5TK1RQUWPR4X8X" localSheetId="0" hidden="1">#REF!</definedName>
    <definedName name="BExW22PGTQTO5C5TK1RQUWPR4X8X" localSheetId="2" hidden="1">#REF!</definedName>
    <definedName name="BExW22PGTQTO5C5TK1RQUWPR4X8X" hidden="1">#REF!</definedName>
    <definedName name="BExW27CKTHXIQCUL3RSLAFEQV8VT" localSheetId="0" hidden="1">#REF!</definedName>
    <definedName name="BExW27CKTHXIQCUL3RSLAFEQV8VT" localSheetId="2" hidden="1">#REF!</definedName>
    <definedName name="BExW27CKTHXIQCUL3RSLAFEQV8VT" hidden="1">#REF!</definedName>
    <definedName name="BExW29WF535OHEG91SW5OF7MQBU2" localSheetId="0" hidden="1">#REF!</definedName>
    <definedName name="BExW29WF535OHEG91SW5OF7MQBU2" hidden="1">#REF!</definedName>
    <definedName name="BExW2AY2GZIBH58TP9MXWRXTZ10W" localSheetId="0" hidden="1">#REF!</definedName>
    <definedName name="BExW2AY2GZIBH58TP9MXWRXTZ10W" hidden="1">#REF!</definedName>
    <definedName name="BExW35YV9V70DFOPLUGI2W7IYOU2" localSheetId="0" hidden="1">#REF!</definedName>
    <definedName name="BExW35YV9V70DFOPLUGI2W7IYOU2" hidden="1">#REF!</definedName>
    <definedName name="BExW48XD6HRDPL4Q11EMUF26REMD" localSheetId="0" hidden="1">#REF!</definedName>
    <definedName name="BExW48XD6HRDPL4Q11EMUF26REMD" hidden="1">#REF!</definedName>
    <definedName name="BExW4L7R1NVUKEQSVWZPXWCI6NVN" localSheetId="0" hidden="1">#REF!</definedName>
    <definedName name="BExW4L7R1NVUKEQSVWZPXWCI6NVN" hidden="1">#REF!</definedName>
    <definedName name="BExW4QR9SO5K2EKCGI7MH8HIIBF5" localSheetId="0" hidden="1">#REF!</definedName>
    <definedName name="BExW4QR9SO5K2EKCGI7MH8HIIBF5" hidden="1">#REF!</definedName>
    <definedName name="BExW4S980QVHHT7SZ0CMVH1Z25PN" localSheetId="0" hidden="1">#REF!</definedName>
    <definedName name="BExW4S980QVHHT7SZ0CMVH1Z25PN" hidden="1">#REF!</definedName>
    <definedName name="BExW4W5HHUEZ3O9DYN9KJZWC1FEL" localSheetId="0" hidden="1">#REF!</definedName>
    <definedName name="BExW4W5HHUEZ3O9DYN9KJZWC1FEL" hidden="1">#REF!</definedName>
    <definedName name="BExW5EFO6R6U4UQLT4G2G4W9SX94" localSheetId="0" hidden="1">#REF!</definedName>
    <definedName name="BExW5EFO6R6U4UQLT4G2G4W9SX94" hidden="1">#REF!</definedName>
    <definedName name="BExW5HVOJOSFHLS7YE7GZUIF1ZHF" localSheetId="0" hidden="1">Weekly by #REF!</definedName>
    <definedName name="BExW5HVOJOSFHLS7YE7GZUIF1ZHF" localSheetId="1" hidden="1">Weekly by #REF!</definedName>
    <definedName name="BExW5HVOJOSFHLS7YE7GZUIF1ZHF" localSheetId="4" hidden="1">Weekly by #REF!</definedName>
    <definedName name="BExW5HVOJOSFHLS7YE7GZUIF1ZHF" localSheetId="5" hidden="1">Weekly by #REF!</definedName>
    <definedName name="BExW5HVOJOSFHLS7YE7GZUIF1ZHF" localSheetId="6" hidden="1">Weekly by #REF!</definedName>
    <definedName name="BExW5HVOJOSFHLS7YE7GZUIF1ZHF" localSheetId="7" hidden="1">Weekly by #REF!</definedName>
    <definedName name="BExW5HVOJOSFHLS7YE7GZUIF1ZHF" localSheetId="11" hidden="1">Weekly by #REF!</definedName>
    <definedName name="BExW5HVOJOSFHLS7YE7GZUIF1ZHF" localSheetId="2" hidden="1">Weekly by #REF!</definedName>
    <definedName name="BExW5HVOJOSFHLS7YE7GZUIF1ZHF" localSheetId="10" hidden="1">Weekly by #REF!</definedName>
    <definedName name="BExW5HVOJOSFHLS7YE7GZUIF1ZHF" hidden="1">Weekly by #REF!</definedName>
    <definedName name="BExW5RMEM0O7EJWHTA7Y0GOTN0OB" localSheetId="0" hidden="1">#REF!</definedName>
    <definedName name="BExW5RMEM0O7EJWHTA7Y0GOTN0OB" localSheetId="2" hidden="1">#REF!</definedName>
    <definedName name="BExW5RMEM0O7EJWHTA7Y0GOTN0OB" hidden="1">#REF!</definedName>
    <definedName name="BExW5X64UZDAB8GEIIQBWQV66NV9" localSheetId="0" hidden="1">#REF!</definedName>
    <definedName name="BExW5X64UZDAB8GEIIQBWQV66NV9" localSheetId="2" hidden="1">#REF!</definedName>
    <definedName name="BExW5X64UZDAB8GEIIQBWQV66NV9" hidden="1">#REF!</definedName>
    <definedName name="BExW61NYOHBXEBCZ80ZJTB38E7BS" localSheetId="0" hidden="1">#REF!</definedName>
    <definedName name="BExW61NYOHBXEBCZ80ZJTB38E7BS" hidden="1">#REF!</definedName>
    <definedName name="BExW64T5GUYKW4V1314DJGUR4ABG" localSheetId="0" hidden="1">#REF!</definedName>
    <definedName name="BExW64T5GUYKW4V1314DJGUR4ABG" hidden="1">#REF!</definedName>
    <definedName name="BExW6C5GCVDGGRYG29UDRQ5F1DZJ" localSheetId="0" hidden="1">Weekly by #REF!</definedName>
    <definedName name="BExW6C5GCVDGGRYG29UDRQ5F1DZJ" localSheetId="1" hidden="1">Weekly by #REF!</definedName>
    <definedName name="BExW6C5GCVDGGRYG29UDRQ5F1DZJ" localSheetId="4" hidden="1">Weekly by #REF!</definedName>
    <definedName name="BExW6C5GCVDGGRYG29UDRQ5F1DZJ" localSheetId="5" hidden="1">Weekly by #REF!</definedName>
    <definedName name="BExW6C5GCVDGGRYG29UDRQ5F1DZJ" localSheetId="6" hidden="1">Weekly by #REF!</definedName>
    <definedName name="BExW6C5GCVDGGRYG29UDRQ5F1DZJ" localSheetId="7" hidden="1">Weekly by #REF!</definedName>
    <definedName name="BExW6C5GCVDGGRYG29UDRQ5F1DZJ" localSheetId="11" hidden="1">Weekly by #REF!</definedName>
    <definedName name="BExW6C5GCVDGGRYG29UDRQ5F1DZJ" localSheetId="2" hidden="1">Weekly by #REF!</definedName>
    <definedName name="BExW6C5GCVDGGRYG29UDRQ5F1DZJ" localSheetId="10" hidden="1">Weekly by #REF!</definedName>
    <definedName name="BExW6C5GCVDGGRYG29UDRQ5F1DZJ" hidden="1">Weekly by #REF!</definedName>
    <definedName name="BExW6QE0VJ5RRAQZB4SWWF8JTHCL" localSheetId="0" hidden="1">#REF!</definedName>
    <definedName name="BExW6QE0VJ5RRAQZB4SWWF8JTHCL" localSheetId="2" hidden="1">#REF!</definedName>
    <definedName name="BExW6QE0VJ5RRAQZB4SWWF8JTHCL" hidden="1">#REF!</definedName>
    <definedName name="BExW6WJ2VW51JNF32JZF98WJDRR3" localSheetId="0" hidden="1">#REF!</definedName>
    <definedName name="BExW6WJ2VW51JNF32JZF98WJDRR3" localSheetId="2" hidden="1">#REF!</definedName>
    <definedName name="BExW6WJ2VW51JNF32JZF98WJDRR3" hidden="1">#REF!</definedName>
    <definedName name="BExW74MG1WIOS7FRGX4CXWYNPZV1" localSheetId="0" hidden="1">#REF!</definedName>
    <definedName name="BExW74MG1WIOS7FRGX4CXWYNPZV1" hidden="1">#REF!</definedName>
    <definedName name="BExW782LBJUIVCV6ACRLJBIKVJFQ" localSheetId="0" hidden="1">#REF!</definedName>
    <definedName name="BExW782LBJUIVCV6ACRLJBIKVJFQ" hidden="1">#REF!</definedName>
    <definedName name="BExW7BNX0CG5K7YJ7EOEFFI7BRTR" localSheetId="0" hidden="1">#REF!</definedName>
    <definedName name="BExW7BNX0CG5K7YJ7EOEFFI7BRTR" hidden="1">#REF!</definedName>
    <definedName name="BExW7NSY9CQA1O23DAZ9TYTC0PAO" localSheetId="0" hidden="1">#REF!</definedName>
    <definedName name="BExW7NSY9CQA1O23DAZ9TYTC0PAO" hidden="1">#REF!</definedName>
    <definedName name="BExW7Q79RJWXCSWJIY4GLGGQXX5G" localSheetId="0" hidden="1">#REF!</definedName>
    <definedName name="BExW7Q79RJWXCSWJIY4GLGGQXX5G" hidden="1">#REF!</definedName>
    <definedName name="BExW7R3O60607WTZTAIL73FQ1JVA" localSheetId="0" hidden="1">#REF!</definedName>
    <definedName name="BExW7R3O60607WTZTAIL73FQ1JVA" hidden="1">#REF!</definedName>
    <definedName name="BExW7RP8W25HJJLSTFTPEK1L7LD9" localSheetId="0" hidden="1">#REF!</definedName>
    <definedName name="BExW7RP8W25HJJLSTFTPEK1L7LD9" hidden="1">#REF!</definedName>
    <definedName name="BExW89DT2OUQ24LOFUS7BMP44P4B" localSheetId="0" hidden="1">#REF!</definedName>
    <definedName name="BExW89DT2OUQ24LOFUS7BMP44P4B" hidden="1">#REF!</definedName>
    <definedName name="BExW8ODBNT9W8GT58SUG5LC0UK09" localSheetId="0" hidden="1">Weekly by #REF!</definedName>
    <definedName name="BExW8ODBNT9W8GT58SUG5LC0UK09" localSheetId="1" hidden="1">Weekly by #REF!</definedName>
    <definedName name="BExW8ODBNT9W8GT58SUG5LC0UK09" localSheetId="4" hidden="1">Weekly by #REF!</definedName>
    <definedName name="BExW8ODBNT9W8GT58SUG5LC0UK09" localSheetId="5" hidden="1">Weekly by #REF!</definedName>
    <definedName name="BExW8ODBNT9W8GT58SUG5LC0UK09" localSheetId="6" hidden="1">Weekly by #REF!</definedName>
    <definedName name="BExW8ODBNT9W8GT58SUG5LC0UK09" localSheetId="7" hidden="1">Weekly by #REF!</definedName>
    <definedName name="BExW8ODBNT9W8GT58SUG5LC0UK09" localSheetId="11" hidden="1">Weekly by #REF!</definedName>
    <definedName name="BExW8ODBNT9W8GT58SUG5LC0UK09" localSheetId="2" hidden="1">Weekly by #REF!</definedName>
    <definedName name="BExW8ODBNT9W8GT58SUG5LC0UK09" localSheetId="10" hidden="1">Weekly by #REF!</definedName>
    <definedName name="BExW8ODBNT9W8GT58SUG5LC0UK09" hidden="1">Weekly by #REF!</definedName>
    <definedName name="BExW9G39X58B5FGJEE8EY65TJ80A" localSheetId="0" hidden="1">#REF!</definedName>
    <definedName name="BExW9G39X58B5FGJEE8EY65TJ80A" localSheetId="2" hidden="1">#REF!</definedName>
    <definedName name="BExW9G39X58B5FGJEE8EY65TJ80A" hidden="1">#REF!</definedName>
    <definedName name="BExW9JZK2CSFMKED1TX7YD9FRDO3" localSheetId="0" hidden="1">#REF!</definedName>
    <definedName name="BExW9JZK2CSFMKED1TX7YD9FRDO3" localSheetId="2" hidden="1">#REF!</definedName>
    <definedName name="BExW9JZK2CSFMKED1TX7YD9FRDO3" hidden="1">#REF!</definedName>
    <definedName name="BExXLDOYNIS8GLKISUIBXIOW06CA" localSheetId="0" hidden="1">#REF!</definedName>
    <definedName name="BExXLDOYNIS8GLKISUIBXIOW06CA" hidden="1">#REF!</definedName>
    <definedName name="BExXLEAJYWWSC14OXN5XGJDVZ3QR" localSheetId="0" hidden="1">Weekly by #REF!</definedName>
    <definedName name="BExXLEAJYWWSC14OXN5XGJDVZ3QR" localSheetId="1" hidden="1">Weekly by #REF!</definedName>
    <definedName name="BExXLEAJYWWSC14OXN5XGJDVZ3QR" localSheetId="4" hidden="1">Weekly by #REF!</definedName>
    <definedName name="BExXLEAJYWWSC14OXN5XGJDVZ3QR" localSheetId="5" hidden="1">Weekly by #REF!</definedName>
    <definedName name="BExXLEAJYWWSC14OXN5XGJDVZ3QR" localSheetId="6" hidden="1">Weekly by #REF!</definedName>
    <definedName name="BExXLEAJYWWSC14OXN5XGJDVZ3QR" localSheetId="7" hidden="1">Weekly by #REF!</definedName>
    <definedName name="BExXLEAJYWWSC14OXN5XGJDVZ3QR" localSheetId="11" hidden="1">Weekly by #REF!</definedName>
    <definedName name="BExXLEAJYWWSC14OXN5XGJDVZ3QR" localSheetId="2" hidden="1">Weekly by #REF!</definedName>
    <definedName name="BExXLEAJYWWSC14OXN5XGJDVZ3QR" localSheetId="10" hidden="1">Weekly by #REF!</definedName>
    <definedName name="BExXLEAJYWWSC14OXN5XGJDVZ3QR" hidden="1">Weekly by #REF!</definedName>
    <definedName name="BExXMJ1XDZUY32KGPG7IUH4YEQO5" localSheetId="0" hidden="1">#REF!</definedName>
    <definedName name="BExXMJ1XDZUY32KGPG7IUH4YEQO5" localSheetId="2" hidden="1">#REF!</definedName>
    <definedName name="BExXMJ1XDZUY32KGPG7IUH4YEQO5" hidden="1">#REF!</definedName>
    <definedName name="BExXN0VU8PI7CEWXJP28DF1ZPIF4" localSheetId="0" hidden="1">#REF!</definedName>
    <definedName name="BExXN0VU8PI7CEWXJP28DF1ZPIF4" localSheetId="2" hidden="1">#REF!</definedName>
    <definedName name="BExXN0VU8PI7CEWXJP28DF1ZPIF4" hidden="1">#REF!</definedName>
    <definedName name="BExXN9FFJ931QFL8ITLA71QM56WY" localSheetId="0" hidden="1">Weekly by #REF!</definedName>
    <definedName name="BExXN9FFJ931QFL8ITLA71QM56WY" localSheetId="1" hidden="1">Weekly by #REF!</definedName>
    <definedName name="BExXN9FFJ931QFL8ITLA71QM56WY" localSheetId="4" hidden="1">Weekly by #REF!</definedName>
    <definedName name="BExXN9FFJ931QFL8ITLA71QM56WY" localSheetId="5" hidden="1">Weekly by #REF!</definedName>
    <definedName name="BExXN9FFJ931QFL8ITLA71QM56WY" localSheetId="6" hidden="1">Weekly by #REF!</definedName>
    <definedName name="BExXN9FFJ931QFL8ITLA71QM56WY" localSheetId="7" hidden="1">Weekly by #REF!</definedName>
    <definedName name="BExXN9FFJ931QFL8ITLA71QM56WY" localSheetId="11" hidden="1">Weekly by #REF!</definedName>
    <definedName name="BExXN9FFJ931QFL8ITLA71QM56WY" localSheetId="2" hidden="1">Weekly by #REF!</definedName>
    <definedName name="BExXN9FFJ931QFL8ITLA71QM56WY" localSheetId="10" hidden="1">Weekly by #REF!</definedName>
    <definedName name="BExXN9FFJ931QFL8ITLA71QM56WY" hidden="1">Weekly by #REF!</definedName>
    <definedName name="BExXNF9QPMU3PJ8K8S1SNVI3TCLH" localSheetId="0" hidden="1">#REF!</definedName>
    <definedName name="BExXNF9QPMU3PJ8K8S1SNVI3TCLH" localSheetId="2" hidden="1">#REF!</definedName>
    <definedName name="BExXNF9QPMU3PJ8K8S1SNVI3TCLH" hidden="1">#REF!</definedName>
    <definedName name="BExXNO44OXV8YU44CIBFV9YSTX0I" localSheetId="0" hidden="1">#REF!</definedName>
    <definedName name="BExXNO44OXV8YU44CIBFV9YSTX0I" localSheetId="2" hidden="1">#REF!</definedName>
    <definedName name="BExXNO44OXV8YU44CIBFV9YSTX0I" hidden="1">#REF!</definedName>
    <definedName name="BExXNRUWHTVKJZUNKVBFHLNVSDV2" localSheetId="0" hidden="1">#REF!</definedName>
    <definedName name="BExXNRUWHTVKJZUNKVBFHLNVSDV2" hidden="1">#REF!</definedName>
    <definedName name="BExXNSLYWITH4246M4YVOUIV04ZJ" localSheetId="0" hidden="1">#REF!</definedName>
    <definedName name="BExXNSLYWITH4246M4YVOUIV04ZJ" hidden="1">#REF!</definedName>
    <definedName name="BExXO1G5TG80TSHNS86X0DXO6YHY" localSheetId="0" hidden="1">#REF!</definedName>
    <definedName name="BExXO1G5TG80TSHNS86X0DXO6YHY" hidden="1">#REF!</definedName>
    <definedName name="BExXO6E9ABFOYA2LVN6RLW4BO9G6" localSheetId="0" hidden="1">#REF!</definedName>
    <definedName name="BExXO6E9ABFOYA2LVN6RLW4BO9G6" hidden="1">#REF!</definedName>
    <definedName name="BExXO6ZP85325PSLSXWM38N73O6V" localSheetId="0" hidden="1">#REF!</definedName>
    <definedName name="BExXO6ZP85325PSLSXWM38N73O6V" hidden="1">#REF!</definedName>
    <definedName name="BExXOJQBVBDGLVEYZAE7AL8F0VWX" localSheetId="0" hidden="1">#REF!</definedName>
    <definedName name="BExXOJQBVBDGLVEYZAE7AL8F0VWX" hidden="1">#REF!</definedName>
    <definedName name="BExXOMFGWSG2UE9D4AO8PR5G5C15" localSheetId="0" hidden="1">#REF!</definedName>
    <definedName name="BExXOMFGWSG2UE9D4AO8PR5G5C15" hidden="1">#REF!</definedName>
    <definedName name="BExXOMQ9421Y32TZ81U6YGIP35QU" localSheetId="0" hidden="1">#REF!</definedName>
    <definedName name="BExXOMQ9421Y32TZ81U6YGIP35QU" hidden="1">#REF!</definedName>
    <definedName name="BExXP6IDUFCYSR6FO0GJQZK3UD2I" localSheetId="0" hidden="1">Weekly by #REF!</definedName>
    <definedName name="BExXP6IDUFCYSR6FO0GJQZK3UD2I" localSheetId="1" hidden="1">Weekly by #REF!</definedName>
    <definedName name="BExXP6IDUFCYSR6FO0GJQZK3UD2I" localSheetId="4" hidden="1">Weekly by #REF!</definedName>
    <definedName name="BExXP6IDUFCYSR6FO0GJQZK3UD2I" localSheetId="5" hidden="1">Weekly by #REF!</definedName>
    <definedName name="BExXP6IDUFCYSR6FO0GJQZK3UD2I" localSheetId="6" hidden="1">Weekly by #REF!</definedName>
    <definedName name="BExXP6IDUFCYSR6FO0GJQZK3UD2I" localSheetId="7" hidden="1">Weekly by #REF!</definedName>
    <definedName name="BExXP6IDUFCYSR6FO0GJQZK3UD2I" localSheetId="11" hidden="1">Weekly by #REF!</definedName>
    <definedName name="BExXP6IDUFCYSR6FO0GJQZK3UD2I" localSheetId="2" hidden="1">Weekly by #REF!</definedName>
    <definedName name="BExXP6IDUFCYSR6FO0GJQZK3UD2I" localSheetId="10" hidden="1">Weekly by #REF!</definedName>
    <definedName name="BExXP6IDUFCYSR6FO0GJQZK3UD2I" hidden="1">Weekly by #REF!</definedName>
    <definedName name="BExXPDUMN4B85QFXGPSJPII52QR3" localSheetId="0" hidden="1">#REF!</definedName>
    <definedName name="BExXPDUMN4B85QFXGPSJPII52QR3" localSheetId="2" hidden="1">#REF!</definedName>
    <definedName name="BExXPDUMN4B85QFXGPSJPII52QR3" hidden="1">#REF!</definedName>
    <definedName name="BExXPOSIKA7VECAGQNCDXBCDMRAB" localSheetId="0" hidden="1">#REF!</definedName>
    <definedName name="BExXPOSIKA7VECAGQNCDXBCDMRAB" localSheetId="2" hidden="1">#REF!</definedName>
    <definedName name="BExXPOSIKA7VECAGQNCDXBCDMRAB" hidden="1">#REF!</definedName>
    <definedName name="BExXPUMU4BLFWI2L0MHMM5F3OUPL" localSheetId="0" hidden="1">#REF!</definedName>
    <definedName name="BExXPUMU4BLFWI2L0MHMM5F3OUPL" hidden="1">#REF!</definedName>
    <definedName name="BExXQ06J7OF0O2FO4WR0QK93RJ17" localSheetId="0" hidden="1">#REF!</definedName>
    <definedName name="BExXQ06J7OF0O2FO4WR0QK93RJ17" hidden="1">#REF!</definedName>
    <definedName name="BExXQHPNAFE4M6C2HYRCQNIU9D31" localSheetId="0" hidden="1">#REF!</definedName>
    <definedName name="BExXQHPNAFE4M6C2HYRCQNIU9D31" hidden="1">#REF!</definedName>
    <definedName name="BExXQMYEOGRO69K9BLZF14USRMVP" localSheetId="0" hidden="1">#REF!</definedName>
    <definedName name="BExXQMYEOGRO69K9BLZF14USRMVP" hidden="1">#REF!</definedName>
    <definedName name="BExXQS1SGPIQX0ESRMCECOYMUQQJ" localSheetId="0" hidden="1">#REF!</definedName>
    <definedName name="BExXQS1SGPIQX0ESRMCECOYMUQQJ" hidden="1">#REF!</definedName>
    <definedName name="BExXQVY29BVJPXK5LNOJ5UW88WYC" localSheetId="0" hidden="1">#REF!</definedName>
    <definedName name="BExXQVY29BVJPXK5LNOJ5UW88WYC" hidden="1">#REF!</definedName>
    <definedName name="BExXRE88Y8MPUAIE12VNGRHQMKP7" localSheetId="0" hidden="1">#REF!</definedName>
    <definedName name="BExXRE88Y8MPUAIE12VNGRHQMKP7" hidden="1">#REF!</definedName>
    <definedName name="BExXRHIY77F53DUYX7CMZPXGRDAG" localSheetId="0" hidden="1">#REF!</definedName>
    <definedName name="BExXRHIY77F53DUYX7CMZPXGRDAG" hidden="1">#REF!</definedName>
    <definedName name="BExXRJRQO4DKCHLE5HZPATAD8KWQ" localSheetId="0" hidden="1">Weekly by #REF!</definedName>
    <definedName name="BExXRJRQO4DKCHLE5HZPATAD8KWQ" localSheetId="1" hidden="1">Weekly by #REF!</definedName>
    <definedName name="BExXRJRQO4DKCHLE5HZPATAD8KWQ" localSheetId="4" hidden="1">Weekly by #REF!</definedName>
    <definedName name="BExXRJRQO4DKCHLE5HZPATAD8KWQ" localSheetId="5" hidden="1">Weekly by #REF!</definedName>
    <definedName name="BExXRJRQO4DKCHLE5HZPATAD8KWQ" localSheetId="6" hidden="1">Weekly by #REF!</definedName>
    <definedName name="BExXRJRQO4DKCHLE5HZPATAD8KWQ" localSheetId="7" hidden="1">Weekly by #REF!</definedName>
    <definedName name="BExXRJRQO4DKCHLE5HZPATAD8KWQ" localSheetId="11" hidden="1">Weekly by #REF!</definedName>
    <definedName name="BExXRJRQO4DKCHLE5HZPATAD8KWQ" localSheetId="2" hidden="1">Weekly by #REF!</definedName>
    <definedName name="BExXRJRQO4DKCHLE5HZPATAD8KWQ" localSheetId="10" hidden="1">Weekly by #REF!</definedName>
    <definedName name="BExXRJRQO4DKCHLE5HZPATAD8KWQ" hidden="1">Weekly by #REF!</definedName>
    <definedName name="BExXRWCYL4O8N2IOXERLTIR7CJI6" localSheetId="0" hidden="1">#REF!</definedName>
    <definedName name="BExXRWCYL4O8N2IOXERLTIR7CJI6" localSheetId="2" hidden="1">#REF!</definedName>
    <definedName name="BExXRWCYL4O8N2IOXERLTIR7CJI6" hidden="1">#REF!</definedName>
    <definedName name="BExXSBY0S70HRJ1R0POASBK3RJTG" localSheetId="0" hidden="1">#REF!</definedName>
    <definedName name="BExXSBY0S70HRJ1R0POASBK3RJTG" localSheetId="2" hidden="1">#REF!</definedName>
    <definedName name="BExXSBY0S70HRJ1R0POASBK3RJTG" hidden="1">#REF!</definedName>
    <definedName name="BExXT74551NL4RD4KBUWXLJEU5BE" localSheetId="0" hidden="1">#REF!</definedName>
    <definedName name="BExXT74551NL4RD4KBUWXLJEU5BE" hidden="1">#REF!</definedName>
    <definedName name="BExXTINEGPKZ75DCUCEF3QOV6OES" localSheetId="0" hidden="1">#REF!</definedName>
    <definedName name="BExXTINEGPKZ75DCUCEF3QOV6OES" hidden="1">#REF!</definedName>
    <definedName name="BExXTKAV4Y4JQ7D62LKGD89F9WMF" localSheetId="0" hidden="1">#REF!</definedName>
    <definedName name="BExXTKAV4Y4JQ7D62LKGD89F9WMF" hidden="1">#REF!</definedName>
    <definedName name="BExXUJO1PD7MSZU4K5FHCUY6OOLB" localSheetId="0" hidden="1">Weekly by #REF!</definedName>
    <definedName name="BExXUJO1PD7MSZU4K5FHCUY6OOLB" localSheetId="1" hidden="1">Weekly by #REF!</definedName>
    <definedName name="BExXUJO1PD7MSZU4K5FHCUY6OOLB" localSheetId="4" hidden="1">Weekly by #REF!</definedName>
    <definedName name="BExXUJO1PD7MSZU4K5FHCUY6OOLB" localSheetId="5" hidden="1">Weekly by #REF!</definedName>
    <definedName name="BExXUJO1PD7MSZU4K5FHCUY6OOLB" localSheetId="6" hidden="1">Weekly by #REF!</definedName>
    <definedName name="BExXUJO1PD7MSZU4K5FHCUY6OOLB" localSheetId="7" hidden="1">Weekly by #REF!</definedName>
    <definedName name="BExXUJO1PD7MSZU4K5FHCUY6OOLB" localSheetId="11" hidden="1">Weekly by #REF!</definedName>
    <definedName name="BExXUJO1PD7MSZU4K5FHCUY6OOLB" localSheetId="2" hidden="1">Weekly by #REF!</definedName>
    <definedName name="BExXUJO1PD7MSZU4K5FHCUY6OOLB" localSheetId="10" hidden="1">Weekly by #REF!</definedName>
    <definedName name="BExXUJO1PD7MSZU4K5FHCUY6OOLB" hidden="1">Weekly by #REF!</definedName>
    <definedName name="BExXV1HWKTB46UXT08JLMPP8P4SP" localSheetId="0" hidden="1">#REF!</definedName>
    <definedName name="BExXV1HWKTB46UXT08JLMPP8P4SP" localSheetId="2" hidden="1">#REF!</definedName>
    <definedName name="BExXV1HWKTB46UXT08JLMPP8P4SP" hidden="1">#REF!</definedName>
    <definedName name="BExXWCEFPM2UFC3LC37H8GSMA5GA" localSheetId="0" hidden="1">#REF!</definedName>
    <definedName name="BExXWCEFPM2UFC3LC37H8GSMA5GA" localSheetId="2" hidden="1">#REF!</definedName>
    <definedName name="BExXWCEFPM2UFC3LC37H8GSMA5GA" hidden="1">#REF!</definedName>
    <definedName name="BExXWI3A0SX6F497A0RTXNSIICBZ" localSheetId="0" hidden="1">#REF!</definedName>
    <definedName name="BExXWI3A0SX6F497A0RTXNSIICBZ" hidden="1">#REF!</definedName>
    <definedName name="BExXXM3RWQS8800APFAIJ8EOGF4Z" localSheetId="0" hidden="1">#REF!</definedName>
    <definedName name="BExXXM3RWQS8800APFAIJ8EOGF4Z" hidden="1">#REF!</definedName>
    <definedName name="BExXY0SAZOPJMDG9GOR625UDCCS8" localSheetId="0" hidden="1">#REF!</definedName>
    <definedName name="BExXY0SAZOPJMDG9GOR625UDCCS8" hidden="1">#REF!</definedName>
    <definedName name="BExXY2FR7PFLXNGA6J0Z6IQF8TYJ" localSheetId="0" hidden="1">#REF!</definedName>
    <definedName name="BExXY2FR7PFLXNGA6J0Z6IQF8TYJ" hidden="1">#REF!</definedName>
    <definedName name="BExXYOGP3QOUX1NE0HRYGMSLLQXJ" localSheetId="0" hidden="1">#REF!</definedName>
    <definedName name="BExXYOGP3QOUX1NE0HRYGMSLLQXJ" hidden="1">#REF!</definedName>
    <definedName name="BExXYSIG3I46GS87PKY9GK6NYC1O" localSheetId="0" hidden="1">#REF!</definedName>
    <definedName name="BExXYSIG3I46GS87PKY9GK6NYC1O" hidden="1">#REF!</definedName>
    <definedName name="BExXYUGHKOESL43PSVX44W2OVS8G" localSheetId="0" hidden="1">#REF!</definedName>
    <definedName name="BExXYUGHKOESL43PSVX44W2OVS8G" hidden="1">#REF!</definedName>
    <definedName name="BExXZ3WEYVVV9XKKD5E86QEX5U57" localSheetId="0" hidden="1">#REF!</definedName>
    <definedName name="BExXZ3WEYVVV9XKKD5E86QEX5U57" hidden="1">#REF!</definedName>
    <definedName name="BExXZ4CKWN3R9HA311KINBA3R2K4" localSheetId="0" hidden="1">#REF!</definedName>
    <definedName name="BExXZ4CKWN3R9HA311KINBA3R2K4" hidden="1">#REF!</definedName>
    <definedName name="BExXZ6QU5C0UMWY7U4BHVZNIPANK" localSheetId="0" hidden="1">#REF!</definedName>
    <definedName name="BExXZ6QU5C0UMWY7U4BHVZNIPANK" hidden="1">#REF!</definedName>
    <definedName name="BExXZM14XID3OAA88OURJ7QSZW1E" localSheetId="0" hidden="1">#REF!</definedName>
    <definedName name="BExXZM14XID3OAA88OURJ7QSZW1E" hidden="1">#REF!</definedName>
    <definedName name="BExY05T95YHBLI9ZYWFFT2O2B871" localSheetId="0" hidden="1">#REF!</definedName>
    <definedName name="BExY05T95YHBLI9ZYWFFT2O2B871" hidden="1">#REF!</definedName>
    <definedName name="BExY1FIMLW9L499KIE7ZJ706UYLM" localSheetId="0" hidden="1">#REF!</definedName>
    <definedName name="BExY1FIMLW9L499KIE7ZJ706UYLM" hidden="1">#REF!</definedName>
    <definedName name="BExY1ONMI973LYH6W67SZIDXWDA0" localSheetId="0" hidden="1">#REF!</definedName>
    <definedName name="BExY1ONMI973LYH6W67SZIDXWDA0" hidden="1">#REF!</definedName>
    <definedName name="BExY2B4TGQZ5K8PTFV1BJVNCPBUH" localSheetId="0" hidden="1">Weekly by #REF!</definedName>
    <definedName name="BExY2B4TGQZ5K8PTFV1BJVNCPBUH" localSheetId="1" hidden="1">Weekly by #REF!</definedName>
    <definedName name="BExY2B4TGQZ5K8PTFV1BJVNCPBUH" localSheetId="4" hidden="1">Weekly by #REF!</definedName>
    <definedName name="BExY2B4TGQZ5K8PTFV1BJVNCPBUH" localSheetId="5" hidden="1">Weekly by #REF!</definedName>
    <definedName name="BExY2B4TGQZ5K8PTFV1BJVNCPBUH" localSheetId="6" hidden="1">Weekly by #REF!</definedName>
    <definedName name="BExY2B4TGQZ5K8PTFV1BJVNCPBUH" localSheetId="7" hidden="1">Weekly by #REF!</definedName>
    <definedName name="BExY2B4TGQZ5K8PTFV1BJVNCPBUH" localSheetId="11" hidden="1">Weekly by #REF!</definedName>
    <definedName name="BExY2B4TGQZ5K8PTFV1BJVNCPBUH" localSheetId="2" hidden="1">Weekly by #REF!</definedName>
    <definedName name="BExY2B4TGQZ5K8PTFV1BJVNCPBUH" localSheetId="10" hidden="1">Weekly by #REF!</definedName>
    <definedName name="BExY2B4TGQZ5K8PTFV1BJVNCPBUH" hidden="1">Weekly by #REF!</definedName>
    <definedName name="BExY35PCYUKY98SE47PHJ28XZGOW" localSheetId="0" hidden="1">#REF!</definedName>
    <definedName name="BExY35PCYUKY98SE47PHJ28XZGOW" localSheetId="2" hidden="1">#REF!</definedName>
    <definedName name="BExY35PCYUKY98SE47PHJ28XZGOW" hidden="1">#REF!</definedName>
    <definedName name="BExY3BUHF49HBMC20Z30YPLFCPS7" localSheetId="0" hidden="1">#REF!</definedName>
    <definedName name="BExY3BUHF49HBMC20Z30YPLFCPS7" localSheetId="2" hidden="1">#REF!</definedName>
    <definedName name="BExY3BUHF49HBMC20Z30YPLFCPS7" hidden="1">#REF!</definedName>
    <definedName name="BExY3C59PDF2BON135CH8LLYNO9W" localSheetId="0" hidden="1">#REF!</definedName>
    <definedName name="BExY3C59PDF2BON135CH8LLYNO9W" hidden="1">#REF!</definedName>
    <definedName name="BExY3FAME3HIN2RXBJJ7BFZOQELW" localSheetId="0" hidden="1">#REF!</definedName>
    <definedName name="BExY3FAME3HIN2RXBJJ7BFZOQELW" hidden="1">#REF!</definedName>
    <definedName name="BExY3JXT10HDV8IRQXYNHEEU49VD" localSheetId="0" hidden="1">#REF!</definedName>
    <definedName name="BExY3JXT10HDV8IRQXYNHEEU49VD" hidden="1">#REF!</definedName>
    <definedName name="BExY3PS9FF16S8QWSYU89GM4E8VB" localSheetId="0" hidden="1">#REF!</definedName>
    <definedName name="BExY3PS9FF16S8QWSYU89GM4E8VB" hidden="1">#REF!</definedName>
    <definedName name="BExY3YMHKXSM8ZA6J2QVK2F5QV01" localSheetId="0" hidden="1">#REF!</definedName>
    <definedName name="BExY3YMHKXSM8ZA6J2QVK2F5QV01" hidden="1">#REF!</definedName>
    <definedName name="BExY4DRA1NB56I6KHB22C0U0NKPH" localSheetId="0" hidden="1">#REF!</definedName>
    <definedName name="BExY4DRA1NB56I6KHB22C0U0NKPH" hidden="1">#REF!</definedName>
    <definedName name="BExY4HT06GYF7CEPWW5Z9OZ4LIDL" localSheetId="0" hidden="1">#REF!</definedName>
    <definedName name="BExY4HT06GYF7CEPWW5Z9OZ4LIDL" hidden="1">#REF!</definedName>
    <definedName name="BExY4PQUTBYZGBCOH80JJH5VLRD6" localSheetId="0" hidden="1">#REF!</definedName>
    <definedName name="BExY4PQUTBYZGBCOH80JJH5VLRD6" hidden="1">#REF!</definedName>
    <definedName name="BExY4SW8AV0ZS8G2TZLIRJTOBSGD" localSheetId="0" hidden="1">#REF!</definedName>
    <definedName name="BExY4SW8AV0ZS8G2TZLIRJTOBSGD" hidden="1">#REF!</definedName>
    <definedName name="BExY5BXBLQUW4SOF44M3WMGHRNE2" localSheetId="0" hidden="1">#REF!</definedName>
    <definedName name="BExY5BXBLQUW4SOF44M3WMGHRNE2" hidden="1">#REF!</definedName>
    <definedName name="BExY66SMGDYQEZLKI8VEUWNK09HL" localSheetId="0" hidden="1">#REF!</definedName>
    <definedName name="BExY66SMGDYQEZLKI8VEUWNK09HL" hidden="1">#REF!</definedName>
    <definedName name="BExZI8ALP7BRCA1KD31DT0OXSYTT" localSheetId="0" hidden="1">Weekly by #REF!</definedName>
    <definedName name="BExZI8ALP7BRCA1KD31DT0OXSYTT" localSheetId="1" hidden="1">Weekly by #REF!</definedName>
    <definedName name="BExZI8ALP7BRCA1KD31DT0OXSYTT" localSheetId="4" hidden="1">Weekly by #REF!</definedName>
    <definedName name="BExZI8ALP7BRCA1KD31DT0OXSYTT" localSheetId="5" hidden="1">Weekly by #REF!</definedName>
    <definedName name="BExZI8ALP7BRCA1KD31DT0OXSYTT" localSheetId="6" hidden="1">Weekly by #REF!</definedName>
    <definedName name="BExZI8ALP7BRCA1KD31DT0OXSYTT" localSheetId="7" hidden="1">Weekly by #REF!</definedName>
    <definedName name="BExZI8ALP7BRCA1KD31DT0OXSYTT" localSheetId="11" hidden="1">Weekly by #REF!</definedName>
    <definedName name="BExZI8ALP7BRCA1KD31DT0OXSYTT" localSheetId="2" hidden="1">Weekly by #REF!</definedName>
    <definedName name="BExZI8ALP7BRCA1KD31DT0OXSYTT" localSheetId="10" hidden="1">Weekly by #REF!</definedName>
    <definedName name="BExZI8ALP7BRCA1KD31DT0OXSYTT" hidden="1">Weekly by #REF!</definedName>
    <definedName name="BExZJ95Q4W86H7ZC5DN8NAC8B3X3" localSheetId="0" hidden="1">Weekly by #REF!</definedName>
    <definedName name="BExZJ95Q4W86H7ZC5DN8NAC8B3X3" localSheetId="1" hidden="1">Weekly by #REF!</definedName>
    <definedName name="BExZJ95Q4W86H7ZC5DN8NAC8B3X3" localSheetId="4" hidden="1">Weekly by #REF!</definedName>
    <definedName name="BExZJ95Q4W86H7ZC5DN8NAC8B3X3" localSheetId="5" hidden="1">Weekly by #REF!</definedName>
    <definedName name="BExZJ95Q4W86H7ZC5DN8NAC8B3X3" localSheetId="6" hidden="1">Weekly by #REF!</definedName>
    <definedName name="BExZJ95Q4W86H7ZC5DN8NAC8B3X3" localSheetId="7" hidden="1">Weekly by #REF!</definedName>
    <definedName name="BExZJ95Q4W86H7ZC5DN8NAC8B3X3" localSheetId="11" hidden="1">Weekly by #REF!</definedName>
    <definedName name="BExZJ95Q4W86H7ZC5DN8NAC8B3X3" localSheetId="2" hidden="1">Weekly by #REF!</definedName>
    <definedName name="BExZJ95Q4W86H7ZC5DN8NAC8B3X3" localSheetId="10" hidden="1">Weekly by #REF!</definedName>
    <definedName name="BExZJ95Q4W86H7ZC5DN8NAC8B3X3" hidden="1">Weekly by #REF!</definedName>
    <definedName name="BExZJA22HQFUO0AXG89KJGS2WE03" localSheetId="0" hidden="1">#REF!</definedName>
    <definedName name="BExZJA22HQFUO0AXG89KJGS2WE03" localSheetId="2" hidden="1">#REF!</definedName>
    <definedName name="BExZJA22HQFUO0AXG89KJGS2WE03" hidden="1">#REF!</definedName>
    <definedName name="BExZJL5AHN8BE3OZGYLEWXD0LXDP" localSheetId="0" hidden="1">Weekly by #REF!</definedName>
    <definedName name="BExZJL5AHN8BE3OZGYLEWXD0LXDP" localSheetId="1" hidden="1">Weekly by #REF!</definedName>
    <definedName name="BExZJL5AHN8BE3OZGYLEWXD0LXDP" localSheetId="4" hidden="1">Weekly by #REF!</definedName>
    <definedName name="BExZJL5AHN8BE3OZGYLEWXD0LXDP" localSheetId="5" hidden="1">Weekly by #REF!</definedName>
    <definedName name="BExZJL5AHN8BE3OZGYLEWXD0LXDP" localSheetId="6" hidden="1">Weekly by #REF!</definedName>
    <definedName name="BExZJL5AHN8BE3OZGYLEWXD0LXDP" localSheetId="7" hidden="1">Weekly by #REF!</definedName>
    <definedName name="BExZJL5AHN8BE3OZGYLEWXD0LXDP" localSheetId="11" hidden="1">Weekly by #REF!</definedName>
    <definedName name="BExZJL5AHN8BE3OZGYLEWXD0LXDP" localSheetId="2" hidden="1">Weekly by #REF!</definedName>
    <definedName name="BExZJL5AHN8BE3OZGYLEWXD0LXDP" localSheetId="10" hidden="1">Weekly by #REF!</definedName>
    <definedName name="BExZJL5AHN8BE3OZGYLEWXD0LXDP" hidden="1">Weekly by #REF!</definedName>
    <definedName name="BExZJMN92B493KLKPJ5RJLINP7BX" localSheetId="0" hidden="1">#REF!</definedName>
    <definedName name="BExZJMN92B493KLKPJ5RJLINP7BX" localSheetId="2" hidden="1">#REF!</definedName>
    <definedName name="BExZJMN92B493KLKPJ5RJLINP7BX" hidden="1">#REF!</definedName>
    <definedName name="BExZJU4ZJUO53Z0ZDKXRX3KI682X" localSheetId="0" hidden="1">#REF!</definedName>
    <definedName name="BExZJU4ZJUO53Z0ZDKXRX3KI682X" localSheetId="2" hidden="1">#REF!</definedName>
    <definedName name="BExZJU4ZJUO53Z0ZDKXRX3KI682X" hidden="1">#REF!</definedName>
    <definedName name="BExZK04S0KP6LOSNB2X6UHVLPSZP" localSheetId="0" hidden="1">#REF!</definedName>
    <definedName name="BExZK04S0KP6LOSNB2X6UHVLPSZP" hidden="1">#REF!</definedName>
    <definedName name="BExZKGRIH1C8XY2R7Z1LHBXCBRJC" localSheetId="0" hidden="1">#REF!</definedName>
    <definedName name="BExZKGRIH1C8XY2R7Z1LHBXCBRJC" hidden="1">#REF!</definedName>
    <definedName name="BExZKS08F6QAV3Z6SYC6GPFQHIYP" localSheetId="0" hidden="1">#REF!</definedName>
    <definedName name="BExZKS08F6QAV3Z6SYC6GPFQHIYP" hidden="1">#REF!</definedName>
    <definedName name="BExZLCDWOXSAL3E45Y87GOH1NUUX" localSheetId="0" hidden="1">#REF!</definedName>
    <definedName name="BExZLCDWOXSAL3E45Y87GOH1NUUX" hidden="1">#REF!</definedName>
    <definedName name="BExZLGVLOPLIHVX6G1W60US4C6P9" localSheetId="0" hidden="1">#REF!</definedName>
    <definedName name="BExZLGVLOPLIHVX6G1W60US4C6P9" hidden="1">#REF!</definedName>
    <definedName name="BExZLHRZMB1LAT56CZDZRRPS2Q5E" localSheetId="0" hidden="1">#REF!</definedName>
    <definedName name="BExZLHRZMB1LAT56CZDZRRPS2Q5E" hidden="1">#REF!</definedName>
    <definedName name="BExZLT5ZPFGYISDYWOPOK90JLRBR" localSheetId="0" hidden="1">#REF!</definedName>
    <definedName name="BExZLT5ZPFGYISDYWOPOK90JLRBR" hidden="1">#REF!</definedName>
    <definedName name="BExZMW4NRD33QFVW1HU2QNVF3W8N" localSheetId="0" hidden="1">Weekly by #REF!</definedName>
    <definedName name="BExZMW4NRD33QFVW1HU2QNVF3W8N" localSheetId="1" hidden="1">Weekly by #REF!</definedName>
    <definedName name="BExZMW4NRD33QFVW1HU2QNVF3W8N" localSheetId="4" hidden="1">Weekly by #REF!</definedName>
    <definedName name="BExZMW4NRD33QFVW1HU2QNVF3W8N" localSheetId="5" hidden="1">Weekly by #REF!</definedName>
    <definedName name="BExZMW4NRD33QFVW1HU2QNVF3W8N" localSheetId="6" hidden="1">Weekly by #REF!</definedName>
    <definedName name="BExZMW4NRD33QFVW1HU2QNVF3W8N" localSheetId="7" hidden="1">Weekly by #REF!</definedName>
    <definedName name="BExZMW4NRD33QFVW1HU2QNVF3W8N" localSheetId="11" hidden="1">Weekly by #REF!</definedName>
    <definedName name="BExZMW4NRD33QFVW1HU2QNVF3W8N" localSheetId="2" hidden="1">Weekly by #REF!</definedName>
    <definedName name="BExZMW4NRD33QFVW1HU2QNVF3W8N" localSheetId="10" hidden="1">Weekly by #REF!</definedName>
    <definedName name="BExZMW4NRD33QFVW1HU2QNVF3W8N" hidden="1">Weekly by #REF!</definedName>
    <definedName name="BExZN4IQHWK2U1PBUME8FLKKYHDB" localSheetId="0" hidden="1">#REF!</definedName>
    <definedName name="BExZN4IQHWK2U1PBUME8FLKKYHDB" localSheetId="2" hidden="1">#REF!</definedName>
    <definedName name="BExZN4IQHWK2U1PBUME8FLKKYHDB" hidden="1">#REF!</definedName>
    <definedName name="BExZNIB2Z0PW4MJVTRVEDQX8NTGC" localSheetId="0" hidden="1">#REF!</definedName>
    <definedName name="BExZNIB2Z0PW4MJVTRVEDQX8NTGC" localSheetId="2" hidden="1">#REF!</definedName>
    <definedName name="BExZNIB2Z0PW4MJVTRVEDQX8NTGC" hidden="1">#REF!</definedName>
    <definedName name="BExZNJ1Y8RSOGU7HCLNI4JJ9WA8U" localSheetId="0" hidden="1">#REF!</definedName>
    <definedName name="BExZNJ1Y8RSOGU7HCLNI4JJ9WA8U" hidden="1">#REF!</definedName>
    <definedName name="BExZNT3IENBP4PJ3O1VRGS96XB1T" localSheetId="0" hidden="1">#REF!</definedName>
    <definedName name="BExZNT3IENBP4PJ3O1VRGS96XB1T" hidden="1">#REF!</definedName>
    <definedName name="BExZOEIVPQXLMQIOFZKVB6QU4PL2" localSheetId="0" hidden="1">#REF!</definedName>
    <definedName name="BExZOEIVPQXLMQIOFZKVB6QU4PL2" hidden="1">#REF!</definedName>
    <definedName name="BExZOGBLV9VKIJSZA9FTH6F6I902" localSheetId="0" hidden="1">#REF!</definedName>
    <definedName name="BExZOGBLV9VKIJSZA9FTH6F6I902" hidden="1">#REF!</definedName>
    <definedName name="BExZPFU3AP7RASS5X21Q6MTP5DI1" localSheetId="0" hidden="1">#REF!</definedName>
    <definedName name="BExZPFU3AP7RASS5X21Q6MTP5DI1" hidden="1">#REF!</definedName>
    <definedName name="BExZPUISK0KUWD1PJ79EAELEZMVZ" localSheetId="0" hidden="1">#REF!</definedName>
    <definedName name="BExZPUISK0KUWD1PJ79EAELEZMVZ" hidden="1">#REF!</definedName>
    <definedName name="BExZPUO3WXZZLJS5CMNV98Z7IUYV" localSheetId="0" hidden="1">#REF!</definedName>
    <definedName name="BExZPUO3WXZZLJS5CMNV98Z7IUYV" hidden="1">#REF!</definedName>
    <definedName name="BExZPWBJ4H8RND8XVKNCJ474L2J6" localSheetId="0" hidden="1">#REF!</definedName>
    <definedName name="BExZPWBJ4H8RND8XVKNCJ474L2J6" hidden="1">#REF!</definedName>
    <definedName name="BExZPZGQ0P3AF3O4QGLPI3O31H73" localSheetId="0" hidden="1">#REF!</definedName>
    <definedName name="BExZPZGQ0P3AF3O4QGLPI3O31H73" hidden="1">#REF!</definedName>
    <definedName name="BExZQ97GRS1JT451BUNZG7OVGF7Q" localSheetId="0" hidden="1">#REF!</definedName>
    <definedName name="BExZQ97GRS1JT451BUNZG7OVGF7Q" hidden="1">#REF!</definedName>
    <definedName name="BExZRGNSUPG6TBX2L292MP1PLVMU" localSheetId="0" hidden="1">#REF!</definedName>
    <definedName name="BExZRGNSUPG6TBX2L292MP1PLVMU" hidden="1">#REF!</definedName>
    <definedName name="BExZRYN6TKLS1N70DLRI2IKWN37Q" localSheetId="0" hidden="1">#REF!</definedName>
    <definedName name="BExZRYN6TKLS1N70DLRI2IKWN37Q" hidden="1">#REF!</definedName>
    <definedName name="BExZS1CBTC8QC8S2HIB93A2TPFQA" localSheetId="0" hidden="1">#REF!</definedName>
    <definedName name="BExZS1CBTC8QC8S2HIB93A2TPFQA" hidden="1">#REF!</definedName>
    <definedName name="BExZSYRAL38T8SFTHLEC94VZAPTB" localSheetId="0" hidden="1">#REF!</definedName>
    <definedName name="BExZSYRAL38T8SFTHLEC94VZAPTB" hidden="1">#REF!</definedName>
    <definedName name="BExZSZ21VX9ESDG8PFXHDLT82KLO" localSheetId="0" hidden="1">#REF!</definedName>
    <definedName name="BExZSZ21VX9ESDG8PFXHDLT82KLO" hidden="1">#REF!</definedName>
    <definedName name="BExZT099CSLD6DJMIKJKIXDO8GD5" localSheetId="0" hidden="1">#REF!</definedName>
    <definedName name="BExZT099CSLD6DJMIKJKIXDO8GD5" hidden="1">#REF!</definedName>
    <definedName name="BExZT4G9XWEXQ18D0PEKSEHI6WID" localSheetId="0" hidden="1">#REF!</definedName>
    <definedName name="BExZT4G9XWEXQ18D0PEKSEHI6WID" hidden="1">#REF!</definedName>
    <definedName name="BExZTC8S1L60TW34BLBQLDKD9RH4" localSheetId="0" hidden="1">#REF!</definedName>
    <definedName name="BExZTC8S1L60TW34BLBQLDKD9RH4" hidden="1">#REF!</definedName>
    <definedName name="BExZTCP3AS1RQUH3NNZGOJY7ORHW" localSheetId="0" hidden="1">#REF!</definedName>
    <definedName name="BExZTCP3AS1RQUH3NNZGOJY7ORHW" hidden="1">#REF!</definedName>
    <definedName name="BExZTYQ1JEJ7OY2XU5OVPIV2ST7B" localSheetId="0" hidden="1">#REF!</definedName>
    <definedName name="BExZTYQ1JEJ7OY2XU5OVPIV2ST7B" hidden="1">#REF!</definedName>
    <definedName name="BExZUSZSJZU49WES7TCI0N0HW4M5" localSheetId="0" hidden="1">#REF!</definedName>
    <definedName name="BExZUSZSJZU49WES7TCI0N0HW4M5" hidden="1">#REF!</definedName>
    <definedName name="BExZV4OFC4E044NV2AK8G2UA1XAF" localSheetId="0" hidden="1">#REF!</definedName>
    <definedName name="BExZV4OFC4E044NV2AK8G2UA1XAF" hidden="1">#REF!</definedName>
    <definedName name="BExZVCRRWDAEMKOMWLKW8Y589BTB" localSheetId="0" hidden="1">#REF!</definedName>
    <definedName name="BExZVCRRWDAEMKOMWLKW8Y589BTB" hidden="1">#REF!</definedName>
    <definedName name="BExZVW92BIGOE7S7BGNAK369OBAA" localSheetId="0" hidden="1">#REF!</definedName>
    <definedName name="BExZVW92BIGOE7S7BGNAK369OBAA" hidden="1">#REF!</definedName>
    <definedName name="BExZWO4ITR24TI60TY7ZB4VTJJ3K" localSheetId="0" hidden="1">#REF!</definedName>
    <definedName name="BExZWO4ITR24TI60TY7ZB4VTJJ3K" hidden="1">#REF!</definedName>
    <definedName name="BExZWTO13WI5HYOD923V9HWRJYKJ" localSheetId="0" hidden="1">#REF!</definedName>
    <definedName name="BExZWTO13WI5HYOD923V9HWRJYKJ" hidden="1">#REF!</definedName>
    <definedName name="BExZX1WSR48BBWSFW7QP7EUMPQM7" localSheetId="0" hidden="1">#REF!</definedName>
    <definedName name="BExZX1WSR48BBWSFW7QP7EUMPQM7" hidden="1">#REF!</definedName>
    <definedName name="BExZX7WLQ6UA49H4TEFYYVZW71QH" localSheetId="0" hidden="1">Weekly by #REF!</definedName>
    <definedName name="BExZX7WLQ6UA49H4TEFYYVZW71QH" localSheetId="1" hidden="1">Weekly by #REF!</definedName>
    <definedName name="BExZX7WLQ6UA49H4TEFYYVZW71QH" localSheetId="4" hidden="1">Weekly by #REF!</definedName>
    <definedName name="BExZX7WLQ6UA49H4TEFYYVZW71QH" localSheetId="5" hidden="1">Weekly by #REF!</definedName>
    <definedName name="BExZX7WLQ6UA49H4TEFYYVZW71QH" localSheetId="6" hidden="1">Weekly by #REF!</definedName>
    <definedName name="BExZX7WLQ6UA49H4TEFYYVZW71QH" localSheetId="7" hidden="1">Weekly by #REF!</definedName>
    <definedName name="BExZX7WLQ6UA49H4TEFYYVZW71QH" localSheetId="11" hidden="1">Weekly by #REF!</definedName>
    <definedName name="BExZX7WLQ6UA49H4TEFYYVZW71QH" localSheetId="2" hidden="1">Weekly by #REF!</definedName>
    <definedName name="BExZX7WLQ6UA49H4TEFYYVZW71QH" localSheetId="10" hidden="1">Weekly by #REF!</definedName>
    <definedName name="BExZX7WLQ6UA49H4TEFYYVZW71QH" hidden="1">Weekly by #REF!</definedName>
    <definedName name="BExZX8I6XYE9MJFC5JUG3ZJE9YCS" localSheetId="0" hidden="1">#REF!</definedName>
    <definedName name="BExZX8I6XYE9MJFC5JUG3ZJE9YCS" localSheetId="2" hidden="1">#REF!</definedName>
    <definedName name="BExZX8I6XYE9MJFC5JUG3ZJE9YCS" hidden="1">#REF!</definedName>
    <definedName name="BExZXYA4YA3LROELPDUCJ8SP9YM0" localSheetId="0" hidden="1">#REF!</definedName>
    <definedName name="BExZXYA4YA3LROELPDUCJ8SP9YM0" localSheetId="2" hidden="1">#REF!</definedName>
    <definedName name="BExZXYA4YA3LROELPDUCJ8SP9YM0" hidden="1">#REF!</definedName>
    <definedName name="BExZYQAUREPPDTLGD2PSZ9F5TENP" localSheetId="0" hidden="1">#REF!</definedName>
    <definedName name="BExZYQAUREPPDTLGD2PSZ9F5TENP" hidden="1">#REF!</definedName>
    <definedName name="BExZZ24YQOBUJTDPVU4JE2DI81OU" localSheetId="0" hidden="1">#REF!</definedName>
    <definedName name="BExZZ24YQOBUJTDPVU4JE2DI81OU" hidden="1">#REF!</definedName>
    <definedName name="BExZZC6HAIITD2LG9VYL7VF2213L" localSheetId="0" hidden="1">#REF!</definedName>
    <definedName name="BExZZC6HAIITD2LG9VYL7VF2213L" hidden="1">#REF!</definedName>
    <definedName name="BExZZEKN19YC5T4N5QEKPIRD5U4E" localSheetId="0" hidden="1">#REF!</definedName>
    <definedName name="BExZZEKN19YC5T4N5QEKPIRD5U4E" hidden="1">#REF!</definedName>
    <definedName name="BExZZX5LNMXWHX5WKP9XRZI1YZA1" localSheetId="0" hidden="1">#REF!</definedName>
    <definedName name="BExZZX5LNMXWHX5WKP9XRZI1YZA1" hidden="1">#REF!</definedName>
    <definedName name="BIJ" localSheetId="0">#REF!</definedName>
    <definedName name="BIJ">#REF!</definedName>
    <definedName name="Blank_Row" localSheetId="0">#REF!</definedName>
    <definedName name="Blank_Row">#REF!</definedName>
    <definedName name="bllll" localSheetId="0" hidden="1">#REF!</definedName>
    <definedName name="bllll" hidden="1">#REF!</definedName>
    <definedName name="BLOCRET" localSheetId="0">#REF!</definedName>
    <definedName name="BLOCRET">#REF!</definedName>
    <definedName name="BLPH10" localSheetId="0" hidden="1">#REF!</definedName>
    <definedName name="BLPH10" hidden="1">#REF!</definedName>
    <definedName name="BLPH23" localSheetId="0" hidden="1">#REF!</definedName>
    <definedName name="BLPH23" hidden="1">#REF!</definedName>
    <definedName name="BLPH24" localSheetId="0" hidden="1">#REF!</definedName>
    <definedName name="BLPH24" hidden="1">#REF!</definedName>
    <definedName name="BLPH25" localSheetId="0" hidden="1">#REF!</definedName>
    <definedName name="BLPH25" hidden="1">#REF!</definedName>
    <definedName name="BLPH6" localSheetId="0" hidden="1">#REF!</definedName>
    <definedName name="BLPH6" hidden="1">#REF!</definedName>
    <definedName name="BLPH7" localSheetId="0" hidden="1">#REF!</definedName>
    <definedName name="BLPH7" hidden="1">#REF!</definedName>
    <definedName name="bocais" localSheetId="0">#REF!</definedName>
    <definedName name="bocais">#REF!</definedName>
    <definedName name="BOLA1" localSheetId="0">#REF!</definedName>
    <definedName name="BOLA1">#REF!</definedName>
    <definedName name="BOLA1.5" localSheetId="0">#REF!</definedName>
    <definedName name="BOLA1.5">#REF!</definedName>
    <definedName name="BOLA1.5800" localSheetId="0">#REF!</definedName>
    <definedName name="BOLA1.5800">#REF!</definedName>
    <definedName name="BOLA2" localSheetId="0">#REF!</definedName>
    <definedName name="BOLA2">#REF!</definedName>
    <definedName name="BOLA3" localSheetId="0">#REF!</definedName>
    <definedName name="BOLA3">#REF!</definedName>
    <definedName name="BRITAGEM" localSheetId="0" hidden="1">{#N/A,#N/A,FALSE,"GERAL";#N/A,#N/A,FALSE,"012-96";#N/A,#N/A,FALSE,"018-96";#N/A,#N/A,FALSE,"027-96";#N/A,#N/A,FALSE,"059-96";#N/A,#N/A,FALSE,"076-96";#N/A,#N/A,FALSE,"019-97";#N/A,#N/A,FALSE,"021-97";#N/A,#N/A,FALSE,"022-97";#N/A,#N/A,FALSE,"028-97"}</definedName>
    <definedName name="BRITAGEM" localSheetId="2"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ITAGEMFL1" localSheetId="0" hidden="1">{#N/A,#N/A,FALSE,"GERAL";#N/A,#N/A,FALSE,"012-96";#N/A,#N/A,FALSE,"018-96";#N/A,#N/A,FALSE,"027-96";#N/A,#N/A,FALSE,"059-96";#N/A,#N/A,FALSE,"076-96";#N/A,#N/A,FALSE,"019-97";#N/A,#N/A,FALSE,"021-97";#N/A,#N/A,FALSE,"022-97";#N/A,#N/A,FALSE,"028-97"}</definedName>
    <definedName name="BRITAGEMFL1" localSheetId="2" hidden="1">{#N/A,#N/A,FALSE,"GERAL";#N/A,#N/A,FALSE,"012-96";#N/A,#N/A,FALSE,"018-96";#N/A,#N/A,FALSE,"027-96";#N/A,#N/A,FALSE,"059-96";#N/A,#N/A,FALSE,"076-96";#N/A,#N/A,FALSE,"019-97";#N/A,#N/A,FALSE,"021-97";#N/A,#N/A,FALSE,"022-97";#N/A,#N/A,FALSE,"028-97"}</definedName>
    <definedName name="BRITAGEMFL1" hidden="1">{#N/A,#N/A,FALSE,"GERAL";#N/A,#N/A,FALSE,"012-96";#N/A,#N/A,FALSE,"018-96";#N/A,#N/A,FALSE,"027-96";#N/A,#N/A,FALSE,"059-96";#N/A,#N/A,FALSE,"076-96";#N/A,#N/A,FALSE,"019-97";#N/A,#N/A,FALSE,"021-97";#N/A,#N/A,FALSE,"022-97";#N/A,#N/A,FALSE,"028-97"}</definedName>
    <definedName name="BRL" localSheetId="0">#REF!</definedName>
    <definedName name="BRL">#REF!</definedName>
    <definedName name="BU" localSheetId="0">#REF!</definedName>
    <definedName name="BU">#REF!</definedName>
    <definedName name="Budget_Cum_Cost_Summary" localSheetId="0">#REF!</definedName>
    <definedName name="Budget_Cum_Cost_Summary">#REF!</definedName>
    <definedName name="Budget_Cum_Mhrs_Summary" localSheetId="0">#REF!</definedName>
    <definedName name="Budget_Cum_Mhrs_Summary">#REF!</definedName>
    <definedName name="BusinessUnit" localSheetId="0">#REF!</definedName>
    <definedName name="BusinessUnit">#REF!</definedName>
    <definedName name="BVZ" localSheetId="0" hidden="1">{#N/A,#N/A,FALSE,"GERAL";#N/A,#N/A,FALSE,"012-96";#N/A,#N/A,FALSE,"018-96";#N/A,#N/A,FALSE,"027-96";#N/A,#N/A,FALSE,"059-96";#N/A,#N/A,FALSE,"076-96";#N/A,#N/A,FALSE,"019-97";#N/A,#N/A,FALSE,"021-97";#N/A,#N/A,FALSE,"022-97";#N/A,#N/A,FALSE,"028-97"}</definedName>
    <definedName name="BVZ" localSheetId="2" hidden="1">{#N/A,#N/A,FALSE,"GERAL";#N/A,#N/A,FALSE,"012-96";#N/A,#N/A,FALSE,"018-96";#N/A,#N/A,FALSE,"027-96";#N/A,#N/A,FALSE,"059-96";#N/A,#N/A,FALSE,"076-96";#N/A,#N/A,FALSE,"019-97";#N/A,#N/A,FALSE,"021-97";#N/A,#N/A,FALSE,"022-97";#N/A,#N/A,FALSE,"028-97"}</definedName>
    <definedName name="BVZ" hidden="1">{#N/A,#N/A,FALSE,"GERAL";#N/A,#N/A,FALSE,"012-96";#N/A,#N/A,FALSE,"018-96";#N/A,#N/A,FALSE,"027-96";#N/A,#N/A,FALSE,"059-96";#N/A,#N/A,FALSE,"076-96";#N/A,#N/A,FALSE,"019-97";#N/A,#N/A,FALSE,"021-97";#N/A,#N/A,FALSE,"022-97";#N/A,#N/A,FALSE,"028-97"}</definedName>
    <definedName name="BVZB" localSheetId="0" hidden="1">{#N/A,#N/A,FALSE,"GERAL";#N/A,#N/A,FALSE,"012-96";#N/A,#N/A,FALSE,"018-96";#N/A,#N/A,FALSE,"027-96";#N/A,#N/A,FALSE,"059-96";#N/A,#N/A,FALSE,"076-96";#N/A,#N/A,FALSE,"019-97";#N/A,#N/A,FALSE,"021-97";#N/A,#N/A,FALSE,"022-97";#N/A,#N/A,FALSE,"028-97"}</definedName>
    <definedName name="BVZB" localSheetId="2" hidden="1">{#N/A,#N/A,FALSE,"GERAL";#N/A,#N/A,FALSE,"012-96";#N/A,#N/A,FALSE,"018-96";#N/A,#N/A,FALSE,"027-96";#N/A,#N/A,FALSE,"059-96";#N/A,#N/A,FALSE,"076-96";#N/A,#N/A,FALSE,"019-97";#N/A,#N/A,FALSE,"021-97";#N/A,#N/A,FALSE,"022-97";#N/A,#N/A,FALSE,"028-97"}</definedName>
    <definedName name="BVZB" hidden="1">{#N/A,#N/A,FALSE,"GERAL";#N/A,#N/A,FALSE,"012-96";#N/A,#N/A,FALSE,"018-96";#N/A,#N/A,FALSE,"027-96";#N/A,#N/A,FALSE,"059-96";#N/A,#N/A,FALSE,"076-96";#N/A,#N/A,FALSE,"019-97";#N/A,#N/A,FALSE,"021-97";#N/A,#N/A,FALSE,"022-97";#N/A,#N/A,FALSE,"028-97"}</definedName>
    <definedName name="byline" localSheetId="0">#REF!</definedName>
    <definedName name="byline">#REF!</definedName>
    <definedName name="BZCZC" localSheetId="0" hidden="1">{#N/A,#N/A,FALSE,"GERAL";#N/A,#N/A,FALSE,"012-96";#N/A,#N/A,FALSE,"018-96";#N/A,#N/A,FALSE,"027-96";#N/A,#N/A,FALSE,"059-96";#N/A,#N/A,FALSE,"076-96";#N/A,#N/A,FALSE,"019-97";#N/A,#N/A,FALSE,"021-97";#N/A,#N/A,FALSE,"022-97";#N/A,#N/A,FALSE,"028-97"}</definedName>
    <definedName name="BZCZC" localSheetId="2" hidden="1">{#N/A,#N/A,FALSE,"GERAL";#N/A,#N/A,FALSE,"012-96";#N/A,#N/A,FALSE,"018-96";#N/A,#N/A,FALSE,"027-96";#N/A,#N/A,FALSE,"059-96";#N/A,#N/A,FALSE,"076-96";#N/A,#N/A,FALSE,"019-97";#N/A,#N/A,FALSE,"021-97";#N/A,#N/A,FALSE,"022-97";#N/A,#N/A,FALSE,"028-97"}</definedName>
    <definedName name="BZCZC" hidden="1">{#N/A,#N/A,FALSE,"GERAL";#N/A,#N/A,FALSE,"012-96";#N/A,#N/A,FALSE,"018-96";#N/A,#N/A,FALSE,"027-96";#N/A,#N/A,FALSE,"059-96";#N/A,#N/A,FALSE,"076-96";#N/A,#N/A,FALSE,"019-97";#N/A,#N/A,FALSE,"021-97";#N/A,#N/A,FALSE,"022-97";#N/A,#N/A,FALSE,"028-97"}</definedName>
    <definedName name="C_fin" localSheetId="0">#REF!</definedName>
    <definedName name="C_fin">#REF!</definedName>
    <definedName name="CAB" localSheetId="0">#REF!</definedName>
    <definedName name="CAB">#REF!</definedName>
    <definedName name="Cabecalho">"Grupo 1"</definedName>
    <definedName name="cabecBol" localSheetId="0">#REF!</definedName>
    <definedName name="cabecBol">#REF!</definedName>
    <definedName name="Cable_XRef" localSheetId="0">#REF!</definedName>
    <definedName name="Cable_XRef">#REF!</definedName>
    <definedName name="cable13c10600" localSheetId="0">#REF!</definedName>
    <definedName name="cable13c10600">#REF!</definedName>
    <definedName name="cable13c12600" localSheetId="0">#REF!</definedName>
    <definedName name="cable13c12600">#REF!</definedName>
    <definedName name="cable13c20600" localSheetId="0">#REF!</definedName>
    <definedName name="cable13c20600">#REF!</definedName>
    <definedName name="cable13c350600" localSheetId="0">#REF!</definedName>
    <definedName name="cable13c350600">#REF!</definedName>
    <definedName name="cable13c40600" localSheetId="0">#REF!</definedName>
    <definedName name="cable13c40600">#REF!</definedName>
    <definedName name="cable13c500600" localSheetId="0">#REF!</definedName>
    <definedName name="cable13c500600">#REF!</definedName>
    <definedName name="cable14c10600" localSheetId="0">#REF!</definedName>
    <definedName name="cable14c10600">#REF!</definedName>
    <definedName name="cable14c12600" localSheetId="0">#REF!</definedName>
    <definedName name="cable14c12600">#REF!</definedName>
    <definedName name="cable14c4600" localSheetId="0">#REF!</definedName>
    <definedName name="cable14c4600">#REF!</definedName>
    <definedName name="cable14c6600" localSheetId="0">#REF!</definedName>
    <definedName name="cable14c6600">#REF!</definedName>
    <definedName name="cable14c8600" localSheetId="0">#REF!</definedName>
    <definedName name="cable14c8600">#REF!</definedName>
    <definedName name="cablecode20" localSheetId="0">#REF!</definedName>
    <definedName name="cablecode20">#REF!</definedName>
    <definedName name="cablecode40" localSheetId="0">#REF!</definedName>
    <definedName name="cablecode40">#REF!</definedName>
    <definedName name="caca" localSheetId="0">#REF!</definedName>
    <definedName name="caca">#REF!</definedName>
    <definedName name="CAD" localSheetId="0">#REF!</definedName>
    <definedName name="CAD">#REF!</definedName>
    <definedName name="caixa" localSheetId="0" hidden="1">{#N/A,#N/A,FALSE,"GERAL";#N/A,#N/A,FALSE,"012-96";#N/A,#N/A,FALSE,"018-96";#N/A,#N/A,FALSE,"027-96";#N/A,#N/A,FALSE,"059-96";#N/A,#N/A,FALSE,"076-96";#N/A,#N/A,FALSE,"019-97";#N/A,#N/A,FALSE,"021-97";#N/A,#N/A,FALSE,"022-97";#N/A,#N/A,FALSE,"028-97"}</definedName>
    <definedName name="caixa" localSheetId="2" hidden="1">{#N/A,#N/A,FALSE,"GERAL";#N/A,#N/A,FALSE,"012-96";#N/A,#N/A,FALSE,"018-96";#N/A,#N/A,FALSE,"027-96";#N/A,#N/A,FALSE,"059-96";#N/A,#N/A,FALSE,"076-96";#N/A,#N/A,FALSE,"019-97";#N/A,#N/A,FALSE,"021-97";#N/A,#N/A,FALSE,"022-97";#N/A,#N/A,FALSE,"028-97"}</definedName>
    <definedName name="caixa" hidden="1">{#N/A,#N/A,FALSE,"GERAL";#N/A,#N/A,FALSE,"012-96";#N/A,#N/A,FALSE,"018-96";#N/A,#N/A,FALSE,"027-96";#N/A,#N/A,FALSE,"059-96";#N/A,#N/A,FALSE,"076-96";#N/A,#N/A,FALSE,"019-97";#N/A,#N/A,FALSE,"021-97";#N/A,#N/A,FALSE,"022-97";#N/A,#N/A,FALSE,"028-97"}</definedName>
    <definedName name="caixas" localSheetId="0" hidden="1">{#N/A,#N/A,FALSE,"GERAL";#N/A,#N/A,FALSE,"012-96";#N/A,#N/A,FALSE,"018-96";#N/A,#N/A,FALSE,"027-96";#N/A,#N/A,FALSE,"059-96";#N/A,#N/A,FALSE,"076-96";#N/A,#N/A,FALSE,"019-97";#N/A,#N/A,FALSE,"021-97";#N/A,#N/A,FALSE,"022-97";#N/A,#N/A,FALSE,"028-97"}</definedName>
    <definedName name="caixas" localSheetId="2"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ALBUMMEDIDAACUM2" localSheetId="0">#REF!</definedName>
    <definedName name="CALBUMMEDIDAACUM2">#REF!</definedName>
    <definedName name="calculo" localSheetId="0">#REF!</definedName>
    <definedName name="calculo">#REF!</definedName>
    <definedName name="Calde" localSheetId="0">#REF!</definedName>
    <definedName name="Calde">#REF!</definedName>
    <definedName name="Camióm" localSheetId="0" hidden="1">{"FlujoGastos",#N/A,FALSE,"Base";"FlujoGastos",#N/A,FALSE,"Buzón Tren";"FlujoGastos",#N/A,FALSE,"Buzón Camión";"FlujoGastos",#N/A,FALSE,"LHD Camión";"FlujoGastos",#N/A,FALSE,"Cámara Camión"}</definedName>
    <definedName name="Camióm" localSheetId="2"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Ñ1" localSheetId="0">#REF!</definedName>
    <definedName name="CAÑ1">#REF!</definedName>
    <definedName name="CAÑ1.5" localSheetId="0">#REF!</definedName>
    <definedName name="CAÑ1.5">#REF!</definedName>
    <definedName name="CAÑ10" localSheetId="0">#REF!</definedName>
    <definedName name="CAÑ10">#REF!</definedName>
    <definedName name="CAÑ12" localSheetId="0">#REF!</definedName>
    <definedName name="CAÑ12">#REF!</definedName>
    <definedName name="CAÑ14" localSheetId="0">#REF!</definedName>
    <definedName name="CAÑ14">#REF!</definedName>
    <definedName name="CAÑ16" localSheetId="0">#REF!</definedName>
    <definedName name="CAÑ16">#REF!</definedName>
    <definedName name="CAÑ18" localSheetId="0">#REF!</definedName>
    <definedName name="CAÑ18">#REF!</definedName>
    <definedName name="CAÑ2" localSheetId="0">#REF!</definedName>
    <definedName name="CAÑ2">#REF!</definedName>
    <definedName name="CAÑ20" localSheetId="0">#REF!</definedName>
    <definedName name="CAÑ20">#REF!</definedName>
    <definedName name="CAÑ24" localSheetId="0">#REF!</definedName>
    <definedName name="CAÑ24">#REF!</definedName>
    <definedName name="CAÑ28" localSheetId="0">#REF!</definedName>
    <definedName name="CAÑ28">#REF!</definedName>
    <definedName name="CAÑ3" localSheetId="0">#REF!</definedName>
    <definedName name="CAÑ3">#REF!</definedName>
    <definedName name="CAÑ30" localSheetId="0">#REF!</definedName>
    <definedName name="CAÑ30">#REF!</definedName>
    <definedName name="CAÑ36" localSheetId="0">#REF!</definedName>
    <definedName name="CAÑ36">#REF!</definedName>
    <definedName name="CAÑ4" localSheetId="0">#REF!</definedName>
    <definedName name="CAÑ4">#REF!</definedName>
    <definedName name="CAÑ6" localSheetId="0">#REF!</definedName>
    <definedName name="CAÑ6">#REF!</definedName>
    <definedName name="CAÑ8" localSheetId="0">#REF!</definedName>
    <definedName name="CAÑ8">#REF!</definedName>
    <definedName name="CANCEL" localSheetId="0">#REF!</definedName>
    <definedName name="CANCEL">#REF!</definedName>
    <definedName name="CANCELADA" localSheetId="0">#REF!</definedName>
    <definedName name="CANCELADA">#REF!</definedName>
    <definedName name="CAÑmenor1" localSheetId="0">#REF!</definedName>
    <definedName name="CAÑmenor1">#REF!</definedName>
    <definedName name="CANT" localSheetId="0">#REF!</definedName>
    <definedName name="CANT">#REF!</definedName>
    <definedName name="CANTEIRO" localSheetId="0">#REF!</definedName>
    <definedName name="CANTEIRO">#REF!</definedName>
    <definedName name="capa" localSheetId="0">#REF!</definedName>
    <definedName name="capa">#REF!</definedName>
    <definedName name="CAPA2" localSheetId="0">#REF!</definedName>
    <definedName name="CAPA2">#REF!</definedName>
    <definedName name="CAPEX" localSheetId="0">#REF!</definedName>
    <definedName name="CAPEX">#REF!</definedName>
    <definedName name="CAPTAÇÃO" localSheetId="0" hidden="1">{#N/A,#N/A,FALSE,"GERAL";#N/A,#N/A,FALSE,"012-96";#N/A,#N/A,FALSE,"018-96";#N/A,#N/A,FALSE,"027-96";#N/A,#N/A,FALSE,"059-96";#N/A,#N/A,FALSE,"076-96";#N/A,#N/A,FALSE,"019-97";#N/A,#N/A,FALSE,"021-97";#N/A,#N/A,FALSE,"022-97";#N/A,#N/A,FALSE,"028-97"}</definedName>
    <definedName name="CAPTAÇÃO" localSheetId="2" hidden="1">{#N/A,#N/A,FALSE,"GERAL";#N/A,#N/A,FALSE,"012-96";#N/A,#N/A,FALSE,"018-96";#N/A,#N/A,FALSE,"027-96";#N/A,#N/A,FALSE,"059-96";#N/A,#N/A,FALSE,"076-96";#N/A,#N/A,FALSE,"019-97";#N/A,#N/A,FALSE,"021-97";#N/A,#N/A,FALSE,"022-97";#N/A,#N/A,FALSE,"028-97"}</definedName>
    <definedName name="CAPTAÇÃO" hidden="1">{#N/A,#N/A,FALSE,"GERAL";#N/A,#N/A,FALSE,"012-96";#N/A,#N/A,FALSE,"018-96";#N/A,#N/A,FALSE,"027-96";#N/A,#N/A,FALSE,"059-96";#N/A,#N/A,FALSE,"076-96";#N/A,#N/A,FALSE,"019-97";#N/A,#N/A,FALSE,"021-97";#N/A,#N/A,FALSE,"022-97";#N/A,#N/A,FALSE,"028-97"}</definedName>
    <definedName name="CAR" localSheetId="0">#REF!</definedName>
    <definedName name="CAR">#REF!</definedName>
    <definedName name="caracProcessoCompra" localSheetId="0">#REF!</definedName>
    <definedName name="caracProcessoCompra">#REF!</definedName>
    <definedName name="CARGOS_E_SALÁRIOS" localSheetId="0">#REF!</definedName>
    <definedName name="CARGOS_E_SALÁRIOS">#REF!</definedName>
    <definedName name="casa" localSheetId="0" hidden="1">{#N/A,#N/A,FALSE,"masez (10)";#N/A,#N/A,FALSE,"masez (7)";#N/A,#N/A,FALSE,"masez (6)";#N/A,#N/A,FALSE,"masez (5)";#N/A,#N/A,FALSE,"masez (4)";#N/A,#N/A,FALSE,"masez (3)";#N/A,#N/A,FALSE,"masez (2)";#N/A,#N/A,FALSE,"GME";#N/A,#N/A,FALSE,"masez"}</definedName>
    <definedName name="casa" localSheetId="2"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t" localSheetId="0">#REF!</definedName>
    <definedName name="cat">#REF!</definedName>
    <definedName name="CATEG" localSheetId="0">#REF!</definedName>
    <definedName name="CATEG">#REF!</definedName>
    <definedName name="categoria" localSheetId="0">#REF!</definedName>
    <definedName name="categoria">#REF!</definedName>
    <definedName name="Categorias" localSheetId="0">#REF!</definedName>
    <definedName name="Categorias">#REF!</definedName>
    <definedName name="Categorias1" localSheetId="0">#REF!</definedName>
    <definedName name="Categorias1">#REF!</definedName>
    <definedName name="CatRange">#REF!</definedName>
    <definedName name="CBWorkbookPriority" hidden="1">-568686334</definedName>
    <definedName name="cc"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c"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CC" localSheetId="0" hidden="1">{#N/A,#N/A,FALSE,"GERAL";#N/A,#N/A,FALSE,"012-96";#N/A,#N/A,FALSE,"018-96";#N/A,#N/A,FALSE,"027-96";#N/A,#N/A,FALSE,"059-96";#N/A,#N/A,FALSE,"076-96";#N/A,#N/A,FALSE,"019-97";#N/A,#N/A,FALSE,"021-97";#N/A,#N/A,FALSE,"022-97";#N/A,#N/A,FALSE,"028-97"}</definedName>
    <definedName name="CCC" localSheetId="2" hidden="1">{#N/A,#N/A,FALSE,"GERAL";#N/A,#N/A,FALSE,"012-96";#N/A,#N/A,FALSE,"018-96";#N/A,#N/A,FALSE,"027-96";#N/A,#N/A,FALSE,"059-96";#N/A,#N/A,FALSE,"076-96";#N/A,#N/A,FALSE,"019-97";#N/A,#N/A,FALSE,"021-97";#N/A,#N/A,FALSE,"022-97";#N/A,#N/A,FALSE,"028-97"}</definedName>
    <definedName name="CCC" hidden="1">{#N/A,#N/A,FALSE,"GERAL";#N/A,#N/A,FALSE,"012-96";#N/A,#N/A,FALSE,"018-96";#N/A,#N/A,FALSE,"027-96";#N/A,#N/A,FALSE,"059-96";#N/A,#N/A,FALSE,"076-96";#N/A,#N/A,FALSE,"019-97";#N/A,#N/A,FALSE,"021-97";#N/A,#N/A,FALSE,"022-97";#N/A,#N/A,FALSE,"028-97"}</definedName>
    <definedName name="CCCCC" localSheetId="0" hidden="1">#REF!</definedName>
    <definedName name="CCCCC" hidden="1">#REF!</definedName>
    <definedName name="cccccc" localSheetId="0" hidden="1">{#N/A,#N/A,FALSE,"minas";#N/A,#N/A,FALSE,"Total_OC015";#N/A,#N/A,FALSE,"ADMIN";#N/A,#N/A,FALSE,"PROCES";#N/A,#N/A,FALSE,"civil";#N/A,#N/A,FALSE,"CAÑER";#N/A,#N/A,FALSE,"ELEC";#N/A,#N/A,FALSE,"INSTR";#N/A,#N/A,FALSE,"PDS";#N/A,#N/A,FALSE,"mecan"}</definedName>
    <definedName name="cccccc" localSheetId="2" hidden="1">{#N/A,#N/A,FALSE,"minas";#N/A,#N/A,FALSE,"Total_OC015";#N/A,#N/A,FALSE,"ADMIN";#N/A,#N/A,FALSE,"PROCES";#N/A,#N/A,FALSE,"civil";#N/A,#N/A,FALSE,"CAÑER";#N/A,#N/A,FALSE,"ELEC";#N/A,#N/A,FALSE,"INSTR";#N/A,#N/A,FALSE,"PDS";#N/A,#N/A,FALSE,"mecan"}</definedName>
    <definedName name="cccccc" hidden="1">{#N/A,#N/A,FALSE,"minas";#N/A,#N/A,FALSE,"Total_OC015";#N/A,#N/A,FALSE,"ADMIN";#N/A,#N/A,FALSE,"PROCES";#N/A,#N/A,FALSE,"civil";#N/A,#N/A,FALSE,"CAÑER";#N/A,#N/A,FALSE,"ELEC";#N/A,#N/A,FALSE,"INSTR";#N/A,#N/A,FALSE,"PDS";#N/A,#N/A,FALSE,"mecan"}</definedName>
    <definedName name="CCLI" localSheetId="0">#REF!</definedName>
    <definedName name="CCLI">#REF!</definedName>
    <definedName name="CCM" localSheetId="0">#REF!</definedName>
    <definedName name="CCM" localSheetId="2">#REF!</definedName>
    <definedName name="CCM">#REF!</definedName>
    <definedName name="CCMKUP" localSheetId="0">#REF!</definedName>
    <definedName name="CCMKUP">#REF!</definedName>
    <definedName name="ccmkup1" localSheetId="0">#REF!</definedName>
    <definedName name="ccmkup1">#REF!</definedName>
    <definedName name="cdn_tac" localSheetId="0">#REF!</definedName>
    <definedName name="cdn_tac">#REF!</definedName>
    <definedName name="Cem" localSheetId="0">{"cento","duzentos","trezentos","quatrocentos","quinhentos","seiscentos","setecentos","oitocentos","novecentos"}</definedName>
    <definedName name="Cem" localSheetId="2">{"cento","duzentos","trezentos","quatrocentos","quinhentos","seiscentos","setecentos","oitocentos","novecentos"}</definedName>
    <definedName name="Cem">{"cento","duzentos","trezentos","quatrocentos","quinhentos","seiscentos","setecentos","oitocentos","novecentos"}</definedName>
    <definedName name="cf" localSheetId="0">#REF!</definedName>
    <definedName name="cf">#REF!</definedName>
    <definedName name="CF_base" localSheetId="0">#REF!</definedName>
    <definedName name="CF_base">#REF!</definedName>
    <definedName name="cfl" localSheetId="0">#REF!</definedName>
    <definedName name="cfl">#REF!</definedName>
    <definedName name="cfl_u" localSheetId="0">#REF!</definedName>
    <definedName name="cfl_u">#REF!</definedName>
    <definedName name="Chancador"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EC" localSheetId="0">#REF!</definedName>
    <definedName name="CHEC">#REF!</definedName>
    <definedName name="CHSFH" localSheetId="0" hidden="1">{#N/A,#N/A,FALSE,"masez (10)";#N/A,#N/A,FALSE,"masez (7)";#N/A,#N/A,FALSE,"masez (6)";#N/A,#N/A,FALSE,"masez (5)";#N/A,#N/A,FALSE,"masez (4)";#N/A,#N/A,FALSE,"masez (3)";#N/A,#N/A,FALSE,"masez (2)";#N/A,#N/A,FALSE,"GME";#N/A,#N/A,FALSE,"masez"}</definedName>
    <definedName name="CHSFH" localSheetId="2"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 localSheetId="0">#REF!</definedName>
    <definedName name="CHUQUICAMATA__BANCOS_de_MENOR_ALTURA_PROPOSAL">#REF!</definedName>
    <definedName name="CI" localSheetId="0">#REF!</definedName>
    <definedName name="CI">#REF!</definedName>
    <definedName name="CIERR" localSheetId="0">#REF!</definedName>
    <definedName name="CIERR">#REF!</definedName>
    <definedName name="CIMENTO" localSheetId="0">#REF!</definedName>
    <definedName name="CIMENTO">#REF!</definedName>
    <definedName name="CIQWBGuid" hidden="1">"292ec64e-9bc1-419b-9a52-d55b1782643c"</definedName>
    <definedName name="Class" localSheetId="0">#REF!</definedName>
    <definedName name="Class">#REF!</definedName>
    <definedName name="Client_Name" localSheetId="0">#REF!</definedName>
    <definedName name="Client_Name">#REF!</definedName>
    <definedName name="CLP" localSheetId="0">#REF!</definedName>
    <definedName name="CLP">#REF!</definedName>
    <definedName name="cm" localSheetId="0">#REF!</definedName>
    <definedName name="cm">#REF!</definedName>
    <definedName name="CMC" localSheetId="0" hidden="1">{#N/A,#N/A,FALSE,"GERAL";#N/A,#N/A,FALSE,"012-96";#N/A,#N/A,FALSE,"018-96";#N/A,#N/A,FALSE,"027-96";#N/A,#N/A,FALSE,"059-96";#N/A,#N/A,FALSE,"076-96";#N/A,#N/A,FALSE,"019-97";#N/A,#N/A,FALSE,"021-97";#N/A,#N/A,FALSE,"022-97";#N/A,#N/A,FALSE,"028-97"}</definedName>
    <definedName name="CMC" localSheetId="2"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MMKUP" localSheetId="0">#REF!</definedName>
    <definedName name="CMMKUP">#REF!</definedName>
    <definedName name="CNCF" localSheetId="0">#REF!</definedName>
    <definedName name="CNCF">#REF!</definedName>
    <definedName name="CNY" localSheetId="0">#REF!</definedName>
    <definedName name="CNY">#REF!</definedName>
    <definedName name="CO" localSheetId="0">#REF!</definedName>
    <definedName name="CO">#REF!</definedName>
    <definedName name="COD" localSheetId="0">#REF!</definedName>
    <definedName name="COD">#REF!</definedName>
    <definedName name="Code_Facilities" localSheetId="0">#REF!</definedName>
    <definedName name="Code_Facilities">#REF!</definedName>
    <definedName name="Code_List" localSheetId="0">#REF!</definedName>
    <definedName name="Code_List">#REF!</definedName>
    <definedName name="Code_Owner" localSheetId="0">#REF!</definedName>
    <definedName name="Code_Owner">#REF!</definedName>
    <definedName name="Code_Plant" localSheetId="0">#REF!</definedName>
    <definedName name="Code_Plant">#REF!</definedName>
    <definedName name="CODENOME1" hidden="1">#N/A</definedName>
    <definedName name="CODIGO" localSheetId="0">#REF!</definedName>
    <definedName name="CODIGO">#REF!</definedName>
    <definedName name="codservn" localSheetId="0">#REF!</definedName>
    <definedName name="codservn">#REF!</definedName>
    <definedName name="COEFCUSIND" localSheetId="0">#REF!</definedName>
    <definedName name="COEFCUSIND" localSheetId="2">#REF!</definedName>
    <definedName name="COEFCUSIND">#REF!</definedName>
    <definedName name="Comb.OpçãoLocação" localSheetId="0">#REF!</definedName>
    <definedName name="Comb.OpçãoLocação">#REF!</definedName>
    <definedName name="Comb.Transp.Operac." localSheetId="0">#REF!</definedName>
    <definedName name="Comb.Transp.Operac.">#REF!</definedName>
    <definedName name="Combustível" localSheetId="0">#REF!</definedName>
    <definedName name="Combustível">#REF!</definedName>
    <definedName name="Comissão" localSheetId="0">#REF!</definedName>
    <definedName name="Comissão">#REF!</definedName>
    <definedName name="COMISSIONAMENTO" localSheetId="0">#REF!</definedName>
    <definedName name="COMISSIONAMENTO">#REF!</definedName>
    <definedName name="COML_BARBOSA" localSheetId="0">#REF!</definedName>
    <definedName name="COML_BARBOSA">#REF!</definedName>
    <definedName name="Comm" localSheetId="0">#REF!</definedName>
    <definedName name="Comm">#REF!</definedName>
    <definedName name="Commissiong" localSheetId="0">#REF!</definedName>
    <definedName name="Commissiong">#REF!</definedName>
    <definedName name="COMMISSIONING" localSheetId="0">#REF!</definedName>
    <definedName name="COMMISSIONING">#REF!</definedName>
    <definedName name="COMP" localSheetId="0">#REF!</definedName>
    <definedName name="COMP">#REF!</definedName>
    <definedName name="COMP.18" localSheetId="0">#REF!</definedName>
    <definedName name="COMP.18">#REF!</definedName>
    <definedName name="COMP_CLI" localSheetId="0">#REF!</definedName>
    <definedName name="COMP_CLI" localSheetId="2">QQP!COMP_CLI</definedName>
    <definedName name="COMP_CLI">#REF!</definedName>
    <definedName name="COMP1.5MA" localSheetId="0">#REF!</definedName>
    <definedName name="COMP1.5MA">#REF!</definedName>
    <definedName name="COMP1MA" localSheetId="0">#REF!</definedName>
    <definedName name="COMP1MA">#REF!</definedName>
    <definedName name="COMP2MA" localSheetId="0">#REF!</definedName>
    <definedName name="COMP2MA">#REF!</definedName>
    <definedName name="COMP3_4MA" localSheetId="0">#REF!</definedName>
    <definedName name="COMP3_4MA">#REF!</definedName>
    <definedName name="COMP3MA" localSheetId="0">#REF!</definedName>
    <definedName name="COMP3MA">#REF!</definedName>
    <definedName name="COMP4" localSheetId="0">#REF!</definedName>
    <definedName name="COMP4">#REF!</definedName>
    <definedName name="COMP6" localSheetId="0">#REF!</definedName>
    <definedName name="COMP6">#REF!</definedName>
    <definedName name="COMP8" localSheetId="0">#REF!</definedName>
    <definedName name="COMP8">#REF!</definedName>
    <definedName name="Company" localSheetId="0">#REF!</definedName>
    <definedName name="Company">#REF!</definedName>
    <definedName name="Company_List" localSheetId="0">#REF!</definedName>
    <definedName name="Company_List">#REF!</definedName>
    <definedName name="Completion_Incentive" localSheetId="0">#REF!</definedName>
    <definedName name="Completion_Incentive">#REF!</definedName>
    <definedName name="compo1" localSheetId="0">#REF!</definedName>
    <definedName name="compo1">#REF!</definedName>
    <definedName name="composicao" localSheetId="0">#REF!</definedName>
    <definedName name="composicao">#REF!</definedName>
    <definedName name="COMPUTERS" localSheetId="0">#REF!</definedName>
    <definedName name="COMPUTERS">#REF!</definedName>
    <definedName name="conc" localSheetId="0">#REF!</definedName>
    <definedName name="conc">#REF!</definedName>
    <definedName name="conc30" localSheetId="0">#REF!</definedName>
    <definedName name="conc30">#REF!</definedName>
    <definedName name="CONCENTRACION_1" localSheetId="0">#REF!</definedName>
    <definedName name="CONCENTRACION_1">#REF!</definedName>
    <definedName name="CONCENTRACION_3" localSheetId="0">#REF!</definedName>
    <definedName name="CONCENTRACION_3">#REF!</definedName>
    <definedName name="CONCENTRACON_2" localSheetId="0">#REF!</definedName>
    <definedName name="CONCENTRACON_2">#REF!</definedName>
    <definedName name="CONCRETE" localSheetId="0">#REF!</definedName>
    <definedName name="CONCRETE">#REF!</definedName>
    <definedName name="CONCRETO" localSheetId="0" hidden="1">#REF!</definedName>
    <definedName name="CONCRETO" hidden="1">#REF!</definedName>
    <definedName name="Concreto_fck___150_kgf_cm2" localSheetId="0">#REF!</definedName>
    <definedName name="Concreto_fck___150_kgf_cm2">#REF!</definedName>
    <definedName name="cond1" localSheetId="0">#REF!</definedName>
    <definedName name="cond1">#REF!</definedName>
    <definedName name="cond1.5" localSheetId="0">#REF!</definedName>
    <definedName name="cond1.5">#REF!</definedName>
    <definedName name="cond2" localSheetId="0">#REF!</definedName>
    <definedName name="cond2">#REF!</definedName>
    <definedName name="cond3" localSheetId="0">#REF!</definedName>
    <definedName name="cond3">#REF!</definedName>
    <definedName name="cond3_4" localSheetId="0">#REF!</definedName>
    <definedName name="cond3_4">#REF!</definedName>
    <definedName name="cond4" localSheetId="0">#REF!</definedName>
    <definedName name="cond4">#REF!</definedName>
    <definedName name="CONDACGA" localSheetId="0">#REF!</definedName>
    <definedName name="CONDACGA">#REF!</definedName>
    <definedName name="condicionadores" localSheetId="0">#REF!</definedName>
    <definedName name="condicionadores">#REF!</definedName>
    <definedName name="condiocionador" localSheetId="0">#REF!</definedName>
    <definedName name="condiocionador">#REF!</definedName>
    <definedName name="Confidence_Level" localSheetId="0">#REF!</definedName>
    <definedName name="Confidence_Level">#REF!</definedName>
    <definedName name="CONO1" localSheetId="0">#REF!</definedName>
    <definedName name="CONO1">#REF!</definedName>
    <definedName name="CONO2" localSheetId="0">#REF!</definedName>
    <definedName name="CONO2">#REF!</definedName>
    <definedName name="Considerações"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nsiderações"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nsideraçõe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NST_MANAGEMENT" localSheetId="0">#REF!</definedName>
    <definedName name="CONST_MANAGEMENT">#REF!</definedName>
    <definedName name="CONST_MG" localSheetId="0">#REF!</definedName>
    <definedName name="CONST_MG">#REF!</definedName>
    <definedName name="CONSTRUÇÃO_E_MONTAGEM" localSheetId="0">#REF!</definedName>
    <definedName name="CONSTRUÇÃO_E_MONTAGEM">#REF!</definedName>
    <definedName name="Construction" localSheetId="0">#REF!</definedName>
    <definedName name="Construction">#REF!</definedName>
    <definedName name="Consulta5" localSheetId="0">#REF!</definedName>
    <definedName name="Consulta5">#REF!</definedName>
    <definedName name="Consultor_Procesos" localSheetId="0">#REF!</definedName>
    <definedName name="Consultor_Procesos">#REF!</definedName>
    <definedName name="CONT" localSheetId="0">#REF!</definedName>
    <definedName name="CONT">#REF!</definedName>
    <definedName name="Cont_150" localSheetId="0">#REF!</definedName>
    <definedName name="Cont_150">#REF!</definedName>
    <definedName name="Cont_ObrasNuevas" localSheetId="0">#REF!</definedName>
    <definedName name="Cont_ObrasNuevas">#REF!</definedName>
    <definedName name="Cont_ON" localSheetId="0">#REF!</definedName>
    <definedName name="Cont_ON">#REF!</definedName>
    <definedName name="Cont_Sup_150" localSheetId="0">#REF!</definedName>
    <definedName name="Cont_Sup_150">#REF!</definedName>
    <definedName name="CONT1" localSheetId="0">#REF!</definedName>
    <definedName name="CONT1">#REF!</definedName>
    <definedName name="CONT2" localSheetId="0">#REF!</definedName>
    <definedName name="CONT2">#REF!</definedName>
    <definedName name="CONT3" localSheetId="0">#REF!</definedName>
    <definedName name="CONT3">#REF!</definedName>
    <definedName name="CONT4" localSheetId="0">#REF!</definedName>
    <definedName name="CONT4">#REF!</definedName>
    <definedName name="CONT5" localSheetId="0">#REF!</definedName>
    <definedName name="CONT5">#REF!</definedName>
    <definedName name="CONT6" localSheetId="0">#REF!</definedName>
    <definedName name="CONT6">#REF!</definedName>
    <definedName name="CONT7" localSheetId="0">#REF!</definedName>
    <definedName name="CONT7">#REF!</definedName>
    <definedName name="CONT8" localSheetId="0">#REF!</definedName>
    <definedName name="CONT8">#REF!</definedName>
    <definedName name="CONT9" localSheetId="0">#REF!</definedName>
    <definedName name="CONT9">#REF!</definedName>
    <definedName name="Contenido" localSheetId="0">#REF!</definedName>
    <definedName name="Contenido">#REF!</definedName>
    <definedName name="Contingencia_150" localSheetId="0">#REF!</definedName>
    <definedName name="Contingencia_150">#REF!</definedName>
    <definedName name="Contingency" localSheetId="0">#REF!</definedName>
    <definedName name="Contingency">#REF!</definedName>
    <definedName name="Contratada" localSheetId="0">#REF!</definedName>
    <definedName name="Contratada">#REF!</definedName>
    <definedName name="Contrato" localSheetId="0">#REF!</definedName>
    <definedName name="Contrato">#REF!</definedName>
    <definedName name="CONTROLE" localSheetId="0">#REF!</definedName>
    <definedName name="CONTROLE">#REF!</definedName>
    <definedName name="ControlKeyList" localSheetId="0">#REF!</definedName>
    <definedName name="ControlKeyList">#REF!</definedName>
    <definedName name="Conversao" localSheetId="0">#REF!</definedName>
    <definedName name="Conversao">#REF!</definedName>
    <definedName name="CONVERT" localSheetId="0">#REF!</definedName>
    <definedName name="CONVERT">#REF!</definedName>
    <definedName name="COORD" localSheetId="0">#REF!</definedName>
    <definedName name="COORD">#REF!</definedName>
    <definedName name="Coordenador" localSheetId="0">#REF!</definedName>
    <definedName name="Coordenador">#REF!</definedName>
    <definedName name="Coordenador2" localSheetId="0">#REF!</definedName>
    <definedName name="Coordenador2">#REF!</definedName>
    <definedName name="copiaranch"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REA" localSheetId="0">#REF!</definedName>
    <definedName name="CORREA">#REF!</definedName>
    <definedName name="Correas" localSheetId="0" hidden="1">{"desarrollo",#N/A,FALSE,"Cámara Camión";"resumen",#N/A,FALSE,"Cámara Camión";"eqprod",#N/A,FALSE,"Cámara Camión"}</definedName>
    <definedName name="Correas" localSheetId="2" hidden="1">{"desarrollo",#N/A,FALSE,"Cámara Camión";"resumen",#N/A,FALSE,"Cámara Camión";"eqprod",#N/A,FALSE,"Cámara Camión"}</definedName>
    <definedName name="Correas" hidden="1">{"desarrollo",#N/A,FALSE,"Cámara Camión";"resumen",#N/A,FALSE,"Cámara Camión";"eqprod",#N/A,FALSE,"Cámara Camión"}</definedName>
    <definedName name="CorrosionAllowance" localSheetId="0">#REF!</definedName>
    <definedName name="CorrosionAllowance">#REF!</definedName>
    <definedName name="Cost" localSheetId="0">#REF!</definedName>
    <definedName name="Cost">#REF!</definedName>
    <definedName name="costo" localSheetId="0">#REF!</definedName>
    <definedName name="costo">#REF!</definedName>
    <definedName name="COSTO_DOTACION" localSheetId="0">#REF!</definedName>
    <definedName name="COSTO_DOTACION">#REF!</definedName>
    <definedName name="COSTO_FINAL" localSheetId="0">#REF!</definedName>
    <definedName name="COSTO_FINAL">#REF!</definedName>
    <definedName name="COSTO1" localSheetId="0">#REF!</definedName>
    <definedName name="COSTO1">#REF!</definedName>
    <definedName name="COSTO2" localSheetId="0">#REF!</definedName>
    <definedName name="COSTO2">#REF!</definedName>
    <definedName name="COSTO3" localSheetId="0">#REF!</definedName>
    <definedName name="COSTO3">#REF!</definedName>
    <definedName name="COSTO4" localSheetId="0">#REF!</definedName>
    <definedName name="COSTO4">#REF!</definedName>
    <definedName name="COSTO5" localSheetId="0">#REF!</definedName>
    <definedName name="COSTO5">#REF!</definedName>
    <definedName name="costos" localSheetId="0">#REF!</definedName>
    <definedName name="costos">#REF!</definedName>
    <definedName name="costsum1" localSheetId="0">#REF!</definedName>
    <definedName name="costsum1">#REF!</definedName>
    <definedName name="costsum2" localSheetId="0">#REF!</definedName>
    <definedName name="costsum2">#REF!</definedName>
    <definedName name="costsum3" localSheetId="0">#REF!</definedName>
    <definedName name="costsum3">#REF!</definedName>
    <definedName name="Countries">#REF!</definedName>
    <definedName name="CPUX" localSheetId="0">#REF!</definedName>
    <definedName name="CPUX">#REF!</definedName>
    <definedName name="crit6" localSheetId="0">#REF!</definedName>
    <definedName name="crit6">#REF!</definedName>
    <definedName name="Criteria" localSheetId="0">#REF!</definedName>
    <definedName name="Criteria">#REF!</definedName>
    <definedName name="criteria1" localSheetId="0">#REF!</definedName>
    <definedName name="criteria1">#REF!</definedName>
    <definedName name="criteria4" localSheetId="0">#REF!</definedName>
    <definedName name="criteria4">#REF!</definedName>
    <definedName name="Criterias" localSheetId="0">#REF!</definedName>
    <definedName name="Criterias">#REF!</definedName>
    <definedName name="_xlnm.Criteria" localSheetId="0">#REF!</definedName>
    <definedName name="_xlnm.Criteria">#REF!</definedName>
    <definedName name="Criterios1" localSheetId="0">#REF!</definedName>
    <definedName name="Criterios1">#REF!</definedName>
    <definedName name="CRO">#N/A</definedName>
    <definedName name="CRT" localSheetId="0">#REF!</definedName>
    <definedName name="CRT">#REF!</definedName>
    <definedName name="cs_fase1" localSheetId="0">#REF!</definedName>
    <definedName name="cs_fase1">#REF!</definedName>
    <definedName name="CSA" localSheetId="0">#REF!</definedName>
    <definedName name="CSA">#REF!</definedName>
    <definedName name="CSNo" localSheetId="0">#REF!</definedName>
    <definedName name="CSNo">#REF!</definedName>
    <definedName name="CSPP" localSheetId="0">#REF!</definedName>
    <definedName name="CSPP">#REF!</definedName>
    <definedName name="CSYes" localSheetId="0">#REF!</definedName>
    <definedName name="CSYes">#REF!</definedName>
    <definedName name="ct" localSheetId="0">#REF!</definedName>
    <definedName name="ct">#REF!</definedName>
    <definedName name="cta" localSheetId="0">#REF!</definedName>
    <definedName name="cta">#REF!</definedName>
    <definedName name="CTH" localSheetId="0" hidden="1">{#N/A,#N/A,FALSE,"GERAL";#N/A,#N/A,FALSE,"012-96";#N/A,#N/A,FALSE,"018-96";#N/A,#N/A,FALSE,"027-96";#N/A,#N/A,FALSE,"059-96";#N/A,#N/A,FALSE,"076-96";#N/A,#N/A,FALSE,"019-97";#N/A,#N/A,FALSE,"021-97";#N/A,#N/A,FALSE,"022-97";#N/A,#N/A,FALSE,"028-97"}</definedName>
    <definedName name="CTH" localSheetId="2" hidden="1">{#N/A,#N/A,FALSE,"GERAL";#N/A,#N/A,FALSE,"012-96";#N/A,#N/A,FALSE,"018-96";#N/A,#N/A,FALSE,"027-96";#N/A,#N/A,FALSE,"059-96";#N/A,#N/A,FALSE,"076-96";#N/A,#N/A,FALSE,"019-97";#N/A,#N/A,FALSE,"021-97";#N/A,#N/A,FALSE,"022-97";#N/A,#N/A,FALSE,"028-97"}</definedName>
    <definedName name="CTH" hidden="1">{#N/A,#N/A,FALSE,"GERAL";#N/A,#N/A,FALSE,"012-96";#N/A,#N/A,FALSE,"018-96";#N/A,#N/A,FALSE,"027-96";#N/A,#N/A,FALSE,"059-96";#N/A,#N/A,FALSE,"076-96";#N/A,#N/A,FALSE,"019-97";#N/A,#N/A,FALSE,"021-97";#N/A,#N/A,FALSE,"022-97";#N/A,#N/A,FALSE,"028-97"}</definedName>
    <definedName name="cu" localSheetId="0">#REF!</definedName>
    <definedName name="cu">#REF!</definedName>
    <definedName name="cub" localSheetId="0" hidden="1">{#N/A,#N/A,FALSE,"RESUMEN";#N/A,#N/A,FALSE,"GG-GI";#N/A,#N/A,FALSE,"AMB";#N/A,#N/A,FALSE,"EyR";#N/A,#N/A,FALSE,"UCP";#N/A,#N/A,FALSE,"IND";#N/A,#N/A,FALSE,"LR";#N/A,#N/A,FALSE,"PRV";#N/A,#N/A,FALSE,"TÚNELES";#N/A,#N/A,FALSE,"IDT";#N/A,#N/A,FALSE,"ING"}</definedName>
    <definedName name="cub" localSheetId="2"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BT" localSheetId="0">#REF!</definedName>
    <definedName name="CUBT">#REF!</definedName>
    <definedName name="CUCH10" localSheetId="0">#REF!</definedName>
    <definedName name="CUCH10">#REF!</definedName>
    <definedName name="CUCH12" localSheetId="0">#REF!</definedName>
    <definedName name="CUCH12">#REF!</definedName>
    <definedName name="CUCH14" localSheetId="0">#REF!</definedName>
    <definedName name="CUCH14">#REF!</definedName>
    <definedName name="CUCH16" localSheetId="0">#REF!</definedName>
    <definedName name="CUCH16">#REF!</definedName>
    <definedName name="CUCH20" localSheetId="0">#REF!</definedName>
    <definedName name="CUCH20">#REF!</definedName>
    <definedName name="CUCH30" localSheetId="0">#REF!</definedName>
    <definedName name="CUCH30">#REF!</definedName>
    <definedName name="CUCH6" localSheetId="0">#REF!</definedName>
    <definedName name="CUCH6">#REF!</definedName>
    <definedName name="CUCH8" localSheetId="0">#REF!</definedName>
    <definedName name="CUCH8">#REF!</definedName>
    <definedName name="cuentas" localSheetId="0">#REF!</definedName>
    <definedName name="cuentas">#REF!</definedName>
    <definedName name="cup" localSheetId="0" hidden="1">#REF!</definedName>
    <definedName name="cup" hidden="1">#REF!</definedName>
    <definedName name="Currency" localSheetId="0">#REF!</definedName>
    <definedName name="Currency">#REF!</definedName>
    <definedName name="CurrencyNames" localSheetId="0">#REF!</definedName>
    <definedName name="CurrencyNames">#REF!</definedName>
    <definedName name="CurrentData" localSheetId="0">#REF!</definedName>
    <definedName name="CurrentData">#REF!</definedName>
    <definedName name="CURVA10" localSheetId="0">#REF!</definedName>
    <definedName name="CURVA10">#REF!</definedName>
    <definedName name="CURVA11" localSheetId="0">#REF!</definedName>
    <definedName name="CURVA11">#REF!</definedName>
    <definedName name="CURVA12" localSheetId="0">#REF!</definedName>
    <definedName name="CURVA12">#REF!</definedName>
    <definedName name="CURVA13" localSheetId="0">#REF!</definedName>
    <definedName name="CURVA13">#REF!</definedName>
    <definedName name="CURVA14" localSheetId="0">#REF!</definedName>
    <definedName name="CURVA14">#REF!</definedName>
    <definedName name="CURVA15" localSheetId="0">#REF!</definedName>
    <definedName name="CURVA15">#REF!</definedName>
    <definedName name="CURVA16" localSheetId="0">#REF!</definedName>
    <definedName name="CURVA16">#REF!</definedName>
    <definedName name="CURVA17" localSheetId="0">#REF!</definedName>
    <definedName name="CURVA17">#REF!</definedName>
    <definedName name="CURVA18" localSheetId="0">#REF!</definedName>
    <definedName name="CURVA18">#REF!</definedName>
    <definedName name="CURVA19" localSheetId="0">#REF!</definedName>
    <definedName name="CURVA19">#REF!</definedName>
    <definedName name="CURVA2" localSheetId="0">#REF!</definedName>
    <definedName name="CURVA2">#REF!</definedName>
    <definedName name="CURVA20" localSheetId="0">#REF!</definedName>
    <definedName name="CURVA20">#REF!</definedName>
    <definedName name="CURVA21" localSheetId="0">#REF!</definedName>
    <definedName name="CURVA21">#REF!</definedName>
    <definedName name="CURVA22" localSheetId="0">#REF!</definedName>
    <definedName name="CURVA22">#REF!</definedName>
    <definedName name="CURVA23" localSheetId="0">#REF!</definedName>
    <definedName name="CURVA23">#REF!</definedName>
    <definedName name="CURVA24" localSheetId="0">#REF!</definedName>
    <definedName name="CURVA24">#REF!</definedName>
    <definedName name="CURVA3" localSheetId="0">#REF!</definedName>
    <definedName name="CURVA3">#REF!</definedName>
    <definedName name="CURVA4" localSheetId="0">#REF!</definedName>
    <definedName name="CURVA4">#REF!</definedName>
    <definedName name="CURVA5" localSheetId="0">#REF!</definedName>
    <definedName name="CURVA5">#REF!</definedName>
    <definedName name="CURVA6" localSheetId="0">#REF!</definedName>
    <definedName name="CURVA6">#REF!</definedName>
    <definedName name="CURVA7" localSheetId="0">#REF!</definedName>
    <definedName name="CURVA7">#REF!</definedName>
    <definedName name="CURVA8" localSheetId="0">#REF!</definedName>
    <definedName name="CURVA8">#REF!</definedName>
    <definedName name="CURVA9" localSheetId="0">#REF!</definedName>
    <definedName name="CURVA9">#REF!</definedName>
    <definedName name="CUSRED" localSheetId="0">#REF!</definedName>
    <definedName name="CUSRED" localSheetId="2">#REF!</definedName>
    <definedName name="CUSRED">#REF!</definedName>
    <definedName name="custo" localSheetId="0">#REF!</definedName>
    <definedName name="custo">#REF!</definedName>
    <definedName name="custoA" localSheetId="0">#REF!</definedName>
    <definedName name="custoA" localSheetId="2">#REF!</definedName>
    <definedName name="custoA">#REF!</definedName>
    <definedName name="custoB" localSheetId="0">#REF!</definedName>
    <definedName name="custoB">#REF!</definedName>
    <definedName name="CustoChamados" localSheetId="0">#REF!</definedName>
    <definedName name="CustoChamados">#REF!</definedName>
    <definedName name="CustoMoradia" localSheetId="0">#REF!</definedName>
    <definedName name="CustoMoradia">#REF!</definedName>
    <definedName name="CustoONCALL" localSheetId="0">#REF!</definedName>
    <definedName name="CustoONCALL">#REF!</definedName>
    <definedName name="CustoOperac.Adm.Local" localSheetId="0">#REF!</definedName>
    <definedName name="CustoOperac.Adm.Local">#REF!</definedName>
    <definedName name="Custos" localSheetId="0">#REF!</definedName>
    <definedName name="Custos">#REF!</definedName>
    <definedName name="custoSUB">#REF!</definedName>
    <definedName name="cute" localSheetId="0">#REF!</definedName>
    <definedName name="cute">#REF!</definedName>
    <definedName name="CUTI" localSheetId="0">#REF!</definedName>
    <definedName name="CUTI">#REF!</definedName>
    <definedName name="Cycle">#REF!</definedName>
    <definedName name="CYM" localSheetId="0">#REF!</definedName>
    <definedName name="CYM">#REF!</definedName>
    <definedName name="d" localSheetId="0" hidden="1">{#N/A,#N/A,FALSE,"GERAL";#N/A,#N/A,FALSE,"012-96";#N/A,#N/A,FALSE,"018-96";#N/A,#N/A,FALSE,"027-96";#N/A,#N/A,FALSE,"059-96";#N/A,#N/A,FALSE,"076-96";#N/A,#N/A,FALSE,"019-97";#N/A,#N/A,FALSE,"021-97";#N/A,#N/A,FALSE,"022-97";#N/A,#N/A,FALSE,"028-97"}</definedName>
    <definedName name="d" localSheetId="2" hidden="1">{#N/A,#N/A,FALSE,"GERAL";#N/A,#N/A,FALSE,"012-96";#N/A,#N/A,FALSE,"018-96";#N/A,#N/A,FALSE,"027-96";#N/A,#N/A,FALSE,"059-96";#N/A,#N/A,FALSE,"076-96";#N/A,#N/A,FALSE,"019-97";#N/A,#N/A,FALSE,"021-97";#N/A,#N/A,FALSE,"022-97";#N/A,#N/A,FALSE,"028-97"}</definedName>
    <definedName name="d" hidden="1">{#N/A,#N/A,FALSE,"GERAL";#N/A,#N/A,FALSE,"012-96";#N/A,#N/A,FALSE,"018-96";#N/A,#N/A,FALSE,"027-96";#N/A,#N/A,FALSE,"059-96";#N/A,#N/A,FALSE,"076-96";#N/A,#N/A,FALSE,"019-97";#N/A,#N/A,FALSE,"021-97";#N/A,#N/A,FALSE,"022-97";#N/A,#N/A,FALSE,"028-97"}</definedName>
    <definedName name="DADOS_OPERACIONAIS" localSheetId="0">#REF!</definedName>
    <definedName name="DADOS_OPERACIONAIS">#REF!</definedName>
    <definedName name="daniel" localSheetId="0">#REF!</definedName>
    <definedName name="daniel">#REF!</definedName>
    <definedName name="das" localSheetId="0" hidden="1">{#N/A,#N/A,FALSE,"ET-CAPA";#N/A,#N/A,FALSE,"ET-PAG1";#N/A,#N/A,FALSE,"ET-PAG2";#N/A,#N/A,FALSE,"ET-PAG3";#N/A,#N/A,FALSE,"ET-PAG4";#N/A,#N/A,FALSE,"ET-PAG5"}</definedName>
    <definedName name="das" localSheetId="2" hidden="1">{#N/A,#N/A,FALSE,"ET-CAPA";#N/A,#N/A,FALSE,"ET-PAG1";#N/A,#N/A,FALSE,"ET-PAG2";#N/A,#N/A,FALSE,"ET-PAG3";#N/A,#N/A,FALSE,"ET-PAG4";#N/A,#N/A,FALSE,"ET-PAG5"}</definedName>
    <definedName name="das" hidden="1">{#N/A,#N/A,FALSE,"ET-CAPA";#N/A,#N/A,FALSE,"ET-PAG1";#N/A,#N/A,FALSE,"ET-PAG2";#N/A,#N/A,FALSE,"ET-PAG3";#N/A,#N/A,FALSE,"ET-PAG4";#N/A,#N/A,FALSE,"ET-PAG5"}</definedName>
    <definedName name="DATA" localSheetId="0">#REF!</definedName>
    <definedName name="DATA">#REF!</definedName>
    <definedName name="data_ref" localSheetId="0">#REF!</definedName>
    <definedName name="data_ref">#REF!</definedName>
    <definedName name="DATA1" localSheetId="0">#REF!</definedName>
    <definedName name="DATA1">#REF!</definedName>
    <definedName name="DATA10" localSheetId="0">#REF!</definedName>
    <definedName name="DATA10">#REF!</definedName>
    <definedName name="DATA11" localSheetId="0">#REF!</definedName>
    <definedName name="DATA11">#REF!</definedName>
    <definedName name="DATA12" localSheetId="0">#REF!</definedName>
    <definedName name="DATA12">#REF!</definedName>
    <definedName name="DATA13" localSheetId="0">#REF!</definedName>
    <definedName name="DATA13">#REF!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5" localSheetId="0">#REF!</definedName>
    <definedName name="DATA5">#REF!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datab1" localSheetId="0">#REF!</definedName>
    <definedName name="datab1">#REF!</definedName>
    <definedName name="datab2" localSheetId="0">#REF!</definedName>
    <definedName name="datab2">#REF!</definedName>
    <definedName name="datab4" localSheetId="0">#REF!</definedName>
    <definedName name="datab4">#REF!</definedName>
    <definedName name="Database" localSheetId="0">#REF!</definedName>
    <definedName name="Database">#REF!</definedName>
    <definedName name="Databaseses" localSheetId="0">#REF!</definedName>
    <definedName name="Databaseses">#REF!</definedName>
    <definedName name="DATMODELE" localSheetId="0">#REF!</definedName>
    <definedName name="DATMODELE">#REF!</definedName>
    <definedName name="DATMODMEC" localSheetId="0">#REF!</definedName>
    <definedName name="DATMODMEC">#REF!</definedName>
    <definedName name="DATTML" localSheetId="0">#REF!</definedName>
    <definedName name="DATTML">#REF!</definedName>
    <definedName name="dbPhase3" localSheetId="0">#REF!</definedName>
    <definedName name="dbPhase3">#REF!</definedName>
    <definedName name="dbPhase4" localSheetId="0">#REF!</definedName>
    <definedName name="dbPhase4">#REF!</definedName>
    <definedName name="DCMKUP" localSheetId="0">#REF!</definedName>
    <definedName name="DCMKUP">#REF!</definedName>
    <definedName name="dcn" localSheetId="0">#REF!</definedName>
    <definedName name="dcn">#REF!</definedName>
    <definedName name="DD">#REF!</definedName>
    <definedName name="DDD" localSheetId="0">#REF!</definedName>
    <definedName name="DDD">#REF!</definedName>
    <definedName name="dddd" localSheetId="0">#REF!</definedName>
    <definedName name="dddd">#REF!</definedName>
    <definedName name="dddddd" localSheetId="0">#REF!</definedName>
    <definedName name="dddddd" localSheetId="2">QQP!dddddd</definedName>
    <definedName name="dddddd">#REF!</definedName>
    <definedName name="DDDDDDD" localSheetId="0">#REF!</definedName>
    <definedName name="DDDDDDD" localSheetId="2">#REF!</definedName>
    <definedName name="DDDDDDD">#REF!</definedName>
    <definedName name="ddddddddd" localSheetId="0">#REF!</definedName>
    <definedName name="ddddddddd" localSheetId="2">QQP!ddddddddd</definedName>
    <definedName name="ddddddddd">#REF!</definedName>
    <definedName name="DDDDDDDDDDDDDDDDDDDDDDDDDDDDDD" localSheetId="0">#REF!</definedName>
    <definedName name="DDDDDDDDDDDDDDDDDDDDDDDDDDDDDD" localSheetId="2">#REF!</definedName>
    <definedName name="DDDDDDDDDDDDDDDDDDDDDDDDDDDDDD">#REF!</definedName>
    <definedName name="DDE" localSheetId="0">#REF!</definedName>
    <definedName name="DDE" localSheetId="2">#REF!</definedName>
    <definedName name="DDE">#REF!</definedName>
    <definedName name="DDMKUP" localSheetId="0">#REF!</definedName>
    <definedName name="DDMKUP" localSheetId="2">#REF!</definedName>
    <definedName name="DDMKUP">#REF!</definedName>
    <definedName name="DE_km" localSheetId="0">#REF!</definedName>
    <definedName name="DE_km" localSheetId="2">#REF!</definedName>
    <definedName name="DE_km">#REF!</definedName>
    <definedName name="DEF" localSheetId="0">#REF!</definedName>
    <definedName name="DEF" localSheetId="2">#REF!</definedName>
    <definedName name="DEF">#REF!</definedName>
    <definedName name="Defest" localSheetId="0">#REF!</definedName>
    <definedName name="Defest">#REF!</definedName>
    <definedName name="DEFLATOR" localSheetId="0">#REF!</definedName>
    <definedName name="DEFLATOR">#REF!</definedName>
    <definedName name="deflator1" localSheetId="0">#REF!</definedName>
    <definedName name="deflator1">#REF!</definedName>
    <definedName name="deflator2" localSheetId="0">#REF!</definedName>
    <definedName name="deflator2">#REF!</definedName>
    <definedName name="delete" localSheetId="0" hidden="1">{#N/A,#N/A,FALSE,"GERAL";#N/A,#N/A,FALSE,"012-96";#N/A,#N/A,FALSE,"018-96";#N/A,#N/A,FALSE,"027-96";#N/A,#N/A,FALSE,"059-96";#N/A,#N/A,FALSE,"076-96";#N/A,#N/A,FALSE,"019-97";#N/A,#N/A,FALSE,"021-97";#N/A,#N/A,FALSE,"022-97";#N/A,#N/A,FALSE,"028-97"}</definedName>
    <definedName name="delete" localSheetId="2" hidden="1">{#N/A,#N/A,FALSE,"GERAL";#N/A,#N/A,FALSE,"012-96";#N/A,#N/A,FALSE,"018-96";#N/A,#N/A,FALSE,"027-96";#N/A,#N/A,FALSE,"059-96";#N/A,#N/A,FALSE,"076-96";#N/A,#N/A,FALSE,"019-97";#N/A,#N/A,FALSE,"021-97";#N/A,#N/A,FALSE,"022-97";#N/A,#N/A,FALSE,"028-97"}</definedName>
    <definedName name="delete" hidden="1">{#N/A,#N/A,FALSE,"GERAL";#N/A,#N/A,FALSE,"012-96";#N/A,#N/A,FALSE,"018-96";#N/A,#N/A,FALSE,"027-96";#N/A,#N/A,FALSE,"059-96";#N/A,#N/A,FALSE,"076-96";#N/A,#N/A,FALSE,"019-97";#N/A,#N/A,FALSE,"021-97";#N/A,#N/A,FALSE,"022-97";#N/A,#N/A,FALSE,"028-97"}</definedName>
    <definedName name="Deliverables" localSheetId="0">#REF!</definedName>
    <definedName name="Deliverables">#REF!</definedName>
    <definedName name="Delta" localSheetId="0">#REF!</definedName>
    <definedName name="Delta">#REF!</definedName>
    <definedName name="DEMA" localSheetId="0">#REF!</definedName>
    <definedName name="DEMA">#REF!</definedName>
    <definedName name="DEMH" localSheetId="0">#REF!</definedName>
    <definedName name="DEMH">#REF!</definedName>
    <definedName name="Demis_sjc" localSheetId="0">#REF!</definedName>
    <definedName name="Demis_sjc">#REF!</definedName>
    <definedName name="Demostrat" localSheetId="0">#REF!</definedName>
    <definedName name="Demostrat">#REF!</definedName>
    <definedName name="Denominação" localSheetId="0">#REF!</definedName>
    <definedName name="Denominação">#REF!</definedName>
    <definedName name="Depre.Transp.Operac." localSheetId="0">#REF!</definedName>
    <definedName name="Depre.Transp.Operac.">#REF!</definedName>
    <definedName name="depreciação" localSheetId="0">#REF!</definedName>
    <definedName name="depreciação">#REF!</definedName>
    <definedName name="depth" localSheetId="0">#REF!</definedName>
    <definedName name="depth">#REF!</definedName>
    <definedName name="des" localSheetId="0" hidden="1">{#N/A,#N/A,FALSE,"GERAL";#N/A,#N/A,FALSE,"012-96";#N/A,#N/A,FALSE,"018-96";#N/A,#N/A,FALSE,"027-96";#N/A,#N/A,FALSE,"059-96";#N/A,#N/A,FALSE,"076-96";#N/A,#N/A,FALSE,"019-97";#N/A,#N/A,FALSE,"021-97";#N/A,#N/A,FALSE,"022-97";#N/A,#N/A,FALSE,"028-97"}</definedName>
    <definedName name="des" localSheetId="2" hidden="1">{#N/A,#N/A,FALSE,"GERAL";#N/A,#N/A,FALSE,"012-96";#N/A,#N/A,FALSE,"018-96";#N/A,#N/A,FALSE,"027-96";#N/A,#N/A,FALSE,"059-96";#N/A,#N/A,FALSE,"076-96";#N/A,#N/A,FALSE,"019-97";#N/A,#N/A,FALSE,"021-97";#N/A,#N/A,FALSE,"022-97";#N/A,#N/A,FALSE,"028-97"}</definedName>
    <definedName name="des" hidden="1">{#N/A,#N/A,FALSE,"GERAL";#N/A,#N/A,FALSE,"012-96";#N/A,#N/A,FALSE,"018-96";#N/A,#N/A,FALSE,"027-96";#N/A,#N/A,FALSE,"059-96";#N/A,#N/A,FALSE,"076-96";#N/A,#N/A,FALSE,"019-97";#N/A,#N/A,FALSE,"021-97";#N/A,#N/A,FALSE,"022-97";#N/A,#N/A,FALSE,"028-97"}</definedName>
    <definedName name="desc" localSheetId="0">#REF!</definedName>
    <definedName name="desc">#REF!</definedName>
    <definedName name="DESC110" localSheetId="0">#REF!</definedName>
    <definedName name="DESC110">#REF!</definedName>
    <definedName name="DescrBrasil_TEC" localSheetId="0">#REF!</definedName>
    <definedName name="DescrBrasil_TEC">#REF!</definedName>
    <definedName name="DESCRIÇÃO" localSheetId="0">#REF!</definedName>
    <definedName name="DESCRIÇÃO">#REF!</definedName>
    <definedName name="descricao1" localSheetId="0" hidden="1">{#N/A,#N/A,FALSE,"GERAL";#N/A,#N/A,FALSE,"012-96";#N/A,#N/A,FALSE,"018-96";#N/A,#N/A,FALSE,"027-96";#N/A,#N/A,FALSE,"059-96";#N/A,#N/A,FALSE,"076-96";#N/A,#N/A,FALSE,"019-97";#N/A,#N/A,FALSE,"021-97";#N/A,#N/A,FALSE,"022-97";#N/A,#N/A,FALSE,"028-97"}</definedName>
    <definedName name="descricao1" localSheetId="2" hidden="1">{#N/A,#N/A,FALSE,"GERAL";#N/A,#N/A,FALSE,"012-96";#N/A,#N/A,FALSE,"018-96";#N/A,#N/A,FALSE,"027-96";#N/A,#N/A,FALSE,"059-96";#N/A,#N/A,FALSE,"076-96";#N/A,#N/A,FALSE,"019-97";#N/A,#N/A,FALSE,"021-97";#N/A,#N/A,FALSE,"022-97";#N/A,#N/A,FALSE,"028-97"}</definedName>
    <definedName name="descricao1" hidden="1">{#N/A,#N/A,FALSE,"GERAL";#N/A,#N/A,FALSE,"012-96";#N/A,#N/A,FALSE,"018-96";#N/A,#N/A,FALSE,"027-96";#N/A,#N/A,FALSE,"059-96";#N/A,#N/A,FALSE,"076-96";#N/A,#N/A,FALSE,"019-97";#N/A,#N/A,FALSE,"021-97";#N/A,#N/A,FALSE,"022-97";#N/A,#N/A,FALSE,"028-97"}</definedName>
    <definedName name="DESCRITIVO1" localSheetId="0">#REF!</definedName>
    <definedName name="DESCRITIVO1">#REF!</definedName>
    <definedName name="DESE" localSheetId="0">#REF!</definedName>
    <definedName name="DESE">#REF!</definedName>
    <definedName name="Desemb_Fin" localSheetId="0">#REF!</definedName>
    <definedName name="Desemb_Fin">#REF!</definedName>
    <definedName name="DESIGN" localSheetId="0">#REF!</definedName>
    <definedName name="DESIGN">#REF!</definedName>
    <definedName name="DEST" localSheetId="0">#REF!</definedName>
    <definedName name="DEST">#REF!</definedName>
    <definedName name="DET_CLI" localSheetId="0">#REF!</definedName>
    <definedName name="DET_CLI" localSheetId="2">QQP!DET_CLI</definedName>
    <definedName name="DET_CLI">#REF!</definedName>
    <definedName name="DET_PROD" localSheetId="0">#REF!</definedName>
    <definedName name="DET_PROD" localSheetId="2">QQP!DET_PROD</definedName>
    <definedName name="DET_PROD">#REF!</definedName>
    <definedName name="DETAILS" localSheetId="0">#REF!</definedName>
    <definedName name="DETAILS" localSheetId="2">#REF!</definedName>
    <definedName name="DETAILS">#REF!</definedName>
    <definedName name="Detalhe" localSheetId="0" hidden="1">{"'Resumo'!$A$4:$N$60"}</definedName>
    <definedName name="Detalhe" localSheetId="2" hidden="1">{"'Resumo'!$A$4:$N$60"}</definedName>
    <definedName name="Detalhe" hidden="1">{"'Resumo'!$A$4:$N$60"}</definedName>
    <definedName name="DETMET" localSheetId="0">#REF!</definedName>
    <definedName name="DETMET">#REF!</definedName>
    <definedName name="Dez" localSheetId="0">{"dez","vinte","trinta","quarenta","cinquenta","sessenta","setenta","oitenta","noventa"}</definedName>
    <definedName name="Dez" localSheetId="2">{"dez","vinte","trinta","quarenta","cinquenta","sessenta","setenta","oitenta","noventa"}</definedName>
    <definedName name="Dez">{"dez","vinte","trinta","quarenta","cinquenta","sessenta","setenta","oitenta","noventa"}</definedName>
    <definedName name="dfbadb" localSheetId="0">#REF!</definedName>
    <definedName name="dfbadb">#REF!</definedName>
    <definedName name="dfdf"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 localSheetId="0" hidden="1">{#N/A,#N/A,TRUE,"Est. de Fact.";#N/A,#N/A,TRUE,"Capitulo 19";#N/A,#N/A,TRUE,"Proyecto P855"}</definedName>
    <definedName name="dfg" localSheetId="2" hidden="1">{#N/A,#N/A,TRUE,"Est. de Fact.";#N/A,#N/A,TRUE,"Capitulo 19";#N/A,#N/A,TRUE,"Proyecto P855"}</definedName>
    <definedName name="dfg" hidden="1">{#N/A,#N/A,TRUE,"Est. de Fact.";#N/A,#N/A,TRUE,"Capitulo 19";#N/A,#N/A,TRUE,"Proyecto P855"}</definedName>
    <definedName name="DFSGVDS" localSheetId="0" hidden="1">#REF!</definedName>
    <definedName name="DFSGVDS" hidden="1">#REF!</definedName>
    <definedName name="Diam" localSheetId="0">#REF!</definedName>
    <definedName name="Diam">#REF!</definedName>
    <definedName name="dias_ano" localSheetId="0">#REF!</definedName>
    <definedName name="dias_ano">#REF!</definedName>
    <definedName name="Diferencias" localSheetId="0" hidden="1">{#N/A,#N/A,FALSE,"Total_OC015";#N/A,#N/A,FALSE,"ADMIN";#N/A,#N/A,FALSE,"PROCES";#N/A,#N/A,FALSE,"mecan";#N/A,#N/A,FALSE,"civil";#N/A,#N/A,FALSE,"CAÑER";#N/A,#N/A,FALSE,"ELEC";#N/A,#N/A,FALSE,"INSTR"}</definedName>
    <definedName name="Diferencias" localSheetId="2"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m_int" localSheetId="0">#REF!</definedName>
    <definedName name="dim_int">#REF!</definedName>
    <definedName name="DIMENSIONAMENTO_DE_TUBULAÇÃO" localSheetId="0">#REF!</definedName>
    <definedName name="DIMENSIONAMENTO_DE_TUBULAÇÃO">#REF!</definedName>
    <definedName name="DIPN" localSheetId="0">#REF!</definedName>
    <definedName name="DIPN">#REF!</definedName>
    <definedName name="Direct" localSheetId="0">#REF!</definedName>
    <definedName name="Direct">#REF!</definedName>
    <definedName name="Disbursements" localSheetId="0">#REF!</definedName>
    <definedName name="Disbursements">#REF!</definedName>
    <definedName name="Discipline" localSheetId="0">#REF!</definedName>
    <definedName name="Discipline">#REF!</definedName>
    <definedName name="Disciplines" localSheetId="0">#REF!</definedName>
    <definedName name="Disciplines">#REF!</definedName>
    <definedName name="DispTelGASAG" localSheetId="0" hidden="1">{"'teste'!$B$2:$R$49"}</definedName>
    <definedName name="DispTelGASAG" localSheetId="2" hidden="1">{"'teste'!$B$2:$R$49"}</definedName>
    <definedName name="DispTelGASAG" hidden="1">{"'teste'!$B$2:$R$49"}</definedName>
    <definedName name="DISTR.MANT.ELECTRICA" localSheetId="0">#REF!</definedName>
    <definedName name="DISTR.MANT.ELECTRICA">#REF!</definedName>
    <definedName name="dng" localSheetId="0" hidden="1">{#N/A,#N/A,FALSE,"GERAL";#N/A,#N/A,FALSE,"012-96";#N/A,#N/A,FALSE,"018-96";#N/A,#N/A,FALSE,"027-96";#N/A,#N/A,FALSE,"059-96";#N/A,#N/A,FALSE,"076-96";#N/A,#N/A,FALSE,"019-97";#N/A,#N/A,FALSE,"021-97";#N/A,#N/A,FALSE,"022-97";#N/A,#N/A,FALSE,"028-97"}</definedName>
    <definedName name="dng" localSheetId="2" hidden="1">{#N/A,#N/A,FALSE,"GERAL";#N/A,#N/A,FALSE,"012-96";#N/A,#N/A,FALSE,"018-96";#N/A,#N/A,FALSE,"027-96";#N/A,#N/A,FALSE,"059-96";#N/A,#N/A,FALSE,"076-96";#N/A,#N/A,FALSE,"019-97";#N/A,#N/A,FALSE,"021-97";#N/A,#N/A,FALSE,"022-97";#N/A,#N/A,FALSE,"028-97"}</definedName>
    <definedName name="dng" hidden="1">{#N/A,#N/A,FALSE,"GERAL";#N/A,#N/A,FALSE,"012-96";#N/A,#N/A,FALSE,"018-96";#N/A,#N/A,FALSE,"027-96";#N/A,#N/A,FALSE,"059-96";#N/A,#N/A,FALSE,"076-96";#N/A,#N/A,FALSE,"019-97";#N/A,#N/A,FALSE,"021-97";#N/A,#N/A,FALSE,"022-97";#N/A,#N/A,FALSE,"028-97"}</definedName>
    <definedName name="DOC_CONTROL" localSheetId="0">#REF!</definedName>
    <definedName name="DOC_CONTROL">#REF!</definedName>
    <definedName name="Doc_List" localSheetId="0">#REF!</definedName>
    <definedName name="Doc_List">#REF!</definedName>
    <definedName name="DOCL" localSheetId="0">#REF!</definedName>
    <definedName name="DOCL">#REF!</definedName>
    <definedName name="DOCT" localSheetId="0">#REF!</definedName>
    <definedName name="DOCT">#REF!</definedName>
    <definedName name="DOCTYPE" localSheetId="0">#REF!</definedName>
    <definedName name="DOCTYPE">#REF!</definedName>
    <definedName name="Document_Type" localSheetId="0">#REF!</definedName>
    <definedName name="Document_Type">#REF!</definedName>
    <definedName name="DocumentGroup" localSheetId="0">#REF!</definedName>
    <definedName name="DocumentGroup">#REF!</definedName>
    <definedName name="DOL" localSheetId="0">#REF!</definedName>
    <definedName name="DOL">#REF!</definedName>
    <definedName name="DOLAR" localSheetId="0">#REF!</definedName>
    <definedName name="DOLAR">#REF!</definedName>
    <definedName name="Dólar" localSheetId="0">#REF!</definedName>
    <definedName name="Dólar" localSheetId="2">#REF!</definedName>
    <definedName name="Dólar">#REF!</definedName>
    <definedName name="Dollar" localSheetId="0">#REF!</definedName>
    <definedName name="Dollar">#REF!</definedName>
    <definedName name="Dormentes_7K1FAB" localSheetId="0">#REF!</definedName>
    <definedName name="Dormentes_7K1FAB">#REF!</definedName>
    <definedName name="Dormentes_Especiais_7K1FAC" localSheetId="0">#REF!</definedName>
    <definedName name="Dormentes_Especiais_7K1FAC">#REF!</definedName>
    <definedName name="DOTACION" localSheetId="0">#REF!</definedName>
    <definedName name="DOTACION">#REF!</definedName>
    <definedName name="DOTACION_COSTO" localSheetId="0">#REF!</definedName>
    <definedName name="DOTACION_COSTO">#REF!</definedName>
    <definedName name="dotch" localSheetId="0" hidden="1">{"desarrollo",#N/A,FALSE,"Cámara Camión";"resumen",#N/A,FALSE,"Cámara Camión";"eqprod",#N/A,FALSE,"Cámara Camión"}</definedName>
    <definedName name="dotch" localSheetId="2" hidden="1">{"desarrollo",#N/A,FALSE,"Cámara Camión";"resumen",#N/A,FALSE,"Cámara Camión";"eqprod",#N/A,FALSE,"Cámara Camión"}</definedName>
    <definedName name="dotch" hidden="1">{"desarrollo",#N/A,FALSE,"Cámara Camión";"resumen",#N/A,FALSE,"Cámara Camión";"eqprod",#N/A,FALSE,"Cámara Camión"}</definedName>
    <definedName name="dotch4" localSheetId="0" hidden="1">{"desarrollo",#N/A,FALSE,"Cámara Camión";"resumen",#N/A,FALSE,"Cámara Camión";"eqprod",#N/A,FALSE,"Cámara Camión"}</definedName>
    <definedName name="dotch4" localSheetId="2" hidden="1">{"desarrollo",#N/A,FALSE,"Cámara Camión";"resumen",#N/A,FALSE,"Cámara Camión";"eqprod",#N/A,FALSE,"Cámara Camión"}</definedName>
    <definedName name="dotch4" hidden="1">{"desarrollo",#N/A,FALSE,"Cámara Camión";"resumen",#N/A,FALSE,"Cámara Camión";"eqprod",#N/A,FALSE,"Cámara Camión"}</definedName>
    <definedName name="DR">#N/A</definedName>
    <definedName name="drain" localSheetId="0">#REF!</definedName>
    <definedName name="drain">#REF!</definedName>
    <definedName name="DropPositions" localSheetId="0">OFFSET(#REF!,0,0,COUNTA(#REF!),1)</definedName>
    <definedName name="DropPositions">OFFSET(#REF!,0,0,COUNTA(#REF!),1)</definedName>
    <definedName name="ds" localSheetId="0">#REF!</definedName>
    <definedName name="ds">#REF!</definedName>
    <definedName name="dsdsds" localSheetId="0">#REF!</definedName>
    <definedName name="dsdsds">#REF!</definedName>
    <definedName name="dsfadf" localSheetId="0" hidden="1">{#N/A,#N/A,FALSE,"GERAL";#N/A,#N/A,FALSE,"012-96";#N/A,#N/A,FALSE,"018-96";#N/A,#N/A,FALSE,"027-96";#N/A,#N/A,FALSE,"059-96";#N/A,#N/A,FALSE,"076-96";#N/A,#N/A,FALSE,"019-97";#N/A,#N/A,FALSE,"021-97";#N/A,#N/A,FALSE,"022-97";#N/A,#N/A,FALSE,"028-97"}</definedName>
    <definedName name="dsfadf" localSheetId="2" hidden="1">{#N/A,#N/A,FALSE,"GERAL";#N/A,#N/A,FALSE,"012-96";#N/A,#N/A,FALSE,"018-96";#N/A,#N/A,FALSE,"027-96";#N/A,#N/A,FALSE,"059-96";#N/A,#N/A,FALSE,"076-96";#N/A,#N/A,FALSE,"019-97";#N/A,#N/A,FALSE,"021-97";#N/A,#N/A,FALSE,"022-97";#N/A,#N/A,FALSE,"028-97"}</definedName>
    <definedName name="dsfadf" hidden="1">{#N/A,#N/A,FALSE,"GERAL";#N/A,#N/A,FALSE,"012-96";#N/A,#N/A,FALSE,"018-96";#N/A,#N/A,FALSE,"027-96";#N/A,#N/A,FALSE,"059-96";#N/A,#N/A,FALSE,"076-96";#N/A,#N/A,FALSE,"019-97";#N/A,#N/A,FALSE,"021-97";#N/A,#N/A,FALSE,"022-97";#N/A,#N/A,FALSE,"028-97"}</definedName>
    <definedName name="dsfs" localSheetId="0" hidden="1">{#N/A,#N/A,FALSE,"GERAL";#N/A,#N/A,FALSE,"012-96";#N/A,#N/A,FALSE,"018-96";#N/A,#N/A,FALSE,"027-96";#N/A,#N/A,FALSE,"059-96";#N/A,#N/A,FALSE,"076-96";#N/A,#N/A,FALSE,"019-97";#N/A,#N/A,FALSE,"021-97";#N/A,#N/A,FALSE,"022-97";#N/A,#N/A,FALSE,"028-97"}</definedName>
    <definedName name="dsfs" localSheetId="2"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SHGD" localSheetId="0">#REF!</definedName>
    <definedName name="DSHGD">#REF!</definedName>
    <definedName name="DSR_ano" localSheetId="0">#REF!</definedName>
    <definedName name="DSR_ano">#REF!</definedName>
    <definedName name="dss" localSheetId="0">#REF!</definedName>
    <definedName name="dss">#REF!</definedName>
    <definedName name="dta_ant" localSheetId="0">#REF!</definedName>
    <definedName name="dta_ant">#REF!</definedName>
    <definedName name="dta_atu" localSheetId="0">#REF!</definedName>
    <definedName name="dta_atu">#REF!</definedName>
    <definedName name="dta_med" localSheetId="0">#REF!</definedName>
    <definedName name="dta_med">#REF!</definedName>
    <definedName name="DTMKUP" localSheetId="0">#REF!</definedName>
    <definedName name="DTMKUP">#REF!</definedName>
    <definedName name="DTUBOS" localSheetId="0">#REF!</definedName>
    <definedName name="DTUBOS">#REF!</definedName>
    <definedName name="DynDelivList" localSheetId="0">OFFSET(#REF!,0,0,COUNTA(#REF!),1)</definedName>
    <definedName name="DynDelivList">OFFSET(#REF!,0,0,COUNTA(#REF!),1)</definedName>
    <definedName name="e" localSheetId="0" hidden="1">{#N/A,#N/A,FALSE,"TEC-01";#N/A,#N/A,FALSE,"TEC - 02";#N/A,#N/A,FALSE,"TEC - 03";#N/A,#N/A,FALSE,"TEC - 04";#N/A,#N/A,FALSE,"TEC-07";#N/A,#N/A,FALSE,"TEC-08";#N/A,#N/A,FALSE,"TEC - 09A";#N/A,#N/A,FALSE,"TEC - 09B";#N/A,#N/A,FALSE,"TEC - 09C";#N/A,#N/A,FALSE,"TEC - 10";#N/A,#N/A,FALSE,"TEC-11"}</definedName>
    <definedName name="e" localSheetId="2" hidden="1">{#N/A,#N/A,FALSE,"TEC-01";#N/A,#N/A,FALSE,"TEC - 02";#N/A,#N/A,FALSE,"TEC - 03";#N/A,#N/A,FALSE,"TEC - 04";#N/A,#N/A,FALSE,"TEC-07";#N/A,#N/A,FALSE,"TEC-08";#N/A,#N/A,FALSE,"TEC - 09A";#N/A,#N/A,FALSE,"TEC - 09B";#N/A,#N/A,FALSE,"TEC - 09C";#N/A,#N/A,FALSE,"TEC - 10";#N/A,#N/A,FALSE,"TEC-11"}</definedName>
    <definedName name="e" hidden="1">{#N/A,#N/A,FALSE,"TEC-01";#N/A,#N/A,FALSE,"TEC - 02";#N/A,#N/A,FALSE,"TEC - 03";#N/A,#N/A,FALSE,"TEC - 04";#N/A,#N/A,FALSE,"TEC-07";#N/A,#N/A,FALSE,"TEC-08";#N/A,#N/A,FALSE,"TEC - 09A";#N/A,#N/A,FALSE,"TEC - 09B";#N/A,#N/A,FALSE,"TEC - 09C";#N/A,#N/A,FALSE,"TEC - 10";#N/A,#N/A,FALSE,"TEC-11"}</definedName>
    <definedName name="e__cm" localSheetId="0">#REF!</definedName>
    <definedName name="e__cm">#REF!</definedName>
    <definedName name="ea" localSheetId="0" hidden="1">{#N/A,#N/A,FALSE,"TEC-01";#N/A,#N/A,FALSE,"TEC - 02";#N/A,#N/A,FALSE,"TEC - 03";#N/A,#N/A,FALSE,"TEC - 04";#N/A,#N/A,FALSE,"TEC-07";#N/A,#N/A,FALSE,"TEC-08";#N/A,#N/A,FALSE,"TEC - 09A";#N/A,#N/A,FALSE,"TEC - 09B";#N/A,#N/A,FALSE,"TEC - 09C";#N/A,#N/A,FALSE,"TEC - 10";#N/A,#N/A,FALSE,"TEC-11"}</definedName>
    <definedName name="ea" localSheetId="2"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CO" localSheetId="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VCFELE" localSheetId="0">#REF!</definedName>
    <definedName name="ECVCFELE">#REF!</definedName>
    <definedName name="ECVCFMEC" localSheetId="0">#REF!</definedName>
    <definedName name="ECVCFMEC">#REF!</definedName>
    <definedName name="edede" localSheetId="0" hidden="1">{"DETALLE_1996",#N/A,FALSE,"flujo";"DETALLE_1997",#N/A,FALSE,"flujo";"GASTOS_INCURRIDOS_1996",#N/A,FALSE,"flujo";"GASTOS_PROGRAMADOS_PARA_1997",#N/A,FALSE,"flujo";#N/A,#N/A,FALSE,"comparat";#N/A,#N/A,FALSE,"costos";#N/A,#N/A,FALSE,"proyctrol"}</definedName>
    <definedName name="edede" localSheetId="2" hidden="1">{"DETALLE_1996",#N/A,FALSE,"flujo";"DETALLE_1997",#N/A,FALSE,"flujo";"GASTOS_INCURRIDOS_1996",#N/A,FALSE,"flujo";"GASTOS_PROGRAMADOS_PARA_1997",#N/A,FALSE,"flujo";#N/A,#N/A,FALSE,"comparat";#N/A,#N/A,FALSE,"costos";#N/A,#N/A,FALSE,"proyctrol"}</definedName>
    <definedName name="edede" hidden="1">{"DETALLE_1996",#N/A,FALSE,"flujo";"DETALLE_1997",#N/A,FALSE,"flujo";"GASTOS_INCURRIDOS_1996",#N/A,FALSE,"flujo";"GASTOS_PROGRAMADOS_PARA_1997",#N/A,FALSE,"flujo";#N/A,#N/A,FALSE,"comparat";#N/A,#N/A,FALSE,"costos";#N/A,#N/A,FALSE,"proyctrol"}</definedName>
    <definedName name="ededed" localSheetId="0" hidden="1">{#N/A,#N/A,TRUE,"Est. de Fact.";#N/A,#N/A,TRUE,"Capitulo 19";#N/A,#N/A,TRUE,"Proyecto P855"}</definedName>
    <definedName name="ededed" localSheetId="2" hidden="1">{#N/A,#N/A,TRUE,"Est. de Fact.";#N/A,#N/A,TRUE,"Capitulo 19";#N/A,#N/A,TRUE,"Proyecto P855"}</definedName>
    <definedName name="ededed" hidden="1">{#N/A,#N/A,TRUE,"Est. de Fact.";#N/A,#N/A,TRUE,"Capitulo 19";#N/A,#N/A,TRUE,"Proyecto P855"}</definedName>
    <definedName name="ee" localSheetId="0" hidden="1">{#N/A,#N/A,FALSE,"Total_OC015";#N/A,#N/A,FALSE,"ADMIN";#N/A,#N/A,FALSE,"PROCES";#N/A,#N/A,FALSE,"mecan";#N/A,#N/A,FALSE,"civil";#N/A,#N/A,FALSE,"CAÑER";#N/A,#N/A,FALSE,"ELEC";#N/A,#N/A,FALSE,"INSTR"}</definedName>
    <definedName name="ee" localSheetId="2" hidden="1">{#N/A,#N/A,FALSE,"Total_OC015";#N/A,#N/A,FALSE,"ADMIN";#N/A,#N/A,FALSE,"PROCES";#N/A,#N/A,FALSE,"mecan";#N/A,#N/A,FALSE,"civil";#N/A,#N/A,FALSE,"CAÑER";#N/A,#N/A,FALSE,"ELEC";#N/A,#N/A,FALSE,"INSTR"}</definedName>
    <definedName name="ee" hidden="1">{#N/A,#N/A,FALSE,"Total_OC015";#N/A,#N/A,FALSE,"ADMIN";#N/A,#N/A,FALSE,"PROCES";#N/A,#N/A,FALSE,"mecan";#N/A,#N/A,FALSE,"civil";#N/A,#N/A,FALSE,"CAÑER";#N/A,#N/A,FALSE,"ELEC";#N/A,#N/A,FALSE,"INSTR"}</definedName>
    <definedName name="eee" localSheetId="0" hidden="1">{#N/A,#N/A,FALSE,"masez (10)";#N/A,#N/A,FALSE,"masez (7)";#N/A,#N/A,FALSE,"masez (6)";#N/A,#N/A,FALSE,"masez (5)";#N/A,#N/A,FALSE,"masez (4)";#N/A,#N/A,FALSE,"masez (3)";#N/A,#N/A,FALSE,"masez (2)";#N/A,#N/A,FALSE,"GME";#N/A,#N/A,FALSE,"masez"}</definedName>
    <definedName name="eee" localSheetId="2" hidden="1">{#N/A,#N/A,FALSE,"masez (10)";#N/A,#N/A,FALSE,"masez (7)";#N/A,#N/A,FALSE,"masez (6)";#N/A,#N/A,FALSE,"masez (5)";#N/A,#N/A,FALSE,"masez (4)";#N/A,#N/A,FALSE,"masez (3)";#N/A,#N/A,FALSE,"masez (2)";#N/A,#N/A,FALSE,"GME";#N/A,#N/A,FALSE,"masez"}</definedName>
    <definedName name="eee" hidden="1">{#N/A,#N/A,FALSE,"masez (10)";#N/A,#N/A,FALSE,"masez (7)";#N/A,#N/A,FALSE,"masez (6)";#N/A,#N/A,FALSE,"masez (5)";#N/A,#N/A,FALSE,"masez (4)";#N/A,#N/A,FALSE,"masez (3)";#N/A,#N/A,FALSE,"masez (2)";#N/A,#N/A,FALSE,"GME";#N/A,#N/A,FALSE,"masez"}</definedName>
    <definedName name="eeeeeee" localSheetId="0">#REF!</definedName>
    <definedName name="eeeeeee">#REF!</definedName>
    <definedName name="eewr" localSheetId="0">#REF!</definedName>
    <definedName name="eewr">#REF!</definedName>
    <definedName name="EF" localSheetId="0">#REF!</definedName>
    <definedName name="EF">#REF!</definedName>
    <definedName name="EFA" localSheetId="0">#REF!</definedName>
    <definedName name="EFA">#REF!</definedName>
    <definedName name="EFF" localSheetId="0" hidden="1">{#N/A,#N/A,FALSE,"GERAL";#N/A,#N/A,FALSE,"012-96";#N/A,#N/A,FALSE,"018-96";#N/A,#N/A,FALSE,"027-96";#N/A,#N/A,FALSE,"059-96";#N/A,#N/A,FALSE,"076-96";#N/A,#N/A,FALSE,"019-97";#N/A,#N/A,FALSE,"021-97";#N/A,#N/A,FALSE,"022-97";#N/A,#N/A,FALSE,"028-97"}</definedName>
    <definedName name="EFF" localSheetId="2" hidden="1">{#N/A,#N/A,FALSE,"GERAL";#N/A,#N/A,FALSE,"012-96";#N/A,#N/A,FALSE,"018-96";#N/A,#N/A,FALSE,"027-96";#N/A,#N/A,FALSE,"059-96";#N/A,#N/A,FALSE,"076-96";#N/A,#N/A,FALSE,"019-97";#N/A,#N/A,FALSE,"021-97";#N/A,#N/A,FALSE,"022-97";#N/A,#N/A,FALSE,"028-97"}</definedName>
    <definedName name="EFF" hidden="1">{#N/A,#N/A,FALSE,"GERAL";#N/A,#N/A,FALSE,"012-96";#N/A,#N/A,FALSE,"018-96";#N/A,#N/A,FALSE,"027-96";#N/A,#N/A,FALSE,"059-96";#N/A,#N/A,FALSE,"076-96";#N/A,#N/A,FALSE,"019-97";#N/A,#N/A,FALSE,"021-97";#N/A,#N/A,FALSE,"022-97";#N/A,#N/A,FALSE,"028-97"}</definedName>
    <definedName name="ehe" localSheetId="0">#REF!</definedName>
    <definedName name="ehe">#REF!</definedName>
    <definedName name="EI" localSheetId="0">#REF!</definedName>
    <definedName name="EI">#REF!</definedName>
    <definedName name="eighteight" localSheetId="0">#REF!</definedName>
    <definedName name="eighteight">#REF!</definedName>
    <definedName name="eightfive" localSheetId="0">#REF!</definedName>
    <definedName name="eightfive">#REF!</definedName>
    <definedName name="eightfour" localSheetId="0">#REF!</definedName>
    <definedName name="eightfour">#REF!</definedName>
    <definedName name="eightnine" localSheetId="0">#REF!</definedName>
    <definedName name="eightnine">#REF!</definedName>
    <definedName name="eightone" localSheetId="0">#REF!</definedName>
    <definedName name="eightone">#REF!</definedName>
    <definedName name="EIXO" localSheetId="0">#REF!</definedName>
    <definedName name="EIXO">#REF!</definedName>
    <definedName name="EIXO_DADOS" localSheetId="0">#REF!,#REF!</definedName>
    <definedName name="EIXO_DADOS" localSheetId="2">#REF!,#REF!</definedName>
    <definedName name="EIXO_DADOS">#REF!,#REF!</definedName>
    <definedName name="eixos" localSheetId="0">#REF!</definedName>
    <definedName name="eixos" localSheetId="2">#REF!</definedName>
    <definedName name="eixos">#REF!</definedName>
    <definedName name="elect" localSheetId="0">#REF!</definedName>
    <definedName name="elect">#REF!</definedName>
    <definedName name="ELECTRICAL" localSheetId="0">#REF!</definedName>
    <definedName name="ELECTRICAL">#REF!</definedName>
    <definedName name="Eletrica" localSheetId="0" hidden="1">{#N/A,#N/A,FALSE,"GERAL";#N/A,#N/A,FALSE,"012-96";#N/A,#N/A,FALSE,"018-96";#N/A,#N/A,FALSE,"027-96";#N/A,#N/A,FALSE,"059-96";#N/A,#N/A,FALSE,"076-96";#N/A,#N/A,FALSE,"019-97";#N/A,#N/A,FALSE,"021-97";#N/A,#N/A,FALSE,"022-97";#N/A,#N/A,FALSE,"028-97"}</definedName>
    <definedName name="Eletrica" localSheetId="2" hidden="1">{#N/A,#N/A,FALSE,"GERAL";#N/A,#N/A,FALSE,"012-96";#N/A,#N/A,FALSE,"018-96";#N/A,#N/A,FALSE,"027-96";#N/A,#N/A,FALSE,"059-96";#N/A,#N/A,FALSE,"076-96";#N/A,#N/A,FALSE,"019-97";#N/A,#N/A,FALSE,"021-97";#N/A,#N/A,FALSE,"022-97";#N/A,#N/A,FALSE,"028-97"}</definedName>
    <definedName name="Eletrica" hidden="1">{#N/A,#N/A,FALSE,"GERAL";#N/A,#N/A,FALSE,"012-96";#N/A,#N/A,FALSE,"018-96";#N/A,#N/A,FALSE,"027-96";#N/A,#N/A,FALSE,"059-96";#N/A,#N/A,FALSE,"076-96";#N/A,#N/A,FALSE,"019-97";#N/A,#N/A,FALSE,"021-97";#N/A,#N/A,FALSE,"022-97";#N/A,#N/A,FALSE,"028-97"}</definedName>
    <definedName name="Elétric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létric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létric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ITIDOSATE" localSheetId="0">#REF!</definedName>
    <definedName name="EMITIDOSATE">#REF!</definedName>
    <definedName name="EMPRESA" localSheetId="0">#REF!</definedName>
    <definedName name="EMPRESA">#REF!</definedName>
    <definedName name="Empresa_Cod">#REF!</definedName>
    <definedName name="enc" localSheetId="0">#REF!</definedName>
    <definedName name="enc" localSheetId="1">#REF!</definedName>
    <definedName name="enc" localSheetId="3">#REF!</definedName>
    <definedName name="enc" localSheetId="4">#REF!</definedName>
    <definedName name="enc" localSheetId="5">#REF!</definedName>
    <definedName name="enc" localSheetId="6">#REF!</definedName>
    <definedName name="enc" localSheetId="7">#REF!</definedName>
    <definedName name="enc" localSheetId="13">'ENCARGOS SOCIAIS'!$D$33</definedName>
    <definedName name="enc" localSheetId="2">#REF!</definedName>
    <definedName name="enc">#REF!</definedName>
    <definedName name="Encargos" localSheetId="0">#REF!</definedName>
    <definedName name="Encargos">#REF!</definedName>
    <definedName name="Encargos_Sociais_Trabalhistas" localSheetId="0">#REF!</definedName>
    <definedName name="Encargos_Sociais_Trabalhistas" localSheetId="2">#REF!</definedName>
    <definedName name="Encargos_Sociais_Trabalhistas">#REF!</definedName>
    <definedName name="EncargosHExtra" localSheetId="0">#REF!</definedName>
    <definedName name="EncargosHExtra">#REF!</definedName>
    <definedName name="ENERGIA" localSheetId="0">#REF!</definedName>
    <definedName name="ENERGIA">#REF!</definedName>
    <definedName name="ENGEMEC" localSheetId="0">#REF!</definedName>
    <definedName name="ENGEMEC">#REF!</definedName>
    <definedName name="ENGENHARIA" localSheetId="0">#REF!</definedName>
    <definedName name="ENGENHARIA">#REF!</definedName>
    <definedName name="ENGINEERING__MGENT" localSheetId="0">#REF!</definedName>
    <definedName name="ENGINEERING__MGENT">#REF!</definedName>
    <definedName name="ENT" localSheetId="0">#REF!</definedName>
    <definedName name="ENT" localSheetId="2">#REF!</definedName>
    <definedName name="ENT">#REF!</definedName>
    <definedName name="entrada_mult" localSheetId="0">#REF!</definedName>
    <definedName name="entrada_mult">#REF!</definedName>
    <definedName name="ENVIRONMENT" localSheetId="0">#REF!</definedName>
    <definedName name="ENVIRONMENT">#REF!</definedName>
    <definedName name="EPI" localSheetId="0">#REF!</definedName>
    <definedName name="EPI">#REF!</definedName>
    <definedName name="EPIAdm.Local" localSheetId="0">#REF!</definedName>
    <definedName name="EPIAdm.Local">#REF!</definedName>
    <definedName name="eq" localSheetId="0" hidden="1">{#N/A,#N/A,FALSE,"minas";#N/A,#N/A,FALSE,"Total_OC015";#N/A,#N/A,FALSE,"ADMIN";#N/A,#N/A,FALSE,"PROCES";#N/A,#N/A,FALSE,"civil";#N/A,#N/A,FALSE,"CAÑER";#N/A,#N/A,FALSE,"ELEC";#N/A,#N/A,FALSE,"INSTR";#N/A,#N/A,FALSE,"PDS";#N/A,#N/A,FALSE,"mecan"}</definedName>
    <definedName name="eq" localSheetId="2"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emergencia" localSheetId="0">#REF!</definedName>
    <definedName name="eqemergencia">#REF!</definedName>
    <definedName name="eqfluoresc236w" localSheetId="0">#REF!</definedName>
    <definedName name="eqfluoresc236w">#REF!</definedName>
    <definedName name="eqpt" localSheetId="0">#REF!</definedName>
    <definedName name="eqpt">#REF!</definedName>
    <definedName name="equ" localSheetId="0" hidden="1">{#N/A,#N/A,TRUE,"Est. de Fact.";#N/A,#N/A,TRUE,"Capitulo 19";#N/A,#N/A,TRUE,"Proyecto P855"}</definedName>
    <definedName name="equ" localSheetId="2" hidden="1">{#N/A,#N/A,TRUE,"Est. de Fact.";#N/A,#N/A,TRUE,"Capitulo 19";#N/A,#N/A,TRUE,"Proyecto P855"}</definedName>
    <definedName name="equ" hidden="1">{#N/A,#N/A,TRUE,"Est. de Fact.";#N/A,#N/A,TRUE,"Capitulo 19";#N/A,#N/A,TRUE,"Proyecto P855"}</definedName>
    <definedName name="equi" localSheetId="0" hidden="1">{#N/A,#N/A,FALSE,"Total_OC015";#N/A,#N/A,FALSE,"ADMIN";#N/A,#N/A,FALSE,"PROCES";#N/A,#N/A,FALSE,"mecan";#N/A,#N/A,FALSE,"civil";#N/A,#N/A,FALSE,"CAÑER";#N/A,#N/A,FALSE,"ELEC";#N/A,#N/A,FALSE,"INSTR"}</definedName>
    <definedName name="equi" localSheetId="2"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p" localSheetId="0">#REF!</definedName>
    <definedName name="equip">#REF!</definedName>
    <definedName name="Equip.Especiais" localSheetId="0">#REF!</definedName>
    <definedName name="Equip.Especiais">#REF!</definedName>
    <definedName name="EQUIP_1" localSheetId="0">#REF!</definedName>
    <definedName name="EQUIP_1">#REF!</definedName>
    <definedName name="EQUIP_2" localSheetId="0">#REF!</definedName>
    <definedName name="EQUIP_2">#REF!</definedName>
    <definedName name="EQUIP_ELEC_REQ" localSheetId="0">#REF!</definedName>
    <definedName name="EQUIP_ELEC_REQ">#REF!</definedName>
    <definedName name="EQUIP_ELEC_REQ_1" localSheetId="0">#REF!</definedName>
    <definedName name="EQUIP_ELEC_REQ_1">#REF!</definedName>
    <definedName name="EQUIP1">#REF!</definedName>
    <definedName name="EQUIP2">#REF!</definedName>
    <definedName name="Equipamento" localSheetId="0">#REF!</definedName>
    <definedName name="Equipamento">#REF!</definedName>
    <definedName name="equu" localSheetId="0" hidden="1">{#N/A,#N/A,FALSE,"minas";#N/A,#N/A,FALSE,"Total_OC015";#N/A,#N/A,FALSE,"ADMIN";#N/A,#N/A,FALSE,"PROCES";#N/A,#N/A,FALSE,"civil";#N/A,#N/A,FALSE,"CAÑER";#N/A,#N/A,FALSE,"ELEC";#N/A,#N/A,FALSE,"INSTR";#N/A,#N/A,FALSE,"PDS";#N/A,#N/A,FALSE,"mecan"}</definedName>
    <definedName name="equu" localSheetId="2"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r" localSheetId="0">#REF!</definedName>
    <definedName name="er">#REF!</definedName>
    <definedName name="erd" localSheetId="0" hidden="1">{#N/A,#N/A,FALSE,"IC_Global";#N/A,#N/A,FALSE,"IC_Global (98-f)";#N/A,#N/A,FALSE,"Inc";#N/A,#N/A,FALSE,"CAMBIOS (2)";#N/A,#N/A,FALSE,"EXPL Inc.";#N/A,#N/A,FALSE,"HITOS98";#N/A,#N/A,FALSE,"CURVA ""S"" GLOBAL ";#N/A,#N/A,FALSE,"CURVA ""S"" 1998 "}</definedName>
    <definedName name="erd" localSheetId="2"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gerg" localSheetId="0" hidden="1">{#N/A,#N/A,FALSE,"minas";#N/A,#N/A,FALSE,"Total_OC015";#N/A,#N/A,FALSE,"ADMIN";#N/A,#N/A,FALSE,"PROCES";#N/A,#N/A,FALSE,"civil";#N/A,#N/A,FALSE,"CAÑER";#N/A,#N/A,FALSE,"ELEC";#N/A,#N/A,FALSE,"INSTR";#N/A,#N/A,FALSE,"PDS";#N/A,#N/A,FALSE,"mecan"}</definedName>
    <definedName name="ergerg" localSheetId="2" hidden="1">{#N/A,#N/A,FALSE,"minas";#N/A,#N/A,FALSE,"Total_OC015";#N/A,#N/A,FALSE,"ADMIN";#N/A,#N/A,FALSE,"PROCES";#N/A,#N/A,FALSE,"civil";#N/A,#N/A,FALSE,"CAÑER";#N/A,#N/A,FALSE,"ELEC";#N/A,#N/A,FALSE,"INSTR";#N/A,#N/A,FALSE,"PDS";#N/A,#N/A,FALSE,"mecan"}</definedName>
    <definedName name="ergerg" hidden="1">{#N/A,#N/A,FALSE,"minas";#N/A,#N/A,FALSE,"Total_OC015";#N/A,#N/A,FALSE,"ADMIN";#N/A,#N/A,FALSE,"PROCES";#N/A,#N/A,FALSE,"civil";#N/A,#N/A,FALSE,"CAÑER";#N/A,#N/A,FALSE,"ELEC";#N/A,#N/A,FALSE,"INSTR";#N/A,#N/A,FALSE,"PDS";#N/A,#N/A,FALSE,"mecan"}</definedName>
    <definedName name="ES" localSheetId="0">#REF!</definedName>
    <definedName name="ES">#REF!</definedName>
    <definedName name="ESA" localSheetId="0">#REF!</definedName>
    <definedName name="ESA">#REF!</definedName>
    <definedName name="ESC150X100" localSheetId="0">#REF!</definedName>
    <definedName name="ESC150X100">#REF!</definedName>
    <definedName name="ESC300X100" localSheetId="0">#REF!</definedName>
    <definedName name="ESC300X100">#REF!</definedName>
    <definedName name="ESC450X100" localSheetId="0">#REF!</definedName>
    <definedName name="ESC450X100">#REF!</definedName>
    <definedName name="ESC600X100" localSheetId="0">#REF!</definedName>
    <definedName name="ESC600X100">#REF!</definedName>
    <definedName name="ESC750X100" localSheetId="0">#REF!</definedName>
    <definedName name="ESC750X100">#REF!</definedName>
    <definedName name="ESocial">#REF!</definedName>
    <definedName name="ESP" localSheetId="0" hidden="1">{#N/A,#N/A,FALSE,"GERAL";#N/A,#N/A,FALSE,"012-96";#N/A,#N/A,FALSE,"018-96";#N/A,#N/A,FALSE,"027-96";#N/A,#N/A,FALSE,"059-96";#N/A,#N/A,FALSE,"076-96";#N/A,#N/A,FALSE,"019-97";#N/A,#N/A,FALSE,"021-97";#N/A,#N/A,FALSE,"022-97";#N/A,#N/A,FALSE,"028-97"}</definedName>
    <definedName name="ESP" localSheetId="2" hidden="1">{#N/A,#N/A,FALSE,"GERAL";#N/A,#N/A,FALSE,"012-96";#N/A,#N/A,FALSE,"018-96";#N/A,#N/A,FALSE,"027-96";#N/A,#N/A,FALSE,"059-96";#N/A,#N/A,FALSE,"076-96";#N/A,#N/A,FALSE,"019-97";#N/A,#N/A,FALSE,"021-97";#N/A,#N/A,FALSE,"022-97";#N/A,#N/A,FALSE,"028-97"}</definedName>
    <definedName name="ESP" hidden="1">{#N/A,#N/A,FALSE,"GERAL";#N/A,#N/A,FALSE,"012-96";#N/A,#N/A,FALSE,"018-96";#N/A,#N/A,FALSE,"027-96";#N/A,#N/A,FALSE,"059-96";#N/A,#N/A,FALSE,"076-96";#N/A,#N/A,FALSE,"019-97";#N/A,#N/A,FALSE,"021-97";#N/A,#N/A,FALSE,"022-97";#N/A,#N/A,FALSE,"028-97"}</definedName>
    <definedName name="ESPCON" localSheetId="0" hidden="1">{#N/A,#N/A,FALSE,"GERAL";#N/A,#N/A,FALSE,"012-96";#N/A,#N/A,FALSE,"018-96";#N/A,#N/A,FALSE,"027-96";#N/A,#N/A,FALSE,"059-96";#N/A,#N/A,FALSE,"076-96";#N/A,#N/A,FALSE,"019-97";#N/A,#N/A,FALSE,"021-97";#N/A,#N/A,FALSE,"022-97";#N/A,#N/A,FALSE,"028-97"}</definedName>
    <definedName name="ESPCON" localSheetId="2" hidden="1">{#N/A,#N/A,FALSE,"GERAL";#N/A,#N/A,FALSE,"012-96";#N/A,#N/A,FALSE,"018-96";#N/A,#N/A,FALSE,"027-96";#N/A,#N/A,FALSE,"059-96";#N/A,#N/A,FALSE,"076-96";#N/A,#N/A,FALSE,"019-97";#N/A,#N/A,FALSE,"021-97";#N/A,#N/A,FALSE,"022-97";#N/A,#N/A,FALSE,"028-97"}</definedName>
    <definedName name="ESPCON" hidden="1">{#N/A,#N/A,FALSE,"GERAL";#N/A,#N/A,FALSE,"012-96";#N/A,#N/A,FALSE,"018-96";#N/A,#N/A,FALSE,"027-96";#N/A,#N/A,FALSE,"059-96";#N/A,#N/A,FALSE,"076-96";#N/A,#N/A,FALSE,"019-97";#N/A,#N/A,FALSE,"021-97";#N/A,#N/A,FALSE,"022-97";#N/A,#N/A,FALSE,"028-97"}</definedName>
    <definedName name="ESPESSAMENTO" localSheetId="0" hidden="1">{#N/A,#N/A,FALSE,"GERAL";#N/A,#N/A,FALSE,"012-96";#N/A,#N/A,FALSE,"018-96";#N/A,#N/A,FALSE,"027-96";#N/A,#N/A,FALSE,"059-96";#N/A,#N/A,FALSE,"076-96";#N/A,#N/A,FALSE,"019-97";#N/A,#N/A,FALSE,"021-97";#N/A,#N/A,FALSE,"022-97";#N/A,#N/A,FALSE,"028-97"}</definedName>
    <definedName name="ESPESSAMENTO" localSheetId="2"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Metálic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ELE" localSheetId="0">#REF!</definedName>
    <definedName name="ESTELE">#REF!</definedName>
    <definedName name="ESTL" localSheetId="0">#REF!</definedName>
    <definedName name="ESTL">#REF!</definedName>
    <definedName name="ESTMEC" localSheetId="0">#REF!</definedName>
    <definedName name="ESTMEC">#REF!</definedName>
    <definedName name="ESTP" localSheetId="0">#REF!</definedName>
    <definedName name="ESTP">#REF!</definedName>
    <definedName name="ESTS" localSheetId="0">#REF!</definedName>
    <definedName name="ESTS">#REF!</definedName>
    <definedName name="EstTotalF">#REF!</definedName>
    <definedName name="etp" localSheetId="0" hidden="1">{#N/A,#N/A,FALSE,"TEC-01";#N/A,#N/A,FALSE,"TEC - 02";#N/A,#N/A,FALSE,"TEC - 03";#N/A,#N/A,FALSE,"TEC - 04";#N/A,#N/A,FALSE,"TEC-07";#N/A,#N/A,FALSE,"TEC-08";#N/A,#N/A,FALSE,"TEC - 09A";#N/A,#N/A,FALSE,"TEC - 09B";#N/A,#N/A,FALSE,"TEC - 09C";#N/A,#N/A,FALSE,"TEC - 10";#N/A,#N/A,FALSE,"TEC-11"}</definedName>
    <definedName name="etp" localSheetId="2" hidden="1">{#N/A,#N/A,FALSE,"TEC-01";#N/A,#N/A,FALSE,"TEC - 02";#N/A,#N/A,FALSE,"TEC - 03";#N/A,#N/A,FALSE,"TEC - 04";#N/A,#N/A,FALSE,"TEC-07";#N/A,#N/A,FALSE,"TEC-08";#N/A,#N/A,FALSE,"TEC - 09A";#N/A,#N/A,FALSE,"TEC - 09B";#N/A,#N/A,FALSE,"TEC - 09C";#N/A,#N/A,FALSE,"TEC - 10";#N/A,#N/A,FALSE,"TEC-11"}</definedName>
    <definedName name="etp" hidden="1">{#N/A,#N/A,FALSE,"TEC-01";#N/A,#N/A,FALSE,"TEC - 02";#N/A,#N/A,FALSE,"TEC - 03";#N/A,#N/A,FALSE,"TEC - 04";#N/A,#N/A,FALSE,"TEC-07";#N/A,#N/A,FALSE,"TEC-08";#N/A,#N/A,FALSE,"TEC - 09A";#N/A,#N/A,FALSE,"TEC - 09B";#N/A,#N/A,FALSE,"TEC - 09C";#N/A,#N/A,FALSE,"TEC - 10";#N/A,#N/A,FALSE,"TEC-11"}</definedName>
    <definedName name="EUR" localSheetId="0">#REF!</definedName>
    <definedName name="EUR">#REF!</definedName>
    <definedName name="EUR_Total" localSheetId="0">#REF!</definedName>
    <definedName name="EUR_Total">#REF!</definedName>
    <definedName name="EURO" localSheetId="0">#REF!</definedName>
    <definedName name="EURO">#REF!</definedName>
    <definedName name="EV">#N/A</definedName>
    <definedName name="EVENTOS" localSheetId="0">OFFSET(#REF!,0,0,COUNTA(#REF!),1)</definedName>
    <definedName name="EVENTOS">OFFSET(#REF!,0,0,COUNTA(#REF!),1)</definedName>
    <definedName name="ewerwe" localSheetId="0">#REF!</definedName>
    <definedName name="ewerwe">#REF!</definedName>
    <definedName name="ewew" localSheetId="0" hidden="1">{#N/A,#N/A,FALSE,"Total_OC015";#N/A,#N/A,FALSE,"ADMIN";#N/A,#N/A,FALSE,"PROCES";#N/A,#N/A,FALSE,"mecan";#N/A,#N/A,FALSE,"civil";#N/A,#N/A,FALSE,"CAÑER";#N/A,#N/A,FALSE,"ELEC";#N/A,#N/A,FALSE,"INSTR"}</definedName>
    <definedName name="ewew" localSheetId="2" hidden="1">{#N/A,#N/A,FALSE,"Total_OC015";#N/A,#N/A,FALSE,"ADMIN";#N/A,#N/A,FALSE,"PROCES";#N/A,#N/A,FALSE,"mecan";#N/A,#N/A,FALSE,"civil";#N/A,#N/A,FALSE,"CAÑER";#N/A,#N/A,FALSE,"ELEC";#N/A,#N/A,FALSE,"INSTR"}</definedName>
    <definedName name="ewew" hidden="1">{#N/A,#N/A,FALSE,"Total_OC015";#N/A,#N/A,FALSE,"ADMIN";#N/A,#N/A,FALSE,"PROCES";#N/A,#N/A,FALSE,"mecan";#N/A,#N/A,FALSE,"civil";#N/A,#N/A,FALSE,"CAÑER";#N/A,#N/A,FALSE,"ELEC";#N/A,#N/A,FALSE,"INSTR"}</definedName>
    <definedName name="EWP" localSheetId="0">#REF!</definedName>
    <definedName name="EWP">#REF!</definedName>
    <definedName name="excav" localSheetId="0">#REF!</definedName>
    <definedName name="excav">#REF!</definedName>
    <definedName name="Excel_BuiltIn__FilterDatabase_1" localSheetId="0">#REF!</definedName>
    <definedName name="Excel_BuiltIn__FilterDatabase_1">#REF!</definedName>
    <definedName name="Excel_BuiltIn__FilterDatabase_2" localSheetId="0">#REF!</definedName>
    <definedName name="Excel_BuiltIn__FilterDatabase_2">#REF!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2" localSheetId="0">#REF!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2_1">#REF!</definedName>
    <definedName name="EXCF" localSheetId="0">#REF!</definedName>
    <definedName name="EXCF">#REF!</definedName>
    <definedName name="Exch_Rate" localSheetId="0">#REF!</definedName>
    <definedName name="Exch_Rate">#REF!</definedName>
    <definedName name="Exch_Rate1" localSheetId="0">#REF!</definedName>
    <definedName name="Exch_Rate1">#REF!</definedName>
    <definedName name="EXCHANGE" localSheetId="0">#REF!</definedName>
    <definedName name="EXCHANGE">#REF!</definedName>
    <definedName name="EXCM" localSheetId="0">#REF!</definedName>
    <definedName name="EXCM">#REF!</definedName>
    <definedName name="EXMA" localSheetId="0">#REF!</definedName>
    <definedName name="EXMA">#REF!</definedName>
    <definedName name="Exp_Index" localSheetId="0">#REF!</definedName>
    <definedName name="Exp_Index">#REF!</definedName>
    <definedName name="EXPANSAO" localSheetId="0">#REF!</definedName>
    <definedName name="EXPANSAO">#REF!</definedName>
    <definedName name="Expense_rates" localSheetId="0">#REF!</definedName>
    <definedName name="Expense_rates">#REF!</definedName>
    <definedName name="Expenses" localSheetId="0">#REF!</definedName>
    <definedName name="Expenses">#REF!</definedName>
    <definedName name="EXPLOSIVOS" localSheetId="0" hidden="1">{#N/A,#N/A,FALSE,"GERAL";#N/A,#N/A,FALSE,"012-96";#N/A,#N/A,FALSE,"018-96";#N/A,#N/A,FALSE,"027-96";#N/A,#N/A,FALSE,"059-96";#N/A,#N/A,FALSE,"076-96";#N/A,#N/A,FALSE,"019-97";#N/A,#N/A,FALSE,"021-97";#N/A,#N/A,FALSE,"022-97";#N/A,#N/A,FALSE,"028-97"}</definedName>
    <definedName name="EXPLOSIVOS" localSheetId="2"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ExportDrwsTopLine" localSheetId="0">#REF!</definedName>
    <definedName name="ExportDrwsTopLine">#REF!</definedName>
    <definedName name="EXT__m" localSheetId="0">#REF!</definedName>
    <definedName name="EXT__m">#REF!</definedName>
    <definedName name="EXTENSÃO" localSheetId="0">#REF!</definedName>
    <definedName name="EXTENSÃO">#REF!</definedName>
    <definedName name="Extraordinário" localSheetId="0" hidden="1">{#N/A,#N/A,FALSE,"TEC-01";#N/A,#N/A,FALSE,"TEC - 02";#N/A,#N/A,FALSE,"TEC - 03";#N/A,#N/A,FALSE,"TEC - 04";#N/A,#N/A,FALSE,"TEC-07";#N/A,#N/A,FALSE,"TEC-08";#N/A,#N/A,FALSE,"TEC - 09A";#N/A,#N/A,FALSE,"TEC - 09B";#N/A,#N/A,FALSE,"TEC - 09C";#N/A,#N/A,FALSE,"TEC - 10";#N/A,#N/A,FALSE,"TEC-11"}</definedName>
    <definedName name="Extraordinário" localSheetId="2" hidden="1">{#N/A,#N/A,FALSE,"TEC-01";#N/A,#N/A,FALSE,"TEC - 02";#N/A,#N/A,FALSE,"TEC - 03";#N/A,#N/A,FALSE,"TEC - 04";#N/A,#N/A,FALSE,"TEC-07";#N/A,#N/A,FALSE,"TEC-08";#N/A,#N/A,FALSE,"TEC - 09A";#N/A,#N/A,FALSE,"TEC - 09B";#N/A,#N/A,FALSE,"TEC - 09C";#N/A,#N/A,FALSE,"TEC - 10";#N/A,#N/A,FALSE,"TEC-11"}</definedName>
    <definedName name="Extraordinário" hidden="1">{#N/A,#N/A,FALSE,"TEC-01";#N/A,#N/A,FALSE,"TEC - 02";#N/A,#N/A,FALSE,"TEC - 03";#N/A,#N/A,FALSE,"TEC - 04";#N/A,#N/A,FALSE,"TEC-07";#N/A,#N/A,FALSE,"TEC-08";#N/A,#N/A,FALSE,"TEC - 09A";#N/A,#N/A,FALSE,"TEC - 09B";#N/A,#N/A,FALSE,"TEC - 09C";#N/A,#N/A,FALSE,"TEC - 10";#N/A,#N/A,FALSE,"TEC-11"}</definedName>
    <definedName name="f" localSheetId="0" hidden="1">{#N/A,#N/A,FALSE,"GERAL";#N/A,#N/A,FALSE,"012-96";#N/A,#N/A,FALSE,"018-96";#N/A,#N/A,FALSE,"027-96";#N/A,#N/A,FALSE,"059-96";#N/A,#N/A,FALSE,"076-96";#N/A,#N/A,FALSE,"019-97";#N/A,#N/A,FALSE,"021-97";#N/A,#N/A,FALSE,"022-97";#N/A,#N/A,FALSE,"028-97"}</definedName>
    <definedName name="f" localSheetId="2" hidden="1">{#N/A,#N/A,FALSE,"GERAL";#N/A,#N/A,FALSE,"012-96";#N/A,#N/A,FALSE,"018-96";#N/A,#N/A,FALSE,"027-96";#N/A,#N/A,FALSE,"059-96";#N/A,#N/A,FALSE,"076-96";#N/A,#N/A,FALSE,"019-97";#N/A,#N/A,FALSE,"021-97";#N/A,#N/A,FALSE,"022-97";#N/A,#N/A,FALSE,"028-97"}</definedName>
    <definedName name="f" hidden="1">{#N/A,#N/A,FALSE,"GERAL";#N/A,#N/A,FALSE,"012-96";#N/A,#N/A,FALSE,"018-96";#N/A,#N/A,FALSE,"027-96";#N/A,#N/A,FALSE,"059-96";#N/A,#N/A,FALSE,"076-96";#N/A,#N/A,FALSE,"019-97";#N/A,#N/A,FALSE,"021-97";#N/A,#N/A,FALSE,"022-97";#N/A,#N/A,FALSE,"028-97"}</definedName>
    <definedName name="Fac" localSheetId="0">#REF!</definedName>
    <definedName name="Fac">#REF!</definedName>
    <definedName name="Facility_List" localSheetId="0">#REF!</definedName>
    <definedName name="Facility_List">#REF!</definedName>
    <definedName name="FACT" localSheetId="0">#REF!</definedName>
    <definedName name="FACT">#REF!</definedName>
    <definedName name="Factor_EC" localSheetId="0">#REF!</definedName>
    <definedName name="Factor_EC">#REF!</definedName>
    <definedName name="Factor_Mean" localSheetId="0">#REF!</definedName>
    <definedName name="Factor_Mean">#REF!</definedName>
    <definedName name="Factor_SD" localSheetId="0">#REF!</definedName>
    <definedName name="Factor_SD">#REF!</definedName>
    <definedName name="FAL" localSheetId="0">#REF!</definedName>
    <definedName name="FAL">#REF!</definedName>
    <definedName name="far"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r"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TELE" localSheetId="0">#REF!</definedName>
    <definedName name="FATELE">#REF!</definedName>
    <definedName name="FATMEC" localSheetId="0">#REF!</definedName>
    <definedName name="FATMEC">#REF!</definedName>
    <definedName name="FATOR" localSheetId="0">#REF!</definedName>
    <definedName name="FATOR">#REF!</definedName>
    <definedName name="fatorg">#REF!</definedName>
    <definedName name="FATTML">#REF!</definedName>
    <definedName name="FB" localSheetId="0">#REF!</definedName>
    <definedName name="FB">#REF!</definedName>
    <definedName name="fcs">#REF!</definedName>
    <definedName name="FD" localSheetId="0">#REF!</definedName>
    <definedName name="FD">#REF!</definedName>
    <definedName name="fdafd" localSheetId="0" hidden="1">{#N/A,#N/A,FALSE,"GERAL";#N/A,#N/A,FALSE,"012-96";#N/A,#N/A,FALSE,"018-96";#N/A,#N/A,FALSE,"027-96";#N/A,#N/A,FALSE,"059-96";#N/A,#N/A,FALSE,"076-96";#N/A,#N/A,FALSE,"019-97";#N/A,#N/A,FALSE,"021-97";#N/A,#N/A,FALSE,"022-97";#N/A,#N/A,FALSE,"028-97"}</definedName>
    <definedName name="fdafd" localSheetId="2" hidden="1">{#N/A,#N/A,FALSE,"GERAL";#N/A,#N/A,FALSE,"012-96";#N/A,#N/A,FALSE,"018-96";#N/A,#N/A,FALSE,"027-96";#N/A,#N/A,FALSE,"059-96";#N/A,#N/A,FALSE,"076-96";#N/A,#N/A,FALSE,"019-97";#N/A,#N/A,FALSE,"021-97";#N/A,#N/A,FALSE,"022-97";#N/A,#N/A,FALSE,"028-97"}</definedName>
    <definedName name="fdafd" hidden="1">{#N/A,#N/A,FALSE,"GERAL";#N/A,#N/A,FALSE,"012-96";#N/A,#N/A,FALSE,"018-96";#N/A,#N/A,FALSE,"027-96";#N/A,#N/A,FALSE,"059-96";#N/A,#N/A,FALSE,"076-96";#N/A,#N/A,FALSE,"019-97";#N/A,#N/A,FALSE,"021-97";#N/A,#N/A,FALSE,"022-97";#N/A,#N/A,FALSE,"028-97"}</definedName>
    <definedName name="fdfd" localSheetId="0" hidden="1">{#N/A,#N/A,FALSE,"GERAL";#N/A,#N/A,FALSE,"012-96";#N/A,#N/A,FALSE,"018-96";#N/A,#N/A,FALSE,"027-96";#N/A,#N/A,FALSE,"059-96";#N/A,#N/A,FALSE,"076-96";#N/A,#N/A,FALSE,"019-97";#N/A,#N/A,FALSE,"021-97";#N/A,#N/A,FALSE,"022-97";#N/A,#N/A,FALSE,"028-97"}</definedName>
    <definedName name="fdfd" localSheetId="2" hidden="1">{#N/A,#N/A,FALSE,"GERAL";#N/A,#N/A,FALSE,"012-96";#N/A,#N/A,FALSE,"018-96";#N/A,#N/A,FALSE,"027-96";#N/A,#N/A,FALSE,"059-96";#N/A,#N/A,FALSE,"076-96";#N/A,#N/A,FALSE,"019-97";#N/A,#N/A,FALSE,"021-97";#N/A,#N/A,FALSE,"022-97";#N/A,#N/A,FALSE,"028-97"}</definedName>
    <definedName name="fdfd" hidden="1">{#N/A,#N/A,FALSE,"GERAL";#N/A,#N/A,FALSE,"012-96";#N/A,#N/A,FALSE,"018-96";#N/A,#N/A,FALSE,"027-96";#N/A,#N/A,FALSE,"059-96";#N/A,#N/A,FALSE,"076-96";#N/A,#N/A,FALSE,"019-97";#N/A,#N/A,FALSE,"021-97";#N/A,#N/A,FALSE,"022-97";#N/A,#N/A,FALSE,"028-97"}</definedName>
    <definedName name="fdfng" localSheetId="0" hidden="1">{#N/A,#N/A,FALSE,"GERAL";#N/A,#N/A,FALSE,"012-96";#N/A,#N/A,FALSE,"018-96";#N/A,#N/A,FALSE,"027-96";#N/A,#N/A,FALSE,"059-96";#N/A,#N/A,FALSE,"076-96";#N/A,#N/A,FALSE,"019-97";#N/A,#N/A,FALSE,"021-97";#N/A,#N/A,FALSE,"022-97";#N/A,#N/A,FALSE,"028-97"}</definedName>
    <definedName name="fdfng" localSheetId="2" hidden="1">{#N/A,#N/A,FALSE,"GERAL";#N/A,#N/A,FALSE,"012-96";#N/A,#N/A,FALSE,"018-96";#N/A,#N/A,FALSE,"027-96";#N/A,#N/A,FALSE,"059-96";#N/A,#N/A,FALSE,"076-96";#N/A,#N/A,FALSE,"019-97";#N/A,#N/A,FALSE,"021-97";#N/A,#N/A,FALSE,"022-97";#N/A,#N/A,FALSE,"028-97"}</definedName>
    <definedName name="fdfng" hidden="1">{#N/A,#N/A,FALSE,"GERAL";#N/A,#N/A,FALSE,"012-96";#N/A,#N/A,FALSE,"018-96";#N/A,#N/A,FALSE,"027-96";#N/A,#N/A,FALSE,"059-96";#N/A,#N/A,FALSE,"076-96";#N/A,#N/A,FALSE,"019-97";#N/A,#N/A,FALSE,"021-97";#N/A,#N/A,FALSE,"022-97";#N/A,#N/A,FALSE,"028-97"}</definedName>
    <definedName name="FECHA" localSheetId="0">#REF!</definedName>
    <definedName name="FECHA">#REF!</definedName>
    <definedName name="Fee" localSheetId="0">#REF!</definedName>
    <definedName name="Fee">#REF!</definedName>
    <definedName name="felipe" localSheetId="0" hidden="1">{"CI+GG(BASE)",#N/A,FALSE,"CI+GG(BASE)";"GG",#N/A,FALSE,"CI+GG(BASE)";"CI",#N/A,FALSE,"CI+GG(BASE)"}</definedName>
    <definedName name="felipe" localSheetId="2" hidden="1">{"CI+GG(BASE)",#N/A,FALSE,"CI+GG(BASE)";"GG",#N/A,FALSE,"CI+GG(BASE)";"CI",#N/A,FALSE,"CI+GG(BASE)"}</definedName>
    <definedName name="felipe" hidden="1">{"CI+GG(BASE)",#N/A,FALSE,"CI+GG(BASE)";"GG",#N/A,FALSE,"CI+GG(BASE)";"CI",#N/A,FALSE,"CI+GG(BASE)"}</definedName>
    <definedName name="Felix_Sadovnick" localSheetId="0">#REF!</definedName>
    <definedName name="Felix_Sadovnick">#REF!</definedName>
    <definedName name="fence" localSheetId="0">#REF!</definedName>
    <definedName name="fence">#REF!</definedName>
    <definedName name="Ferramentas" localSheetId="0">#REF!</definedName>
    <definedName name="Ferramentas">#REF!</definedName>
    <definedName name="Feuille_1" localSheetId="0">#REF!</definedName>
    <definedName name="Feuille_1">#REF!</definedName>
    <definedName name="Feuille_10" localSheetId="0">#REF!</definedName>
    <definedName name="Feuille_10">#REF!</definedName>
    <definedName name="Feuille_115" localSheetId="0">#REF!</definedName>
    <definedName name="Feuille_115">#REF!</definedName>
    <definedName name="Feuille_3" localSheetId="0">#REF!</definedName>
    <definedName name="Feuille_3">#REF!</definedName>
    <definedName name="Feuille_4" localSheetId="0">#REF!</definedName>
    <definedName name="Feuille_4">#REF!</definedName>
    <definedName name="Feuille_5" localSheetId="0">#REF!</definedName>
    <definedName name="Feuille_5">#REF!</definedName>
    <definedName name="Feuille_6" localSheetId="0">#REF!</definedName>
    <definedName name="Feuille_6">#REF!</definedName>
    <definedName name="Feuille_7" localSheetId="0">#REF!</definedName>
    <definedName name="Feuille_7">#REF!</definedName>
    <definedName name="Feuille_8" localSheetId="0">#REF!</definedName>
    <definedName name="Feuille_8">#REF!</definedName>
    <definedName name="Feuille_9" localSheetId="0">#REF!</definedName>
    <definedName name="Feuille_9">#REF!</definedName>
    <definedName name="Feulle_1" localSheetId="0">#REF!</definedName>
    <definedName name="Feulle_1">#REF!</definedName>
    <definedName name="FF" localSheetId="0" hidden="1">{#N/A,#N/A,FALSE,"GERAL";#N/A,#N/A,FALSE,"012-96";#N/A,#N/A,FALSE,"018-96";#N/A,#N/A,FALSE,"027-96";#N/A,#N/A,FALSE,"059-96";#N/A,#N/A,FALSE,"076-96";#N/A,#N/A,FALSE,"019-97";#N/A,#N/A,FALSE,"021-97";#N/A,#N/A,FALSE,"022-97";#N/A,#N/A,FALSE,"028-97"}</definedName>
    <definedName name="FF" localSheetId="2" hidden="1">{#N/A,#N/A,FALSE,"GERAL";#N/A,#N/A,FALSE,"012-96";#N/A,#N/A,FALSE,"018-96";#N/A,#N/A,FALSE,"027-96";#N/A,#N/A,FALSE,"059-96";#N/A,#N/A,FALSE,"076-96";#N/A,#N/A,FALSE,"019-97";#N/A,#N/A,FALSE,"021-97";#N/A,#N/A,FALSE,"022-97";#N/A,#N/A,FALSE,"028-97"}</definedName>
    <definedName name="FF" hidden="1">{#N/A,#N/A,FALSE,"GERAL";#N/A,#N/A,FALSE,"012-96";#N/A,#N/A,FALSE,"018-96";#N/A,#N/A,FALSE,"027-96";#N/A,#N/A,FALSE,"059-96";#N/A,#N/A,FALSE,"076-96";#N/A,#N/A,FALSE,"019-97";#N/A,#N/A,FALSE,"021-97";#N/A,#N/A,FALSE,"022-97";#N/A,#N/A,FALSE,"028-97"}</definedName>
    <definedName name="ffff" localSheetId="0" hidden="1">{#N/A,#N/A,FALSE,"Total_OC015";#N/A,#N/A,FALSE,"ADMIN";#N/A,#N/A,FALSE,"PROCES";#N/A,#N/A,FALSE,"mecan";#N/A,#N/A,FALSE,"civil";#N/A,#N/A,FALSE,"CAÑER";#N/A,#N/A,FALSE,"ELEC";#N/A,#N/A,FALSE,"INSTR"}</definedName>
    <definedName name="ffff" localSheetId="2" hidden="1">{#N/A,#N/A,FALSE,"Total_OC015";#N/A,#N/A,FALSE,"ADMIN";#N/A,#N/A,FALSE,"PROCES";#N/A,#N/A,FALSE,"mecan";#N/A,#N/A,FALSE,"civil";#N/A,#N/A,FALSE,"CAÑER";#N/A,#N/A,FALSE,"ELEC";#N/A,#N/A,FALSE,"INSTR"}</definedName>
    <definedName name="ffff" hidden="1">{#N/A,#N/A,FALSE,"Total_OC015";#N/A,#N/A,FALSE,"ADMIN";#N/A,#N/A,FALSE,"PROCES";#N/A,#N/A,FALSE,"mecan";#N/A,#N/A,FALSE,"civil";#N/A,#N/A,FALSE,"CAÑER";#N/A,#N/A,FALSE,"ELEC";#N/A,#N/A,FALSE,"INSTR"}</definedName>
    <definedName name="fffff" localSheetId="0" hidden="1">{#N/A,#N/A,FALSE,"Total_OC015";#N/A,#N/A,FALSE,"ADMIN";#N/A,#N/A,FALSE,"PROCES";#N/A,#N/A,FALSE,"mecan";#N/A,#N/A,FALSE,"civil";#N/A,#N/A,FALSE,"CAÑER";#N/A,#N/A,FALSE,"ELEC";#N/A,#N/A,FALSE,"INSTR"}</definedName>
    <definedName name="fffff" localSheetId="2" hidden="1">{#N/A,#N/A,FALSE,"Total_OC015";#N/A,#N/A,FALSE,"ADMIN";#N/A,#N/A,FALSE,"PROCES";#N/A,#N/A,FALSE,"mecan";#N/A,#N/A,FALSE,"civil";#N/A,#N/A,FALSE,"CAÑER";#N/A,#N/A,FALSE,"ELEC";#N/A,#N/A,FALSE,"INSTR"}</definedName>
    <definedName name="fffff" hidden="1">{#N/A,#N/A,FALSE,"Total_OC015";#N/A,#N/A,FALSE,"ADMIN";#N/A,#N/A,FALSE,"PROCES";#N/A,#N/A,FALSE,"mecan";#N/A,#N/A,FALSE,"civil";#N/A,#N/A,FALSE,"CAÑER";#N/A,#N/A,FALSE,"ELEC";#N/A,#N/A,FALSE,"INSTR"}</definedName>
    <definedName name="fffffffffff"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fffffffff"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ffffffff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TY" localSheetId="0" hidden="1">{#N/A,#N/A,FALSE,"GERAL";#N/A,#N/A,FALSE,"012-96";#N/A,#N/A,FALSE,"018-96";#N/A,#N/A,FALSE,"027-96";#N/A,#N/A,FALSE,"059-96";#N/A,#N/A,FALSE,"076-96";#N/A,#N/A,FALSE,"019-97";#N/A,#N/A,FALSE,"021-97";#N/A,#N/A,FALSE,"022-97";#N/A,#N/A,FALSE,"028-97"}</definedName>
    <definedName name="FFTY" localSheetId="2"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gch" localSheetId="0" hidden="1">{#N/A,#N/A,FALSE,"masez (10)";#N/A,#N/A,FALSE,"masez (7)";#N/A,#N/A,FALSE,"masez (6)";#N/A,#N/A,FALSE,"masez (5)";#N/A,#N/A,FALSE,"masez (4)";#N/A,#N/A,FALSE,"masez (3)";#N/A,#N/A,FALSE,"masez (2)";#N/A,#N/A,FALSE,"GME";#N/A,#N/A,FALSE,"masez"}</definedName>
    <definedName name="fgch" localSheetId="2"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fdfg" localSheetId="0">#REF!</definedName>
    <definedName name="fgfdfg">#REF!</definedName>
    <definedName name="FGTS" localSheetId="0">#REF!</definedName>
    <definedName name="FGTS">#REF!</definedName>
    <definedName name="FGTS_ind" localSheetId="0">#REF!</definedName>
    <definedName name="FGTS_ind">#REF!</definedName>
    <definedName name="FHSFJKSG" localSheetId="0" hidden="1">{#N/A,#N/A,FALSE,"RESUMEN";#N/A,#N/A,FALSE,"GG-GI";#N/A,#N/A,FALSE,"AMB";#N/A,#N/A,FALSE,"EyR";#N/A,#N/A,FALSE,"UCP";#N/A,#N/A,FALSE,"IND";#N/A,#N/A,FALSE,"LR";#N/A,#N/A,FALSE,"PRV";#N/A,#N/A,FALSE,"TÚNELES";#N/A,#N/A,FALSE,"IDT";#N/A,#N/A,FALSE,"ING"}</definedName>
    <definedName name="FHSFJKSG" localSheetId="2"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ELD_ENGINEERING" localSheetId="0">#REF!</definedName>
    <definedName name="FIELD_ENGINEERING">#REF!</definedName>
    <definedName name="FIELD_PROJECT_CONTROLS" localSheetId="0">#REF!</definedName>
    <definedName name="FIELD_PROJECT_CONTROLS">#REF!</definedName>
    <definedName name="fieldcontrols" localSheetId="0">#REF!</definedName>
    <definedName name="fieldcontrols">#REF!</definedName>
    <definedName name="fifty" localSheetId="0">#REF!</definedName>
    <definedName name="fifty">#REF!</definedName>
    <definedName name="filtragem" localSheetId="0" hidden="1">{#N/A,#N/A,FALSE,"GERAL";#N/A,#N/A,FALSE,"012-96";#N/A,#N/A,FALSE,"018-96";#N/A,#N/A,FALSE,"027-96";#N/A,#N/A,FALSE,"059-96";#N/A,#N/A,FALSE,"076-96";#N/A,#N/A,FALSE,"019-97";#N/A,#N/A,FALSE,"021-97";#N/A,#N/A,FALSE,"022-97";#N/A,#N/A,FALSE,"028-97"}</definedName>
    <definedName name="filtragem" localSheetId="2"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M" localSheetId="0" hidden="1">{#N/A,#N/A,FALSE,"GERAL";#N/A,#N/A,FALSE,"012-96";#N/A,#N/A,FALSE,"018-96";#N/A,#N/A,FALSE,"027-96";#N/A,#N/A,FALSE,"059-96";#N/A,#N/A,FALSE,"076-96";#N/A,#N/A,FALSE,"019-97";#N/A,#N/A,FALSE,"021-97";#N/A,#N/A,FALSE,"022-97";#N/A,#N/A,FALSE,"028-97"}</definedName>
    <definedName name="FIM" localSheetId="2" hidden="1">{#N/A,#N/A,FALSE,"GERAL";#N/A,#N/A,FALSE,"012-96";#N/A,#N/A,FALSE,"018-96";#N/A,#N/A,FALSE,"027-96";#N/A,#N/A,FALSE,"059-96";#N/A,#N/A,FALSE,"076-96";#N/A,#N/A,FALSE,"019-97";#N/A,#N/A,FALSE,"021-97";#N/A,#N/A,FALSE,"022-97";#N/A,#N/A,FALSE,"028-97"}</definedName>
    <definedName name="FIM" hidden="1">{#N/A,#N/A,FALSE,"GERAL";#N/A,#N/A,FALSE,"012-96";#N/A,#N/A,FALSE,"018-96";#N/A,#N/A,FALSE,"027-96";#N/A,#N/A,FALSE,"059-96";#N/A,#N/A,FALSE,"076-96";#N/A,#N/A,FALSE,"019-97";#N/A,#N/A,FALSE,"021-97";#N/A,#N/A,FALSE,"022-97";#N/A,#N/A,FALSE,"028-97"}</definedName>
    <definedName name="fire" localSheetId="0">#REF!</definedName>
    <definedName name="fire">#REF!</definedName>
    <definedName name="FiveA" localSheetId="0">#REF!</definedName>
    <definedName name="FiveA">#REF!</definedName>
    <definedName name="FiveB" localSheetId="0">#REF!</definedName>
    <definedName name="FiveB">#REF!</definedName>
    <definedName name="FiveC" localSheetId="0">#REF!</definedName>
    <definedName name="FiveC">#REF!</definedName>
    <definedName name="FiveD" localSheetId="0">#REF!</definedName>
    <definedName name="FiveD">#REF!</definedName>
    <definedName name="FiveE" localSheetId="0">#REF!</definedName>
    <definedName name="FiveE">#REF!</definedName>
    <definedName name="FiveF" localSheetId="0">#REF!</definedName>
    <definedName name="FiveF">#REF!</definedName>
    <definedName name="FiveG" localSheetId="0">#REF!</definedName>
    <definedName name="FiveG">#REF!</definedName>
    <definedName name="FiveH" localSheetId="0">#REF!</definedName>
    <definedName name="FiveH">#REF!</definedName>
    <definedName name="FiveI" localSheetId="0">#REF!</definedName>
    <definedName name="FiveI">#REF!</definedName>
    <definedName name="FiveJ" localSheetId="0">#REF!</definedName>
    <definedName name="FiveJ">#REF!</definedName>
    <definedName name="FiveK" localSheetId="0">#REF!</definedName>
    <definedName name="FiveK">#REF!</definedName>
    <definedName name="FiveL" localSheetId="0">#REF!</definedName>
    <definedName name="FiveL">#REF!</definedName>
    <definedName name="FiveM" localSheetId="0">#REF!</definedName>
    <definedName name="FiveM">#REF!</definedName>
    <definedName name="fiveone" localSheetId="0">#REF!</definedName>
    <definedName name="fiveone">#REF!</definedName>
    <definedName name="fivezero" localSheetId="0">#REF!</definedName>
    <definedName name="fivezero">#REF!</definedName>
    <definedName name="FL" localSheetId="0">#REF!</definedName>
    <definedName name="FL">#REF!</definedName>
    <definedName name="FLOT" localSheetId="0" hidden="1">{#N/A,#N/A,FALSE,"GERAL";#N/A,#N/A,FALSE,"012-96";#N/A,#N/A,FALSE,"018-96";#N/A,#N/A,FALSE,"027-96";#N/A,#N/A,FALSE,"059-96";#N/A,#N/A,FALSE,"076-96";#N/A,#N/A,FALSE,"019-97";#N/A,#N/A,FALSE,"021-97";#N/A,#N/A,FALSE,"022-97";#N/A,#N/A,FALSE,"028-97"}</definedName>
    <definedName name="FLOT" localSheetId="2"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OTAÇÃO" localSheetId="0" hidden="1">{#N/A,#N/A,FALSE,"GERAL";#N/A,#N/A,FALSE,"012-96";#N/A,#N/A,FALSE,"018-96";#N/A,#N/A,FALSE,"027-96";#N/A,#N/A,FALSE,"059-96";#N/A,#N/A,FALSE,"076-96";#N/A,#N/A,FALSE,"019-97";#N/A,#N/A,FALSE,"021-97";#N/A,#N/A,FALSE,"022-97";#N/A,#N/A,FALSE,"028-97"}</definedName>
    <definedName name="FLOTAÇÃO" localSheetId="2" hidden="1">{#N/A,#N/A,FALSE,"GERAL";#N/A,#N/A,FALSE,"012-96";#N/A,#N/A,FALSE,"018-96";#N/A,#N/A,FALSE,"027-96";#N/A,#N/A,FALSE,"059-96";#N/A,#N/A,FALSE,"076-96";#N/A,#N/A,FALSE,"019-97";#N/A,#N/A,FALSE,"021-97";#N/A,#N/A,FALSE,"022-97";#N/A,#N/A,FALSE,"028-97"}</definedName>
    <definedName name="FLOTAÇÃO" hidden="1">{#N/A,#N/A,FALSE,"GERAL";#N/A,#N/A,FALSE,"012-96";#N/A,#N/A,FALSE,"018-96";#N/A,#N/A,FALSE,"027-96";#N/A,#N/A,FALSE,"059-96";#N/A,#N/A,FALSE,"076-96";#N/A,#N/A,FALSE,"019-97";#N/A,#N/A,FALSE,"021-97";#N/A,#N/A,FALSE,"022-97";#N/A,#N/A,FALSE,"028-97"}</definedName>
    <definedName name="flu" localSheetId="0">#REF!</definedName>
    <definedName name="flu">#REF!</definedName>
    <definedName name="flu_u" localSheetId="0">#REF!</definedName>
    <definedName name="flu_u">#REF!</definedName>
    <definedName name="FLUTUANTE2" localSheetId="0" hidden="1">{#N/A,#N/A,FALSE,"GERAL";#N/A,#N/A,FALSE,"012-96";#N/A,#N/A,FALSE,"018-96";#N/A,#N/A,FALSE,"027-96";#N/A,#N/A,FALSE,"059-96";#N/A,#N/A,FALSE,"076-96";#N/A,#N/A,FALSE,"019-97";#N/A,#N/A,FALSE,"021-97";#N/A,#N/A,FALSE,"022-97";#N/A,#N/A,FALSE,"028-97"}</definedName>
    <definedName name="FLUTUANTE2" localSheetId="2"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UX" localSheetId="0">#REF!</definedName>
    <definedName name="FLUX">#REF!</definedName>
    <definedName name="FLUX_1" localSheetId="0">#REF!</definedName>
    <definedName name="FLUX_1">#REF!</definedName>
    <definedName name="FLUX_2" localSheetId="0">#REF!</definedName>
    <definedName name="FLUX_2">#REF!</definedName>
    <definedName name="Fluxogram" localSheetId="0" hidden="1">{#N/A,#N/A,FALSE,"GERAL";#N/A,#N/A,FALSE,"012-96";#N/A,#N/A,FALSE,"018-96";#N/A,#N/A,FALSE,"027-96";#N/A,#N/A,FALSE,"059-96";#N/A,#N/A,FALSE,"076-96";#N/A,#N/A,FALSE,"019-97";#N/A,#N/A,FALSE,"021-97";#N/A,#N/A,FALSE,"022-97";#N/A,#N/A,FALSE,"028-97"}</definedName>
    <definedName name="Fluxogram" localSheetId="2" hidden="1">{#N/A,#N/A,FALSE,"GERAL";#N/A,#N/A,FALSE,"012-96";#N/A,#N/A,FALSE,"018-96";#N/A,#N/A,FALSE,"027-96";#N/A,#N/A,FALSE,"059-96";#N/A,#N/A,FALSE,"076-96";#N/A,#N/A,FALSE,"019-97";#N/A,#N/A,FALSE,"021-97";#N/A,#N/A,FALSE,"022-97";#N/A,#N/A,FALSE,"028-97"}</definedName>
    <definedName name="Fluxogram" hidden="1">{#N/A,#N/A,FALSE,"GERAL";#N/A,#N/A,FALSE,"012-96";#N/A,#N/A,FALSE,"018-96";#N/A,#N/A,FALSE,"027-96";#N/A,#N/A,FALSE,"059-96";#N/A,#N/A,FALSE,"076-96";#N/A,#N/A,FALSE,"019-97";#N/A,#N/A,FALSE,"021-97";#N/A,#N/A,FALSE,"022-97";#N/A,#N/A,FALSE,"028-97"}</definedName>
    <definedName name="FO" localSheetId="0">#REF!</definedName>
    <definedName name="FO">#REF!</definedName>
    <definedName name="FOA" localSheetId="0">#REF!</definedName>
    <definedName name="FOA">#REF!</definedName>
    <definedName name="fol" localSheetId="0" hidden="1">{#N/A,#N/A,FALSE,"GERAL";#N/A,#N/A,FALSE,"012-96";#N/A,#N/A,FALSE,"018-96";#N/A,#N/A,FALSE,"027-96";#N/A,#N/A,FALSE,"059-96";#N/A,#N/A,FALSE,"076-96";#N/A,#N/A,FALSE,"019-97";#N/A,#N/A,FALSE,"021-97";#N/A,#N/A,FALSE,"022-97";#N/A,#N/A,FALSE,"028-97"}</definedName>
    <definedName name="fol" localSheetId="2" hidden="1">{#N/A,#N/A,FALSE,"GERAL";#N/A,#N/A,FALSE,"012-96";#N/A,#N/A,FALSE,"018-96";#N/A,#N/A,FALSE,"027-96";#N/A,#N/A,FALSE,"059-96";#N/A,#N/A,FALSE,"076-96";#N/A,#N/A,FALSE,"019-97";#N/A,#N/A,FALSE,"021-97";#N/A,#N/A,FALSE,"022-97";#N/A,#N/A,FALSE,"028-97"}</definedName>
    <definedName name="fol" hidden="1">{#N/A,#N/A,FALSE,"GERAL";#N/A,#N/A,FALSE,"012-96";#N/A,#N/A,FALSE,"018-96";#N/A,#N/A,FALSE,"027-96";#N/A,#N/A,FALSE,"059-96";#N/A,#N/A,FALSE,"076-96";#N/A,#N/A,FALSE,"019-97";#N/A,#N/A,FALSE,"021-97";#N/A,#N/A,FALSE,"022-97";#N/A,#N/A,FALSE,"028-97"}</definedName>
    <definedName name="fol2a" localSheetId="0">#REF!</definedName>
    <definedName name="fol2a">#REF!</definedName>
    <definedName name="FolhaPagamento" localSheetId="0">#REF!</definedName>
    <definedName name="FolhaPagamento">#REF!</definedName>
    <definedName name="FORM" localSheetId="0">#REF!</definedName>
    <definedName name="FORM">#REF!</definedName>
    <definedName name="FORM8A_PRINTOUT" localSheetId="0">#REF!</definedName>
    <definedName name="FORM8A_PRINTOUT">#REF!</definedName>
    <definedName name="FORM8A_TITRE" localSheetId="0">#REF!</definedName>
    <definedName name="FORM8A_TITRE">#REF!</definedName>
    <definedName name="FORM8A_WIN_END" localSheetId="0">#REF!</definedName>
    <definedName name="FORM8A_WIN_END">#REF!</definedName>
    <definedName name="FORM8A_WIN1" localSheetId="0">#REF!</definedName>
    <definedName name="FORM8A_WIN1">#REF!</definedName>
    <definedName name="FORM8A_WINGO" localSheetId="0">#REF!</definedName>
    <definedName name="FORM8A_WINGO">#REF!</definedName>
    <definedName name="FORM8B_PRINTOUT" localSheetId="0">#REF!</definedName>
    <definedName name="FORM8B_PRINTOUT">#REF!</definedName>
    <definedName name="FORM8B_TITRE" localSheetId="0">#REF!</definedName>
    <definedName name="FORM8B_TITRE">#REF!</definedName>
    <definedName name="FORM8B_WIN_END" localSheetId="0">#REF!</definedName>
    <definedName name="FORM8B_WIN_END">#REF!</definedName>
    <definedName name="FORM8B_WIN1" localSheetId="0">#REF!</definedName>
    <definedName name="FORM8B_WIN1">#REF!</definedName>
    <definedName name="Format" localSheetId="0">#REF!</definedName>
    <definedName name="Format">#REF!</definedName>
    <definedName name="Formato" localSheetId="0">#REF!</definedName>
    <definedName name="Formato">#REF!</definedName>
    <definedName name="FORMATOS" localSheetId="0">#REF!</definedName>
    <definedName name="FORMATOS">#REF!</definedName>
    <definedName name="Fornec_assent_lajotas_concreto_45x45x5_cm" localSheetId="0">#REF!</definedName>
    <definedName name="Fornec_assent_lajotas_concreto_45x45x5_cm">#REF!</definedName>
    <definedName name="Fornec_e_Assent_de_Petit_Pavet">#REF!</definedName>
    <definedName name="Fornec_e_assent_lousas_de_granito" localSheetId="0">#REF!</definedName>
    <definedName name="Fornec_e_assent_lousas_de_granito">#REF!</definedName>
    <definedName name="FourA" localSheetId="0">#REF!</definedName>
    <definedName name="FourA">#REF!</definedName>
    <definedName name="FourB" localSheetId="0">#REF!</definedName>
    <definedName name="FourB">#REF!</definedName>
    <definedName name="FourC" localSheetId="0">#REF!</definedName>
    <definedName name="FourC">#REF!</definedName>
    <definedName name="FourD" localSheetId="0">#REF!</definedName>
    <definedName name="FourD">#REF!</definedName>
    <definedName name="FourE" localSheetId="0">#REF!</definedName>
    <definedName name="FourE">#REF!</definedName>
    <definedName name="FourF" localSheetId="0">#REF!</definedName>
    <definedName name="FourF">#REF!</definedName>
    <definedName name="FourG" localSheetId="0">#REF!</definedName>
    <definedName name="FourG">#REF!</definedName>
    <definedName name="FourH" localSheetId="0">#REF!</definedName>
    <definedName name="FourH">#REF!</definedName>
    <definedName name="FourI" localSheetId="0">#REF!</definedName>
    <definedName name="FourI">#REF!</definedName>
    <definedName name="FourJ" localSheetId="0">#REF!</definedName>
    <definedName name="FourJ">#REF!</definedName>
    <definedName name="FourK" localSheetId="0">#REF!</definedName>
    <definedName name="FourK">#REF!</definedName>
    <definedName name="FourL" localSheetId="0">#REF!</definedName>
    <definedName name="FourL">#REF!</definedName>
    <definedName name="Fourm" localSheetId="0">#REF!</definedName>
    <definedName name="Fourm">#REF!</definedName>
    <definedName name="fp_mod" localSheetId="0">#REF!</definedName>
    <definedName name="fp_mod">#REF!</definedName>
    <definedName name="fp_par" localSheetId="0">#REF!</definedName>
    <definedName name="fp_par">#REF!</definedName>
    <definedName name="FPE" localSheetId="0">#REF!</definedName>
    <definedName name="FPE">#REF!</definedName>
    <definedName name="FPI" localSheetId="0">#REF!</definedName>
    <definedName name="FPI">#REF!</definedName>
    <definedName name="fpp_1" localSheetId="0">#REF!</definedName>
    <definedName name="fpp_1">#REF!</definedName>
    <definedName name="fpp_2" localSheetId="0">#REF!</definedName>
    <definedName name="fpp_2">#REF!</definedName>
    <definedName name="fpp_3" localSheetId="0">#REF!</definedName>
    <definedName name="fpp_3">#REF!</definedName>
    <definedName name="FRA" localSheetId="0">#REF!</definedName>
    <definedName name="FRA">#REF!</definedName>
    <definedName name="Fransisco_Baeza_Morales" localSheetId="0">#REF!</definedName>
    <definedName name="Fransisco_Baeza_Morales">#REF!</definedName>
    <definedName name="FRC" localSheetId="0">#REF!</definedName>
    <definedName name="FRC">#REF!</definedName>
    <definedName name="FRD" localSheetId="0">#REF!</definedName>
    <definedName name="FRD">#REF!</definedName>
    <definedName name="FREADVAL" localSheetId="0">#REF!</definedName>
    <definedName name="FREADVAL">#REF!</definedName>
    <definedName name="FREFIX" localSheetId="0">#REF!</definedName>
    <definedName name="FREFIX">#REF!</definedName>
    <definedName name="FREPES" localSheetId="0">#REF!</definedName>
    <definedName name="FREPES">#REF!</definedName>
    <definedName name="frequência">#REF!</definedName>
    <definedName name="FRESAGEM" localSheetId="0">#REF!</definedName>
    <definedName name="FRESAGEM">#REF!</definedName>
    <definedName name="FRETE">#REF!</definedName>
    <definedName name="frfrfr" localSheetId="0" hidden="1">{"DETALLE_1996",#N/A,FALSE,"flujo";"DETALLE_1997",#N/A,FALSE,"flujo";"GASTOS_INCURRIDOS_1996",#N/A,FALSE,"flujo";"GASTOS_PROGRAMADOS_PARA_1997",#N/A,FALSE,"flujo";#N/A,#N/A,FALSE,"comparat";#N/A,#N/A,FALSE,"costos";#N/A,#N/A,FALSE,"proyctrol"}</definedName>
    <definedName name="frfrfr" localSheetId="2"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ROLB" localSheetId="0">#REF!</definedName>
    <definedName name="FROLB">#REF!</definedName>
    <definedName name="fsd" localSheetId="0">#REF!</definedName>
    <definedName name="fsd">#REF!</definedName>
    <definedName name="fse" localSheetId="0">#REF!</definedName>
    <definedName name="fse">#REF!</definedName>
    <definedName name="FSEFSEF" localSheetId="0" hidden="1">{#N/A,#N/A,FALSE,"Total_OC015";#N/A,#N/A,FALSE,"ADMIN";#N/A,#N/A,FALSE,"PROCES";#N/A,#N/A,FALSE,"mecan";#N/A,#N/A,FALSE,"civil";#N/A,#N/A,FALSE,"CAÑER";#N/A,#N/A,FALSE,"ELEC";#N/A,#N/A,FALSE,"INSTR"}</definedName>
    <definedName name="FSEFSEF" localSheetId="2" hidden="1">{#N/A,#N/A,FALSE,"Total_OC015";#N/A,#N/A,FALSE,"ADMIN";#N/A,#N/A,FALSE,"PROCES";#N/A,#N/A,FALSE,"mecan";#N/A,#N/A,FALSE,"civil";#N/A,#N/A,FALSE,"CAÑER";#N/A,#N/A,FALSE,"ELEC";#N/A,#N/A,FALSE,"INSTR"}</definedName>
    <definedName name="FSEFSEF" hidden="1">{#N/A,#N/A,FALSE,"Total_OC015";#N/A,#N/A,FALSE,"ADMIN";#N/A,#N/A,FALSE,"PROCES";#N/A,#N/A,FALSE,"mecan";#N/A,#N/A,FALSE,"civil";#N/A,#N/A,FALSE,"CAÑER";#N/A,#N/A,FALSE,"ELEC";#N/A,#N/A,FALSE,"INSTR"}</definedName>
    <definedName name="fsn" localSheetId="0">#REF!</definedName>
    <definedName name="fsn">#REF!</definedName>
    <definedName name="FT" localSheetId="0">#REF!</definedName>
    <definedName name="FT">#REF!</definedName>
    <definedName name="FTM" localSheetId="0">#REF!</definedName>
    <definedName name="FTM">#REF!</definedName>
    <definedName name="FTMina" localSheetId="0">#REF!</definedName>
    <definedName name="FTMina">#REF!</definedName>
    <definedName name="FTPlanta" localSheetId="0">#REF!</definedName>
    <definedName name="FTPlanta">#REF!</definedName>
    <definedName name="FUI">#REF!</definedName>
    <definedName name="Função" localSheetId="0">#REF!</definedName>
    <definedName name="Função">#REF!</definedName>
    <definedName name="FuncGroup" localSheetId="0">#REF!</definedName>
    <definedName name="FuncGroup">#REF!</definedName>
    <definedName name="FunctionalGroups" localSheetId="0">#REF!</definedName>
    <definedName name="FunctionalGroups">#REF!</definedName>
    <definedName name="FundoDePensão" localSheetId="0">#REF!</definedName>
    <definedName name="FundoDePensão">#REF!</definedName>
    <definedName name="fur" localSheetId="0">#REF!</definedName>
    <definedName name="fur">#REF!</definedName>
    <definedName name="FURNACE" localSheetId="0">#REF!</definedName>
    <definedName name="FURNACE">#REF!</definedName>
    <definedName name="FWFESDFSDF" localSheetId="0" hidden="1">{#N/A,#N/A,TRUE,"Est. de Fact.";#N/A,#N/A,TRUE,"Capitulo 19";#N/A,#N/A,TRUE,"Proyecto P855"}</definedName>
    <definedName name="FWFESDFSDF" localSheetId="2" hidden="1">{#N/A,#N/A,TRUE,"Est. de Fact.";#N/A,#N/A,TRUE,"Capitulo 19";#N/A,#N/A,TRUE,"Proyecto P855"}</definedName>
    <definedName name="FWFESDFSDF" hidden="1">{#N/A,#N/A,TRUE,"Est. de Fact.";#N/A,#N/A,TRUE,"Capitulo 19";#N/A,#N/A,TRUE,"Proyecto P855"}</definedName>
    <definedName name="fx" localSheetId="0" hidden="1">{#N/A,#N/A,FALSE,"GERAL";#N/A,#N/A,FALSE,"012-96";#N/A,#N/A,FALSE,"018-96";#N/A,#N/A,FALSE,"027-96";#N/A,#N/A,FALSE,"059-96";#N/A,#N/A,FALSE,"076-96";#N/A,#N/A,FALSE,"019-97";#N/A,#N/A,FALSE,"021-97";#N/A,#N/A,FALSE,"022-97";#N/A,#N/A,FALSE,"028-97"}</definedName>
    <definedName name="fx" localSheetId="2" hidden="1">{#N/A,#N/A,FALSE,"GERAL";#N/A,#N/A,FALSE,"012-96";#N/A,#N/A,FALSE,"018-96";#N/A,#N/A,FALSE,"027-96";#N/A,#N/A,FALSE,"059-96";#N/A,#N/A,FALSE,"076-96";#N/A,#N/A,FALSE,"019-97";#N/A,#N/A,FALSE,"021-97";#N/A,#N/A,FALSE,"022-97";#N/A,#N/A,FALSE,"028-97"}</definedName>
    <definedName name="fx" hidden="1">{#N/A,#N/A,FALSE,"GERAL";#N/A,#N/A,FALSE,"012-96";#N/A,#N/A,FALSE,"018-96";#N/A,#N/A,FALSE,"027-96";#N/A,#N/A,FALSE,"059-96";#N/A,#N/A,FALSE,"076-96";#N/A,#N/A,FALSE,"019-97";#N/A,#N/A,FALSE,"021-97";#N/A,#N/A,FALSE,"022-97";#N/A,#N/A,FALSE,"028-97"}</definedName>
    <definedName name="g" localSheetId="0">#REF!</definedName>
    <definedName name="g" localSheetId="2">#REF!</definedName>
    <definedName name="g">#REF!</definedName>
    <definedName name="gagagd" localSheetId="0" hidden="1">{#N/A,#N/A,FALSE,"GERAL";#N/A,#N/A,FALSE,"012-96";#N/A,#N/A,FALSE,"018-96";#N/A,#N/A,FALSE,"027-96";#N/A,#N/A,FALSE,"059-96";#N/A,#N/A,FALSE,"076-96";#N/A,#N/A,FALSE,"019-97";#N/A,#N/A,FALSE,"021-97";#N/A,#N/A,FALSE,"022-97";#N/A,#N/A,FALSE,"028-97"}</definedName>
    <definedName name="gagagd" localSheetId="2" hidden="1">{#N/A,#N/A,FALSE,"GERAL";#N/A,#N/A,FALSE,"012-96";#N/A,#N/A,FALSE,"018-96";#N/A,#N/A,FALSE,"027-96";#N/A,#N/A,FALSE,"059-96";#N/A,#N/A,FALSE,"076-96";#N/A,#N/A,FALSE,"019-97";#N/A,#N/A,FALSE,"021-97";#N/A,#N/A,FALSE,"022-97";#N/A,#N/A,FALSE,"028-97"}</definedName>
    <definedName name="gagagd" hidden="1">{#N/A,#N/A,FALSE,"GERAL";#N/A,#N/A,FALSE,"012-96";#N/A,#N/A,FALSE,"018-96";#N/A,#N/A,FALSE,"027-96";#N/A,#N/A,FALSE,"059-96";#N/A,#N/A,FALSE,"076-96";#N/A,#N/A,FALSE,"019-97";#N/A,#N/A,FALSE,"021-97";#N/A,#N/A,FALSE,"022-97";#N/A,#N/A,FALSE,"028-97"}</definedName>
    <definedName name="galo" localSheetId="0" hidden="1">{#N/A,#N/A,FALSE,"GERAL";#N/A,#N/A,FALSE,"012-96";#N/A,#N/A,FALSE,"018-96";#N/A,#N/A,FALSE,"027-96";#N/A,#N/A,FALSE,"059-96";#N/A,#N/A,FALSE,"076-96";#N/A,#N/A,FALSE,"019-97";#N/A,#N/A,FALSE,"021-97";#N/A,#N/A,FALSE,"022-97";#N/A,#N/A,FALSE,"028-97"}</definedName>
    <definedName name="galo" localSheetId="2"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anem"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nem"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nem"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rbage" localSheetId="0">#REF!</definedName>
    <definedName name="garbage">#REF!</definedName>
    <definedName name="Gastón" localSheetId="0" hidden="1">{"CI+GG(BASE)",#N/A,FALSE,"CI+GG(BASE)";"GG",#N/A,FALSE,"CI+GG(BASE)";"CI",#N/A,FALSE,"CI+GG(BASE)"}</definedName>
    <definedName name="Gastón" localSheetId="2" hidden="1">{"CI+GG(BASE)",#N/A,FALSE,"CI+GG(BASE)";"GG",#N/A,FALSE,"CI+GG(BASE)";"CI",#N/A,FALSE,"CI+GG(BASE)"}</definedName>
    <definedName name="Gastón" hidden="1">{"CI+GG(BASE)",#N/A,FALSE,"CI+GG(BASE)";"GG",#N/A,FALSE,"CI+GG(BASE)";"CI",#N/A,FALSE,"CI+GG(BASE)"}</definedName>
    <definedName name="GBP" localSheetId="0">#REF!</definedName>
    <definedName name="GBP">#REF!</definedName>
    <definedName name="GE" localSheetId="0">#REF!</definedName>
    <definedName name="GE">#REF!</definedName>
    <definedName name="General" localSheetId="0">#REF!</definedName>
    <definedName name="General">#REF!</definedName>
    <definedName name="gente" localSheetId="0" hidden="1">{"FlujoGastos",#N/A,FALSE,"Base";"FlujoGastos",#N/A,FALSE,"Buzón Tren";"FlujoGastos",#N/A,FALSE,"Buzón Camión";"FlujoGastos",#N/A,FALSE,"LHD Camión";"FlujoGastos",#N/A,FALSE,"Cámara Camión"}</definedName>
    <definedName name="gente" localSheetId="2"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ÊNCIA_GERAL_DO_PROJETO" localSheetId="0">#REF!</definedName>
    <definedName name="GERÊNCIA_GERAL_DO_PROJETO">#REF!</definedName>
    <definedName name="Gerenciadora" localSheetId="0">#REF!</definedName>
    <definedName name="Gerenciadora">#REF!</definedName>
    <definedName name="gerente" localSheetId="0" hidden="1">{"desarrollo",#N/A,FALSE,"Cámara Camión";"resumen",#N/A,FALSE,"Cámara Camión";"eqprod",#N/A,FALSE,"Cámara Camión"}</definedName>
    <definedName name="gerente" localSheetId="2" hidden="1">{"desarrollo",#N/A,FALSE,"Cámara Camión";"resumen",#N/A,FALSE,"Cámara Camión";"eqprod",#N/A,FALSE,"Cámara Camión"}</definedName>
    <definedName name="gerente" hidden="1">{"desarrollo",#N/A,FALSE,"Cámara Camión";"resumen",#N/A,FALSE,"Cámara Camión";"eqprod",#N/A,FALSE,"Cámara Camión"}</definedName>
    <definedName name="Germán_Caceres" localSheetId="0">#REF!</definedName>
    <definedName name="Germán_Caceres">#REF!</definedName>
    <definedName name="gg" localSheetId="0" hidden="1">{#N/A,#N/A,FALSE,"Total_OC015";#N/A,#N/A,FALSE,"ADMIN";#N/A,#N/A,FALSE,"PROCES";#N/A,#N/A,FALSE,"mecan";#N/A,#N/A,FALSE,"civil";#N/A,#N/A,FALSE,"CAÑER";#N/A,#N/A,FALSE,"ELEC";#N/A,#N/A,FALSE,"INSTR"}</definedName>
    <definedName name="gg" localSheetId="2" hidden="1">{#N/A,#N/A,FALSE,"Total_OC015";#N/A,#N/A,FALSE,"ADMIN";#N/A,#N/A,FALSE,"PROCES";#N/A,#N/A,FALSE,"mecan";#N/A,#N/A,FALSE,"civil";#N/A,#N/A,FALSE,"CAÑER";#N/A,#N/A,FALSE,"ELEC";#N/A,#N/A,FALSE,"INSTR"}</definedName>
    <definedName name="gg" hidden="1">{#N/A,#N/A,FALSE,"Total_OC015";#N/A,#N/A,FALSE,"ADMIN";#N/A,#N/A,FALSE,"PROCES";#N/A,#N/A,FALSE,"mecan";#N/A,#N/A,FALSE,"civil";#N/A,#N/A,FALSE,"CAÑER";#N/A,#N/A,FALSE,"ELEC";#N/A,#N/A,FALSE,"INSTR"}</definedName>
    <definedName name="ggad" localSheetId="0" hidden="1">{#N/A,#N/A,FALSE,"GERAL";#N/A,#N/A,FALSE,"012-96";#N/A,#N/A,FALSE,"018-96";#N/A,#N/A,FALSE,"027-96";#N/A,#N/A,FALSE,"059-96";#N/A,#N/A,FALSE,"076-96";#N/A,#N/A,FALSE,"019-97";#N/A,#N/A,FALSE,"021-97";#N/A,#N/A,FALSE,"022-97";#N/A,#N/A,FALSE,"028-97"}</definedName>
    <definedName name="ggad" localSheetId="2" hidden="1">{#N/A,#N/A,FALSE,"GERAL";#N/A,#N/A,FALSE,"012-96";#N/A,#N/A,FALSE,"018-96";#N/A,#N/A,FALSE,"027-96";#N/A,#N/A,FALSE,"059-96";#N/A,#N/A,FALSE,"076-96";#N/A,#N/A,FALSE,"019-97";#N/A,#N/A,FALSE,"021-97";#N/A,#N/A,FALSE,"022-97";#N/A,#N/A,FALSE,"028-97"}</definedName>
    <definedName name="ggad" hidden="1">{#N/A,#N/A,FALSE,"GERAL";#N/A,#N/A,FALSE,"012-96";#N/A,#N/A,FALSE,"018-96";#N/A,#N/A,FALSE,"027-96";#N/A,#N/A,FALSE,"059-96";#N/A,#N/A,FALSE,"076-96";#N/A,#N/A,FALSE,"019-97";#N/A,#N/A,FALSE,"021-97";#N/A,#N/A,FALSE,"022-97";#N/A,#N/A,FALSE,"028-97"}</definedName>
    <definedName name="gggg" localSheetId="0" hidden="1">{#N/A,#N/A,TRUE,"Est. de Fact.";#N/A,#N/A,TRUE,"Capitulo 19";#N/A,#N/A,TRUE,"Proyecto P855"}</definedName>
    <definedName name="gggg" localSheetId="2" hidden="1">{#N/A,#N/A,TRUE,"Est. de Fact.";#N/A,#N/A,TRUE,"Capitulo 19";#N/A,#N/A,TRUE,"Proyecto P855"}</definedName>
    <definedName name="gggg" hidden="1">{#N/A,#N/A,TRUE,"Est. de Fact.";#N/A,#N/A,TRUE,"Capitulo 19";#N/A,#N/A,TRUE,"Proyecto P855"}</definedName>
    <definedName name="gggggg" localSheetId="0" hidden="1">{#N/A,#N/A,FALSE,"Total_OC015";#N/A,#N/A,FALSE,"ADMIN";#N/A,#N/A,FALSE,"PROCES";#N/A,#N/A,FALSE,"mecan";#N/A,#N/A,FALSE,"civil";#N/A,#N/A,FALSE,"CAÑER";#N/A,#N/A,FALSE,"ELEC";#N/A,#N/A,FALSE,"INSTR"}</definedName>
    <definedName name="gggggg" localSheetId="2" hidden="1">{#N/A,#N/A,FALSE,"Total_OC015";#N/A,#N/A,FALSE,"ADMIN";#N/A,#N/A,FALSE,"PROCES";#N/A,#N/A,FALSE,"mecan";#N/A,#N/A,FALSE,"civil";#N/A,#N/A,FALSE,"CAÑER";#N/A,#N/A,FALSE,"ELEC";#N/A,#N/A,FALSE,"INSTR"}</definedName>
    <definedName name="gggggg" hidden="1">{#N/A,#N/A,FALSE,"Total_OC015";#N/A,#N/A,FALSE,"ADMIN";#N/A,#N/A,FALSE,"PROCES";#N/A,#N/A,FALSE,"mecan";#N/A,#N/A,FALSE,"civil";#N/A,#N/A,FALSE,"CAÑER";#N/A,#N/A,FALSE,"ELEC";#N/A,#N/A,FALSE,"INSTR"}</definedName>
    <definedName name="GJ" localSheetId="0" hidden="1">{#N/A,#N/A,FALSE,"GERAL";#N/A,#N/A,FALSE,"012-96";#N/A,#N/A,FALSE,"018-96";#N/A,#N/A,FALSE,"027-96";#N/A,#N/A,FALSE,"059-96";#N/A,#N/A,FALSE,"076-96";#N/A,#N/A,FALSE,"019-97";#N/A,#N/A,FALSE,"021-97";#N/A,#N/A,FALSE,"022-97";#N/A,#N/A,FALSE,"028-97"}</definedName>
    <definedName name="GJ" localSheetId="2" hidden="1">{#N/A,#N/A,FALSE,"GERAL";#N/A,#N/A,FALSE,"012-96";#N/A,#N/A,FALSE,"018-96";#N/A,#N/A,FALSE,"027-96";#N/A,#N/A,FALSE,"059-96";#N/A,#N/A,FALSE,"076-96";#N/A,#N/A,FALSE,"019-97";#N/A,#N/A,FALSE,"021-97";#N/A,#N/A,FALSE,"022-97";#N/A,#N/A,FALSE,"028-97"}</definedName>
    <definedName name="GJ" hidden="1">{#N/A,#N/A,FALSE,"GERAL";#N/A,#N/A,FALSE,"012-96";#N/A,#N/A,FALSE,"018-96";#N/A,#N/A,FALSE,"027-96";#N/A,#N/A,FALSE,"059-96";#N/A,#N/A,FALSE,"076-96";#N/A,#N/A,FALSE,"019-97";#N/A,#N/A,FALSE,"021-97";#N/A,#N/A,FALSE,"022-97";#N/A,#N/A,FALSE,"028-97"}</definedName>
    <definedName name="gjgh" localSheetId="0" hidden="1">{#N/A,#N/A,FALSE,"GERAL";#N/A,#N/A,FALSE,"012-96";#N/A,#N/A,FALSE,"018-96";#N/A,#N/A,FALSE,"027-96";#N/A,#N/A,FALSE,"059-96";#N/A,#N/A,FALSE,"076-96";#N/A,#N/A,FALSE,"019-97";#N/A,#N/A,FALSE,"021-97";#N/A,#N/A,FALSE,"022-97";#N/A,#N/A,FALSE,"028-97"}</definedName>
    <definedName name="gjgh" localSheetId="2" hidden="1">{#N/A,#N/A,FALSE,"GERAL";#N/A,#N/A,FALSE,"012-96";#N/A,#N/A,FALSE,"018-96";#N/A,#N/A,FALSE,"027-96";#N/A,#N/A,FALSE,"059-96";#N/A,#N/A,FALSE,"076-96";#N/A,#N/A,FALSE,"019-97";#N/A,#N/A,FALSE,"021-97";#N/A,#N/A,FALSE,"022-97";#N/A,#N/A,FALSE,"028-97"}</definedName>
    <definedName name="gjgh" hidden="1">{#N/A,#N/A,FALSE,"GERAL";#N/A,#N/A,FALSE,"012-96";#N/A,#N/A,FALSE,"018-96";#N/A,#N/A,FALSE,"027-96";#N/A,#N/A,FALSE,"059-96";#N/A,#N/A,FALSE,"076-96";#N/A,#N/A,FALSE,"019-97";#N/A,#N/A,FALSE,"021-97";#N/A,#N/A,FALSE,"022-97";#N/A,#N/A,FALSE,"028-97"}</definedName>
    <definedName name="GJK" localSheetId="0" hidden="1">{#N/A,#N/A,FALSE,"GERAL";#N/A,#N/A,FALSE,"012-96";#N/A,#N/A,FALSE,"018-96";#N/A,#N/A,FALSE,"027-96";#N/A,#N/A,FALSE,"059-96";#N/A,#N/A,FALSE,"076-96";#N/A,#N/A,FALSE,"019-97";#N/A,#N/A,FALSE,"021-97";#N/A,#N/A,FALSE,"022-97";#N/A,#N/A,FALSE,"028-97"}</definedName>
    <definedName name="GJK" localSheetId="2"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LHÑÑGHK" localSheetId="0" hidden="1">{#N/A,#N/A,FALSE,"masez (10)";#N/A,#N/A,FALSE,"masez (7)";#N/A,#N/A,FALSE,"masez (6)";#N/A,#N/A,FALSE,"masez (5)";#N/A,#N/A,FALSE,"masez (4)";#N/A,#N/A,FALSE,"masez (3)";#N/A,#N/A,FALSE,"masez (2)";#N/A,#N/A,FALSE,"GME";#N/A,#N/A,FALSE,"masez"}</definedName>
    <definedName name="GJLHÑÑGHK" localSheetId="2"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LOBO1" localSheetId="0">#REF!</definedName>
    <definedName name="GLOBO1">#REF!</definedName>
    <definedName name="GLOBO2" localSheetId="0">#REF!</definedName>
    <definedName name="GLOBO2">#REF!</definedName>
    <definedName name="gmd" localSheetId="0" hidden="1">{#N/A,#N/A,FALSE,"Matrix";#N/A,#N/A,FALSE,"Executive";#N/A,#N/A,FALSE,"Summary"}</definedName>
    <definedName name="gmd" localSheetId="2" hidden="1">{#N/A,#N/A,FALSE,"Matrix";#N/A,#N/A,FALSE,"Executive";#N/A,#N/A,FALSE,"Summary"}</definedName>
    <definedName name="gmd" hidden="1">{#N/A,#N/A,FALSE,"Matrix";#N/A,#N/A,FALSE,"Executive";#N/A,#N/A,FALSE,"Summary"}</definedName>
    <definedName name="Gonzalo_Ochoa" localSheetId="0">#REF!</definedName>
    <definedName name="Gonzalo_Ochoa">#REF!</definedName>
    <definedName name="grade_rate" localSheetId="0">#REF!</definedName>
    <definedName name="grade_rate">#REF!</definedName>
    <definedName name="graduad" localSheetId="0">#REF!</definedName>
    <definedName name="graduad">#REF!</definedName>
    <definedName name="GRADUADA" localSheetId="0">#REF!</definedName>
    <definedName name="GRADUADA">#REF!</definedName>
    <definedName name="GRAFACUM" localSheetId="0">#REF!</definedName>
    <definedName name="GRAFACUM">#REF!</definedName>
    <definedName name="GRAFICOK" localSheetId="0">#REF!</definedName>
    <definedName name="GRAFICOK">#REF!</definedName>
    <definedName name="GRAFO1" localSheetId="0">#REF!</definedName>
    <definedName name="GRAFO1">#REF!</definedName>
    <definedName name="GRAFO2" localSheetId="0">#REF!</definedName>
    <definedName name="GRAFO2">#REF!</definedName>
    <definedName name="grafos" localSheetId="0">#REF!</definedName>
    <definedName name="grafos">#REF!</definedName>
    <definedName name="granulometria" localSheetId="0">#REF!</definedName>
    <definedName name="granulometria">#REF!</definedName>
    <definedName name="grav" localSheetId="0" hidden="1">{#N/A,#N/A,FALSE,"GERAL";#N/A,#N/A,FALSE,"012-96";#N/A,#N/A,FALSE,"018-96";#N/A,#N/A,FALSE,"027-96";#N/A,#N/A,FALSE,"059-96";#N/A,#N/A,FALSE,"076-96";#N/A,#N/A,FALSE,"019-97";#N/A,#N/A,FALSE,"021-97";#N/A,#N/A,FALSE,"022-97";#N/A,#N/A,FALSE,"028-97"}</definedName>
    <definedName name="grav" localSheetId="2" hidden="1">{#N/A,#N/A,FALSE,"GERAL";#N/A,#N/A,FALSE,"012-96";#N/A,#N/A,FALSE,"018-96";#N/A,#N/A,FALSE,"027-96";#N/A,#N/A,FALSE,"059-96";#N/A,#N/A,FALSE,"076-96";#N/A,#N/A,FALSE,"019-97";#N/A,#N/A,FALSE,"021-97";#N/A,#N/A,FALSE,"022-97";#N/A,#N/A,FALSE,"028-97"}</definedName>
    <definedName name="grav" hidden="1">{#N/A,#N/A,FALSE,"GERAL";#N/A,#N/A,FALSE,"012-96";#N/A,#N/A,FALSE,"018-96";#N/A,#N/A,FALSE,"027-96";#N/A,#N/A,FALSE,"059-96";#N/A,#N/A,FALSE,"076-96";#N/A,#N/A,FALSE,"019-97";#N/A,#N/A,FALSE,"021-97";#N/A,#N/A,FALSE,"022-97";#N/A,#N/A,FALSE,"028-97"}</definedName>
    <definedName name="_xlnm.Recorder" localSheetId="0">#REF!</definedName>
    <definedName name="_xlnm.Recorder">#REF!</definedName>
    <definedName name="gravidade" localSheetId="0">#REF!</definedName>
    <definedName name="gravidade">#REF!</definedName>
    <definedName name="grege" localSheetId="0" hidden="1">{#N/A,#N/A,FALSE,"Total_OC015";#N/A,#N/A,FALSE,"ADMIN";#N/A,#N/A,FALSE,"PROCES";#N/A,#N/A,FALSE,"mecan";#N/A,#N/A,FALSE,"civil";#N/A,#N/A,FALSE,"CAÑER";#N/A,#N/A,FALSE,"ELEC";#N/A,#N/A,FALSE,"INSTR"}</definedName>
    <definedName name="grege" localSheetId="2" hidden="1">{#N/A,#N/A,FALSE,"Total_OC015";#N/A,#N/A,FALSE,"ADMIN";#N/A,#N/A,FALSE,"PROCES";#N/A,#N/A,FALSE,"mecan";#N/A,#N/A,FALSE,"civil";#N/A,#N/A,FALSE,"CAÑER";#N/A,#N/A,FALSE,"ELEC";#N/A,#N/A,FALSE,"INSTR"}</definedName>
    <definedName name="grege" hidden="1">{#N/A,#N/A,FALSE,"Total_OC015";#N/A,#N/A,FALSE,"ADMIN";#N/A,#N/A,FALSE,"PROCES";#N/A,#N/A,FALSE,"mecan";#N/A,#N/A,FALSE,"civil";#N/A,#N/A,FALSE,"CAÑER";#N/A,#N/A,FALSE,"ELEC";#N/A,#N/A,FALSE,"INSTR"}</definedName>
    <definedName name="GROU" localSheetId="0">#REF!</definedName>
    <definedName name="GROU">#REF!</definedName>
    <definedName name="Group" localSheetId="0">#REF!</definedName>
    <definedName name="Group">#REF!</definedName>
    <definedName name="gsdaga" localSheetId="0" hidden="1">{#N/A,#N/A,FALSE,"GERAL";#N/A,#N/A,FALSE,"012-96";#N/A,#N/A,FALSE,"018-96";#N/A,#N/A,FALSE,"027-96";#N/A,#N/A,FALSE,"059-96";#N/A,#N/A,FALSE,"076-96";#N/A,#N/A,FALSE,"019-97";#N/A,#N/A,FALSE,"021-97";#N/A,#N/A,FALSE,"022-97";#N/A,#N/A,FALSE,"028-97"}</definedName>
    <definedName name="gsdaga" localSheetId="2" hidden="1">{#N/A,#N/A,FALSE,"GERAL";#N/A,#N/A,FALSE,"012-96";#N/A,#N/A,FALSE,"018-96";#N/A,#N/A,FALSE,"027-96";#N/A,#N/A,FALSE,"059-96";#N/A,#N/A,FALSE,"076-96";#N/A,#N/A,FALSE,"019-97";#N/A,#N/A,FALSE,"021-97";#N/A,#N/A,FALSE,"022-97";#N/A,#N/A,FALSE,"028-97"}</definedName>
    <definedName name="gsdaga" hidden="1">{#N/A,#N/A,FALSE,"GERAL";#N/A,#N/A,FALSE,"012-96";#N/A,#N/A,FALSE,"018-96";#N/A,#N/A,FALSE,"027-96";#N/A,#N/A,FALSE,"059-96";#N/A,#N/A,FALSE,"076-96";#N/A,#N/A,FALSE,"019-97";#N/A,#N/A,FALSE,"021-97";#N/A,#N/A,FALSE,"022-97";#N/A,#N/A,FALSE,"028-97"}</definedName>
    <definedName name="gtgtgt" localSheetId="0" hidden="1">{#N/A,#N/A,TRUE,"Est. de Fact.";#N/A,#N/A,TRUE,"Capitulo 19";#N/A,#N/A,TRUE,"Proyecto P855"}</definedName>
    <definedName name="gtgtgt" localSheetId="2" hidden="1">{#N/A,#N/A,TRUE,"Est. de Fact.";#N/A,#N/A,TRUE,"Capitulo 19";#N/A,#N/A,TRUE,"Proyecto P855"}</definedName>
    <definedName name="gtgtgt" hidden="1">{#N/A,#N/A,TRUE,"Est. de Fact.";#N/A,#N/A,TRUE,"Capitulo 19";#N/A,#N/A,TRUE,"Proyecto P855"}</definedName>
    <definedName name="Guess" localSheetId="0">#REF!</definedName>
    <definedName name="Guess">#REF!</definedName>
    <definedName name="GUI" localSheetId="0" hidden="1">{#N/A,#N/A,FALSE,"GERAL";#N/A,#N/A,FALSE,"012-96";#N/A,#N/A,FALSE,"018-96";#N/A,#N/A,FALSE,"027-96";#N/A,#N/A,FALSE,"059-96";#N/A,#N/A,FALSE,"076-96";#N/A,#N/A,FALSE,"019-97";#N/A,#N/A,FALSE,"021-97";#N/A,#N/A,FALSE,"022-97";#N/A,#N/A,FALSE,"028-97"}</definedName>
    <definedName name="GUI" localSheetId="2"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h" localSheetId="0">#REF!</definedName>
    <definedName name="h">#REF!</definedName>
    <definedName name="H_Br" localSheetId="0">#REF!</definedName>
    <definedName name="H_Br">#REF!</definedName>
    <definedName name="H_Cd_Cd" localSheetId="0">#REF!</definedName>
    <definedName name="H_Cd_Cd">#REF!</definedName>
    <definedName name="H71d" localSheetId="0">#REF!</definedName>
    <definedName name="H71d">#REF!</definedName>
    <definedName name="Hatch" localSheetId="0">#REF!</definedName>
    <definedName name="Hatch">#REF!</definedName>
    <definedName name="HATCH_EMP_LIST" localSheetId="0">#REF!</definedName>
    <definedName name="HATCH_EMP_LIST">#REF!</definedName>
    <definedName name="Hatch_Position_Rate" localSheetId="0">#REF!</definedName>
    <definedName name="Hatch_Position_Rate">#REF!</definedName>
    <definedName name="HatchBRClass" localSheetId="0">#REF!</definedName>
    <definedName name="HatchBRClass">#REF!</definedName>
    <definedName name="HatchBRPositions" localSheetId="0">#REF!</definedName>
    <definedName name="HatchBRPositions">#REF!</definedName>
    <definedName name="HatchBRRatesCLT" localSheetId="0">#REF!</definedName>
    <definedName name="HatchBRRatesCLT">#REF!</definedName>
    <definedName name="HatchBRRatesPJ" localSheetId="0">#REF!</definedName>
    <definedName name="HatchBRRatesPJ">#REF!</definedName>
    <definedName name="hc" localSheetId="0">#REF!</definedName>
    <definedName name="hc">#REF!</definedName>
    <definedName name="HDDR" localSheetId="0">#REF!</definedName>
    <definedName name="HDDR">#REF!</definedName>
    <definedName name="hdhdhdh" localSheetId="0">#REF!</definedName>
    <definedName name="hdhdhdh">#REF!</definedName>
    <definedName name="HDR" localSheetId="0">#REF!</definedName>
    <definedName name="HDR">#REF!</definedName>
    <definedName name="he" localSheetId="0">#REF!</definedName>
    <definedName name="he">#REF!</definedName>
    <definedName name="Header" localSheetId="0">#REF!</definedName>
    <definedName name="Header">#REF!</definedName>
    <definedName name="Height" localSheetId="0">#REF!</definedName>
    <definedName name="Height">#REF!</definedName>
    <definedName name="Heliponto" localSheetId="0">#REF!</definedName>
    <definedName name="Heliponto">#REF!</definedName>
    <definedName name="HENFEL4" localSheetId="0">#REF!</definedName>
    <definedName name="HENFEL4" localSheetId="2">#REF!</definedName>
    <definedName name="HENFEL4">#REF!</definedName>
    <definedName name="HENFEL6" localSheetId="0">#REF!</definedName>
    <definedName name="HENFEL6" localSheetId="2">#REF!</definedName>
    <definedName name="HENFEL6">#REF!</definedName>
    <definedName name="hfh" localSheetId="0">#REF!</definedName>
    <definedName name="hfh" localSheetId="2">QQP!hfh</definedName>
    <definedName name="hfh">#REF!</definedName>
    <definedName name="HFUN" localSheetId="0">#REF!</definedName>
    <definedName name="HFUN">#REF!</definedName>
    <definedName name="HGFHFHF"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GFHFHF"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GFHFH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H" localSheetId="0">#REF!</definedName>
    <definedName name="HH" localSheetId="2">#REF!</definedName>
    <definedName name="HH">#REF!</definedName>
    <definedName name="Hh_Hatch" localSheetId="0">#REF!</definedName>
    <definedName name="Hh_Hatch">#REF!</definedName>
    <definedName name="Hh_Others" localSheetId="0">#REF!</definedName>
    <definedName name="Hh_Others">#REF!</definedName>
    <definedName name="HHDESELE" localSheetId="0">#REF!</definedName>
    <definedName name="HHDESELE">#REF!</definedName>
    <definedName name="HHDESMEC" localSheetId="0">#REF!</definedName>
    <definedName name="HHDESMEC">#REF!</definedName>
    <definedName name="HHENGELE">#REF!</definedName>
    <definedName name="HHENGMEC">#REF!</definedName>
    <definedName name="hhernand" localSheetId="0">#REF!</definedName>
    <definedName name="hhernand">#REF!</definedName>
    <definedName name="hhhh" localSheetId="0" hidden="1">{#N/A,#N/A,FALSE,"minas";#N/A,#N/A,FALSE,"Total_OC015";#N/A,#N/A,FALSE,"ADMIN";#N/A,#N/A,FALSE,"PROCES";#N/A,#N/A,FALSE,"civil";#N/A,#N/A,FALSE,"CAÑER";#N/A,#N/A,FALSE,"ELEC";#N/A,#N/A,FALSE,"INSTR";#N/A,#N/A,FALSE,"PDS";#N/A,#N/A,FALSE,"mecan"}</definedName>
    <definedName name="hhhh" localSheetId="2" hidden="1">{#N/A,#N/A,FALSE,"minas";#N/A,#N/A,FALSE,"Total_OC015";#N/A,#N/A,FALSE,"ADMIN";#N/A,#N/A,FALSE,"PROCES";#N/A,#N/A,FALSE,"civil";#N/A,#N/A,FALSE,"CAÑER";#N/A,#N/A,FALSE,"ELEC";#N/A,#N/A,FALSE,"INSTR";#N/A,#N/A,FALSE,"PDS";#N/A,#N/A,FALSE,"mecan"}</definedName>
    <definedName name="hhhh" hidden="1">{#N/A,#N/A,FALSE,"minas";#N/A,#N/A,FALSE,"Total_OC015";#N/A,#N/A,FALSE,"ADMIN";#N/A,#N/A,FALSE,"PROCES";#N/A,#N/A,FALSE,"civil";#N/A,#N/A,FALSE,"CAÑER";#N/A,#N/A,FALSE,"ELEC";#N/A,#N/A,FALSE,"INSTR";#N/A,#N/A,FALSE,"PDS";#N/A,#N/A,FALSE,"mecan"}</definedName>
    <definedName name="hhhhh" localSheetId="0">#REF!</definedName>
    <definedName name="hhhhh">#REF!</definedName>
    <definedName name="HHMONELE" localSheetId="0">#REF!</definedName>
    <definedName name="HHMONELE">#REF!</definedName>
    <definedName name="HHMONMEC" localSheetId="0">#REF!</definedName>
    <definedName name="HHMONMEC">#REF!</definedName>
    <definedName name="hhoo" localSheetId="0" hidden="1">{#N/A,#N/A,FALSE,"TEC-01";#N/A,#N/A,FALSE,"TEC - 02";#N/A,#N/A,FALSE,"TEC - 03";#N/A,#N/A,FALSE,"TEC - 04";#N/A,#N/A,FALSE,"TEC-07";#N/A,#N/A,FALSE,"TEC-08";#N/A,#N/A,FALSE,"TEC - 09A";#N/A,#N/A,FALSE,"TEC - 09B";#N/A,#N/A,FALSE,"TEC - 09C";#N/A,#N/A,FALSE,"TEC - 10";#N/A,#N/A,FALSE,"TEC-11"}</definedName>
    <definedName name="hhoo" localSheetId="2" hidden="1">{#N/A,#N/A,FALSE,"TEC-01";#N/A,#N/A,FALSE,"TEC - 02";#N/A,#N/A,FALSE,"TEC - 03";#N/A,#N/A,FALSE,"TEC - 04";#N/A,#N/A,FALSE,"TEC-07";#N/A,#N/A,FALSE,"TEC-08";#N/A,#N/A,FALSE,"TEC - 09A";#N/A,#N/A,FALSE,"TEC - 09B";#N/A,#N/A,FALSE,"TEC - 09C";#N/A,#N/A,FALSE,"TEC - 10";#N/A,#N/A,FALSE,"TEC-11"}</definedName>
    <definedName name="hhoo" hidden="1">{#N/A,#N/A,FALSE,"TEC-01";#N/A,#N/A,FALSE,"TEC - 02";#N/A,#N/A,FALSE,"TEC - 03";#N/A,#N/A,FALSE,"TEC - 04";#N/A,#N/A,FALSE,"TEC-07";#N/A,#N/A,FALSE,"TEC-08";#N/A,#N/A,FALSE,"TEC - 09A";#N/A,#N/A,FALSE,"TEC - 09B";#N/A,#N/A,FALSE,"TEC - 09C";#N/A,#N/A,FALSE,"TEC - 10";#N/A,#N/A,FALSE,"TEC-11"}</definedName>
    <definedName name="HHPROELE" localSheetId="0">#REF!</definedName>
    <definedName name="HHPROELE">#REF!</definedName>
    <definedName name="HHPROMEC" localSheetId="0">#REF!</definedName>
    <definedName name="HHPROMEC">#REF!</definedName>
    <definedName name="hjkkh" localSheetId="0">#REF!</definedName>
    <definedName name="hjkkh">#REF!</definedName>
    <definedName name="HLOE" localSheetId="0">#REF!</definedName>
    <definedName name="HLOE">#REF!</definedName>
    <definedName name="HLOS" localSheetId="0">#REF!</definedName>
    <definedName name="HLOS">#REF!</definedName>
    <definedName name="HMBH" localSheetId="0">#REF!</definedName>
    <definedName name="HMBH">#REF!</definedName>
    <definedName name="HMTM" localSheetId="0">#REF!</definedName>
    <definedName name="HMTM">#REF!</definedName>
    <definedName name="HMUR" localSheetId="0">#REF!</definedName>
    <definedName name="HMUR">#REF!</definedName>
    <definedName name="hnd" localSheetId="0">#REF!</definedName>
    <definedName name="hnd">#REF!</definedName>
    <definedName name="HOJA" localSheetId="0" hidden="1">{#N/A,#N/A,FALSE,"minas";#N/A,#N/A,FALSE,"Total_OC015";#N/A,#N/A,FALSE,"ADMIN";#N/A,#N/A,FALSE,"PROCES";#N/A,#N/A,FALSE,"civil";#N/A,#N/A,FALSE,"CAÑER";#N/A,#N/A,FALSE,"ELEC";#N/A,#N/A,FALSE,"INSTR";#N/A,#N/A,FALSE,"PDS";#N/A,#N/A,FALSE,"mecan"}</definedName>
    <definedName name="HOJA" localSheetId="2"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LA" localSheetId="0">#REF!</definedName>
    <definedName name="HOLA">#REF!</definedName>
    <definedName name="homero" localSheetId="0">#REF!</definedName>
    <definedName name="homero">#REF!</definedName>
    <definedName name="Horas_Mes" localSheetId="0">#REF!</definedName>
    <definedName name="Horas_Mes">#REF!</definedName>
    <definedName name="horizon"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0" hidden="1">{"desarrollo",#N/A,FALSE,"LHD Camión";"eqdllo",#N/A,FALSE,"LHD Camión";"eqprod",#N/A,FALSE,"LHD Camión";"Resumen",#N/A,FALSE,"LHD Camión"}</definedName>
    <definedName name="horozon" localSheetId="2"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sPerCycle" localSheetId="0">#REF!</definedName>
    <definedName name="HoursPerCycle">#REF!</definedName>
    <definedName name="howToChange" localSheetId="0">#REF!</definedName>
    <definedName name="howToChange">#REF!</definedName>
    <definedName name="howToCheck" localSheetId="0">#REF!</definedName>
    <definedName name="howToCheck">#REF!</definedName>
    <definedName name="HP">#N/A</definedName>
    <definedName name="HR" localSheetId="0">#REF!</definedName>
    <definedName name="HR">#REF!</definedName>
    <definedName name="Hr_Mes" localSheetId="0">#REF!</definedName>
    <definedName name="Hr_Mes">#REF!</definedName>
    <definedName name="HSEC" localSheetId="0">#REF!</definedName>
    <definedName name="HSEC">#REF!</definedName>
    <definedName name="HTML_CodePage" hidden="1">1252</definedName>
    <definedName name="HTML_Control" localSheetId="0" hidden="1">{"'Plan1 (2)'!$A$5:$F$63"}</definedName>
    <definedName name="HTML_Control" localSheetId="2" hidden="1">{"'Plan1 (2)'!$A$5:$F$63"}</definedName>
    <definedName name="HTML_Control" hidden="1">{"'Plan1 (2)'!$A$5:$F$63"}</definedName>
    <definedName name="HTML_Description" hidden="1">""</definedName>
    <definedName name="HTML_Email" hidden="1">""</definedName>
    <definedName name="HTML_Header" hidden="1">"Plan1 (2)"</definedName>
    <definedName name="HTML_LastUpdate" hidden="1">"04/03/1999"</definedName>
    <definedName name="HTML_LineAfter" hidden="1">FALSE</definedName>
    <definedName name="HTML_LineBefore" hidden="1">FALSE</definedName>
    <definedName name="HTML_Name" hidden="1">"Ana Tereza"</definedName>
    <definedName name="HTML_OBDlg2" hidden="1">TRUE</definedName>
    <definedName name="HTML_OBDlg4" hidden="1">TRUE</definedName>
    <definedName name="HTML_OS" hidden="1">0</definedName>
    <definedName name="HTML_PathFile" hidden="1">"V:\Operacao de Maquinas\INTERDIÇÕES NA VP\MeuHTML.htm"</definedName>
    <definedName name="HTML_Title" hidden="1">"TabLoc"</definedName>
    <definedName name="HVAC" localSheetId="0">#REF!</definedName>
    <definedName name="HVAC">#REF!</definedName>
    <definedName name="HYDROMET" localSheetId="0">#REF!</definedName>
    <definedName name="HYDROMET">#REF!</definedName>
    <definedName name="i"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AT" localSheetId="0">#REF!</definedName>
    <definedName name="IAT">#REF!</definedName>
    <definedName name="ICAT16" localSheetId="0">#REF!</definedName>
    <definedName name="ICAT16">#REF!</definedName>
    <definedName name="ien" localSheetId="0">#REF!</definedName>
    <definedName name="ien">#REF!</definedName>
    <definedName name="IIEdb" localSheetId="0">#REF!</definedName>
    <definedName name="IIEdb">#REF!</definedName>
    <definedName name="III" localSheetId="0">#REF!</definedName>
    <definedName name="III">#REF!</definedName>
    <definedName name="IMP" localSheetId="0">#REF!</definedName>
    <definedName name="IMP">#REF!</definedName>
    <definedName name="ImprBrit" localSheetId="0">#REF!</definedName>
    <definedName name="ImprBrit">#REF!</definedName>
    <definedName name="ImprBritA3">#REF!</definedName>
    <definedName name="Imprimir_títulos_IM" localSheetId="0">#REF!</definedName>
    <definedName name="Imprimir_títulos_IM">#REF!</definedName>
    <definedName name="ImprRelA3">#REF!</definedName>
    <definedName name="ImprRelA4">#REF!</definedName>
    <definedName name="Indirect" localSheetId="0">#REF!</definedName>
    <definedName name="Indirect">#REF!</definedName>
    <definedName name="Inflation">#REF!</definedName>
    <definedName name="INFORMATICA" localSheetId="0">#REF!</definedName>
    <definedName name="INFORMATICA">#REF!</definedName>
    <definedName name="INFORMATION_SYSTEMS" localSheetId="0">#REF!</definedName>
    <definedName name="INFORMATION_SYSTEMS">#REF!</definedName>
    <definedName name="Ing" localSheetId="0" hidden="1">{#N/A,#N/A,FALSE,"Total_OC015";#N/A,#N/A,FALSE,"ADMIN";#N/A,#N/A,FALSE,"PROCES";#N/A,#N/A,FALSE,"mecan";#N/A,#N/A,FALSE,"civil";#N/A,#N/A,FALSE,"CAÑER";#N/A,#N/A,FALSE,"ELEC";#N/A,#N/A,FALSE,"INSTR"}</definedName>
    <definedName name="Ing" localSheetId="2"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resos" localSheetId="0">#REF!</definedName>
    <definedName name="ingresos">#REF!</definedName>
    <definedName name="InhaltsvezSUMMEN" localSheetId="0">#REF!</definedName>
    <definedName name="InhaltsvezSUMMEN">#REF!</definedName>
    <definedName name="inic_cell" localSheetId="0">#REF!</definedName>
    <definedName name="inic_cell">#REF!</definedName>
    <definedName name="Inicio" localSheetId="0">#REF!</definedName>
    <definedName name="Inicio" localSheetId="2">QQP!Inicio</definedName>
    <definedName name="Inicio">#REF!</definedName>
    <definedName name="INMKUP" localSheetId="0">#REF!</definedName>
    <definedName name="INMKUP" localSheetId="2">#REF!</definedName>
    <definedName name="INMKUP">#REF!</definedName>
    <definedName name="Input_Comissão" localSheetId="0">#REF!</definedName>
    <definedName name="Input_Comissão" localSheetId="2">#REF!</definedName>
    <definedName name="Input_Comissão">#REF!</definedName>
    <definedName name="INPUTF" localSheetId="0">#REF!</definedName>
    <definedName name="INPUTF">#REF!</definedName>
    <definedName name="Inst_Assist" localSheetId="0">#REF!</definedName>
    <definedName name="Inst_Assist">#REF!</definedName>
    <definedName name="insul" localSheetId="0">#REF!</definedName>
    <definedName name="insul">#REF!</definedName>
    <definedName name="Insumos" localSheetId="0">#REF!</definedName>
    <definedName name="Insumos">#REF!</definedName>
    <definedName name="Insumos_Jararaca" localSheetId="0">#REF!</definedName>
    <definedName name="Insumos_Jararaca">#REF!</definedName>
    <definedName name="Insumos1" localSheetId="0">#REF!</definedName>
    <definedName name="Insumos1">#REF!</definedName>
    <definedName name="Intervalo" localSheetId="0">#REF!</definedName>
    <definedName name="Intervalo">#REF!</definedName>
    <definedName name="Intran" localSheetId="0" hidden="1">{"'teste'!$B$2:$R$49"}</definedName>
    <definedName name="Intran" localSheetId="2" hidden="1">{"'teste'!$B$2:$R$49"}</definedName>
    <definedName name="Intran" hidden="1">{"'teste'!$B$2:$R$49"}</definedName>
    <definedName name="Introducción" localSheetId="0">#REF!</definedName>
    <definedName name="Introducción">#REF!</definedName>
    <definedName name="INVALIDO" localSheetId="0" hidden="1">{#N/A,#N/A,FALSE,"GERAL";#N/A,#N/A,FALSE,"012-96";#N/A,#N/A,FALSE,"018-96";#N/A,#N/A,FALSE,"027-96";#N/A,#N/A,FALSE,"059-96";#N/A,#N/A,FALSE,"076-96";#N/A,#N/A,FALSE,"019-97";#N/A,#N/A,FALSE,"021-97";#N/A,#N/A,FALSE,"022-97";#N/A,#N/A,FALSE,"028-97"}</definedName>
    <definedName name="INVALIDO" localSheetId="2" hidden="1">{#N/A,#N/A,FALSE,"GERAL";#N/A,#N/A,FALSE,"012-96";#N/A,#N/A,FALSE,"018-96";#N/A,#N/A,FALSE,"027-96";#N/A,#N/A,FALSE,"059-96";#N/A,#N/A,FALSE,"076-96";#N/A,#N/A,FALSE,"019-97";#N/A,#N/A,FALSE,"021-97";#N/A,#N/A,FALSE,"022-97";#N/A,#N/A,FALSE,"028-97"}</definedName>
    <definedName name="INVALIDO" hidden="1">{#N/A,#N/A,FALSE,"GERAL";#N/A,#N/A,FALSE,"012-96";#N/A,#N/A,FALSE,"018-96";#N/A,#N/A,FALSE,"027-96";#N/A,#N/A,FALSE,"059-96";#N/A,#N/A,FALSE,"076-96";#N/A,#N/A,FALSE,"019-97";#N/A,#N/A,FALSE,"021-97";#N/A,#N/A,FALSE,"022-97";#N/A,#N/A,FALSE,"028-97"}</definedName>
    <definedName name="Inversión_Actual" localSheetId="0">#REF!</definedName>
    <definedName name="Inversión_Actual">#REF!</definedName>
    <definedName name="Inversiones" localSheetId="0">#REF!</definedName>
    <definedName name="Inversiones">#REF!</definedName>
    <definedName name="ioioioi" localSheetId="0" hidden="1">{#N/A,#N/A,TRUE,"Est. de Fact.";#N/A,#N/A,TRUE,"Capitulo 19";#N/A,#N/A,TRUE,"Proyecto P855"}</definedName>
    <definedName name="ioioioi" localSheetId="2" hidden="1">{#N/A,#N/A,TRUE,"Est. de Fact.";#N/A,#N/A,TRUE,"Capitulo 19";#N/A,#N/A,TRUE,"Proyecto P855"}</definedName>
    <definedName name="ioioioi" hidden="1">{#N/A,#N/A,TRUE,"Est. de Fact.";#N/A,#N/A,TRUE,"Capitulo 19";#N/A,#N/A,TRUE,"Proyecto P855"}</definedName>
    <definedName name="iPasDMSubTypeCodes" localSheetId="0">#REF!</definedName>
    <definedName name="iPasDMSubTypeCodes">#REF!</definedName>
    <definedName name="IPMKUP" localSheetId="0">#REF!</definedName>
    <definedName name="IPMKUP">#REF!</definedName>
    <definedName name="IR" localSheetId="0">#REF!</definedName>
    <definedName name="IR">#REF!</definedName>
    <definedName name="IRRF" localSheetId="0">#REF!</definedName>
    <definedName name="IRRF" localSheetId="2">#REF!</definedName>
    <definedName name="IRRF">#REF!</definedName>
    <definedName name="ISK" localSheetId="0">#REF!</definedName>
    <definedName name="ISK">#REF!</definedName>
    <definedName name="ISMKUP" localSheetId="0">#REF!</definedName>
    <definedName name="ISMKUP">#REF!</definedName>
    <definedName name="IT" localSheetId="0">#REF!</definedName>
    <definedName name="IT">#REF!</definedName>
    <definedName name="it_br_oia_tac" localSheetId="0">#REF!</definedName>
    <definedName name="it_br_oia_tac">#REF!</definedName>
    <definedName name="it_br_sp_tac" localSheetId="0">#REF!</definedName>
    <definedName name="it_br_sp_tac">#REF!</definedName>
    <definedName name="it_ca_oia_tac" localSheetId="0">#REF!</definedName>
    <definedName name="it_ca_oia_tac">#REF!</definedName>
    <definedName name="it_ca_sp_tac" localSheetId="0">#REF!</definedName>
    <definedName name="it_ca_sp_tac">#REF!</definedName>
    <definedName name="it_ctt" localSheetId="0">#REF!</definedName>
    <definedName name="it_ctt">#REF!</definedName>
    <definedName name="ITFee" localSheetId="0">#REF!</definedName>
    <definedName name="ITFee">#REF!</definedName>
    <definedName name="ITMKUP" localSheetId="0">#REF!</definedName>
    <definedName name="ITMKUP">#REF!</definedName>
    <definedName name="j" localSheetId="0">#REF!</definedName>
    <definedName name="j" localSheetId="2">QQP!j</definedName>
    <definedName name="j">#REF!</definedName>
    <definedName name="JAGUARA" localSheetId="0">#REF!</definedName>
    <definedName name="JAGUARA" localSheetId="2">#REF!</definedName>
    <definedName name="JAGUARA">#REF!</definedName>
    <definedName name="Jan_Al" localSheetId="0">#REF!</definedName>
    <definedName name="Jan_Al" localSheetId="2">#REF!</definedName>
    <definedName name="Jan_Al">#REF!</definedName>
    <definedName name="Jan_Fe" localSheetId="0">#REF!</definedName>
    <definedName name="Jan_Fe">#REF!</definedName>
    <definedName name="Jan_Mn" localSheetId="0">#REF!</definedName>
    <definedName name="Jan_Mn">#REF!</definedName>
    <definedName name="Jan_P" localSheetId="0">#REF!</definedName>
    <definedName name="Jan_P">#REF!</definedName>
    <definedName name="Jan_Si" localSheetId="0">#REF!</definedName>
    <definedName name="Jan_Si">#REF!</definedName>
    <definedName name="janal" localSheetId="0">#REF!</definedName>
    <definedName name="janal">#REF!</definedName>
    <definedName name="jao" localSheetId="0" hidden="1">{#N/A,#N/A,FALSE,"GERAL";#N/A,#N/A,FALSE,"012-96";#N/A,#N/A,FALSE,"018-96";#N/A,#N/A,FALSE,"027-96";#N/A,#N/A,FALSE,"059-96";#N/A,#N/A,FALSE,"076-96";#N/A,#N/A,FALSE,"019-97";#N/A,#N/A,FALSE,"021-97";#N/A,#N/A,FALSE,"022-97";#N/A,#N/A,FALSE,"028-97"}</definedName>
    <definedName name="jao" localSheetId="2" hidden="1">{#N/A,#N/A,FALSE,"GERAL";#N/A,#N/A,FALSE,"012-96";#N/A,#N/A,FALSE,"018-96";#N/A,#N/A,FALSE,"027-96";#N/A,#N/A,FALSE,"059-96";#N/A,#N/A,FALSE,"076-96";#N/A,#N/A,FALSE,"019-97";#N/A,#N/A,FALSE,"021-97";#N/A,#N/A,FALSE,"022-97";#N/A,#N/A,FALSE,"028-97"}</definedName>
    <definedName name="jao" hidden="1">{#N/A,#N/A,FALSE,"GERAL";#N/A,#N/A,FALSE,"012-96";#N/A,#N/A,FALSE,"018-96";#N/A,#N/A,FALSE,"027-96";#N/A,#N/A,FALSE,"059-96";#N/A,#N/A,FALSE,"076-96";#N/A,#N/A,FALSE,"019-97";#N/A,#N/A,FALSE,"021-97";#N/A,#N/A,FALSE,"022-97";#N/A,#N/A,FALSE,"028-97"}</definedName>
    <definedName name="jEFF" localSheetId="0" hidden="1">{#N/A,#N/A,FALSE,"ET-CAPA";#N/A,#N/A,FALSE,"ET-PAG1";#N/A,#N/A,FALSE,"ET-PAG2";#N/A,#N/A,FALSE,"ET-PAG3";#N/A,#N/A,FALSE,"ET-PAG4";#N/A,#N/A,FALSE,"ET-PAG5"}</definedName>
    <definedName name="jEFF" localSheetId="2" hidden="1">{#N/A,#N/A,FALSE,"ET-CAPA";#N/A,#N/A,FALSE,"ET-PAG1";#N/A,#N/A,FALSE,"ET-PAG2";#N/A,#N/A,FALSE,"ET-PAG3";#N/A,#N/A,FALSE,"ET-PAG4";#N/A,#N/A,FALSE,"ET-PAG5"}</definedName>
    <definedName name="jEFF" hidden="1">{#N/A,#N/A,FALSE,"ET-CAPA";#N/A,#N/A,FALSE,"ET-PAG1";#N/A,#N/A,FALSE,"ET-PAG2";#N/A,#N/A,FALSE,"ET-PAG3";#N/A,#N/A,FALSE,"ET-PAG4";#N/A,#N/A,FALSE,"ET-PAG5"}</definedName>
    <definedName name="jEFF1" localSheetId="0" hidden="1">{#N/A,#N/A,FALSE,"ET-CAPA";#N/A,#N/A,FALSE,"ET-PAG1";#N/A,#N/A,FALSE,"ET-PAG2";#N/A,#N/A,FALSE,"ET-PAG3";#N/A,#N/A,FALSE,"ET-PAG4";#N/A,#N/A,FALSE,"ET-PAG5"}</definedName>
    <definedName name="jEFF1" localSheetId="2" hidden="1">{#N/A,#N/A,FALSE,"ET-CAPA";#N/A,#N/A,FALSE,"ET-PAG1";#N/A,#N/A,FALSE,"ET-PAG2";#N/A,#N/A,FALSE,"ET-PAG3";#N/A,#N/A,FALSE,"ET-PAG4";#N/A,#N/A,FALSE,"ET-PAG5"}</definedName>
    <definedName name="jEFF1" hidden="1">{#N/A,#N/A,FALSE,"ET-CAPA";#N/A,#N/A,FALSE,"ET-PAG1";#N/A,#N/A,FALSE,"ET-PAG2";#N/A,#N/A,FALSE,"ET-PAG3";#N/A,#N/A,FALSE,"ET-PAG4";#N/A,#N/A,FALSE,"ET-PAG5"}</definedName>
    <definedName name="JELE" localSheetId="0">#REF!</definedName>
    <definedName name="JELE">#REF!</definedName>
    <definedName name="jj" localSheetId="0" hidden="1">{#N/A,#N/A,FALSE,"Total_OC015";#N/A,#N/A,FALSE,"ADMIN";#N/A,#N/A,FALSE,"PROCES";#N/A,#N/A,FALSE,"mecan";#N/A,#N/A,FALSE,"civil";#N/A,#N/A,FALSE,"CAÑER";#N/A,#N/A,FALSE,"ELEC";#N/A,#N/A,FALSE,"INSTR"}</definedName>
    <definedName name="jj" localSheetId="2" hidden="1">{#N/A,#N/A,FALSE,"Total_OC015";#N/A,#N/A,FALSE,"ADMIN";#N/A,#N/A,FALSE,"PROCES";#N/A,#N/A,FALSE,"mecan";#N/A,#N/A,FALSE,"civil";#N/A,#N/A,FALSE,"CAÑER";#N/A,#N/A,FALSE,"ELEC";#N/A,#N/A,FALSE,"INSTR"}</definedName>
    <definedName name="jj" hidden="1">{#N/A,#N/A,FALSE,"Total_OC015";#N/A,#N/A,FALSE,"ADMIN";#N/A,#N/A,FALSE,"PROCES";#N/A,#N/A,FALSE,"mecan";#N/A,#N/A,FALSE,"civil";#N/A,#N/A,FALSE,"CAÑER";#N/A,#N/A,FALSE,"ELEC";#N/A,#N/A,FALSE,"INSTR"}</definedName>
    <definedName name="jjj" localSheetId="0" hidden="1">{#N/A,#N/A,FALSE,"Total_OC015";#N/A,#N/A,FALSE,"ADMIN";#N/A,#N/A,FALSE,"PROCES";#N/A,#N/A,FALSE,"mecan";#N/A,#N/A,FALSE,"civil";#N/A,#N/A,FALSE,"CAÑER";#N/A,#N/A,FALSE,"ELEC";#N/A,#N/A,FALSE,"INSTR"}</definedName>
    <definedName name="jjj" localSheetId="2"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 localSheetId="0">#REF!</definedName>
    <definedName name="jjjj">#REF!</definedName>
    <definedName name="jkl" localSheetId="0" hidden="1">#REF!</definedName>
    <definedName name="jkl" hidden="1">#REF!</definedName>
    <definedName name="JMEC" localSheetId="0">#REF!</definedName>
    <definedName name="JMEC">#REF!</definedName>
    <definedName name="jo" localSheetId="0">#REF!</definedName>
    <definedName name="jo">#REF!</definedName>
    <definedName name="Job" localSheetId="0">#REF!</definedName>
    <definedName name="Job">#REF!</definedName>
    <definedName name="Job_car" localSheetId="0">#REF!</definedName>
    <definedName name="Job_car">#REF!</definedName>
    <definedName name="Job_Location" localSheetId="0">#REF!</definedName>
    <definedName name="Job_Location">#REF!</definedName>
    <definedName name="Job_Number" localSheetId="0">#REF!</definedName>
    <definedName name="Job_Number">#REF!</definedName>
    <definedName name="José_Padron" localSheetId="0">#REF!</definedName>
    <definedName name="José_Padron">#REF!</definedName>
    <definedName name="JOSIANNE" localSheetId="0" hidden="1">{#N/A,#N/A,FALSE,"TEC-01";#N/A,#N/A,FALSE,"TEC - 02";#N/A,#N/A,FALSE,"TEC - 03";#N/A,#N/A,FALSE,"TEC - 04";#N/A,#N/A,FALSE,"TEC-07";#N/A,#N/A,FALSE,"TEC-08";#N/A,#N/A,FALSE,"TEC - 09A";#N/A,#N/A,FALSE,"TEC - 09B";#N/A,#N/A,FALSE,"TEC - 09C";#N/A,#N/A,FALSE,"TEC - 10";#N/A,#N/A,FALSE,"TEC-11"}</definedName>
    <definedName name="JOSIANNE" localSheetId="2" hidden="1">{#N/A,#N/A,FALSE,"TEC-01";#N/A,#N/A,FALSE,"TEC - 02";#N/A,#N/A,FALSE,"TEC - 03";#N/A,#N/A,FALSE,"TEC - 04";#N/A,#N/A,FALSE,"TEC-07";#N/A,#N/A,FALSE,"TEC-08";#N/A,#N/A,FALSE,"TEC - 09A";#N/A,#N/A,FALSE,"TEC - 09B";#N/A,#N/A,FALSE,"TEC - 09C";#N/A,#N/A,FALSE,"TEC - 10";#N/A,#N/A,FALSE,"TEC-11"}</definedName>
    <definedName name="JOSIANNE" hidden="1">{#N/A,#N/A,FALSE,"TEC-01";#N/A,#N/A,FALSE,"TEC - 02";#N/A,#N/A,FALSE,"TEC - 03";#N/A,#N/A,FALSE,"TEC - 04";#N/A,#N/A,FALSE,"TEC-07";#N/A,#N/A,FALSE,"TEC-08";#N/A,#N/A,FALSE,"TEC - 09A";#N/A,#N/A,FALSE,"TEC - 09B";#N/A,#N/A,FALSE,"TEC - 09C";#N/A,#N/A,FALSE,"TEC - 10";#N/A,#N/A,FALSE,"TEC-11"}</definedName>
    <definedName name="JS" localSheetId="0">#REF!</definedName>
    <definedName name="JS">#REF!</definedName>
    <definedName name="jsf" localSheetId="0">#REF!</definedName>
    <definedName name="jsf">#REF!</definedName>
    <definedName name="JUPOX" localSheetId="0" hidden="1">{#N/A,#N/A,FALSE,"masez (10)";#N/A,#N/A,FALSE,"masez (7)";#N/A,#N/A,FALSE,"masez (6)";#N/A,#N/A,FALSE,"masez (5)";#N/A,#N/A,FALSE,"masez (4)";#N/A,#N/A,FALSE,"masez (3)";#N/A,#N/A,FALSE,"masez (2)";#N/A,#N/A,FALSE,"GME";#N/A,#N/A,FALSE,"masez"}</definedName>
    <definedName name="JUPOX" localSheetId="2"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stificativaProcessoCompra" localSheetId="0">#REF!</definedName>
    <definedName name="justificativaProcessoCompra">#REF!</definedName>
    <definedName name="K" localSheetId="0">#REF!</definedName>
    <definedName name="K">#REF!</definedName>
    <definedName name="kk"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KK" localSheetId="0">#REF!</definedName>
    <definedName name="KKKKK">#REF!</definedName>
    <definedName name="KKLKLKLKL" localSheetId="0" hidden="1">{"'Resumo2'!$B$2:$J$23"}</definedName>
    <definedName name="KKLKLKLKL" localSheetId="2" hidden="1">{"'Resumo2'!$B$2:$J$23"}</definedName>
    <definedName name="KKLKLKLKL" hidden="1">{"'Resumo2'!$B$2:$J$23"}</definedName>
    <definedName name="KRW" localSheetId="0">#REF!</definedName>
    <definedName name="KRW">#REF!</definedName>
    <definedName name="Kubus">#REF!</definedName>
    <definedName name="Kubus1">#REF!</definedName>
    <definedName name="kubuspalmeiras">#REF!</definedName>
    <definedName name="kubusretiro">#REF!</definedName>
    <definedName name="lab" localSheetId="0">#REF!</definedName>
    <definedName name="lab">#REF!</definedName>
    <definedName name="Labour_Rates" localSheetId="0">#REF!</definedName>
    <definedName name="Labour_Rates">#REF!</definedName>
    <definedName name="LADO" localSheetId="0">#REF!</definedName>
    <definedName name="LADO">#REF!</definedName>
    <definedName name="landscp" localSheetId="0">#REF!</definedName>
    <definedName name="landscp">#REF!</definedName>
    <definedName name="LARG" localSheetId="0">#REF!</definedName>
    <definedName name="LARG">#REF!</definedName>
    <definedName name="lçjh" localSheetId="0">#REF!</definedName>
    <definedName name="lçjh">#REF!</definedName>
    <definedName name="LCV" localSheetId="0" hidden="1">{#N/A,#N/A,FALSE,"TEC-01";#N/A,#N/A,FALSE,"TEC - 02";#N/A,#N/A,FALSE,"TEC - 03";#N/A,#N/A,FALSE,"TEC - 04";#N/A,#N/A,FALSE,"TEC-07";#N/A,#N/A,FALSE,"TEC-08";#N/A,#N/A,FALSE,"TEC - 09A";#N/A,#N/A,FALSE,"TEC - 09B";#N/A,#N/A,FALSE,"TEC - 09C";#N/A,#N/A,FALSE,"TEC - 10";#N/A,#N/A,FALSE,"TEC-11"}</definedName>
    <definedName name="LCV" localSheetId="2" hidden="1">{#N/A,#N/A,FALSE,"TEC-01";#N/A,#N/A,FALSE,"TEC - 02";#N/A,#N/A,FALSE,"TEC - 03";#N/A,#N/A,FALSE,"TEC - 04";#N/A,#N/A,FALSE,"TEC-07";#N/A,#N/A,FALSE,"TEC-08";#N/A,#N/A,FALSE,"TEC - 09A";#N/A,#N/A,FALSE,"TEC - 09B";#N/A,#N/A,FALSE,"TEC - 09C";#N/A,#N/A,FALSE,"TEC - 10";#N/A,#N/A,FALSE,"TEC-11"}</definedName>
    <definedName name="LCV" hidden="1">{#N/A,#N/A,FALSE,"TEC-01";#N/A,#N/A,FALSE,"TEC - 02";#N/A,#N/A,FALSE,"TEC - 03";#N/A,#N/A,FALSE,"TEC - 04";#N/A,#N/A,FALSE,"TEC-07";#N/A,#N/A,FALSE,"TEC-08";#N/A,#N/A,FALSE,"TEC - 09A";#N/A,#N/A,FALSE,"TEC - 09B";#N/A,#N/A,FALSE,"TEC - 09C";#N/A,#N/A,FALSE,"TEC - 10";#N/A,#N/A,FALSE,"TEC-11"}</definedName>
    <definedName name="LD" localSheetId="0">#REF!</definedName>
    <definedName name="LD">#REF!</definedName>
    <definedName name="LDExport" localSheetId="0">#REF!</definedName>
    <definedName name="LDExport">#REF!</definedName>
    <definedName name="ldexport1" localSheetId="0">#REF!</definedName>
    <definedName name="ldexport1">#REF!</definedName>
    <definedName name="LE">#REF!</definedName>
    <definedName name="legal_ano" localSheetId="0">#REF!</definedName>
    <definedName name="legal_ano">#REF!</definedName>
    <definedName name="LEGK" localSheetId="0">#REF!</definedName>
    <definedName name="LEGK">#REF!</definedName>
    <definedName name="LIBRA_Total" localSheetId="0">#REF!</definedName>
    <definedName name="LIBRA_Total">#REF!</definedName>
    <definedName name="Lic_Pat" localSheetId="0">#REF!</definedName>
    <definedName name="Lic_Pat">#REF!</definedName>
    <definedName name="light" localSheetId="0">#REF!</definedName>
    <definedName name="light">#REF!</definedName>
    <definedName name="limcount" hidden="1">1</definedName>
    <definedName name="LIMPAR_DADOS" localSheetId="0">#REF!,#REF!,#REF!,#REF!,#REF!,#REF!,#REF!,#REF!,#REF!,#REF!,#REF!,#REF!</definedName>
    <definedName name="LIMPAR_DADOS" localSheetId="2">#REF!,#REF!,#REF!,#REF!,#REF!,#REF!,#REF!,#REF!,#REF!,#REF!,#REF!,#REF!</definedName>
    <definedName name="LIMPAR_DADOS">#REF!,#REF!,#REF!,#REF!,#REF!,#REF!,#REF!,#REF!,#REF!,#REF!,#REF!,#REF!</definedName>
    <definedName name="LIMPAR_TITULO" localSheetId="0">#REF!,#REF!,#REF!,#REF!,#REF!,#REF!,#REF!</definedName>
    <definedName name="LIMPAR_TITULO">#REF!,#REF!,#REF!,#REF!,#REF!,#REF!,#REF!</definedName>
    <definedName name="Line" localSheetId="0">#REF!</definedName>
    <definedName name="Line">#REF!</definedName>
    <definedName name="LINELIST_PIPERUNS" localSheetId="0">#REF!</definedName>
    <definedName name="LINELIST_PIPERUNS">#REF!</definedName>
    <definedName name="LinhasContratos" localSheetId="0">#REF!</definedName>
    <definedName name="LinhasContratos">#REF!</definedName>
    <definedName name="Lisette_Schubert" localSheetId="0">#REF!</definedName>
    <definedName name="Lisette_Schubert">#REF!</definedName>
    <definedName name="Lista">#REF!</definedName>
    <definedName name="Lista_Hatch_EMP_COM" localSheetId="0">#REF!,#REF!,#REF!,#REF!</definedName>
    <definedName name="Lista_Hatch_EMP_COM">#REF!,#REF!,#REF!,#REF!</definedName>
    <definedName name="ListaFim" localSheetId="0">#REF!</definedName>
    <definedName name="ListaFim">#REF!</definedName>
    <definedName name="ListCompanies" localSheetId="0">#REF!</definedName>
    <definedName name="ListCompanies">#REF!</definedName>
    <definedName name="lixo" localSheetId="0" hidden="1">{#N/A,#N/A,FALSE,"GERAL";#N/A,#N/A,FALSE,"012-96";#N/A,#N/A,FALSE,"018-96";#N/A,#N/A,FALSE,"027-96";#N/A,#N/A,FALSE,"059-96";#N/A,#N/A,FALSE,"076-96";#N/A,#N/A,FALSE,"019-97";#N/A,#N/A,FALSE,"021-97";#N/A,#N/A,FALSE,"022-97";#N/A,#N/A,FALSE,"028-97"}</definedName>
    <definedName name="lixo" localSheetId="2"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0" hidden="1">{#N/A,#N/A,FALSE,"Total_OC015";#N/A,#N/A,FALSE,"ADMIN";#N/A,#N/A,FALSE,"PROCES";#N/A,#N/A,FALSE,"mecan";#N/A,#N/A,FALSE,"civil";#N/A,#N/A,FALSE,"CAÑER";#N/A,#N/A,FALSE,"ELEC";#N/A,#N/A,FALSE,"INSTR"}</definedName>
    <definedName name="lk" localSheetId="2"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l" localSheetId="0" hidden="1">{#N/A,#N/A,TRUE,"Est. de Fact.";#N/A,#N/A,TRUE,"Capitulo 19";#N/A,#N/A,TRUE,"Proyecto P855"}</definedName>
    <definedName name="ll" localSheetId="2" hidden="1">{#N/A,#N/A,TRUE,"Est. de Fact.";#N/A,#N/A,TRUE,"Capitulo 19";#N/A,#N/A,TRUE,"Proyecto P855"}</definedName>
    <definedName name="ll" hidden="1">{#N/A,#N/A,TRUE,"Est. de Fact.";#N/A,#N/A,TRUE,"Capitulo 19";#N/A,#N/A,TRUE,"Proyecto P855"}</definedName>
    <definedName name="LLL" localSheetId="0">#REF!</definedName>
    <definedName name="LLL">#REF!</definedName>
    <definedName name="loc" localSheetId="0">#REF!</definedName>
    <definedName name="loc">#REF!</definedName>
    <definedName name="Loc_Inc" localSheetId="0">#REF!</definedName>
    <definedName name="Loc_Inc">#REF!</definedName>
    <definedName name="LocaçãoVeículo" localSheetId="0">#REF!</definedName>
    <definedName name="LocaçãoVeículo">#REF!</definedName>
    <definedName name="Local" localSheetId="0">#REF!</definedName>
    <definedName name="Local">#REF!</definedName>
    <definedName name="Location" localSheetId="0">#REF!</definedName>
    <definedName name="Location">#REF!</definedName>
    <definedName name="lokar" localSheetId="0" hidden="1">{#N/A,#N/A,FALSE,"GERAL";#N/A,#N/A,FALSE,"012-96";#N/A,#N/A,FALSE,"018-96";#N/A,#N/A,FALSE,"027-96";#N/A,#N/A,FALSE,"059-96";#N/A,#N/A,FALSE,"076-96";#N/A,#N/A,FALSE,"019-97";#N/A,#N/A,FALSE,"021-97";#N/A,#N/A,FALSE,"022-97";#N/A,#N/A,FALSE,"028-97"}</definedName>
    <definedName name="lokar" localSheetId="2" hidden="1">{#N/A,#N/A,FALSE,"GERAL";#N/A,#N/A,FALSE,"012-96";#N/A,#N/A,FALSE,"018-96";#N/A,#N/A,FALSE,"027-96";#N/A,#N/A,FALSE,"059-96";#N/A,#N/A,FALSE,"076-96";#N/A,#N/A,FALSE,"019-97";#N/A,#N/A,FALSE,"021-97";#N/A,#N/A,FALSE,"022-97";#N/A,#N/A,FALSE,"028-97"}</definedName>
    <definedName name="lokar" hidden="1">{#N/A,#N/A,FALSE,"GERAL";#N/A,#N/A,FALSE,"012-96";#N/A,#N/A,FALSE,"018-96";#N/A,#N/A,FALSE,"027-96";#N/A,#N/A,FALSE,"059-96";#N/A,#N/A,FALSE,"076-96";#N/A,#N/A,FALSE,"019-97";#N/A,#N/A,FALSE,"021-97";#N/A,#N/A,FALSE,"022-97";#N/A,#N/A,FALSE,"028-97"}</definedName>
    <definedName name="LOLD">1</definedName>
    <definedName name="LOLD_Table">31</definedName>
    <definedName name="Lote" localSheetId="0">#REF!</definedName>
    <definedName name="Lote" localSheetId="2">QQP!Lote</definedName>
    <definedName name="Lote">#REF!</definedName>
    <definedName name="LoteBolota" localSheetId="0">#REF!</definedName>
    <definedName name="LoteBolota" localSheetId="2">QQP!LoteBolota</definedName>
    <definedName name="LoteBolota">#REF!</definedName>
    <definedName name="LoteBonito2" localSheetId="0" hidden="1">{"'Resumo2'!$B$2:$J$23"}</definedName>
    <definedName name="LoteBonito2" localSheetId="2" hidden="1">{"'Resumo2'!$B$2:$J$23"}</definedName>
    <definedName name="LoteBonito2" hidden="1">{"'Resumo2'!$B$2:$J$23"}</definedName>
    <definedName name="lots" localSheetId="0" hidden="1">{#N/A,#N/A,FALSE,"Total_OC015";#N/A,#N/A,FALSE,"ADMIN";#N/A,#N/A,FALSE,"PROCES";#N/A,#N/A,FALSE,"mecan";#N/A,#N/A,FALSE,"civil";#N/A,#N/A,FALSE,"CAÑER";#N/A,#N/A,FALSE,"ELEC";#N/A,#N/A,FALSE,"INSTR"}</definedName>
    <definedName name="lots" localSheetId="2"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S" localSheetId="0">#REF!</definedName>
    <definedName name="LS">#REF!</definedName>
    <definedName name="luis" localSheetId="0" hidden="1">{"'Plan1 (2)'!$A$5:$F$63"}</definedName>
    <definedName name="luis" localSheetId="2" hidden="1">{"'Plan1 (2)'!$A$5:$F$63"}</definedName>
    <definedName name="luis" hidden="1">{"'Plan1 (2)'!$A$5:$F$63"}</definedName>
    <definedName name="Luis_Garrido_L." localSheetId="0">#REF!</definedName>
    <definedName name="Luis_Garrido_L.">#REF!</definedName>
    <definedName name="luOCA2" localSheetId="0">#REF!</definedName>
    <definedName name="luOCA2">#REF!</definedName>
    <definedName name="LUSI" localSheetId="0" hidden="1">{#N/A,#N/A,FALSE,"ET-CAPA";#N/A,#N/A,FALSE,"ET-PAG1";#N/A,#N/A,FALSE,"ET-PAG2";#N/A,#N/A,FALSE,"ET-PAG3";#N/A,#N/A,FALSE,"ET-PAG4";#N/A,#N/A,FALSE,"ET-PAG5"}</definedName>
    <definedName name="LUSI" localSheetId="2" hidden="1">{#N/A,#N/A,FALSE,"ET-CAPA";#N/A,#N/A,FALSE,"ET-PAG1";#N/A,#N/A,FALSE,"ET-PAG2";#N/A,#N/A,FALSE,"ET-PAG3";#N/A,#N/A,FALSE,"ET-PAG4";#N/A,#N/A,FALSE,"ET-PAG5"}</definedName>
    <definedName name="LUSI" hidden="1">{#N/A,#N/A,FALSE,"ET-CAPA";#N/A,#N/A,FALSE,"ET-PAG1";#N/A,#N/A,FALSE,"ET-PAG2";#N/A,#N/A,FALSE,"ET-PAG3";#N/A,#N/A,FALSE,"ET-PAG4";#N/A,#N/A,FALSE,"ET-PAG5"}</definedName>
    <definedName name="Macro1" localSheetId="0">#REF!</definedName>
    <definedName name="Macro1">#REF!</definedName>
    <definedName name="Macro3" localSheetId="0">#REF!</definedName>
    <definedName name="Macro3">#REF!</definedName>
    <definedName name="MACU">#N/A</definedName>
    <definedName name="MAG" localSheetId="0">#REF!</definedName>
    <definedName name="MAG">#REF!</definedName>
    <definedName name="MANTO" localSheetId="0" hidden="1">{#N/A,#N/A,FALSE,"GERAL";#N/A,#N/A,FALSE,"012-96";#N/A,#N/A,FALSE,"018-96";#N/A,#N/A,FALSE,"027-96";#N/A,#N/A,FALSE,"059-96";#N/A,#N/A,FALSE,"076-96";#N/A,#N/A,FALSE,"019-97";#N/A,#N/A,FALSE,"021-97";#N/A,#N/A,FALSE,"022-97";#N/A,#N/A,FALSE,"028-97"}</definedName>
    <definedName name="MANTO" localSheetId="2"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nuel_Romero" localSheetId="0">#REF!</definedName>
    <definedName name="Manuel_Romero">#REF!</definedName>
    <definedName name="Manut.Transp.Operac." localSheetId="0">#REF!</definedName>
    <definedName name="Manut.Transp.Operac.">#REF!</definedName>
    <definedName name="Manutenção" localSheetId="0">#REF!</definedName>
    <definedName name="Manutenção">#REF!</definedName>
    <definedName name="maodeobra">#REF!</definedName>
    <definedName name="maodeobra20">#REF!</definedName>
    <definedName name="MAR" localSheetId="0">#REF!</definedName>
    <definedName name="MAR">#REF!</definedName>
    <definedName name="Mariluz_Muñoz" localSheetId="0">#REF!</definedName>
    <definedName name="Mariluz_Muñoz">#REF!</definedName>
    <definedName name="MARINE" localSheetId="0">#REF!</definedName>
    <definedName name="MARINE">#REF!</definedName>
    <definedName name="mario" localSheetId="0">#REF!</definedName>
    <definedName name="mario">#REF!</definedName>
    <definedName name="MARIP10" localSheetId="0">#REF!</definedName>
    <definedName name="MARIP10">#REF!</definedName>
    <definedName name="MARIP12" localSheetId="0">#REF!</definedName>
    <definedName name="MARIP12">#REF!</definedName>
    <definedName name="MARIP16" localSheetId="0">#REF!</definedName>
    <definedName name="MARIP16">#REF!</definedName>
    <definedName name="MARIP18" localSheetId="0">#REF!</definedName>
    <definedName name="MARIP18">#REF!</definedName>
    <definedName name="MARIP2" localSheetId="0">#REF!</definedName>
    <definedName name="MARIP2">#REF!</definedName>
    <definedName name="MARIP20" localSheetId="0">#REF!</definedName>
    <definedName name="MARIP20">#REF!</definedName>
    <definedName name="MARIP3" localSheetId="0">#REF!</definedName>
    <definedName name="MARIP3">#REF!</definedName>
    <definedName name="MARIP30" localSheetId="0">#REF!</definedName>
    <definedName name="MARIP30">#REF!</definedName>
    <definedName name="MARIP4" localSheetId="0">#REF!</definedName>
    <definedName name="MARIP4">#REF!</definedName>
    <definedName name="MARIP8" localSheetId="0">#REF!</definedName>
    <definedName name="MARIP8">#REF!</definedName>
    <definedName name="MASTER" localSheetId="0" hidden="1">{#N/A,#N/A,FALSE,"GERAL";#N/A,#N/A,FALSE,"012-96";#N/A,#N/A,FALSE,"018-96";#N/A,#N/A,FALSE,"027-96";#N/A,#N/A,FALSE,"059-96";#N/A,#N/A,FALSE,"076-96";#N/A,#N/A,FALSE,"019-97";#N/A,#N/A,FALSE,"021-97";#N/A,#N/A,FALSE,"022-97";#N/A,#N/A,FALSE,"028-97"}</definedName>
    <definedName name="MASTER" localSheetId="2"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atch" localSheetId="0">#REF!</definedName>
    <definedName name="Match">#REF!</definedName>
    <definedName name="Match_Parc" localSheetId="0">#REF!</definedName>
    <definedName name="Match_Parc">#REF!</definedName>
    <definedName name="Material" localSheetId="0">#REF!</definedName>
    <definedName name="Material">#REF!</definedName>
    <definedName name="MATERIALS_MANAGEMENT" localSheetId="0">#REF!</definedName>
    <definedName name="MATERIALS_MANAGEMENT">#REF!</definedName>
    <definedName name="MATRIZ" localSheetId="0">#REF!</definedName>
    <definedName name="MATRIZ" localSheetId="2">QQP!#REF!</definedName>
    <definedName name="MATRIZ">#REF!</definedName>
    <definedName name="MATRIZ_DE_RESPONSABILIDADE" localSheetId="0">#REF!</definedName>
    <definedName name="MATRIZ_DE_RESPONSABILIDADE">#REF!</definedName>
    <definedName name="MATRIZ01" localSheetId="0">#REF!</definedName>
    <definedName name="MATRIZ01">#REF!</definedName>
    <definedName name="MatrizCorrel2003" localSheetId="0">#REF!</definedName>
    <definedName name="MatrizCorrel2003">#REF!</definedName>
    <definedName name="mattubcust" localSheetId="0" hidden="1">{#N/A,#N/A,FALSE,"GERAL";#N/A,#N/A,FALSE,"012-96";#N/A,#N/A,FALSE,"018-96";#N/A,#N/A,FALSE,"027-96";#N/A,#N/A,FALSE,"059-96";#N/A,#N/A,FALSE,"076-96";#N/A,#N/A,FALSE,"019-97";#N/A,#N/A,FALSE,"021-97";#N/A,#N/A,FALSE,"022-97";#N/A,#N/A,FALSE,"028-97"}</definedName>
    <definedName name="mattubcust" localSheetId="2" hidden="1">{#N/A,#N/A,FALSE,"GERAL";#N/A,#N/A,FALSE,"012-96";#N/A,#N/A,FALSE,"018-96";#N/A,#N/A,FALSE,"027-96";#N/A,#N/A,FALSE,"059-96";#N/A,#N/A,FALSE,"076-96";#N/A,#N/A,FALSE,"019-97";#N/A,#N/A,FALSE,"021-97";#N/A,#N/A,FALSE,"022-97";#N/A,#N/A,FALSE,"028-97"}</definedName>
    <definedName name="mattubcust" hidden="1">{#N/A,#N/A,FALSE,"GERAL";#N/A,#N/A,FALSE,"012-96";#N/A,#N/A,FALSE,"018-96";#N/A,#N/A,FALSE,"027-96";#N/A,#N/A,FALSE,"059-96";#N/A,#N/A,FALSE,"076-96";#N/A,#N/A,FALSE,"019-97";#N/A,#N/A,FALSE,"021-97";#N/A,#N/A,FALSE,"022-97";#N/A,#N/A,FALSE,"028-97"}</definedName>
    <definedName name="max" localSheetId="0">#REF!</definedName>
    <definedName name="max">#REF!</definedName>
    <definedName name="MBM" localSheetId="0">#REF!</definedName>
    <definedName name="MBM">#REF!</definedName>
    <definedName name="MBV" localSheetId="0">#REF!</definedName>
    <definedName name="MBV">#REF!</definedName>
    <definedName name="MC" localSheetId="0" hidden="1">{#N/A,#N/A,FALSE,"GERAL";#N/A,#N/A,FALSE,"012-96";#N/A,#N/A,FALSE,"018-96";#N/A,#N/A,FALSE,"027-96";#N/A,#N/A,FALSE,"059-96";#N/A,#N/A,FALSE,"076-96";#N/A,#N/A,FALSE,"019-97";#N/A,#N/A,FALSE,"021-97";#N/A,#N/A,FALSE,"022-97";#N/A,#N/A,FALSE,"028-97"}</definedName>
    <definedName name="MC" localSheetId="2" hidden="1">{#N/A,#N/A,FALSE,"GERAL";#N/A,#N/A,FALSE,"012-96";#N/A,#N/A,FALSE,"018-96";#N/A,#N/A,FALSE,"027-96";#N/A,#N/A,FALSE,"059-96";#N/A,#N/A,FALSE,"076-96";#N/A,#N/A,FALSE,"019-97";#N/A,#N/A,FALSE,"021-97";#N/A,#N/A,FALSE,"022-97";#N/A,#N/A,FALSE,"028-97"}</definedName>
    <definedName name="MC" hidden="1">{#N/A,#N/A,FALSE,"GERAL";#N/A,#N/A,FALSE,"012-96";#N/A,#N/A,FALSE,"018-96";#N/A,#N/A,FALSE,"027-96";#N/A,#N/A,FALSE,"059-96";#N/A,#N/A,FALSE,"076-96";#N/A,#N/A,FALSE,"019-97";#N/A,#N/A,FALSE,"021-97";#N/A,#N/A,FALSE,"022-97";#N/A,#N/A,FALSE,"028-97"}</definedName>
    <definedName name="MCM" localSheetId="0" hidden="1">{#N/A,#N/A,FALSE,"GERAL";#N/A,#N/A,FALSE,"012-96";#N/A,#N/A,FALSE,"018-96";#N/A,#N/A,FALSE,"027-96";#N/A,#N/A,FALSE,"059-96";#N/A,#N/A,FALSE,"076-96";#N/A,#N/A,FALSE,"019-97";#N/A,#N/A,FALSE,"021-97";#N/A,#N/A,FALSE,"022-97";#N/A,#N/A,FALSE,"028-97"}</definedName>
    <definedName name="MCM" localSheetId="2"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COD02.040.4190" localSheetId="0">#REF!</definedName>
    <definedName name="MCOD02.040.4190">#REF!</definedName>
    <definedName name="MCOD02.040.4210" localSheetId="0">#REF!</definedName>
    <definedName name="MCOD02.040.4210">#REF!</definedName>
    <definedName name="MCOD02.040.4280" localSheetId="0">#REF!</definedName>
    <definedName name="MCOD02.040.4280">#REF!</definedName>
    <definedName name="MCOD02.040.4320">#REF!</definedName>
    <definedName name="MCOD02.040.4350">#REF!</definedName>
    <definedName name="MCOD02.040.4509">#REF!</definedName>
    <definedName name="MCOD02.040.4540">#REF!</definedName>
    <definedName name="MCOD02.040.4580">#REF!</definedName>
    <definedName name="MCOD02.040.4610">#REF!</definedName>
    <definedName name="MCOD02.040.4730">#REF!</definedName>
    <definedName name="MCOD02.040.4820">#REF!</definedName>
    <definedName name="MCOD02.040.7618">#REF!</definedName>
    <definedName name="MCOD02.040.7639">#REF!</definedName>
    <definedName name="MCOD02.040.7720">#REF!</definedName>
    <definedName name="MCOD02.040.9746">#REF!</definedName>
    <definedName name="MCOD02.040.9833">#REF!</definedName>
    <definedName name="MCOD02.110.0106">#REF!</definedName>
    <definedName name="MCOD02.110.0110">#REF!</definedName>
    <definedName name="MCOD02.110.0140">#REF!</definedName>
    <definedName name="MCOD02.110.0146">#REF!</definedName>
    <definedName name="MCOD02.110.0150">#REF!</definedName>
    <definedName name="MCOD02.110.0614">#REF!</definedName>
    <definedName name="MCOD02.110.0630">#REF!</definedName>
    <definedName name="MCOD02.110.0734">#REF!</definedName>
    <definedName name="MCOD02.110.0740">#REF!</definedName>
    <definedName name="MCOD02.110.0742">#REF!</definedName>
    <definedName name="MCOD02.110.0746">#REF!</definedName>
    <definedName name="MCOD02.110.0750">#REF!</definedName>
    <definedName name="MCOD02.110.1146">#REF!</definedName>
    <definedName name="MCOD02.110.1414">#REF!</definedName>
    <definedName name="MCOD02.110.1420">#REF!</definedName>
    <definedName name="MCOD02.110.1660">#REF!</definedName>
    <definedName name="MCOD02.110.1662">#REF!</definedName>
    <definedName name="MCOD02.110.1666">#REF!</definedName>
    <definedName name="MCOD02.110.1872">#REF!</definedName>
    <definedName name="MCOD02.110.1880">#REF!</definedName>
    <definedName name="MCOD02.110.1974">#REF!</definedName>
    <definedName name="MCOD02.110.2008">#REF!</definedName>
    <definedName name="MCOD02.110.2066">#REF!</definedName>
    <definedName name="MCOD02.110.2294">#REF!</definedName>
    <definedName name="MCOD02.110.2304">#REF!</definedName>
    <definedName name="MCOD02.110.2310">#REF!</definedName>
    <definedName name="MCOD02.110.2784">#REF!</definedName>
    <definedName name="MCOD02.110.2796">#REF!</definedName>
    <definedName name="MCOD02.110.2798">#REF!</definedName>
    <definedName name="MCOD02.110.2800">#REF!</definedName>
    <definedName name="MCOD02.110.3910">#REF!</definedName>
    <definedName name="MCOD02.110.3912">#REF!</definedName>
    <definedName name="MCOD02.110.3928">#REF!</definedName>
    <definedName name="MCOD02.110.3930">#REF!</definedName>
    <definedName name="MCOD02.110.3940">#REF!</definedName>
    <definedName name="MCOD02.110.4288">#REF!</definedName>
    <definedName name="MCOD02.110.4304">#REF!</definedName>
    <definedName name="MCOD02.110.4312">#REF!</definedName>
    <definedName name="MCOD02.110.4314">#REF!</definedName>
    <definedName name="MCOD02.110.4488">#REF!</definedName>
    <definedName name="MCOD02.110.4536">#REF!</definedName>
    <definedName name="MCOD02.120.0060">#REF!</definedName>
    <definedName name="MCOD02.120.0070">#REF!</definedName>
    <definedName name="MCOD02.120.0090">#REF!</definedName>
    <definedName name="MCOD02.130.0050">#REF!</definedName>
    <definedName name="MCOD02.130.0080">#REF!</definedName>
    <definedName name="MCOD02.130.1018">#REF!</definedName>
    <definedName name="MCOD02.130.1055">#REF!</definedName>
    <definedName name="MCOD02.140.1200">#REF!</definedName>
    <definedName name="MCOD02.210.0090">#REF!</definedName>
    <definedName name="MCOD02.210.0110">#REF!</definedName>
    <definedName name="MCOD02.210.0310">#REF!</definedName>
    <definedName name="MCOD02.210.0340">#REF!</definedName>
    <definedName name="MCOD02.210.0350">#REF!</definedName>
    <definedName name="MCOD02.210.0370">#REF!</definedName>
    <definedName name="MCOD02.210.0380">#REF!</definedName>
    <definedName name="MCOD02.210.0390">#REF!</definedName>
    <definedName name="MCOD02.210.1609">#REF!</definedName>
    <definedName name="MCOD02.210.1620">#REF!</definedName>
    <definedName name="MCOD02.210.1625">#REF!</definedName>
    <definedName name="MCOD02.210.1630">#REF!</definedName>
    <definedName name="MCOD02.210.1637">#REF!</definedName>
    <definedName name="MCOD02.210.2930">#REF!</definedName>
    <definedName name="MCOD03.020.0010">#REF!</definedName>
    <definedName name="MCOD03.020.0500">#REF!</definedName>
    <definedName name="MCOD03.020.0510">#REF!</definedName>
    <definedName name="MCOD03.020.0660">#REF!</definedName>
    <definedName name="MCOD03.020.0680">#REF!</definedName>
    <definedName name="MCOD05.120.0020">#REF!</definedName>
    <definedName name="MCOD11.010.0046">#REF!</definedName>
    <definedName name="MCOD11.010.0378">#REF!</definedName>
    <definedName name="MCOD28.120.0067">#REF!</definedName>
    <definedName name="MCOD28.120.0087">#REF!</definedName>
    <definedName name="MCODCOTADO01">#REF!</definedName>
    <definedName name="MCODCOTADO02">#REF!</definedName>
    <definedName name="MCODCOTADO03">#REF!</definedName>
    <definedName name="mec" localSheetId="0">#REF!</definedName>
    <definedName name="mec">#REF!</definedName>
    <definedName name="MECHANICAL" localSheetId="0">#REF!</definedName>
    <definedName name="MECHANICAL">#REF!</definedName>
    <definedName name="MEDIÇÃO" localSheetId="0">#REF!</definedName>
    <definedName name="MEDIÇÃO">#REF!</definedName>
    <definedName name="MEL" localSheetId="0">#REF!</definedName>
    <definedName name="MEL">#REF!</definedName>
    <definedName name="MEM" localSheetId="0">#REF!</definedName>
    <definedName name="MEM">#REF!</definedName>
    <definedName name="MEMO" localSheetId="0">#REF!</definedName>
    <definedName name="MEMO">#REF!</definedName>
    <definedName name="Memória" localSheetId="0" hidden="1">{#N/A,#N/A,FALSE,"TEC-01";#N/A,#N/A,FALSE,"TEC - 02";#N/A,#N/A,FALSE,"TEC - 03";#N/A,#N/A,FALSE,"TEC - 04";#N/A,#N/A,FALSE,"TEC-07";#N/A,#N/A,FALSE,"TEC-08";#N/A,#N/A,FALSE,"TEC - 09A";#N/A,#N/A,FALSE,"TEC - 09B";#N/A,#N/A,FALSE,"TEC - 09C";#N/A,#N/A,FALSE,"TEC - 10";#N/A,#N/A,FALSE,"TEC-11"}</definedName>
    <definedName name="Memória" localSheetId="2" hidden="1">{#N/A,#N/A,FALSE,"TEC-01";#N/A,#N/A,FALSE,"TEC - 02";#N/A,#N/A,FALSE,"TEC - 03";#N/A,#N/A,FALSE,"TEC - 04";#N/A,#N/A,FALSE,"TEC-07";#N/A,#N/A,FALSE,"TEC-08";#N/A,#N/A,FALSE,"TEC - 09A";#N/A,#N/A,FALSE,"TEC - 09B";#N/A,#N/A,FALSE,"TEC - 09C";#N/A,#N/A,FALSE,"TEC - 10";#N/A,#N/A,FALSE,"TEC-11"}</definedName>
    <definedName name="Memória" hidden="1">{#N/A,#N/A,FALSE,"TEC-01";#N/A,#N/A,FALSE,"TEC - 02";#N/A,#N/A,FALSE,"TEC - 03";#N/A,#N/A,FALSE,"TEC - 04";#N/A,#N/A,FALSE,"TEC-07";#N/A,#N/A,FALSE,"TEC-08";#N/A,#N/A,FALSE,"TEC - 09A";#N/A,#N/A,FALSE,"TEC - 09B";#N/A,#N/A,FALSE,"TEC - 09C";#N/A,#N/A,FALSE,"TEC - 10";#N/A,#N/A,FALSE,"TEC-11"}</definedName>
    <definedName name="MesCalc" localSheetId="0">#REF!</definedName>
    <definedName name="MesCalc">#REF!</definedName>
    <definedName name="MesNegociado" localSheetId="0">#REF!</definedName>
    <definedName name="MesNegociado">#REF!</definedName>
    <definedName name="MESTRE" localSheetId="0" hidden="1">{#N/A,#N/A,FALSE,"GERAL";#N/A,#N/A,FALSE,"012-96";#N/A,#N/A,FALSE,"018-96";#N/A,#N/A,FALSE,"027-96";#N/A,#N/A,FALSE,"059-96";#N/A,#N/A,FALSE,"076-96";#N/A,#N/A,FALSE,"019-97";#N/A,#N/A,FALSE,"021-97";#N/A,#N/A,FALSE,"022-97";#N/A,#N/A,FALSE,"028-97"}</definedName>
    <definedName name="MESTRE" localSheetId="2"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FL" localSheetId="0">#REF!</definedName>
    <definedName name="MFL">#REF!</definedName>
    <definedName name="mine_inf_sens" localSheetId="0">#REF!</definedName>
    <definedName name="mine_inf_sens">#REF!</definedName>
    <definedName name="miner" localSheetId="0" hidden="1">{#N/A,#N/A,FALSE,"ET-CAPA";#N/A,#N/A,FALSE,"ET-PAG1";#N/A,#N/A,FALSE,"ET-PAG2";#N/A,#N/A,FALSE,"ET-PAG3";#N/A,#N/A,FALSE,"ET-PAG4";#N/A,#N/A,FALSE,"ET-PAG5"}</definedName>
    <definedName name="miner" localSheetId="2" hidden="1">{#N/A,#N/A,FALSE,"ET-CAPA";#N/A,#N/A,FALSE,"ET-PAG1";#N/A,#N/A,FALSE,"ET-PAG2";#N/A,#N/A,FALSE,"ET-PAG3";#N/A,#N/A,FALSE,"ET-PAG4";#N/A,#N/A,FALSE,"ET-PAG5"}</definedName>
    <definedName name="miner" hidden="1">{#N/A,#N/A,FALSE,"ET-CAPA";#N/A,#N/A,FALSE,"ET-PAG1";#N/A,#N/A,FALSE,"ET-PAG2";#N/A,#N/A,FALSE,"ET-PAG3";#N/A,#N/A,FALSE,"ET-PAG4";#N/A,#N/A,FALSE,"ET-PAG5"}</definedName>
    <definedName name="Miner1" localSheetId="0" hidden="1">{#N/A,#N/A,FALSE,"ET-CAPA";#N/A,#N/A,FALSE,"ET-PAG1";#N/A,#N/A,FALSE,"ET-PAG2";#N/A,#N/A,FALSE,"ET-PAG3";#N/A,#N/A,FALSE,"ET-PAG4";#N/A,#N/A,FALSE,"ET-PAG5"}</definedName>
    <definedName name="Miner1" localSheetId="2" hidden="1">{#N/A,#N/A,FALSE,"ET-CAPA";#N/A,#N/A,FALSE,"ET-PAG1";#N/A,#N/A,FALSE,"ET-PAG2";#N/A,#N/A,FALSE,"ET-PAG3";#N/A,#N/A,FALSE,"ET-PAG4";#N/A,#N/A,FALSE,"ET-PAG5"}</definedName>
    <definedName name="Miner1" hidden="1">{#N/A,#N/A,FALSE,"ET-CAPA";#N/A,#N/A,FALSE,"ET-PAG1";#N/A,#N/A,FALSE,"ET-PAG2";#N/A,#N/A,FALSE,"ET-PAG3";#N/A,#N/A,FALSE,"ET-PAG4";#N/A,#N/A,FALSE,"ET-PAG5"}</definedName>
    <definedName name="miner2" localSheetId="0" hidden="1">{#N/A,#N/A,FALSE,"ET-CAPA";#N/A,#N/A,FALSE,"ET-PAG1";#N/A,#N/A,FALSE,"ET-PAG2";#N/A,#N/A,FALSE,"ET-PAG3";#N/A,#N/A,FALSE,"ET-PAG4";#N/A,#N/A,FALSE,"ET-PAG5"}</definedName>
    <definedName name="miner2" localSheetId="2" hidden="1">{#N/A,#N/A,FALSE,"ET-CAPA";#N/A,#N/A,FALSE,"ET-PAG1";#N/A,#N/A,FALSE,"ET-PAG2";#N/A,#N/A,FALSE,"ET-PAG3";#N/A,#N/A,FALSE,"ET-PAG4";#N/A,#N/A,FALSE,"ET-PAG5"}</definedName>
    <definedName name="miner2" hidden="1">{#N/A,#N/A,FALSE,"ET-CAPA";#N/A,#N/A,FALSE,"ET-PAG1";#N/A,#N/A,FALSE,"ET-PAG2";#N/A,#N/A,FALSE,"ET-PAG3";#N/A,#N/A,FALSE,"ET-PAG4";#N/A,#N/A,FALSE,"ET-PAG5"}</definedName>
    <definedName name="MINING" localSheetId="0">#REF!</definedName>
    <definedName name="MINING">#REF!</definedName>
    <definedName name="MINPGPELE" localSheetId="0">#REF!</definedName>
    <definedName name="MINPGPELE" localSheetId="2">#REF!</definedName>
    <definedName name="MINPGPELE">#REF!</definedName>
    <definedName name="MINPGPMEC">#REF!</definedName>
    <definedName name="Minproc" localSheetId="0">#REF!</definedName>
    <definedName name="Minproc">#REF!</definedName>
    <definedName name="Misc">#REF!</definedName>
    <definedName name="MIX">#REF!</definedName>
    <definedName name="MM" localSheetId="0" hidden="1">{#N/A,#N/A,FALSE,"GERAL";#N/A,#N/A,FALSE,"012-96";#N/A,#N/A,FALSE,"018-96";#N/A,#N/A,FALSE,"027-96";#N/A,#N/A,FALSE,"059-96";#N/A,#N/A,FALSE,"076-96";#N/A,#N/A,FALSE,"019-97";#N/A,#N/A,FALSE,"021-97";#N/A,#N/A,FALSE,"022-97";#N/A,#N/A,FALSE,"028-97"}</definedName>
    <definedName name="MM" localSheetId="2" hidden="1">{#N/A,#N/A,FALSE,"GERAL";#N/A,#N/A,FALSE,"012-96";#N/A,#N/A,FALSE,"018-96";#N/A,#N/A,FALSE,"027-96";#N/A,#N/A,FALSE,"059-96";#N/A,#N/A,FALSE,"076-96";#N/A,#N/A,FALSE,"019-97";#N/A,#N/A,FALSE,"021-97";#N/A,#N/A,FALSE,"022-97";#N/A,#N/A,FALSE,"028-97"}</definedName>
    <definedName name="MM" hidden="1">{#N/A,#N/A,FALSE,"GERAL";#N/A,#N/A,FALSE,"012-96";#N/A,#N/A,FALSE,"018-96";#N/A,#N/A,FALSE,"027-96";#N/A,#N/A,FALSE,"059-96";#N/A,#N/A,FALSE,"076-96";#N/A,#N/A,FALSE,"019-97";#N/A,#N/A,FALSE,"021-97";#N/A,#N/A,FALSE,"022-97";#N/A,#N/A,FALSE,"028-97"}</definedName>
    <definedName name="MmExcelLinker_4E7BD31E_65F0_440C_A162_0361D739B0FD" localSheetId="0">APR!Anexo IVA MAT DE #REF!</definedName>
    <definedName name="MmExcelLinker_4E7BD31E_65F0_440C_A162_0361D739B0FD" localSheetId="1">[0]!Anexo IVA MAT DE #REF!</definedName>
    <definedName name="MmExcelLinker_4E7BD31E_65F0_440C_A162_0361D739B0FD" localSheetId="4">[0]!Anexo IVA MAT DE #REF!</definedName>
    <definedName name="MmExcelLinker_4E7BD31E_65F0_440C_A162_0361D739B0FD" localSheetId="5">[0]!Anexo IVA MAT DE #REF!</definedName>
    <definedName name="MmExcelLinker_4E7BD31E_65F0_440C_A162_0361D739B0FD" localSheetId="6">[0]!Anexo IVA MAT DE #REF!</definedName>
    <definedName name="MmExcelLinker_4E7BD31E_65F0_440C_A162_0361D739B0FD" localSheetId="7">[0]!Anexo IVA MAT DE #REF!</definedName>
    <definedName name="MmExcelLinker_4E7BD31E_65F0_440C_A162_0361D739B0FD" localSheetId="11">[0]!Anexo IVA MAT DE #REF!</definedName>
    <definedName name="MmExcelLinker_4E7BD31E_65F0_440C_A162_0361D739B0FD" localSheetId="2">Anexo IVA MAT DE #REF!</definedName>
    <definedName name="MmExcelLinker_4E7BD31E_65F0_440C_A162_0361D739B0FD" localSheetId="10">[0]!Anexo IVA MAT DE #REF!</definedName>
    <definedName name="MmExcelLinker_4E7BD31E_65F0_440C_A162_0361D739B0FD">Anexo IVA MAT DE #REF!</definedName>
    <definedName name="mmm" localSheetId="0">#REF!</definedName>
    <definedName name="mmm" localSheetId="2">QQP!mmm</definedName>
    <definedName name="mmm">#REF!</definedName>
    <definedName name="mmmmmm" localSheetId="0" hidden="1">{#N/A,#N/A,FALSE,"Total_OC015";#N/A,#N/A,FALSE,"ADMIN";#N/A,#N/A,FALSE,"PROCES";#N/A,#N/A,FALSE,"mecan";#N/A,#N/A,FALSE,"civil";#N/A,#N/A,FALSE,"CAÑER";#N/A,#N/A,FALSE,"ELEC";#N/A,#N/A,FALSE,"INSTR"}</definedName>
    <definedName name="mmmmmm" localSheetId="2" hidden="1">{#N/A,#N/A,FALSE,"Total_OC015";#N/A,#N/A,FALSE,"ADMIN";#N/A,#N/A,FALSE,"PROCES";#N/A,#N/A,FALSE,"mecan";#N/A,#N/A,FALSE,"civil";#N/A,#N/A,FALSE,"CAÑER";#N/A,#N/A,FALSE,"ELEC";#N/A,#N/A,FALSE,"INSTR"}</definedName>
    <definedName name="mmmmmm" hidden="1">{#N/A,#N/A,FALSE,"Total_OC015";#N/A,#N/A,FALSE,"ADMIN";#N/A,#N/A,FALSE,"PROCES";#N/A,#N/A,FALSE,"mecan";#N/A,#N/A,FALSE,"civil";#N/A,#N/A,FALSE,"CAÑER";#N/A,#N/A,FALSE,"ELEC";#N/A,#N/A,FALSE,"INSTR"}</definedName>
    <definedName name="MOAdm.Local" localSheetId="0">#REF!</definedName>
    <definedName name="MOAdm.Local">#REF!</definedName>
    <definedName name="MOAGEM" localSheetId="0">#REF!</definedName>
    <definedName name="MOAGEM">#REF!</definedName>
    <definedName name="MOBILIA" localSheetId="0">#REF!</definedName>
    <definedName name="MOBILIA">#REF!</definedName>
    <definedName name="mobrangelo">#REF!</definedName>
    <definedName name="Moedas" localSheetId="0">#REF!</definedName>
    <definedName name="Moedas" localSheetId="2">#REF!</definedName>
    <definedName name="Moedas">#REF!</definedName>
    <definedName name="MOLAS_AÇO" localSheetId="0">#REF!</definedName>
    <definedName name="MOLAS_AÇO">#REF!</definedName>
    <definedName name="MONEDAS" localSheetId="0">#REF!</definedName>
    <definedName name="MONEDAS">#REF!</definedName>
    <definedName name="Montagem" localSheetId="0">#REF!</definedName>
    <definedName name="Montagem">#REF!</definedName>
    <definedName name="monte"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tor" localSheetId="0">#REF!</definedName>
    <definedName name="motor">#REF!</definedName>
    <definedName name="motor4" localSheetId="0">#REF!</definedName>
    <definedName name="motor4" localSheetId="2">#REF!</definedName>
    <definedName name="motor4">#REF!</definedName>
    <definedName name="motor6" localSheetId="0">#REF!</definedName>
    <definedName name="motor6" localSheetId="2">#REF!</definedName>
    <definedName name="motor6">#REF!</definedName>
    <definedName name="MTOT01.0250.0360" localSheetId="0">#REF!</definedName>
    <definedName name="MTOT01.0250.0360">#REF!</definedName>
    <definedName name="MTOT01.040.0010" localSheetId="0">#REF!</definedName>
    <definedName name="MTOT01.040.0010">#REF!</definedName>
    <definedName name="MTOT01.040.0020" localSheetId="0">#REF!</definedName>
    <definedName name="MTOT01.040.0020">#REF!</definedName>
    <definedName name="MTOT01.050.0010">#REF!</definedName>
    <definedName name="MTOT01.050.0020">#REF!</definedName>
    <definedName name="MTOT01.050.0040">#REF!</definedName>
    <definedName name="MTOT01.060.0020">#REF!</definedName>
    <definedName name="MTOT01.060.0040">#REF!</definedName>
    <definedName name="MTOT01.070.0040">#REF!</definedName>
    <definedName name="MTOT01.085.0020">#REF!</definedName>
    <definedName name="MTOT01.130.0930">#REF!</definedName>
    <definedName name="MTOT01.140.0020">#REF!</definedName>
    <definedName name="MTOT01.140.0130">#REF!</definedName>
    <definedName name="MTOT01.140.0380">#REF!</definedName>
    <definedName name="MTOT01.140.0880">#REF!</definedName>
    <definedName name="MTOT01.140.1270">#REF!</definedName>
    <definedName name="MTOT01.140.1350">#REF!</definedName>
    <definedName name="MTOT01.140.1680">#REF!</definedName>
    <definedName name="MTOT01.150.0030">#REF!</definedName>
    <definedName name="MTOT01.150.0130">#REF!</definedName>
    <definedName name="MTOT01.150.0210">#REF!</definedName>
    <definedName name="MTOT01.150.0240">#REF!</definedName>
    <definedName name="MTOT01.150.0590">#REF!</definedName>
    <definedName name="MTOT01.160.0070">#REF!</definedName>
    <definedName name="MTOT01.160.0140">#REF!</definedName>
    <definedName name="MTOT01.180.0290">#REF!</definedName>
    <definedName name="MTOT01.250.0310">#REF!</definedName>
    <definedName name="MTOT01.250.0320">#REF!</definedName>
    <definedName name="MTOT01.250.0340">#REF!</definedName>
    <definedName name="MTOT01.250.0360">#REF!</definedName>
    <definedName name="MTOT01.250.0390">#REF!</definedName>
    <definedName name="MTOT01.250.0410">#REF!</definedName>
    <definedName name="MTOT01.250.0470">#REF!</definedName>
    <definedName name="MTOT01.250.0560">#REF!</definedName>
    <definedName name="MTOT01.250.0620">#REF!</definedName>
    <definedName name="MTOT02.010.4306">#REF!</definedName>
    <definedName name="MTOT02.020.0040">#REF!</definedName>
    <definedName name="MTOT02.020.0050">#REF!</definedName>
    <definedName name="MTOT02.020.0070">#REF!</definedName>
    <definedName name="MTOT02.020.0080">#REF!</definedName>
    <definedName name="MTOT02.040.0191">#REF!</definedName>
    <definedName name="MTOT02.040.0225">#REF!</definedName>
    <definedName name="MTOT02.040.0233">#REF!</definedName>
    <definedName name="MTOT02.040.0255">#REF!</definedName>
    <definedName name="MTOT02.040.0730">#REF!</definedName>
    <definedName name="MTOT02.040.0930">#REF!</definedName>
    <definedName name="MTOT02.040.0990">#REF!</definedName>
    <definedName name="MTOT02.040.1040">#REF!</definedName>
    <definedName name="MTOT02.040.1080">#REF!</definedName>
    <definedName name="MTOT02.040.1170">#REF!</definedName>
    <definedName name="MTOT02.040.3860">#REF!</definedName>
    <definedName name="MTOT02.040.4190">#REF!</definedName>
    <definedName name="MTOT02.040.4210">#REF!</definedName>
    <definedName name="MTOT02.040.4280">#REF!</definedName>
    <definedName name="MTOT02.040.4320">#REF!</definedName>
    <definedName name="MTOT02.040.4350">#REF!</definedName>
    <definedName name="MTOT02.040.4509">#REF!</definedName>
    <definedName name="MTOT02.040.4540">#REF!</definedName>
    <definedName name="MTOT02.040.4580">#REF!</definedName>
    <definedName name="MTOT02.040.4610">#REF!</definedName>
    <definedName name="MTOT02.040.4730">#REF!</definedName>
    <definedName name="MTOT02.040.4820">#REF!</definedName>
    <definedName name="MTOT02.040.7618">#REF!</definedName>
    <definedName name="MTOT02.040.7639">#REF!</definedName>
    <definedName name="MTOT02.040.7720">#REF!</definedName>
    <definedName name="MTOT02.040.9746">#REF!</definedName>
    <definedName name="MTOT02.040.9833">#REF!</definedName>
    <definedName name="MTOT02.110.0106">#REF!</definedName>
    <definedName name="MTOT02.110.0110">#REF!</definedName>
    <definedName name="MTOT02.110.0140">#REF!</definedName>
    <definedName name="MTOT02.110.0146">#REF!</definedName>
    <definedName name="MTOT02.110.0150">#REF!</definedName>
    <definedName name="MTOT02.110.0614">#REF!</definedName>
    <definedName name="MTOT02.110.0630">#REF!</definedName>
    <definedName name="MTOT02.110.0734">#REF!</definedName>
    <definedName name="MTOT02.110.0740">#REF!</definedName>
    <definedName name="MTOT02.110.0742">#REF!</definedName>
    <definedName name="MTOT02.110.0746">#REF!</definedName>
    <definedName name="MTOT02.110.0750">#REF!</definedName>
    <definedName name="MTOT02.110.1146">#REF!</definedName>
    <definedName name="MTOT02.110.1414">#REF!</definedName>
    <definedName name="MTOT02.110.1420">#REF!</definedName>
    <definedName name="MTOT02.110.1660">#REF!</definedName>
    <definedName name="MTOT02.110.1662">#REF!</definedName>
    <definedName name="MTOT02.110.1666">#REF!</definedName>
    <definedName name="MTOT02.110.1872">#REF!</definedName>
    <definedName name="MTOT02.110.1880">#REF!</definedName>
    <definedName name="MTOT02.110.1974">#REF!</definedName>
    <definedName name="MTOT02.110.2008">#REF!</definedName>
    <definedName name="MTOT02.110.2066">#REF!</definedName>
    <definedName name="MTOT02.110.2294">#REF!</definedName>
    <definedName name="MTOT02.110.2304">#REF!</definedName>
    <definedName name="MTOT02.110.2310">#REF!</definedName>
    <definedName name="MTOT02.110.2784">#REF!</definedName>
    <definedName name="MTOT02.110.2796">#REF!</definedName>
    <definedName name="MTOT02.110.2798">#REF!</definedName>
    <definedName name="MTOT02.110.2800">#REF!</definedName>
    <definedName name="MTOT02.110.3910">#REF!</definedName>
    <definedName name="MTOT02.110.3912">#REF!</definedName>
    <definedName name="MTOT02.110.3928">#REF!</definedName>
    <definedName name="MTOT02.110.3930">#REF!</definedName>
    <definedName name="MTOT02.110.3940">#REF!</definedName>
    <definedName name="MTOT02.110.4288">#REF!</definedName>
    <definedName name="MTOT02.110.4304">#REF!</definedName>
    <definedName name="MTOT02.110.4312">#REF!</definedName>
    <definedName name="MTOT02.110.4314">#REF!</definedName>
    <definedName name="MTOT02.110.4488">#REF!</definedName>
    <definedName name="MTOT02.110.4536">#REF!</definedName>
    <definedName name="MTOT02.120.0060">#REF!</definedName>
    <definedName name="MTOT02.120.0070">#REF!</definedName>
    <definedName name="MTOT02.120.0090">#REF!</definedName>
    <definedName name="MTOT02.130.0050">#REF!</definedName>
    <definedName name="MTOT02.130.0080">#REF!</definedName>
    <definedName name="MTOT02.130.1018">#REF!</definedName>
    <definedName name="MTOT02.130.1055">#REF!</definedName>
    <definedName name="MTOT02.140.1200">#REF!</definedName>
    <definedName name="MTOT02.210.0090">#REF!</definedName>
    <definedName name="MTOT02.210.0110">#REF!</definedName>
    <definedName name="MTOT02.210.0310">#REF!</definedName>
    <definedName name="MTOT02.210.0340">#REF!</definedName>
    <definedName name="MTOT02.210.0350">#REF!</definedName>
    <definedName name="MTOT02.210.0370">#REF!</definedName>
    <definedName name="MTOT02.210.0380">#REF!</definedName>
    <definedName name="MTOT02.210.0390">#REF!</definedName>
    <definedName name="MTOT02.210.1609">#REF!</definedName>
    <definedName name="MTOT02.210.1620">#REF!</definedName>
    <definedName name="MTOT02.210.1625">#REF!</definedName>
    <definedName name="MTOT02.210.1630">#REF!</definedName>
    <definedName name="MTOT02.210.1637">#REF!</definedName>
    <definedName name="MTOT02.210.2930">#REF!</definedName>
    <definedName name="MTOT03.020.0010">#REF!</definedName>
    <definedName name="MTOT03.020.0500">#REF!</definedName>
    <definedName name="MTOT03.020.0510">#REF!</definedName>
    <definedName name="MTOT03.020.0660">#REF!</definedName>
    <definedName name="MTOT03.020.0680">#REF!</definedName>
    <definedName name="MTOT05.120.0020">#REF!</definedName>
    <definedName name="MTOT11.010.0046">#REF!</definedName>
    <definedName name="MTOT11.010.0378">#REF!</definedName>
    <definedName name="MTOT28.120.0067">#REF!</definedName>
    <definedName name="MTOT28.120.0087">#REF!</definedName>
    <definedName name="MTOTCOTADO01">#REF!</definedName>
    <definedName name="MTOTCOTADO02">#REF!</definedName>
    <definedName name="MTOTCOTADO03">#REF!</definedName>
    <definedName name="Mult" localSheetId="0">#REF!</definedName>
    <definedName name="Mult">#REF!</definedName>
    <definedName name="Multa_FGTS" localSheetId="0">#REF!</definedName>
    <definedName name="Multa_FGTS">#REF!</definedName>
    <definedName name="MULTIPLICADOR" localSheetId="0">#REF!</definedName>
    <definedName name="MULTIPLICADOR">#REF!</definedName>
    <definedName name="Multiplier">#REF!</definedName>
    <definedName name="myRange" localSheetId="0">#REF!</definedName>
    <definedName name="myRange">#REF!</definedName>
    <definedName name="N4E" localSheetId="0">#REF!</definedName>
    <definedName name="N4E">#REF!</definedName>
    <definedName name="N4WC" localSheetId="0">#REF!</definedName>
    <definedName name="N4WC">#REF!</definedName>
    <definedName name="N4WN" localSheetId="0">#REF!</definedName>
    <definedName name="N4WN">#REF!</definedName>
    <definedName name="N5200100">#REF!</definedName>
    <definedName name="N5203900">#REF!</definedName>
    <definedName name="N5213300">#REF!</definedName>
    <definedName name="N5216100">#REF!</definedName>
    <definedName name="N5216200">#REF!</definedName>
    <definedName name="N5219100">#REF!</definedName>
    <definedName name="N5226200">#REF!</definedName>
    <definedName name="N5245600">#REF!</definedName>
    <definedName name="N5246100">#REF!</definedName>
    <definedName name="N5246500">#REF!</definedName>
    <definedName name="N5246600">#REF!</definedName>
    <definedName name="N5246700">#REF!</definedName>
    <definedName name="N5246900">#REF!</definedName>
    <definedName name="N5246900_OUTROS">#REF!</definedName>
    <definedName name="N5264100">#REF!</definedName>
    <definedName name="N5270200">#REF!</definedName>
    <definedName name="N5270700">#REF!</definedName>
    <definedName name="N5280100">#REF!</definedName>
    <definedName name="N5281900">#REF!</definedName>
    <definedName name="N5E" localSheetId="0">#REF!</definedName>
    <definedName name="N5E">#REF!</definedName>
    <definedName name="N5W" localSheetId="0">#REF!</definedName>
    <definedName name="N5W">#REF!</definedName>
    <definedName name="n5wa" localSheetId="0">#REF!</definedName>
    <definedName name="n5wa">#REF!</definedName>
    <definedName name="name" localSheetId="0">#REF!</definedName>
    <definedName name="name">#REF!</definedName>
    <definedName name="Não" localSheetId="0">#REF!</definedName>
    <definedName name="Não">#REF!</definedName>
    <definedName name="NewMatrix" localSheetId="0">#REF!</definedName>
    <definedName name="NewMatrix">#REF!</definedName>
    <definedName name="NewMatrix2004" localSheetId="0">#REF!</definedName>
    <definedName name="NewMatrix2004">#REF!</definedName>
    <definedName name="ninefive" localSheetId="0">#REF!</definedName>
    <definedName name="ninefive">#REF!</definedName>
    <definedName name="ninefour" localSheetId="0">#REF!</definedName>
    <definedName name="ninefour">#REF!</definedName>
    <definedName name="ninenine" localSheetId="0">#REF!</definedName>
    <definedName name="ninenine">#REF!</definedName>
    <definedName name="nineseven" localSheetId="0">#REF!</definedName>
    <definedName name="nineseven">#REF!</definedName>
    <definedName name="ninesix" localSheetId="0">#REF!</definedName>
    <definedName name="ninesix">#REF!</definedName>
    <definedName name="ninethree" localSheetId="0">#REF!</definedName>
    <definedName name="ninethree">#REF!</definedName>
    <definedName name="ññ" localSheetId="0" hidden="1">{#N/A,#N/A,FALSE,"Total_OC015";#N/A,#N/A,FALSE,"ADMIN";#N/A,#N/A,FALSE,"PROCES";#N/A,#N/A,FALSE,"mecan";#N/A,#N/A,FALSE,"civil";#N/A,#N/A,FALSE,"CAÑER";#N/A,#N/A,FALSE,"ELEC";#N/A,#N/A,FALSE,"INSTR"}</definedName>
    <definedName name="ññ" localSheetId="2"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nnnnn" localSheetId="0" hidden="1">{#N/A,#N/A,FALSE,"Total_OC015";#N/A,#N/A,FALSE,"ADMIN";#N/A,#N/A,FALSE,"PROCES";#N/A,#N/A,FALSE,"mecan";#N/A,#N/A,FALSE,"civil";#N/A,#N/A,FALSE,"CAÑER";#N/A,#N/A,FALSE,"ELEC";#N/A,#N/A,FALSE,"INSTR"}</definedName>
    <definedName name="nnnnn" localSheetId="2" hidden="1">{#N/A,#N/A,FALSE,"Total_OC015";#N/A,#N/A,FALSE,"ADMIN";#N/A,#N/A,FALSE,"PROCES";#N/A,#N/A,FALSE,"mecan";#N/A,#N/A,FALSE,"civil";#N/A,#N/A,FALSE,"CAÑER";#N/A,#N/A,FALSE,"ELEC";#N/A,#N/A,FALSE,"INSTR"}</definedName>
    <definedName name="nnnnn" hidden="1">{#N/A,#N/A,FALSE,"Total_OC015";#N/A,#N/A,FALSE,"ADMIN";#N/A,#N/A,FALSE,"PROCES";#N/A,#N/A,FALSE,"mecan";#N/A,#N/A,FALSE,"civil";#N/A,#N/A,FALSE,"CAÑER";#N/A,#N/A,FALSE,"ELEC";#N/A,#N/A,FALSE,"INSTR"}</definedName>
    <definedName name="NO" localSheetId="0">#REF!</definedName>
    <definedName name="NO">#REF!</definedName>
    <definedName name="NºChicanas" localSheetId="0">#REF!</definedName>
    <definedName name="NºChicanas">#REF!</definedName>
    <definedName name="Nombre" localSheetId="0">#REF!</definedName>
    <definedName name="Nombre">#REF!</definedName>
    <definedName name="nome" localSheetId="0">#REF!</definedName>
    <definedName name="nome">#REF!</definedName>
    <definedName name="nome_obra" localSheetId="0">#REF!</definedName>
    <definedName name="nome_obra">#REF!</definedName>
    <definedName name="NOME2"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nDeliverables" localSheetId="0">#REF!</definedName>
    <definedName name="NonDeliverables">#REF!</definedName>
    <definedName name="nose"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0" hidden="1">{#N/A,#N/A,FALSE,"Matrix";#N/A,#N/A,FALSE,"Executive";#N/A,#N/A,FALSE,"Summary";#N/A,#N/A,FALSE,"Office1";#N/A,#N/A,FALSE,"Office2";#N/A,#N/A,FALSE,"Office3";#N/A,#N/A,FALSE,"Office4";#N/A,#N/A,FALSE,"Office5";#N/A,#N/A,FALSE,"Office6";#N/A,#N/A,FALSE,"Office7";#N/A,#N/A,FALSE,"Labor"}</definedName>
    <definedName name="nose1" localSheetId="2"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2" localSheetId="2"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0" hidden="1">{#N/A,#N/A,FALSE,"Matrix";#N/A,#N/A,FALSE,"Executive";#N/A,#N/A,FALSE,"Summary"}</definedName>
    <definedName name="nose3" localSheetId="2" hidden="1">{#N/A,#N/A,FALSE,"Matrix";#N/A,#N/A,FALSE,"Executive";#N/A,#N/A,FALSE,"Summary"}</definedName>
    <definedName name="nose3" hidden="1">{#N/A,#N/A,FALSE,"Matrix";#N/A,#N/A,FALSE,"Executive";#N/A,#N/A,FALSE,"Summary"}</definedName>
    <definedName name="NOV" localSheetId="0">#REF!</definedName>
    <definedName name="NOV">#REF!</definedName>
    <definedName name="nova" localSheetId="0" hidden="1">{#N/A,#N/A,FALSE,"ET-CAPA";#N/A,#N/A,FALSE,"ET-PAG1";#N/A,#N/A,FALSE,"ET-PAG2";#N/A,#N/A,FALSE,"ET-PAG3";#N/A,#N/A,FALSE,"ET-PAG4";#N/A,#N/A,FALSE,"ET-PAG5"}</definedName>
    <definedName name="nova" localSheetId="2" hidden="1">{#N/A,#N/A,FALSE,"ET-CAPA";#N/A,#N/A,FALSE,"ET-PAG1";#N/A,#N/A,FALSE,"ET-PAG2";#N/A,#N/A,FALSE,"ET-PAG3";#N/A,#N/A,FALSE,"ET-PAG4";#N/A,#N/A,FALSE,"ET-PAG5"}</definedName>
    <definedName name="nova" hidden="1">{#N/A,#N/A,FALSE,"ET-CAPA";#N/A,#N/A,FALSE,"ET-PAG1";#N/A,#N/A,FALSE,"ET-PAG2";#N/A,#N/A,FALSE,"ET-PAG3";#N/A,#N/A,FALSE,"ET-PAG4";#N/A,#N/A,FALSE,"ET-PAG5"}</definedName>
    <definedName name="Nove" localSheetId="0">#REF!</definedName>
    <definedName name="Nove">#REF!</definedName>
    <definedName name="NOVO" localSheetId="0" hidden="1">{#N/A,#N/A,FALSE,"GERAL";#N/A,#N/A,FALSE,"012-96";#N/A,#N/A,FALSE,"018-96";#N/A,#N/A,FALSE,"027-96";#N/A,#N/A,FALSE,"059-96";#N/A,#N/A,FALSE,"076-96";#N/A,#N/A,FALSE,"019-97";#N/A,#N/A,FALSE,"021-97";#N/A,#N/A,FALSE,"022-97";#N/A,#N/A,FALSE,"028-97"}</definedName>
    <definedName name="NOVO" localSheetId="2" hidden="1">{#N/A,#N/A,FALSE,"GERAL";#N/A,#N/A,FALSE,"012-96";#N/A,#N/A,FALSE,"018-96";#N/A,#N/A,FALSE,"027-96";#N/A,#N/A,FALSE,"059-96";#N/A,#N/A,FALSE,"076-96";#N/A,#N/A,FALSE,"019-97";#N/A,#N/A,FALSE,"021-97";#N/A,#N/A,FALSE,"022-97";#N/A,#N/A,FALSE,"028-97"}</definedName>
    <definedName name="NOVO" hidden="1">{#N/A,#N/A,FALSE,"GERAL";#N/A,#N/A,FALSE,"012-96";#N/A,#N/A,FALSE,"018-96";#N/A,#N/A,FALSE,"027-96";#N/A,#N/A,FALSE,"059-96";#N/A,#N/A,FALSE,"076-96";#N/A,#N/A,FALSE,"019-97";#N/A,#N/A,FALSE,"021-97";#N/A,#N/A,FALSE,"022-97";#N/A,#N/A,FALSE,"028-97"}</definedName>
    <definedName name="nro_medicao" localSheetId="0">#REF!</definedName>
    <definedName name="nro_medicao">#REF!</definedName>
    <definedName name="NUM" localSheetId="0">#REF!</definedName>
    <definedName name="NUM">#REF!</definedName>
    <definedName name="num_des_doc" localSheetId="0">#REF!</definedName>
    <definedName name="num_des_doc">#REF!</definedName>
    <definedName name="num_linhas" localSheetId="0">#REF!</definedName>
    <definedName name="num_linhas">#REF!</definedName>
    <definedName name="NúmeroFuncionários" localSheetId="0">#REF!</definedName>
    <definedName name="NúmeroFuncionários">#REF!</definedName>
    <definedName name="nvd" localSheetId="0">#REF!</definedName>
    <definedName name="nvd" localSheetId="2">#REF!</definedName>
    <definedName name="nvd">#REF!</definedName>
    <definedName name="nwr" localSheetId="0" hidden="1">{#N/A,#N/A,FALSE,"GERAL";#N/A,#N/A,FALSE,"012-96";#N/A,#N/A,FALSE,"018-96";#N/A,#N/A,FALSE,"027-96";#N/A,#N/A,FALSE,"059-96";#N/A,#N/A,FALSE,"076-96";#N/A,#N/A,FALSE,"019-97";#N/A,#N/A,FALSE,"021-97";#N/A,#N/A,FALSE,"022-97";#N/A,#N/A,FALSE,"028-97"}</definedName>
    <definedName name="nwr" localSheetId="2"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 localSheetId="0">#REF!</definedName>
    <definedName name="o">#REF!</definedName>
    <definedName name="objeto" localSheetId="0">#REF!</definedName>
    <definedName name="objeto">#REF!</definedName>
    <definedName name="OBRA" localSheetId="0">#REF!</definedName>
    <definedName name="OBRA">#REF!</definedName>
    <definedName name="OCem">"cem"</definedName>
    <definedName name="OD" localSheetId="0">#REF!</definedName>
    <definedName name="OD">#REF!</definedName>
    <definedName name="oe_br_oia_tac" localSheetId="0">#REF!</definedName>
    <definedName name="oe_br_oia_tac">#REF!</definedName>
    <definedName name="oe_br_sp_tac" localSheetId="0">#REF!</definedName>
    <definedName name="oe_br_sp_tac">#REF!</definedName>
    <definedName name="oe_ca_oia_tac" localSheetId="0">#REF!</definedName>
    <definedName name="oe_ca_oia_tac">#REF!</definedName>
    <definedName name="oe_ca_sp_tac" localSheetId="0">#REF!</definedName>
    <definedName name="oe_ca_sp_tac">#REF!</definedName>
    <definedName name="oe_ctt" localSheetId="0">#REF!</definedName>
    <definedName name="oe_ctt">#REF!</definedName>
    <definedName name="OFFICE_DATA" localSheetId="0">#REF!</definedName>
    <definedName name="OFFICE_DATA">#REF!</definedName>
    <definedName name="Office1TotalBurdenCost" localSheetId="0">#REF!</definedName>
    <definedName name="Office1TotalBurdenCost">#REF!</definedName>
    <definedName name="Office1TotalHours" localSheetId="0">#REF!</definedName>
    <definedName name="Office1TotalHours">#REF!</definedName>
    <definedName name="Office1TotalMonths" localSheetId="0">#REF!</definedName>
    <definedName name="Office1TotalMonths">#REF!</definedName>
    <definedName name="Office1TotalPRCost" localSheetId="0">#REF!</definedName>
    <definedName name="Office1TotalPRCost">#REF!</definedName>
    <definedName name="Office1TotalRevenue" localSheetId="0">#REF!</definedName>
    <definedName name="Office1TotalRevenue">#REF!</definedName>
    <definedName name="Office2TotalBurdenCost" localSheetId="0">#REF!</definedName>
    <definedName name="Office2TotalBurdenCost">#REF!</definedName>
    <definedName name="Office2TotalHours" localSheetId="0">#REF!</definedName>
    <definedName name="Office2TotalHours">#REF!</definedName>
    <definedName name="Office2TotalMonths" localSheetId="0">#REF!</definedName>
    <definedName name="Office2TotalMonths">#REF!</definedName>
    <definedName name="Office2TotalPRCost" localSheetId="0">#REF!</definedName>
    <definedName name="Office2TotalPRCost">#REF!</definedName>
    <definedName name="Office2TotalRevenue" localSheetId="0">#REF!</definedName>
    <definedName name="Office2TotalRevenue">#REF!</definedName>
    <definedName name="Office3TotalBurdenCost" localSheetId="0">#REF!</definedName>
    <definedName name="Office3TotalBurdenCost">#REF!</definedName>
    <definedName name="Office3TotalHours" localSheetId="0">#REF!</definedName>
    <definedName name="Office3TotalHours">#REF!</definedName>
    <definedName name="Office3TotalMonths" localSheetId="0">#REF!</definedName>
    <definedName name="Office3TotalMonths">#REF!</definedName>
    <definedName name="Office3TotalPRCost" localSheetId="0">#REF!</definedName>
    <definedName name="Office3TotalPRCost">#REF!</definedName>
    <definedName name="Office3TotalRevenue" localSheetId="0">#REF!</definedName>
    <definedName name="Office3TotalRevenue">#REF!</definedName>
    <definedName name="Office4TotalBurdenCost" localSheetId="0">#REF!</definedName>
    <definedName name="Office4TotalBurdenCost">#REF!</definedName>
    <definedName name="Office4TotalHours" localSheetId="0">#REF!</definedName>
    <definedName name="Office4TotalHours">#REF!</definedName>
    <definedName name="Office4TotalMonths" localSheetId="0">#REF!</definedName>
    <definedName name="Office4TotalMonths">#REF!</definedName>
    <definedName name="Office4TotalPRCost" localSheetId="0">#REF!</definedName>
    <definedName name="Office4TotalPRCost">#REF!</definedName>
    <definedName name="Office4TotalRevenue" localSheetId="0">#REF!</definedName>
    <definedName name="Office4TotalRevenue">#REF!</definedName>
    <definedName name="Office5TotalBurdenCost" localSheetId="0">#REF!</definedName>
    <definedName name="Office5TotalBurdenCost">#REF!</definedName>
    <definedName name="Office5TotalHours" localSheetId="0">#REF!</definedName>
    <definedName name="Office5TotalHours">#REF!</definedName>
    <definedName name="Office5TotalMonths" localSheetId="0">#REF!</definedName>
    <definedName name="Office5TotalMonths">#REF!</definedName>
    <definedName name="Office5TotalPRCost" localSheetId="0">#REF!</definedName>
    <definedName name="Office5TotalPRCost">#REF!</definedName>
    <definedName name="Office5TotalRevenue" localSheetId="0">#REF!</definedName>
    <definedName name="Office5TotalRevenue">#REF!</definedName>
    <definedName name="Office6TotalBurdenCost" localSheetId="0">#REF!</definedName>
    <definedName name="Office6TotalBurdenCost">#REF!</definedName>
    <definedName name="Office6TotalHours" localSheetId="0">#REF!</definedName>
    <definedName name="Office6TotalHours">#REF!</definedName>
    <definedName name="Office6TotalMonths" localSheetId="0">#REF!</definedName>
    <definedName name="Office6TotalMonths">#REF!</definedName>
    <definedName name="Office6TotalPRCost" localSheetId="0">#REF!</definedName>
    <definedName name="Office6TotalPRCost">#REF!</definedName>
    <definedName name="Office6TotalRevenue" localSheetId="0">#REF!</definedName>
    <definedName name="Office6TotalRevenue">#REF!</definedName>
    <definedName name="Office7StaffAverage" localSheetId="0">#REF!</definedName>
    <definedName name="Office7StaffAverage">#REF!</definedName>
    <definedName name="Office7StaffPeak" localSheetId="0">#REF!</definedName>
    <definedName name="Office7StaffPeak">#REF!</definedName>
    <definedName name="Office7TotalBurdenCost" localSheetId="0">#REF!</definedName>
    <definedName name="Office7TotalBurdenCost">#REF!</definedName>
    <definedName name="Office7TotalHours" localSheetId="0">#REF!</definedName>
    <definedName name="Office7TotalHours">#REF!</definedName>
    <definedName name="Office7TotalMonths" localSheetId="0">#REF!</definedName>
    <definedName name="Office7TotalMonths">#REF!</definedName>
    <definedName name="Office7TotalPRCost" localSheetId="0">#REF!</definedName>
    <definedName name="Office7TotalPRCost">#REF!</definedName>
    <definedName name="Office7TotalRevenue" localSheetId="0">#REF!</definedName>
    <definedName name="Office7TotalRevenue">#REF!</definedName>
    <definedName name="OffSite" localSheetId="0">#REF!</definedName>
    <definedName name="OffSite">#REF!</definedName>
    <definedName name="oh" localSheetId="0">#REF!</definedName>
    <definedName name="oh">#REF!</definedName>
    <definedName name="ok" localSheetId="0" hidden="1">#REF!</definedName>
    <definedName name="ok" hidden="1">#REF!</definedName>
    <definedName name="OLA" localSheetId="0">#REF!</definedName>
    <definedName name="OLA">#REF!</definedName>
    <definedName name="OneA" localSheetId="0">#REF!</definedName>
    <definedName name="OneA">#REF!</definedName>
    <definedName name="OneB" localSheetId="0">#REF!</definedName>
    <definedName name="OneB">#REF!</definedName>
    <definedName name="OneC" localSheetId="0">#REF!</definedName>
    <definedName name="OneC">#REF!</definedName>
    <definedName name="OneD" localSheetId="0">#REF!</definedName>
    <definedName name="OneD">#REF!</definedName>
    <definedName name="OneE" localSheetId="0">#REF!</definedName>
    <definedName name="OneE">#REF!</definedName>
    <definedName name="OneF" localSheetId="0">#REF!</definedName>
    <definedName name="OneF">#REF!</definedName>
    <definedName name="onefive" localSheetId="0">#REF!</definedName>
    <definedName name="onefive">#REF!</definedName>
    <definedName name="onefour" localSheetId="0">#REF!</definedName>
    <definedName name="onefour">#REF!</definedName>
    <definedName name="OneG" localSheetId="0">#REF!</definedName>
    <definedName name="OneG">#REF!</definedName>
    <definedName name="OneH" localSheetId="0">#REF!</definedName>
    <definedName name="OneH">#REF!</definedName>
    <definedName name="OneI" localSheetId="0">#REF!</definedName>
    <definedName name="OneI">#REF!</definedName>
    <definedName name="OneJ" localSheetId="0">#REF!</definedName>
    <definedName name="OneJ">#REF!</definedName>
    <definedName name="OneK" localSheetId="0">#REF!</definedName>
    <definedName name="OneK">#REF!</definedName>
    <definedName name="OneL" localSheetId="0">#REF!</definedName>
    <definedName name="OneL">#REF!</definedName>
    <definedName name="OneM" localSheetId="0">#REF!</definedName>
    <definedName name="OneM">#REF!</definedName>
    <definedName name="oneone" localSheetId="0">#REF!</definedName>
    <definedName name="oneone">#REF!</definedName>
    <definedName name="onethree" localSheetId="0">#REF!</definedName>
    <definedName name="onethree">#REF!</definedName>
    <definedName name="onetwo" localSheetId="0">#REF!</definedName>
    <definedName name="onetwo">#REF!</definedName>
    <definedName name="onezero" localSheetId="0">#REF!</definedName>
    <definedName name="onezero">#REF!</definedName>
    <definedName name="Ônibus" localSheetId="0">#REF!</definedName>
    <definedName name="Ônibus">#REF!</definedName>
    <definedName name="OnSite" localSheetId="0">#REF!</definedName>
    <definedName name="OnSite">#REF!</definedName>
    <definedName name="oo" localSheetId="0" hidden="1">{#N/A,#N/A,FALSE,"Total_OC015";#N/A,#N/A,FALSE,"ADMIN";#N/A,#N/A,FALSE,"PROCES";#N/A,#N/A,FALSE,"mecan";#N/A,#N/A,FALSE,"civil";#N/A,#N/A,FALSE,"CAÑER";#N/A,#N/A,FALSE,"ELEC";#N/A,#N/A,FALSE,"INSTR"}</definedName>
    <definedName name="oo" localSheetId="2" hidden="1">{#N/A,#N/A,FALSE,"Total_OC015";#N/A,#N/A,FALSE,"ADMIN";#N/A,#N/A,FALSE,"PROCES";#N/A,#N/A,FALSE,"mecan";#N/A,#N/A,FALSE,"civil";#N/A,#N/A,FALSE,"CAÑER";#N/A,#N/A,FALSE,"ELEC";#N/A,#N/A,FALSE,"INSTR"}</definedName>
    <definedName name="oo" hidden="1">{#N/A,#N/A,FALSE,"Total_OC015";#N/A,#N/A,FALSE,"ADMIN";#N/A,#N/A,FALSE,"PROCES";#N/A,#N/A,FALSE,"mecan";#N/A,#N/A,FALSE,"civil";#N/A,#N/A,FALSE,"CAÑER";#N/A,#N/A,FALSE,"ELEC";#N/A,#N/A,FALSE,"INSTR"}</definedName>
    <definedName name="Opcao" localSheetId="0">#REF!</definedName>
    <definedName name="Opcao">#REF!</definedName>
    <definedName name="OPERAÇÃO_ASSISTIDA" localSheetId="0">#REF!</definedName>
    <definedName name="OPERAÇÃO_ASSISTIDA">#REF!</definedName>
    <definedName name="opopopo" localSheetId="0" hidden="1">{#N/A,#N/A,FALSE,"Total_OC015";#N/A,#N/A,FALSE,"ADMIN";#N/A,#N/A,FALSE,"PROCES";#N/A,#N/A,FALSE,"mecan";#N/A,#N/A,FALSE,"civil";#N/A,#N/A,FALSE,"CAÑER";#N/A,#N/A,FALSE,"ELEC";#N/A,#N/A,FALSE,"INSTR"}</definedName>
    <definedName name="opopopo" localSheetId="2" hidden="1">{#N/A,#N/A,FALSE,"Total_OC015";#N/A,#N/A,FALSE,"ADMIN";#N/A,#N/A,FALSE,"PROCES";#N/A,#N/A,FALSE,"mecan";#N/A,#N/A,FALSE,"civil";#N/A,#N/A,FALSE,"CAÑER";#N/A,#N/A,FALSE,"ELEC";#N/A,#N/A,FALSE,"INSTR"}</definedName>
    <definedName name="opopopo" hidden="1">{#N/A,#N/A,FALSE,"Total_OC015";#N/A,#N/A,FALSE,"ADMIN";#N/A,#N/A,FALSE,"PROCES";#N/A,#N/A,FALSE,"mecan";#N/A,#N/A,FALSE,"civil";#N/A,#N/A,FALSE,"CAÑER";#N/A,#N/A,FALSE,"ELEC";#N/A,#N/A,FALSE,"INSTR"}</definedName>
    <definedName name="Option_Rate" localSheetId="0">#REF!</definedName>
    <definedName name="Option_Rate">#REF!</definedName>
    <definedName name="ORDE" localSheetId="0">#REF!</definedName>
    <definedName name="ORDE">#REF!</definedName>
    <definedName name="orig" localSheetId="0">#REF!</definedName>
    <definedName name="orig">#REF!</definedName>
    <definedName name="origem" localSheetId="0">#REF!</definedName>
    <definedName name="origem">#REF!</definedName>
    <definedName name="OTPREM" localSheetId="0">#REF!</definedName>
    <definedName name="OTPREM">#REF!</definedName>
    <definedName name="OV" localSheetId="0">#REF!</definedName>
    <definedName name="OV">#REF!</definedName>
    <definedName name="p" localSheetId="0">#REF!</definedName>
    <definedName name="p">#REF!</definedName>
    <definedName name="P.Aparente" localSheetId="2">#REF!</definedName>
    <definedName name="P.Aparente">#REF!</definedName>
    <definedName name="P.Reatia">#REF!</definedName>
    <definedName name="P_base" localSheetId="0">#REF!</definedName>
    <definedName name="P_base">#REF!</definedName>
    <definedName name="P_SUCATA">#REF!</definedName>
    <definedName name="P10v" localSheetId="0">#REF!</definedName>
    <definedName name="P10v">#REF!</definedName>
    <definedName name="P50v" localSheetId="0">#REF!</definedName>
    <definedName name="P50v">#REF!</definedName>
    <definedName name="P70v" localSheetId="0">#REF!</definedName>
    <definedName name="P70v">#REF!</definedName>
    <definedName name="P90v" localSheetId="0">#REF!</definedName>
    <definedName name="P90v">#REF!</definedName>
    <definedName name="package" localSheetId="0">#REF!</definedName>
    <definedName name="package">#REF!</definedName>
    <definedName name="PackagePhase" localSheetId="0">#REF!</definedName>
    <definedName name="PackagePhase">#REF!</definedName>
    <definedName name="PackageType" localSheetId="0">#REF!</definedName>
    <definedName name="PackageType">#REF!</definedName>
    <definedName name="PageSize" localSheetId="0">#REF!</definedName>
    <definedName name="PageSize">#REF!</definedName>
    <definedName name="paint" localSheetId="0">#REF!</definedName>
    <definedName name="paint">#REF!</definedName>
    <definedName name="Pal_Workbook_GUID" hidden="1">"WYDF5RV5V4J8528SUDLBPZU7"</definedName>
    <definedName name="PANDROL" localSheetId="0">#REF!</definedName>
    <definedName name="PANDROL">#REF!</definedName>
    <definedName name="PANREGL" localSheetId="0">#REF!</definedName>
    <definedName name="PANREGL">#REF!</definedName>
    <definedName name="PARALELO" localSheetId="0">#REF!</definedName>
    <definedName name="PARALELO">#REF!</definedName>
    <definedName name="PARAMETERS" localSheetId="0">#REF!</definedName>
    <definedName name="PARAMETERS">#REF!</definedName>
    <definedName name="PARC" localSheetId="0">#REF!</definedName>
    <definedName name="PARC">#REF!</definedName>
    <definedName name="Parceiro" localSheetId="0">#REF!</definedName>
    <definedName name="Parceiro">#REF!</definedName>
    <definedName name="PARCEIRO_EMP_LIST" localSheetId="0">#REF!</definedName>
    <definedName name="PARCEIRO_EMP_LIST">#REF!</definedName>
    <definedName name="Parceiro_list" localSheetId="0">#REF!</definedName>
    <definedName name="Parceiro_list">#REF!</definedName>
    <definedName name="Parceiro_Position_Rate" localSheetId="0">#REF!</definedName>
    <definedName name="Parceiro_Position_Rate">#REF!</definedName>
    <definedName name="PAREGL" localSheetId="0">#REF!</definedName>
    <definedName name="PAREGL">#REF!</definedName>
    <definedName name="PARR" localSheetId="0">#REF!</definedName>
    <definedName name="PARR">#REF!</definedName>
    <definedName name="pativar" localSheetId="0">#REF!</definedName>
    <definedName name="pativar">#REF!</definedName>
    <definedName name="Pavimentação" localSheetId="0" hidden="1">{#N/A,#N/A,FALSE,"GERAL";#N/A,#N/A,FALSE,"012-96";#N/A,#N/A,FALSE,"018-96";#N/A,#N/A,FALSE,"027-96";#N/A,#N/A,FALSE,"059-96";#N/A,#N/A,FALSE,"076-96";#N/A,#N/A,FALSE,"019-97";#N/A,#N/A,FALSE,"021-97";#N/A,#N/A,FALSE,"022-97";#N/A,#N/A,FALSE,"028-97"}</definedName>
    <definedName name="Pavimentação" localSheetId="2" hidden="1">{#N/A,#N/A,FALSE,"GERAL";#N/A,#N/A,FALSE,"012-96";#N/A,#N/A,FALSE,"018-96";#N/A,#N/A,FALSE,"027-96";#N/A,#N/A,FALSE,"059-96";#N/A,#N/A,FALSE,"076-96";#N/A,#N/A,FALSE,"019-97";#N/A,#N/A,FALSE,"021-97";#N/A,#N/A,FALSE,"022-97";#N/A,#N/A,FALSE,"028-97"}</definedName>
    <definedName name="Pavimentação" hidden="1">{#N/A,#N/A,FALSE,"GERAL";#N/A,#N/A,FALSE,"012-96";#N/A,#N/A,FALSE,"018-96";#N/A,#N/A,FALSE,"027-96";#N/A,#N/A,FALSE,"059-96";#N/A,#N/A,FALSE,"076-96";#N/A,#N/A,FALSE,"019-97";#N/A,#N/A,FALSE,"021-97";#N/A,#N/A,FALSE,"022-97";#N/A,#N/A,FALSE,"028-97"}</definedName>
    <definedName name="Payback" localSheetId="0">#REF!</definedName>
    <definedName name="Payback">#REF!</definedName>
    <definedName name="PÇ" localSheetId="0">#REF!</definedName>
    <definedName name="PÇ">#REF!</definedName>
    <definedName name="pct" localSheetId="0">#REF!</definedName>
    <definedName name="pct">#REF!</definedName>
    <definedName name="PE" localSheetId="0">#REF!</definedName>
    <definedName name="PE">#REF!</definedName>
    <definedName name="PED" localSheetId="0">#REF!</definedName>
    <definedName name="PED">#REF!</definedName>
    <definedName name="PEDIDO" localSheetId="0">#REF!</definedName>
    <definedName name="PEDIDO">#REF!</definedName>
    <definedName name="PEN" localSheetId="0">#REF!</definedName>
    <definedName name="PEN">#REF!</definedName>
    <definedName name="pendencias2" localSheetId="0" hidden="1">{#N/A,#N/A,FALSE,"GERAL";#N/A,#N/A,FALSE,"012-96";#N/A,#N/A,FALSE,"018-96";#N/A,#N/A,FALSE,"027-96";#N/A,#N/A,FALSE,"059-96";#N/A,#N/A,FALSE,"076-96";#N/A,#N/A,FALSE,"019-97";#N/A,#N/A,FALSE,"021-97";#N/A,#N/A,FALSE,"022-97";#N/A,#N/A,FALSE,"028-97"}</definedName>
    <definedName name="pendencias2" localSheetId="2"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ências2" localSheetId="0" hidden="1">{#N/A,#N/A,FALSE,"GERAL";#N/A,#N/A,FALSE,"012-96";#N/A,#N/A,FALSE,"018-96";#N/A,#N/A,FALSE,"027-96";#N/A,#N/A,FALSE,"059-96";#N/A,#N/A,FALSE,"076-96";#N/A,#N/A,FALSE,"019-97";#N/A,#N/A,FALSE,"021-97";#N/A,#N/A,FALSE,"022-97";#N/A,#N/A,FALSE,"028-97"}</definedName>
    <definedName name="Pendências2" localSheetId="2"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encias3" localSheetId="0" hidden="1">{#N/A,#N/A,FALSE,"GERAL";#N/A,#N/A,FALSE,"012-96";#N/A,#N/A,FALSE,"018-96";#N/A,#N/A,FALSE,"027-96";#N/A,#N/A,FALSE,"059-96";#N/A,#N/A,FALSE,"076-96";#N/A,#N/A,FALSE,"019-97";#N/A,#N/A,FALSE,"021-97";#N/A,#N/A,FALSE,"022-97";#N/A,#N/A,FALSE,"028-97"}</definedName>
    <definedName name="pendencias3" localSheetId="2"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ndências3" localSheetId="0" hidden="1">{#N/A,#N/A,FALSE,"GERAL";#N/A,#N/A,FALSE,"012-96";#N/A,#N/A,FALSE,"018-96";#N/A,#N/A,FALSE,"027-96";#N/A,#N/A,FALSE,"059-96";#N/A,#N/A,FALSE,"076-96";#N/A,#N/A,FALSE,"019-97";#N/A,#N/A,FALSE,"021-97";#N/A,#N/A,FALSE,"022-97";#N/A,#N/A,FALSE,"028-97"}</definedName>
    <definedName name="Pendências3" localSheetId="2"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nsebete" localSheetId="0">#REF!</definedName>
    <definedName name="pensebete">#REF!</definedName>
    <definedName name="per" localSheetId="0">#REF!</definedName>
    <definedName name="per">#REF!</definedName>
    <definedName name="Perc_H" localSheetId="0">#REF!</definedName>
    <definedName name="Perc_H">#REF!</definedName>
    <definedName name="Perc_M" localSheetId="0">#REF!</definedName>
    <definedName name="Perc_M">#REF!</definedName>
    <definedName name="Perc_ML" localSheetId="0">#REF!</definedName>
    <definedName name="Perc_ML">#REF!</definedName>
    <definedName name="Perc_Prob" localSheetId="0">#REF!</definedName>
    <definedName name="Perc_Prob">#REF!</definedName>
    <definedName name="PerDiem" localSheetId="0">#REF!</definedName>
    <definedName name="PerDiem">#REF!</definedName>
    <definedName name="PerDiemDays" localSheetId="0">#REF!</definedName>
    <definedName name="PerDiemDays">#REF!</definedName>
    <definedName name="periodo" localSheetId="0">#REF!</definedName>
    <definedName name="periodo">#REF!</definedName>
    <definedName name="perso"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G_agosto_2002" localSheetId="0">#REF!</definedName>
    <definedName name="PG_agosto_2002">#REF!</definedName>
    <definedName name="Phase" localSheetId="0">#REF!</definedName>
    <definedName name="Phase">#REF!</definedName>
    <definedName name="Phases" localSheetId="0">#REF!</definedName>
    <definedName name="Phases">#REF!</definedName>
    <definedName name="pipe" localSheetId="0">#REF!</definedName>
    <definedName name="pipe">#REF!</definedName>
    <definedName name="Pipe_insulation" localSheetId="0">#REF!</definedName>
    <definedName name="Pipe_insulation">#REF!</definedName>
    <definedName name="PIPING" localSheetId="0">#REF!</definedName>
    <definedName name="PIPING">#REF!</definedName>
    <definedName name="PIPING_SPECIALIZED" localSheetId="0">#REF!</definedName>
    <definedName name="PIPING_SPECIALIZED">#REF!</definedName>
    <definedName name="PKOR" localSheetId="0">#REF!</definedName>
    <definedName name="PKOR">#REF!</definedName>
    <definedName name="pl">#REF!</definedName>
    <definedName name="PLA">#REF!</definedName>
    <definedName name="Plan" localSheetId="0" hidden="1">{#N/A,#N/A,FALSE,"GERAL";#N/A,#N/A,FALSE,"012-96";#N/A,#N/A,FALSE,"018-96";#N/A,#N/A,FALSE,"027-96";#N/A,#N/A,FALSE,"059-96";#N/A,#N/A,FALSE,"076-96";#N/A,#N/A,FALSE,"019-97";#N/A,#N/A,FALSE,"021-97";#N/A,#N/A,FALSE,"022-97";#N/A,#N/A,FALSE,"028-97"}</definedName>
    <definedName name="Plan" localSheetId="2" hidden="1">{#N/A,#N/A,FALSE,"GERAL";#N/A,#N/A,FALSE,"012-96";#N/A,#N/A,FALSE,"018-96";#N/A,#N/A,FALSE,"027-96";#N/A,#N/A,FALSE,"059-96";#N/A,#N/A,FALSE,"076-96";#N/A,#N/A,FALSE,"019-97";#N/A,#N/A,FALSE,"021-97";#N/A,#N/A,FALSE,"022-97";#N/A,#N/A,FALSE,"028-97"}</definedName>
    <definedName name="Plan" hidden="1">{#N/A,#N/A,FALSE,"GERAL";#N/A,#N/A,FALSE,"012-96";#N/A,#N/A,FALSE,"018-96";#N/A,#N/A,FALSE,"027-96";#N/A,#N/A,FALSE,"059-96";#N/A,#N/A,FALSE,"076-96";#N/A,#N/A,FALSE,"019-97";#N/A,#N/A,FALSE,"021-97";#N/A,#N/A,FALSE,"022-97";#N/A,#N/A,FALSE,"028-97"}</definedName>
    <definedName name="PLANEJADA" localSheetId="0">#REF!</definedName>
    <definedName name="PLANEJADA">#REF!</definedName>
    <definedName name="PLANEJAMENTO_E_CONTROLE" localSheetId="0">#REF!</definedName>
    <definedName name="PLANEJAMENTO_E_CONTROLE">#REF!</definedName>
    <definedName name="plani" localSheetId="0" hidden="1">{#N/A,#N/A,FALSE,"GERAL";#N/A,#N/A,FALSE,"012-96";#N/A,#N/A,FALSE,"018-96";#N/A,#N/A,FALSE,"027-96";#N/A,#N/A,FALSE,"059-96";#N/A,#N/A,FALSE,"076-96";#N/A,#N/A,FALSE,"019-97";#N/A,#N/A,FALSE,"021-97";#N/A,#N/A,FALSE,"022-97";#N/A,#N/A,FALSE,"028-97"}</definedName>
    <definedName name="plani" localSheetId="2" hidden="1">{#N/A,#N/A,FALSE,"GERAL";#N/A,#N/A,FALSE,"012-96";#N/A,#N/A,FALSE,"018-96";#N/A,#N/A,FALSE,"027-96";#N/A,#N/A,FALSE,"059-96";#N/A,#N/A,FALSE,"076-96";#N/A,#N/A,FALSE,"019-97";#N/A,#N/A,FALSE,"021-97";#N/A,#N/A,FALSE,"022-97";#N/A,#N/A,FALSE,"028-97"}</definedName>
    <definedName name="plani" hidden="1">{#N/A,#N/A,FALSE,"GERAL";#N/A,#N/A,FALSE,"012-96";#N/A,#N/A,FALSE,"018-96";#N/A,#N/A,FALSE,"027-96";#N/A,#N/A,FALSE,"059-96";#N/A,#N/A,FALSE,"076-96";#N/A,#N/A,FALSE,"019-97";#N/A,#N/A,FALSE,"021-97";#N/A,#N/A,FALSE,"022-97";#N/A,#N/A,FALSE,"028-97"}</definedName>
    <definedName name="Planilha" localSheetId="0" hidden="1">#REF!</definedName>
    <definedName name="Planilha" hidden="1">#REF!</definedName>
    <definedName name="plant" localSheetId="0">#REF!</definedName>
    <definedName name="plant">#REF!</definedName>
    <definedName name="PlantArea" localSheetId="0">#REF!</definedName>
    <definedName name="PlantArea">#REF!</definedName>
    <definedName name="PlantAreaFunFirstDataCell" localSheetId="0">#REF!</definedName>
    <definedName name="PlantAreaFunFirstDataCell">#REF!</definedName>
    <definedName name="PlantAreas" localSheetId="0">#REF!</definedName>
    <definedName name="PlantAreas">#REF!</definedName>
    <definedName name="PlantFeedRate_tpa" localSheetId="0">#REF!</definedName>
    <definedName name="PlantFeedRate_tpa">#REF!</definedName>
    <definedName name="PlantFeedRate_tpd" localSheetId="0">#REF!</definedName>
    <definedName name="PlantFeedRate_tpd">#REF!</definedName>
    <definedName name="PLAT1" localSheetId="0">#REF!</definedName>
    <definedName name="PLAT1" localSheetId="2">#REF!</definedName>
    <definedName name="PLAT1">#REF!</definedName>
    <definedName name="PLC" localSheetId="0">#REF!</definedName>
    <definedName name="PLC">#REF!</definedName>
    <definedName name="PLMKUP" localSheetId="0">#REF!</definedName>
    <definedName name="PLMKUP">#REF!</definedName>
    <definedName name="PLR" localSheetId="0">#REF!</definedName>
    <definedName name="PLR">#REF!</definedName>
    <definedName name="PMREC" localSheetId="0">#REF!</definedName>
    <definedName name="PMREC" localSheetId="2">#REF!</definedName>
    <definedName name="PMREC">#REF!</definedName>
    <definedName name="PN" localSheetId="0">#REF!</definedName>
    <definedName name="PN">#REF!</definedName>
    <definedName name="PN_CLASSES" localSheetId="0">#REF!</definedName>
    <definedName name="PN_CLASSES">#REF!</definedName>
    <definedName name="PNPBASELE" localSheetId="0">#REF!</definedName>
    <definedName name="PNPBASELE">#REF!</definedName>
    <definedName name="PNPBASMEC" localSheetId="0">#REF!</definedName>
    <definedName name="PNPBASMEC">#REF!</definedName>
    <definedName name="pos" localSheetId="0" hidden="1">{#N/A,#N/A,FALSE,"GERAL";#N/A,#N/A,FALSE,"012-96";#N/A,#N/A,FALSE,"018-96";#N/A,#N/A,FALSE,"027-96";#N/A,#N/A,FALSE,"059-96";#N/A,#N/A,FALSE,"076-96";#N/A,#N/A,FALSE,"019-97";#N/A,#N/A,FALSE,"021-97";#N/A,#N/A,FALSE,"022-97";#N/A,#N/A,FALSE,"028-97"}</definedName>
    <definedName name="pos" localSheetId="2"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itions" localSheetId="0">#REF!</definedName>
    <definedName name="Positions">#REF!</definedName>
    <definedName name="POSTKEY" localSheetId="0">#REF!</definedName>
    <definedName name="POSTKEY">#REF!</definedName>
    <definedName name="Potencia" localSheetId="0">#REF!</definedName>
    <definedName name="Potencia">#REF!</definedName>
    <definedName name="PPAG">#REF!</definedName>
    <definedName name="PPCOFINS">#REF!</definedName>
    <definedName name="PPFRE">#REF!</definedName>
    <definedName name="PPICMS">#REF!</definedName>
    <definedName name="PPIPI">#REF!</definedName>
    <definedName name="ppp"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IS" localSheetId="0">#REF!</definedName>
    <definedName name="PPPIS">#REF!</definedName>
    <definedName name="pppp" localSheetId="0" hidden="1">#REF!</definedName>
    <definedName name="pppp" hidden="1">#REF!</definedName>
    <definedName name="PPREP" localSheetId="0">#REF!</definedName>
    <definedName name="PPREP">#REF!</definedName>
    <definedName name="PPSAL">#REF!</definedName>
    <definedName name="PPU" localSheetId="0">#REF!</definedName>
    <definedName name="PPU">#REF!</definedName>
    <definedName name="pqp">#N/A</definedName>
    <definedName name="PQUALIDADE" localSheetId="0">#REF!</definedName>
    <definedName name="PQUALIDADE">#REF!</definedName>
    <definedName name="PREC" localSheetId="0">#REF!</definedName>
    <definedName name="PREC">#REF!</definedName>
    <definedName name="preco" localSheetId="0">#REF!</definedName>
    <definedName name="preco">#REF!</definedName>
    <definedName name="PREÇO">#REF!</definedName>
    <definedName name="Prédios">#REF!</definedName>
    <definedName name="PREV_EXT" localSheetId="0">#REF!</definedName>
    <definedName name="PREV_EXT" localSheetId="2">QQP!PREV_EXT</definedName>
    <definedName name="PREV_EXT">#REF!</definedName>
    <definedName name="PREV_INT" localSheetId="0">#REF!</definedName>
    <definedName name="PREV_INT" localSheetId="2">QQP!PREV_INT</definedName>
    <definedName name="PREV_INT">#REF!</definedName>
    <definedName name="PREV_MERC" localSheetId="0">#REF!</definedName>
    <definedName name="PREV_MERC" localSheetId="2">QQP!PREV_MERC</definedName>
    <definedName name="PREV_MERC">#REF!</definedName>
    <definedName name="PreviousData" localSheetId="0">#REF!</definedName>
    <definedName name="PreviousData" localSheetId="2">#REF!</definedName>
    <definedName name="PreviousData">#REF!</definedName>
    <definedName name="Print_Area" localSheetId="0">#REF!</definedName>
    <definedName name="Print_Area" localSheetId="2">#REF!</definedName>
    <definedName name="Print_Area">#REF!</definedName>
    <definedName name="Print_Area_MFL" localSheetId="0">#REF!</definedName>
    <definedName name="Print_Area_MFL">#REF!</definedName>
    <definedName name="Print_Area_MI">#REF!</definedName>
    <definedName name="Print_areas" localSheetId="0">#REF!</definedName>
    <definedName name="Print_areas">#REF!</definedName>
    <definedName name="Print_Brief" localSheetId="0">#REF!</definedName>
    <definedName name="Print_Brief">#REF!</definedName>
    <definedName name="PRINT_TITLES_MI" localSheetId="0">#REF!</definedName>
    <definedName name="PRINT_TITLES_MI">#REF!</definedName>
    <definedName name="print1" localSheetId="0">#REF!</definedName>
    <definedName name="print1">#REF!</definedName>
    <definedName name="print4" localSheetId="0">#REF!</definedName>
    <definedName name="print4">#REF!</definedName>
    <definedName name="prj" localSheetId="0">#REF!</definedName>
    <definedName name="prj">#REF!</definedName>
    <definedName name="proc" localSheetId="0">#REF!</definedName>
    <definedName name="proc">#REF!</definedName>
    <definedName name="PROCESS" localSheetId="0">#REF!</definedName>
    <definedName name="PROCESS">#REF!</definedName>
    <definedName name="PROCURA" localSheetId="0">#REF!</definedName>
    <definedName name="PROCURA">#REF!</definedName>
    <definedName name="Procurement" localSheetId="0">#REF!</definedName>
    <definedName name="Procurement">#REF!</definedName>
    <definedName name="PRODUCTIVIDAD" localSheetId="0">#REF!</definedName>
    <definedName name="PRODUCTIVIDAD">#REF!</definedName>
    <definedName name="Progen" localSheetId="0">#REF!</definedName>
    <definedName name="Progen">#REF!</definedName>
    <definedName name="ProgenClass" localSheetId="0">#REF!</definedName>
    <definedName name="ProgenClass">#REF!</definedName>
    <definedName name="ProgenPositions" localSheetId="0">#REF!</definedName>
    <definedName name="ProgenPositions">#REF!</definedName>
    <definedName name="ProgenRates" localSheetId="0">#REF!</definedName>
    <definedName name="ProgenRates">#REF!</definedName>
    <definedName name="PROGRAMMING" localSheetId="0">#REF!</definedName>
    <definedName name="PROGRAMMING">#REF!</definedName>
    <definedName name="PROJ" localSheetId="0">#REF!</definedName>
    <definedName name="PROJ">#REF!</definedName>
    <definedName name="PROJ_MANAGEMENT" localSheetId="0">#REF!</definedName>
    <definedName name="PROJ_MANAGEMENT">#REF!</definedName>
    <definedName name="PROJCOST" localSheetId="0">#REF!</definedName>
    <definedName name="PROJCOST">#REF!</definedName>
    <definedName name="Project_Control" localSheetId="0">#REF!</definedName>
    <definedName name="Project_Control">#REF!</definedName>
    <definedName name="PROJECT_CONTROLS" localSheetId="0">#REF!</definedName>
    <definedName name="PROJECT_CONTROLS">#REF!</definedName>
    <definedName name="PROJECT_MANAGEMENT" localSheetId="0">#REF!</definedName>
    <definedName name="PROJECT_MANAGEMENT">#REF!</definedName>
    <definedName name="Project_Name" localSheetId="0">#REF!</definedName>
    <definedName name="Project_Name">#REF!</definedName>
    <definedName name="Project_Services" localSheetId="0">#REF!</definedName>
    <definedName name="Project_Services">#REF!</definedName>
    <definedName name="ProjectAreas" localSheetId="0">#REF!</definedName>
    <definedName name="ProjectAreas">#REF!</definedName>
    <definedName name="ProjectUsed" localSheetId="0">#REF!</definedName>
    <definedName name="ProjectUsed">#REF!</definedName>
    <definedName name="ProjectWiseDataBegin" localSheetId="0">#REF!</definedName>
    <definedName name="ProjectWiseDataBegin">#REF!</definedName>
    <definedName name="ProjWiseTopLine" localSheetId="0">#REF!</definedName>
    <definedName name="ProjWiseTopLine">#REF!</definedName>
    <definedName name="PROPOSTA" localSheetId="0">#REF!</definedName>
    <definedName name="PROPOSTA">#REF!</definedName>
    <definedName name="prt_maquina" localSheetId="0">#REF!</definedName>
    <definedName name="prt_maquina">#REF!</definedName>
    <definedName name="prt_resumen" localSheetId="0">#REF!</definedName>
    <definedName name="prt_resumen">#REF!</definedName>
    <definedName name="PSMKUP" localSheetId="0">#REF!</definedName>
    <definedName name="PSMKUP">#REF!</definedName>
    <definedName name="PtblLAR" localSheetId="0">#REF!</definedName>
    <definedName name="PtblLAR">#REF!</definedName>
    <definedName name="PTONSUCATA" localSheetId="0">#REF!</definedName>
    <definedName name="PTONSUCATA">#REF!</definedName>
    <definedName name="PWWorkCentre" localSheetId="0">#REF!</definedName>
    <definedName name="PWWorkCentre">#REF!</definedName>
    <definedName name="q"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EC" localSheetId="0" hidden="1">{#N/A,#N/A,FALSE,"GERAL";#N/A,#N/A,FALSE,"012-96";#N/A,#N/A,FALSE,"018-96";#N/A,#N/A,FALSE,"027-96";#N/A,#N/A,FALSE,"059-96";#N/A,#N/A,FALSE,"076-96";#N/A,#N/A,FALSE,"019-97";#N/A,#N/A,FALSE,"021-97";#N/A,#N/A,FALSE,"022-97";#N/A,#N/A,FALSE,"028-97"}</definedName>
    <definedName name="QEC" localSheetId="2" hidden="1">{#N/A,#N/A,FALSE,"GERAL";#N/A,#N/A,FALSE,"012-96";#N/A,#N/A,FALSE,"018-96";#N/A,#N/A,FALSE,"027-96";#N/A,#N/A,FALSE,"059-96";#N/A,#N/A,FALSE,"076-96";#N/A,#N/A,FALSE,"019-97";#N/A,#N/A,FALSE,"021-97";#N/A,#N/A,FALSE,"022-97";#N/A,#N/A,FALSE,"028-97"}</definedName>
    <definedName name="QEC" hidden="1">{#N/A,#N/A,FALSE,"GERAL";#N/A,#N/A,FALSE,"012-96";#N/A,#N/A,FALSE,"018-96";#N/A,#N/A,FALSE,"027-96";#N/A,#N/A,FALSE,"059-96";#N/A,#N/A,FALSE,"076-96";#N/A,#N/A,FALSE,"019-97";#N/A,#N/A,FALSE,"021-97";#N/A,#N/A,FALSE,"022-97";#N/A,#N/A,FALSE,"028-97"}</definedName>
    <definedName name="qqq" localSheetId="0" hidden="1">{#N/A,#N/A,FALSE,"GERAL";#N/A,#N/A,FALSE,"012-96";#N/A,#N/A,FALSE,"018-96";#N/A,#N/A,FALSE,"027-96";#N/A,#N/A,FALSE,"059-96";#N/A,#N/A,FALSE,"076-96";#N/A,#N/A,FALSE,"019-97";#N/A,#N/A,FALSE,"021-97";#N/A,#N/A,FALSE,"022-97";#N/A,#N/A,FALSE,"028-97"}</definedName>
    <definedName name="qqq" localSheetId="2" hidden="1">{#N/A,#N/A,FALSE,"GERAL";#N/A,#N/A,FALSE,"012-96";#N/A,#N/A,FALSE,"018-96";#N/A,#N/A,FALSE,"027-96";#N/A,#N/A,FALSE,"059-96";#N/A,#N/A,FALSE,"076-96";#N/A,#N/A,FALSE,"019-97";#N/A,#N/A,FALSE,"021-97";#N/A,#N/A,FALSE,"022-97";#N/A,#N/A,FALSE,"028-97"}</definedName>
    <definedName name="qqq" hidden="1">{#N/A,#N/A,FALSE,"GERAL";#N/A,#N/A,FALSE,"012-96";#N/A,#N/A,FALSE,"018-96";#N/A,#N/A,FALSE,"027-96";#N/A,#N/A,FALSE,"059-96";#N/A,#N/A,FALSE,"076-96";#N/A,#N/A,FALSE,"019-97";#N/A,#N/A,FALSE,"021-97";#N/A,#N/A,FALSE,"022-97";#N/A,#N/A,FALSE,"028-97"}</definedName>
    <definedName name="QtyColumn" localSheetId="0">#REF!</definedName>
    <definedName name="QtyColumn">#REF!</definedName>
    <definedName name="QUAD" localSheetId="0">#REF!</definedName>
    <definedName name="QUAD" localSheetId="1">#REF!</definedName>
    <definedName name="QUAD" localSheetId="3">#REF!</definedName>
    <definedName name="QUAD" localSheetId="4">#REF!</definedName>
    <definedName name="QUAD" localSheetId="5">#REF!</definedName>
    <definedName name="QUAD" localSheetId="6">#REF!</definedName>
    <definedName name="QUAD" localSheetId="7">#REF!</definedName>
    <definedName name="QUAD">#REF!</definedName>
    <definedName name="QUALITY" localSheetId="0">#REF!</definedName>
    <definedName name="QUALITY">#REF!</definedName>
    <definedName name="quant" localSheetId="0">#REF!</definedName>
    <definedName name="quant">#REF!</definedName>
    <definedName name="quant1" localSheetId="0">#REF!</definedName>
    <definedName name="quant1">#REF!</definedName>
    <definedName name="Quatro" localSheetId="0">#REF!</definedName>
    <definedName name="Quatro">#REF!</definedName>
    <definedName name="qx" localSheetId="0" hidden="1">{#N/A,#N/A,FALSE,"masez (10)";#N/A,#N/A,FALSE,"masez (7)";#N/A,#N/A,FALSE,"masez (6)";#N/A,#N/A,FALSE,"masez (5)";#N/A,#N/A,FALSE,"masez (4)";#N/A,#N/A,FALSE,"masez (3)";#N/A,#N/A,FALSE,"masez (2)";#N/A,#N/A,FALSE,"GME";#N/A,#N/A,FALSE,"masez"}</definedName>
    <definedName name="qx" localSheetId="2"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RAH" localSheetId="0">#REF!</definedName>
    <definedName name="RAH">#REF!</definedName>
    <definedName name="RAIL" localSheetId="0">#REF!</definedName>
    <definedName name="RAIL">#REF!</definedName>
    <definedName name="rand" localSheetId="0">#REF!</definedName>
    <definedName name="rand">#REF!</definedName>
    <definedName name="rango" localSheetId="0">#REF!</definedName>
    <definedName name="rango">#REF!</definedName>
    <definedName name="RANTOT" localSheetId="0">#REF!</definedName>
    <definedName name="RANTOT">#REF!</definedName>
    <definedName name="RateAustralia" localSheetId="0">#REF!</definedName>
    <definedName name="RateAustralia">#REF!</definedName>
    <definedName name="RateBrazil" localSheetId="0">#REF!</definedName>
    <definedName name="RateBrazil">#REF!</definedName>
    <definedName name="RateChile" localSheetId="0">#REF!</definedName>
    <definedName name="RateChile">#REF!</definedName>
    <definedName name="RatePeru" localSheetId="0">#REF!</definedName>
    <definedName name="RatePeru">#REF!</definedName>
    <definedName name="Rates">#REF!</definedName>
    <definedName name="Rates_AU">#REF!</definedName>
    <definedName name="Rates_BR">#REF!</definedName>
    <definedName name="Rates_CA">#REF!</definedName>
    <definedName name="Rates_CH">#REF!</definedName>
    <definedName name="RATES_NO_OT" localSheetId="0">#REF!</definedName>
    <definedName name="RATES_NO_OT">#REF!</definedName>
    <definedName name="Rates_SA">#REF!</definedName>
    <definedName name="RATESCHEDULE" localSheetId="0">#REF!</definedName>
    <definedName name="RATESCHEDULE">#REF!</definedName>
    <definedName name="RawData" localSheetId="0">#REF!</definedName>
    <definedName name="RawData">#REF!</definedName>
    <definedName name="RD" localSheetId="0">#REF!</definedName>
    <definedName name="RD">#REF!</definedName>
    <definedName name="RDGDCELE">#REF!</definedName>
    <definedName name="RDGDCMEC">#REF!</definedName>
    <definedName name="re" hidden="1">#REF!</definedName>
    <definedName name="reagentes" localSheetId="0" hidden="1">{#N/A,#N/A,FALSE,"GERAL";#N/A,#N/A,FALSE,"012-96";#N/A,#N/A,FALSE,"018-96";#N/A,#N/A,FALSE,"027-96";#N/A,#N/A,FALSE,"059-96";#N/A,#N/A,FALSE,"076-96";#N/A,#N/A,FALSE,"019-97";#N/A,#N/A,FALSE,"021-97";#N/A,#N/A,FALSE,"022-97";#N/A,#N/A,FALSE,"028-97"}</definedName>
    <definedName name="reagentes" localSheetId="2" hidden="1">{#N/A,#N/A,FALSE,"GERAL";#N/A,#N/A,FALSE,"012-96";#N/A,#N/A,FALSE,"018-96";#N/A,#N/A,FALSE,"027-96";#N/A,#N/A,FALSE,"059-96";#N/A,#N/A,FALSE,"076-96";#N/A,#N/A,FALSE,"019-97";#N/A,#N/A,FALSE,"021-97";#N/A,#N/A,FALSE,"022-97";#N/A,#N/A,FALSE,"028-97"}</definedName>
    <definedName name="reagentes" hidden="1">{#N/A,#N/A,FALSE,"GERAL";#N/A,#N/A,FALSE,"012-96";#N/A,#N/A,FALSE,"018-96";#N/A,#N/A,FALSE,"027-96";#N/A,#N/A,FALSE,"059-96";#N/A,#N/A,FALSE,"076-96";#N/A,#N/A,FALSE,"019-97";#N/A,#N/A,FALSE,"021-97";#N/A,#N/A,FALSE,"022-97";#N/A,#N/A,FALSE,"028-97"}</definedName>
    <definedName name="REAJUSTE" localSheetId="0">#REF!</definedName>
    <definedName name="REAJUSTE">#REF!</definedName>
    <definedName name="real" localSheetId="0">#REF!</definedName>
    <definedName name="real">#REF!</definedName>
    <definedName name="REAL_Total" localSheetId="0">#REF!</definedName>
    <definedName name="REAL_Total">#REF!</definedName>
    <definedName name="Recap" localSheetId="0">#REF!</definedName>
    <definedName name="Recap">#REF!</definedName>
    <definedName name="RECIERR" localSheetId="0">#REF!</definedName>
    <definedName name="RECIERR">#REF!</definedName>
    <definedName name="reconc" localSheetId="0">#REF!</definedName>
    <definedName name="reconc">#REF!</definedName>
    <definedName name="reducao" localSheetId="0">#REF!</definedName>
    <definedName name="reducao">#REF!</definedName>
    <definedName name="referencias" localSheetId="0">#REF!</definedName>
    <definedName name="referencias">#REF!</definedName>
    <definedName name="REFRACTORY" localSheetId="0">#REF!</definedName>
    <definedName name="REFRACTORY">#REF!</definedName>
    <definedName name="Regime" localSheetId="0">#REF!</definedName>
    <definedName name="Regime">#REF!</definedName>
    <definedName name="RegimeTra" localSheetId="0">#REF!</definedName>
    <definedName name="RegimeTra">#REF!</definedName>
    <definedName name="RELC" localSheetId="0">#REF!</definedName>
    <definedName name="RELC">#REF!</definedName>
    <definedName name="RELG" localSheetId="0">#REF!</definedName>
    <definedName name="RELG">#REF!</definedName>
    <definedName name="RELMAS" localSheetId="0">#REF!</definedName>
    <definedName name="RELMAS">#REF!</definedName>
    <definedName name="Reloc_Allow">#REF!</definedName>
    <definedName name="Rendimento">#REF!</definedName>
    <definedName name="REPUESTOS" localSheetId="0">#REF!</definedName>
    <definedName name="REPUESTOS">#REF!</definedName>
    <definedName name="rerere" localSheetId="0" hidden="1">{#N/A,#N/A,TRUE,"Est. de Fact.";#N/A,#N/A,TRUE,"Capitulo 19";#N/A,#N/A,TRUE,"Proyecto P855"}</definedName>
    <definedName name="rerere" localSheetId="2" hidden="1">{#N/A,#N/A,TRUE,"Est. de Fact.";#N/A,#N/A,TRUE,"Capitulo 19";#N/A,#N/A,TRUE,"Proyecto P855"}</definedName>
    <definedName name="rerere" hidden="1">{#N/A,#N/A,TRUE,"Est. de Fact.";#N/A,#N/A,TRUE,"Capitulo 19";#N/A,#N/A,TRUE,"Proyecto P855"}</definedName>
    <definedName name="RES" localSheetId="0">#REF!</definedName>
    <definedName name="RES">#REF!</definedName>
    <definedName name="RESP" localSheetId="0">#REF!</definedName>
    <definedName name="RESP">#REF!</definedName>
    <definedName name="responsável" localSheetId="0">#REF!</definedName>
    <definedName name="responsável">#REF!</definedName>
    <definedName name="RESU" localSheetId="0">#REF!</definedName>
    <definedName name="RESU">#REF!</definedName>
    <definedName name="resultadorendimento">#REF!</definedName>
    <definedName name="RESUMEN" localSheetId="0">#REF!</definedName>
    <definedName name="RESUMEN">#REF!</definedName>
    <definedName name="RESUMO">#N/A</definedName>
    <definedName name="RETE1.5MA" localSheetId="0">#REF!</definedName>
    <definedName name="RETE1.5MA">#REF!</definedName>
    <definedName name="Rev" localSheetId="0">#REF!</definedName>
    <definedName name="Rev">#REF!</definedName>
    <definedName name="REV." localSheetId="0">#REF!</definedName>
    <definedName name="REV.">#REF!</definedName>
    <definedName name="RevBy">#REF!</definedName>
    <definedName name="RevDate">#REF!</definedName>
    <definedName name="REVISÃO" localSheetId="0">#REF!</definedName>
    <definedName name="REVISÃO">#REF!</definedName>
    <definedName name="RevList">#REF!</definedName>
    <definedName name="RevListBy">#REF!</definedName>
    <definedName name="RevListDate">#REF!</definedName>
    <definedName name="RevListNo">#REF!</definedName>
    <definedName name="RevListStatus">#REF!</definedName>
    <definedName name="rfv">#REF!</definedName>
    <definedName name="rho" localSheetId="0">#REF!</definedName>
    <definedName name="rho">#REF!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SwapState" hidden="1">TRUE</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JMODELE">#REF!</definedName>
    <definedName name="RJMODMEC" localSheetId="0">#REF!</definedName>
    <definedName name="RJMODMEC">#REF!</definedName>
    <definedName name="RMOIENGELE">#REF!</definedName>
    <definedName name="RMOIENGMEC">#REF!</definedName>
    <definedName name="RMOIMONELE">#REF!</definedName>
    <definedName name="RMOIMONMEC">#REF!</definedName>
    <definedName name="RMOIPROELE">#REF!</definedName>
    <definedName name="RMOIPROMEC">#REF!</definedName>
    <definedName name="RND" localSheetId="0">#REF!</definedName>
    <definedName name="RND">#REF!</definedName>
    <definedName name="RngAtualização" localSheetId="0">#REF!</definedName>
    <definedName name="RngAtualização">#REF!</definedName>
    <definedName name="rngContrato" localSheetId="0">#REF!</definedName>
    <definedName name="rngContrato">#REF!</definedName>
    <definedName name="rngDados" localSheetId="0">#REF!</definedName>
    <definedName name="rngDados">#REF!</definedName>
    <definedName name="rngFaseProjeto" localSheetId="0">#REF!</definedName>
    <definedName name="rngFaseProjeto">#REF!</definedName>
    <definedName name="rngNumLD" localSheetId="0">#REF!</definedName>
    <definedName name="rngNumLD">#REF!</definedName>
    <definedName name="rngNumProjeto" localSheetId="0">#REF!</definedName>
    <definedName name="rngNumProjeto">#REF!</definedName>
    <definedName name="rngRevisao" localSheetId="0">#REF!</definedName>
    <definedName name="rngRevisao">#REF!</definedName>
    <definedName name="road" localSheetId="0">#REF!</definedName>
    <definedName name="road">#REF!</definedName>
    <definedName name="Roberto_Gonzalez_O." localSheetId="0">#REF!</definedName>
    <definedName name="Roberto_Gonzalez_O.">#REF!</definedName>
    <definedName name="Roce" localSheetId="0">#REF!</definedName>
    <definedName name="Roce">#REF!</definedName>
    <definedName name="ROFFER" localSheetId="0">#REF!</definedName>
    <definedName name="ROFFER">#REF!</definedName>
    <definedName name="ROLETETRIPLO" localSheetId="0">#REF!</definedName>
    <definedName name="ROLETETRIPLO" localSheetId="2">#REF!</definedName>
    <definedName name="ROLETETRIPLO">#REF!</definedName>
    <definedName name="Rosto" localSheetId="0">#REF!</definedName>
    <definedName name="Rosto">#REF!</definedName>
    <definedName name="rpa" localSheetId="0">#REF!</definedName>
    <definedName name="rpa">#REF!</definedName>
    <definedName name="rpb" localSheetId="0">#REF!</definedName>
    <definedName name="rpb">#REF!</definedName>
    <definedName name="rpp" localSheetId="0">#REF!</definedName>
    <definedName name="rpp">#REF!</definedName>
    <definedName name="rr" localSheetId="0">#REF!</definedName>
    <definedName name="rr">#REF!</definedName>
    <definedName name="rrow1" localSheetId="0">#REF!</definedName>
    <definedName name="rrow1">#REF!</definedName>
    <definedName name="RRR" localSheetId="0">#REF!</definedName>
    <definedName name="RRR">#REF!</definedName>
    <definedName name="RRRR"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RRR"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RR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SRC" localSheetId="0">#REF!</definedName>
    <definedName name="RSRC">#REF!</definedName>
    <definedName name="rtrtrt" localSheetId="0" hidden="1">{#N/A,#N/A,TRUE,"Est. de Fact.";#N/A,#N/A,TRUE,"Capitulo 19";#N/A,#N/A,TRUE,"Proyecto P855"}</definedName>
    <definedName name="rtrtrt" localSheetId="2" hidden="1">{#N/A,#N/A,TRUE,"Est. de Fact.";#N/A,#N/A,TRUE,"Capitulo 19";#N/A,#N/A,TRUE,"Proyecto P855"}</definedName>
    <definedName name="rtrtrt" hidden="1">{#N/A,#N/A,TRUE,"Est. de Fact.";#N/A,#N/A,TRUE,"Capitulo 19";#N/A,#N/A,TRUE,"Proyecto P855"}</definedName>
    <definedName name="rty" localSheetId="0" hidden="1">{#N/A,#N/A,FALSE,"masez (10)";#N/A,#N/A,FALSE,"masez (7)";#N/A,#N/A,FALSE,"masez (6)";#N/A,#N/A,FALSE,"masez (5)";#N/A,#N/A,FALSE,"masez (4)";#N/A,#N/A,FALSE,"masez (3)";#N/A,#N/A,FALSE,"masez (2)";#N/A,#N/A,FALSE,"GME";#N/A,#N/A,FALSE,"masez"}</definedName>
    <definedName name="rty" localSheetId="2"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gosidade" localSheetId="0">#REF!</definedName>
    <definedName name="Rugosidade">#REF!</definedName>
    <definedName name="Rugosidade1" localSheetId="0">#REF!</definedName>
    <definedName name="Rugosidade1">#REF!</definedName>
    <definedName name="S" localSheetId="0">#REF!</definedName>
    <definedName name="S">#REF!</definedName>
    <definedName name="sa" localSheetId="0">#REF!</definedName>
    <definedName name="sa">#REF!</definedName>
    <definedName name="saa" localSheetId="0" hidden="1">{#N/A,#N/A,FALSE,"GERAL";#N/A,#N/A,FALSE,"012-96";#N/A,#N/A,FALSE,"018-96";#N/A,#N/A,FALSE,"027-96";#N/A,#N/A,FALSE,"059-96";#N/A,#N/A,FALSE,"076-96";#N/A,#N/A,FALSE,"019-97";#N/A,#N/A,FALSE,"021-97";#N/A,#N/A,FALSE,"022-97";#N/A,#N/A,FALSE,"028-97"}</definedName>
    <definedName name="saa" localSheetId="2"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 localSheetId="0">#REF!</definedName>
    <definedName name="sad">#REF!</definedName>
    <definedName name="sadd" localSheetId="0" hidden="1">{#N/A,#N/A,FALSE,"GERAL";#N/A,#N/A,FALSE,"012-96";#N/A,#N/A,FALSE,"018-96";#N/A,#N/A,FALSE,"027-96";#N/A,#N/A,FALSE,"059-96";#N/A,#N/A,FALSE,"076-96";#N/A,#N/A,FALSE,"019-97";#N/A,#N/A,FALSE,"021-97";#N/A,#N/A,FALSE,"022-97";#N/A,#N/A,FALSE,"028-97"}</definedName>
    <definedName name="sadd" localSheetId="2" hidden="1">{#N/A,#N/A,FALSE,"GERAL";#N/A,#N/A,FALSE,"012-96";#N/A,#N/A,FALSE,"018-96";#N/A,#N/A,FALSE,"027-96";#N/A,#N/A,FALSE,"059-96";#N/A,#N/A,FALSE,"076-96";#N/A,#N/A,FALSE,"019-97";#N/A,#N/A,FALSE,"021-97";#N/A,#N/A,FALSE,"022-97";#N/A,#N/A,FALSE,"028-97"}</definedName>
    <definedName name="sadd" hidden="1">{#N/A,#N/A,FALSE,"GERAL";#N/A,#N/A,FALSE,"012-96";#N/A,#N/A,FALSE,"018-96";#N/A,#N/A,FALSE,"027-96";#N/A,#N/A,FALSE,"059-96";#N/A,#N/A,FALSE,"076-96";#N/A,#N/A,FALSE,"019-97";#N/A,#N/A,FALSE,"021-97";#N/A,#N/A,FALSE,"022-97";#N/A,#N/A,FALSE,"028-97"}</definedName>
    <definedName name="sadfdf" localSheetId="0" hidden="1">{#N/A,#N/A,FALSE,"Total_OC015";#N/A,#N/A,FALSE,"ADMIN";#N/A,#N/A,FALSE,"PROCES";#N/A,#N/A,FALSE,"mecan";#N/A,#N/A,FALSE,"civil";#N/A,#N/A,FALSE,"CAÑER";#N/A,#N/A,FALSE,"ELEC";#N/A,#N/A,FALSE,"INSTR"}</definedName>
    <definedName name="sadfdf" localSheetId="2" hidden="1">{#N/A,#N/A,FALSE,"Total_OC015";#N/A,#N/A,FALSE,"ADMIN";#N/A,#N/A,FALSE,"PROCES";#N/A,#N/A,FALSE,"mecan";#N/A,#N/A,FALSE,"civil";#N/A,#N/A,FALSE,"CAÑER";#N/A,#N/A,FALSE,"ELEC";#N/A,#N/A,FALSE,"INSTR"}</definedName>
    <definedName name="sadfdf" hidden="1">{#N/A,#N/A,FALSE,"Total_OC015";#N/A,#N/A,FALSE,"ADMIN";#N/A,#N/A,FALSE,"PROCES";#N/A,#N/A,FALSE,"mecan";#N/A,#N/A,FALSE,"civil";#N/A,#N/A,FALSE,"CAÑER";#N/A,#N/A,FALSE,"ELEC";#N/A,#N/A,FALSE,"INSTR"}</definedName>
    <definedName name="SAMKUP" localSheetId="0">#REF!</definedName>
    <definedName name="SAMKUP">#REF!</definedName>
    <definedName name="SAP" localSheetId="0">#REF!</definedName>
    <definedName name="SAP">#REF!</definedName>
    <definedName name="SAP___3D" localSheetId="0">#REF!</definedName>
    <definedName name="SAP___3D">#REF!</definedName>
    <definedName name="SAPBEXhrIndnt" hidden="1">"Wide"</definedName>
    <definedName name="SAPProjOffice" localSheetId="0">#REF!</definedName>
    <definedName name="SAPProjOffice">#REF!</definedName>
    <definedName name="SAPsysID" hidden="1">"708C5W7SBKP804JT78WJ0JNKI"</definedName>
    <definedName name="SAPwbID" hidden="1">"ARS"</definedName>
    <definedName name="SAPWorkCentre" localSheetId="0">#REF!</definedName>
    <definedName name="SAPWorkCentre">#REF!</definedName>
    <definedName name="SARE" localSheetId="0">#REF!</definedName>
    <definedName name="SARE">#REF!</definedName>
    <definedName name="sas" localSheetId="0" hidden="1">{#N/A,#N/A,FALSE,"GERAL";#N/A,#N/A,FALSE,"012-96";#N/A,#N/A,FALSE,"018-96";#N/A,#N/A,FALSE,"027-96";#N/A,#N/A,FALSE,"059-96";#N/A,#N/A,FALSE,"076-96";#N/A,#N/A,FALSE,"019-97";#N/A,#N/A,FALSE,"021-97";#N/A,#N/A,FALSE,"022-97";#N/A,#N/A,FALSE,"028-97"}</definedName>
    <definedName name="sas" localSheetId="2"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COD02.010.0020" localSheetId="0">#REF!</definedName>
    <definedName name="SCOD02.010.0020">#REF!</definedName>
    <definedName name="SCOD02.010.0040" localSheetId="0">#REF!</definedName>
    <definedName name="SCOD02.010.0040">#REF!</definedName>
    <definedName name="SCOD02.010.0050" localSheetId="0">#REF!</definedName>
    <definedName name="SCOD02.010.0050">#REF!</definedName>
    <definedName name="SCOD02.010.0065">#REF!</definedName>
    <definedName name="SCOD02.010.0080">#REF!</definedName>
    <definedName name="SCOD02.010.0090">#REF!</definedName>
    <definedName name="SCOD02.010.0130">#REF!</definedName>
    <definedName name="SCOD02.010.0140">#REF!</definedName>
    <definedName name="SCOD02.010.0150">#REF!</definedName>
    <definedName name="SCOD02.010.0190">#REF!</definedName>
    <definedName name="SCOD03.010.0020">#REF!</definedName>
    <definedName name="SCOD03.010.0270">#REF!</definedName>
    <definedName name="SCOD03.010.0430">#REF!</definedName>
    <definedName name="SCOD03.010.0440">#REF!</definedName>
    <definedName name="SCOD04.010.0010">#REF!</definedName>
    <definedName name="SCOD04.010.0020">#REF!</definedName>
    <definedName name="SCOD04.010.0040">#REF!</definedName>
    <definedName name="SCOD04.010.0050">#REF!</definedName>
    <definedName name="SCOD04.010.0070">#REF!</definedName>
    <definedName name="SCOD04.010.0140">#REF!</definedName>
    <definedName name="SCOD04.010.0150">#REF!</definedName>
    <definedName name="SCOD04.010.0190">#REF!</definedName>
    <definedName name="SCOD04.010.0200">#REF!</definedName>
    <definedName name="SCOD04.010.0372">#REF!</definedName>
    <definedName name="SCOD04.010.0420">#REF!</definedName>
    <definedName name="SCOD04.010.0430">#REF!</definedName>
    <definedName name="SCOD05.010.0010">#REF!</definedName>
    <definedName name="SCOD05.010.0020">#REF!</definedName>
    <definedName name="SCOD05.010.0040">#REF!</definedName>
    <definedName name="SCOD06.010.0010">#REF!</definedName>
    <definedName name="SCOD08.010.0010">#REF!</definedName>
    <definedName name="SCOD08.010.0030">#REF!</definedName>
    <definedName name="SCOD08.010.0040">#REF!</definedName>
    <definedName name="SCOD08.010.0080">#REF!</definedName>
    <definedName name="SCOD08.010.0120">#REF!</definedName>
    <definedName name="SCOD08.010.0210">#REF!</definedName>
    <definedName name="SCOD08.010.0355">#REF!</definedName>
    <definedName name="SCOD08.010.0380">#REF!</definedName>
    <definedName name="SCOD08.020.0400">#REF!</definedName>
    <definedName name="SCOD08.020.0410">#REF!</definedName>
    <definedName name="SCOD08.020.0420">#REF!</definedName>
    <definedName name="SCOD08.020.0440">#REF!</definedName>
    <definedName name="SCOD09.010.0060">#REF!</definedName>
    <definedName name="SCOD09.010.0150">#REF!</definedName>
    <definedName name="SCOD09.010.0160">#REF!</definedName>
    <definedName name="SCOD09.010.0470">#REF!</definedName>
    <definedName name="SCOD09.010.0520">#REF!</definedName>
    <definedName name="SCOD09.010.0580">#REF!</definedName>
    <definedName name="SCOD10.010.0030">#REF!</definedName>
    <definedName name="SCOD10.010.0150">#REF!</definedName>
    <definedName name="SCOD10.010.0180">#REF!</definedName>
    <definedName name="SCOD10.010.0260">#REF!</definedName>
    <definedName name="SCOD10.010.0270">#REF!</definedName>
    <definedName name="SCOD10.010.0298">#REF!</definedName>
    <definedName name="SCOD10.010.0300">#REF!</definedName>
    <definedName name="SCOD10.010.0301">#REF!</definedName>
    <definedName name="SCOD10.010.0307">#REF!</definedName>
    <definedName name="SCOD10.010.0310">#REF!</definedName>
    <definedName name="SCOD10.010.0320">#REF!</definedName>
    <definedName name="SCOD10.010.0333">#REF!</definedName>
    <definedName name="SCOD10.010.0380">#REF!</definedName>
    <definedName name="SCOD10.010.0430">#REF!</definedName>
    <definedName name="SCOD10.010.0450">#REF!</definedName>
    <definedName name="SCOD10.010.0612">#REF!</definedName>
    <definedName name="SCOD10.010.0624">#REF!</definedName>
    <definedName name="SCOD10.010.0625">#REF!</definedName>
    <definedName name="SCOD10.010.0635">#REF!</definedName>
    <definedName name="SCOD10.010.0640">#REF!</definedName>
    <definedName name="SCOD10.010.0700">#REF!</definedName>
    <definedName name="SCOD10.010.1090">#REF!</definedName>
    <definedName name="SCOD10.010.1100">#REF!</definedName>
    <definedName name="SCOD10.010.1110">#REF!</definedName>
    <definedName name="SCOD10.010.1150">#REF!</definedName>
    <definedName name="SCOD10.010.1370">#REF!</definedName>
    <definedName name="SCOD10.010.1520">#REF!</definedName>
    <definedName name="SCOD10.010.1535">#REF!</definedName>
    <definedName name="SCOD10.010.1570">#REF!</definedName>
    <definedName name="SCOD11.010.0020">#REF!</definedName>
    <definedName name="SCOD11.010.0040">#REF!</definedName>
    <definedName name="SCOD11.010.0060">#REF!</definedName>
    <definedName name="SCOD11.010.0095">#REF!</definedName>
    <definedName name="SCOD11.010.0111">#REF!</definedName>
    <definedName name="SCOD11.010.0160">#REF!</definedName>
    <definedName name="SCOD11.010.0170">#REF!</definedName>
    <definedName name="SCOD11.010.0180">#REF!</definedName>
    <definedName name="SCOD11.010.0190">#REF!</definedName>
    <definedName name="SCOD11.010.0200">#REF!</definedName>
    <definedName name="SCOD11.010.0210">#REF!</definedName>
    <definedName name="SCOD11.010.0220">#REF!</definedName>
    <definedName name="SCOD11.010.0250">#REF!</definedName>
    <definedName name="SCOD11.010.0280">#REF!</definedName>
    <definedName name="SCOD11.010.0290">#REF!</definedName>
    <definedName name="SCOD11.010.0360">#REF!</definedName>
    <definedName name="SCOD11.010.0400">#REF!</definedName>
    <definedName name="SCOD11.010.0500">#REF!</definedName>
    <definedName name="SCOD11.010.0510">#REF!</definedName>
    <definedName name="SCOD11.010.0700">#REF!</definedName>
    <definedName name="SCOD12.010.0550">#REF!</definedName>
    <definedName name="SCOD13.010.0060">#REF!</definedName>
    <definedName name="SCOD13.010.0070">#REF!</definedName>
    <definedName name="SCOD13.010.0500">#REF!</definedName>
    <definedName name="SCOD13.010.1190">#REF!</definedName>
    <definedName name="SCOD13.010.1200">#REF!</definedName>
    <definedName name="SCOD13.010.1210">#REF!</definedName>
    <definedName name="SCOD13.010.1240">#REF!</definedName>
    <definedName name="SCOD15.010.0270">#REF!</definedName>
    <definedName name="SCOD15.010.0280">#REF!</definedName>
    <definedName name="SCOD15.010.0290">#REF!</definedName>
    <definedName name="SCOD16.010.0010">#REF!</definedName>
    <definedName name="SCOD16.010.0060">#REF!</definedName>
    <definedName name="SCOD16.010.0110">#REF!</definedName>
    <definedName name="SCOD16.010.0120">#REF!</definedName>
    <definedName name="SCOD16.010.0170">#REF!</definedName>
    <definedName name="SCOD17.010.0090">#REF!</definedName>
    <definedName name="SCOD17.010.0290">#REF!</definedName>
    <definedName name="SCOD17.010.0320">#REF!</definedName>
    <definedName name="SCOD17.010.0351">#REF!</definedName>
    <definedName name="SCOD17.010.0390">#REF!</definedName>
    <definedName name="SCOD17.010.0436">#REF!</definedName>
    <definedName name="SCOD17.010.0437">#REF!</definedName>
    <definedName name="SCOD17.010.0444">#REF!</definedName>
    <definedName name="SCOD17.010.0455">#REF!</definedName>
    <definedName name="SCOD17.010.0551">#REF!</definedName>
    <definedName name="SCOD17.010.0603">#REF!</definedName>
    <definedName name="SCOD17.010.0604">#REF!</definedName>
    <definedName name="SCODComposição01">#REF!</definedName>
    <definedName name="SCODComposição02">#REF!</definedName>
    <definedName name="SCODComposição03">#REF!</definedName>
    <definedName name="SCODComposição04">#REF!</definedName>
    <definedName name="SCODComposição05">#REF!</definedName>
    <definedName name="SCODComposição06">#REF!</definedName>
    <definedName name="SCODCOTADO01">#REF!</definedName>
    <definedName name="SD" localSheetId="0" hidden="1">{#N/A,#N/A,FALSE,"TEC-01";#N/A,#N/A,FALSE,"TEC - 02";#N/A,#N/A,FALSE,"TEC - 03";#N/A,#N/A,FALSE,"TEC - 04";#N/A,#N/A,FALSE,"TEC-07";#N/A,#N/A,FALSE,"TEC-08";#N/A,#N/A,FALSE,"TEC - 09A";#N/A,#N/A,FALSE,"TEC - 09B";#N/A,#N/A,FALSE,"TEC - 09C";#N/A,#N/A,FALSE,"TEC - 10";#N/A,#N/A,FALSE,"TEC-11"}</definedName>
    <definedName name="SD" localSheetId="2" hidden="1">{#N/A,#N/A,FALSE,"TEC-01";#N/A,#N/A,FALSE,"TEC - 02";#N/A,#N/A,FALSE,"TEC - 03";#N/A,#N/A,FALSE,"TEC - 04";#N/A,#N/A,FALSE,"TEC-07";#N/A,#N/A,FALSE,"TEC-08";#N/A,#N/A,FALSE,"TEC - 09A";#N/A,#N/A,FALSE,"TEC - 09B";#N/A,#N/A,FALSE,"TEC - 09C";#N/A,#N/A,FALSE,"TEC - 10";#N/A,#N/A,FALSE,"TEC-11"}</definedName>
    <definedName name="SD" hidden="1">{#N/A,#N/A,FALSE,"TEC-01";#N/A,#N/A,FALSE,"TEC - 02";#N/A,#N/A,FALSE,"TEC - 03";#N/A,#N/A,FALSE,"TEC - 04";#N/A,#N/A,FALSE,"TEC-07";#N/A,#N/A,FALSE,"TEC-08";#N/A,#N/A,FALSE,"TEC - 09A";#N/A,#N/A,FALSE,"TEC - 09B";#N/A,#N/A,FALSE,"TEC - 09C";#N/A,#N/A,FALSE,"TEC - 10";#N/A,#N/A,FALSE,"TEC-11"}</definedName>
    <definedName name="sdf" localSheetId="0" hidden="1">{#N/A,#N/A,FALSE,"GERAL";#N/A,#N/A,FALSE,"012-96";#N/A,#N/A,FALSE,"018-96";#N/A,#N/A,FALSE,"027-96";#N/A,#N/A,FALSE,"059-96";#N/A,#N/A,FALSE,"076-96";#N/A,#N/A,FALSE,"019-97";#N/A,#N/A,FALSE,"021-97";#N/A,#N/A,FALSE,"022-97";#N/A,#N/A,FALSE,"028-97"}</definedName>
    <definedName name="sdf" localSheetId="2"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fsdfsd" localSheetId="0">#REF!</definedName>
    <definedName name="sdfsdfsd">#REF!</definedName>
    <definedName name="SDKSD" localSheetId="0" hidden="1">{#N/A,#N/A,FALSE,"Total_OC015";#N/A,#N/A,FALSE,"ADMIN";#N/A,#N/A,FALSE,"PROCES";#N/A,#N/A,FALSE,"mecan";#N/A,#N/A,FALSE,"civil";#N/A,#N/A,FALSE,"CAÑER";#N/A,#N/A,FALSE,"ELEC";#N/A,#N/A,FALSE,"INSTR"}</definedName>
    <definedName name="SDKSD" localSheetId="2"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sd" localSheetId="0" hidden="1">{#N/A,#N/A,FALSE,"Total_OC015";#N/A,#N/A,FALSE,"ADMIN";#N/A,#N/A,FALSE,"PROCES";#N/A,#N/A,FALSE,"mecan";#N/A,#N/A,FALSE,"civil";#N/A,#N/A,FALSE,"CAÑER";#N/A,#N/A,FALSE,"ELEC";#N/A,#N/A,FALSE,"INSTR"}</definedName>
    <definedName name="sdsd" localSheetId="2" hidden="1">{#N/A,#N/A,FALSE,"Total_OC015";#N/A,#N/A,FALSE,"ADMIN";#N/A,#N/A,FALSE,"PROCES";#N/A,#N/A,FALSE,"mecan";#N/A,#N/A,FALSE,"civil";#N/A,#N/A,FALSE,"CAÑER";#N/A,#N/A,FALSE,"ELEC";#N/A,#N/A,FALSE,"INSTR"}</definedName>
    <definedName name="sdsd" hidden="1">{#N/A,#N/A,FALSE,"Total_OC015";#N/A,#N/A,FALSE,"ADMIN";#N/A,#N/A,FALSE,"PROCES";#N/A,#N/A,FALSE,"mecan";#N/A,#N/A,FALSE,"civil";#N/A,#N/A,FALSE,"CAÑER";#N/A,#N/A,FALSE,"ELEC";#N/A,#N/A,FALSE,"INSTR"}</definedName>
    <definedName name="SE" localSheetId="0" hidden="1">{#N/A,#N/A,FALSE,"GERAL";#N/A,#N/A,FALSE,"012-96";#N/A,#N/A,FALSE,"018-96";#N/A,#N/A,FALSE,"027-96";#N/A,#N/A,FALSE,"059-96";#N/A,#N/A,FALSE,"076-96";#N/A,#N/A,FALSE,"019-97";#N/A,#N/A,FALSE,"021-97";#N/A,#N/A,FALSE,"022-97";#N/A,#N/A,FALSE,"028-97"}</definedName>
    <definedName name="SE" localSheetId="2" hidden="1">{#N/A,#N/A,FALSE,"GERAL";#N/A,#N/A,FALSE,"012-96";#N/A,#N/A,FALSE,"018-96";#N/A,#N/A,FALSE,"027-96";#N/A,#N/A,FALSE,"059-96";#N/A,#N/A,FALSE,"076-96";#N/A,#N/A,FALSE,"019-97";#N/A,#N/A,FALSE,"021-97";#N/A,#N/A,FALSE,"022-97";#N/A,#N/A,FALSE,"028-97"}</definedName>
    <definedName name="SE" hidden="1">{#N/A,#N/A,FALSE,"GERAL";#N/A,#N/A,FALSE,"012-96";#N/A,#N/A,FALSE,"018-96";#N/A,#N/A,FALSE,"027-96";#N/A,#N/A,FALSE,"059-96";#N/A,#N/A,FALSE,"076-96";#N/A,#N/A,FALSE,"019-97";#N/A,#N/A,FALSE,"021-97";#N/A,#N/A,FALSE,"022-97";#N/A,#N/A,FALSE,"028-97"}</definedName>
    <definedName name="segment_model" localSheetId="0">#REF!</definedName>
    <definedName name="segment_model">#REF!</definedName>
    <definedName name="Segments" localSheetId="0">#REF!</definedName>
    <definedName name="Segments">#REF!</definedName>
    <definedName name="SeguroAcid.Trab." localSheetId="0">#REF!</definedName>
    <definedName name="SeguroAcid.Trab.">#REF!</definedName>
    <definedName name="SeguroVida" localSheetId="0">#REF!</definedName>
    <definedName name="SeguroVida">#REF!</definedName>
    <definedName name="SeguroVidaEmGrupo" localSheetId="0">#REF!</definedName>
    <definedName name="SeguroVidaEmGrupo">#REF!</definedName>
    <definedName name="Seis" localSheetId="0">#REF!</definedName>
    <definedName name="Seis">#REF!</definedName>
    <definedName name="SELBE"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LBE"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LB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MKUP" localSheetId="0">#REF!</definedName>
    <definedName name="SEMKUP">#REF!</definedName>
    <definedName name="sencount" hidden="1">1</definedName>
    <definedName name="sens" localSheetId="0">#REF!</definedName>
    <definedName name="sens">#REF!</definedName>
    <definedName name="sens2" localSheetId="0">#REF!</definedName>
    <definedName name="sens2">#REF!</definedName>
    <definedName name="sens200" localSheetId="0">#REF!</definedName>
    <definedName name="sens200">#REF!</definedName>
    <definedName name="SENTRANS" localSheetId="0">#REF!</definedName>
    <definedName name="SENTRANS">#REF!</definedName>
    <definedName name="serv" localSheetId="0">#REF!</definedName>
    <definedName name="serv">#REF!</definedName>
    <definedName name="SET" localSheetId="0">#REF!</definedName>
    <definedName name="SET">#REF!</definedName>
    <definedName name="SET_UP_DO_PROJETO" localSheetId="0">#REF!</definedName>
    <definedName name="SET_UP_DO_PROJETO">#REF!</definedName>
    <definedName name="Sete" localSheetId="0">#REF!</definedName>
    <definedName name="Sete">#REF!</definedName>
    <definedName name="seveneight" localSheetId="0">#REF!</definedName>
    <definedName name="seveneight">#REF!</definedName>
    <definedName name="sevennine" localSheetId="0">#REF!</definedName>
    <definedName name="sevennine">#REF!</definedName>
    <definedName name="sevenseven" localSheetId="0">#REF!</definedName>
    <definedName name="sevenseven">#REF!</definedName>
    <definedName name="sevenzero" localSheetId="0">#REF!</definedName>
    <definedName name="sevenzero">#REF!</definedName>
    <definedName name="sewer" localSheetId="0">#REF!</definedName>
    <definedName name="sewer">#REF!</definedName>
    <definedName name="SF" localSheetId="0">#REF!</definedName>
    <definedName name="SF">#REF!</definedName>
    <definedName name="SFGAST5" localSheetId="0" hidden="1">{#N/A,#N/A,FALSE,"IC_Global";#N/A,#N/A,FALSE,"IC_Global (98-f)";#N/A,#N/A,FALSE,"Inc";#N/A,#N/A,FALSE,"CAMBIOS (2)";#N/A,#N/A,FALSE,"EXPL Inc.";#N/A,#N/A,FALSE,"HITOS98";#N/A,#N/A,FALSE,"CURVA ""S"" GLOBAL ";#N/A,#N/A,FALSE,"CURVA ""S"" 1998 "}</definedName>
    <definedName name="SFGAST5" localSheetId="2"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0" hidden="1">{#N/A,#N/A,FALSE,"masez (10)";#N/A,#N/A,FALSE,"masez (7)";#N/A,#N/A,FALSE,"masez (6)";#N/A,#N/A,FALSE,"masez (5)";#N/A,#N/A,FALSE,"masez (4)";#N/A,#N/A,FALSE,"masez (3)";#N/A,#N/A,FALSE,"masez (2)";#N/A,#N/A,FALSE,"GME";#N/A,#N/A,FALSE,"masez"}</definedName>
    <definedName name="SFSTRT" localSheetId="2"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H" localSheetId="0" hidden="1">{#N/A,#N/A,FALSE,"GERAL";#N/A,#N/A,FALSE,"012-96";#N/A,#N/A,FALSE,"018-96";#N/A,#N/A,FALSE,"027-96";#N/A,#N/A,FALSE,"059-96";#N/A,#N/A,FALSE,"076-96";#N/A,#N/A,FALSE,"019-97";#N/A,#N/A,FALSE,"021-97";#N/A,#N/A,FALSE,"022-97";#N/A,#N/A,FALSE,"028-97"}</definedName>
    <definedName name="SH" localSheetId="2" hidden="1">{#N/A,#N/A,FALSE,"GERAL";#N/A,#N/A,FALSE,"012-96";#N/A,#N/A,FALSE,"018-96";#N/A,#N/A,FALSE,"027-96";#N/A,#N/A,FALSE,"059-96";#N/A,#N/A,FALSE,"076-96";#N/A,#N/A,FALSE,"019-97";#N/A,#N/A,FALSE,"021-97";#N/A,#N/A,FALSE,"022-97";#N/A,#N/A,FALSE,"028-97"}</definedName>
    <definedName name="SH" hidden="1">{#N/A,#N/A,FALSE,"GERAL";#N/A,#N/A,FALSE,"012-96";#N/A,#N/A,FALSE,"018-96";#N/A,#N/A,FALSE,"027-96";#N/A,#N/A,FALSE,"059-96";#N/A,#N/A,FALSE,"076-96";#N/A,#N/A,FALSE,"019-97";#N/A,#N/A,FALSE,"021-97";#N/A,#N/A,FALSE,"022-97";#N/A,#N/A,FALSE,"028-97"}</definedName>
    <definedName name="SHEE" localSheetId="0">#REF!</definedName>
    <definedName name="SHEE">#REF!</definedName>
    <definedName name="SHEET" localSheetId="0">#REF!</definedName>
    <definedName name="SHEET">#REF!</definedName>
    <definedName name="Sheet_size" localSheetId="0">#REF!</definedName>
    <definedName name="Sheet_size">#REF!</definedName>
    <definedName name="shit" localSheetId="0">#REF!</definedName>
    <definedName name="shit">#REF!</definedName>
    <definedName name="shit2" localSheetId="0">#REF!</definedName>
    <definedName name="shit2">#REF!</definedName>
    <definedName name="ShrsperWk" localSheetId="0">#REF!</definedName>
    <definedName name="ShrsperWk">#REF!</definedName>
    <definedName name="Si" localSheetId="0" hidden="1">{#N/A,#N/A,FALSE,"GERAL";#N/A,#N/A,FALSE,"012-96";#N/A,#N/A,FALSE,"018-96";#N/A,#N/A,FALSE,"027-96";#N/A,#N/A,FALSE,"059-96";#N/A,#N/A,FALSE,"076-96";#N/A,#N/A,FALSE,"019-97";#N/A,#N/A,FALSE,"021-97";#N/A,#N/A,FALSE,"022-97";#N/A,#N/A,FALSE,"028-97"}</definedName>
    <definedName name="Si" localSheetId="2" hidden="1">{#N/A,#N/A,FALSE,"GERAL";#N/A,#N/A,FALSE,"012-96";#N/A,#N/A,FALSE,"018-96";#N/A,#N/A,FALSE,"027-96";#N/A,#N/A,FALSE,"059-96";#N/A,#N/A,FALSE,"076-96";#N/A,#N/A,FALSE,"019-97";#N/A,#N/A,FALSE,"021-97";#N/A,#N/A,FALSE,"022-97";#N/A,#N/A,FALSE,"028-97"}</definedName>
    <definedName name="Si" hidden="1">{#N/A,#N/A,FALSE,"GERAL";#N/A,#N/A,FALSE,"012-96";#N/A,#N/A,FALSE,"018-96";#N/A,#N/A,FALSE,"027-96";#N/A,#N/A,FALSE,"059-96";#N/A,#N/A,FALSE,"076-96";#N/A,#N/A,FALSE,"019-97";#N/A,#N/A,FALSE,"021-97";#N/A,#N/A,FALSE,"022-97";#N/A,#N/A,FALSE,"028-97"}</definedName>
    <definedName name="SidewallsScaled" localSheetId="0">#REF!</definedName>
    <definedName name="SidewallsScaled">#REF!</definedName>
    <definedName name="SIE" localSheetId="0">#REF!</definedName>
    <definedName name="SIE">#REF!</definedName>
    <definedName name="SIG" localSheetId="0">#REF!</definedName>
    <definedName name="SIG">#REF!</definedName>
    <definedName name="Singularidade" localSheetId="0">#REF!</definedName>
    <definedName name="Singularidade">#REF!</definedName>
    <definedName name="Singularidade1" localSheetId="0">#REF!</definedName>
    <definedName name="Singularidade1">#REF!</definedName>
    <definedName name="SITE" localSheetId="0">#REF!</definedName>
    <definedName name="SITE">#REF!</definedName>
    <definedName name="SixA" localSheetId="0">#REF!</definedName>
    <definedName name="SixA">#REF!</definedName>
    <definedName name="SixB" localSheetId="0">#REF!</definedName>
    <definedName name="SixB">#REF!</definedName>
    <definedName name="SixC" localSheetId="0">#REF!</definedName>
    <definedName name="SixC">#REF!</definedName>
    <definedName name="SixD" localSheetId="0">#REF!</definedName>
    <definedName name="SixD">#REF!</definedName>
    <definedName name="SixE" localSheetId="0">#REF!</definedName>
    <definedName name="SixE">#REF!</definedName>
    <definedName name="SixF" localSheetId="0">#REF!</definedName>
    <definedName name="SixF">#REF!</definedName>
    <definedName name="SixG" localSheetId="0">#REF!</definedName>
    <definedName name="SixG">#REF!</definedName>
    <definedName name="SixH" localSheetId="0">#REF!</definedName>
    <definedName name="SixH">#REF!</definedName>
    <definedName name="SixI" localSheetId="0">#REF!</definedName>
    <definedName name="SixI">#REF!</definedName>
    <definedName name="SixJ" localSheetId="0">#REF!</definedName>
    <definedName name="SixJ">#REF!</definedName>
    <definedName name="SixK" localSheetId="0">#REF!</definedName>
    <definedName name="SixK">#REF!</definedName>
    <definedName name="SixL" localSheetId="0">#REF!</definedName>
    <definedName name="SixL">#REF!</definedName>
    <definedName name="SixM" localSheetId="0">#REF!</definedName>
    <definedName name="SixM">#REF!</definedName>
    <definedName name="Sml" localSheetId="0">{"um","dois","três","quatro","cinco","seis","sete","oito","nove","dez","onze","doze","treze","quatorze","quinze","dezesseis","dezessete","dezoito","dezenove"}</definedName>
    <definedName name="Sml" localSheetId="2">{"um","dois","três","quatro","cinco","seis","sete","oito","nove","dez","onze","doze","treze","quatorze","quinze","dezesseis","dezessete","dezoito","dezenove"}</definedName>
    <definedName name="Sml">{"um","dois","três","quatro","cinco","seis","sete","oito","nove","dez","onze","doze","treze","quatorze","quinze","dezesseis","dezessete","dezoito","dezenove"}</definedName>
    <definedName name="Sng" localSheetId="0">{"um","mil","um milhão","um bilhão","um trilhão"}</definedName>
    <definedName name="Sng" localSheetId="2">{"um","mil","um milhão","um bilhão","um trilhão"}</definedName>
    <definedName name="Sng">{"um","mil","um milhão","um bilhão","um trilhão"}</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OMA" localSheetId="0">#REF!</definedName>
    <definedName name="SOMA">#REF!</definedName>
    <definedName name="SP_C" localSheetId="0">#REF!</definedName>
    <definedName name="SP_C">#REF!</definedName>
    <definedName name="span" localSheetId="0">#REF!</definedName>
    <definedName name="span">#REF!</definedName>
    <definedName name="SPECIALIZED" localSheetId="0">#REF!</definedName>
    <definedName name="SPECIALIZED">#REF!</definedName>
    <definedName name="SRH" localSheetId="0" hidden="1">{#N/A,#N/A,FALSE,"GERAL";#N/A,#N/A,FALSE,"012-96";#N/A,#N/A,FALSE,"018-96";#N/A,#N/A,FALSE,"027-96";#N/A,#N/A,FALSE,"059-96";#N/A,#N/A,FALSE,"076-96";#N/A,#N/A,FALSE,"019-97";#N/A,#N/A,FALSE,"021-97";#N/A,#N/A,FALSE,"022-97";#N/A,#N/A,FALSE,"028-97"}</definedName>
    <definedName name="SRH" localSheetId="2" hidden="1">{#N/A,#N/A,FALSE,"GERAL";#N/A,#N/A,FALSE,"012-96";#N/A,#N/A,FALSE,"018-96";#N/A,#N/A,FALSE,"027-96";#N/A,#N/A,FALSE,"059-96";#N/A,#N/A,FALSE,"076-96";#N/A,#N/A,FALSE,"019-97";#N/A,#N/A,FALSE,"021-97";#N/A,#N/A,FALSE,"022-97";#N/A,#N/A,FALSE,"028-97"}</definedName>
    <definedName name="SRH" hidden="1">{#N/A,#N/A,FALSE,"GERAL";#N/A,#N/A,FALSE,"012-96";#N/A,#N/A,FALSE,"018-96";#N/A,#N/A,FALSE,"027-96";#N/A,#N/A,FALSE,"059-96";#N/A,#N/A,FALSE,"076-96";#N/A,#N/A,FALSE,"019-97";#N/A,#N/A,FALSE,"021-97";#N/A,#N/A,FALSE,"022-97";#N/A,#N/A,FALSE,"028-97"}</definedName>
    <definedName name="SRTSRT" localSheetId="0" hidden="1">{#N/A,#N/A,FALSE,"GERAL";#N/A,#N/A,FALSE,"012-96";#N/A,#N/A,FALSE,"018-96";#N/A,#N/A,FALSE,"027-96";#N/A,#N/A,FALSE,"059-96";#N/A,#N/A,FALSE,"076-96";#N/A,#N/A,FALSE,"019-97";#N/A,#N/A,FALSE,"021-97";#N/A,#N/A,FALSE,"022-97";#N/A,#N/A,FALSE,"028-97"}</definedName>
    <definedName name="SRTSRT" localSheetId="2"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localSheetId="0" hidden="1">{#N/A,#N/A,FALSE,"GERAL";#N/A,#N/A,FALSE,"012-96";#N/A,#N/A,FALSE,"018-96";#N/A,#N/A,FALSE,"027-96";#N/A,#N/A,FALSE,"059-96";#N/A,#N/A,FALSE,"076-96";#N/A,#N/A,FALSE,"019-97";#N/A,#N/A,FALSE,"021-97";#N/A,#N/A,FALSE,"022-97";#N/A,#N/A,FALSE,"028-97"}</definedName>
    <definedName name="SRTST" localSheetId="2"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 localSheetId="0" hidden="1">{#N/A,#N/A,FALSE,"GERAL";#N/A,#N/A,FALSE,"012-96";#N/A,#N/A,FALSE,"018-96";#N/A,#N/A,FALSE,"027-96";#N/A,#N/A,FALSE,"059-96";#N/A,#N/A,FALSE,"076-96";#N/A,#N/A,FALSE,"019-97";#N/A,#N/A,FALSE,"021-97";#N/A,#N/A,FALSE,"022-97";#N/A,#N/A,FALSE,"028-97"}</definedName>
    <definedName name="ss" localSheetId="2" hidden="1">{#N/A,#N/A,FALSE,"GERAL";#N/A,#N/A,FALSE,"012-96";#N/A,#N/A,FALSE,"018-96";#N/A,#N/A,FALSE,"027-96";#N/A,#N/A,FALSE,"059-96";#N/A,#N/A,FALSE,"076-96";#N/A,#N/A,FALSE,"019-97";#N/A,#N/A,FALSE,"021-97";#N/A,#N/A,FALSE,"022-97";#N/A,#N/A,FALSE,"028-97"}</definedName>
    <definedName name="ss" hidden="1">{#N/A,#N/A,FALSE,"GERAL";#N/A,#N/A,FALSE,"012-96";#N/A,#N/A,FALSE,"018-96";#N/A,#N/A,FALSE,"027-96";#N/A,#N/A,FALSE,"059-96";#N/A,#N/A,FALSE,"076-96";#N/A,#N/A,FALSE,"019-97";#N/A,#N/A,FALSE,"021-97";#N/A,#N/A,FALSE,"022-97";#N/A,#N/A,FALSE,"028-97"}</definedName>
    <definedName name="ssdsdsds"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dsdsds"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dsdsd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No" localSheetId="0">#REF!</definedName>
    <definedName name="SSNo">#REF!</definedName>
    <definedName name="sss" localSheetId="0" hidden="1">{#N/A,#N/A,FALSE,"masez (10)";#N/A,#N/A,FALSE,"masez (7)";#N/A,#N/A,FALSE,"masez (6)";#N/A,#N/A,FALSE,"masez (5)";#N/A,#N/A,FALSE,"masez (4)";#N/A,#N/A,FALSE,"masez (3)";#N/A,#N/A,FALSE,"masez (2)";#N/A,#N/A,FALSE,"GME";#N/A,#N/A,FALSE,"masez"}</definedName>
    <definedName name="sss" localSheetId="2" hidden="1">{#N/A,#N/A,FALSE,"masez (10)";#N/A,#N/A,FALSE,"masez (7)";#N/A,#N/A,FALSE,"masez (6)";#N/A,#N/A,FALSE,"masez (5)";#N/A,#N/A,FALSE,"masez (4)";#N/A,#N/A,FALSE,"masez (3)";#N/A,#N/A,FALSE,"masez (2)";#N/A,#N/A,FALSE,"GME";#N/A,#N/A,FALSE,"masez"}</definedName>
    <definedName name="sss" hidden="1">{#N/A,#N/A,FALSE,"masez (10)";#N/A,#N/A,FALSE,"masez (7)";#N/A,#N/A,FALSE,"masez (6)";#N/A,#N/A,FALSE,"masez (5)";#N/A,#N/A,FALSE,"masez (4)";#N/A,#N/A,FALSE,"masez (3)";#N/A,#N/A,FALSE,"masez (2)";#N/A,#N/A,FALSE,"GME";#N/A,#N/A,FALSE,"masez"}</definedName>
    <definedName name="SSSS" localSheetId="0">#REF!</definedName>
    <definedName name="SSSS">#REF!</definedName>
    <definedName name="sssss" localSheetId="0" hidden="1">{#N/A,#N/A,FALSE,"Total_OC015";#N/A,#N/A,FALSE,"ADMIN";#N/A,#N/A,FALSE,"PROCES";#N/A,#N/A,FALSE,"mecan";#N/A,#N/A,FALSE,"civil";#N/A,#N/A,FALSE,"CAÑER";#N/A,#N/A,FALSE,"ELEC";#N/A,#N/A,FALSE,"INSTR"}</definedName>
    <definedName name="sssss" localSheetId="2" hidden="1">{#N/A,#N/A,FALSE,"Total_OC015";#N/A,#N/A,FALSE,"ADMIN";#N/A,#N/A,FALSE,"PROCES";#N/A,#N/A,FALSE,"mecan";#N/A,#N/A,FALSE,"civil";#N/A,#N/A,FALSE,"CAÑER";#N/A,#N/A,FALSE,"ELEC";#N/A,#N/A,FALSE,"INSTR"}</definedName>
    <definedName name="sssss" hidden="1">{#N/A,#N/A,FALSE,"Total_OC015";#N/A,#N/A,FALSE,"ADMIN";#N/A,#N/A,FALSE,"PROCES";#N/A,#N/A,FALSE,"mecan";#N/A,#N/A,FALSE,"civil";#N/A,#N/A,FALSE,"CAÑER";#N/A,#N/A,FALSE,"ELEC";#N/A,#N/A,FALSE,"INSTR"}</definedName>
    <definedName name="SSSSSS" localSheetId="0">#REF!</definedName>
    <definedName name="SSSSSS">#REF!</definedName>
    <definedName name="sssssssss" localSheetId="0" hidden="1">{#N/A,#N/A,FALSE,"GERAL";#N/A,#N/A,FALSE,"012-96";#N/A,#N/A,FALSE,"018-96";#N/A,#N/A,FALSE,"027-96";#N/A,#N/A,FALSE,"059-96";#N/A,#N/A,FALSE,"076-96";#N/A,#N/A,FALSE,"019-97";#N/A,#N/A,FALSE,"021-97";#N/A,#N/A,FALSE,"022-97";#N/A,#N/A,FALSE,"028-97"}</definedName>
    <definedName name="sssssssss" localSheetId="2" hidden="1">{#N/A,#N/A,FALSE,"GERAL";#N/A,#N/A,FALSE,"012-96";#N/A,#N/A,FALSE,"018-96";#N/A,#N/A,FALSE,"027-96";#N/A,#N/A,FALSE,"059-96";#N/A,#N/A,FALSE,"076-96";#N/A,#N/A,FALSE,"019-97";#N/A,#N/A,FALSE,"021-97";#N/A,#N/A,FALSE,"022-97";#N/A,#N/A,FALSE,"028-97"}</definedName>
    <definedName name="sssssssss" hidden="1">{#N/A,#N/A,FALSE,"GERAL";#N/A,#N/A,FALSE,"012-96";#N/A,#N/A,FALSE,"018-96";#N/A,#N/A,FALSE,"027-96";#N/A,#N/A,FALSE,"059-96";#N/A,#N/A,FALSE,"076-96";#N/A,#N/A,FALSE,"019-97";#N/A,#N/A,FALSE,"021-97";#N/A,#N/A,FALSE,"022-97";#N/A,#N/A,FALSE,"028-97"}</definedName>
    <definedName name="SSYes" localSheetId="0">#REF!</definedName>
    <definedName name="SSYes">#REF!</definedName>
    <definedName name="st" localSheetId="0">#REF!</definedName>
    <definedName name="st">#REF!</definedName>
    <definedName name="Staff" localSheetId="0">#REF!</definedName>
    <definedName name="Staff">#REF!</definedName>
    <definedName name="staff_ratio" localSheetId="0">#REF!</definedName>
    <definedName name="staff_ratio">#REF!</definedName>
    <definedName name="Std_dev" localSheetId="0">#REF!</definedName>
    <definedName name="Std_dev">#REF!</definedName>
    <definedName name="STEEL" localSheetId="0">#REF!</definedName>
    <definedName name="STEEL">#REF!</definedName>
    <definedName name="STO09.010.0060" localSheetId="0">#REF!</definedName>
    <definedName name="STO09.010.0060">#REF!</definedName>
    <definedName name="STOT02.010.0020" localSheetId="0">#REF!</definedName>
    <definedName name="STOT02.010.0020">#REF!</definedName>
    <definedName name="STOT02.010.0040" localSheetId="0">#REF!</definedName>
    <definedName name="STOT02.010.0040">#REF!</definedName>
    <definedName name="STOT02.010.0050">#REF!</definedName>
    <definedName name="STOT02.010.0065">#REF!</definedName>
    <definedName name="STOT02.010.0080">#REF!</definedName>
    <definedName name="STOT02.010.0090">#REF!</definedName>
    <definedName name="STOT02.010.0130">#REF!</definedName>
    <definedName name="STOT02.010.0140">#REF!</definedName>
    <definedName name="STOT02.010.0150">#REF!</definedName>
    <definedName name="STOT02.010.0190">#REF!</definedName>
    <definedName name="STOT03.010.0020">#REF!</definedName>
    <definedName name="STOT03.010.0270">#REF!</definedName>
    <definedName name="STOT03.010.0430">#REF!</definedName>
    <definedName name="STOT03.010.0440">#REF!</definedName>
    <definedName name="STOT04.010.0010">#REF!</definedName>
    <definedName name="STOT04.010.0020">#REF!</definedName>
    <definedName name="STOT04.010.0040">#REF!</definedName>
    <definedName name="STOT04.010.0050">#REF!</definedName>
    <definedName name="STOT04.010.0070">#REF!</definedName>
    <definedName name="STOT04.010.0140">#REF!</definedName>
    <definedName name="STOT04.010.0150">#REF!</definedName>
    <definedName name="STOT04.010.0190">#REF!</definedName>
    <definedName name="STOT04.010.0290" localSheetId="0">#REF!</definedName>
    <definedName name="STOT04.010.0290">#REF!</definedName>
    <definedName name="STOT04.010.0420" localSheetId="0">#REF!</definedName>
    <definedName name="STOT04.010.0420">#REF!</definedName>
    <definedName name="STOT04.010.0430" localSheetId="0">#REF!</definedName>
    <definedName name="STOT04.010.0430">#REF!</definedName>
    <definedName name="STOT05.010.0010" localSheetId="0">#REF!</definedName>
    <definedName name="STOT05.010.0010">#REF!</definedName>
    <definedName name="STOT05.010.0020">#REF!</definedName>
    <definedName name="STOT06.010.0010">#REF!</definedName>
    <definedName name="STOT08.010.0010">#REF!</definedName>
    <definedName name="STOT08.010.0030">#REF!</definedName>
    <definedName name="STOT08.010.0040">#REF!</definedName>
    <definedName name="STOT08.010.0080">#REF!</definedName>
    <definedName name="STOT08.010.0120">#REF!</definedName>
    <definedName name="STOT08.010.0210">#REF!</definedName>
    <definedName name="STOT08.010.0355">#REF!</definedName>
    <definedName name="STOT08.010.0380">#REF!</definedName>
    <definedName name="STOT08.020.0400">#REF!</definedName>
    <definedName name="STOT08.020.0410">#REF!</definedName>
    <definedName name="STOT08.020.0420">#REF!</definedName>
    <definedName name="STOT08.020.0440">#REF!</definedName>
    <definedName name="STOT09.010.0060">#REF!</definedName>
    <definedName name="STOT09.010.0150">#REF!</definedName>
    <definedName name="STOT09.010.0160">#REF!</definedName>
    <definedName name="STOT09.010.0470">#REF!</definedName>
    <definedName name="STOT09.010.0520">#REF!</definedName>
    <definedName name="STOT09.010.0580">#REF!</definedName>
    <definedName name="STOT10.010.0030">#REF!</definedName>
    <definedName name="STOT10.010.0150">#REF!</definedName>
    <definedName name="STOT10.010.0180">#REF!</definedName>
    <definedName name="STOT10.010.0260">#REF!</definedName>
    <definedName name="STOT10.010.0270">#REF!</definedName>
    <definedName name="STOT10.010.0298">#REF!</definedName>
    <definedName name="STOT10.010.0300">#REF!</definedName>
    <definedName name="STOT10.010.0301">#REF!</definedName>
    <definedName name="STOT10.010.0307">#REF!</definedName>
    <definedName name="STOT10.010.0310">#REF!</definedName>
    <definedName name="STOT10.010.0320">#REF!</definedName>
    <definedName name="STOT10.010.0333">#REF!</definedName>
    <definedName name="STOT10.010.0380">#REF!</definedName>
    <definedName name="STOT10.010.0430">#REF!</definedName>
    <definedName name="STOT10.010.0450">#REF!</definedName>
    <definedName name="STOT10.010.0612">#REF!</definedName>
    <definedName name="STOT10.010.0624">#REF!</definedName>
    <definedName name="STOT10.010.0625">#REF!</definedName>
    <definedName name="STOT10.010.0635">#REF!</definedName>
    <definedName name="STOT10.010.0640">#REF!</definedName>
    <definedName name="STOT10.010.0700">#REF!</definedName>
    <definedName name="STOT10.010.1090">#REF!</definedName>
    <definedName name="STOT10.010.1100">#REF!</definedName>
    <definedName name="STOT10.010.1110">#REF!</definedName>
    <definedName name="STOT10.010.1150">#REF!</definedName>
    <definedName name="STOT10.010.1370">#REF!</definedName>
    <definedName name="STOT10.010.1520">#REF!</definedName>
    <definedName name="STOT10.010.1535">#REF!</definedName>
    <definedName name="STOT10.010.1570">#REF!</definedName>
    <definedName name="STOT11.010.0020">#REF!</definedName>
    <definedName name="STOT11.010.0040">#REF!</definedName>
    <definedName name="STOT11.010.0060">#REF!</definedName>
    <definedName name="STOT11.010.0095">#REF!</definedName>
    <definedName name="STOT11.010.0111">#REF!</definedName>
    <definedName name="STOT11.010.0160">#REF!</definedName>
    <definedName name="STOT11.010.0170">#REF!</definedName>
    <definedName name="STOT11.010.0180">#REF!</definedName>
    <definedName name="STOT11.010.0190">#REF!</definedName>
    <definedName name="STOT11.010.0200">#REF!</definedName>
    <definedName name="STOT11.010.0210">#REF!</definedName>
    <definedName name="STOT11.010.0220">#REF!</definedName>
    <definedName name="STOT11.010.0250">#REF!</definedName>
    <definedName name="STOT11.010.0280">#REF!</definedName>
    <definedName name="STOT11.010.0290">#REF!</definedName>
    <definedName name="STOT11.010.0360">#REF!</definedName>
    <definedName name="STOT11.010.0400">#REF!</definedName>
    <definedName name="STOT11.010.0500">#REF!</definedName>
    <definedName name="STOT11.010.0510">#REF!</definedName>
    <definedName name="STOT11.010.0700">#REF!</definedName>
    <definedName name="STOT12.010.0550">#REF!</definedName>
    <definedName name="STOT13.010.0060">#REF!</definedName>
    <definedName name="STOT13.010.0070">#REF!</definedName>
    <definedName name="STOT13.010.0500">#REF!</definedName>
    <definedName name="STOT13.010.1190">#REF!</definedName>
    <definedName name="STOT13.010.1200">#REF!</definedName>
    <definedName name="STOT13.010.1210">#REF!</definedName>
    <definedName name="STOT13.010.1240">#REF!</definedName>
    <definedName name="STOT15.010.0010" localSheetId="0">#REF!</definedName>
    <definedName name="STOT15.010.0010">#REF!</definedName>
    <definedName name="STOT15.010.0040" localSheetId="0">#REF!</definedName>
    <definedName name="STOT15.010.0040">#REF!</definedName>
    <definedName name="STOT15.010.0055" localSheetId="0">#REF!</definedName>
    <definedName name="STOT15.010.0055">#REF!</definedName>
    <definedName name="STOT15.010.0270" localSheetId="0">#REF!</definedName>
    <definedName name="STOT15.010.0270">#REF!</definedName>
    <definedName name="STOT15.010.0280" localSheetId="0">#REF!</definedName>
    <definedName name="STOT15.010.0280">#REF!</definedName>
    <definedName name="STOT16.010.0010" localSheetId="0">#REF!</definedName>
    <definedName name="STOT16.010.0010">#REF!</definedName>
    <definedName name="STOT16.010.0060">#REF!</definedName>
    <definedName name="STOT16.010.0110">#REF!</definedName>
    <definedName name="STOT16.010.0120">#REF!</definedName>
    <definedName name="STOT16.010.0170">#REF!</definedName>
    <definedName name="STOT17.010.0090">#REF!</definedName>
    <definedName name="STOT17.010.0290">#REF!</definedName>
    <definedName name="STOT17.010.0320">#REF!</definedName>
    <definedName name="STOT17.010.0351">#REF!</definedName>
    <definedName name="STOT17.010.0390">#REF!</definedName>
    <definedName name="STOT17.010.0436">#REF!</definedName>
    <definedName name="STOT17.010.0437">#REF!</definedName>
    <definedName name="STOT17.010.0444">#REF!</definedName>
    <definedName name="STOT17.010.0455">#REF!</definedName>
    <definedName name="STOT17.010.0551">#REF!</definedName>
    <definedName name="STOT17.010.0603">#REF!</definedName>
    <definedName name="STOT17.010.0604">#REF!</definedName>
    <definedName name="STOTComposição01">#REF!</definedName>
    <definedName name="STOTComposição02">#REF!</definedName>
    <definedName name="STOTComposição03">#REF!</definedName>
    <definedName name="STOTComposição04">#REF!</definedName>
    <definedName name="STOTComposição05">#REF!</definedName>
    <definedName name="STOTComposição06">#REF!</definedName>
    <definedName name="STOTCOTADO01">#REF!</definedName>
    <definedName name="struct" localSheetId="0">#REF!</definedName>
    <definedName name="struct">#REF!</definedName>
    <definedName name="STRUCTURAL" localSheetId="0">#REF!</definedName>
    <definedName name="STRUCTURAL">#REF!</definedName>
    <definedName name="Sub_Area" localSheetId="0">#REF!</definedName>
    <definedName name="Sub_Area">#REF!</definedName>
    <definedName name="Sub_Type" localSheetId="0">#REF!</definedName>
    <definedName name="Sub_Type">#REF!</definedName>
    <definedName name="Subestação">#REF!</definedName>
    <definedName name="SubTotalA">#REF!</definedName>
    <definedName name="SubTotalB">#REF!</definedName>
    <definedName name="SUCCAO" localSheetId="0">#REF!</definedName>
    <definedName name="SUCCAO">#REF!</definedName>
    <definedName name="SUELDO_MANT" localSheetId="0">#REF!</definedName>
    <definedName name="SUELDO_MANT">#REF!</definedName>
    <definedName name="SUELDO_OP" localSheetId="0">#REF!</definedName>
    <definedName name="SUELDO_OP">#REF!</definedName>
    <definedName name="sum" localSheetId="0">#REF!</definedName>
    <definedName name="sum">#REF!</definedName>
    <definedName name="sumário">#REF!</definedName>
    <definedName name="Summary" localSheetId="0">#REF!</definedName>
    <definedName name="Summary">#REF!</definedName>
    <definedName name="SumOfTotals" localSheetId="0">#REF!</definedName>
    <definedName name="SumOfTotals">#REF!</definedName>
    <definedName name="super" localSheetId="0">#REF!</definedName>
    <definedName name="super">#REF!</definedName>
    <definedName name="SUPRIMENTOS" localSheetId="0">#REF!</definedName>
    <definedName name="SUPRIMENTOS">#REF!</definedName>
    <definedName name="T" localSheetId="0">#REF!</definedName>
    <definedName name="T">#REF!</definedName>
    <definedName name="ta" localSheetId="0" hidden="1">{#N/A,#N/A,FALSE,"GERAL";#N/A,#N/A,FALSE,"012-96";#N/A,#N/A,FALSE,"018-96";#N/A,#N/A,FALSE,"027-96";#N/A,#N/A,FALSE,"059-96";#N/A,#N/A,FALSE,"076-96";#N/A,#N/A,FALSE,"019-97";#N/A,#N/A,FALSE,"021-97";#N/A,#N/A,FALSE,"022-97";#N/A,#N/A,FALSE,"028-97"}</definedName>
    <definedName name="ta" localSheetId="2" hidden="1">{#N/A,#N/A,FALSE,"GERAL";#N/A,#N/A,FALSE,"012-96";#N/A,#N/A,FALSE,"018-96";#N/A,#N/A,FALSE,"027-96";#N/A,#N/A,FALSE,"059-96";#N/A,#N/A,FALSE,"076-96";#N/A,#N/A,FALSE,"019-97";#N/A,#N/A,FALSE,"021-97";#N/A,#N/A,FALSE,"022-97";#N/A,#N/A,FALSE,"028-97"}</definedName>
    <definedName name="ta" hidden="1">{#N/A,#N/A,FALSE,"GERAL";#N/A,#N/A,FALSE,"012-96";#N/A,#N/A,FALSE,"018-96";#N/A,#N/A,FALSE,"027-96";#N/A,#N/A,FALSE,"059-96";#N/A,#N/A,FALSE,"076-96";#N/A,#N/A,FALSE,"019-97";#N/A,#N/A,FALSE,"021-97";#N/A,#N/A,FALSE,"022-97";#N/A,#N/A,FALSE,"028-97"}</definedName>
    <definedName name="tab" localSheetId="0">#REF!</definedName>
    <definedName name="tab">#REF!</definedName>
    <definedName name="tab_mancal" localSheetId="0">#REF!</definedName>
    <definedName name="tab_mancal">#REF!</definedName>
    <definedName name="TABEFET" localSheetId="0">#REF!</definedName>
    <definedName name="TABEFET">#REF!</definedName>
    <definedName name="TABELA">#REF!</definedName>
    <definedName name="TABELA01">#REF!</definedName>
    <definedName name="TABELA02">#REF!</definedName>
    <definedName name="tabela03">#REF!</definedName>
    <definedName name="tabela2">#REF!</definedName>
    <definedName name="tabelaDenominação">#REF!</definedName>
    <definedName name="TABLA1" localSheetId="0">#REF!</definedName>
    <definedName name="TABLA1">#REF!</definedName>
    <definedName name="TABLACAR" localSheetId="0">#REF!</definedName>
    <definedName name="TABLACAR">#REF!</definedName>
    <definedName name="Table_1" localSheetId="0">#REF!</definedName>
    <definedName name="Table_1">#REF!</definedName>
    <definedName name="Table_10" localSheetId="0">#REF!</definedName>
    <definedName name="Table_10">#REF!</definedName>
    <definedName name="Table_11" localSheetId="0">#REF!</definedName>
    <definedName name="Table_11">#REF!</definedName>
    <definedName name="Table_2" localSheetId="0">#REF!</definedName>
    <definedName name="Table_2">#REF!</definedName>
    <definedName name="Table_3" localSheetId="0">#REF!</definedName>
    <definedName name="Table_3">#REF!</definedName>
    <definedName name="Table_4" localSheetId="0">#REF!</definedName>
    <definedName name="Table_4">#REF!</definedName>
    <definedName name="Table_5" localSheetId="0">#REF!</definedName>
    <definedName name="Table_5">#REF!</definedName>
    <definedName name="Table_6" localSheetId="0">#REF!</definedName>
    <definedName name="Table_6">#REF!</definedName>
    <definedName name="Table_7" localSheetId="0">#REF!</definedName>
    <definedName name="Table_7">#REF!</definedName>
    <definedName name="Table_8" localSheetId="0">#REF!</definedName>
    <definedName name="Table_8">#REF!</definedName>
    <definedName name="Table_9" localSheetId="0">#REF!</definedName>
    <definedName name="Table_9">#REF!</definedName>
    <definedName name="TableName">"Dummy"</definedName>
    <definedName name="TABMAX" localSheetId="0">#REF!</definedName>
    <definedName name="TABMAX">#REF!</definedName>
    <definedName name="TABMIN" localSheetId="0">#REF!</definedName>
    <definedName name="TABMIN">#REF!</definedName>
    <definedName name="TabRelatorio" localSheetId="0">#REF!</definedName>
    <definedName name="TabRelatorio">#REF!</definedName>
    <definedName name="tabtubo" localSheetId="0">#REF!</definedName>
    <definedName name="tabtubo">#REF!</definedName>
    <definedName name="TABTUBOMM" localSheetId="0">#REF!</definedName>
    <definedName name="TABTUBOMM">#REF!</definedName>
    <definedName name="Tag_Carga">#REF!</definedName>
    <definedName name="Tag_CCM">#REF!</definedName>
    <definedName name="TAMBOR" localSheetId="0">#REF!</definedName>
    <definedName name="TAMBOR">#REF!</definedName>
    <definedName name="TAMBOR_DADOS" localSheetId="0">#REF!</definedName>
    <definedName name="TAMBOR_DADOS">#REF!</definedName>
    <definedName name="tank" localSheetId="0">#REF!</definedName>
    <definedName name="tank">#REF!</definedName>
    <definedName name="tanque" localSheetId="0">#REF!</definedName>
    <definedName name="tanque">#REF!</definedName>
    <definedName name="tasacambio" localSheetId="0">#REF!</definedName>
    <definedName name="tasacambio">#REF!</definedName>
    <definedName name="TASK" localSheetId="0">#REF!</definedName>
    <definedName name="TASK">#REF!</definedName>
    <definedName name="TASKPRED" localSheetId="0">#REF!</definedName>
    <definedName name="TASKPRED">#REF!</definedName>
    <definedName name="TASKRSRC" localSheetId="0">#REF!</definedName>
    <definedName name="TASKRSRC">#REF!</definedName>
    <definedName name="tax_expat">#REF!</definedName>
    <definedName name="tax_local">#REF!</definedName>
    <definedName name="Taxa_de_Cambio" localSheetId="0">#REF!</definedName>
    <definedName name="Taxa_de_Cambio">#REF!</definedName>
    <definedName name="Taxa_de_Desconto" localSheetId="0">#REF!</definedName>
    <definedName name="Taxa_de_Desconto">#REF!</definedName>
    <definedName name="Taxi_BR">#REF!</definedName>
    <definedName name="Taxi_SAF">#REF!</definedName>
    <definedName name="TBF">#REF!</definedName>
    <definedName name="TDCTO" localSheetId="0">#REF!</definedName>
    <definedName name="TDCTO">#REF!</definedName>
    <definedName name="telaA" localSheetId="0">#REF!</definedName>
    <definedName name="telaA" localSheetId="2">#REF!</definedName>
    <definedName name="telaA">#REF!</definedName>
    <definedName name="telaC" localSheetId="0">#REF!</definedName>
    <definedName name="telaC" localSheetId="2">#REF!</definedName>
    <definedName name="telaC">#REF!</definedName>
    <definedName name="tem" localSheetId="0">#REF!</definedName>
    <definedName name="tem">#REF!</definedName>
    <definedName name="TEMPO" localSheetId="0">#REF!</definedName>
    <definedName name="TEMPO">#REF!</definedName>
    <definedName name="TERRA" localSheetId="0">#REF!</definedName>
    <definedName name="TERRA">#REF!</definedName>
    <definedName name="test" localSheetId="0">#REF!</definedName>
    <definedName name="test">#REF!</definedName>
    <definedName name="TEST0" localSheetId="0">#REF!</definedName>
    <definedName name="TEST0">#REF!</definedName>
    <definedName name="TEST1" localSheetId="0">#REF!</definedName>
    <definedName name="TEST1">#REF!</definedName>
    <definedName name="TEST10" localSheetId="0">#REF!</definedName>
    <definedName name="TEST10">#REF!</definedName>
    <definedName name="TEST11" localSheetId="0">#REF!</definedName>
    <definedName name="TEST11">#REF!</definedName>
    <definedName name="TEST12" localSheetId="0">#REF!</definedName>
    <definedName name="TEST12">#REF!</definedName>
    <definedName name="TEST13" localSheetId="0">#REF!</definedName>
    <definedName name="TEST13">#REF!</definedName>
    <definedName name="TEST14" localSheetId="0">#REF!</definedName>
    <definedName name="TEST14">#REF!</definedName>
    <definedName name="TEST15" localSheetId="0">#REF!</definedName>
    <definedName name="TEST15">#REF!</definedName>
    <definedName name="TEST16" localSheetId="0">#REF!</definedName>
    <definedName name="TEST16">#REF!</definedName>
    <definedName name="TEST17" localSheetId="0">#REF!</definedName>
    <definedName name="TEST17">#REF!</definedName>
    <definedName name="TEST18" localSheetId="0">#REF!</definedName>
    <definedName name="TEST18">#REF!</definedName>
    <definedName name="TEST19" localSheetId="0">#REF!</definedName>
    <definedName name="TEST19">#REF!</definedName>
    <definedName name="TEST2" localSheetId="0">#REF!</definedName>
    <definedName name="TEST2">#REF!</definedName>
    <definedName name="TEST20" localSheetId="0">#REF!</definedName>
    <definedName name="TEST20">#REF!</definedName>
    <definedName name="TEST21" localSheetId="0">#REF!</definedName>
    <definedName name="TEST21">#REF!</definedName>
    <definedName name="TEST22" localSheetId="0">#REF!</definedName>
    <definedName name="TEST22">#REF!</definedName>
    <definedName name="TEST23" localSheetId="0">#REF!</definedName>
    <definedName name="TEST23">#REF!</definedName>
    <definedName name="TEST24" localSheetId="0">#REF!</definedName>
    <definedName name="TEST24">#REF!</definedName>
    <definedName name="TEST25" localSheetId="0">#REF!</definedName>
    <definedName name="TEST25">#REF!</definedName>
    <definedName name="TEST26" localSheetId="0">#REF!</definedName>
    <definedName name="TEST26">#REF!</definedName>
    <definedName name="TEST27" localSheetId="0">#REF!</definedName>
    <definedName name="TEST27">#REF!</definedName>
    <definedName name="TEST28" localSheetId="0">#REF!</definedName>
    <definedName name="TEST28">#REF!</definedName>
    <definedName name="TEST29" localSheetId="0">#REF!</definedName>
    <definedName name="TEST29">#REF!</definedName>
    <definedName name="TEST3" localSheetId="0">#REF!</definedName>
    <definedName name="TEST3">#REF!</definedName>
    <definedName name="TEST30" localSheetId="0">#REF!</definedName>
    <definedName name="TEST30">#REF!</definedName>
    <definedName name="TEST31" localSheetId="0">#REF!</definedName>
    <definedName name="TEST31">#REF!</definedName>
    <definedName name="TEST32" localSheetId="0">#REF!</definedName>
    <definedName name="TEST32">#REF!</definedName>
    <definedName name="TEST33" localSheetId="0">#REF!</definedName>
    <definedName name="TEST33">#REF!</definedName>
    <definedName name="TEST34" localSheetId="0">#REF!</definedName>
    <definedName name="TEST34">#REF!</definedName>
    <definedName name="TEST35" localSheetId="0">#REF!</definedName>
    <definedName name="TEST35">#REF!</definedName>
    <definedName name="TEST36" localSheetId="0">#REF!</definedName>
    <definedName name="TEST36">#REF!</definedName>
    <definedName name="TEST37" localSheetId="0">#REF!</definedName>
    <definedName name="TEST37">#REF!</definedName>
    <definedName name="TEST38" localSheetId="0">#REF!</definedName>
    <definedName name="TEST38">#REF!</definedName>
    <definedName name="TEST39" localSheetId="0">#REF!</definedName>
    <definedName name="TEST39">#REF!</definedName>
    <definedName name="TEST4" localSheetId="0">#REF!</definedName>
    <definedName name="TEST4">#REF!</definedName>
    <definedName name="TEST40" localSheetId="0">#REF!</definedName>
    <definedName name="TEST40">#REF!</definedName>
    <definedName name="TEST41" localSheetId="0">#REF!</definedName>
    <definedName name="TEST41">#REF!</definedName>
    <definedName name="TEST42" localSheetId="0">#REF!</definedName>
    <definedName name="TEST42">#REF!</definedName>
    <definedName name="TEST43" localSheetId="0">#REF!</definedName>
    <definedName name="TEST43">#REF!</definedName>
    <definedName name="TEST44" localSheetId="0">#REF!</definedName>
    <definedName name="TEST44">#REF!</definedName>
    <definedName name="TEST45" localSheetId="0">#REF!</definedName>
    <definedName name="TEST45">#REF!</definedName>
    <definedName name="TEST46" localSheetId="0">#REF!</definedName>
    <definedName name="TEST46">#REF!</definedName>
    <definedName name="TEST47" localSheetId="0">#REF!</definedName>
    <definedName name="TEST47">#REF!</definedName>
    <definedName name="TEST48" localSheetId="0">#REF!</definedName>
    <definedName name="TEST48">#REF!</definedName>
    <definedName name="TEST49" localSheetId="0">#REF!</definedName>
    <definedName name="TEST49">#REF!</definedName>
    <definedName name="TEST5" localSheetId="0">#REF!</definedName>
    <definedName name="TEST5">#REF!</definedName>
    <definedName name="TEST50" localSheetId="0">#REF!</definedName>
    <definedName name="TEST50">#REF!</definedName>
    <definedName name="TEST51" localSheetId="0">#REF!</definedName>
    <definedName name="TEST51">#REF!</definedName>
    <definedName name="TEST52" localSheetId="0">#REF!</definedName>
    <definedName name="TEST52">#REF!</definedName>
    <definedName name="TEST53" localSheetId="0">#REF!</definedName>
    <definedName name="TEST53">#REF!</definedName>
    <definedName name="TEST54" localSheetId="0">#REF!</definedName>
    <definedName name="TEST54">#REF!</definedName>
    <definedName name="TEST55" localSheetId="0">#REF!</definedName>
    <definedName name="TEST55">#REF!</definedName>
    <definedName name="TEST56" localSheetId="0">#REF!</definedName>
    <definedName name="TEST56">#REF!</definedName>
    <definedName name="TEST57" localSheetId="0">#REF!</definedName>
    <definedName name="TEST57">#REF!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e" localSheetId="0">#REF!</definedName>
    <definedName name="teste">#REF!</definedName>
    <definedName name="teste1" localSheetId="0" hidden="1">{#N/A,#N/A,FALSE,"GERAL";#N/A,#N/A,FALSE,"012-96";#N/A,#N/A,FALSE,"018-96";#N/A,#N/A,FALSE,"027-96";#N/A,#N/A,FALSE,"059-96";#N/A,#N/A,FALSE,"076-96";#N/A,#N/A,FALSE,"019-97";#N/A,#N/A,FALSE,"021-97";#N/A,#N/A,FALSE,"022-97";#N/A,#N/A,FALSE,"028-97"}</definedName>
    <definedName name="teste1" localSheetId="2"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TESTE2" localSheetId="0">#REF!</definedName>
    <definedName name="TESTE2">#REF!</definedName>
    <definedName name="testeFuvio" localSheetId="0" hidden="1">{#N/A,#N/A,FALSE,"GERAL";#N/A,#N/A,FALSE,"012-96";#N/A,#N/A,FALSE,"018-96";#N/A,#N/A,FALSE,"027-96";#N/A,#N/A,FALSE,"059-96";#N/A,#N/A,FALSE,"076-96";#N/A,#N/A,FALSE,"019-97";#N/A,#N/A,FALSE,"021-97";#N/A,#N/A,FALSE,"022-97";#N/A,#N/A,FALSE,"028-97"}</definedName>
    <definedName name="testeFuvio" localSheetId="2" hidden="1">{#N/A,#N/A,FALSE,"GERAL";#N/A,#N/A,FALSE,"012-96";#N/A,#N/A,FALSE,"018-96";#N/A,#N/A,FALSE,"027-96";#N/A,#N/A,FALSE,"059-96";#N/A,#N/A,FALSE,"076-96";#N/A,#N/A,FALSE,"019-97";#N/A,#N/A,FALSE,"021-97";#N/A,#N/A,FALSE,"022-97";#N/A,#N/A,FALSE,"028-97"}</definedName>
    <definedName name="testeFuvio" hidden="1">{#N/A,#N/A,FALSE,"GERAL";#N/A,#N/A,FALSE,"012-96";#N/A,#N/A,FALSE,"018-96";#N/A,#N/A,FALSE,"027-96";#N/A,#N/A,FALSE,"059-96";#N/A,#N/A,FALSE,"076-96";#N/A,#N/A,FALSE,"019-97";#N/A,#N/A,FALSE,"021-97";#N/A,#N/A,FALSE,"022-97";#N/A,#N/A,FALSE,"028-97"}</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F_Bay_Size" localSheetId="0">#REF!</definedName>
    <definedName name="TF_Bay_Size">#REF!</definedName>
    <definedName name="TF_Bays" localSheetId="0">#REF!</definedName>
    <definedName name="TF_Bays">#REF!</definedName>
    <definedName name="THLV1000" localSheetId="0">#REF!</definedName>
    <definedName name="THLV1000">#REF!</definedName>
    <definedName name="THLV2000" localSheetId="0">#REF!</definedName>
    <definedName name="THLV2000">#REF!</definedName>
    <definedName name="THLV3000" localSheetId="0">#REF!</definedName>
    <definedName name="THLV3000">#REF!</definedName>
    <definedName name="THLV4000" localSheetId="0">#REF!</definedName>
    <definedName name="THLV4000">#REF!</definedName>
    <definedName name="THLV5000" localSheetId="0">#REF!</definedName>
    <definedName name="THLV5000">#REF!</definedName>
    <definedName name="ThreeA" localSheetId="0">#REF!</definedName>
    <definedName name="ThreeA">#REF!</definedName>
    <definedName name="ThreeB" localSheetId="0">#REF!</definedName>
    <definedName name="ThreeB">#REF!</definedName>
    <definedName name="ThreeC" localSheetId="0">#REF!</definedName>
    <definedName name="ThreeC">#REF!</definedName>
    <definedName name="ThreeD" localSheetId="0">#REF!</definedName>
    <definedName name="ThreeD">#REF!</definedName>
    <definedName name="ThreeE" localSheetId="0">#REF!</definedName>
    <definedName name="ThreeE">#REF!</definedName>
    <definedName name="ThreeF" localSheetId="0">#REF!</definedName>
    <definedName name="ThreeF">#REF!</definedName>
    <definedName name="ThreeG" localSheetId="0">#REF!</definedName>
    <definedName name="ThreeG">#REF!</definedName>
    <definedName name="ThreeH" localSheetId="0">#REF!</definedName>
    <definedName name="ThreeH">#REF!</definedName>
    <definedName name="ThreeI" localSheetId="0">#REF!</definedName>
    <definedName name="ThreeI">#REF!</definedName>
    <definedName name="ThreeJ" localSheetId="0">#REF!</definedName>
    <definedName name="ThreeJ">#REF!</definedName>
    <definedName name="ThreeK" localSheetId="0">#REF!</definedName>
    <definedName name="ThreeK">#REF!</definedName>
    <definedName name="ThreeL" localSheetId="0">#REF!</definedName>
    <definedName name="ThreeL">#REF!</definedName>
    <definedName name="ThreeM" localSheetId="0">#REF!</definedName>
    <definedName name="ThreeM">#REF!</definedName>
    <definedName name="threezero" localSheetId="0">#REF!</definedName>
    <definedName name="threezero">#REF!</definedName>
    <definedName name="TIJ" localSheetId="0">#REF!</definedName>
    <definedName name="TIJ">#REF!</definedName>
    <definedName name="TIJINV" localSheetId="0">#REF!</definedName>
    <definedName name="TIJINV">#REF!</definedName>
    <definedName name="tile" localSheetId="0">#REF!</definedName>
    <definedName name="tile">#REF!</definedName>
    <definedName name="Tipo" localSheetId="0">#REF!</definedName>
    <definedName name="Tipo">#REF!</definedName>
    <definedName name="tipo_tamb" localSheetId="0">#REF!</definedName>
    <definedName name="tipo_tamb">#REF!</definedName>
    <definedName name="tipotub" localSheetId="0">#REF!</definedName>
    <definedName name="tipotub">#REF!</definedName>
    <definedName name="TIR" localSheetId="0">#REF!</definedName>
    <definedName name="TIR">#REF!</definedName>
    <definedName name="TITLE" localSheetId="0">#REF!</definedName>
    <definedName name="TITLE">#REF!</definedName>
    <definedName name="TITULO" localSheetId="0">#REF!</definedName>
    <definedName name="TITULO">#REF!</definedName>
    <definedName name="_xlnm.Print_Titles" localSheetId="2">QQP!$1:$4</definedName>
    <definedName name="Títulos_impressão_IM" localSheetId="0">#REF!</definedName>
    <definedName name="Títulos_impressão_IM" localSheetId="2">#REF!</definedName>
    <definedName name="Títulos_impressão_IM">#REF!</definedName>
    <definedName name="tnband" localSheetId="0">#REF!</definedName>
    <definedName name="tnband">#REF!</definedName>
    <definedName name="to" localSheetId="0" hidden="1">{#N/A,#N/A,FALSE,"GERAL";#N/A,#N/A,FALSE,"012-96";#N/A,#N/A,FALSE,"018-96";#N/A,#N/A,FALSE,"027-96";#N/A,#N/A,FALSE,"059-96";#N/A,#N/A,FALSE,"076-96";#N/A,#N/A,FALSE,"019-97";#N/A,#N/A,FALSE,"021-97";#N/A,#N/A,FALSE,"022-97";#N/A,#N/A,FALSE,"028-97"}</definedName>
    <definedName name="to" localSheetId="2" hidden="1">{#N/A,#N/A,FALSE,"GERAL";#N/A,#N/A,FALSE,"012-96";#N/A,#N/A,FALSE,"018-96";#N/A,#N/A,FALSE,"027-96";#N/A,#N/A,FALSE,"059-96";#N/A,#N/A,FALSE,"076-96";#N/A,#N/A,FALSE,"019-97";#N/A,#N/A,FALSE,"021-97";#N/A,#N/A,FALSE,"022-97";#N/A,#N/A,FALSE,"028-97"}</definedName>
    <definedName name="to" hidden="1">{#N/A,#N/A,FALSE,"GERAL";#N/A,#N/A,FALSE,"012-96";#N/A,#N/A,FALSE,"018-96";#N/A,#N/A,FALSE,"027-96";#N/A,#N/A,FALSE,"059-96";#N/A,#N/A,FALSE,"076-96";#N/A,#N/A,FALSE,"019-97";#N/A,#N/A,FALSE,"021-97";#N/A,#N/A,FALSE,"022-97";#N/A,#N/A,FALSE,"028-97"}</definedName>
    <definedName name="TOLOSA" localSheetId="0">#REF!</definedName>
    <definedName name="TOLOSA">#REF!</definedName>
    <definedName name="TOLV" localSheetId="0">#REF!</definedName>
    <definedName name="TOLV">#REF!</definedName>
    <definedName name="Toquepala" localSheetId="0" hidden="1">{#N/A,#N/A,FALSE,"Matrix";#N/A,#N/A,FALSE,"Executive";#N/A,#N/A,FALSE,"Summary"}</definedName>
    <definedName name="Toquepala" localSheetId="2" hidden="1">{#N/A,#N/A,FALSE,"Matrix";#N/A,#N/A,FALSE,"Executive";#N/A,#N/A,FALSE,"Summary"}</definedName>
    <definedName name="Toquepala" hidden="1">{#N/A,#N/A,FALSE,"Matrix";#N/A,#N/A,FALSE,"Executive";#N/A,#N/A,FALSE,"Summary"}</definedName>
    <definedName name="TOT">#N/A</definedName>
    <definedName name="tot_acc" localSheetId="0">#REF!</definedName>
    <definedName name="tot_acc">#REF!</definedName>
    <definedName name="tot_acc_Reaj" localSheetId="0">#REF!</definedName>
    <definedName name="tot_acc_Reaj">#REF!</definedName>
    <definedName name="tot_ant" localSheetId="0">#REF!</definedName>
    <definedName name="tot_ant">#REF!</definedName>
    <definedName name="tot_ant_Reaj" localSheetId="0">#REF!</definedName>
    <definedName name="tot_ant_Reaj">#REF!</definedName>
    <definedName name="tot_contrato" localSheetId="0">#REF!</definedName>
    <definedName name="tot_contrato">#REF!</definedName>
    <definedName name="tot_med" localSheetId="0">#REF!</definedName>
    <definedName name="tot_med">#REF!</definedName>
    <definedName name="tot_med_ant" localSheetId="0">#REF!</definedName>
    <definedName name="tot_med_ant">#REF!</definedName>
    <definedName name="tot_med_Reaj" localSheetId="0">#REF!</definedName>
    <definedName name="tot_med_Reaj">#REF!</definedName>
    <definedName name="tot_medicao" localSheetId="0">#REF!</definedName>
    <definedName name="tot_medicao">#REF!</definedName>
    <definedName name="tot_medido" localSheetId="0">#REF!</definedName>
    <definedName name="tot_medido">#REF!</definedName>
    <definedName name="tot_orc" localSheetId="0">#REF!</definedName>
    <definedName name="tot_orc">#REF!</definedName>
    <definedName name="tot_saldo" localSheetId="0">#REF!</definedName>
    <definedName name="tot_saldo">#REF!</definedName>
    <definedName name="tot_sld" localSheetId="0">#REF!</definedName>
    <definedName name="tot_sld">#REF!</definedName>
    <definedName name="tot_sld_Reaj" localSheetId="0">#REF!</definedName>
    <definedName name="tot_sld_Reaj">#REF!</definedName>
    <definedName name="TOTAL" localSheetId="0">#REF!</definedName>
    <definedName name="TOTAL">#REF!</definedName>
    <definedName name="Total_Esc" localSheetId="0">#REF!</definedName>
    <definedName name="Total_Esc">#REF!</definedName>
    <definedName name="Total_FC" localSheetId="0">#REF!</definedName>
    <definedName name="Total_FC">#REF!</definedName>
    <definedName name="Total_FIN_NOC" localSheetId="0">#REF!</definedName>
    <definedName name="Total_FIN_NOC">#REF!</definedName>
    <definedName name="Total_Invest_Cost" localSheetId="0">#REF!</definedName>
    <definedName name="Total_Invest_Cost">#REF!</definedName>
    <definedName name="Total_OC" localSheetId="0">#REF!</definedName>
    <definedName name="Total_OC">#REF!</definedName>
    <definedName name="Total_PR_Ext_Risks" localSheetId="0">#REF!</definedName>
    <definedName name="Total_PR_Ext_Risks">#REF!</definedName>
    <definedName name="TotalEPI" localSheetId="0">#REF!</definedName>
    <definedName name="TotalEPI">#REF!</definedName>
    <definedName name="TotalFerramentas" localSheetId="0">#REF!</definedName>
    <definedName name="TotalFerramentas">#REF!</definedName>
    <definedName name="TotalHours" localSheetId="0">#REF!</definedName>
    <definedName name="TotalHours">#REF!</definedName>
    <definedName name="TOTALMATERIAL" localSheetId="0">#REF!</definedName>
    <definedName name="TOTALMATERIAL">#REF!</definedName>
    <definedName name="totalminas" localSheetId="0">#REF!</definedName>
    <definedName name="totalminas">#REF!</definedName>
    <definedName name="TotalProjectHours" localSheetId="0">#REF!</definedName>
    <definedName name="TotalProjectHours">#REF!</definedName>
    <definedName name="totals" localSheetId="0">#REF!</definedName>
    <definedName name="totals">#REF!</definedName>
    <definedName name="TR" localSheetId="0">#REF!</definedName>
    <definedName name="TR">#REF!</definedName>
    <definedName name="transp36"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inamento" localSheetId="0">#REF!</definedName>
    <definedName name="Treinamento">#REF!</definedName>
    <definedName name="tres_a_quatro" localSheetId="0">#REF!</definedName>
    <definedName name="tres_a_quatro">#REF!</definedName>
    <definedName name="TRIB" localSheetId="0">#REF!</definedName>
    <definedName name="TRIB" localSheetId="13">#REF!</definedName>
    <definedName name="TRIB" localSheetId="2">#REF!</definedName>
    <definedName name="TRIB">#REF!</definedName>
    <definedName name="Trilho_Tratados_7K1FAA" localSheetId="0">#REF!</definedName>
    <definedName name="Trilho_Tratados_7K1FAA">#REF!</definedName>
    <definedName name="TROLA" localSheetId="0">#REF!</definedName>
    <definedName name="TROLA">#REF!</definedName>
    <definedName name="TROLB" localSheetId="0">#REF!</definedName>
    <definedName name="TROLB">#REF!</definedName>
    <definedName name="TSHLV1000" localSheetId="0">#REF!</definedName>
    <definedName name="TSHLV1000">#REF!</definedName>
    <definedName name="TSHLV2000" localSheetId="0">#REF!</definedName>
    <definedName name="TSHLV2000">#REF!</definedName>
    <definedName name="TSHLV3000" localSheetId="0">#REF!</definedName>
    <definedName name="TSHLV3000">#REF!</definedName>
    <definedName name="TSHLV4000" localSheetId="0">#REF!</definedName>
    <definedName name="TSHLV4000">#REF!</definedName>
    <definedName name="TSHLV5000" localSheetId="0">#REF!</definedName>
    <definedName name="TSHLV5000">#REF!</definedName>
    <definedName name="tste" localSheetId="0" hidden="1">{#N/A,#N/A,FALSE,"TEC-01";#N/A,#N/A,FALSE,"TEC - 02";#N/A,#N/A,FALSE,"TEC - 03";#N/A,#N/A,FALSE,"TEC - 04";#N/A,#N/A,FALSE,"TEC-07";#N/A,#N/A,FALSE,"TEC-08";#N/A,#N/A,FALSE,"TEC - 09A";#N/A,#N/A,FALSE,"TEC - 09B";#N/A,#N/A,FALSE,"TEC - 09C";#N/A,#N/A,FALSE,"TEC - 10";#N/A,#N/A,FALSE,"TEC-11"}</definedName>
    <definedName name="tste" localSheetId="2" hidden="1">{#N/A,#N/A,FALSE,"TEC-01";#N/A,#N/A,FALSE,"TEC - 02";#N/A,#N/A,FALSE,"TEC - 03";#N/A,#N/A,FALSE,"TEC - 04";#N/A,#N/A,FALSE,"TEC-07";#N/A,#N/A,FALSE,"TEC-08";#N/A,#N/A,FALSE,"TEC - 09A";#N/A,#N/A,FALSE,"TEC - 09B";#N/A,#N/A,FALSE,"TEC - 09C";#N/A,#N/A,FALSE,"TEC - 10";#N/A,#N/A,FALSE,"TEC-11"}</definedName>
    <definedName name="tste" hidden="1">{#N/A,#N/A,FALSE,"TEC-01";#N/A,#N/A,FALSE,"TEC - 02";#N/A,#N/A,FALSE,"TEC - 03";#N/A,#N/A,FALSE,"TEC - 04";#N/A,#N/A,FALSE,"TEC-07";#N/A,#N/A,FALSE,"TEC-08";#N/A,#N/A,FALSE,"TEC - 09A";#N/A,#N/A,FALSE,"TEC - 09B";#N/A,#N/A,FALSE,"TEC - 09C";#N/A,#N/A,FALSE,"TEC - 10";#N/A,#N/A,FALSE,"TEC-11"}</definedName>
    <definedName name="tt" localSheetId="0">#REF!</definedName>
    <definedName name="tt">#REF!</definedName>
    <definedName name="TTD" localSheetId="0">#REF!</definedName>
    <definedName name="TTD">#REF!</definedName>
    <definedName name="TTT" localSheetId="0">#REF!</definedName>
    <definedName name="TTT">#REF!</definedName>
    <definedName name="ttttt">#REF!</definedName>
    <definedName name="tttttt" localSheetId="0">#REF!</definedName>
    <definedName name="tttttt">#REF!</definedName>
    <definedName name="tttttttt" localSheetId="0">#REF!</definedName>
    <definedName name="tttttttt">#REF!</definedName>
    <definedName name="TU" localSheetId="0" hidden="1">{#N/A,#N/A,FALSE,"GERAL";#N/A,#N/A,FALSE,"012-96";#N/A,#N/A,FALSE,"018-96";#N/A,#N/A,FALSE,"027-96";#N/A,#N/A,FALSE,"059-96";#N/A,#N/A,FALSE,"076-96";#N/A,#N/A,FALSE,"019-97";#N/A,#N/A,FALSE,"021-97";#N/A,#N/A,FALSE,"022-97";#N/A,#N/A,FALSE,"028-97"}</definedName>
    <definedName name="TU" localSheetId="2" hidden="1">{#N/A,#N/A,FALSE,"GERAL";#N/A,#N/A,FALSE,"012-96";#N/A,#N/A,FALSE,"018-96";#N/A,#N/A,FALSE,"027-96";#N/A,#N/A,FALSE,"059-96";#N/A,#N/A,FALSE,"076-96";#N/A,#N/A,FALSE,"019-97";#N/A,#N/A,FALSE,"021-97";#N/A,#N/A,FALSE,"022-97";#N/A,#N/A,FALSE,"028-97"}</definedName>
    <definedName name="TU" hidden="1">{#N/A,#N/A,FALSE,"GERAL";#N/A,#N/A,FALSE,"012-96";#N/A,#N/A,FALSE,"018-96";#N/A,#N/A,FALSE,"027-96";#N/A,#N/A,FALSE,"059-96";#N/A,#N/A,FALSE,"076-96";#N/A,#N/A,FALSE,"019-97";#N/A,#N/A,FALSE,"021-97";#N/A,#N/A,FALSE,"022-97";#N/A,#N/A,FALSE,"028-97"}</definedName>
    <definedName name="Tubos_PRFV" localSheetId="0">#REF!</definedName>
    <definedName name="Tubos_PRFV">#REF!</definedName>
    <definedName name="Tubulacao" localSheetId="0">#REF!</definedName>
    <definedName name="Tubulacao">#REF!</definedName>
    <definedName name="tudo" localSheetId="0">#REF!</definedName>
    <definedName name="tudo">#REF!</definedName>
    <definedName name="tuut" localSheetId="0" hidden="1">{#N/A,#N/A,FALSE,"masez (10)";#N/A,#N/A,FALSE,"masez (7)";#N/A,#N/A,FALSE,"masez (6)";#N/A,#N/A,FALSE,"masez (5)";#N/A,#N/A,FALSE,"masez (4)";#N/A,#N/A,FALSE,"masez (3)";#N/A,#N/A,FALSE,"masez (2)";#N/A,#N/A,FALSE,"GME";#N/A,#N/A,FALSE,"masez"}</definedName>
    <definedName name="tuut" localSheetId="2"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woA" localSheetId="0">#REF!</definedName>
    <definedName name="TwoA">#REF!</definedName>
    <definedName name="TwoB" localSheetId="0">#REF!</definedName>
    <definedName name="TwoB">#REF!</definedName>
    <definedName name="TwoC" localSheetId="0">#REF!</definedName>
    <definedName name="TwoC">#REF!</definedName>
    <definedName name="TwoD" localSheetId="0">#REF!</definedName>
    <definedName name="TwoD">#REF!</definedName>
    <definedName name="TwoE" localSheetId="0">#REF!</definedName>
    <definedName name="TwoE">#REF!</definedName>
    <definedName name="TwoF" localSheetId="0">#REF!</definedName>
    <definedName name="TwoF">#REF!</definedName>
    <definedName name="TwoG" localSheetId="0">#REF!</definedName>
    <definedName name="TwoG">#REF!</definedName>
    <definedName name="TwoH" localSheetId="0">#REF!</definedName>
    <definedName name="TwoH">#REF!</definedName>
    <definedName name="TwoI" localSheetId="0">#REF!</definedName>
    <definedName name="TwoI">#REF!</definedName>
    <definedName name="TwoJ" localSheetId="0">#REF!</definedName>
    <definedName name="TwoJ">#REF!</definedName>
    <definedName name="TwoK" localSheetId="0">#REF!</definedName>
    <definedName name="TwoK">#REF!</definedName>
    <definedName name="TwoL" localSheetId="0">#REF!</definedName>
    <definedName name="TwoL">#REF!</definedName>
    <definedName name="TwoM" localSheetId="0">#REF!</definedName>
    <definedName name="TwoM">#REF!</definedName>
    <definedName name="twoone" localSheetId="0">#REF!</definedName>
    <definedName name="twoone">#REF!</definedName>
    <definedName name="twozero" localSheetId="0">#REF!</definedName>
    <definedName name="twozero">#REF!</definedName>
    <definedName name="TXREMATI" localSheetId="0">#REF!</definedName>
    <definedName name="TXREMATI">#REF!</definedName>
    <definedName name="Type" localSheetId="0">#REF!</definedName>
    <definedName name="Type">#REF!</definedName>
    <definedName name="TYPES" localSheetId="0">#REF!</definedName>
    <definedName name="TYPES">#REF!</definedName>
    <definedName name="u"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DM" localSheetId="0">#REF!</definedName>
    <definedName name="UDM">#REF!</definedName>
    <definedName name="UF" localSheetId="0">#REF!</definedName>
    <definedName name="UF">#REF!</definedName>
    <definedName name="UFS" localSheetId="0">#REF!</definedName>
    <definedName name="UFS">#REF!</definedName>
    <definedName name="UI" localSheetId="0" hidden="1">{#N/A,#N/A,FALSE,"GERAL";#N/A,#N/A,FALSE,"012-96";#N/A,#N/A,FALSE,"018-96";#N/A,#N/A,FALSE,"027-96";#N/A,#N/A,FALSE,"059-96";#N/A,#N/A,FALSE,"076-96";#N/A,#N/A,FALSE,"019-97";#N/A,#N/A,FALSE,"021-97";#N/A,#N/A,FALSE,"022-97";#N/A,#N/A,FALSE,"028-97"}</definedName>
    <definedName name="UI" localSheetId="2" hidden="1">{#N/A,#N/A,FALSE,"GERAL";#N/A,#N/A,FALSE,"012-96";#N/A,#N/A,FALSE,"018-96";#N/A,#N/A,FALSE,"027-96";#N/A,#N/A,FALSE,"059-96";#N/A,#N/A,FALSE,"076-96";#N/A,#N/A,FALSE,"019-97";#N/A,#N/A,FALSE,"021-97";#N/A,#N/A,FALSE,"022-97";#N/A,#N/A,FALSE,"028-97"}</definedName>
    <definedName name="UI" hidden="1">{#N/A,#N/A,FALSE,"GERAL";#N/A,#N/A,FALSE,"012-96";#N/A,#N/A,FALSE,"018-96";#N/A,#N/A,FALSE,"027-96";#N/A,#N/A,FALSE,"059-96";#N/A,#N/A,FALSE,"076-96";#N/A,#N/A,FALSE,"019-97";#N/A,#N/A,FALSE,"021-97";#N/A,#N/A,FALSE,"022-97";#N/A,#N/A,FALSE,"028-97"}</definedName>
    <definedName name="uiuiuu" localSheetId="0" hidden="1">{#N/A,#N/A,FALSE,"Total_OC015";#N/A,#N/A,FALSE,"ADMIN";#N/A,#N/A,FALSE,"PROCES";#N/A,#N/A,FALSE,"mecan";#N/A,#N/A,FALSE,"civil";#N/A,#N/A,FALSE,"CAÑER";#N/A,#N/A,FALSE,"ELEC";#N/A,#N/A,FALSE,"INSTR"}</definedName>
    <definedName name="uiuiuu" localSheetId="2" hidden="1">{#N/A,#N/A,FALSE,"Total_OC015";#N/A,#N/A,FALSE,"ADMIN";#N/A,#N/A,FALSE,"PROCES";#N/A,#N/A,FALSE,"mecan";#N/A,#N/A,FALSE,"civil";#N/A,#N/A,FALSE,"CAÑER";#N/A,#N/A,FALSE,"ELEC";#N/A,#N/A,FALSE,"INSTR"}</definedName>
    <definedName name="uiuiuu" hidden="1">{#N/A,#N/A,FALSE,"Total_OC015";#N/A,#N/A,FALSE,"ADMIN";#N/A,#N/A,FALSE,"PROCES";#N/A,#N/A,FALSE,"mecan";#N/A,#N/A,FALSE,"civil";#N/A,#N/A,FALSE,"CAÑER";#N/A,#N/A,FALSE,"ELEC";#N/A,#N/A,FALSE,"INSTR"}</definedName>
    <definedName name="ujuu">1000</definedName>
    <definedName name="ujuuju" localSheetId="0">#REF!</definedName>
    <definedName name="ujuuju">#REF!</definedName>
    <definedName name="ULTR">#N/A</definedName>
    <definedName name="Und" localSheetId="0">#REF!</definedName>
    <definedName name="Und">#REF!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_tax" localSheetId="0">#REF!</definedName>
    <definedName name="Up_tax">#REF!</definedName>
    <definedName name="Uplift" localSheetId="0">#REF!</definedName>
    <definedName name="Uplift">#REF!</definedName>
    <definedName name="Upvc_2001" localSheetId="0">#REF!</definedName>
    <definedName name="Upvc_2001">#REF!</definedName>
    <definedName name="UPVC_99" localSheetId="0">#REF!</definedName>
    <definedName name="UPVC_99">#REF!</definedName>
    <definedName name="us" localSheetId="0">#REF!</definedName>
    <definedName name="us">#REF!</definedName>
    <definedName name="USD">#REF!</definedName>
    <definedName name="USD_Total" localSheetId="0">#REF!</definedName>
    <definedName name="USD_Total">#REF!</definedName>
    <definedName name="USERDATA" localSheetId="0">#REF!</definedName>
    <definedName name="USERDATA">#REF!</definedName>
    <definedName name="USG" localSheetId="0">#REF!</definedName>
    <definedName name="USG">#REF!</definedName>
    <definedName name="Utlidades2">#REF!</definedName>
    <definedName name="UUUUUUU" localSheetId="0" hidden="1">{#N/A,#N/A,FALSE,"GERAL";#N/A,#N/A,FALSE,"012-96";#N/A,#N/A,FALSE,"018-96";#N/A,#N/A,FALSE,"027-96";#N/A,#N/A,FALSE,"059-96";#N/A,#N/A,FALSE,"076-96";#N/A,#N/A,FALSE,"019-97";#N/A,#N/A,FALSE,"021-97";#N/A,#N/A,FALSE,"022-97";#N/A,#N/A,FALSE,"028-97"}</definedName>
    <definedName name="UUUUUUU" localSheetId="2" hidden="1">{#N/A,#N/A,FALSE,"GERAL";#N/A,#N/A,FALSE,"012-96";#N/A,#N/A,FALSE,"018-96";#N/A,#N/A,FALSE,"027-96";#N/A,#N/A,FALSE,"059-96";#N/A,#N/A,FALSE,"076-96";#N/A,#N/A,FALSE,"019-97";#N/A,#N/A,FALSE,"021-97";#N/A,#N/A,FALSE,"022-97";#N/A,#N/A,FALSE,"028-97"}</definedName>
    <definedName name="UUUUUUU" hidden="1">{#N/A,#N/A,FALSE,"GERAL";#N/A,#N/A,FALSE,"012-96";#N/A,#N/A,FALSE,"018-96";#N/A,#N/A,FALSE,"027-96";#N/A,#N/A,FALSE,"059-96";#N/A,#N/A,FALSE,"076-96";#N/A,#N/A,FALSE,"019-97";#N/A,#N/A,FALSE,"021-97";#N/A,#N/A,FALSE,"022-97";#N/A,#N/A,FALSE,"028-97"}</definedName>
    <definedName name="v"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_1" localSheetId="0">#REF!</definedName>
    <definedName name="V_1">#REF!</definedName>
    <definedName name="V_2" localSheetId="0">#REF!</definedName>
    <definedName name="V_2">#REF!</definedName>
    <definedName name="V_3" localSheetId="0">#REF!</definedName>
    <definedName name="V_3">#REF!</definedName>
    <definedName name="V_4">#REF!</definedName>
    <definedName name="VAA">#REF!</definedName>
    <definedName name="ValAcurl">#REF!</definedName>
    <definedName name="Valchvrl">#REF!</definedName>
    <definedName name="VALE" localSheetId="0">#REF!</definedName>
    <definedName name="VALE">#REF!</definedName>
    <definedName name="ValidationListAsBuiltRequired1028" localSheetId="0">#REF!</definedName>
    <definedName name="ValidationListAsBuiltRequired1028">#REF!</definedName>
    <definedName name="ValidationListControlled1023" localSheetId="0">#REF!</definedName>
    <definedName name="ValidationListControlled1023">#REF!</definedName>
    <definedName name="ValidationListDocumentGroup1024" localSheetId="0">#REF!</definedName>
    <definedName name="ValidationListDocumentGroup1024">#REF!</definedName>
    <definedName name="ValidationListDocumentScheme1009" localSheetId="0">#REF!</definedName>
    <definedName name="ValidationListDocumentScheme1009">#REF!</definedName>
    <definedName name="ValidationListDocumentScheme1010" localSheetId="0">#REF!</definedName>
    <definedName name="ValidationListDocumentScheme1010">#REF!</definedName>
    <definedName name="ValidationListDocumentScheme1017" localSheetId="0">#REF!</definedName>
    <definedName name="ValidationListDocumentScheme1017">#REF!</definedName>
    <definedName name="ValidationListDocumentScheme1018" localSheetId="0">#REF!</definedName>
    <definedName name="ValidationListDocumentScheme1018">#REF!</definedName>
    <definedName name="ValidationListDocumentScheme1019" localSheetId="0">#REF!</definedName>
    <definedName name="ValidationListDocumentScheme1019">#REF!</definedName>
    <definedName name="ValidationListDocumentScheme1020" localSheetId="0">#REF!</definedName>
    <definedName name="ValidationListDocumentScheme1020">#REF!</definedName>
    <definedName name="ValidationListDocumentScheme1025" localSheetId="0">#REF!</definedName>
    <definedName name="ValidationListDocumentScheme1025">#REF!</definedName>
    <definedName name="ValidationListDocumentScheme1026" localSheetId="0">#REF!</definedName>
    <definedName name="ValidationListDocumentScheme1026">#REF!</definedName>
    <definedName name="ValidationListDocumentScheme1035" localSheetId="0">#REF!</definedName>
    <definedName name="ValidationListDocumentScheme1035">#REF!</definedName>
    <definedName name="ValidationListDocumentScheme1037" localSheetId="0">#REF!</definedName>
    <definedName name="ValidationListDocumentScheme1037">#REF!</definedName>
    <definedName name="ValidationListDocumentScheme1041" localSheetId="0">#REF!</definedName>
    <definedName name="ValidationListDocumentScheme1041">#REF!</definedName>
    <definedName name="ValidationListDocumentScheme1043" localSheetId="0">#REF!</definedName>
    <definedName name="ValidationListDocumentScheme1043">#REF!</definedName>
    <definedName name="ValidationListDocumentScheme1046" localSheetId="0">#REF!</definedName>
    <definedName name="ValidationListDocumentScheme1046">#REF!</definedName>
    <definedName name="ValidationListDocumentScheme1049" localSheetId="0">#REF!</definedName>
    <definedName name="ValidationListDocumentScheme1049">#REF!</definedName>
    <definedName name="ValidationListDocumentScheme1053" localSheetId="0">#REF!</definedName>
    <definedName name="ValidationListDocumentScheme1053">#REF!</definedName>
    <definedName name="ValidationListDocumentScheme1054" localSheetId="0">#REF!</definedName>
    <definedName name="ValidationListDocumentScheme1054">#REF!</definedName>
    <definedName name="ValidationListDocumentScheme1056" localSheetId="0">#REF!</definedName>
    <definedName name="ValidationListDocumentScheme1056">#REF!</definedName>
    <definedName name="ValidationListDocumentScheme1057" localSheetId="0">#REF!</definedName>
    <definedName name="ValidationListDocumentScheme1057">#REF!</definedName>
    <definedName name="ValidationListDocumentScheme1063" localSheetId="0">#REF!</definedName>
    <definedName name="ValidationListDocumentScheme1063">#REF!</definedName>
    <definedName name="ValidationListDocumentScheme1064" localSheetId="0">#REF!</definedName>
    <definedName name="ValidationListDocumentScheme1064">#REF!</definedName>
    <definedName name="ValidationListDocumentScheme1066" localSheetId="0">#REF!</definedName>
    <definedName name="ValidationListDocumentScheme1066">#REF!</definedName>
    <definedName name="ValidationListDocumentScheme1067" localSheetId="0">#REF!</definedName>
    <definedName name="ValidationListDocumentScheme1067">#REF!</definedName>
    <definedName name="ValidationListDocumentScheme1070" localSheetId="0">#REF!</definedName>
    <definedName name="ValidationListDocumentScheme1070">#REF!</definedName>
    <definedName name="ValidationListDocumentScheme1073" localSheetId="0">#REF!</definedName>
    <definedName name="ValidationListDocumentScheme1073">#REF!</definedName>
    <definedName name="ValidationListDocumentScheme1080" localSheetId="0">#REF!</definedName>
    <definedName name="ValidationListDocumentScheme1080">#REF!</definedName>
    <definedName name="ValidationListDocumentScheme1086" localSheetId="0">#REF!</definedName>
    <definedName name="ValidationListDocumentScheme1086">#REF!</definedName>
    <definedName name="ValidationListDocumentScheme1092" localSheetId="0">#REF!</definedName>
    <definedName name="ValidationListDocumentScheme1092">#REF!</definedName>
    <definedName name="ValidationListDocumentScheme1105" localSheetId="0">#REF!</definedName>
    <definedName name="ValidationListDocumentScheme1105">#REF!</definedName>
    <definedName name="ValidationListDocumentScheme1106" localSheetId="0">#REF!</definedName>
    <definedName name="ValidationListDocumentScheme1106">#REF!</definedName>
    <definedName name="ValidationListDocumentScheme1151" localSheetId="0">#REF!</definedName>
    <definedName name="ValidationListDocumentScheme1151">#REF!</definedName>
    <definedName name="ValidationListDocumentScheme1155" localSheetId="0">#REF!</definedName>
    <definedName name="ValidationListDocumentScheme1155">#REF!</definedName>
    <definedName name="ValidationListDocumentStatus1017" localSheetId="0">#REF!</definedName>
    <definedName name="ValidationListDocumentStatus1017">#REF!</definedName>
    <definedName name="ValidationListDocumentSubType1015" localSheetId="0">#REF!</definedName>
    <definedName name="ValidationListDocumentSubType1015">#REF!</definedName>
    <definedName name="ValidationListDocumentSubType1016" localSheetId="0">#REF!</definedName>
    <definedName name="ValidationListDocumentSubType1016">#REF!</definedName>
    <definedName name="ValidationListDocumentSubType1022" localSheetId="0">#REF!</definedName>
    <definedName name="ValidationListDocumentSubType1022">#REF!</definedName>
    <definedName name="ValidationListDocumentSubType1024" localSheetId="0">#REF!</definedName>
    <definedName name="ValidationListDocumentSubType1024">#REF!</definedName>
    <definedName name="ValidationListDocumentSubType1025" localSheetId="0">#REF!</definedName>
    <definedName name="ValidationListDocumentSubType1025">#REF!</definedName>
    <definedName name="ValidationListDocumentSubType1026" localSheetId="0">#REF!</definedName>
    <definedName name="ValidationListDocumentSubType1026">#REF!</definedName>
    <definedName name="ValidationListDocumentSubType1031" localSheetId="0">#REF!</definedName>
    <definedName name="ValidationListDocumentSubType1031">#REF!</definedName>
    <definedName name="ValidationListDocumentSubType1043" localSheetId="0">#REF!</definedName>
    <definedName name="ValidationListDocumentSubType1043">#REF!</definedName>
    <definedName name="ValidationListDocumentSubType1047" localSheetId="0">#REF!</definedName>
    <definedName name="ValidationListDocumentSubType1047">#REF!</definedName>
    <definedName name="ValidationListDocumentSubType1049" localSheetId="0">#REF!</definedName>
    <definedName name="ValidationListDocumentSubType1049">#REF!</definedName>
    <definedName name="ValidationListDocumentSubType1060" localSheetId="0">#REF!</definedName>
    <definedName name="ValidationListDocumentSubType1060">#REF!</definedName>
    <definedName name="ValidationListDocumentSubType1062" localSheetId="0">#REF!</definedName>
    <definedName name="ValidationListDocumentSubType1062">#REF!</definedName>
    <definedName name="ValidationListDocumentSubType1063" localSheetId="0">#REF!</definedName>
    <definedName name="ValidationListDocumentSubType1063">#REF!</definedName>
    <definedName name="ValidationListDocumentSubType1070" localSheetId="0">#REF!</definedName>
    <definedName name="ValidationListDocumentSubType1070">#REF!</definedName>
    <definedName name="ValidationListDocumentSubType1072" localSheetId="0">#REF!</definedName>
    <definedName name="ValidationListDocumentSubType1072">#REF!</definedName>
    <definedName name="ValidationListDocumentSubType1073" localSheetId="0">#REF!</definedName>
    <definedName name="ValidationListDocumentSubType1073">#REF!</definedName>
    <definedName name="ValidationListDocumentSubType1076" localSheetId="0">#REF!</definedName>
    <definedName name="ValidationListDocumentSubType1076">#REF!</definedName>
    <definedName name="ValidationListDocumentSubType1079" localSheetId="0">#REF!</definedName>
    <definedName name="ValidationListDocumentSubType1079">#REF!</definedName>
    <definedName name="ValidationListDocumentSubType1085" localSheetId="0">#REF!</definedName>
    <definedName name="ValidationListDocumentSubType1085">#REF!</definedName>
    <definedName name="ValidationListDocumentSubType1092" localSheetId="0">#REF!</definedName>
    <definedName name="ValidationListDocumentSubType1092">#REF!</definedName>
    <definedName name="ValidationListDocumentSubType1111" localSheetId="0">#REF!</definedName>
    <definedName name="ValidationListDocumentSubType1111">#REF!</definedName>
    <definedName name="ValidationListDocumentSubType1112" localSheetId="0">#REF!</definedName>
    <definedName name="ValidationListDocumentSubType1112">#REF!</definedName>
    <definedName name="ValidationListDocumentSubType1161" localSheetId="0">#REF!</definedName>
    <definedName name="ValidationListDocumentSubType1161">#REF!</definedName>
    <definedName name="ValidationListDocumentType1014" localSheetId="0">#REF!</definedName>
    <definedName name="ValidationListDocumentType1014">#REF!</definedName>
    <definedName name="ValidationListDocumentType1015" localSheetId="0">#REF!</definedName>
    <definedName name="ValidationListDocumentType1015">#REF!</definedName>
    <definedName name="ValidationListDocumentType1021" localSheetId="0">#REF!</definedName>
    <definedName name="ValidationListDocumentType1021">#REF!</definedName>
    <definedName name="ValidationListDocumentType1024" localSheetId="0">#REF!</definedName>
    <definedName name="ValidationListDocumentType1024">#REF!</definedName>
    <definedName name="ValidationListDocumentType1025" localSheetId="0">#REF!</definedName>
    <definedName name="ValidationListDocumentType1025">#REF!</definedName>
    <definedName name="ValidationListDocumentType1030" localSheetId="0">#REF!</definedName>
    <definedName name="ValidationListDocumentType1030">#REF!</definedName>
    <definedName name="ValidationListDocumentType1042" localSheetId="0">#REF!</definedName>
    <definedName name="ValidationListDocumentType1042">#REF!</definedName>
    <definedName name="ValidationListDocumentType1046" localSheetId="0">#REF!</definedName>
    <definedName name="ValidationListDocumentType1046">#REF!</definedName>
    <definedName name="ValidationListDocumentType1048" localSheetId="0">#REF!</definedName>
    <definedName name="ValidationListDocumentType1048">#REF!</definedName>
    <definedName name="ValidationListDocumentType1059" localSheetId="0">#REF!</definedName>
    <definedName name="ValidationListDocumentType1059">#REF!</definedName>
    <definedName name="ValidationListDocumentType1061" localSheetId="0">#REF!</definedName>
    <definedName name="ValidationListDocumentType1061">#REF!</definedName>
    <definedName name="ValidationListDocumentType1062" localSheetId="0">#REF!</definedName>
    <definedName name="ValidationListDocumentType1062">#REF!</definedName>
    <definedName name="ValidationListDocumentType1069" localSheetId="0">#REF!</definedName>
    <definedName name="ValidationListDocumentType1069">#REF!</definedName>
    <definedName name="ValidationListDocumentType1071" localSheetId="0">#REF!</definedName>
    <definedName name="ValidationListDocumentType1071">#REF!</definedName>
    <definedName name="ValidationListDocumentType1072" localSheetId="0">#REF!</definedName>
    <definedName name="ValidationListDocumentType1072">#REF!</definedName>
    <definedName name="ValidationListDocumentType1075" localSheetId="0">#REF!</definedName>
    <definedName name="ValidationListDocumentType1075">#REF!</definedName>
    <definedName name="ValidationListDocumentType1078" localSheetId="0">#REF!</definedName>
    <definedName name="ValidationListDocumentType1078">#REF!</definedName>
    <definedName name="ValidationListDocumentType1091" localSheetId="0">#REF!</definedName>
    <definedName name="ValidationListDocumentType1091">#REF!</definedName>
    <definedName name="ValidationListDocumentType1110" localSheetId="0">#REF!</definedName>
    <definedName name="ValidationListDocumentType1110">#REF!</definedName>
    <definedName name="ValidationListDocumentType1156" localSheetId="0">#REF!</definedName>
    <definedName name="ValidationListDocumentType1156">#REF!</definedName>
    <definedName name="ValidationListGrade1025" localSheetId="0">#REF!</definedName>
    <definedName name="ValidationListGrade1025">#REF!</definedName>
    <definedName name="ValidationListMedia1026" localSheetId="0">#REF!</definedName>
    <definedName name="ValidationListMedia1026">#REF!</definedName>
    <definedName name="ValidationListSheetSize1027" localSheetId="0">#REF!</definedName>
    <definedName name="ValidationListSheetSize1027">#REF!</definedName>
    <definedName name="ValidationListSubTypeCode1016" localSheetId="0">#REF!</definedName>
    <definedName name="ValidationListSubTypeCode1016">#REF!</definedName>
    <definedName name="ValidationListSubTypeCode1023" localSheetId="0">#REF!</definedName>
    <definedName name="ValidationListSubTypeCode1023">#REF!</definedName>
    <definedName name="Valor" localSheetId="0">#REF!</definedName>
    <definedName name="Valor">#REF!</definedName>
    <definedName name="VALORCD" localSheetId="0">#REF!</definedName>
    <definedName name="VALORCD">#REF!</definedName>
    <definedName name="valorcomiof" localSheetId="0">#REF!</definedName>
    <definedName name="valorcomiof">#REF!</definedName>
    <definedName name="VALORES_VALORES_Listar">#REF!</definedName>
    <definedName name="VALORPC" localSheetId="0">#REF!</definedName>
    <definedName name="VALORPC">#REF!</definedName>
    <definedName name="Valotização" localSheetId="0">#REF!</definedName>
    <definedName name="Valotização">#REF!</definedName>
    <definedName name="Value_BE" localSheetId="0">#REF!</definedName>
    <definedName name="Value_BE">#REF!</definedName>
    <definedName name="Value_C" localSheetId="0">#REF!</definedName>
    <definedName name="Value_C">#REF!</definedName>
    <definedName name="Value_EC" localSheetId="0">#REF!</definedName>
    <definedName name="Value_EC">#REF!</definedName>
    <definedName name="Value_Mean" localSheetId="0">#REF!</definedName>
    <definedName name="Value_Mean">#REF!</definedName>
    <definedName name="Value_PR" localSheetId="0">#REF!</definedName>
    <definedName name="Value_PR">#REF!</definedName>
    <definedName name="VAR_EXT" localSheetId="0">#REF!</definedName>
    <definedName name="VAR_EXT" localSheetId="2">QQP!VAR_EXT</definedName>
    <definedName name="VAR_EXT">#REF!</definedName>
    <definedName name="VAR_INT" localSheetId="0">#REF!</definedName>
    <definedName name="VAR_INT" localSheetId="2">QQP!VAR_INT</definedName>
    <definedName name="VAR_INT">#REF!</definedName>
    <definedName name="VBF" localSheetId="0">#REF!</definedName>
    <definedName name="VBF" localSheetId="2">#REF!</definedName>
    <definedName name="VBF">#REF!</definedName>
    <definedName name="VC" localSheetId="0">#REF!</definedName>
    <definedName name="VC" localSheetId="2">#REF!</definedName>
    <definedName name="VC">#REF!</definedName>
    <definedName name="VCXNVJHKKLYJ" localSheetId="0" hidden="1">{#N/A,#N/A,FALSE,"masez (10)";#N/A,#N/A,FALSE,"masez (7)";#N/A,#N/A,FALSE,"masez (6)";#N/A,#N/A,FALSE,"masez (5)";#N/A,#N/A,FALSE,"masez (4)";#N/A,#N/A,FALSE,"masez (3)";#N/A,#N/A,FALSE,"masez (2)";#N/A,#N/A,FALSE,"GME";#N/A,#N/A,FALSE,"masez"}</definedName>
    <definedName name="VCXNVJHKKLYJ" localSheetId="2"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D" localSheetId="0">#REF!</definedName>
    <definedName name="VD">#REF!</definedName>
    <definedName name="VE" localSheetId="0">#REF!</definedName>
    <definedName name="VE">#REF!</definedName>
    <definedName name="VEND" localSheetId="0">#REF!</definedName>
    <definedName name="VEND">#REF!</definedName>
    <definedName name="verti" localSheetId="0" hidden="1">{"desarrollo",#N/A,FALSE,"Cámara Camión";"resumen",#N/A,FALSE,"Cámara Camión";"eqprod",#N/A,FALSE,"Cámara Camión"}</definedName>
    <definedName name="verti" localSheetId="2" hidden="1">{"desarrollo",#N/A,FALSE,"Cámara Camión";"resumen",#N/A,FALSE,"Cámara Camión";"eqprod",#N/A,FALSE,"Cámara Camión"}</definedName>
    <definedName name="verti" hidden="1">{"desarrollo",#N/A,FALSE,"Cámara Camión";"resumen",#N/A,FALSE,"Cámara Camión";"eqprod",#N/A,FALSE,"Cámara Camión"}</definedName>
    <definedName name="vertical" localSheetId="0" hidden="1">{"desarrollo",#N/A,FALSE,"LHD Camión";"eqdllo",#N/A,FALSE,"LHD Camión";"eqprod",#N/A,FALSE,"LHD Camión";"Resumen",#N/A,FALSE,"LHD Camión"}</definedName>
    <definedName name="vertical" localSheetId="2"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I" localSheetId="0" hidden="1">{#N/A,#N/A,FALSE,"GERAL";#N/A,#N/A,FALSE,"012-96";#N/A,#N/A,FALSE,"018-96";#N/A,#N/A,FALSE,"027-96";#N/A,#N/A,FALSE,"059-96";#N/A,#N/A,FALSE,"076-96";#N/A,#N/A,FALSE,"019-97";#N/A,#N/A,FALSE,"021-97";#N/A,#N/A,FALSE,"022-97";#N/A,#N/A,FALSE,"028-97"}</definedName>
    <definedName name="VI" localSheetId="2"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IAGENS" localSheetId="0">#REF!</definedName>
    <definedName name="VIAGENS">#REF!</definedName>
    <definedName name="viio" localSheetId="0" hidden="1">{#N/A,#N/A,FALSE,"masez (10)";#N/A,#N/A,FALSE,"masez (7)";#N/A,#N/A,FALSE,"masez (6)";#N/A,#N/A,FALSE,"masez (5)";#N/A,#N/A,FALSE,"masez (4)";#N/A,#N/A,FALSE,"masez (3)";#N/A,#N/A,FALSE,"masez (2)";#N/A,#N/A,FALSE,"GME";#N/A,#N/A,FALSE,"masez"}</definedName>
    <definedName name="viio" localSheetId="2"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oith4" localSheetId="0">#REF!</definedName>
    <definedName name="voith4" localSheetId="2">#REF!</definedName>
    <definedName name="voith4">#REF!</definedName>
    <definedName name="voith6" localSheetId="0">#REF!</definedName>
    <definedName name="voith6" localSheetId="2">#REF!</definedName>
    <definedName name="voith6">#REF!</definedName>
    <definedName name="VOL_ACUM" localSheetId="0">#REF!</definedName>
    <definedName name="VOL_ACUM">#REF!</definedName>
    <definedName name="VOLUME" localSheetId="0">#REF!</definedName>
    <definedName name="VOLUME">#REF!</definedName>
    <definedName name="VPI" localSheetId="0">#REF!</definedName>
    <definedName name="VPI">#REF!</definedName>
    <definedName name="VPL" localSheetId="0">#REF!</definedName>
    <definedName name="VPL">#REF!</definedName>
    <definedName name="VPLperp" localSheetId="0">#REF!</definedName>
    <definedName name="VPLperp">#REF!</definedName>
    <definedName name="Vutil" localSheetId="0">#REF!</definedName>
    <definedName name="Vutil" localSheetId="2">#REF!</definedName>
    <definedName name="Vutil">#REF!</definedName>
    <definedName name="vvv" localSheetId="0">#REF!</definedName>
    <definedName name="vvv">#REF!</definedName>
    <definedName name="vvvvv"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V" localSheetId="0">#REF!</definedName>
    <definedName name="VVVVVV">#REF!</definedName>
    <definedName name="w" localSheetId="0" hidden="1">{#N/A,#N/A,FALSE,"GERAL";#N/A,#N/A,FALSE,"012-96";#N/A,#N/A,FALSE,"018-96";#N/A,#N/A,FALSE,"027-96";#N/A,#N/A,FALSE,"059-96";#N/A,#N/A,FALSE,"076-96";#N/A,#N/A,FALSE,"019-97";#N/A,#N/A,FALSE,"021-97";#N/A,#N/A,FALSE,"022-97";#N/A,#N/A,FALSE,"028-97"}</definedName>
    <definedName name="w" localSheetId="2" hidden="1">{#N/A,#N/A,FALSE,"GERAL";#N/A,#N/A,FALSE,"012-96";#N/A,#N/A,FALSE,"018-96";#N/A,#N/A,FALSE,"027-96";#N/A,#N/A,FALSE,"059-96";#N/A,#N/A,FALSE,"076-96";#N/A,#N/A,FALSE,"019-97";#N/A,#N/A,FALSE,"021-97";#N/A,#N/A,FALSE,"022-97";#N/A,#N/A,FALSE,"028-97"}</definedName>
    <definedName name="w" hidden="1">{#N/A,#N/A,FALSE,"GERAL";#N/A,#N/A,FALSE,"012-96";#N/A,#N/A,FALSE,"018-96";#N/A,#N/A,FALSE,"027-96";#N/A,#N/A,FALSE,"059-96";#N/A,#N/A,FALSE,"076-96";#N/A,#N/A,FALSE,"019-97";#N/A,#N/A,FALSE,"021-97";#N/A,#N/A,FALSE,"022-97";#N/A,#N/A,FALSE,"028-97"}</definedName>
    <definedName name="wacc" localSheetId="0">#REF!</definedName>
    <definedName name="wacc">#REF!</definedName>
    <definedName name="wacc1" localSheetId="0">#REF!</definedName>
    <definedName name="wacc1">#REF!</definedName>
    <definedName name="wages" localSheetId="0">#REF!</definedName>
    <definedName name="wages">#REF!</definedName>
    <definedName name="water" localSheetId="0">#REF!</definedName>
    <definedName name="water">#REF!</definedName>
    <definedName name="WBS1000S" localSheetId="0">#REF!</definedName>
    <definedName name="WBS1000S">#REF!</definedName>
    <definedName name="WBS2000S" localSheetId="0">#REF!</definedName>
    <definedName name="WBS2000S">#REF!</definedName>
    <definedName name="WBS3000S" localSheetId="0">#REF!</definedName>
    <definedName name="WBS3000S">#REF!</definedName>
    <definedName name="WBS4000S" localSheetId="0">#REF!</definedName>
    <definedName name="WBS4000S">#REF!</definedName>
    <definedName name="WBS5000S" localSheetId="0">#REF!</definedName>
    <definedName name="WBS5000S">#REF!</definedName>
    <definedName name="WeeksPerMonth">#REF!</definedName>
    <definedName name="wef" localSheetId="0" hidden="1">{#N/A,#N/A,FALSE,"minas";#N/A,#N/A,FALSE,"Total_OC015";#N/A,#N/A,FALSE,"ADMIN";#N/A,#N/A,FALSE,"PROCES";#N/A,#N/A,FALSE,"civil";#N/A,#N/A,FALSE,"CAÑER";#N/A,#N/A,FALSE,"ELEC";#N/A,#N/A,FALSE,"INSTR";#N/A,#N/A,FALSE,"PDS";#N/A,#N/A,FALSE,"mecan"}</definedName>
    <definedName name="wef" localSheetId="2" hidden="1">{#N/A,#N/A,FALSE,"minas";#N/A,#N/A,FALSE,"Total_OC015";#N/A,#N/A,FALSE,"ADMIN";#N/A,#N/A,FALSE,"PROCES";#N/A,#N/A,FALSE,"civil";#N/A,#N/A,FALSE,"CAÑER";#N/A,#N/A,FALSE,"ELEC";#N/A,#N/A,FALSE,"INSTR";#N/A,#N/A,FALSE,"PDS";#N/A,#N/A,FALSE,"mecan"}</definedName>
    <definedName name="wef" hidden="1">{#N/A,#N/A,FALSE,"minas";#N/A,#N/A,FALSE,"Total_OC015";#N/A,#N/A,FALSE,"ADMIN";#N/A,#N/A,FALSE,"PROCES";#N/A,#N/A,FALSE,"civil";#N/A,#N/A,FALSE,"CAÑER";#N/A,#N/A,FALSE,"ELEC";#N/A,#N/A,FALSE,"INSTR";#N/A,#N/A,FALSE,"PDS";#N/A,#N/A,FALSE,"mecan"}</definedName>
    <definedName name="wefw" localSheetId="0" hidden="1">{#N/A,#N/A,FALSE,"Total_OC015";#N/A,#N/A,FALSE,"ADMIN";#N/A,#N/A,FALSE,"PROCES";#N/A,#N/A,FALSE,"mecan";#N/A,#N/A,FALSE,"civil";#N/A,#N/A,FALSE,"CAÑER";#N/A,#N/A,FALSE,"ELEC";#N/A,#N/A,FALSE,"INSTR"}</definedName>
    <definedName name="wefw" localSheetId="2" hidden="1">{#N/A,#N/A,FALSE,"Total_OC015";#N/A,#N/A,FALSE,"ADMIN";#N/A,#N/A,FALSE,"PROCES";#N/A,#N/A,FALSE,"mecan";#N/A,#N/A,FALSE,"civil";#N/A,#N/A,FALSE,"CAÑER";#N/A,#N/A,FALSE,"ELEC";#N/A,#N/A,FALSE,"INSTR"}</definedName>
    <definedName name="wefw" hidden="1">{#N/A,#N/A,FALSE,"Total_OC015";#N/A,#N/A,FALSE,"ADMIN";#N/A,#N/A,FALSE,"PROCES";#N/A,#N/A,FALSE,"mecan";#N/A,#N/A,FALSE,"civil";#N/A,#N/A,FALSE,"CAÑER";#N/A,#N/A,FALSE,"ELEC";#N/A,#N/A,FALSE,"INSTR"}</definedName>
    <definedName name="wefwe" localSheetId="0" hidden="1">{#N/A,#N/A,FALSE,"Total_OC015";#N/A,#N/A,FALSE,"ADMIN";#N/A,#N/A,FALSE,"PROCES";#N/A,#N/A,FALSE,"mecan";#N/A,#N/A,FALSE,"civil";#N/A,#N/A,FALSE,"CAÑER";#N/A,#N/A,FALSE,"ELEC";#N/A,#N/A,FALSE,"INSTR"}</definedName>
    <definedName name="wefwe" localSheetId="2"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f" localSheetId="0" hidden="1">{#N/A,#N/A,TRUE,"Est. de Fact.";#N/A,#N/A,TRUE,"Capitulo 19";#N/A,#N/A,TRUE,"Proyecto P855"}</definedName>
    <definedName name="wefwef" localSheetId="2" hidden="1">{#N/A,#N/A,TRUE,"Est. de Fact.";#N/A,#N/A,TRUE,"Capitulo 19";#N/A,#N/A,TRUE,"Proyecto P855"}</definedName>
    <definedName name="wefwef" hidden="1">{#N/A,#N/A,TRUE,"Est. de Fact.";#N/A,#N/A,TRUE,"Capitulo 19";#N/A,#N/A,TRUE,"Proyecto P855"}</definedName>
    <definedName name="Weight" localSheetId="0">#REF!</definedName>
    <definedName name="Weight">#REF!</definedName>
    <definedName name="WERT" localSheetId="0" hidden="1">{#N/A,#N/A,FALSE,"masez (10)";#N/A,#N/A,FALSE,"masez (7)";#N/A,#N/A,FALSE,"masez (6)";#N/A,#N/A,FALSE,"masez (5)";#N/A,#N/A,FALSE,"masez (4)";#N/A,#N/A,FALSE,"masez (3)";#N/A,#N/A,FALSE,"masez (2)";#N/A,#N/A,FALSE,"GME";#N/A,#N/A,FALSE,"masez"}</definedName>
    <definedName name="WERT" localSheetId="2"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rwe" localSheetId="0">#REF!</definedName>
    <definedName name="werwe">#REF!</definedName>
    <definedName name="werwerwerew" localSheetId="0">#REF!</definedName>
    <definedName name="werwerwerew">#REF!</definedName>
    <definedName name="werwerwerwe" localSheetId="0">#REF!</definedName>
    <definedName name="werwerwerwe">#REF!</definedName>
    <definedName name="wewwe" localSheetId="0" hidden="1">{#N/A,#N/A,FALSE,"minas";#N/A,#N/A,FALSE,"Total_OC015";#N/A,#N/A,FALSE,"ADMIN";#N/A,#N/A,FALSE,"PROCES";#N/A,#N/A,FALSE,"civil";#N/A,#N/A,FALSE,"CAÑER";#N/A,#N/A,FALSE,"ELEC";#N/A,#N/A,FALSE,"INSTR";#N/A,#N/A,FALSE,"PDS";#N/A,#N/A,FALSE,"mecan"}</definedName>
    <definedName name="wewwe" localSheetId="2" hidden="1">{#N/A,#N/A,FALSE,"minas";#N/A,#N/A,FALSE,"Total_OC015";#N/A,#N/A,FALSE,"ADMIN";#N/A,#N/A,FALSE,"PROCES";#N/A,#N/A,FALSE,"civil";#N/A,#N/A,FALSE,"CAÑER";#N/A,#N/A,FALSE,"ELEC";#N/A,#N/A,FALSE,"INSTR";#N/A,#N/A,FALSE,"PDS";#N/A,#N/A,FALSE,"mecan"}</definedName>
    <definedName name="wewwe" hidden="1">{#N/A,#N/A,FALSE,"minas";#N/A,#N/A,FALSE,"Total_OC015";#N/A,#N/A,FALSE,"ADMIN";#N/A,#N/A,FALSE,"PROCES";#N/A,#N/A,FALSE,"civil";#N/A,#N/A,FALSE,"CAÑER";#N/A,#N/A,FALSE,"ELEC";#N/A,#N/A,FALSE,"INSTR";#N/A,#N/A,FALSE,"PDS";#N/A,#N/A,FALSE,"mecan"}</definedName>
    <definedName name="width" localSheetId="0">#REF!</definedName>
    <definedName name="width">#REF!</definedName>
    <definedName name="wnr" localSheetId="0" hidden="1">{#N/A,#N/A,FALSE,"GERAL";#N/A,#N/A,FALSE,"012-96";#N/A,#N/A,FALSE,"018-96";#N/A,#N/A,FALSE,"027-96";#N/A,#N/A,FALSE,"059-96";#N/A,#N/A,FALSE,"076-96";#N/A,#N/A,FALSE,"019-97";#N/A,#N/A,FALSE,"021-97";#N/A,#N/A,FALSE,"022-97";#N/A,#N/A,FALSE,"028-97"}</definedName>
    <definedName name="wnr" localSheetId="2"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rn" localSheetId="0" hidden="1">{#N/A,#N/A,TRUE,"Est. de Fact.";#N/A,#N/A,TRUE,"Capitulo 19";#N/A,#N/A,TRUE,"Proyecto P855"}</definedName>
    <definedName name="wrn" localSheetId="2" hidden="1">{#N/A,#N/A,TRUE,"Est. de Fact.";#N/A,#N/A,TRUE,"Capitulo 19";#N/A,#N/A,TRUE,"Proyecto P855"}</definedName>
    <definedName name="wrn" hidden="1">{#N/A,#N/A,TRUE,"Est. de Fact.";#N/A,#N/A,TRUE,"Capitulo 19";#N/A,#N/A,TRUE,"Proyecto P855"}</definedName>
    <definedName name="wrn.2." localSheetId="0" hidden="1">{"4",#N/A,FALSE,"Flujos Caja - Mon. 1999"}</definedName>
    <definedName name="wrn.2." localSheetId="2" hidden="1">{"4",#N/A,FALSE,"Flujos Caja - Mon. 1999"}</definedName>
    <definedName name="wrn.2." hidden="1">{"4",#N/A,FALSE,"Flujos Caja - Mon. 1999"}</definedName>
    <definedName name="wrn.ARA." localSheetId="0" hidden="1">{"ARA1",#N/A,FALSE,"ENG-ARA";"ARAhours",#N/A,FALSE,"ENG-ARA";"ARA$",#N/A,FALSE,"ENG-ARA"}</definedName>
    <definedName name="wrn.ARA." localSheetId="2" hidden="1">{"ARA1",#N/A,FALSE,"ENG-ARA";"ARAhours",#N/A,FALSE,"ENG-ARA";"ARA$",#N/A,FALSE,"ENG-ARA"}</definedName>
    <definedName name="wrn.ARA." hidden="1">{"ARA1",#N/A,FALSE,"ENG-ARA";"ARAhours",#N/A,FALSE,"ENG-ARA";"ARA$",#N/A,FALSE,"ENG-ARA"}</definedName>
    <definedName name="wrn.bechtel._.hours." localSheetId="0" hidden="1">{"bechtel1",#N/A,TRUE,"BECHTEL";"bechtelhours",#N/A,TRUE,"BECHTEL";"bechtel$",#N/A,TRUE,"BECHTEL"}</definedName>
    <definedName name="wrn.bechtel._.hours." localSheetId="2" hidden="1">{"bechtel1",#N/A,TRUE,"BECHTEL";"bechtelhours",#N/A,TRUE,"BECHTEL";"bechtel$",#N/A,TRUE,"BECHTEL"}</definedName>
    <definedName name="wrn.bechtel._.hours." hidden="1">{"bechtel1",#N/A,TRUE,"BECHTEL";"bechtelhours",#N/A,TRUE,"BECHTEL";"bechtel$",#N/A,TRUE,"BECHTEL"}</definedName>
    <definedName name="wrn.Camaracamion." localSheetId="0" hidden="1">{"desarrollo",#N/A,FALSE,"Cámara Camión";"resumen",#N/A,FALSE,"Cámara Camión";"eqprod",#N/A,FALSE,"Cámara Camión"}</definedName>
    <definedName name="wrn.Camaracamion." localSheetId="2" hidden="1">{"desarrollo",#N/A,FALSE,"Cámara Camión";"resumen",#N/A,FALSE,"Cámara Camión";"eqprod",#N/A,FALSE,"Cámara Camión"}</definedName>
    <definedName name="wrn.Camaracamion." hidden="1">{"desarrollo",#N/A,FALSE,"Cámara Camión";"resumen",#N/A,FALSE,"Cámara Camión";"eqprod",#N/A,FALSE,"Cámara Camión"}</definedName>
    <definedName name="wrn.CIGG." localSheetId="0" hidden="1">{"CI+GG(BASE)",#N/A,FALSE,"CI+GG(BASE)";"GG",#N/A,FALSE,"CI+GG(BASE)";"CI",#N/A,FALSE,"CI+GG(BASE)"}</definedName>
    <definedName name="wrn.CIGG." localSheetId="2" hidden="1">{"CI+GG(BASE)",#N/A,FALSE,"CI+GG(BASE)";"GG",#N/A,FALSE,"CI+GG(BASE)";"CI",#N/A,FALSE,"CI+GG(BASE)"}</definedName>
    <definedName name="wrn.CIGG." hidden="1">{"CI+GG(BASE)",#N/A,FALSE,"CI+GG(BASE)";"GG",#N/A,FALSE,"CI+GG(BASE)";"CI",#N/A,FALSE,"CI+GG(BASE)"}</definedName>
    <definedName name="wrn.Completo."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Detail." localSheetId="0" hidden="1">{#N/A,#N/A,FALSE,"Matrix";#N/A,#N/A,FALSE,"Executive";#N/A,#N/A,FALSE,"Summary";#N/A,#N/A,FALSE,"Office1";#N/A,#N/A,FALSE,"Office2";#N/A,#N/A,FALSE,"Office3";#N/A,#N/A,FALSE,"Office4";#N/A,#N/A,FALSE,"Office5";#N/A,#N/A,FALSE,"Office6";#N/A,#N/A,FALSE,"Office7";#N/A,#N/A,FALSE,"Labor"}</definedName>
    <definedName name="wrn.Detail." localSheetId="2"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0" hidden="1">{#N/A,#N/A,FALSE,"IC_Global";#N/A,#N/A,FALSE,"IC_Global (98-f)";#N/A,#N/A,FALSE,"Inc";#N/A,#N/A,FALSE,"CAMBIOS (2)";#N/A,#N/A,FALSE,"EXPL Inc.";#N/A,#N/A,FALSE,"HITOS98";#N/A,#N/A,FALSE,"CURVA ""S"" GLOBAL ";#N/A,#N/A,FALSE,"CURVA ""S"" 1998 "}</definedName>
    <definedName name="wrn.Día._.API." localSheetId="2"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p10." localSheetId="0" hidden="1">{#N/A,#N/A,FALSE,"masez (10)";#N/A,#N/A,FALSE,"masez (7)";#N/A,#N/A,FALSE,"masez (6)";#N/A,#N/A,FALSE,"masez (5)";#N/A,#N/A,FALSE,"masez (4)";#N/A,#N/A,FALSE,"masez (3)";#N/A,#N/A,FALSE,"masez (2)";#N/A,#N/A,FALSE,"GME";#N/A,#N/A,FALSE,"masez"}</definedName>
    <definedName name="wrn.ep10." localSheetId="2"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STIMAT." localSheetId="0"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2"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flujos." localSheetId="0" hidden="1">{"FlujoGastos",#N/A,FALSE,"Base";"FlujoGastos",#N/A,FALSE,"Buzón Tren";"FlujoGastos",#N/A,FALSE,"Buzón Camión";"FlujoGastos",#N/A,FALSE,"LHD Camión";"FlujoGastos",#N/A,FALSE,"Cámara Camión"}</definedName>
    <definedName name="wrn.flujos." localSheetId="2"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ms." localSheetId="0" hidden="1">{#N/A,#N/A,FALSE,"E-1";#N/A,#N/A,FALSE,"E-2";#N/A,#N/A,FALSE,"F-1";#N/A,#N/A,FALSE,"F-2";#N/A,#N/A,FALSE,"F-3";#N/A,#N/A,FALSE,"F-4";#N/A,#N/A,FALSE,"F-5";#N/A,#N/A,FALSE,"F-6";#N/A,#N/A,FALSE,"Matrix"}</definedName>
    <definedName name="wrn.Forms." localSheetId="2"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ORMULARIOS." localSheetId="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GERAL" localSheetId="0" hidden="1">{#N/A,#N/A,FALSE,"ET-CAPA";#N/A,#N/A,FALSE,"ET-PAG1";#N/A,#N/A,FALSE,"ET-PAG2";#N/A,#N/A,FALSE,"ET-PAG3";#N/A,#N/A,FALSE,"ET-PAG4";#N/A,#N/A,FALSE,"ET-PAG5"}</definedName>
    <definedName name="wrn.GERAL" localSheetId="2" hidden="1">{#N/A,#N/A,FALSE,"ET-CAPA";#N/A,#N/A,FALSE,"ET-PAG1";#N/A,#N/A,FALSE,"ET-PAG2";#N/A,#N/A,FALSE,"ET-PAG3";#N/A,#N/A,FALSE,"ET-PAG4";#N/A,#N/A,FALSE,"ET-PAG5"}</definedName>
    <definedName name="wrn.GERAL" hidden="1">{#N/A,#N/A,FALSE,"ET-CAPA";#N/A,#N/A,FALSE,"ET-PAG1";#N/A,#N/A,FALSE,"ET-PAG2";#N/A,#N/A,FALSE,"ET-PAG3";#N/A,#N/A,FALSE,"ET-PAG4";#N/A,#N/A,FALSE,"ET-PAG5"}</definedName>
    <definedName name="wrn.GERAL." localSheetId="0" hidden="1">{#N/A,#N/A,FALSE,"ET-CAPA";#N/A,#N/A,FALSE,"ET-PAG1";#N/A,#N/A,FALSE,"ET-PAG2";#N/A,#N/A,FALSE,"ET-PAG3";#N/A,#N/A,FALSE,"ET-PAG4";#N/A,#N/A,FALSE,"ET-PAG5"}</definedName>
    <definedName name="wrn.GERAL." localSheetId="2" hidden="1">{#N/A,#N/A,FALSE,"ET-CAPA";#N/A,#N/A,FALSE,"ET-PAG1";#N/A,#N/A,FALSE,"ET-PAG2";#N/A,#N/A,FALSE,"ET-PAG3";#N/A,#N/A,FALSE,"ET-PAG4";#N/A,#N/A,FALSE,"ET-PAG5"}</definedName>
    <definedName name="wrn.GERAL." hidden="1">{#N/A,#N/A,FALSE,"ET-CAPA";#N/A,#N/A,FALSE,"ET-PAG1";#N/A,#N/A,FALSE,"ET-PAG2";#N/A,#N/A,FALSE,"ET-PAG3";#N/A,#N/A,FALSE,"ET-PAG4";#N/A,#N/A,FALSE,"ET-PAG5"}</definedName>
    <definedName name="wrn.GERAL1." localSheetId="0" hidden="1">{#N/A,#N/A,FALSE,"ET-CAPA";#N/A,#N/A,FALSE,"ET-PAG1";#N/A,#N/A,FALSE,"ET-PAG2";#N/A,#N/A,FALSE,"ET-PAG3";#N/A,#N/A,FALSE,"ET-PAG4";#N/A,#N/A,FALSE,"ET-PAG5"}</definedName>
    <definedName name="wrn.GERAL1." localSheetId="2" hidden="1">{#N/A,#N/A,FALSE,"ET-CAPA";#N/A,#N/A,FALSE,"ET-PAG1";#N/A,#N/A,FALSE,"ET-PAG2";#N/A,#N/A,FALSE,"ET-PAG3";#N/A,#N/A,FALSE,"ET-PAG4";#N/A,#N/A,FALSE,"ET-PAG5"}</definedName>
    <definedName name="wrn.GERAL1." hidden="1">{#N/A,#N/A,FALSE,"ET-CAPA";#N/A,#N/A,FALSE,"ET-PAG1";#N/A,#N/A,FALSE,"ET-PAG2";#N/A,#N/A,FALSE,"ET-PAG3";#N/A,#N/A,FALSE,"ET-PAG4";#N/A,#N/A,FALSE,"ET-PAG5"}</definedName>
    <definedName name="wrn.GERAL2." localSheetId="0" hidden="1">{#N/A,#N/A,FALSE,"ET-CAPA";#N/A,#N/A,FALSE,"ET-PAG1";#N/A,#N/A,FALSE,"ET-PAG2";#N/A,#N/A,FALSE,"ET-PAG3";#N/A,#N/A,FALSE,"ET-PAG4";#N/A,#N/A,FALSE,"ET-PAG5"}</definedName>
    <definedName name="wrn.GERAL2." localSheetId="2" hidden="1">{#N/A,#N/A,FALSE,"ET-CAPA";#N/A,#N/A,FALSE,"ET-PAG1";#N/A,#N/A,FALSE,"ET-PAG2";#N/A,#N/A,FALSE,"ET-PAG3";#N/A,#N/A,FALSE,"ET-PAG4";#N/A,#N/A,FALSE,"ET-PAG5"}</definedName>
    <definedName name="wrn.GERAL2." hidden="1">{#N/A,#N/A,FALSE,"ET-CAPA";#N/A,#N/A,FALSE,"ET-PAG1";#N/A,#N/A,FALSE,"ET-PAG2";#N/A,#N/A,FALSE,"ET-PAG3";#N/A,#N/A,FALSE,"ET-PAG4";#N/A,#N/A,FALSE,"ET-PAG5"}</definedName>
    <definedName name="wrn.INFORME_XPAND." localSheetId="0" hidden="1">{"DETALLE_1996",#N/A,FALSE,"flujo";"DETALLE_1997",#N/A,FALSE,"flujo";"GASTOS_INCURRIDOS_1996",#N/A,FALSE,"flujo";"GASTOS_PROGRAMADOS_PARA_1997",#N/A,FALSE,"flujo";#N/A,#N/A,FALSE,"comparat";#N/A,#N/A,FALSE,"costos";#N/A,#N/A,FALSE,"proyctrol"}</definedName>
    <definedName name="wrn.INFORME_XPAND." localSheetId="2"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0" hidden="1">{#N/A,#N/A,FALSE,"TEC-01";#N/A,#N/A,FALSE,"TEC - 02";#N/A,#N/A,FALSE,"TEC - 03";#N/A,#N/A,FALSE,"TEC - 04";#N/A,#N/A,FALSE,"TEC-07";#N/A,#N/A,FALSE,"TEC-08";#N/A,#N/A,FALSE,"TEC - 09A";#N/A,#N/A,FALSE,"TEC - 09B";#N/A,#N/A,FALSE,"TEC - 09C";#N/A,#N/A,FALSE,"TEC - 10";#N/A,#N/A,FALSE,"TEC-11"}</definedName>
    <definedName name="wrn.INFORMETEC." localSheetId="2"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0" hidden="1">{"desarrollo",#N/A,FALSE,"LHD Camión";"eqdllo",#N/A,FALSE,"LHD Camión";"eqprod",#N/A,FALSE,"LHD Camión";"Resumen",#N/A,FALSE,"LHD Camión"}</definedName>
    <definedName name="wrn.LHDCAMION." localSheetId="2"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0" hidden="1">{#N/A,#N/A,FALSE,"Lista Eq.yMaq."}</definedName>
    <definedName name="wrn.Lista._.Eq.yMaq.." localSheetId="2" hidden="1">{#N/A,#N/A,FALSE,"Lista Eq.yMaq."}</definedName>
    <definedName name="wrn.Lista._.Eq.yMaq.." hidden="1">{#N/A,#N/A,FALSE,"Lista Eq.yMaq."}</definedName>
    <definedName name="wrn.MO." localSheetId="0" hidden="1">{"MO(BASE)",#N/A,FALSE,"MO(BASE)";"MO(BASE)1",#N/A,FALSE,"MO(BASE)";"MO(BASE)2",#N/A,FALSE,"MO(BASE)"}</definedName>
    <definedName name="wrn.MO." localSheetId="2" hidden="1">{"MO(BASE)",#N/A,FALSE,"MO(BASE)";"MO(BASE)1",#N/A,FALSE,"MO(BASE)";"MO(BASE)2",#N/A,FALSE,"MO(BASE)"}</definedName>
    <definedName name="wrn.MO." hidden="1">{"MO(BASE)",#N/A,FALSE,"MO(BASE)";"MO(BASE)1",#N/A,FALSE,"MO(BASE)";"MO(BASE)2",#N/A,FALSE,"MO(BASE)"}</definedName>
    <definedName name="wrn.MONEDA._.99." localSheetId="0" hidden="1">{"3",#N/A,FALSE,"Flujos Caja - Mon. 1999";"INGRESOS MONEDA 1999",#N/A,FALSE,"Flujos Caja - Mon. 1999"}</definedName>
    <definedName name="wrn.MONEDA._.99." localSheetId="2" hidden="1">{"3",#N/A,FALSE,"Flujos Caja - Mon. 1999";"INGRESOS MONEDA 1999",#N/A,FALSE,"Flujos Caja - Mon. 1999"}</definedName>
    <definedName name="wrn.MONEDA._.99." hidden="1">{"3",#N/A,FALSE,"Flujos Caja - Mon. 1999";"INGRESOS MONEDA 1999",#N/A,FALSE,"Flujos Caja - Mon. 1999"}</definedName>
    <definedName name="wrn.Nelson._.Summary." localSheetId="0" hidden="1">{#N/A,#N/A,FALSE,"subcontract"}</definedName>
    <definedName name="wrn.Nelson._.Summary." localSheetId="2" hidden="1">{#N/A,#N/A,FALSE,"subcontract"}</definedName>
    <definedName name="wrn.Nelson._.Summary." hidden="1">{#N/A,#N/A,FALSE,"subcontract"}</definedName>
    <definedName name="WRN.PEND" localSheetId="0" hidden="1">{#N/A,#N/A,FALSE,"GERAL";#N/A,#N/A,FALSE,"012-96";#N/A,#N/A,FALSE,"018-96";#N/A,#N/A,FALSE,"027-96";#N/A,#N/A,FALSE,"059-96";#N/A,#N/A,FALSE,"076-96";#N/A,#N/A,FALSE,"019-97";#N/A,#N/A,FALSE,"021-97";#N/A,#N/A,FALSE,"022-97";#N/A,#N/A,FALSE,"028-97"}</definedName>
    <definedName name="WRN.PEND" localSheetId="2"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localSheetId="2"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localSheetId="2"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localSheetId="2"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0" hidden="1">{#N/A,#N/A,FALSE,"PEND INC";#N/A,#N/A,FALSE,"PEND MINM"}</definedName>
    <definedName name="wrn.pendientes." localSheetId="2" hidden="1">{#N/A,#N/A,FALSE,"PEND INC";#N/A,#N/A,FALSE,"PEND MINM"}</definedName>
    <definedName name="wrn.pendientes." hidden="1">{#N/A,#N/A,FALSE,"PEND INC";#N/A,#N/A,FALSE,"PEND MINM"}</definedName>
    <definedName name="wrn.Presupuesto." localSheetId="0" hidden="1">{#N/A,#N/A,FALSE,"Presupuesto"}</definedName>
    <definedName name="wrn.Presupuesto." localSheetId="2" hidden="1">{#N/A,#N/A,FALSE,"Presupuesto"}</definedName>
    <definedName name="wrn.Presupuesto." hidden="1">{#N/A,#N/A,FALSE,"Presupuesto"}</definedName>
    <definedName name="wrn.print1." localSheetId="0" hidden="1">{#N/A,#N/A,TRUE,"Est. de Fact.";#N/A,#N/A,TRUE,"Capitulo 19";#N/A,#N/A,TRUE,"Proyecto P855"}</definedName>
    <definedName name="wrn.print1." localSheetId="2" hidden="1">{#N/A,#N/A,TRUE,"Est. de Fact.";#N/A,#N/A,TRUE,"Capitulo 19";#N/A,#N/A,TRUE,"Proyecto P855"}</definedName>
    <definedName name="wrn.print1." hidden="1">{#N/A,#N/A,TRUE,"Est. de Fact.";#N/A,#N/A,TRUE,"Capitulo 19";#N/A,#N/A,TRUE,"Proyecto P855"}</definedName>
    <definedName name="wrn.PRINTBAS." localSheetId="0" hidden="1">{#N/A,#N/A,FALSE,"Total_OC015";#N/A,#N/A,FALSE,"ADMIN";#N/A,#N/A,FALSE,"PROCES";#N/A,#N/A,FALSE,"mecan";#N/A,#N/A,FALSE,"civil";#N/A,#N/A,FALSE,"CAÑER";#N/A,#N/A,FALSE,"ELEC";#N/A,#N/A,FALSE,"INSTR"}</definedName>
    <definedName name="wrn.PRINTBAS." localSheetId="2"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0" hidden="1">{#N/A,#N/A,FALSE,"minas";#N/A,#N/A,FALSE,"Total_OC015";#N/A,#N/A,FALSE,"ADMIN";#N/A,#N/A,FALSE,"PROCES";#N/A,#N/A,FALSE,"civil";#N/A,#N/A,FALSE,"CAÑER";#N/A,#N/A,FALSE,"ELEC";#N/A,#N/A,FALSE,"INSTR";#N/A,#N/A,FALSE,"PDS";#N/A,#N/A,FALSE,"mecan"}</definedName>
    <definedName name="wrn.PRINTEPRS." localSheetId="2"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0" hidden="1">{#N/A,#N/A,FALSE,"minas";#N/A,#N/A,FALSE,"Total_OC015";#N/A,#N/A,FALSE,"ADMIN";#N/A,#N/A,FALSE,"PROCES";#N/A,#N/A,FALSE,"civil";#N/A,#N/A,FALSE,"CAÑER";#N/A,#N/A,FALSE,"ELEC";#N/A,#N/A,FALSE,"INSTR";#N/A,#N/A,FALSE,"PDS";#N/A,#N/A,FALSE,"mecan"}</definedName>
    <definedName name="wrn.printeprs1" localSheetId="2"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0" hidden="1">{#N/A,#N/A,FALSE,"MAQUINA"}</definedName>
    <definedName name="wrn.PROCART." localSheetId="2" hidden="1">{#N/A,#N/A,FALSE,"MAQUINA"}</definedName>
    <definedName name="wrn.PROCART." hidden="1">{#N/A,#N/A,FALSE,"MAQUINA"}</definedName>
    <definedName name="wrn.RELPAC."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Summary." localSheetId="0" hidden="1">{#N/A,#N/A,FALSE,"Matrix";#N/A,#N/A,FALSE,"Executive";#N/A,#N/A,FALSE,"Summary"}</definedName>
    <definedName name="wrn.Summary." localSheetId="2" hidden="1">{#N/A,#N/A,FALSE,"Matrix";#N/A,#N/A,FALSE,"Executive";#N/A,#N/A,FALSE,"Summary"}</definedName>
    <definedName name="wrn.Summary." hidden="1">{#N/A,#N/A,FALSE,"Matrix";#N/A,#N/A,FALSE,"Executive";#N/A,#N/A,FALSE,"Summary"}</definedName>
    <definedName name="wrn.unidades." localSheetId="0" hidden="1">{#N/A,#N/A,FALSE,"RESUMEN";#N/A,#N/A,FALSE,"GG-GI";#N/A,#N/A,FALSE,"AMB";#N/A,#N/A,FALSE,"EyR";#N/A,#N/A,FALSE,"UCP";#N/A,#N/A,FALSE,"IND";#N/A,#N/A,FALSE,"LR";#N/A,#N/A,FALSE,"PRV";#N/A,#N/A,FALSE,"TÚNELES";#N/A,#N/A,FALSE,"IDT";#N/A,#N/A,FALSE,"ING"}</definedName>
    <definedName name="wrn.unidades." localSheetId="2"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_PENDENCIAS_" localSheetId="0">{#N/A,#N/A,FALSE,"GERAL";#N/A,#N/A,FALSE,"012-96";#N/A,#N/A,FALSE,"018-96";#N/A,#N/A,FALSE,"027-96";#N/A,#N/A,FALSE,"059-96";#N/A,#N/A,FALSE,"076-96";#N/A,#N/A,FALSE,"019-97";#N/A,#N/A,FALSE,"021-97";#N/A,#N/A,FALSE,"022-97";#N/A,#N/A,FALSE,"028-97"}</definedName>
    <definedName name="wrn_PENDENCIAS_" localSheetId="2">{#N/A,#N/A,FALSE,"GERAL";#N/A,#N/A,FALSE,"012-96";#N/A,#N/A,FALSE,"018-96";#N/A,#N/A,FALSE,"027-96";#N/A,#N/A,FALSE,"059-96";#N/A,#N/A,FALSE,"076-96";#N/A,#N/A,FALSE,"019-97";#N/A,#N/A,FALSE,"021-97";#N/A,#N/A,FALSE,"022-97";#N/A,#N/A,FALSE,"028-97"}</definedName>
    <definedName name="wrn_PENDENCIAS_">{#N/A,#N/A,FALSE,"GERAL";#N/A,#N/A,FALSE,"012-96";#N/A,#N/A,FALSE,"018-96";#N/A,#N/A,FALSE,"027-96";#N/A,#N/A,FALSE,"059-96";#N/A,#N/A,FALSE,"076-96";#N/A,#N/A,FALSE,"019-97";#N/A,#N/A,FALSE,"021-97";#N/A,#N/A,FALSE,"022-97";#N/A,#N/A,FALSE,"028-97"}</definedName>
    <definedName name="wrn_PENDENCIAS__1" localSheetId="0">{#N/A,#N/A,FALSE,"GERAL";#N/A,#N/A,FALSE,"012-96";#N/A,#N/A,FALSE,"018-96";#N/A,#N/A,FALSE,"027-96";#N/A,#N/A,FALSE,"059-96";#N/A,#N/A,FALSE,"076-96";#N/A,#N/A,FALSE,"019-97";#N/A,#N/A,FALSE,"021-97";#N/A,#N/A,FALSE,"022-97";#N/A,#N/A,FALSE,"028-97"}</definedName>
    <definedName name="wrn_PENDENCIAS__1" localSheetId="2">{#N/A,#N/A,FALSE,"GERAL";#N/A,#N/A,FALSE,"012-96";#N/A,#N/A,FALSE,"018-96";#N/A,#N/A,FALSE,"027-96";#N/A,#N/A,FALSE,"059-96";#N/A,#N/A,FALSE,"076-96";#N/A,#N/A,FALSE,"019-97";#N/A,#N/A,FALSE,"021-97";#N/A,#N/A,FALSE,"022-97";#N/A,#N/A,FALSE,"028-97"}</definedName>
    <definedName name="wrn_PENDENCIAS__1">{#N/A,#N/A,FALSE,"GERAL";#N/A,#N/A,FALSE,"012-96";#N/A,#N/A,FALSE,"018-96";#N/A,#N/A,FALSE,"027-96";#N/A,#N/A,FALSE,"059-96";#N/A,#N/A,FALSE,"076-96";#N/A,#N/A,FALSE,"019-97";#N/A,#N/A,FALSE,"021-97";#N/A,#N/A,FALSE,"022-97";#N/A,#N/A,FALSE,"028-97"}</definedName>
    <definedName name="wsdf" localSheetId="0" hidden="1">{#N/A,#N/A,FALSE,"Total_OC015";#N/A,#N/A,FALSE,"ADMIN";#N/A,#N/A,FALSE,"PROCES";#N/A,#N/A,FALSE,"mecan";#N/A,#N/A,FALSE,"civil";#N/A,#N/A,FALSE,"CAÑER";#N/A,#N/A,FALSE,"ELEC";#N/A,#N/A,FALSE,"INSTR"}</definedName>
    <definedName name="wsdf" localSheetId="2"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wsw" localSheetId="0" hidden="1">{#N/A,#N/A,FALSE,"Total_OC015";#N/A,#N/A,FALSE,"ADMIN";#N/A,#N/A,FALSE,"PROCES";#N/A,#N/A,FALSE,"mecan";#N/A,#N/A,FALSE,"civil";#N/A,#N/A,FALSE,"CAÑER";#N/A,#N/A,FALSE,"ELEC";#N/A,#N/A,FALSE,"INSTR"}</definedName>
    <definedName name="wswsw" localSheetId="2"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w" localSheetId="0">#REF!</definedName>
    <definedName name="ww">#REF!</definedName>
    <definedName name="www" localSheetId="0" hidden="1">{#N/A,#N/A,FALSE,"masez (10)";#N/A,#N/A,FALSE,"masez (7)";#N/A,#N/A,FALSE,"masez (6)";#N/A,#N/A,FALSE,"masez (5)";#N/A,#N/A,FALSE,"masez (4)";#N/A,#N/A,FALSE,"masez (3)";#N/A,#N/A,FALSE,"masez (2)";#N/A,#N/A,FALSE,"GME";#N/A,#N/A,FALSE,"masez"}</definedName>
    <definedName name="www" localSheetId="2"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x" localSheetId="0" hidden="1">{"'Plan1 (2)'!$A$5:$F$63"}</definedName>
    <definedName name="x" localSheetId="2" hidden="1">{"'Plan1 (2)'!$A$5:$F$63"}</definedName>
    <definedName name="x" hidden="1">{"'Plan1 (2)'!$A$5:$F$63"}</definedName>
    <definedName name="XALK" localSheetId="0">#REF!</definedName>
    <definedName name="XALK">#REF!</definedName>
    <definedName name="XCXCX" localSheetId="0">#REF!</definedName>
    <definedName name="XCXCX">#REF!</definedName>
    <definedName name="xd" localSheetId="0" hidden="1">{#N/A,#N/A,TRUE,"Est. de Fact.";#N/A,#N/A,TRUE,"Capitulo 19";#N/A,#N/A,TRUE,"Proyecto P855"}</definedName>
    <definedName name="xd" localSheetId="2" hidden="1">{#N/A,#N/A,TRUE,"Est. de Fact.";#N/A,#N/A,TRUE,"Capitulo 19";#N/A,#N/A,TRUE,"Proyecto P855"}</definedName>
    <definedName name="xd" hidden="1">{#N/A,#N/A,TRUE,"Est. de Fact.";#N/A,#N/A,TRUE,"Capitulo 19";#N/A,#N/A,TRUE,"Proyecto P855"}</definedName>
    <definedName name="XE_Currency" localSheetId="0">#REF!</definedName>
    <definedName name="XE_Currency">#REF!</definedName>
    <definedName name="XX">#N/A</definedName>
    <definedName name="xxx" localSheetId="0" hidden="1">{#N/A,#N/A,FALSE,"GERAL";#N/A,#N/A,FALSE,"012-96";#N/A,#N/A,FALSE,"018-96";#N/A,#N/A,FALSE,"027-96";#N/A,#N/A,FALSE,"059-96";#N/A,#N/A,FALSE,"076-96";#N/A,#N/A,FALSE,"019-97";#N/A,#N/A,FALSE,"021-97";#N/A,#N/A,FALSE,"022-97";#N/A,#N/A,FALSE,"028-97"}</definedName>
    <definedName name="xxx" localSheetId="2"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x" localSheetId="0">#REF!</definedName>
    <definedName name="xxxx">#REF!</definedName>
    <definedName name="XXXXX" localSheetId="0">#REF!</definedName>
    <definedName name="XXXXX">#REF!</definedName>
    <definedName name="y" localSheetId="0">#REF!,#REF!,#REF!,#REF!,#REF!,#REF!</definedName>
    <definedName name="y">#REF!,#REF!,#REF!,#REF!,#REF!,#REF!</definedName>
    <definedName name="YEN_Total" localSheetId="0">#REF!</definedName>
    <definedName name="YEN_Total">#REF!</definedName>
    <definedName name="yhyhy" localSheetId="0">#REF!</definedName>
    <definedName name="yhyhy">#REF!</definedName>
    <definedName name="YNList" localSheetId="0">#REF!</definedName>
    <definedName name="YNList">#REF!</definedName>
    <definedName name="yttyty" localSheetId="0" hidden="1">{#N/A,#N/A,FALSE,"Total_OC015";#N/A,#N/A,FALSE,"ADMIN";#N/A,#N/A,FALSE,"PROCES";#N/A,#N/A,FALSE,"mecan";#N/A,#N/A,FALSE,"civil";#N/A,#N/A,FALSE,"CAÑER";#N/A,#N/A,FALSE,"ELEC";#N/A,#N/A,FALSE,"INSTR"}</definedName>
    <definedName name="yttyty" localSheetId="2" hidden="1">{#N/A,#N/A,FALSE,"Total_OC015";#N/A,#N/A,FALSE,"ADMIN";#N/A,#N/A,FALSE,"PROCES";#N/A,#N/A,FALSE,"mecan";#N/A,#N/A,FALSE,"civil";#N/A,#N/A,FALSE,"CAÑER";#N/A,#N/A,FALSE,"ELEC";#N/A,#N/A,FALSE,"INSTR"}</definedName>
    <definedName name="yttyty" hidden="1">{#N/A,#N/A,FALSE,"Total_OC015";#N/A,#N/A,FALSE,"ADMIN";#N/A,#N/A,FALSE,"PROCES";#N/A,#N/A,FALSE,"mecan";#N/A,#N/A,FALSE,"civil";#N/A,#N/A,FALSE,"CAÑER";#N/A,#N/A,FALSE,"ELEC";#N/A,#N/A,FALSE,"INSTR"}</definedName>
    <definedName name="YUAN_Total" localSheetId="0">#REF!</definedName>
    <definedName name="YUAN_Total">#REF!</definedName>
    <definedName name="yuyuyu" localSheetId="0" hidden="1">{#N/A,#N/A,FALSE,"minas";#N/A,#N/A,FALSE,"Total_OC015";#N/A,#N/A,FALSE,"ADMIN";#N/A,#N/A,FALSE,"PROCES";#N/A,#N/A,FALSE,"civil";#N/A,#N/A,FALSE,"CAÑER";#N/A,#N/A,FALSE,"ELEC";#N/A,#N/A,FALSE,"INSTR";#N/A,#N/A,FALSE,"PDS";#N/A,#N/A,FALSE,"mecan"}</definedName>
    <definedName name="yuyuyu" localSheetId="2" hidden="1">{#N/A,#N/A,FALSE,"minas";#N/A,#N/A,FALSE,"Total_OC015";#N/A,#N/A,FALSE,"ADMIN";#N/A,#N/A,FALSE,"PROCES";#N/A,#N/A,FALSE,"civil";#N/A,#N/A,FALSE,"CAÑER";#N/A,#N/A,FALSE,"ELEC";#N/A,#N/A,FALSE,"INSTR";#N/A,#N/A,FALSE,"PDS";#N/A,#N/A,FALSE,"mecan"}</definedName>
    <definedName name="yuyuyu" hidden="1">{#N/A,#N/A,FALSE,"minas";#N/A,#N/A,FALSE,"Total_OC015";#N/A,#N/A,FALSE,"ADMIN";#N/A,#N/A,FALSE,"PROCES";#N/A,#N/A,FALSE,"civil";#N/A,#N/A,FALSE,"CAÑER";#N/A,#N/A,FALSE,"ELEC";#N/A,#N/A,FALSE,"INSTR";#N/A,#N/A,FALSE,"PDS";#N/A,#N/A,FALSE,"mecan"}</definedName>
    <definedName name="yy" localSheetId="0">#REF!</definedName>
    <definedName name="yy">#REF!</definedName>
    <definedName name="yyy" localSheetId="0">#REF!</definedName>
    <definedName name="yyy">#REF!</definedName>
    <definedName name="z" localSheetId="0">#REF!</definedName>
    <definedName name="z">#REF!</definedName>
    <definedName name="Z_118390A3_5BCD_4BAD_AD5D_57758148AB45_.wvu.Cols" localSheetId="0" hidden="1">#REF!,#REF!,#REF!,#REF!,#REF!,#REF!</definedName>
    <definedName name="Z_118390A3_5BCD_4BAD_AD5D_57758148AB45_.wvu.Cols" hidden="1">#REF!,#REF!,#REF!,#REF!,#REF!,#REF!</definedName>
    <definedName name="Z_118390A3_5BCD_4BAD_AD5D_57758148AB45_.wvu.Rows" localSheetId="0" hidden="1">#REF!,#REF!</definedName>
    <definedName name="Z_118390A3_5BCD_4BAD_AD5D_57758148AB45_.wvu.Rows" hidden="1">#REF!,#REF!</definedName>
    <definedName name="Z_146D92FF_DFCA_47DC_9CF6_0D07F916365B_.wvu.Cols" localSheetId="0" hidden="1">#REF!,#REF!,#REF!,#REF!</definedName>
    <definedName name="Z_146D92FF_DFCA_47DC_9CF6_0D07F916365B_.wvu.Cols" hidden="1">#REF!,#REF!,#REF!,#REF!</definedName>
    <definedName name="Z_146D92FF_DFCA_47DC_9CF6_0D07F916365B_.wvu.FilterData" localSheetId="0" hidden="1">#REF!</definedName>
    <definedName name="Z_146D92FF_DFCA_47DC_9CF6_0D07F916365B_.wvu.FilterData" hidden="1">#REF!</definedName>
    <definedName name="Z_204280AB_6F29_4C38_B953_40E78BD846F8_.wvu.Cols" localSheetId="0" hidden="1">#REF!,#REF!,#REF!</definedName>
    <definedName name="Z_204280AB_6F29_4C38_B953_40E78BD846F8_.wvu.Cols" hidden="1">#REF!,#REF!,#REF!</definedName>
    <definedName name="Z_204280AB_6F29_4C38_B953_40E78BD846F8_.wvu.FilterData" localSheetId="0" hidden="1">#REF!</definedName>
    <definedName name="Z_204280AB_6F29_4C38_B953_40E78BD846F8_.wvu.FilterData" hidden="1">#REF!</definedName>
    <definedName name="Z_204280AB_6F29_4C38_B953_40E78BD846F8_.wvu.PrintArea" localSheetId="0" hidden="1">#REF!</definedName>
    <definedName name="Z_204280AB_6F29_4C38_B953_40E78BD846F8_.wvu.PrintArea" hidden="1">#REF!</definedName>
    <definedName name="Z_204280AB_6F29_4C38_B953_40E78BD846F8_.wvu.PrintTitles" localSheetId="0" hidden="1">#REF!</definedName>
    <definedName name="Z_204280AB_6F29_4C38_B953_40E78BD846F8_.wvu.PrintTitles" hidden="1">#REF!</definedName>
    <definedName name="Z_7AE3F8A6_7282_4640_BAE6_7D5F8B45608B_.wvu.Cols" localSheetId="0" hidden="1">#REF!</definedName>
    <definedName name="Z_7AE3F8A6_7282_4640_BAE6_7D5F8B45608B_.wvu.Cols" hidden="1">#REF!</definedName>
    <definedName name="Z_F8DBEF03_39C5_4B4F_97A5_5A8DD9B74A35_.wvu.Cols" localSheetId="0" hidden="1">#REF!,#REF!,#REF!,#REF!,#REF!,#REF!</definedName>
    <definedName name="Z_F8DBEF03_39C5_4B4F_97A5_5A8DD9B74A35_.wvu.Cols" hidden="1">#REF!,#REF!,#REF!,#REF!,#REF!,#REF!</definedName>
    <definedName name="za" localSheetId="0">#REF!</definedName>
    <definedName name="za">#REF!</definedName>
    <definedName name="ZAR" localSheetId="0">#REF!</definedName>
    <definedName name="ZAR">#REF!</definedName>
    <definedName name="Zona" localSheetId="0">#REF!</definedName>
    <definedName name="Zona">#REF!</definedName>
    <definedName name="ZVZ" localSheetId="0" hidden="1">{#N/A,#N/A,FALSE,"GERAL";#N/A,#N/A,FALSE,"012-96";#N/A,#N/A,FALSE,"018-96";#N/A,#N/A,FALSE,"027-96";#N/A,#N/A,FALSE,"059-96";#N/A,#N/A,FALSE,"076-96";#N/A,#N/A,FALSE,"019-97";#N/A,#N/A,FALSE,"021-97";#N/A,#N/A,FALSE,"022-97";#N/A,#N/A,FALSE,"028-97"}</definedName>
    <definedName name="ZVZ" localSheetId="2" hidden="1">{#N/A,#N/A,FALSE,"GERAL";#N/A,#N/A,FALSE,"012-96";#N/A,#N/A,FALSE,"018-96";#N/A,#N/A,FALSE,"027-96";#N/A,#N/A,FALSE,"059-96";#N/A,#N/A,FALSE,"076-96";#N/A,#N/A,FALSE,"019-97";#N/A,#N/A,FALSE,"021-97";#N/A,#N/A,FALSE,"022-97";#N/A,#N/A,FALSE,"028-97"}</definedName>
    <definedName name="ZVZ" hidden="1">{#N/A,#N/A,FALSE,"GERAL";#N/A,#N/A,FALSE,"012-96";#N/A,#N/A,FALSE,"018-96";#N/A,#N/A,FALSE,"027-96";#N/A,#N/A,FALSE,"059-96";#N/A,#N/A,FALSE,"076-96";#N/A,#N/A,FALSE,"019-97";#N/A,#N/A,FALSE,"021-97";#N/A,#N/A,FALSE,"022-97";#N/A,#N/A,FALSE,"028-97"}</definedName>
    <definedName name="zzzzz" localSheetId="0" hidden="1">{#N/A,#N/A,FALSE,"minas";#N/A,#N/A,FALSE,"Total_OC015";#N/A,#N/A,FALSE,"ADMIN";#N/A,#N/A,FALSE,"PROCES";#N/A,#N/A,FALSE,"civil";#N/A,#N/A,FALSE,"CAÑER";#N/A,#N/A,FALSE,"ELEC";#N/A,#N/A,FALSE,"INSTR";#N/A,#N/A,FALSE,"PDS";#N/A,#N/A,FALSE,"mecan"}</definedName>
    <definedName name="zzzzz" localSheetId="2" hidden="1">{#N/A,#N/A,FALSE,"minas";#N/A,#N/A,FALSE,"Total_OC015";#N/A,#N/A,FALSE,"ADMIN";#N/A,#N/A,FALSE,"PROCES";#N/A,#N/A,FALSE,"civil";#N/A,#N/A,FALSE,"CAÑER";#N/A,#N/A,FALSE,"ELEC";#N/A,#N/A,FALSE,"INSTR";#N/A,#N/A,FALSE,"PDS";#N/A,#N/A,FALSE,"mecan"}</definedName>
    <definedName name="zzzzz" hidden="1">{#N/A,#N/A,FALSE,"minas";#N/A,#N/A,FALSE,"Total_OC015";#N/A,#N/A,FALSE,"ADMIN";#N/A,#N/A,FALSE,"PROCES";#N/A,#N/A,FALSE,"civil";#N/A,#N/A,FALSE,"CAÑER";#N/A,#N/A,FALSE,"ELEC";#N/A,#N/A,FALSE,"INSTR";#N/A,#N/A,FALSE,"PDS";#N/A,#N/A,FALSE,"mecan"}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104" l="1"/>
  <c r="F18" i="28"/>
  <c r="F19" i="28"/>
  <c r="F20" i="28"/>
  <c r="C18" i="28" l="1"/>
  <c r="D17" i="28"/>
  <c r="F6" i="28"/>
  <c r="D56" i="104"/>
  <c r="H53" i="104"/>
  <c r="H51" i="104"/>
  <c r="H49" i="104"/>
  <c r="H47" i="104"/>
  <c r="H45" i="104"/>
  <c r="H43" i="104"/>
  <c r="H41" i="104"/>
  <c r="H39" i="104"/>
  <c r="H37" i="104"/>
  <c r="H35" i="104"/>
  <c r="AL33" i="104"/>
  <c r="AO33" i="104" s="1"/>
  <c r="AX33" i="104" s="1"/>
  <c r="AK33" i="104"/>
  <c r="AQ33" i="104" s="1"/>
  <c r="H33" i="104"/>
  <c r="AL32" i="104"/>
  <c r="AO32" i="104" s="1"/>
  <c r="AX32" i="104" s="1"/>
  <c r="AK32" i="104"/>
  <c r="AW32" i="104" s="1"/>
  <c r="AL31" i="104"/>
  <c r="AO31" i="104" s="1"/>
  <c r="AX31" i="104" s="1"/>
  <c r="AK31" i="104"/>
  <c r="AQ31" i="104" s="1"/>
  <c r="H31" i="104"/>
  <c r="AL30" i="104"/>
  <c r="AO30" i="104" s="1"/>
  <c r="AX30" i="104" s="1"/>
  <c r="AK30" i="104"/>
  <c r="AQ30" i="104" s="1"/>
  <c r="AL29" i="104"/>
  <c r="AO29" i="104" s="1"/>
  <c r="AX29" i="104" s="1"/>
  <c r="AK29" i="104"/>
  <c r="AW29" i="104" s="1"/>
  <c r="I29" i="104"/>
  <c r="I43" i="104" s="1"/>
  <c r="H29" i="104"/>
  <c r="AW28" i="104"/>
  <c r="AQ28" i="104"/>
  <c r="AL28" i="104"/>
  <c r="AO28" i="104" s="1"/>
  <c r="AX28" i="104" s="1"/>
  <c r="AK28" i="104"/>
  <c r="AT28" i="104" s="1"/>
  <c r="AL27" i="104"/>
  <c r="AO27" i="104" s="1"/>
  <c r="AX27" i="104" s="1"/>
  <c r="AK27" i="104"/>
  <c r="AW27" i="104" s="1"/>
  <c r="H27" i="104"/>
  <c r="AL26" i="104"/>
  <c r="AN26" i="104" s="1"/>
  <c r="AU26" i="104" s="1"/>
  <c r="AK26" i="104"/>
  <c r="AT26" i="104" s="1"/>
  <c r="AL25" i="104"/>
  <c r="AM25" i="104" s="1"/>
  <c r="AR25" i="104" s="1"/>
  <c r="AK25" i="104"/>
  <c r="AW25" i="104" s="1"/>
  <c r="AL24" i="104"/>
  <c r="AO24" i="104" s="1"/>
  <c r="AX24" i="104" s="1"/>
  <c r="AK24" i="104"/>
  <c r="AQ24" i="104" s="1"/>
  <c r="AL23" i="104"/>
  <c r="AM23" i="104" s="1"/>
  <c r="AR23" i="104" s="1"/>
  <c r="AK23" i="104"/>
  <c r="AT23" i="104" s="1"/>
  <c r="AL22" i="104"/>
  <c r="AN22" i="104" s="1"/>
  <c r="AU22" i="104" s="1"/>
  <c r="AK22" i="104"/>
  <c r="AW22" i="104" s="1"/>
  <c r="AL21" i="104"/>
  <c r="AN21" i="104" s="1"/>
  <c r="AU21" i="104" s="1"/>
  <c r="AK21" i="104"/>
  <c r="AT21" i="104" s="1"/>
  <c r="AL20" i="104"/>
  <c r="AO20" i="104" s="1"/>
  <c r="AX20" i="104" s="1"/>
  <c r="AK20" i="104"/>
  <c r="AW20" i="104" s="1"/>
  <c r="AX19" i="104"/>
  <c r="AU19" i="104"/>
  <c r="AR19" i="104"/>
  <c r="AK19" i="104"/>
  <c r="AQ19" i="104" s="1"/>
  <c r="R8" i="104"/>
  <c r="C8" i="104" s="1"/>
  <c r="AQ20" i="104" l="1"/>
  <c r="AT31" i="104"/>
  <c r="AT19" i="104"/>
  <c r="AT20" i="104"/>
  <c r="AT24" i="104"/>
  <c r="AW19" i="104"/>
  <c r="AT32" i="104"/>
  <c r="AN20" i="104"/>
  <c r="AU20" i="104" s="1"/>
  <c r="AQ23" i="104"/>
  <c r="AT25" i="104"/>
  <c r="AQ27" i="104"/>
  <c r="AT27" i="104"/>
  <c r="AT30" i="104"/>
  <c r="AM32" i="104"/>
  <c r="AR32" i="104" s="1"/>
  <c r="AW30" i="104"/>
  <c r="AN32" i="104"/>
  <c r="AU32" i="104" s="1"/>
  <c r="AN23" i="104"/>
  <c r="AU23" i="104" s="1"/>
  <c r="AQ25" i="104"/>
  <c r="AM30" i="104"/>
  <c r="AR30" i="104" s="1"/>
  <c r="AW23" i="104"/>
  <c r="AT33" i="104"/>
  <c r="AM20" i="104"/>
  <c r="AR20" i="104" s="1"/>
  <c r="AQ22" i="104"/>
  <c r="AQ26" i="104"/>
  <c r="AQ29" i="104"/>
  <c r="AT22" i="104"/>
  <c r="AW26" i="104"/>
  <c r="AT29" i="104"/>
  <c r="AQ32" i="104"/>
  <c r="AO23" i="104"/>
  <c r="AX23" i="104" s="1"/>
  <c r="AM28" i="104"/>
  <c r="AR28" i="104" s="1"/>
  <c r="AN30" i="104"/>
  <c r="AU30" i="104" s="1"/>
  <c r="AO22" i="104"/>
  <c r="AX22" i="104" s="1"/>
  <c r="AN25" i="104"/>
  <c r="AU25" i="104" s="1"/>
  <c r="AN28" i="104"/>
  <c r="AU28" i="104" s="1"/>
  <c r="AO25" i="104"/>
  <c r="AX25" i="104" s="1"/>
  <c r="AM26" i="104"/>
  <c r="AR26" i="104" s="1"/>
  <c r="AM21" i="104"/>
  <c r="AR21" i="104" s="1"/>
  <c r="AM24" i="104"/>
  <c r="AR24" i="104" s="1"/>
  <c r="AO26" i="104"/>
  <c r="AX26" i="104" s="1"/>
  <c r="AW31" i="104"/>
  <c r="AM33" i="104"/>
  <c r="AR33" i="104" s="1"/>
  <c r="AO21" i="104"/>
  <c r="AX21" i="104" s="1"/>
  <c r="AN24" i="104"/>
  <c r="AU24" i="104" s="1"/>
  <c r="AM31" i="104"/>
  <c r="AR31" i="104" s="1"/>
  <c r="AN33" i="104"/>
  <c r="AU33" i="104" s="1"/>
  <c r="AQ21" i="104"/>
  <c r="AM22" i="104"/>
  <c r="AR22" i="104" s="1"/>
  <c r="AM27" i="104"/>
  <c r="AR27" i="104" s="1"/>
  <c r="AM29" i="104"/>
  <c r="AR29" i="104" s="1"/>
  <c r="AN31" i="104"/>
  <c r="AU31" i="104" s="1"/>
  <c r="AW24" i="104"/>
  <c r="AW33" i="104"/>
  <c r="AN27" i="104"/>
  <c r="AU27" i="104" s="1"/>
  <c r="AN29" i="104"/>
  <c r="AU29" i="104" s="1"/>
  <c r="AW21" i="104"/>
  <c r="E149" i="20" l="1"/>
  <c r="E121" i="20" l="1"/>
  <c r="E120" i="20"/>
  <c r="E93" i="20"/>
  <c r="E87" i="20"/>
  <c r="E115" i="20" l="1"/>
  <c r="U1" i="95"/>
  <c r="R1" i="95"/>
  <c r="O1" i="95"/>
  <c r="L1" i="95"/>
  <c r="I1" i="95"/>
  <c r="F1" i="95"/>
  <c r="E180" i="102"/>
  <c r="E179" i="102"/>
  <c r="E178" i="102"/>
  <c r="E177" i="102"/>
  <c r="E176" i="102"/>
  <c r="E175" i="102"/>
  <c r="E174" i="102"/>
  <c r="E170" i="102"/>
  <c r="E169" i="102"/>
  <c r="E168" i="102"/>
  <c r="E166" i="102"/>
  <c r="E165" i="102"/>
  <c r="E162" i="102"/>
  <c r="E155" i="102"/>
  <c r="E154" i="102"/>
  <c r="K154" i="102" s="1"/>
  <c r="D154" i="102"/>
  <c r="C154" i="102"/>
  <c r="B154" i="102"/>
  <c r="E153" i="102"/>
  <c r="D153" i="102"/>
  <c r="C153" i="102"/>
  <c r="B153" i="102"/>
  <c r="T152" i="102"/>
  <c r="E152" i="102"/>
  <c r="K152" i="102" s="1"/>
  <c r="D152" i="102"/>
  <c r="C152" i="102"/>
  <c r="B152" i="102"/>
  <c r="E151" i="102"/>
  <c r="D151" i="102"/>
  <c r="C151" i="102"/>
  <c r="B151" i="102"/>
  <c r="E150" i="102"/>
  <c r="K150" i="102" s="1"/>
  <c r="D150" i="102"/>
  <c r="C150" i="102"/>
  <c r="B150" i="102"/>
  <c r="E149" i="102"/>
  <c r="D149" i="102"/>
  <c r="C149" i="102"/>
  <c r="B149" i="102"/>
  <c r="D148" i="102"/>
  <c r="C148" i="102"/>
  <c r="B148" i="102"/>
  <c r="E147" i="102"/>
  <c r="W147" i="102" s="1"/>
  <c r="D147" i="102"/>
  <c r="C147" i="102"/>
  <c r="B147" i="102"/>
  <c r="E146" i="102"/>
  <c r="W146" i="102" s="1"/>
  <c r="D146" i="102"/>
  <c r="C146" i="102"/>
  <c r="B146" i="102"/>
  <c r="E145" i="102"/>
  <c r="Q145" i="102" s="1"/>
  <c r="D145" i="102"/>
  <c r="C145" i="102"/>
  <c r="B145" i="102"/>
  <c r="E144" i="102"/>
  <c r="K144" i="102" s="1"/>
  <c r="D144" i="102"/>
  <c r="C144" i="102"/>
  <c r="B144" i="102"/>
  <c r="N143" i="102"/>
  <c r="E143" i="102"/>
  <c r="Q143" i="102" s="1"/>
  <c r="D143" i="102"/>
  <c r="C143" i="102"/>
  <c r="B143" i="102"/>
  <c r="T142" i="102"/>
  <c r="Q142" i="102"/>
  <c r="N142" i="102"/>
  <c r="K142" i="102"/>
  <c r="H142" i="102"/>
  <c r="E142" i="102"/>
  <c r="W142" i="102" s="1"/>
  <c r="D142" i="102"/>
  <c r="C142" i="102"/>
  <c r="B142" i="102"/>
  <c r="D141" i="102"/>
  <c r="C141" i="102"/>
  <c r="B141" i="102"/>
  <c r="E140" i="102"/>
  <c r="D140" i="102"/>
  <c r="C140" i="102"/>
  <c r="B140" i="102"/>
  <c r="E139" i="102"/>
  <c r="D139" i="102"/>
  <c r="C139" i="102"/>
  <c r="B139" i="102"/>
  <c r="E138" i="102"/>
  <c r="D138" i="102"/>
  <c r="C138" i="102"/>
  <c r="B138" i="102"/>
  <c r="D137" i="102"/>
  <c r="C137" i="102"/>
  <c r="B137" i="102"/>
  <c r="D136" i="102"/>
  <c r="C136" i="102"/>
  <c r="B136" i="102"/>
  <c r="T135" i="102"/>
  <c r="K135" i="102"/>
  <c r="E135" i="102"/>
  <c r="Q135" i="102" s="1"/>
  <c r="D135" i="102"/>
  <c r="C135" i="102"/>
  <c r="B135" i="102"/>
  <c r="E132" i="102"/>
  <c r="W131" i="102"/>
  <c r="K131" i="102"/>
  <c r="E131" i="102"/>
  <c r="Q131" i="102" s="1"/>
  <c r="D131" i="102"/>
  <c r="C131" i="102"/>
  <c r="B131" i="102"/>
  <c r="W130" i="102"/>
  <c r="T130" i="102"/>
  <c r="E130" i="102"/>
  <c r="Q130" i="102" s="1"/>
  <c r="D130" i="102"/>
  <c r="C130" i="102"/>
  <c r="B130" i="102"/>
  <c r="E129" i="102"/>
  <c r="Q129" i="102" s="1"/>
  <c r="D129" i="102"/>
  <c r="C129" i="102"/>
  <c r="B129" i="102"/>
  <c r="E128" i="102"/>
  <c r="Q128" i="102" s="1"/>
  <c r="D128" i="102"/>
  <c r="C128" i="102"/>
  <c r="B128" i="102"/>
  <c r="E127" i="102"/>
  <c r="Q127" i="102" s="1"/>
  <c r="D127" i="102"/>
  <c r="C127" i="102"/>
  <c r="B127" i="102"/>
  <c r="E126" i="102"/>
  <c r="Q126" i="102" s="1"/>
  <c r="D126" i="102"/>
  <c r="C126" i="102"/>
  <c r="B126" i="102"/>
  <c r="E125" i="102"/>
  <c r="Q125" i="102" s="1"/>
  <c r="D125" i="102"/>
  <c r="C125" i="102"/>
  <c r="B125" i="102"/>
  <c r="E124" i="102"/>
  <c r="W124" i="102" s="1"/>
  <c r="D124" i="102"/>
  <c r="C124" i="102"/>
  <c r="B124" i="102"/>
  <c r="E123" i="102"/>
  <c r="Q123" i="102" s="1"/>
  <c r="D123" i="102"/>
  <c r="C123" i="102"/>
  <c r="B123" i="102"/>
  <c r="E122" i="102"/>
  <c r="H122" i="102" s="1"/>
  <c r="D122" i="102"/>
  <c r="C122" i="102"/>
  <c r="B122" i="102"/>
  <c r="E121" i="102"/>
  <c r="Q121" i="102" s="1"/>
  <c r="D121" i="102"/>
  <c r="C121" i="102"/>
  <c r="B121" i="102"/>
  <c r="E120" i="102"/>
  <c r="W120" i="102" s="1"/>
  <c r="D120" i="102"/>
  <c r="C120" i="102"/>
  <c r="B120" i="102"/>
  <c r="D119" i="102"/>
  <c r="C119" i="102"/>
  <c r="B119" i="102"/>
  <c r="D118" i="102"/>
  <c r="C118" i="102"/>
  <c r="B118" i="102"/>
  <c r="D117" i="102"/>
  <c r="C117" i="102"/>
  <c r="B117" i="102"/>
  <c r="D116" i="102"/>
  <c r="C116" i="102"/>
  <c r="B116" i="102"/>
  <c r="E115" i="102"/>
  <c r="H115" i="102" s="1"/>
  <c r="D115" i="102"/>
  <c r="C115" i="102"/>
  <c r="B115" i="102"/>
  <c r="E114" i="102"/>
  <c r="D114" i="102"/>
  <c r="C114" i="102"/>
  <c r="B114" i="102"/>
  <c r="W113" i="102"/>
  <c r="T113" i="102"/>
  <c r="E113" i="102"/>
  <c r="Q113" i="102" s="1"/>
  <c r="D113" i="102"/>
  <c r="C113" i="102"/>
  <c r="B113" i="102"/>
  <c r="H112" i="102"/>
  <c r="E112" i="102"/>
  <c r="D112" i="102"/>
  <c r="C112" i="102"/>
  <c r="B112" i="102"/>
  <c r="W111" i="102"/>
  <c r="Q111" i="102"/>
  <c r="N111" i="102"/>
  <c r="E111" i="102"/>
  <c r="K111" i="102" s="1"/>
  <c r="D111" i="102"/>
  <c r="C111" i="102"/>
  <c r="B111" i="102"/>
  <c r="E110" i="102"/>
  <c r="D110" i="102"/>
  <c r="C110" i="102"/>
  <c r="B110" i="102"/>
  <c r="D109" i="102"/>
  <c r="C109" i="102"/>
  <c r="B109" i="102"/>
  <c r="D108" i="102"/>
  <c r="C108" i="102"/>
  <c r="B108" i="102"/>
  <c r="D107" i="102"/>
  <c r="C107" i="102"/>
  <c r="B107" i="102"/>
  <c r="E106" i="102"/>
  <c r="D106" i="102"/>
  <c r="C106" i="102"/>
  <c r="B106" i="102"/>
  <c r="E105" i="102"/>
  <c r="Q105" i="102" s="1"/>
  <c r="D105" i="102"/>
  <c r="C105" i="102"/>
  <c r="B105" i="102"/>
  <c r="E104" i="102"/>
  <c r="D104" i="102"/>
  <c r="C104" i="102"/>
  <c r="B104" i="102"/>
  <c r="T103" i="102"/>
  <c r="N103" i="102"/>
  <c r="E103" i="102"/>
  <c r="K103" i="102" s="1"/>
  <c r="D103" i="102"/>
  <c r="C103" i="102"/>
  <c r="B103" i="102"/>
  <c r="D102" i="102"/>
  <c r="C102" i="102"/>
  <c r="B102" i="102"/>
  <c r="E101" i="102"/>
  <c r="W101" i="102" s="1"/>
  <c r="D101" i="102"/>
  <c r="C101" i="102"/>
  <c r="B101" i="102"/>
  <c r="E100" i="102"/>
  <c r="D100" i="102"/>
  <c r="C100" i="102"/>
  <c r="B100" i="102"/>
  <c r="D99" i="102"/>
  <c r="C99" i="102"/>
  <c r="B99" i="102"/>
  <c r="D98" i="102"/>
  <c r="C98" i="102"/>
  <c r="B98" i="102"/>
  <c r="W97" i="102"/>
  <c r="T97" i="102"/>
  <c r="Q97" i="102"/>
  <c r="E97" i="102"/>
  <c r="N97" i="102" s="1"/>
  <c r="D97" i="102"/>
  <c r="C97" i="102"/>
  <c r="B97" i="102"/>
  <c r="E96" i="102"/>
  <c r="D96" i="102"/>
  <c r="C96" i="102"/>
  <c r="B96" i="102"/>
  <c r="E95" i="102"/>
  <c r="W95" i="102" s="1"/>
  <c r="D95" i="102"/>
  <c r="C95" i="102"/>
  <c r="B95" i="102"/>
  <c r="E94" i="102"/>
  <c r="D94" i="102"/>
  <c r="C94" i="102"/>
  <c r="B94" i="102"/>
  <c r="E93" i="102"/>
  <c r="W93" i="102" s="1"/>
  <c r="D93" i="102"/>
  <c r="C93" i="102"/>
  <c r="B93" i="102"/>
  <c r="E92" i="102"/>
  <c r="W92" i="102" s="1"/>
  <c r="D92" i="102"/>
  <c r="C92" i="102"/>
  <c r="B92" i="102"/>
  <c r="W91" i="102"/>
  <c r="T91" i="102"/>
  <c r="E91" i="102"/>
  <c r="N91" i="102" s="1"/>
  <c r="D91" i="102"/>
  <c r="C91" i="102"/>
  <c r="B91" i="102"/>
  <c r="N90" i="102"/>
  <c r="E90" i="102"/>
  <c r="W90" i="102" s="1"/>
  <c r="D90" i="102"/>
  <c r="C90" i="102"/>
  <c r="B90" i="102"/>
  <c r="E89" i="102"/>
  <c r="Q89" i="102" s="1"/>
  <c r="D89" i="102"/>
  <c r="C89" i="102"/>
  <c r="B89" i="102"/>
  <c r="E88" i="102"/>
  <c r="T88" i="102" s="1"/>
  <c r="D88" i="102"/>
  <c r="C88" i="102"/>
  <c r="B88" i="102"/>
  <c r="E87" i="102"/>
  <c r="H87" i="102" s="1"/>
  <c r="D87" i="102"/>
  <c r="C87" i="102"/>
  <c r="B87" i="102"/>
  <c r="E86" i="102"/>
  <c r="T86" i="102" s="1"/>
  <c r="D86" i="102"/>
  <c r="C86" i="102"/>
  <c r="B86" i="102"/>
  <c r="E85" i="102"/>
  <c r="H85" i="102" s="1"/>
  <c r="D85" i="102"/>
  <c r="C85" i="102"/>
  <c r="B85" i="102"/>
  <c r="E84" i="102"/>
  <c r="T84" i="102" s="1"/>
  <c r="D84" i="102"/>
  <c r="C84" i="102"/>
  <c r="B84" i="102"/>
  <c r="N83" i="102"/>
  <c r="E83" i="102"/>
  <c r="Q83" i="102" s="1"/>
  <c r="D83" i="102"/>
  <c r="C83" i="102"/>
  <c r="B83" i="102"/>
  <c r="E80" i="102"/>
  <c r="N79" i="102"/>
  <c r="E79" i="102"/>
  <c r="K79" i="102" s="1"/>
  <c r="D79" i="102"/>
  <c r="C79" i="102"/>
  <c r="B79" i="102"/>
  <c r="E78" i="102"/>
  <c r="T78" i="102" s="1"/>
  <c r="D78" i="102"/>
  <c r="C78" i="102"/>
  <c r="B78" i="102"/>
  <c r="E77" i="102"/>
  <c r="W77" i="102" s="1"/>
  <c r="D77" i="102"/>
  <c r="C77" i="102"/>
  <c r="B77" i="102"/>
  <c r="E76" i="102"/>
  <c r="H76" i="102" s="1"/>
  <c r="D76" i="102"/>
  <c r="C76" i="102"/>
  <c r="B76" i="102"/>
  <c r="E75" i="102"/>
  <c r="W75" i="102" s="1"/>
  <c r="D75" i="102"/>
  <c r="C75" i="102"/>
  <c r="B75" i="102"/>
  <c r="E74" i="102"/>
  <c r="W74" i="102" s="1"/>
  <c r="D74" i="102"/>
  <c r="C74" i="102"/>
  <c r="B74" i="102"/>
  <c r="E73" i="102"/>
  <c r="K73" i="102" s="1"/>
  <c r="D73" i="102"/>
  <c r="C73" i="102"/>
  <c r="B73" i="102"/>
  <c r="E72" i="102"/>
  <c r="D72" i="102"/>
  <c r="C72" i="102"/>
  <c r="B72" i="102"/>
  <c r="W71" i="102"/>
  <c r="E71" i="102"/>
  <c r="T71" i="102" s="1"/>
  <c r="D71" i="102"/>
  <c r="C71" i="102"/>
  <c r="B71" i="102"/>
  <c r="E70" i="102"/>
  <c r="T70" i="102" s="1"/>
  <c r="D70" i="102"/>
  <c r="C70" i="102"/>
  <c r="B70" i="102"/>
  <c r="W69" i="102"/>
  <c r="Q69" i="102"/>
  <c r="N69" i="102"/>
  <c r="K69" i="102"/>
  <c r="H69" i="102"/>
  <c r="E69" i="102"/>
  <c r="D69" i="102"/>
  <c r="C69" i="102"/>
  <c r="B69" i="102"/>
  <c r="T68" i="102"/>
  <c r="E68" i="102"/>
  <c r="W68" i="102" s="1"/>
  <c r="D68" i="102"/>
  <c r="C68" i="102"/>
  <c r="B68" i="102"/>
  <c r="E67" i="102"/>
  <c r="N67" i="102" s="1"/>
  <c r="D67" i="102"/>
  <c r="C67" i="102"/>
  <c r="B67" i="102"/>
  <c r="E66" i="102"/>
  <c r="H66" i="102" s="1"/>
  <c r="D66" i="102"/>
  <c r="C66" i="102"/>
  <c r="B66" i="102"/>
  <c r="E65" i="102"/>
  <c r="W65" i="102" s="1"/>
  <c r="D65" i="102"/>
  <c r="C65" i="102"/>
  <c r="B65" i="102"/>
  <c r="E64" i="102"/>
  <c r="W64" i="102" s="1"/>
  <c r="D64" i="102"/>
  <c r="C64" i="102"/>
  <c r="B64" i="102"/>
  <c r="N63" i="102"/>
  <c r="E63" i="102"/>
  <c r="T63" i="102" s="1"/>
  <c r="D63" i="102"/>
  <c r="C63" i="102"/>
  <c r="B63" i="102"/>
  <c r="N62" i="102"/>
  <c r="E62" i="102"/>
  <c r="H62" i="102" s="1"/>
  <c r="D62" i="102"/>
  <c r="C62" i="102"/>
  <c r="B62" i="102"/>
  <c r="E61" i="102"/>
  <c r="T61" i="102" s="1"/>
  <c r="D61" i="102"/>
  <c r="C61" i="102"/>
  <c r="B61" i="102"/>
  <c r="E60" i="102"/>
  <c r="H60" i="102" s="1"/>
  <c r="D60" i="102"/>
  <c r="C60" i="102"/>
  <c r="B60" i="102"/>
  <c r="E59" i="102"/>
  <c r="W59" i="102" s="1"/>
  <c r="D59" i="102"/>
  <c r="C59" i="102"/>
  <c r="B59" i="102"/>
  <c r="E58" i="102"/>
  <c r="T58" i="102" s="1"/>
  <c r="D58" i="102"/>
  <c r="C58" i="102"/>
  <c r="B58" i="102"/>
  <c r="E57" i="102"/>
  <c r="T57" i="102" s="1"/>
  <c r="D57" i="102"/>
  <c r="C57" i="102"/>
  <c r="B57" i="102"/>
  <c r="E56" i="102"/>
  <c r="W56" i="102" s="1"/>
  <c r="D56" i="102"/>
  <c r="C56" i="102"/>
  <c r="B56" i="102"/>
  <c r="E55" i="102"/>
  <c r="W55" i="102" s="1"/>
  <c r="D55" i="102"/>
  <c r="C55" i="102"/>
  <c r="B55" i="102"/>
  <c r="D54" i="102"/>
  <c r="C54" i="102"/>
  <c r="B54" i="102"/>
  <c r="T53" i="102"/>
  <c r="E53" i="102"/>
  <c r="N53" i="102" s="1"/>
  <c r="D53" i="102"/>
  <c r="C53" i="102"/>
  <c r="B53" i="102"/>
  <c r="T52" i="102"/>
  <c r="E52" i="102"/>
  <c r="W52" i="102" s="1"/>
  <c r="D52" i="102"/>
  <c r="C52" i="102"/>
  <c r="B52" i="102"/>
  <c r="E51" i="102"/>
  <c r="W51" i="102" s="1"/>
  <c r="D51" i="102"/>
  <c r="C51" i="102"/>
  <c r="B51" i="102"/>
  <c r="E50" i="102"/>
  <c r="Q50" i="102" s="1"/>
  <c r="D50" i="102"/>
  <c r="C50" i="102"/>
  <c r="B50" i="102"/>
  <c r="Q49" i="102"/>
  <c r="E49" i="102"/>
  <c r="T49" i="102" s="1"/>
  <c r="D49" i="102"/>
  <c r="C49" i="102"/>
  <c r="B49" i="102"/>
  <c r="E48" i="102"/>
  <c r="Q48" i="102" s="1"/>
  <c r="D48" i="102"/>
  <c r="C48" i="102"/>
  <c r="B48" i="102"/>
  <c r="E47" i="102"/>
  <c r="T47" i="102" s="1"/>
  <c r="D47" i="102"/>
  <c r="C47" i="102"/>
  <c r="B47" i="102"/>
  <c r="E46" i="102"/>
  <c r="Q46" i="102" s="1"/>
  <c r="D46" i="102"/>
  <c r="C46" i="102"/>
  <c r="B46" i="102"/>
  <c r="D45" i="102"/>
  <c r="C45" i="102"/>
  <c r="B45" i="102"/>
  <c r="K44" i="102"/>
  <c r="E44" i="102"/>
  <c r="H44" i="102" s="1"/>
  <c r="D44" i="102"/>
  <c r="C44" i="102"/>
  <c r="B44" i="102"/>
  <c r="E43" i="102"/>
  <c r="N43" i="102" s="1"/>
  <c r="D43" i="102"/>
  <c r="C43" i="102"/>
  <c r="B43" i="102"/>
  <c r="D42" i="102"/>
  <c r="C42" i="102"/>
  <c r="B42" i="102"/>
  <c r="E41" i="102"/>
  <c r="D41" i="102"/>
  <c r="C41" i="102"/>
  <c r="B41" i="102"/>
  <c r="N40" i="102"/>
  <c r="E40" i="102"/>
  <c r="K40" i="102" s="1"/>
  <c r="D40" i="102"/>
  <c r="C40" i="102"/>
  <c r="B40" i="102"/>
  <c r="E39" i="102"/>
  <c r="D39" i="102"/>
  <c r="C39" i="102"/>
  <c r="B39" i="102"/>
  <c r="E38" i="102"/>
  <c r="H38" i="102" s="1"/>
  <c r="D38" i="102"/>
  <c r="C38" i="102"/>
  <c r="B38" i="102"/>
  <c r="E37" i="102"/>
  <c r="N37" i="102" s="1"/>
  <c r="D37" i="102"/>
  <c r="C37" i="102"/>
  <c r="B37" i="102"/>
  <c r="E36" i="102"/>
  <c r="T36" i="102" s="1"/>
  <c r="D36" i="102"/>
  <c r="C36" i="102"/>
  <c r="B36" i="102"/>
  <c r="E35" i="102"/>
  <c r="K35" i="102" s="1"/>
  <c r="D35" i="102"/>
  <c r="C35" i="102"/>
  <c r="B35" i="102"/>
  <c r="E34" i="102"/>
  <c r="T34" i="102" s="1"/>
  <c r="D34" i="102"/>
  <c r="C34" i="102"/>
  <c r="B34" i="102"/>
  <c r="E33" i="102"/>
  <c r="H33" i="102" s="1"/>
  <c r="D33" i="102"/>
  <c r="C33" i="102"/>
  <c r="B33" i="102"/>
  <c r="E32" i="102"/>
  <c r="W32" i="102" s="1"/>
  <c r="D32" i="102"/>
  <c r="C32" i="102"/>
  <c r="B32" i="102"/>
  <c r="E31" i="102"/>
  <c r="W31" i="102" s="1"/>
  <c r="D31" i="102"/>
  <c r="C31" i="102"/>
  <c r="B31" i="102"/>
  <c r="E30" i="102"/>
  <c r="W30" i="102" s="1"/>
  <c r="D30" i="102"/>
  <c r="C30" i="102"/>
  <c r="B30" i="102"/>
  <c r="E29" i="102"/>
  <c r="W29" i="102" s="1"/>
  <c r="D29" i="102"/>
  <c r="C29" i="102"/>
  <c r="B29" i="102"/>
  <c r="Q28" i="102"/>
  <c r="E28" i="102"/>
  <c r="W28" i="102" s="1"/>
  <c r="D28" i="102"/>
  <c r="C28" i="102"/>
  <c r="B28" i="102"/>
  <c r="E27" i="102"/>
  <c r="Q27" i="102" s="1"/>
  <c r="D27" i="102"/>
  <c r="C27" i="102"/>
  <c r="B27" i="102"/>
  <c r="D26" i="102"/>
  <c r="C26" i="102"/>
  <c r="B26" i="102"/>
  <c r="Y23" i="102"/>
  <c r="D22" i="102"/>
  <c r="D21" i="102"/>
  <c r="D20" i="102"/>
  <c r="D19" i="102"/>
  <c r="D18" i="102"/>
  <c r="D17" i="102"/>
  <c r="D16" i="102"/>
  <c r="D15" i="102"/>
  <c r="D14" i="102"/>
  <c r="D13" i="102"/>
  <c r="D12" i="102"/>
  <c r="D11" i="102"/>
  <c r="D10" i="102"/>
  <c r="D9" i="102"/>
  <c r="D8" i="102"/>
  <c r="D7" i="102"/>
  <c r="U1" i="102"/>
  <c r="R1" i="102"/>
  <c r="O1" i="102"/>
  <c r="L1" i="102"/>
  <c r="I1" i="102"/>
  <c r="F1" i="102"/>
  <c r="R23" i="95"/>
  <c r="T28" i="102" l="1"/>
  <c r="H50" i="102"/>
  <c r="W53" i="102"/>
  <c r="H57" i="102"/>
  <c r="W63" i="102"/>
  <c r="T83" i="102"/>
  <c r="H101" i="102"/>
  <c r="H143" i="102"/>
  <c r="K57" i="102"/>
  <c r="W83" i="102"/>
  <c r="K101" i="102"/>
  <c r="K143" i="102"/>
  <c r="N101" i="102"/>
  <c r="N44" i="102"/>
  <c r="Q57" i="102"/>
  <c r="Q67" i="102"/>
  <c r="T89" i="102"/>
  <c r="H95" i="102"/>
  <c r="Q103" i="102"/>
  <c r="W122" i="102"/>
  <c r="N131" i="102"/>
  <c r="N135" i="102"/>
  <c r="K147" i="102"/>
  <c r="W89" i="102"/>
  <c r="K95" i="102"/>
  <c r="N147" i="102"/>
  <c r="N57" i="102"/>
  <c r="Q44" i="102"/>
  <c r="T67" i="102"/>
  <c r="H28" i="102"/>
  <c r="N35" i="102"/>
  <c r="W44" i="102"/>
  <c r="H46" i="102"/>
  <c r="T66" i="102"/>
  <c r="W67" i="102"/>
  <c r="H79" i="102"/>
  <c r="H83" i="102"/>
  <c r="K92" i="102"/>
  <c r="N95" i="102"/>
  <c r="T105" i="102"/>
  <c r="W135" i="102"/>
  <c r="T147" i="102"/>
  <c r="W57" i="102"/>
  <c r="K28" i="102"/>
  <c r="H53" i="102"/>
  <c r="K63" i="102"/>
  <c r="W66" i="102"/>
  <c r="K83" i="102"/>
  <c r="W88" i="102"/>
  <c r="Q91" i="102"/>
  <c r="N92" i="102"/>
  <c r="Q95" i="102"/>
  <c r="W105" i="102"/>
  <c r="T111" i="102"/>
  <c r="Q154" i="102"/>
  <c r="W27" i="102"/>
  <c r="H55" i="102"/>
  <c r="T65" i="102"/>
  <c r="H75" i="102"/>
  <c r="K86" i="102"/>
  <c r="J3" i="95"/>
  <c r="I2" i="95"/>
  <c r="K3" i="95"/>
  <c r="G3" i="102"/>
  <c r="F2" i="102"/>
  <c r="H3" i="102"/>
  <c r="H30" i="102"/>
  <c r="H31" i="102"/>
  <c r="Q32" i="102"/>
  <c r="K36" i="102"/>
  <c r="K37" i="102"/>
  <c r="Q38" i="102"/>
  <c r="Q47" i="102"/>
  <c r="K55" i="102"/>
  <c r="K60" i="102"/>
  <c r="H61" i="102"/>
  <c r="H71" i="102"/>
  <c r="N73" i="102"/>
  <c r="H74" i="102"/>
  <c r="K75" i="102"/>
  <c r="T76" i="102"/>
  <c r="Q77" i="102"/>
  <c r="W78" i="102"/>
  <c r="N84" i="102"/>
  <c r="T85" i="102"/>
  <c r="N86" i="102"/>
  <c r="Q101" i="102"/>
  <c r="W103" i="102"/>
  <c r="Q115" i="102"/>
  <c r="K124" i="102"/>
  <c r="T143" i="102"/>
  <c r="T144" i="102"/>
  <c r="N145" i="102"/>
  <c r="K146" i="102"/>
  <c r="M3" i="95"/>
  <c r="L2" i="95"/>
  <c r="N3" i="95"/>
  <c r="K65" i="102"/>
  <c r="H73" i="102"/>
  <c r="H145" i="102"/>
  <c r="H36" i="102"/>
  <c r="N85" i="102"/>
  <c r="H124" i="102"/>
  <c r="J3" i="102"/>
  <c r="K3" i="102"/>
  <c r="I2" i="102"/>
  <c r="K30" i="102"/>
  <c r="T32" i="102"/>
  <c r="N36" i="102"/>
  <c r="W38" i="102"/>
  <c r="N55" i="102"/>
  <c r="N60" i="102"/>
  <c r="K61" i="102"/>
  <c r="K62" i="102"/>
  <c r="H63" i="102"/>
  <c r="K71" i="102"/>
  <c r="Q73" i="102"/>
  <c r="T74" i="102"/>
  <c r="Q75" i="102"/>
  <c r="W76" i="102"/>
  <c r="T77" i="102"/>
  <c r="W84" i="102"/>
  <c r="W85" i="102"/>
  <c r="W86" i="102"/>
  <c r="T95" i="102"/>
  <c r="T101" i="102"/>
  <c r="H105" i="102"/>
  <c r="H113" i="102"/>
  <c r="T115" i="102"/>
  <c r="K122" i="102"/>
  <c r="N124" i="102"/>
  <c r="H125" i="102"/>
  <c r="K126" i="102"/>
  <c r="H127" i="102"/>
  <c r="K128" i="102"/>
  <c r="H129" i="102"/>
  <c r="H130" i="102"/>
  <c r="W143" i="102"/>
  <c r="W144" i="102"/>
  <c r="T145" i="102"/>
  <c r="N146" i="102"/>
  <c r="H147" i="102"/>
  <c r="Q3" i="95"/>
  <c r="P3" i="95"/>
  <c r="O2" i="95"/>
  <c r="K38" i="102"/>
  <c r="H77" i="102"/>
  <c r="H84" i="102"/>
  <c r="H3" i="95"/>
  <c r="G3" i="95"/>
  <c r="F2" i="95"/>
  <c r="K32" i="102"/>
  <c r="N38" i="102"/>
  <c r="Q144" i="102"/>
  <c r="N3" i="102"/>
  <c r="M3" i="102"/>
  <c r="L2" i="102"/>
  <c r="Q30" i="102"/>
  <c r="Q36" i="102"/>
  <c r="Q55" i="102"/>
  <c r="T60" i="102"/>
  <c r="N61" i="102"/>
  <c r="N71" i="102"/>
  <c r="T73" i="102"/>
  <c r="T75" i="102"/>
  <c r="H88" i="102"/>
  <c r="H89" i="102"/>
  <c r="H91" i="102"/>
  <c r="K105" i="102"/>
  <c r="H111" i="102"/>
  <c r="K113" i="102"/>
  <c r="N122" i="102"/>
  <c r="W123" i="102"/>
  <c r="Q124" i="102"/>
  <c r="K125" i="102"/>
  <c r="N126" i="102"/>
  <c r="K127" i="102"/>
  <c r="N128" i="102"/>
  <c r="K129" i="102"/>
  <c r="K130" i="102"/>
  <c r="H131" i="102"/>
  <c r="W145" i="102"/>
  <c r="Q146" i="102"/>
  <c r="T3" i="95"/>
  <c r="S23" i="95" s="1"/>
  <c r="S3" i="95"/>
  <c r="R2" i="95"/>
  <c r="U2" i="102"/>
  <c r="V3" i="102"/>
  <c r="W3" i="102"/>
  <c r="H86" i="102"/>
  <c r="N144" i="102"/>
  <c r="N48" i="102"/>
  <c r="K77" i="102"/>
  <c r="K84" i="102"/>
  <c r="K115" i="102"/>
  <c r="T154" i="102"/>
  <c r="Q3" i="102"/>
  <c r="P3" i="102"/>
  <c r="O2" i="102"/>
  <c r="T30" i="102"/>
  <c r="Q34" i="102"/>
  <c r="W36" i="102"/>
  <c r="Q40" i="102"/>
  <c r="N46" i="102"/>
  <c r="N50" i="102"/>
  <c r="K53" i="102"/>
  <c r="T55" i="102"/>
  <c r="W60" i="102"/>
  <c r="Q61" i="102"/>
  <c r="T62" i="102"/>
  <c r="H67" i="102"/>
  <c r="Q71" i="102"/>
  <c r="W73" i="102"/>
  <c r="K88" i="102"/>
  <c r="K89" i="102"/>
  <c r="H90" i="102"/>
  <c r="K91" i="102"/>
  <c r="K93" i="102"/>
  <c r="K97" i="102"/>
  <c r="H103" i="102"/>
  <c r="N105" i="102"/>
  <c r="N113" i="102"/>
  <c r="Q122" i="102"/>
  <c r="T124" i="102"/>
  <c r="N125" i="102"/>
  <c r="T126" i="102"/>
  <c r="N127" i="102"/>
  <c r="T128" i="102"/>
  <c r="N129" i="102"/>
  <c r="N130" i="102"/>
  <c r="T146" i="102"/>
  <c r="H152" i="102"/>
  <c r="W3" i="95"/>
  <c r="U2" i="95"/>
  <c r="V3" i="95"/>
  <c r="H32" i="102"/>
  <c r="H48" i="102"/>
  <c r="H78" i="102"/>
  <c r="K85" i="102"/>
  <c r="K145" i="102"/>
  <c r="H146" i="102"/>
  <c r="R2" i="102"/>
  <c r="T3" i="102"/>
  <c r="S3" i="102"/>
  <c r="W34" i="102"/>
  <c r="W40" i="102"/>
  <c r="H52" i="102"/>
  <c r="Q53" i="102"/>
  <c r="W61" i="102"/>
  <c r="W62" i="102"/>
  <c r="Q63" i="102"/>
  <c r="K67" i="102"/>
  <c r="H68" i="102"/>
  <c r="N88" i="102"/>
  <c r="N89" i="102"/>
  <c r="K90" i="102"/>
  <c r="H92" i="102"/>
  <c r="N93" i="102"/>
  <c r="T122" i="102"/>
  <c r="W125" i="102"/>
  <c r="W126" i="102"/>
  <c r="W127" i="102"/>
  <c r="W128" i="102"/>
  <c r="W129" i="102"/>
  <c r="Q152" i="102"/>
  <c r="E181" i="102"/>
  <c r="Q150" i="102"/>
  <c r="T150" i="102"/>
  <c r="H150" i="102"/>
  <c r="Q65" i="102"/>
  <c r="H56" i="102"/>
  <c r="T56" i="102"/>
  <c r="H144" i="102"/>
  <c r="G23" i="20"/>
  <c r="W121" i="102"/>
  <c r="K120" i="102"/>
  <c r="N120" i="102"/>
  <c r="Q120" i="102"/>
  <c r="H93" i="102"/>
  <c r="Q93" i="102"/>
  <c r="T93" i="102"/>
  <c r="K87" i="102"/>
  <c r="N87" i="102"/>
  <c r="T87" i="102"/>
  <c r="W87" i="102"/>
  <c r="H97" i="102"/>
  <c r="Q33" i="102"/>
  <c r="N33" i="102"/>
  <c r="K33" i="102"/>
  <c r="T33" i="102"/>
  <c r="W39" i="102"/>
  <c r="T39" i="102"/>
  <c r="Q39" i="102"/>
  <c r="H39" i="102"/>
  <c r="N39" i="102"/>
  <c r="K39" i="102"/>
  <c r="W110" i="102"/>
  <c r="T110" i="102"/>
  <c r="Q110" i="102"/>
  <c r="N110" i="102"/>
  <c r="K110" i="102"/>
  <c r="H110" i="102"/>
  <c r="Q29" i="102"/>
  <c r="N29" i="102"/>
  <c r="K29" i="102"/>
  <c r="T29" i="102"/>
  <c r="H29" i="102"/>
  <c r="W41" i="102"/>
  <c r="T41" i="102"/>
  <c r="Q41" i="102"/>
  <c r="H41" i="102"/>
  <c r="N41" i="102"/>
  <c r="K41" i="102"/>
  <c r="W151" i="102"/>
  <c r="T151" i="102"/>
  <c r="Q151" i="102"/>
  <c r="N151" i="102"/>
  <c r="K151" i="102"/>
  <c r="H151" i="102"/>
  <c r="H65" i="102"/>
  <c r="H34" i="102"/>
  <c r="Q31" i="102"/>
  <c r="N31" i="102"/>
  <c r="K31" i="102"/>
  <c r="T31" i="102"/>
  <c r="W33" i="102"/>
  <c r="Q72" i="102"/>
  <c r="N72" i="102"/>
  <c r="K72" i="102"/>
  <c r="W72" i="102"/>
  <c r="H72" i="102"/>
  <c r="T72" i="102"/>
  <c r="Q70" i="102"/>
  <c r="N70" i="102"/>
  <c r="K70" i="102"/>
  <c r="W104" i="102"/>
  <c r="T104" i="102"/>
  <c r="Q104" i="102"/>
  <c r="N104" i="102"/>
  <c r="K104" i="102"/>
  <c r="H104" i="102"/>
  <c r="W114" i="102"/>
  <c r="T114" i="102"/>
  <c r="Q114" i="102"/>
  <c r="N114" i="102"/>
  <c r="K114" i="102"/>
  <c r="T69" i="102"/>
  <c r="Q51" i="102"/>
  <c r="Q56" i="102"/>
  <c r="N56" i="102"/>
  <c r="K56" i="102"/>
  <c r="H70" i="102"/>
  <c r="W112" i="102"/>
  <c r="T112" i="102"/>
  <c r="Q112" i="102"/>
  <c r="N112" i="102"/>
  <c r="K112" i="102"/>
  <c r="H114" i="102"/>
  <c r="W70" i="102"/>
  <c r="W153" i="102"/>
  <c r="T153" i="102"/>
  <c r="Q153" i="102"/>
  <c r="N153" i="102"/>
  <c r="K153" i="102"/>
  <c r="W35" i="102"/>
  <c r="T35" i="102"/>
  <c r="Q35" i="102"/>
  <c r="H35" i="102"/>
  <c r="K43" i="102"/>
  <c r="H58" i="102"/>
  <c r="Q74" i="102"/>
  <c r="N74" i="102"/>
  <c r="K74" i="102"/>
  <c r="Q76" i="102"/>
  <c r="N76" i="102"/>
  <c r="K76" i="102"/>
  <c r="Q78" i="102"/>
  <c r="N78" i="102"/>
  <c r="K78" i="102"/>
  <c r="W100" i="102"/>
  <c r="T100" i="102"/>
  <c r="Q100" i="102"/>
  <c r="N100" i="102"/>
  <c r="K100" i="102"/>
  <c r="H100" i="102"/>
  <c r="H153" i="102"/>
  <c r="Q66" i="102"/>
  <c r="N66" i="102"/>
  <c r="K66" i="102"/>
  <c r="W43" i="102"/>
  <c r="T43" i="102"/>
  <c r="Q43" i="102"/>
  <c r="H43" i="102"/>
  <c r="Q58" i="102"/>
  <c r="N58" i="102"/>
  <c r="K58" i="102"/>
  <c r="W37" i="102"/>
  <c r="T37" i="102"/>
  <c r="Q37" i="102"/>
  <c r="H37" i="102"/>
  <c r="W46" i="102"/>
  <c r="T46" i="102"/>
  <c r="K46" i="102"/>
  <c r="N47" i="102"/>
  <c r="K47" i="102"/>
  <c r="H47" i="102"/>
  <c r="W47" i="102"/>
  <c r="W48" i="102"/>
  <c r="T48" i="102"/>
  <c r="K48" i="102"/>
  <c r="N49" i="102"/>
  <c r="K49" i="102"/>
  <c r="H49" i="102"/>
  <c r="W49" i="102"/>
  <c r="W50" i="102"/>
  <c r="T50" i="102"/>
  <c r="K50" i="102"/>
  <c r="Q52" i="102"/>
  <c r="N52" i="102"/>
  <c r="K52" i="102"/>
  <c r="W58" i="102"/>
  <c r="Q68" i="102"/>
  <c r="N68" i="102"/>
  <c r="K68" i="102"/>
  <c r="W106" i="102"/>
  <c r="T106" i="102"/>
  <c r="Q106" i="102"/>
  <c r="N106" i="102"/>
  <c r="K106" i="102"/>
  <c r="H106" i="102"/>
  <c r="N28" i="102"/>
  <c r="N30" i="102"/>
  <c r="N32" i="102"/>
  <c r="T38" i="102"/>
  <c r="T40" i="102"/>
  <c r="T44" i="102"/>
  <c r="Q60" i="102"/>
  <c r="Q62" i="102"/>
  <c r="N65" i="102"/>
  <c r="N75" i="102"/>
  <c r="N77" i="102"/>
  <c r="H40" i="102"/>
  <c r="Q59" i="102"/>
  <c r="T64" i="102"/>
  <c r="W79" i="102"/>
  <c r="T79" i="102"/>
  <c r="Q79" i="102"/>
  <c r="W94" i="102"/>
  <c r="T94" i="102"/>
  <c r="Q94" i="102"/>
  <c r="N94" i="102"/>
  <c r="K94" i="102"/>
  <c r="W96" i="102"/>
  <c r="T96" i="102"/>
  <c r="Q96" i="102"/>
  <c r="N96" i="102"/>
  <c r="K96" i="102"/>
  <c r="W149" i="102"/>
  <c r="T149" i="102"/>
  <c r="Q149" i="102"/>
  <c r="N149" i="102"/>
  <c r="K149" i="102"/>
  <c r="H94" i="102"/>
  <c r="H96" i="102"/>
  <c r="H149" i="102"/>
  <c r="Q85" i="102"/>
  <c r="Q87" i="102"/>
  <c r="N115" i="102"/>
  <c r="H120" i="102"/>
  <c r="T121" i="102"/>
  <c r="T123" i="102"/>
  <c r="T125" i="102"/>
  <c r="H126" i="102"/>
  <c r="T127" i="102"/>
  <c r="H128" i="102"/>
  <c r="T129" i="102"/>
  <c r="T131" i="102"/>
  <c r="H135" i="102"/>
  <c r="N150" i="102"/>
  <c r="N152" i="102"/>
  <c r="N154" i="102"/>
  <c r="W115" i="102"/>
  <c r="W118" i="102"/>
  <c r="Q147" i="102"/>
  <c r="W150" i="102"/>
  <c r="W152" i="102"/>
  <c r="W154" i="102"/>
  <c r="Q84" i="102"/>
  <c r="Q86" i="102"/>
  <c r="Q88" i="102"/>
  <c r="Q90" i="102"/>
  <c r="Q92" i="102"/>
  <c r="T120" i="102"/>
  <c r="H121" i="102"/>
  <c r="H123" i="102"/>
  <c r="T90" i="102"/>
  <c r="T92" i="102"/>
  <c r="K121" i="102"/>
  <c r="K123" i="102"/>
  <c r="N121" i="102"/>
  <c r="N123" i="102"/>
  <c r="H154" i="102"/>
  <c r="V23" i="95"/>
  <c r="U23" i="95"/>
  <c r="F23" i="95"/>
  <c r="O23" i="95"/>
  <c r="E118" i="20"/>
  <c r="E118" i="102" s="1"/>
  <c r="E119" i="20"/>
  <c r="E119" i="102" s="1"/>
  <c r="Q119" i="102" s="1"/>
  <c r="E116" i="20"/>
  <c r="E116" i="102" s="1"/>
  <c r="H116" i="102" s="1"/>
  <c r="E117" i="20"/>
  <c r="E117" i="102" s="1"/>
  <c r="Q117" i="102" s="1"/>
  <c r="E148" i="20"/>
  <c r="E148" i="102" s="1"/>
  <c r="W148" i="102" s="1"/>
  <c r="E108" i="20"/>
  <c r="E108" i="102" s="1"/>
  <c r="W108" i="102" s="1"/>
  <c r="E180" i="101"/>
  <c r="E179" i="101"/>
  <c r="E178" i="101"/>
  <c r="E177" i="101"/>
  <c r="E176" i="101"/>
  <c r="E175" i="101"/>
  <c r="E174" i="101"/>
  <c r="E170" i="101"/>
  <c r="E169" i="101"/>
  <c r="E168" i="101"/>
  <c r="E166" i="101"/>
  <c r="E165" i="101"/>
  <c r="E162" i="101"/>
  <c r="E155" i="101"/>
  <c r="E154" i="101"/>
  <c r="D154" i="101"/>
  <c r="C154" i="101"/>
  <c r="B154" i="101"/>
  <c r="E153" i="101"/>
  <c r="D153" i="101"/>
  <c r="C153" i="101"/>
  <c r="B153" i="101"/>
  <c r="E152" i="101"/>
  <c r="D152" i="101"/>
  <c r="C152" i="101"/>
  <c r="B152" i="101"/>
  <c r="E151" i="101"/>
  <c r="D151" i="101"/>
  <c r="C151" i="101"/>
  <c r="B151" i="101"/>
  <c r="E150" i="101"/>
  <c r="D150" i="101"/>
  <c r="C150" i="101"/>
  <c r="B150" i="101"/>
  <c r="E149" i="101"/>
  <c r="D149" i="101"/>
  <c r="C149" i="101"/>
  <c r="B149" i="101"/>
  <c r="E148" i="101"/>
  <c r="D148" i="101"/>
  <c r="C148" i="101"/>
  <c r="B148" i="101"/>
  <c r="E147" i="101"/>
  <c r="D147" i="101"/>
  <c r="C147" i="101"/>
  <c r="B147" i="101"/>
  <c r="E146" i="101"/>
  <c r="D146" i="101"/>
  <c r="C146" i="101"/>
  <c r="B146" i="101"/>
  <c r="E145" i="101"/>
  <c r="D145" i="101"/>
  <c r="C145" i="101"/>
  <c r="B145" i="101"/>
  <c r="E144" i="101"/>
  <c r="D144" i="101"/>
  <c r="C144" i="101"/>
  <c r="B144" i="101"/>
  <c r="E143" i="101"/>
  <c r="D143" i="101"/>
  <c r="C143" i="101"/>
  <c r="B143" i="101"/>
  <c r="E142" i="101"/>
  <c r="D142" i="101"/>
  <c r="C142" i="101"/>
  <c r="B142" i="101"/>
  <c r="D141" i="101"/>
  <c r="C141" i="101"/>
  <c r="B141" i="101"/>
  <c r="E140" i="101"/>
  <c r="D140" i="101"/>
  <c r="C140" i="101"/>
  <c r="B140" i="101"/>
  <c r="E139" i="101"/>
  <c r="D139" i="101"/>
  <c r="C139" i="101"/>
  <c r="B139" i="101"/>
  <c r="E138" i="101"/>
  <c r="D138" i="101"/>
  <c r="C138" i="101"/>
  <c r="B138" i="101"/>
  <c r="D137" i="101"/>
  <c r="C137" i="101"/>
  <c r="B137" i="101"/>
  <c r="D136" i="101"/>
  <c r="C136" i="101"/>
  <c r="B136" i="101"/>
  <c r="E135" i="101"/>
  <c r="D135" i="101"/>
  <c r="C135" i="101"/>
  <c r="B135" i="101"/>
  <c r="E132" i="101"/>
  <c r="E131" i="101"/>
  <c r="D131" i="101"/>
  <c r="C131" i="101"/>
  <c r="B131" i="101"/>
  <c r="E130" i="101"/>
  <c r="D130" i="101"/>
  <c r="C130" i="101"/>
  <c r="B130" i="101"/>
  <c r="E129" i="101"/>
  <c r="D129" i="101"/>
  <c r="C129" i="101"/>
  <c r="B129" i="101"/>
  <c r="E128" i="101"/>
  <c r="D128" i="101"/>
  <c r="C128" i="101"/>
  <c r="B128" i="101"/>
  <c r="E127" i="101"/>
  <c r="D127" i="101"/>
  <c r="C127" i="101"/>
  <c r="B127" i="101"/>
  <c r="E126" i="101"/>
  <c r="D126" i="101"/>
  <c r="C126" i="101"/>
  <c r="B126" i="101"/>
  <c r="E125" i="101"/>
  <c r="D125" i="101"/>
  <c r="C125" i="101"/>
  <c r="B125" i="101"/>
  <c r="E124" i="101"/>
  <c r="D124" i="101"/>
  <c r="C124" i="101"/>
  <c r="B124" i="101"/>
  <c r="E123" i="101"/>
  <c r="D123" i="101"/>
  <c r="C123" i="101"/>
  <c r="B123" i="101"/>
  <c r="E122" i="101"/>
  <c r="D122" i="101"/>
  <c r="C122" i="101"/>
  <c r="B122" i="101"/>
  <c r="E121" i="101"/>
  <c r="D121" i="101"/>
  <c r="C121" i="101"/>
  <c r="B121" i="101"/>
  <c r="E120" i="101"/>
  <c r="D120" i="101"/>
  <c r="C120" i="101"/>
  <c r="B120" i="101"/>
  <c r="D119" i="101"/>
  <c r="C119" i="101"/>
  <c r="B119" i="101"/>
  <c r="E118" i="101"/>
  <c r="D118" i="101"/>
  <c r="C118" i="101"/>
  <c r="B118" i="101"/>
  <c r="E117" i="101"/>
  <c r="D117" i="101"/>
  <c r="C117" i="101"/>
  <c r="B117" i="101"/>
  <c r="E116" i="101"/>
  <c r="D116" i="101"/>
  <c r="C116" i="101"/>
  <c r="B116" i="101"/>
  <c r="E115" i="101"/>
  <c r="D115" i="101"/>
  <c r="C115" i="101"/>
  <c r="B115" i="101"/>
  <c r="E114" i="101"/>
  <c r="D114" i="101"/>
  <c r="C114" i="101"/>
  <c r="B114" i="101"/>
  <c r="E113" i="101"/>
  <c r="D113" i="101"/>
  <c r="C113" i="101"/>
  <c r="B113" i="101"/>
  <c r="E112" i="101"/>
  <c r="D112" i="101"/>
  <c r="C112" i="101"/>
  <c r="B112" i="101"/>
  <c r="E111" i="101"/>
  <c r="D111" i="101"/>
  <c r="C111" i="101"/>
  <c r="B111" i="101"/>
  <c r="E110" i="101"/>
  <c r="D110" i="101"/>
  <c r="C110" i="101"/>
  <c r="B110" i="101"/>
  <c r="D109" i="101"/>
  <c r="C109" i="101"/>
  <c r="B109" i="101"/>
  <c r="D108" i="101"/>
  <c r="C108" i="101"/>
  <c r="B108" i="101"/>
  <c r="D107" i="101"/>
  <c r="C107" i="101"/>
  <c r="B107" i="101"/>
  <c r="E106" i="101"/>
  <c r="D106" i="101"/>
  <c r="C106" i="101"/>
  <c r="B106" i="101"/>
  <c r="E105" i="101"/>
  <c r="D105" i="101"/>
  <c r="C105" i="101"/>
  <c r="B105" i="101"/>
  <c r="E104" i="101"/>
  <c r="D104" i="101"/>
  <c r="C104" i="101"/>
  <c r="B104" i="101"/>
  <c r="E103" i="101"/>
  <c r="D103" i="101"/>
  <c r="C103" i="101"/>
  <c r="B103" i="101"/>
  <c r="D102" i="101"/>
  <c r="C102" i="101"/>
  <c r="B102" i="101"/>
  <c r="E101" i="101"/>
  <c r="D101" i="101"/>
  <c r="C101" i="101"/>
  <c r="B101" i="101"/>
  <c r="E100" i="101"/>
  <c r="D100" i="101"/>
  <c r="C100" i="101"/>
  <c r="B100" i="101"/>
  <c r="D99" i="101"/>
  <c r="C99" i="101"/>
  <c r="B99" i="101"/>
  <c r="D98" i="101"/>
  <c r="C98" i="101"/>
  <c r="B98" i="101"/>
  <c r="E97" i="101"/>
  <c r="D97" i="101"/>
  <c r="C97" i="101"/>
  <c r="B97" i="101"/>
  <c r="E96" i="101"/>
  <c r="D96" i="101"/>
  <c r="C96" i="101"/>
  <c r="B96" i="101"/>
  <c r="E95" i="101"/>
  <c r="D95" i="101"/>
  <c r="C95" i="101"/>
  <c r="B95" i="101"/>
  <c r="E94" i="101"/>
  <c r="D94" i="101"/>
  <c r="C94" i="101"/>
  <c r="B94" i="101"/>
  <c r="D93" i="101"/>
  <c r="C93" i="101"/>
  <c r="B93" i="101"/>
  <c r="E92" i="101"/>
  <c r="D92" i="101"/>
  <c r="C92" i="101"/>
  <c r="B92" i="101"/>
  <c r="E91" i="101"/>
  <c r="D91" i="101"/>
  <c r="C91" i="101"/>
  <c r="B91" i="101"/>
  <c r="E90" i="101"/>
  <c r="D90" i="101"/>
  <c r="C90" i="101"/>
  <c r="B90" i="101"/>
  <c r="E89" i="101"/>
  <c r="D89" i="101"/>
  <c r="C89" i="101"/>
  <c r="B89" i="101"/>
  <c r="E88" i="101"/>
  <c r="D88" i="101"/>
  <c r="C88" i="101"/>
  <c r="B88" i="101"/>
  <c r="E87" i="101"/>
  <c r="D87" i="101"/>
  <c r="C87" i="101"/>
  <c r="B87" i="101"/>
  <c r="E86" i="101"/>
  <c r="D86" i="101"/>
  <c r="C86" i="101"/>
  <c r="B86" i="101"/>
  <c r="E85" i="101"/>
  <c r="D85" i="101"/>
  <c r="C85" i="101"/>
  <c r="B85" i="101"/>
  <c r="E84" i="101"/>
  <c r="D84" i="101"/>
  <c r="C84" i="101"/>
  <c r="B84" i="101"/>
  <c r="E83" i="101"/>
  <c r="D83" i="101"/>
  <c r="C83" i="101"/>
  <c r="B83" i="101"/>
  <c r="E80" i="101"/>
  <c r="E79" i="101"/>
  <c r="D79" i="101"/>
  <c r="C79" i="101"/>
  <c r="B79" i="101"/>
  <c r="E78" i="101"/>
  <c r="D78" i="101"/>
  <c r="C78" i="101"/>
  <c r="B78" i="101"/>
  <c r="E77" i="101"/>
  <c r="D77" i="101"/>
  <c r="C77" i="101"/>
  <c r="B77" i="101"/>
  <c r="E76" i="101"/>
  <c r="D76" i="101"/>
  <c r="C76" i="101"/>
  <c r="B76" i="101"/>
  <c r="E75" i="101"/>
  <c r="D75" i="101"/>
  <c r="C75" i="101"/>
  <c r="B75" i="101"/>
  <c r="E74" i="101"/>
  <c r="D74" i="101"/>
  <c r="C74" i="101"/>
  <c r="B74" i="101"/>
  <c r="E73" i="101"/>
  <c r="D73" i="101"/>
  <c r="C73" i="101"/>
  <c r="B73" i="101"/>
  <c r="E72" i="101"/>
  <c r="D72" i="101"/>
  <c r="C72" i="101"/>
  <c r="B72" i="101"/>
  <c r="E71" i="101"/>
  <c r="D71" i="101"/>
  <c r="C71" i="101"/>
  <c r="B71" i="101"/>
  <c r="E70" i="101"/>
  <c r="D70" i="101"/>
  <c r="C70" i="101"/>
  <c r="B70" i="101"/>
  <c r="E69" i="101"/>
  <c r="D69" i="101"/>
  <c r="C69" i="101"/>
  <c r="B69" i="101"/>
  <c r="E68" i="101"/>
  <c r="D68" i="101"/>
  <c r="C68" i="101"/>
  <c r="B68" i="101"/>
  <c r="E67" i="101"/>
  <c r="D67" i="101"/>
  <c r="C67" i="101"/>
  <c r="B67" i="101"/>
  <c r="E66" i="101"/>
  <c r="D66" i="101"/>
  <c r="C66" i="101"/>
  <c r="B66" i="101"/>
  <c r="E65" i="101"/>
  <c r="D65" i="101"/>
  <c r="C65" i="101"/>
  <c r="B65" i="101"/>
  <c r="E64" i="101"/>
  <c r="D64" i="101"/>
  <c r="C64" i="101"/>
  <c r="B64" i="101"/>
  <c r="E63" i="101"/>
  <c r="D63" i="101"/>
  <c r="C63" i="101"/>
  <c r="B63" i="101"/>
  <c r="E62" i="101"/>
  <c r="D62" i="101"/>
  <c r="C62" i="101"/>
  <c r="B62" i="101"/>
  <c r="E61" i="101"/>
  <c r="D61" i="101"/>
  <c r="C61" i="101"/>
  <c r="B61" i="101"/>
  <c r="E60" i="101"/>
  <c r="D60" i="101"/>
  <c r="C60" i="101"/>
  <c r="B60" i="101"/>
  <c r="E59" i="101"/>
  <c r="D59" i="101"/>
  <c r="C59" i="101"/>
  <c r="B59" i="101"/>
  <c r="E58" i="101"/>
  <c r="D58" i="101"/>
  <c r="C58" i="101"/>
  <c r="B58" i="101"/>
  <c r="E57" i="101"/>
  <c r="D57" i="101"/>
  <c r="C57" i="101"/>
  <c r="B57" i="101"/>
  <c r="E56" i="101"/>
  <c r="D56" i="101"/>
  <c r="C56" i="101"/>
  <c r="B56" i="101"/>
  <c r="E55" i="101"/>
  <c r="D55" i="101"/>
  <c r="C55" i="101"/>
  <c r="B55" i="101"/>
  <c r="D54" i="101"/>
  <c r="C54" i="101"/>
  <c r="B54" i="101"/>
  <c r="E53" i="101"/>
  <c r="D53" i="101"/>
  <c r="C53" i="101"/>
  <c r="B53" i="101"/>
  <c r="E52" i="101"/>
  <c r="D52" i="101"/>
  <c r="C52" i="101"/>
  <c r="B52" i="101"/>
  <c r="E51" i="101"/>
  <c r="D51" i="101"/>
  <c r="C51" i="101"/>
  <c r="B51" i="101"/>
  <c r="E50" i="101"/>
  <c r="D50" i="101"/>
  <c r="C50" i="101"/>
  <c r="B50" i="101"/>
  <c r="E49" i="101"/>
  <c r="D49" i="101"/>
  <c r="C49" i="101"/>
  <c r="B49" i="101"/>
  <c r="E48" i="101"/>
  <c r="D48" i="101"/>
  <c r="C48" i="101"/>
  <c r="B48" i="101"/>
  <c r="E47" i="101"/>
  <c r="D47" i="101"/>
  <c r="C47" i="101"/>
  <c r="B47" i="101"/>
  <c r="E46" i="101"/>
  <c r="D46" i="101"/>
  <c r="C46" i="101"/>
  <c r="B46" i="101"/>
  <c r="D45" i="101"/>
  <c r="C45" i="101"/>
  <c r="B45" i="101"/>
  <c r="E44" i="101"/>
  <c r="D44" i="101"/>
  <c r="C44" i="101"/>
  <c r="B44" i="101"/>
  <c r="E43" i="101"/>
  <c r="D43" i="101"/>
  <c r="C43" i="101"/>
  <c r="B43" i="101"/>
  <c r="D42" i="101"/>
  <c r="C42" i="101"/>
  <c r="B42" i="101"/>
  <c r="E41" i="101"/>
  <c r="D41" i="101"/>
  <c r="C41" i="101"/>
  <c r="B41" i="101"/>
  <c r="E40" i="101"/>
  <c r="D40" i="101"/>
  <c r="C40" i="101"/>
  <c r="B40" i="101"/>
  <c r="E39" i="101"/>
  <c r="D39" i="101"/>
  <c r="C39" i="101"/>
  <c r="B39" i="101"/>
  <c r="E38" i="101"/>
  <c r="D38" i="101"/>
  <c r="C38" i="101"/>
  <c r="B38" i="101"/>
  <c r="E37" i="101"/>
  <c r="D37" i="101"/>
  <c r="C37" i="101"/>
  <c r="B37" i="101"/>
  <c r="E36" i="101"/>
  <c r="D36" i="101"/>
  <c r="C36" i="101"/>
  <c r="B36" i="101"/>
  <c r="E35" i="101"/>
  <c r="D35" i="101"/>
  <c r="C35" i="101"/>
  <c r="B35" i="101"/>
  <c r="E34" i="101"/>
  <c r="D34" i="101"/>
  <c r="C34" i="101"/>
  <c r="B34" i="101"/>
  <c r="E33" i="101"/>
  <c r="D33" i="101"/>
  <c r="C33" i="101"/>
  <c r="B33" i="101"/>
  <c r="E32" i="101"/>
  <c r="D32" i="101"/>
  <c r="C32" i="101"/>
  <c r="B32" i="101"/>
  <c r="E31" i="101"/>
  <c r="D31" i="101"/>
  <c r="C31" i="101"/>
  <c r="B31" i="101"/>
  <c r="E30" i="101"/>
  <c r="D30" i="101"/>
  <c r="C30" i="101"/>
  <c r="B30" i="101"/>
  <c r="E29" i="101"/>
  <c r="D29" i="101"/>
  <c r="C29" i="101"/>
  <c r="B29" i="101"/>
  <c r="E28" i="101"/>
  <c r="D28" i="101"/>
  <c r="C28" i="101"/>
  <c r="B28" i="101"/>
  <c r="E27" i="101"/>
  <c r="D27" i="101"/>
  <c r="C27" i="101"/>
  <c r="B27" i="101"/>
  <c r="D26" i="101"/>
  <c r="C26" i="101"/>
  <c r="B26" i="101"/>
  <c r="H23" i="101"/>
  <c r="G23" i="101"/>
  <c r="D22" i="101"/>
  <c r="D21" i="101"/>
  <c r="D20" i="101"/>
  <c r="D19" i="101"/>
  <c r="D18" i="101"/>
  <c r="D17" i="101"/>
  <c r="D16" i="101"/>
  <c r="D15" i="101"/>
  <c r="D14" i="101"/>
  <c r="D13" i="101"/>
  <c r="D12" i="101"/>
  <c r="D11" i="101"/>
  <c r="D10" i="101"/>
  <c r="D9" i="101"/>
  <c r="D8" i="101"/>
  <c r="D7" i="101"/>
  <c r="E99" i="20"/>
  <c r="E109" i="20"/>
  <c r="K108" i="102" l="1"/>
  <c r="H148" i="102"/>
  <c r="N116" i="102"/>
  <c r="K116" i="102"/>
  <c r="H108" i="102"/>
  <c r="N117" i="102"/>
  <c r="N118" i="102"/>
  <c r="T118" i="102"/>
  <c r="N119" i="102"/>
  <c r="E109" i="101"/>
  <c r="E109" i="102"/>
  <c r="E99" i="101"/>
  <c r="E99" i="102"/>
  <c r="K118" i="102"/>
  <c r="H118" i="102"/>
  <c r="H119" i="102"/>
  <c r="AA119" i="102" s="1"/>
  <c r="N108" i="102"/>
  <c r="K148" i="102"/>
  <c r="T148" i="102"/>
  <c r="N148" i="102"/>
  <c r="W117" i="102"/>
  <c r="T117" i="102"/>
  <c r="Q116" i="102"/>
  <c r="Q108" i="102"/>
  <c r="H117" i="102"/>
  <c r="K117" i="102"/>
  <c r="W119" i="102"/>
  <c r="T116" i="102"/>
  <c r="T108" i="102"/>
  <c r="Q118" i="102"/>
  <c r="K119" i="102"/>
  <c r="E119" i="101"/>
  <c r="T119" i="102"/>
  <c r="W116" i="102"/>
  <c r="V23" i="102"/>
  <c r="M23" i="102"/>
  <c r="AA115" i="102"/>
  <c r="AA149" i="102"/>
  <c r="AA122" i="102"/>
  <c r="AA97" i="102"/>
  <c r="AA85" i="102"/>
  <c r="AA70" i="102"/>
  <c r="AA58" i="102"/>
  <c r="AA46" i="102"/>
  <c r="AA61" i="102"/>
  <c r="AA72" i="102"/>
  <c r="AA123" i="102"/>
  <c r="AA121" i="102"/>
  <c r="AA96" i="102"/>
  <c r="AA84" i="102"/>
  <c r="AA69" i="102"/>
  <c r="AA57" i="102"/>
  <c r="AA33" i="102"/>
  <c r="AA73" i="102"/>
  <c r="AA151" i="102"/>
  <c r="AA36" i="102"/>
  <c r="AA147" i="102"/>
  <c r="AA135" i="102"/>
  <c r="AA120" i="102"/>
  <c r="AA95" i="102"/>
  <c r="AA83" i="102"/>
  <c r="AA68" i="102"/>
  <c r="AA56" i="102"/>
  <c r="AA44" i="102"/>
  <c r="AA32" i="102"/>
  <c r="AA88" i="102"/>
  <c r="AA124" i="102"/>
  <c r="AA110" i="102"/>
  <c r="AA146" i="102"/>
  <c r="AA131" i="102"/>
  <c r="AA106" i="102"/>
  <c r="AA94" i="102"/>
  <c r="AA79" i="102"/>
  <c r="AA67" i="102"/>
  <c r="AA55" i="102"/>
  <c r="AA43" i="102"/>
  <c r="AA31" i="102"/>
  <c r="AA48" i="102"/>
  <c r="AA150" i="102"/>
  <c r="AA71" i="102"/>
  <c r="AA35" i="102"/>
  <c r="AA145" i="102"/>
  <c r="AA130" i="102"/>
  <c r="AA105" i="102"/>
  <c r="AA93" i="102"/>
  <c r="AA78" i="102"/>
  <c r="AA66" i="102"/>
  <c r="AA30" i="102"/>
  <c r="AA100" i="102"/>
  <c r="AA111" i="102"/>
  <c r="AA86" i="102"/>
  <c r="AA144" i="102"/>
  <c r="AA129" i="102"/>
  <c r="AA104" i="102"/>
  <c r="AA92" i="102"/>
  <c r="AA77" i="102"/>
  <c r="AA65" i="102"/>
  <c r="AA53" i="102"/>
  <c r="AA41" i="102"/>
  <c r="AA29" i="102"/>
  <c r="AA112" i="102"/>
  <c r="AA87" i="102"/>
  <c r="AA143" i="102"/>
  <c r="AA128" i="102"/>
  <c r="AA103" i="102"/>
  <c r="AA91" i="102"/>
  <c r="AA76" i="102"/>
  <c r="AA52" i="102"/>
  <c r="AA40" i="102"/>
  <c r="AA28" i="102"/>
  <c r="AA152" i="102"/>
  <c r="AA154" i="102"/>
  <c r="AA142" i="102"/>
  <c r="AA127" i="102"/>
  <c r="AA114" i="102"/>
  <c r="AA90" i="102"/>
  <c r="AA75" i="102"/>
  <c r="AA63" i="102"/>
  <c r="AA39" i="102"/>
  <c r="AA37" i="102"/>
  <c r="AA60" i="102"/>
  <c r="AA47" i="102"/>
  <c r="AA153" i="102"/>
  <c r="AA126" i="102"/>
  <c r="AA113" i="102"/>
  <c r="AA101" i="102"/>
  <c r="AA89" i="102"/>
  <c r="AA74" i="102"/>
  <c r="AA62" i="102"/>
  <c r="AA50" i="102"/>
  <c r="AA38" i="102"/>
  <c r="AA125" i="102"/>
  <c r="AA49" i="102"/>
  <c r="G23" i="102"/>
  <c r="N34" i="102"/>
  <c r="K34" i="102"/>
  <c r="P23" i="95"/>
  <c r="E181" i="101"/>
  <c r="AA118" i="102" l="1"/>
  <c r="AA108" i="102"/>
  <c r="AA116" i="102"/>
  <c r="AA117" i="102"/>
  <c r="H109" i="102"/>
  <c r="K109" i="102"/>
  <c r="W109" i="102"/>
  <c r="Q109" i="102"/>
  <c r="N109" i="102"/>
  <c r="T109" i="102"/>
  <c r="N99" i="102"/>
  <c r="W99" i="102"/>
  <c r="T99" i="102"/>
  <c r="Q99" i="102"/>
  <c r="K99" i="102"/>
  <c r="H99" i="102"/>
  <c r="Q148" i="102"/>
  <c r="AA148" i="102" s="1"/>
  <c r="S23" i="102"/>
  <c r="P23" i="102"/>
  <c r="AA34" i="102"/>
  <c r="J23" i="102"/>
  <c r="G23" i="95"/>
  <c r="E98" i="20"/>
  <c r="AA109" i="102" l="1"/>
  <c r="E98" i="101"/>
  <c r="E98" i="102"/>
  <c r="AA99" i="102"/>
  <c r="Q139" i="102"/>
  <c r="O23" i="102"/>
  <c r="Q140" i="102"/>
  <c r="Q138" i="102"/>
  <c r="I23" i="102"/>
  <c r="K27" i="102"/>
  <c r="K139" i="102"/>
  <c r="K138" i="102"/>
  <c r="K140" i="102"/>
  <c r="T27" i="102"/>
  <c r="T140" i="102"/>
  <c r="T139" i="102"/>
  <c r="T138" i="102"/>
  <c r="N27" i="102"/>
  <c r="N140" i="102"/>
  <c r="N139" i="102"/>
  <c r="N138" i="102"/>
  <c r="U23" i="102"/>
  <c r="W139" i="102"/>
  <c r="W140" i="102"/>
  <c r="W138" i="102"/>
  <c r="H27" i="102"/>
  <c r="H139" i="102"/>
  <c r="H140" i="102"/>
  <c r="H138" i="102"/>
  <c r="T51" i="102"/>
  <c r="N59" i="102"/>
  <c r="N51" i="102"/>
  <c r="K51" i="102"/>
  <c r="H51" i="102"/>
  <c r="Q64" i="102"/>
  <c r="N64" i="102"/>
  <c r="K64" i="102"/>
  <c r="T59" i="102"/>
  <c r="H64" i="102"/>
  <c r="H59" i="102"/>
  <c r="K59" i="102"/>
  <c r="J4" i="94"/>
  <c r="E74" i="94"/>
  <c r="D74" i="94"/>
  <c r="C74" i="94"/>
  <c r="B74" i="94"/>
  <c r="E73" i="94"/>
  <c r="D73" i="94"/>
  <c r="C73" i="94"/>
  <c r="B73" i="94"/>
  <c r="E74" i="95"/>
  <c r="D74" i="95"/>
  <c r="C74" i="95"/>
  <c r="B74" i="95"/>
  <c r="E73" i="95"/>
  <c r="D73" i="95"/>
  <c r="C73" i="95"/>
  <c r="B73" i="95"/>
  <c r="E74" i="96"/>
  <c r="D74" i="96"/>
  <c r="C74" i="96"/>
  <c r="B74" i="96"/>
  <c r="E73" i="96"/>
  <c r="K73" i="96" s="1"/>
  <c r="D73" i="96"/>
  <c r="C73" i="96"/>
  <c r="B73" i="96"/>
  <c r="AC74" i="20"/>
  <c r="Z74" i="20"/>
  <c r="W74" i="20"/>
  <c r="T74" i="20"/>
  <c r="Q74" i="20"/>
  <c r="N74" i="20"/>
  <c r="K74" i="20"/>
  <c r="H74" i="20"/>
  <c r="AC73" i="20"/>
  <c r="Z73" i="20"/>
  <c r="W73" i="20"/>
  <c r="T73" i="20"/>
  <c r="Q73" i="20"/>
  <c r="N73" i="20"/>
  <c r="K73" i="20"/>
  <c r="H73" i="20"/>
  <c r="E76" i="94"/>
  <c r="D76" i="94"/>
  <c r="C76" i="94"/>
  <c r="B76" i="94"/>
  <c r="E75" i="94"/>
  <c r="D75" i="94"/>
  <c r="C75" i="94"/>
  <c r="B75" i="94"/>
  <c r="E76" i="95"/>
  <c r="D76" i="95"/>
  <c r="C76" i="95"/>
  <c r="B76" i="95"/>
  <c r="E75" i="95"/>
  <c r="D75" i="95"/>
  <c r="C75" i="95"/>
  <c r="B75" i="95"/>
  <c r="E76" i="96"/>
  <c r="Q76" i="96" s="1"/>
  <c r="D76" i="96"/>
  <c r="C76" i="96"/>
  <c r="B76" i="96"/>
  <c r="E75" i="96"/>
  <c r="Q75" i="96" s="1"/>
  <c r="D75" i="96"/>
  <c r="C75" i="96"/>
  <c r="B75" i="96"/>
  <c r="AC76" i="20"/>
  <c r="Z76" i="20"/>
  <c r="W76" i="20"/>
  <c r="T76" i="20"/>
  <c r="Q76" i="20"/>
  <c r="N76" i="20"/>
  <c r="K76" i="20"/>
  <c r="H76" i="20"/>
  <c r="AC75" i="20"/>
  <c r="Z75" i="20"/>
  <c r="W75" i="20"/>
  <c r="T75" i="20"/>
  <c r="Q75" i="20"/>
  <c r="N75" i="20"/>
  <c r="K75" i="20"/>
  <c r="H75" i="20"/>
  <c r="E141" i="20"/>
  <c r="E97" i="94"/>
  <c r="D97" i="94"/>
  <c r="C97" i="94"/>
  <c r="B97" i="94"/>
  <c r="E97" i="95"/>
  <c r="D97" i="95"/>
  <c r="C97" i="95"/>
  <c r="B97" i="95"/>
  <c r="E97" i="96"/>
  <c r="D97" i="96"/>
  <c r="C97" i="96"/>
  <c r="B97" i="96"/>
  <c r="AC97" i="20"/>
  <c r="Z97" i="20"/>
  <c r="T97" i="20"/>
  <c r="Q97" i="20"/>
  <c r="N97" i="20"/>
  <c r="K97" i="20"/>
  <c r="H97" i="20"/>
  <c r="E141" i="101" l="1"/>
  <c r="E141" i="102"/>
  <c r="H98" i="102"/>
  <c r="T98" i="102"/>
  <c r="Q98" i="102"/>
  <c r="N98" i="102"/>
  <c r="K98" i="102"/>
  <c r="W98" i="102"/>
  <c r="F23" i="102"/>
  <c r="AA51" i="102"/>
  <c r="AA27" i="102"/>
  <c r="AA59" i="102"/>
  <c r="AA140" i="102"/>
  <c r="AA139" i="102"/>
  <c r="AA138" i="102"/>
  <c r="AA64" i="102"/>
  <c r="R23" i="102"/>
  <c r="L23" i="102"/>
  <c r="W75" i="95"/>
  <c r="T75" i="95"/>
  <c r="W73" i="95"/>
  <c r="T73" i="95"/>
  <c r="W97" i="95"/>
  <c r="T97" i="95"/>
  <c r="W76" i="95"/>
  <c r="T76" i="95"/>
  <c r="W74" i="95"/>
  <c r="T74" i="95"/>
  <c r="Q75" i="95"/>
  <c r="H75" i="95"/>
  <c r="Q73" i="95"/>
  <c r="H73" i="95"/>
  <c r="Q97" i="95"/>
  <c r="H97" i="95"/>
  <c r="Q76" i="95"/>
  <c r="H76" i="95"/>
  <c r="Q74" i="95"/>
  <c r="H74" i="95"/>
  <c r="K75" i="95"/>
  <c r="N75" i="96"/>
  <c r="K76" i="95"/>
  <c r="K74" i="96"/>
  <c r="N76" i="95"/>
  <c r="H75" i="96"/>
  <c r="K73" i="94"/>
  <c r="K74" i="95"/>
  <c r="N75" i="95"/>
  <c r="N74" i="95"/>
  <c r="N73" i="96"/>
  <c r="H74" i="94"/>
  <c r="K75" i="96"/>
  <c r="H74" i="96"/>
  <c r="H73" i="94"/>
  <c r="N74" i="96"/>
  <c r="K74" i="94"/>
  <c r="H76" i="96"/>
  <c r="K73" i="95"/>
  <c r="N73" i="95"/>
  <c r="H97" i="94"/>
  <c r="K76" i="96"/>
  <c r="K75" i="94"/>
  <c r="H76" i="94"/>
  <c r="H75" i="94"/>
  <c r="N76" i="96"/>
  <c r="K76" i="94"/>
  <c r="K97" i="96"/>
  <c r="W97" i="20"/>
  <c r="K97" i="94"/>
  <c r="K97" i="95"/>
  <c r="N97" i="96"/>
  <c r="N97" i="95"/>
  <c r="AA98" i="102" l="1"/>
  <c r="Q141" i="102"/>
  <c r="N141" i="102"/>
  <c r="K141" i="102"/>
  <c r="T141" i="102"/>
  <c r="W141" i="102"/>
  <c r="H141" i="102"/>
  <c r="C22" i="20"/>
  <c r="B22" i="20"/>
  <c r="C21" i="20"/>
  <c r="B21" i="20"/>
  <c r="C20" i="20"/>
  <c r="C20" i="102" s="1"/>
  <c r="B20" i="20"/>
  <c r="B20" i="102" s="1"/>
  <c r="C19" i="20"/>
  <c r="C19" i="102" s="1"/>
  <c r="B19" i="20"/>
  <c r="B19" i="102" s="1"/>
  <c r="C18" i="20"/>
  <c r="C18" i="102" s="1"/>
  <c r="B18" i="20"/>
  <c r="B18" i="102" s="1"/>
  <c r="C17" i="20"/>
  <c r="C17" i="102" s="1"/>
  <c r="B17" i="20"/>
  <c r="B17" i="102" s="1"/>
  <c r="D19" i="94"/>
  <c r="D19" i="95"/>
  <c r="D19" i="96"/>
  <c r="D17" i="94"/>
  <c r="D17" i="95"/>
  <c r="D17" i="96"/>
  <c r="D18" i="94"/>
  <c r="D18" i="95"/>
  <c r="D18" i="96"/>
  <c r="D20" i="94"/>
  <c r="D20" i="95"/>
  <c r="D20" i="96"/>
  <c r="D108" i="94"/>
  <c r="C108" i="94"/>
  <c r="B108" i="94"/>
  <c r="D108" i="95"/>
  <c r="C108" i="95"/>
  <c r="B108" i="95"/>
  <c r="D108" i="96"/>
  <c r="C108" i="96"/>
  <c r="B108" i="96"/>
  <c r="E107" i="20"/>
  <c r="E102" i="20"/>
  <c r="E93" i="101"/>
  <c r="E54" i="20"/>
  <c r="E45" i="20"/>
  <c r="E26" i="20"/>
  <c r="E11" i="26"/>
  <c r="E107" i="101" l="1"/>
  <c r="E107" i="102"/>
  <c r="E26" i="101"/>
  <c r="E26" i="102"/>
  <c r="E102" i="101"/>
  <c r="E102" i="102"/>
  <c r="E45" i="101"/>
  <c r="E45" i="102"/>
  <c r="E54" i="101"/>
  <c r="E54" i="102"/>
  <c r="AA141" i="102"/>
  <c r="B21" i="101"/>
  <c r="B21" i="102"/>
  <c r="C21" i="101"/>
  <c r="C21" i="102"/>
  <c r="B22" i="101"/>
  <c r="B22" i="102"/>
  <c r="C22" i="101"/>
  <c r="C22" i="102"/>
  <c r="C18" i="95"/>
  <c r="C18" i="101"/>
  <c r="E108" i="95"/>
  <c r="N108" i="95" s="1"/>
  <c r="E108" i="101"/>
  <c r="B19" i="94"/>
  <c r="B19" i="101"/>
  <c r="C19" i="96"/>
  <c r="C19" i="101"/>
  <c r="B20" i="94"/>
  <c r="B20" i="101"/>
  <c r="C20" i="95"/>
  <c r="C20" i="101"/>
  <c r="B17" i="94"/>
  <c r="B17" i="101"/>
  <c r="C17" i="96"/>
  <c r="C17" i="101"/>
  <c r="C18" i="94"/>
  <c r="B18" i="94"/>
  <c r="B18" i="101"/>
  <c r="C17" i="95"/>
  <c r="C19" i="95"/>
  <c r="B18" i="96"/>
  <c r="B17" i="96"/>
  <c r="C17" i="94"/>
  <c r="B19" i="96"/>
  <c r="C19" i="94"/>
  <c r="B19" i="95"/>
  <c r="C18" i="96"/>
  <c r="B17" i="95"/>
  <c r="B20" i="96"/>
  <c r="C20" i="96"/>
  <c r="B18" i="95"/>
  <c r="C20" i="94"/>
  <c r="Z108" i="20"/>
  <c r="B20" i="95"/>
  <c r="E108" i="96"/>
  <c r="K108" i="96" s="1"/>
  <c r="K108" i="95"/>
  <c r="Q108" i="20"/>
  <c r="T108" i="20"/>
  <c r="W108" i="20"/>
  <c r="E108" i="94"/>
  <c r="K108" i="20"/>
  <c r="AC108" i="20"/>
  <c r="H108" i="20"/>
  <c r="N108" i="20"/>
  <c r="W45" i="102" l="1"/>
  <c r="Q45" i="102"/>
  <c r="T45" i="102"/>
  <c r="H45" i="102"/>
  <c r="N45" i="102"/>
  <c r="K45" i="102"/>
  <c r="AA45" i="102" s="1"/>
  <c r="T102" i="102"/>
  <c r="T132" i="102" s="1"/>
  <c r="T160" i="102" s="1"/>
  <c r="Q102" i="102"/>
  <c r="Q132" i="102" s="1"/>
  <c r="Q160" i="102" s="1"/>
  <c r="H102" i="102"/>
  <c r="N102" i="102"/>
  <c r="W102" i="102"/>
  <c r="K102" i="102"/>
  <c r="K26" i="102"/>
  <c r="Q26" i="102"/>
  <c r="H26" i="102"/>
  <c r="T26" i="102"/>
  <c r="N26" i="102"/>
  <c r="W26" i="102"/>
  <c r="W54" i="102"/>
  <c r="K54" i="102"/>
  <c r="T54" i="102"/>
  <c r="H54" i="102"/>
  <c r="N54" i="102"/>
  <c r="Q54" i="102"/>
  <c r="H107" i="102"/>
  <c r="W107" i="102"/>
  <c r="T107" i="102"/>
  <c r="Q107" i="102"/>
  <c r="N107" i="102"/>
  <c r="K107" i="102"/>
  <c r="W108" i="95"/>
  <c r="T108" i="95"/>
  <c r="Q108" i="95"/>
  <c r="H108" i="95"/>
  <c r="Q108" i="96"/>
  <c r="H108" i="96"/>
  <c r="N108" i="96"/>
  <c r="K108" i="94"/>
  <c r="H108" i="94"/>
  <c r="W132" i="102" l="1"/>
  <c r="W160" i="102" s="1"/>
  <c r="N132" i="102"/>
  <c r="N160" i="102" s="1"/>
  <c r="AA26" i="102"/>
  <c r="AA107" i="102"/>
  <c r="AA54" i="102"/>
  <c r="AA102" i="102"/>
  <c r="AA132" i="102" s="1"/>
  <c r="AA160" i="102" s="1"/>
  <c r="K132" i="102"/>
  <c r="K160" i="102" s="1"/>
  <c r="H132" i="102"/>
  <c r="H160" i="102" s="1"/>
  <c r="E154" i="95"/>
  <c r="D154" i="95"/>
  <c r="C154" i="95"/>
  <c r="B154" i="95"/>
  <c r="E153" i="95"/>
  <c r="D153" i="95"/>
  <c r="C153" i="95"/>
  <c r="B153" i="95"/>
  <c r="E152" i="95"/>
  <c r="D152" i="95"/>
  <c r="C152" i="95"/>
  <c r="B152" i="95"/>
  <c r="E151" i="95"/>
  <c r="D151" i="95"/>
  <c r="C151" i="95"/>
  <c r="B151" i="95"/>
  <c r="E150" i="95"/>
  <c r="D150" i="95"/>
  <c r="C150" i="95"/>
  <c r="B150" i="95"/>
  <c r="E149" i="95"/>
  <c r="D149" i="95"/>
  <c r="C149" i="95"/>
  <c r="B149" i="95"/>
  <c r="E148" i="95"/>
  <c r="D148" i="95"/>
  <c r="C148" i="95"/>
  <c r="B148" i="95"/>
  <c r="E147" i="95"/>
  <c r="D147" i="95"/>
  <c r="C147" i="95"/>
  <c r="B147" i="95"/>
  <c r="E146" i="95"/>
  <c r="D146" i="95"/>
  <c r="C146" i="95"/>
  <c r="B146" i="95"/>
  <c r="E145" i="95"/>
  <c r="D145" i="95"/>
  <c r="C145" i="95"/>
  <c r="B145" i="95"/>
  <c r="E144" i="95"/>
  <c r="D144" i="95"/>
  <c r="C144" i="95"/>
  <c r="B144" i="95"/>
  <c r="E143" i="95"/>
  <c r="D143" i="95"/>
  <c r="C143" i="95"/>
  <c r="B143" i="95"/>
  <c r="E142" i="95"/>
  <c r="D142" i="95"/>
  <c r="C142" i="95"/>
  <c r="B142" i="95"/>
  <c r="D141" i="95"/>
  <c r="C141" i="95"/>
  <c r="B141" i="95"/>
  <c r="E140" i="95"/>
  <c r="D140" i="95"/>
  <c r="C140" i="95"/>
  <c r="B140" i="95"/>
  <c r="E139" i="95"/>
  <c r="D139" i="95"/>
  <c r="C139" i="95"/>
  <c r="B139" i="95"/>
  <c r="E138" i="95"/>
  <c r="D138" i="95"/>
  <c r="C138" i="95"/>
  <c r="B138" i="95"/>
  <c r="D137" i="95"/>
  <c r="C137" i="95"/>
  <c r="B137" i="95"/>
  <c r="D136" i="95"/>
  <c r="C136" i="95"/>
  <c r="B136" i="95"/>
  <c r="E135" i="95"/>
  <c r="D135" i="95"/>
  <c r="C135" i="95"/>
  <c r="B135" i="95"/>
  <c r="E154" i="96"/>
  <c r="K154" i="96" s="1"/>
  <c r="D154" i="96"/>
  <c r="C154" i="96"/>
  <c r="B154" i="96"/>
  <c r="E153" i="96"/>
  <c r="D153" i="96"/>
  <c r="C153" i="96"/>
  <c r="B153" i="96"/>
  <c r="E152" i="96"/>
  <c r="K152" i="96" s="1"/>
  <c r="D152" i="96"/>
  <c r="C152" i="96"/>
  <c r="B152" i="96"/>
  <c r="E151" i="96"/>
  <c r="D151" i="96"/>
  <c r="C151" i="96"/>
  <c r="B151" i="96"/>
  <c r="E150" i="96"/>
  <c r="K150" i="96" s="1"/>
  <c r="D150" i="96"/>
  <c r="C150" i="96"/>
  <c r="B150" i="96"/>
  <c r="E149" i="96"/>
  <c r="D149" i="96"/>
  <c r="C149" i="96"/>
  <c r="B149" i="96"/>
  <c r="E148" i="96"/>
  <c r="K148" i="96" s="1"/>
  <c r="D148" i="96"/>
  <c r="C148" i="96"/>
  <c r="B148" i="96"/>
  <c r="E147" i="96"/>
  <c r="D147" i="96"/>
  <c r="C147" i="96"/>
  <c r="B147" i="96"/>
  <c r="E146" i="96"/>
  <c r="N146" i="96" s="1"/>
  <c r="D146" i="96"/>
  <c r="C146" i="96"/>
  <c r="B146" i="96"/>
  <c r="E145" i="96"/>
  <c r="D145" i="96"/>
  <c r="C145" i="96"/>
  <c r="B145" i="96"/>
  <c r="E144" i="96"/>
  <c r="K144" i="96" s="1"/>
  <c r="D144" i="96"/>
  <c r="C144" i="96"/>
  <c r="B144" i="96"/>
  <c r="E143" i="96"/>
  <c r="N143" i="96" s="1"/>
  <c r="D143" i="96"/>
  <c r="C143" i="96"/>
  <c r="B143" i="96"/>
  <c r="E142" i="96"/>
  <c r="D142" i="96"/>
  <c r="C142" i="96"/>
  <c r="B142" i="96"/>
  <c r="D141" i="96"/>
  <c r="C141" i="96"/>
  <c r="B141" i="96"/>
  <c r="E140" i="96"/>
  <c r="D140" i="96"/>
  <c r="C140" i="96"/>
  <c r="B140" i="96"/>
  <c r="E139" i="96"/>
  <c r="D139" i="96"/>
  <c r="C139" i="96"/>
  <c r="B139" i="96"/>
  <c r="E138" i="96"/>
  <c r="D138" i="96"/>
  <c r="C138" i="96"/>
  <c r="B138" i="96"/>
  <c r="D137" i="96"/>
  <c r="C137" i="96"/>
  <c r="B137" i="96"/>
  <c r="D136" i="96"/>
  <c r="C136" i="96"/>
  <c r="B136" i="96"/>
  <c r="E135" i="96"/>
  <c r="N135" i="96" s="1"/>
  <c r="D135" i="96"/>
  <c r="C135" i="96"/>
  <c r="B135" i="96"/>
  <c r="E154" i="94"/>
  <c r="D154" i="94"/>
  <c r="C154" i="94"/>
  <c r="B154" i="94"/>
  <c r="E153" i="94"/>
  <c r="D153" i="94"/>
  <c r="C153" i="94"/>
  <c r="B153" i="94"/>
  <c r="E152" i="94"/>
  <c r="D152" i="94"/>
  <c r="C152" i="94"/>
  <c r="B152" i="94"/>
  <c r="E151" i="94"/>
  <c r="D151" i="94"/>
  <c r="C151" i="94"/>
  <c r="B151" i="94"/>
  <c r="E150" i="94"/>
  <c r="D150" i="94"/>
  <c r="C150" i="94"/>
  <c r="B150" i="94"/>
  <c r="E149" i="94"/>
  <c r="H149" i="94" s="1"/>
  <c r="D149" i="94"/>
  <c r="C149" i="94"/>
  <c r="B149" i="94"/>
  <c r="E148" i="94"/>
  <c r="K148" i="94" s="1"/>
  <c r="D148" i="94"/>
  <c r="C148" i="94"/>
  <c r="B148" i="94"/>
  <c r="E147" i="94"/>
  <c r="D147" i="94"/>
  <c r="C147" i="94"/>
  <c r="B147" i="94"/>
  <c r="E146" i="94"/>
  <c r="D146" i="94"/>
  <c r="C146" i="94"/>
  <c r="B146" i="94"/>
  <c r="E145" i="94"/>
  <c r="D145" i="94"/>
  <c r="C145" i="94"/>
  <c r="B145" i="94"/>
  <c r="E144" i="94"/>
  <c r="H144" i="94" s="1"/>
  <c r="D144" i="94"/>
  <c r="C144" i="94"/>
  <c r="B144" i="94"/>
  <c r="E143" i="94"/>
  <c r="D143" i="94"/>
  <c r="C143" i="94"/>
  <c r="B143" i="94"/>
  <c r="E142" i="94"/>
  <c r="D142" i="94"/>
  <c r="C142" i="94"/>
  <c r="B142" i="94"/>
  <c r="D141" i="94"/>
  <c r="C141" i="94"/>
  <c r="B141" i="94"/>
  <c r="E140" i="94"/>
  <c r="D140" i="94"/>
  <c r="C140" i="94"/>
  <c r="B140" i="94"/>
  <c r="E139" i="94"/>
  <c r="D139" i="94"/>
  <c r="C139" i="94"/>
  <c r="B139" i="94"/>
  <c r="E138" i="94"/>
  <c r="D138" i="94"/>
  <c r="C138" i="94"/>
  <c r="B138" i="94"/>
  <c r="D137" i="94"/>
  <c r="C137" i="94"/>
  <c r="B137" i="94"/>
  <c r="D136" i="94"/>
  <c r="C136" i="94"/>
  <c r="B136" i="94"/>
  <c r="E135" i="94"/>
  <c r="D135" i="94"/>
  <c r="C135" i="94"/>
  <c r="B135" i="94"/>
  <c r="E131" i="95"/>
  <c r="D131" i="95"/>
  <c r="C131" i="95"/>
  <c r="B131" i="95"/>
  <c r="E130" i="95"/>
  <c r="D130" i="95"/>
  <c r="C130" i="95"/>
  <c r="B130" i="95"/>
  <c r="E129" i="95"/>
  <c r="D129" i="95"/>
  <c r="C129" i="95"/>
  <c r="B129" i="95"/>
  <c r="E128" i="95"/>
  <c r="D128" i="95"/>
  <c r="C128" i="95"/>
  <c r="B128" i="95"/>
  <c r="E127" i="95"/>
  <c r="D127" i="95"/>
  <c r="C127" i="95"/>
  <c r="B127" i="95"/>
  <c r="E126" i="95"/>
  <c r="D126" i="95"/>
  <c r="C126" i="95"/>
  <c r="B126" i="95"/>
  <c r="E125" i="95"/>
  <c r="D125" i="95"/>
  <c r="C125" i="95"/>
  <c r="B125" i="95"/>
  <c r="E124" i="95"/>
  <c r="D124" i="95"/>
  <c r="C124" i="95"/>
  <c r="B124" i="95"/>
  <c r="E123" i="95"/>
  <c r="D123" i="95"/>
  <c r="C123" i="95"/>
  <c r="B123" i="95"/>
  <c r="E122" i="95"/>
  <c r="D122" i="95"/>
  <c r="C122" i="95"/>
  <c r="B122" i="95"/>
  <c r="E121" i="95"/>
  <c r="D121" i="95"/>
  <c r="C121" i="95"/>
  <c r="B121" i="95"/>
  <c r="E120" i="95"/>
  <c r="D120" i="95"/>
  <c r="C120" i="95"/>
  <c r="B120" i="95"/>
  <c r="E119" i="95"/>
  <c r="D119" i="95"/>
  <c r="C119" i="95"/>
  <c r="B119" i="95"/>
  <c r="E118" i="95"/>
  <c r="D118" i="95"/>
  <c r="C118" i="95"/>
  <c r="B118" i="95"/>
  <c r="E117" i="95"/>
  <c r="D117" i="95"/>
  <c r="C117" i="95"/>
  <c r="B117" i="95"/>
  <c r="E116" i="95"/>
  <c r="D116" i="95"/>
  <c r="C116" i="95"/>
  <c r="B116" i="95"/>
  <c r="E115" i="95"/>
  <c r="D115" i="95"/>
  <c r="C115" i="95"/>
  <c r="B115" i="95"/>
  <c r="E114" i="95"/>
  <c r="D114" i="95"/>
  <c r="C114" i="95"/>
  <c r="B114" i="95"/>
  <c r="E113" i="95"/>
  <c r="D113" i="95"/>
  <c r="C113" i="95"/>
  <c r="B113" i="95"/>
  <c r="E112" i="95"/>
  <c r="D112" i="95"/>
  <c r="C112" i="95"/>
  <c r="B112" i="95"/>
  <c r="E111" i="95"/>
  <c r="D111" i="95"/>
  <c r="C111" i="95"/>
  <c r="B111" i="95"/>
  <c r="E110" i="95"/>
  <c r="D110" i="95"/>
  <c r="C110" i="95"/>
  <c r="B110" i="95"/>
  <c r="E109" i="95"/>
  <c r="D109" i="95"/>
  <c r="C109" i="95"/>
  <c r="B109" i="95"/>
  <c r="E107" i="95"/>
  <c r="D107" i="95"/>
  <c r="C107" i="95"/>
  <c r="B107" i="95"/>
  <c r="E106" i="95"/>
  <c r="D106" i="95"/>
  <c r="C106" i="95"/>
  <c r="B106" i="95"/>
  <c r="E105" i="95"/>
  <c r="D105" i="95"/>
  <c r="C105" i="95"/>
  <c r="B105" i="95"/>
  <c r="E104" i="95"/>
  <c r="D104" i="95"/>
  <c r="C104" i="95"/>
  <c r="B104" i="95"/>
  <c r="E103" i="95"/>
  <c r="D103" i="95"/>
  <c r="C103" i="95"/>
  <c r="B103" i="95"/>
  <c r="E102" i="95"/>
  <c r="D102" i="95"/>
  <c r="C102" i="95"/>
  <c r="B102" i="95"/>
  <c r="E101" i="95"/>
  <c r="D101" i="95"/>
  <c r="C101" i="95"/>
  <c r="B101" i="95"/>
  <c r="E100" i="95"/>
  <c r="D100" i="95"/>
  <c r="C100" i="95"/>
  <c r="B100" i="95"/>
  <c r="E99" i="95"/>
  <c r="D99" i="95"/>
  <c r="C99" i="95"/>
  <c r="B99" i="95"/>
  <c r="E98" i="95"/>
  <c r="D98" i="95"/>
  <c r="C98" i="95"/>
  <c r="B98" i="95"/>
  <c r="E96" i="95"/>
  <c r="D96" i="95"/>
  <c r="C96" i="95"/>
  <c r="B96" i="95"/>
  <c r="E95" i="95"/>
  <c r="D95" i="95"/>
  <c r="C95" i="95"/>
  <c r="B95" i="95"/>
  <c r="E94" i="95"/>
  <c r="D94" i="95"/>
  <c r="C94" i="95"/>
  <c r="B94" i="95"/>
  <c r="E93" i="95"/>
  <c r="D93" i="95"/>
  <c r="C93" i="95"/>
  <c r="B93" i="95"/>
  <c r="E92" i="95"/>
  <c r="D92" i="95"/>
  <c r="C92" i="95"/>
  <c r="B92" i="95"/>
  <c r="E91" i="95"/>
  <c r="D91" i="95"/>
  <c r="C91" i="95"/>
  <c r="B91" i="95"/>
  <c r="E90" i="95"/>
  <c r="D90" i="95"/>
  <c r="C90" i="95"/>
  <c r="B90" i="95"/>
  <c r="E89" i="95"/>
  <c r="D89" i="95"/>
  <c r="C89" i="95"/>
  <c r="B89" i="95"/>
  <c r="E88" i="95"/>
  <c r="D88" i="95"/>
  <c r="C88" i="95"/>
  <c r="B88" i="95"/>
  <c r="E87" i="95"/>
  <c r="D87" i="95"/>
  <c r="C87" i="95"/>
  <c r="B87" i="95"/>
  <c r="E86" i="95"/>
  <c r="D86" i="95"/>
  <c r="C86" i="95"/>
  <c r="B86" i="95"/>
  <c r="E85" i="95"/>
  <c r="D85" i="95"/>
  <c r="C85" i="95"/>
  <c r="B85" i="95"/>
  <c r="E84" i="95"/>
  <c r="D84" i="95"/>
  <c r="C84" i="95"/>
  <c r="B84" i="95"/>
  <c r="E83" i="95"/>
  <c r="D83" i="95"/>
  <c r="C83" i="95"/>
  <c r="B83" i="95"/>
  <c r="E131" i="96"/>
  <c r="Q131" i="96" s="1"/>
  <c r="D131" i="96"/>
  <c r="C131" i="96"/>
  <c r="B131" i="96"/>
  <c r="E130" i="96"/>
  <c r="Q130" i="96" s="1"/>
  <c r="D130" i="96"/>
  <c r="C130" i="96"/>
  <c r="B130" i="96"/>
  <c r="E129" i="96"/>
  <c r="Q129" i="96" s="1"/>
  <c r="D129" i="96"/>
  <c r="C129" i="96"/>
  <c r="B129" i="96"/>
  <c r="E128" i="96"/>
  <c r="Q128" i="96" s="1"/>
  <c r="D128" i="96"/>
  <c r="C128" i="96"/>
  <c r="B128" i="96"/>
  <c r="E127" i="96"/>
  <c r="Q127" i="96" s="1"/>
  <c r="D127" i="96"/>
  <c r="C127" i="96"/>
  <c r="B127" i="96"/>
  <c r="E126" i="96"/>
  <c r="D126" i="96"/>
  <c r="C126" i="96"/>
  <c r="B126" i="96"/>
  <c r="E125" i="96"/>
  <c r="Q125" i="96" s="1"/>
  <c r="D125" i="96"/>
  <c r="C125" i="96"/>
  <c r="B125" i="96"/>
  <c r="E124" i="96"/>
  <c r="Q124" i="96" s="1"/>
  <c r="D124" i="96"/>
  <c r="C124" i="96"/>
  <c r="B124" i="96"/>
  <c r="E123" i="96"/>
  <c r="D123" i="96"/>
  <c r="C123" i="96"/>
  <c r="B123" i="96"/>
  <c r="E122" i="96"/>
  <c r="N122" i="96" s="1"/>
  <c r="D122" i="96"/>
  <c r="C122" i="96"/>
  <c r="B122" i="96"/>
  <c r="E121" i="96"/>
  <c r="Q121" i="96" s="1"/>
  <c r="D121" i="96"/>
  <c r="C121" i="96"/>
  <c r="B121" i="96"/>
  <c r="E120" i="96"/>
  <c r="Q120" i="96" s="1"/>
  <c r="D120" i="96"/>
  <c r="C120" i="96"/>
  <c r="B120" i="96"/>
  <c r="E119" i="96"/>
  <c r="N119" i="96" s="1"/>
  <c r="D119" i="96"/>
  <c r="C119" i="96"/>
  <c r="B119" i="96"/>
  <c r="E118" i="96"/>
  <c r="N118" i="96" s="1"/>
  <c r="D118" i="96"/>
  <c r="C118" i="96"/>
  <c r="B118" i="96"/>
  <c r="E117" i="96"/>
  <c r="Q117" i="96" s="1"/>
  <c r="D117" i="96"/>
  <c r="C117" i="96"/>
  <c r="B117" i="96"/>
  <c r="E116" i="96"/>
  <c r="Q116" i="96" s="1"/>
  <c r="D116" i="96"/>
  <c r="C116" i="96"/>
  <c r="B116" i="96"/>
  <c r="E115" i="96"/>
  <c r="Q115" i="96" s="1"/>
  <c r="D115" i="96"/>
  <c r="C115" i="96"/>
  <c r="B115" i="96"/>
  <c r="E114" i="96"/>
  <c r="N114" i="96" s="1"/>
  <c r="D114" i="96"/>
  <c r="C114" i="96"/>
  <c r="B114" i="96"/>
  <c r="E113" i="96"/>
  <c r="Q113" i="96" s="1"/>
  <c r="D113" i="96"/>
  <c r="C113" i="96"/>
  <c r="B113" i="96"/>
  <c r="E112" i="96"/>
  <c r="Q112" i="96" s="1"/>
  <c r="D112" i="96"/>
  <c r="C112" i="96"/>
  <c r="B112" i="96"/>
  <c r="E111" i="96"/>
  <c r="Q111" i="96" s="1"/>
  <c r="D111" i="96"/>
  <c r="C111" i="96"/>
  <c r="B111" i="96"/>
  <c r="E110" i="96"/>
  <c r="K110" i="96" s="1"/>
  <c r="D110" i="96"/>
  <c r="C110" i="96"/>
  <c r="B110" i="96"/>
  <c r="E109" i="96"/>
  <c r="K109" i="96" s="1"/>
  <c r="D109" i="96"/>
  <c r="C109" i="96"/>
  <c r="B109" i="96"/>
  <c r="E107" i="96"/>
  <c r="Q107" i="96" s="1"/>
  <c r="D107" i="96"/>
  <c r="C107" i="96"/>
  <c r="B107" i="96"/>
  <c r="E106" i="96"/>
  <c r="K106" i="96" s="1"/>
  <c r="D106" i="96"/>
  <c r="C106" i="96"/>
  <c r="B106" i="96"/>
  <c r="E105" i="96"/>
  <c r="D105" i="96"/>
  <c r="C105" i="96"/>
  <c r="B105" i="96"/>
  <c r="E104" i="96"/>
  <c r="Q104" i="96" s="1"/>
  <c r="D104" i="96"/>
  <c r="C104" i="96"/>
  <c r="B104" i="96"/>
  <c r="E103" i="96"/>
  <c r="Q103" i="96" s="1"/>
  <c r="D103" i="96"/>
  <c r="C103" i="96"/>
  <c r="B103" i="96"/>
  <c r="E102" i="96"/>
  <c r="N102" i="96" s="1"/>
  <c r="D102" i="96"/>
  <c r="C102" i="96"/>
  <c r="B102" i="96"/>
  <c r="E101" i="96"/>
  <c r="D101" i="96"/>
  <c r="C101" i="96"/>
  <c r="B101" i="96"/>
  <c r="E100" i="96"/>
  <c r="K100" i="96" s="1"/>
  <c r="D100" i="96"/>
  <c r="C100" i="96"/>
  <c r="B100" i="96"/>
  <c r="E99" i="96"/>
  <c r="Q99" i="96" s="1"/>
  <c r="D99" i="96"/>
  <c r="C99" i="96"/>
  <c r="B99" i="96"/>
  <c r="E98" i="96"/>
  <c r="D98" i="96"/>
  <c r="C98" i="96"/>
  <c r="B98" i="96"/>
  <c r="E96" i="96"/>
  <c r="K96" i="96" s="1"/>
  <c r="D96" i="96"/>
  <c r="C96" i="96"/>
  <c r="B96" i="96"/>
  <c r="E95" i="96"/>
  <c r="N95" i="96" s="1"/>
  <c r="D95" i="96"/>
  <c r="C95" i="96"/>
  <c r="B95" i="96"/>
  <c r="E94" i="96"/>
  <c r="K94" i="96" s="1"/>
  <c r="D94" i="96"/>
  <c r="C94" i="96"/>
  <c r="B94" i="96"/>
  <c r="E93" i="96"/>
  <c r="N93" i="96" s="1"/>
  <c r="D93" i="96"/>
  <c r="C93" i="96"/>
  <c r="B93" i="96"/>
  <c r="E92" i="96"/>
  <c r="D92" i="96"/>
  <c r="C92" i="96"/>
  <c r="B92" i="96"/>
  <c r="E91" i="96"/>
  <c r="D91" i="96"/>
  <c r="C91" i="96"/>
  <c r="B91" i="96"/>
  <c r="E90" i="96"/>
  <c r="H90" i="96" s="1"/>
  <c r="D90" i="96"/>
  <c r="C90" i="96"/>
  <c r="B90" i="96"/>
  <c r="E89" i="96"/>
  <c r="Q89" i="96" s="1"/>
  <c r="D89" i="96"/>
  <c r="C89" i="96"/>
  <c r="B89" i="96"/>
  <c r="E88" i="96"/>
  <c r="D88" i="96"/>
  <c r="C88" i="96"/>
  <c r="B88" i="96"/>
  <c r="E87" i="96"/>
  <c r="D87" i="96"/>
  <c r="C87" i="96"/>
  <c r="B87" i="96"/>
  <c r="E86" i="96"/>
  <c r="D86" i="96"/>
  <c r="C86" i="96"/>
  <c r="B86" i="96"/>
  <c r="E85" i="96"/>
  <c r="D85" i="96"/>
  <c r="C85" i="96"/>
  <c r="B85" i="96"/>
  <c r="E84" i="96"/>
  <c r="D84" i="96"/>
  <c r="C84" i="96"/>
  <c r="B84" i="96"/>
  <c r="E83" i="96"/>
  <c r="D83" i="96"/>
  <c r="C83" i="96"/>
  <c r="B83" i="96"/>
  <c r="E131" i="94"/>
  <c r="K131" i="94" s="1"/>
  <c r="D131" i="94"/>
  <c r="C131" i="94"/>
  <c r="B131" i="94"/>
  <c r="E130" i="94"/>
  <c r="D130" i="94"/>
  <c r="C130" i="94"/>
  <c r="B130" i="94"/>
  <c r="E129" i="94"/>
  <c r="K129" i="94" s="1"/>
  <c r="D129" i="94"/>
  <c r="C129" i="94"/>
  <c r="B129" i="94"/>
  <c r="E128" i="94"/>
  <c r="D128" i="94"/>
  <c r="C128" i="94"/>
  <c r="B128" i="94"/>
  <c r="E127" i="94"/>
  <c r="K127" i="94" s="1"/>
  <c r="D127" i="94"/>
  <c r="C127" i="94"/>
  <c r="B127" i="94"/>
  <c r="E126" i="94"/>
  <c r="K126" i="94" s="1"/>
  <c r="D126" i="94"/>
  <c r="C126" i="94"/>
  <c r="B126" i="94"/>
  <c r="E125" i="94"/>
  <c r="D125" i="94"/>
  <c r="C125" i="94"/>
  <c r="B125" i="94"/>
  <c r="E124" i="94"/>
  <c r="D124" i="94"/>
  <c r="C124" i="94"/>
  <c r="B124" i="94"/>
  <c r="E123" i="94"/>
  <c r="K123" i="94" s="1"/>
  <c r="D123" i="94"/>
  <c r="C123" i="94"/>
  <c r="B123" i="94"/>
  <c r="E122" i="94"/>
  <c r="H122" i="94" s="1"/>
  <c r="D122" i="94"/>
  <c r="C122" i="94"/>
  <c r="B122" i="94"/>
  <c r="E121" i="94"/>
  <c r="D121" i="94"/>
  <c r="C121" i="94"/>
  <c r="B121" i="94"/>
  <c r="E120" i="94"/>
  <c r="K120" i="94" s="1"/>
  <c r="D120" i="94"/>
  <c r="C120" i="94"/>
  <c r="B120" i="94"/>
  <c r="E119" i="94"/>
  <c r="K119" i="94" s="1"/>
  <c r="D119" i="94"/>
  <c r="C119" i="94"/>
  <c r="B119" i="94"/>
  <c r="E118" i="94"/>
  <c r="D118" i="94"/>
  <c r="C118" i="94"/>
  <c r="B118" i="94"/>
  <c r="E117" i="94"/>
  <c r="D117" i="94"/>
  <c r="C117" i="94"/>
  <c r="B117" i="94"/>
  <c r="E116" i="94"/>
  <c r="K116" i="94" s="1"/>
  <c r="D116" i="94"/>
  <c r="C116" i="94"/>
  <c r="B116" i="94"/>
  <c r="E115" i="94"/>
  <c r="K115" i="94" s="1"/>
  <c r="D115" i="94"/>
  <c r="C115" i="94"/>
  <c r="B115" i="94"/>
  <c r="E114" i="94"/>
  <c r="D114" i="94"/>
  <c r="C114" i="94"/>
  <c r="B114" i="94"/>
  <c r="E113" i="94"/>
  <c r="D113" i="94"/>
  <c r="C113" i="94"/>
  <c r="B113" i="94"/>
  <c r="E112" i="94"/>
  <c r="K112" i="94" s="1"/>
  <c r="D112" i="94"/>
  <c r="C112" i="94"/>
  <c r="B112" i="94"/>
  <c r="E111" i="94"/>
  <c r="K111" i="94" s="1"/>
  <c r="D111" i="94"/>
  <c r="C111" i="94"/>
  <c r="B111" i="94"/>
  <c r="E110" i="94"/>
  <c r="D110" i="94"/>
  <c r="C110" i="94"/>
  <c r="B110" i="94"/>
  <c r="E109" i="94"/>
  <c r="D109" i="94"/>
  <c r="C109" i="94"/>
  <c r="B109" i="94"/>
  <c r="E107" i="94"/>
  <c r="D107" i="94"/>
  <c r="C107" i="94"/>
  <c r="B107" i="94"/>
  <c r="E106" i="94"/>
  <c r="D106" i="94"/>
  <c r="C106" i="94"/>
  <c r="B106" i="94"/>
  <c r="E105" i="94"/>
  <c r="D105" i="94"/>
  <c r="C105" i="94"/>
  <c r="B105" i="94"/>
  <c r="E104" i="94"/>
  <c r="K104" i="94" s="1"/>
  <c r="D104" i="94"/>
  <c r="C104" i="94"/>
  <c r="B104" i="94"/>
  <c r="E103" i="94"/>
  <c r="K103" i="94" s="1"/>
  <c r="D103" i="94"/>
  <c r="C103" i="94"/>
  <c r="B103" i="94"/>
  <c r="E102" i="94"/>
  <c r="D102" i="94"/>
  <c r="C102" i="94"/>
  <c r="B102" i="94"/>
  <c r="E101" i="94"/>
  <c r="D101" i="94"/>
  <c r="C101" i="94"/>
  <c r="B101" i="94"/>
  <c r="E100" i="94"/>
  <c r="D100" i="94"/>
  <c r="C100" i="94"/>
  <c r="B100" i="94"/>
  <c r="E99" i="94"/>
  <c r="D99" i="94"/>
  <c r="C99" i="94"/>
  <c r="B99" i="94"/>
  <c r="E98" i="94"/>
  <c r="H98" i="94" s="1"/>
  <c r="D98" i="94"/>
  <c r="C98" i="94"/>
  <c r="B98" i="94"/>
  <c r="E96" i="94"/>
  <c r="K96" i="94" s="1"/>
  <c r="D96" i="94"/>
  <c r="C96" i="94"/>
  <c r="B96" i="94"/>
  <c r="E95" i="94"/>
  <c r="D95" i="94"/>
  <c r="C95" i="94"/>
  <c r="B95" i="94"/>
  <c r="E94" i="94"/>
  <c r="K94" i="94" s="1"/>
  <c r="D94" i="94"/>
  <c r="C94" i="94"/>
  <c r="B94" i="94"/>
  <c r="E93" i="94"/>
  <c r="D93" i="94"/>
  <c r="C93" i="94"/>
  <c r="B93" i="94"/>
  <c r="E92" i="94"/>
  <c r="H92" i="94" s="1"/>
  <c r="D92" i="94"/>
  <c r="C92" i="94"/>
  <c r="B92" i="94"/>
  <c r="E91" i="94"/>
  <c r="D91" i="94"/>
  <c r="C91" i="94"/>
  <c r="B91" i="94"/>
  <c r="E90" i="94"/>
  <c r="H90" i="94" s="1"/>
  <c r="D90" i="94"/>
  <c r="C90" i="94"/>
  <c r="B90" i="94"/>
  <c r="E89" i="94"/>
  <c r="D89" i="94"/>
  <c r="C89" i="94"/>
  <c r="B89" i="94"/>
  <c r="E88" i="94"/>
  <c r="D88" i="94"/>
  <c r="C88" i="94"/>
  <c r="B88" i="94"/>
  <c r="E87" i="94"/>
  <c r="H87" i="94" s="1"/>
  <c r="D87" i="94"/>
  <c r="C87" i="94"/>
  <c r="B87" i="94"/>
  <c r="E86" i="94"/>
  <c r="K86" i="94" s="1"/>
  <c r="D86" i="94"/>
  <c r="C86" i="94"/>
  <c r="B86" i="94"/>
  <c r="E85" i="94"/>
  <c r="D85" i="94"/>
  <c r="C85" i="94"/>
  <c r="B85" i="94"/>
  <c r="E84" i="94"/>
  <c r="K84" i="94" s="1"/>
  <c r="D84" i="94"/>
  <c r="C84" i="94"/>
  <c r="B84" i="94"/>
  <c r="E83" i="94"/>
  <c r="D83" i="94"/>
  <c r="C83" i="94"/>
  <c r="B83" i="94"/>
  <c r="E79" i="95"/>
  <c r="D79" i="95"/>
  <c r="C79" i="95"/>
  <c r="B79" i="95"/>
  <c r="E78" i="95"/>
  <c r="D78" i="95"/>
  <c r="C78" i="95"/>
  <c r="B78" i="95"/>
  <c r="E77" i="95"/>
  <c r="D77" i="95"/>
  <c r="C77" i="95"/>
  <c r="B77" i="95"/>
  <c r="E72" i="95"/>
  <c r="D72" i="95"/>
  <c r="C72" i="95"/>
  <c r="B72" i="95"/>
  <c r="E71" i="95"/>
  <c r="D71" i="95"/>
  <c r="C71" i="95"/>
  <c r="B71" i="95"/>
  <c r="E70" i="95"/>
  <c r="D70" i="95"/>
  <c r="C70" i="95"/>
  <c r="B70" i="95"/>
  <c r="E69" i="95"/>
  <c r="D69" i="95"/>
  <c r="C69" i="95"/>
  <c r="B69" i="95"/>
  <c r="E68" i="95"/>
  <c r="D68" i="95"/>
  <c r="C68" i="95"/>
  <c r="B68" i="95"/>
  <c r="E67" i="95"/>
  <c r="D67" i="95"/>
  <c r="C67" i="95"/>
  <c r="B67" i="95"/>
  <c r="E66" i="95"/>
  <c r="K66" i="95" s="1"/>
  <c r="D66" i="95"/>
  <c r="C66" i="95"/>
  <c r="B66" i="95"/>
  <c r="E65" i="95"/>
  <c r="D65" i="95"/>
  <c r="C65" i="95"/>
  <c r="B65" i="95"/>
  <c r="E64" i="95"/>
  <c r="D64" i="95"/>
  <c r="C64" i="95"/>
  <c r="B64" i="95"/>
  <c r="E63" i="95"/>
  <c r="D63" i="95"/>
  <c r="C63" i="95"/>
  <c r="B63" i="95"/>
  <c r="E62" i="95"/>
  <c r="D62" i="95"/>
  <c r="C62" i="95"/>
  <c r="B62" i="95"/>
  <c r="E61" i="95"/>
  <c r="D61" i="95"/>
  <c r="C61" i="95"/>
  <c r="B61" i="95"/>
  <c r="E60" i="95"/>
  <c r="D60" i="95"/>
  <c r="C60" i="95"/>
  <c r="B60" i="95"/>
  <c r="E59" i="95"/>
  <c r="D59" i="95"/>
  <c r="C59" i="95"/>
  <c r="B59" i="95"/>
  <c r="E58" i="95"/>
  <c r="K58" i="95" s="1"/>
  <c r="D58" i="95"/>
  <c r="C58" i="95"/>
  <c r="B58" i="95"/>
  <c r="E57" i="95"/>
  <c r="D57" i="95"/>
  <c r="C57" i="95"/>
  <c r="B57" i="95"/>
  <c r="E56" i="95"/>
  <c r="D56" i="95"/>
  <c r="C56" i="95"/>
  <c r="B56" i="95"/>
  <c r="E55" i="95"/>
  <c r="D55" i="95"/>
  <c r="C55" i="95"/>
  <c r="B55" i="95"/>
  <c r="E54" i="95"/>
  <c r="D54" i="95"/>
  <c r="C54" i="95"/>
  <c r="B54" i="95"/>
  <c r="E53" i="95"/>
  <c r="D53" i="95"/>
  <c r="C53" i="95"/>
  <c r="B53" i="95"/>
  <c r="E52" i="95"/>
  <c r="D52" i="95"/>
  <c r="C52" i="95"/>
  <c r="B52" i="95"/>
  <c r="E51" i="95"/>
  <c r="D51" i="95"/>
  <c r="C51" i="95"/>
  <c r="B51" i="95"/>
  <c r="E50" i="95"/>
  <c r="D50" i="95"/>
  <c r="C50" i="95"/>
  <c r="B50" i="95"/>
  <c r="E49" i="95"/>
  <c r="D49" i="95"/>
  <c r="C49" i="95"/>
  <c r="B49" i="95"/>
  <c r="E48" i="95"/>
  <c r="D48" i="95"/>
  <c r="C48" i="95"/>
  <c r="B48" i="95"/>
  <c r="E47" i="95"/>
  <c r="D47" i="95"/>
  <c r="C47" i="95"/>
  <c r="B47" i="95"/>
  <c r="E46" i="95"/>
  <c r="D46" i="95"/>
  <c r="C46" i="95"/>
  <c r="B46" i="95"/>
  <c r="E45" i="95"/>
  <c r="D45" i="95"/>
  <c r="C45" i="95"/>
  <c r="B45" i="95"/>
  <c r="E44" i="95"/>
  <c r="K44" i="95" s="1"/>
  <c r="D44" i="95"/>
  <c r="C44" i="95"/>
  <c r="B44" i="95"/>
  <c r="E43" i="95"/>
  <c r="D43" i="95"/>
  <c r="C43" i="95"/>
  <c r="B43" i="95"/>
  <c r="D42" i="95"/>
  <c r="C42" i="95"/>
  <c r="B42" i="95"/>
  <c r="E41" i="95"/>
  <c r="D41" i="95"/>
  <c r="C41" i="95"/>
  <c r="B41" i="95"/>
  <c r="E40" i="95"/>
  <c r="D40" i="95"/>
  <c r="C40" i="95"/>
  <c r="B40" i="95"/>
  <c r="E39" i="95"/>
  <c r="D39" i="95"/>
  <c r="C39" i="95"/>
  <c r="B39" i="95"/>
  <c r="E38" i="95"/>
  <c r="D38" i="95"/>
  <c r="C38" i="95"/>
  <c r="B38" i="95"/>
  <c r="E37" i="95"/>
  <c r="D37" i="95"/>
  <c r="C37" i="95"/>
  <c r="B37" i="95"/>
  <c r="E36" i="95"/>
  <c r="D36" i="95"/>
  <c r="C36" i="95"/>
  <c r="B36" i="95"/>
  <c r="E35" i="95"/>
  <c r="D35" i="95"/>
  <c r="C35" i="95"/>
  <c r="B35" i="95"/>
  <c r="E34" i="95"/>
  <c r="D34" i="95"/>
  <c r="C34" i="95"/>
  <c r="B34" i="95"/>
  <c r="E33" i="95"/>
  <c r="D33" i="95"/>
  <c r="C33" i="95"/>
  <c r="B33" i="95"/>
  <c r="E32" i="95"/>
  <c r="D32" i="95"/>
  <c r="C32" i="95"/>
  <c r="B32" i="95"/>
  <c r="E31" i="95"/>
  <c r="D31" i="95"/>
  <c r="C31" i="95"/>
  <c r="B31" i="95"/>
  <c r="E30" i="95"/>
  <c r="D30" i="95"/>
  <c r="C30" i="95"/>
  <c r="B30" i="95"/>
  <c r="E29" i="95"/>
  <c r="D29" i="95"/>
  <c r="C29" i="95"/>
  <c r="B29" i="95"/>
  <c r="E28" i="95"/>
  <c r="D28" i="95"/>
  <c r="C28" i="95"/>
  <c r="B28" i="95"/>
  <c r="E27" i="95"/>
  <c r="D27" i="95"/>
  <c r="C27" i="95"/>
  <c r="B27" i="95"/>
  <c r="E26" i="95"/>
  <c r="D26" i="95"/>
  <c r="C26" i="95"/>
  <c r="B26" i="95"/>
  <c r="E79" i="96"/>
  <c r="N79" i="96" s="1"/>
  <c r="D79" i="96"/>
  <c r="C79" i="96"/>
  <c r="B79" i="96"/>
  <c r="E78" i="96"/>
  <c r="Q78" i="96" s="1"/>
  <c r="D78" i="96"/>
  <c r="C78" i="96"/>
  <c r="B78" i="96"/>
  <c r="E77" i="96"/>
  <c r="D77" i="96"/>
  <c r="C77" i="96"/>
  <c r="B77" i="96"/>
  <c r="E72" i="96"/>
  <c r="D72" i="96"/>
  <c r="C72" i="96"/>
  <c r="B72" i="96"/>
  <c r="E71" i="96"/>
  <c r="D71" i="96"/>
  <c r="C71" i="96"/>
  <c r="B71" i="96"/>
  <c r="E70" i="96"/>
  <c r="H70" i="96" s="1"/>
  <c r="D70" i="96"/>
  <c r="C70" i="96"/>
  <c r="B70" i="96"/>
  <c r="E69" i="96"/>
  <c r="Q69" i="96" s="1"/>
  <c r="D69" i="96"/>
  <c r="C69" i="96"/>
  <c r="B69" i="96"/>
  <c r="E68" i="96"/>
  <c r="N68" i="96" s="1"/>
  <c r="D68" i="96"/>
  <c r="C68" i="96"/>
  <c r="B68" i="96"/>
  <c r="E67" i="96"/>
  <c r="K67" i="96" s="1"/>
  <c r="D67" i="96"/>
  <c r="C67" i="96"/>
  <c r="B67" i="96"/>
  <c r="E66" i="96"/>
  <c r="D66" i="96"/>
  <c r="C66" i="96"/>
  <c r="B66" i="96"/>
  <c r="E65" i="96"/>
  <c r="D65" i="96"/>
  <c r="C65" i="96"/>
  <c r="B65" i="96"/>
  <c r="E64" i="96"/>
  <c r="D64" i="96"/>
  <c r="C64" i="96"/>
  <c r="B64" i="96"/>
  <c r="E63" i="96"/>
  <c r="D63" i="96"/>
  <c r="C63" i="96"/>
  <c r="B63" i="96"/>
  <c r="E62" i="96"/>
  <c r="K62" i="96" s="1"/>
  <c r="D62" i="96"/>
  <c r="C62" i="96"/>
  <c r="B62" i="96"/>
  <c r="E61" i="96"/>
  <c r="Q61" i="96" s="1"/>
  <c r="D61" i="96"/>
  <c r="C61" i="96"/>
  <c r="B61" i="96"/>
  <c r="E60" i="96"/>
  <c r="K60" i="96" s="1"/>
  <c r="D60" i="96"/>
  <c r="C60" i="96"/>
  <c r="B60" i="96"/>
  <c r="E59" i="96"/>
  <c r="K59" i="96" s="1"/>
  <c r="D59" i="96"/>
  <c r="C59" i="96"/>
  <c r="B59" i="96"/>
  <c r="E58" i="96"/>
  <c r="H58" i="96" s="1"/>
  <c r="D58" i="96"/>
  <c r="C58" i="96"/>
  <c r="B58" i="96"/>
  <c r="E57" i="96"/>
  <c r="D57" i="96"/>
  <c r="C57" i="96"/>
  <c r="B57" i="96"/>
  <c r="E56" i="96"/>
  <c r="Q56" i="96" s="1"/>
  <c r="D56" i="96"/>
  <c r="C56" i="96"/>
  <c r="B56" i="96"/>
  <c r="E55" i="96"/>
  <c r="D55" i="96"/>
  <c r="C55" i="96"/>
  <c r="B55" i="96"/>
  <c r="E54" i="96"/>
  <c r="D54" i="96"/>
  <c r="C54" i="96"/>
  <c r="B54" i="96"/>
  <c r="E53" i="96"/>
  <c r="D53" i="96"/>
  <c r="C53" i="96"/>
  <c r="B53" i="96"/>
  <c r="E52" i="96"/>
  <c r="D52" i="96"/>
  <c r="C52" i="96"/>
  <c r="B52" i="96"/>
  <c r="E51" i="96"/>
  <c r="D51" i="96"/>
  <c r="C51" i="96"/>
  <c r="B51" i="96"/>
  <c r="E50" i="96"/>
  <c r="D50" i="96"/>
  <c r="C50" i="96"/>
  <c r="B50" i="96"/>
  <c r="E49" i="96"/>
  <c r="D49" i="96"/>
  <c r="C49" i="96"/>
  <c r="B49" i="96"/>
  <c r="E48" i="96"/>
  <c r="D48" i="96"/>
  <c r="C48" i="96"/>
  <c r="B48" i="96"/>
  <c r="E47" i="96"/>
  <c r="K47" i="96" s="1"/>
  <c r="D47" i="96"/>
  <c r="C47" i="96"/>
  <c r="B47" i="96"/>
  <c r="E46" i="96"/>
  <c r="H46" i="96" s="1"/>
  <c r="D46" i="96"/>
  <c r="C46" i="96"/>
  <c r="B46" i="96"/>
  <c r="E45" i="96"/>
  <c r="D45" i="96"/>
  <c r="C45" i="96"/>
  <c r="B45" i="96"/>
  <c r="E44" i="96"/>
  <c r="D44" i="96"/>
  <c r="C44" i="96"/>
  <c r="B44" i="96"/>
  <c r="E43" i="96"/>
  <c r="Q43" i="96" s="1"/>
  <c r="D43" i="96"/>
  <c r="C43" i="96"/>
  <c r="B43" i="96"/>
  <c r="D42" i="96"/>
  <c r="C42" i="96"/>
  <c r="B42" i="96"/>
  <c r="E41" i="96"/>
  <c r="N41" i="96" s="1"/>
  <c r="D41" i="96"/>
  <c r="C41" i="96"/>
  <c r="B41" i="96"/>
  <c r="E40" i="96"/>
  <c r="D40" i="96"/>
  <c r="C40" i="96"/>
  <c r="B40" i="96"/>
  <c r="E39" i="96"/>
  <c r="N39" i="96" s="1"/>
  <c r="D39" i="96"/>
  <c r="C39" i="96"/>
  <c r="B39" i="96"/>
  <c r="E38" i="96"/>
  <c r="D38" i="96"/>
  <c r="C38" i="96"/>
  <c r="B38" i="96"/>
  <c r="E37" i="96"/>
  <c r="D37" i="96"/>
  <c r="C37" i="96"/>
  <c r="B37" i="96"/>
  <c r="E36" i="96"/>
  <c r="D36" i="96"/>
  <c r="C36" i="96"/>
  <c r="B36" i="96"/>
  <c r="E35" i="96"/>
  <c r="D35" i="96"/>
  <c r="C35" i="96"/>
  <c r="B35" i="96"/>
  <c r="E34" i="96"/>
  <c r="H34" i="96" s="1"/>
  <c r="D34" i="96"/>
  <c r="C34" i="96"/>
  <c r="B34" i="96"/>
  <c r="E33" i="96"/>
  <c r="D33" i="96"/>
  <c r="C33" i="96"/>
  <c r="B33" i="96"/>
  <c r="E32" i="96"/>
  <c r="D32" i="96"/>
  <c r="C32" i="96"/>
  <c r="B32" i="96"/>
  <c r="E31" i="96"/>
  <c r="D31" i="96"/>
  <c r="C31" i="96"/>
  <c r="B31" i="96"/>
  <c r="E30" i="96"/>
  <c r="H30" i="96" s="1"/>
  <c r="D30" i="96"/>
  <c r="C30" i="96"/>
  <c r="B30" i="96"/>
  <c r="E29" i="96"/>
  <c r="D29" i="96"/>
  <c r="C29" i="96"/>
  <c r="B29" i="96"/>
  <c r="E28" i="96"/>
  <c r="D28" i="96"/>
  <c r="C28" i="96"/>
  <c r="B28" i="96"/>
  <c r="E27" i="96"/>
  <c r="Q27" i="96" s="1"/>
  <c r="D27" i="96"/>
  <c r="C27" i="96"/>
  <c r="B27" i="96"/>
  <c r="E26" i="96"/>
  <c r="D26" i="96"/>
  <c r="C26" i="96"/>
  <c r="B26" i="96"/>
  <c r="E79" i="94"/>
  <c r="K79" i="94" s="1"/>
  <c r="D79" i="94"/>
  <c r="C79" i="94"/>
  <c r="B79" i="94"/>
  <c r="E78" i="94"/>
  <c r="H78" i="94" s="1"/>
  <c r="D78" i="94"/>
  <c r="C78" i="94"/>
  <c r="B78" i="94"/>
  <c r="E77" i="94"/>
  <c r="H77" i="94" s="1"/>
  <c r="D77" i="94"/>
  <c r="C77" i="94"/>
  <c r="B77" i="94"/>
  <c r="E72" i="94"/>
  <c r="H72" i="94" s="1"/>
  <c r="D72" i="94"/>
  <c r="C72" i="94"/>
  <c r="B72" i="94"/>
  <c r="E71" i="94"/>
  <c r="H71" i="94" s="1"/>
  <c r="D71" i="94"/>
  <c r="C71" i="94"/>
  <c r="B71" i="94"/>
  <c r="E70" i="94"/>
  <c r="H70" i="94" s="1"/>
  <c r="D70" i="94"/>
  <c r="C70" i="94"/>
  <c r="B70" i="94"/>
  <c r="E69" i="94"/>
  <c r="H69" i="94" s="1"/>
  <c r="D69" i="94"/>
  <c r="C69" i="94"/>
  <c r="B69" i="94"/>
  <c r="E68" i="94"/>
  <c r="H68" i="94" s="1"/>
  <c r="D68" i="94"/>
  <c r="C68" i="94"/>
  <c r="B68" i="94"/>
  <c r="E67" i="94"/>
  <c r="K67" i="94" s="1"/>
  <c r="D67" i="94"/>
  <c r="C67" i="94"/>
  <c r="B67" i="94"/>
  <c r="E66" i="94"/>
  <c r="H66" i="94" s="1"/>
  <c r="D66" i="94"/>
  <c r="C66" i="94"/>
  <c r="B66" i="94"/>
  <c r="E65" i="94"/>
  <c r="H65" i="94" s="1"/>
  <c r="D65" i="94"/>
  <c r="C65" i="94"/>
  <c r="B65" i="94"/>
  <c r="E64" i="94"/>
  <c r="H64" i="94" s="1"/>
  <c r="D64" i="94"/>
  <c r="C64" i="94"/>
  <c r="B64" i="94"/>
  <c r="E63" i="94"/>
  <c r="H63" i="94" s="1"/>
  <c r="D63" i="94"/>
  <c r="C63" i="94"/>
  <c r="B63" i="94"/>
  <c r="E62" i="94"/>
  <c r="K62" i="94" s="1"/>
  <c r="D62" i="94"/>
  <c r="C62" i="94"/>
  <c r="B62" i="94"/>
  <c r="E61" i="94"/>
  <c r="D61" i="94"/>
  <c r="C61" i="94"/>
  <c r="B61" i="94"/>
  <c r="E60" i="94"/>
  <c r="H60" i="94" s="1"/>
  <c r="D60" i="94"/>
  <c r="C60" i="94"/>
  <c r="B60" i="94"/>
  <c r="E59" i="94"/>
  <c r="H59" i="94" s="1"/>
  <c r="D59" i="94"/>
  <c r="C59" i="94"/>
  <c r="B59" i="94"/>
  <c r="E58" i="94"/>
  <c r="D58" i="94"/>
  <c r="C58" i="94"/>
  <c r="B58" i="94"/>
  <c r="E57" i="94"/>
  <c r="H57" i="94" s="1"/>
  <c r="D57" i="94"/>
  <c r="C57" i="94"/>
  <c r="B57" i="94"/>
  <c r="E56" i="94"/>
  <c r="H56" i="94" s="1"/>
  <c r="D56" i="94"/>
  <c r="C56" i="94"/>
  <c r="B56" i="94"/>
  <c r="E55" i="94"/>
  <c r="K55" i="94" s="1"/>
  <c r="D55" i="94"/>
  <c r="C55" i="94"/>
  <c r="B55" i="94"/>
  <c r="E54" i="94"/>
  <c r="H54" i="94" s="1"/>
  <c r="D54" i="94"/>
  <c r="C54" i="94"/>
  <c r="B54" i="94"/>
  <c r="E53" i="94"/>
  <c r="K53" i="94" s="1"/>
  <c r="D53" i="94"/>
  <c r="C53" i="94"/>
  <c r="B53" i="94"/>
  <c r="E52" i="94"/>
  <c r="K52" i="94" s="1"/>
  <c r="D52" i="94"/>
  <c r="C52" i="94"/>
  <c r="B52" i="94"/>
  <c r="E51" i="94"/>
  <c r="K51" i="94" s="1"/>
  <c r="D51" i="94"/>
  <c r="C51" i="94"/>
  <c r="B51" i="94"/>
  <c r="E50" i="94"/>
  <c r="K50" i="94" s="1"/>
  <c r="D50" i="94"/>
  <c r="C50" i="94"/>
  <c r="B50" i="94"/>
  <c r="E49" i="94"/>
  <c r="K49" i="94" s="1"/>
  <c r="D49" i="94"/>
  <c r="C49" i="94"/>
  <c r="B49" i="94"/>
  <c r="E48" i="94"/>
  <c r="K48" i="94" s="1"/>
  <c r="D48" i="94"/>
  <c r="C48" i="94"/>
  <c r="B48" i="94"/>
  <c r="E47" i="94"/>
  <c r="K47" i="94" s="1"/>
  <c r="D47" i="94"/>
  <c r="C47" i="94"/>
  <c r="B47" i="94"/>
  <c r="E46" i="94"/>
  <c r="K46" i="94" s="1"/>
  <c r="D46" i="94"/>
  <c r="C46" i="94"/>
  <c r="B46" i="94"/>
  <c r="E45" i="94"/>
  <c r="K45" i="94" s="1"/>
  <c r="D45" i="94"/>
  <c r="C45" i="94"/>
  <c r="B45" i="94"/>
  <c r="E44" i="94"/>
  <c r="K44" i="94" s="1"/>
  <c r="D44" i="94"/>
  <c r="C44" i="94"/>
  <c r="B44" i="94"/>
  <c r="E43" i="94"/>
  <c r="K43" i="94" s="1"/>
  <c r="D43" i="94"/>
  <c r="C43" i="94"/>
  <c r="B43" i="94"/>
  <c r="D42" i="94"/>
  <c r="C42" i="94"/>
  <c r="B42" i="94"/>
  <c r="E41" i="94"/>
  <c r="K41" i="94" s="1"/>
  <c r="D41" i="94"/>
  <c r="C41" i="94"/>
  <c r="B41" i="94"/>
  <c r="E40" i="94"/>
  <c r="K40" i="94" s="1"/>
  <c r="D40" i="94"/>
  <c r="C40" i="94"/>
  <c r="B40" i="94"/>
  <c r="E39" i="94"/>
  <c r="K39" i="94" s="1"/>
  <c r="D39" i="94"/>
  <c r="C39" i="94"/>
  <c r="B39" i="94"/>
  <c r="E38" i="94"/>
  <c r="K38" i="94" s="1"/>
  <c r="D38" i="94"/>
  <c r="C38" i="94"/>
  <c r="B38" i="94"/>
  <c r="E37" i="94"/>
  <c r="K37" i="94" s="1"/>
  <c r="D37" i="94"/>
  <c r="C37" i="94"/>
  <c r="B37" i="94"/>
  <c r="E36" i="94"/>
  <c r="K36" i="94" s="1"/>
  <c r="D36" i="94"/>
  <c r="C36" i="94"/>
  <c r="B36" i="94"/>
  <c r="E35" i="94"/>
  <c r="K35" i="94" s="1"/>
  <c r="D35" i="94"/>
  <c r="C35" i="94"/>
  <c r="B35" i="94"/>
  <c r="E34" i="94"/>
  <c r="K34" i="94" s="1"/>
  <c r="D34" i="94"/>
  <c r="C34" i="94"/>
  <c r="B34" i="94"/>
  <c r="E33" i="94"/>
  <c r="K33" i="94" s="1"/>
  <c r="D33" i="94"/>
  <c r="C33" i="94"/>
  <c r="B33" i="94"/>
  <c r="E32" i="94"/>
  <c r="K32" i="94" s="1"/>
  <c r="D32" i="94"/>
  <c r="C32" i="94"/>
  <c r="B32" i="94"/>
  <c r="E31" i="94"/>
  <c r="D31" i="94"/>
  <c r="C31" i="94"/>
  <c r="B31" i="94"/>
  <c r="E30" i="94"/>
  <c r="K30" i="94" s="1"/>
  <c r="D30" i="94"/>
  <c r="C30" i="94"/>
  <c r="B30" i="94"/>
  <c r="E29" i="94"/>
  <c r="D29" i="94"/>
  <c r="C29" i="94"/>
  <c r="B29" i="94"/>
  <c r="E28" i="94"/>
  <c r="K28" i="94" s="1"/>
  <c r="D28" i="94"/>
  <c r="C28" i="94"/>
  <c r="B28" i="94"/>
  <c r="E27" i="94"/>
  <c r="D27" i="94"/>
  <c r="C27" i="94"/>
  <c r="B27" i="94"/>
  <c r="E26" i="94"/>
  <c r="D26" i="94"/>
  <c r="C26" i="94"/>
  <c r="B26" i="94"/>
  <c r="D22" i="95"/>
  <c r="D21" i="95"/>
  <c r="D16" i="95"/>
  <c r="D15" i="95"/>
  <c r="D14" i="95"/>
  <c r="D13" i="95"/>
  <c r="D12" i="95"/>
  <c r="D11" i="95"/>
  <c r="D10" i="95"/>
  <c r="D9" i="95"/>
  <c r="D8" i="95"/>
  <c r="D22" i="96"/>
  <c r="D21" i="96"/>
  <c r="D16" i="96"/>
  <c r="D15" i="96"/>
  <c r="D14" i="96"/>
  <c r="D13" i="96"/>
  <c r="D12" i="96"/>
  <c r="D11" i="96"/>
  <c r="D10" i="96"/>
  <c r="D9" i="96"/>
  <c r="D8" i="96"/>
  <c r="D22" i="94"/>
  <c r="D21" i="94"/>
  <c r="D16" i="94"/>
  <c r="D15" i="94"/>
  <c r="D14" i="94"/>
  <c r="D13" i="94"/>
  <c r="D12" i="94"/>
  <c r="D11" i="94"/>
  <c r="D10" i="94"/>
  <c r="D9" i="94"/>
  <c r="D8" i="94"/>
  <c r="D7" i="95"/>
  <c r="D7" i="96"/>
  <c r="D7" i="94"/>
  <c r="AC128" i="20"/>
  <c r="Z128" i="20"/>
  <c r="W128" i="20"/>
  <c r="T128" i="20"/>
  <c r="Q128" i="20"/>
  <c r="N128" i="20"/>
  <c r="K128" i="20"/>
  <c r="H128" i="20"/>
  <c r="AC127" i="20"/>
  <c r="Z127" i="20"/>
  <c r="W127" i="20"/>
  <c r="T127" i="20"/>
  <c r="Q127" i="20"/>
  <c r="N127" i="20"/>
  <c r="K127" i="20"/>
  <c r="H127" i="20"/>
  <c r="AC126" i="20"/>
  <c r="Z126" i="20"/>
  <c r="W126" i="20"/>
  <c r="T126" i="20"/>
  <c r="Q126" i="20"/>
  <c r="N126" i="20"/>
  <c r="K126" i="20"/>
  <c r="H126" i="20"/>
  <c r="AC125" i="20"/>
  <c r="Z125" i="20"/>
  <c r="W125" i="20"/>
  <c r="T125" i="20"/>
  <c r="Q125" i="20"/>
  <c r="N125" i="20"/>
  <c r="K125" i="20"/>
  <c r="H125" i="20"/>
  <c r="AC124" i="20"/>
  <c r="Z124" i="20"/>
  <c r="W124" i="20"/>
  <c r="T124" i="20"/>
  <c r="Q124" i="20"/>
  <c r="N124" i="20"/>
  <c r="K124" i="20"/>
  <c r="H124" i="20"/>
  <c r="AC123" i="20"/>
  <c r="Z123" i="20"/>
  <c r="W123" i="20"/>
  <c r="T123" i="20"/>
  <c r="Q123" i="20"/>
  <c r="N123" i="20"/>
  <c r="K123" i="20"/>
  <c r="H123" i="20"/>
  <c r="AC122" i="20"/>
  <c r="Z122" i="20"/>
  <c r="W122" i="20"/>
  <c r="T122" i="20"/>
  <c r="Q122" i="20"/>
  <c r="N122" i="20"/>
  <c r="K122" i="20"/>
  <c r="H122" i="20"/>
  <c r="AC121" i="20"/>
  <c r="Z121" i="20"/>
  <c r="W121" i="20"/>
  <c r="T121" i="20"/>
  <c r="Q121" i="20"/>
  <c r="N121" i="20"/>
  <c r="K121" i="20"/>
  <c r="H121" i="20"/>
  <c r="AC120" i="20"/>
  <c r="Z120" i="20"/>
  <c r="W120" i="20"/>
  <c r="T120" i="20"/>
  <c r="Q120" i="20"/>
  <c r="N120" i="20"/>
  <c r="K120" i="20"/>
  <c r="H120" i="20"/>
  <c r="AC119" i="20"/>
  <c r="Z119" i="20"/>
  <c r="W119" i="20"/>
  <c r="T119" i="20"/>
  <c r="Q119" i="20"/>
  <c r="N119" i="20"/>
  <c r="K119" i="20"/>
  <c r="H119" i="20"/>
  <c r="AC118" i="20"/>
  <c r="Z118" i="20"/>
  <c r="W118" i="20"/>
  <c r="T118" i="20"/>
  <c r="Q118" i="20"/>
  <c r="N118" i="20"/>
  <c r="K118" i="20"/>
  <c r="H118" i="20"/>
  <c r="AC117" i="20"/>
  <c r="Z117" i="20"/>
  <c r="W117" i="20"/>
  <c r="T117" i="20"/>
  <c r="Q117" i="20"/>
  <c r="N117" i="20"/>
  <c r="K117" i="20"/>
  <c r="H117" i="20"/>
  <c r="AC116" i="20"/>
  <c r="Z116" i="20"/>
  <c r="W116" i="20"/>
  <c r="T116" i="20"/>
  <c r="Q116" i="20"/>
  <c r="N116" i="20"/>
  <c r="K116" i="20"/>
  <c r="H116" i="20"/>
  <c r="AC115" i="20"/>
  <c r="Z115" i="20"/>
  <c r="W115" i="20"/>
  <c r="T115" i="20"/>
  <c r="Q115" i="20"/>
  <c r="N115" i="20"/>
  <c r="K115" i="20"/>
  <c r="H115" i="20"/>
  <c r="AC114" i="20"/>
  <c r="Z114" i="20"/>
  <c r="W114" i="20"/>
  <c r="T114" i="20"/>
  <c r="Q114" i="20"/>
  <c r="N114" i="20"/>
  <c r="K114" i="20"/>
  <c r="H114" i="20"/>
  <c r="AC113" i="20"/>
  <c r="Z113" i="20"/>
  <c r="W113" i="20"/>
  <c r="T113" i="20"/>
  <c r="Q113" i="20"/>
  <c r="N113" i="20"/>
  <c r="K113" i="20"/>
  <c r="H113" i="20"/>
  <c r="AC112" i="20"/>
  <c r="Z112" i="20"/>
  <c r="W112" i="20"/>
  <c r="T112" i="20"/>
  <c r="Q112" i="20"/>
  <c r="N112" i="20"/>
  <c r="K112" i="20"/>
  <c r="H112" i="20"/>
  <c r="AC111" i="20"/>
  <c r="Z111" i="20"/>
  <c r="W111" i="20"/>
  <c r="T111" i="20"/>
  <c r="Q111" i="20"/>
  <c r="N111" i="20"/>
  <c r="K111" i="20"/>
  <c r="H111" i="20"/>
  <c r="AC131" i="20"/>
  <c r="Z131" i="20"/>
  <c r="W131" i="20"/>
  <c r="T131" i="20"/>
  <c r="Q131" i="20"/>
  <c r="N131" i="20"/>
  <c r="K131" i="20"/>
  <c r="H131" i="20"/>
  <c r="AC130" i="20"/>
  <c r="Z130" i="20"/>
  <c r="W130" i="20"/>
  <c r="T130" i="20"/>
  <c r="Q130" i="20"/>
  <c r="N130" i="20"/>
  <c r="K130" i="20"/>
  <c r="H130" i="20"/>
  <c r="AC129" i="20"/>
  <c r="Z129" i="20"/>
  <c r="W129" i="20"/>
  <c r="T129" i="20"/>
  <c r="Q129" i="20"/>
  <c r="N129" i="20"/>
  <c r="K129" i="20"/>
  <c r="H129" i="20"/>
  <c r="AC110" i="20"/>
  <c r="Z110" i="20"/>
  <c r="W110" i="20"/>
  <c r="T110" i="20"/>
  <c r="Q110" i="20"/>
  <c r="N110" i="20"/>
  <c r="K110" i="20"/>
  <c r="H110" i="20"/>
  <c r="AC109" i="20"/>
  <c r="Z109" i="20"/>
  <c r="W109" i="20"/>
  <c r="T109" i="20"/>
  <c r="Q109" i="20"/>
  <c r="N109" i="20"/>
  <c r="K109" i="20"/>
  <c r="H109" i="20"/>
  <c r="AC107" i="20"/>
  <c r="Z107" i="20"/>
  <c r="W107" i="20"/>
  <c r="T107" i="20"/>
  <c r="Q107" i="20"/>
  <c r="N107" i="20"/>
  <c r="K107" i="20"/>
  <c r="H107" i="20"/>
  <c r="AC106" i="20"/>
  <c r="Z106" i="20"/>
  <c r="W106" i="20"/>
  <c r="T106" i="20"/>
  <c r="Q106" i="20"/>
  <c r="N106" i="20"/>
  <c r="K106" i="20"/>
  <c r="H106" i="20"/>
  <c r="AC105" i="20"/>
  <c r="Z105" i="20"/>
  <c r="W105" i="20"/>
  <c r="T105" i="20"/>
  <c r="Q105" i="20"/>
  <c r="N105" i="20"/>
  <c r="K105" i="20"/>
  <c r="H105" i="20"/>
  <c r="AC104" i="20"/>
  <c r="Z104" i="20"/>
  <c r="W104" i="20"/>
  <c r="T104" i="20"/>
  <c r="Q104" i="20"/>
  <c r="N104" i="20"/>
  <c r="K104" i="20"/>
  <c r="H104" i="20"/>
  <c r="AC103" i="20"/>
  <c r="Z103" i="20"/>
  <c r="W103" i="20"/>
  <c r="T103" i="20"/>
  <c r="Q103" i="20"/>
  <c r="N103" i="20"/>
  <c r="K103" i="20"/>
  <c r="H103" i="20"/>
  <c r="AC102" i="20"/>
  <c r="Z102" i="20"/>
  <c r="W102" i="20"/>
  <c r="T102" i="20"/>
  <c r="Q102" i="20"/>
  <c r="N102" i="20"/>
  <c r="K102" i="20"/>
  <c r="H102" i="20"/>
  <c r="AC101" i="20"/>
  <c r="Z101" i="20"/>
  <c r="W101" i="20"/>
  <c r="T101" i="20"/>
  <c r="Q101" i="20"/>
  <c r="N101" i="20"/>
  <c r="K101" i="20"/>
  <c r="H101" i="20"/>
  <c r="H59" i="20"/>
  <c r="K59" i="20"/>
  <c r="N59" i="20"/>
  <c r="Q59" i="20"/>
  <c r="T59" i="20"/>
  <c r="W59" i="20"/>
  <c r="Z59" i="20"/>
  <c r="AC59" i="20"/>
  <c r="H60" i="20"/>
  <c r="K60" i="20"/>
  <c r="N60" i="20"/>
  <c r="Q60" i="20"/>
  <c r="T60" i="20"/>
  <c r="W60" i="20"/>
  <c r="Z60" i="20"/>
  <c r="AC60" i="20"/>
  <c r="H61" i="20"/>
  <c r="K61" i="20"/>
  <c r="N61" i="20"/>
  <c r="Q61" i="20"/>
  <c r="T61" i="20"/>
  <c r="W61" i="20"/>
  <c r="Z61" i="20"/>
  <c r="AC61" i="20"/>
  <c r="H62" i="20"/>
  <c r="K62" i="20"/>
  <c r="N62" i="20"/>
  <c r="Q62" i="20"/>
  <c r="T62" i="20"/>
  <c r="W62" i="20"/>
  <c r="Z62" i="20"/>
  <c r="AC62" i="20"/>
  <c r="H63" i="20"/>
  <c r="K63" i="20"/>
  <c r="N63" i="20"/>
  <c r="Q63" i="20"/>
  <c r="T63" i="20"/>
  <c r="W63" i="20"/>
  <c r="Z63" i="20"/>
  <c r="AC63" i="20"/>
  <c r="H64" i="20"/>
  <c r="K64" i="20"/>
  <c r="N64" i="20"/>
  <c r="Q64" i="20"/>
  <c r="T64" i="20"/>
  <c r="W64" i="20"/>
  <c r="Z64" i="20"/>
  <c r="AC64" i="20"/>
  <c r="H65" i="20"/>
  <c r="K65" i="20"/>
  <c r="N65" i="20"/>
  <c r="Q65" i="20"/>
  <c r="T65" i="20"/>
  <c r="W65" i="20"/>
  <c r="Z65" i="20"/>
  <c r="AC65" i="20"/>
  <c r="H66" i="20"/>
  <c r="K66" i="20"/>
  <c r="N66" i="20"/>
  <c r="Q66" i="20"/>
  <c r="T66" i="20"/>
  <c r="W66" i="20"/>
  <c r="Z66" i="20"/>
  <c r="AC66" i="20"/>
  <c r="H67" i="20"/>
  <c r="K67" i="20"/>
  <c r="N67" i="20"/>
  <c r="Q67" i="20"/>
  <c r="T67" i="20"/>
  <c r="W67" i="20"/>
  <c r="Z67" i="20"/>
  <c r="AC67" i="20"/>
  <c r="H68" i="20"/>
  <c r="K68" i="20"/>
  <c r="N68" i="20"/>
  <c r="Q68" i="20"/>
  <c r="T68" i="20"/>
  <c r="W68" i="20"/>
  <c r="Z68" i="20"/>
  <c r="AC68" i="20"/>
  <c r="H69" i="20"/>
  <c r="K69" i="20"/>
  <c r="N69" i="20"/>
  <c r="Q69" i="20"/>
  <c r="T69" i="20"/>
  <c r="W69" i="20"/>
  <c r="Z69" i="20"/>
  <c r="AC69" i="20"/>
  <c r="H70" i="20"/>
  <c r="K70" i="20"/>
  <c r="N70" i="20"/>
  <c r="Q70" i="20"/>
  <c r="T70" i="20"/>
  <c r="W70" i="20"/>
  <c r="Z70" i="20"/>
  <c r="AC70" i="20"/>
  <c r="H71" i="20"/>
  <c r="K71" i="20"/>
  <c r="N71" i="20"/>
  <c r="Q71" i="20"/>
  <c r="T71" i="20"/>
  <c r="W71" i="20"/>
  <c r="Z71" i="20"/>
  <c r="AC71" i="20"/>
  <c r="H72" i="20"/>
  <c r="K72" i="20"/>
  <c r="N72" i="20"/>
  <c r="Q72" i="20"/>
  <c r="T72" i="20"/>
  <c r="W72" i="20"/>
  <c r="Z72" i="20"/>
  <c r="AC72" i="20"/>
  <c r="H77" i="20"/>
  <c r="K77" i="20"/>
  <c r="N77" i="20"/>
  <c r="Q77" i="20"/>
  <c r="T77" i="20"/>
  <c r="W77" i="20"/>
  <c r="Z77" i="20"/>
  <c r="AC77" i="20"/>
  <c r="H78" i="20"/>
  <c r="K78" i="20"/>
  <c r="N78" i="20"/>
  <c r="Q78" i="20"/>
  <c r="T78" i="20"/>
  <c r="W78" i="20"/>
  <c r="Z78" i="20"/>
  <c r="AC78" i="20"/>
  <c r="N56" i="96"/>
  <c r="H54" i="20"/>
  <c r="K54" i="20"/>
  <c r="N54" i="20"/>
  <c r="Q54" i="20"/>
  <c r="T54" i="20"/>
  <c r="W54" i="20"/>
  <c r="Z54" i="20"/>
  <c r="AC54" i="20"/>
  <c r="H55" i="20"/>
  <c r="K55" i="20"/>
  <c r="N55" i="20"/>
  <c r="Q55" i="20"/>
  <c r="T55" i="20"/>
  <c r="W55" i="20"/>
  <c r="Z55" i="20"/>
  <c r="AC55" i="20"/>
  <c r="H56" i="20"/>
  <c r="K56" i="20"/>
  <c r="N56" i="20"/>
  <c r="Q56" i="20"/>
  <c r="T56" i="20"/>
  <c r="W56" i="20"/>
  <c r="Z56" i="20"/>
  <c r="AC56" i="20"/>
  <c r="H57" i="20"/>
  <c r="K57" i="20"/>
  <c r="N57" i="20"/>
  <c r="Q57" i="20"/>
  <c r="T57" i="20"/>
  <c r="W57" i="20"/>
  <c r="Z57" i="20"/>
  <c r="AC57" i="20"/>
  <c r="H58" i="20"/>
  <c r="K58" i="20"/>
  <c r="N58" i="20"/>
  <c r="Q58" i="20"/>
  <c r="T58" i="20"/>
  <c r="W58" i="20"/>
  <c r="Z58" i="20"/>
  <c r="AC58" i="20"/>
  <c r="O1" i="96"/>
  <c r="L1" i="96"/>
  <c r="I1" i="96"/>
  <c r="F1" i="96"/>
  <c r="E180" i="96"/>
  <c r="E179" i="96"/>
  <c r="E178" i="96"/>
  <c r="E177" i="96"/>
  <c r="E176" i="96"/>
  <c r="E175" i="96"/>
  <c r="E174" i="96"/>
  <c r="E170" i="96"/>
  <c r="E169" i="96"/>
  <c r="E168" i="96"/>
  <c r="E166" i="96"/>
  <c r="E165" i="96"/>
  <c r="E162" i="96"/>
  <c r="E155" i="96"/>
  <c r="E132" i="96"/>
  <c r="K83" i="96"/>
  <c r="E80" i="96"/>
  <c r="T23" i="96"/>
  <c r="S23" i="96"/>
  <c r="O23" i="96"/>
  <c r="L23" i="96"/>
  <c r="I23" i="96"/>
  <c r="F23" i="96"/>
  <c r="E180" i="95"/>
  <c r="E179" i="95"/>
  <c r="E178" i="95"/>
  <c r="E177" i="95"/>
  <c r="E176" i="95"/>
  <c r="E175" i="95"/>
  <c r="E174" i="95"/>
  <c r="E170" i="95"/>
  <c r="E169" i="95"/>
  <c r="E168" i="95"/>
  <c r="E166" i="95"/>
  <c r="E165" i="95"/>
  <c r="E162" i="95"/>
  <c r="E155" i="95"/>
  <c r="E132" i="95"/>
  <c r="E80" i="95"/>
  <c r="Z23" i="95"/>
  <c r="Y23" i="95"/>
  <c r="L23" i="95"/>
  <c r="I23" i="95"/>
  <c r="I1" i="94"/>
  <c r="F1" i="94"/>
  <c r="K154" i="94"/>
  <c r="H152" i="94"/>
  <c r="K146" i="94"/>
  <c r="E180" i="94"/>
  <c r="E179" i="94"/>
  <c r="E178" i="94"/>
  <c r="E177" i="94"/>
  <c r="E176" i="94"/>
  <c r="E175" i="94"/>
  <c r="E174" i="94"/>
  <c r="E170" i="94"/>
  <c r="E169" i="94"/>
  <c r="E168" i="94"/>
  <c r="E166" i="94"/>
  <c r="E165" i="94"/>
  <c r="E162" i="94"/>
  <c r="E155" i="94"/>
  <c r="E132" i="94"/>
  <c r="E80" i="94"/>
  <c r="N23" i="94"/>
  <c r="M23" i="94"/>
  <c r="J23" i="94"/>
  <c r="I23" i="94"/>
  <c r="G23" i="94"/>
  <c r="F23" i="94"/>
  <c r="AA1" i="20"/>
  <c r="AC154" i="20"/>
  <c r="AC153" i="20"/>
  <c r="AC152" i="20"/>
  <c r="AC151" i="20"/>
  <c r="AC150" i="20"/>
  <c r="AC149" i="20"/>
  <c r="AC148" i="20"/>
  <c r="AC147" i="20"/>
  <c r="AC146" i="20"/>
  <c r="AC145" i="20"/>
  <c r="AC144" i="20"/>
  <c r="AC143" i="20"/>
  <c r="AC142" i="20"/>
  <c r="AC140" i="20"/>
  <c r="AC139" i="20"/>
  <c r="AC138" i="20"/>
  <c r="AC135" i="20"/>
  <c r="AC100" i="20"/>
  <c r="AC99" i="20"/>
  <c r="AC98" i="20"/>
  <c r="AC96" i="20"/>
  <c r="AC95" i="20"/>
  <c r="AC94" i="20"/>
  <c r="AC93" i="20"/>
  <c r="AC92" i="20"/>
  <c r="AC90" i="20"/>
  <c r="AC89" i="20"/>
  <c r="AC88" i="20"/>
  <c r="AC87" i="20"/>
  <c r="AC86" i="20"/>
  <c r="AC85" i="20"/>
  <c r="AC84" i="20"/>
  <c r="AC83" i="20"/>
  <c r="AC79" i="20"/>
  <c r="AC53" i="20"/>
  <c r="AC52" i="20"/>
  <c r="AC51" i="20"/>
  <c r="AC50" i="20"/>
  <c r="AC49" i="20"/>
  <c r="AC48" i="20"/>
  <c r="AC47" i="20"/>
  <c r="AC46" i="20"/>
  <c r="AC45" i="20"/>
  <c r="AC44" i="20"/>
  <c r="AC43" i="20"/>
  <c r="AC41" i="20"/>
  <c r="AC40" i="20"/>
  <c r="AC39" i="20"/>
  <c r="AC38" i="20"/>
  <c r="AC37" i="20"/>
  <c r="AC36" i="20"/>
  <c r="AC35" i="20"/>
  <c r="AC34" i="20"/>
  <c r="AC33" i="20"/>
  <c r="AC32" i="20"/>
  <c r="AC30" i="20"/>
  <c r="AC28" i="20"/>
  <c r="AC26" i="20"/>
  <c r="AB23" i="20"/>
  <c r="AA23" i="20"/>
  <c r="U1" i="20"/>
  <c r="R1" i="20"/>
  <c r="O1" i="20"/>
  <c r="Q154" i="20"/>
  <c r="Q153" i="20"/>
  <c r="Q152" i="20"/>
  <c r="Q151" i="20"/>
  <c r="Q150" i="20"/>
  <c r="Q149" i="20"/>
  <c r="Q148" i="20"/>
  <c r="Q147" i="20"/>
  <c r="Q146" i="20"/>
  <c r="Q145" i="20"/>
  <c r="Q144" i="20"/>
  <c r="Q143" i="20"/>
  <c r="Q142" i="20"/>
  <c r="Q135" i="20"/>
  <c r="Q100" i="20"/>
  <c r="Q99" i="20"/>
  <c r="Q98" i="20"/>
  <c r="Q96" i="20"/>
  <c r="Q95" i="20"/>
  <c r="Q94" i="20"/>
  <c r="Q93" i="20"/>
  <c r="Q92" i="20"/>
  <c r="Q90" i="20"/>
  <c r="Q89" i="20"/>
  <c r="Q88" i="20"/>
  <c r="Q87" i="20"/>
  <c r="Q86" i="20"/>
  <c r="Q85" i="20"/>
  <c r="Q84" i="20"/>
  <c r="Q83" i="20"/>
  <c r="Q79" i="20"/>
  <c r="Q53" i="20"/>
  <c r="Q52" i="20"/>
  <c r="Q51" i="20"/>
  <c r="Q50" i="20"/>
  <c r="Q49" i="20"/>
  <c r="Q48" i="20"/>
  <c r="Q47" i="20"/>
  <c r="Q46" i="20"/>
  <c r="Q45" i="20"/>
  <c r="Q44" i="20"/>
  <c r="Q43" i="20"/>
  <c r="Q41" i="20"/>
  <c r="Q40" i="20"/>
  <c r="Q39" i="20"/>
  <c r="Q38" i="20"/>
  <c r="Q37" i="20"/>
  <c r="Q36" i="20"/>
  <c r="Q35" i="20"/>
  <c r="Q34" i="20"/>
  <c r="Q33" i="20"/>
  <c r="Q32" i="20"/>
  <c r="Q30" i="20"/>
  <c r="Q28" i="20"/>
  <c r="Q26" i="20"/>
  <c r="P23" i="20"/>
  <c r="O23" i="20"/>
  <c r="T154" i="20"/>
  <c r="T153" i="20"/>
  <c r="T152" i="20"/>
  <c r="T151" i="20"/>
  <c r="T150" i="20"/>
  <c r="T149" i="20"/>
  <c r="T148" i="20"/>
  <c r="T147" i="20"/>
  <c r="T146" i="20"/>
  <c r="T145" i="20"/>
  <c r="T144" i="20"/>
  <c r="T143" i="20"/>
  <c r="T142" i="20"/>
  <c r="T140" i="20"/>
  <c r="T139" i="20"/>
  <c r="T138" i="20"/>
  <c r="T135" i="20"/>
  <c r="T100" i="20"/>
  <c r="T99" i="20"/>
  <c r="T98" i="20"/>
  <c r="T96" i="20"/>
  <c r="T95" i="20"/>
  <c r="T94" i="20"/>
  <c r="T93" i="20"/>
  <c r="T92" i="20"/>
  <c r="T90" i="20"/>
  <c r="T89" i="20"/>
  <c r="T88" i="20"/>
  <c r="T87" i="20"/>
  <c r="T86" i="20"/>
  <c r="T85" i="20"/>
  <c r="T84" i="20"/>
  <c r="T83" i="20"/>
  <c r="T79" i="20"/>
  <c r="T53" i="20"/>
  <c r="T52" i="20"/>
  <c r="T51" i="20"/>
  <c r="T50" i="20"/>
  <c r="T49" i="20"/>
  <c r="T48" i="20"/>
  <c r="T47" i="20"/>
  <c r="T46" i="20"/>
  <c r="T45" i="20"/>
  <c r="T44" i="20"/>
  <c r="T43" i="20"/>
  <c r="T41" i="20"/>
  <c r="T40" i="20"/>
  <c r="T39" i="20"/>
  <c r="T38" i="20"/>
  <c r="T37" i="20"/>
  <c r="T36" i="20"/>
  <c r="T35" i="20"/>
  <c r="T34" i="20"/>
  <c r="T33" i="20"/>
  <c r="T32" i="20"/>
  <c r="T30" i="20"/>
  <c r="T28" i="20"/>
  <c r="T26" i="20"/>
  <c r="S23" i="20"/>
  <c r="R23" i="20"/>
  <c r="W154" i="20"/>
  <c r="W153" i="20"/>
  <c r="W152" i="20"/>
  <c r="W151" i="20"/>
  <c r="W150" i="20"/>
  <c r="W149" i="20"/>
  <c r="W148" i="20"/>
  <c r="W147" i="20"/>
  <c r="W146" i="20"/>
  <c r="W145" i="20"/>
  <c r="W144" i="20"/>
  <c r="W143" i="20"/>
  <c r="W142" i="20"/>
  <c r="W135" i="20"/>
  <c r="W100" i="20"/>
  <c r="W99" i="20"/>
  <c r="W98" i="20"/>
  <c r="W96" i="20"/>
  <c r="W95" i="20"/>
  <c r="W94" i="20"/>
  <c r="W93" i="20"/>
  <c r="W92" i="20"/>
  <c r="W90" i="20"/>
  <c r="W89" i="20"/>
  <c r="W88" i="20"/>
  <c r="W87" i="20"/>
  <c r="W86" i="20"/>
  <c r="W85" i="20"/>
  <c r="W83" i="20"/>
  <c r="W79" i="20"/>
  <c r="W53" i="20"/>
  <c r="W52" i="20"/>
  <c r="W51" i="20"/>
  <c r="W50" i="20"/>
  <c r="W49" i="20"/>
  <c r="W48" i="20"/>
  <c r="W47" i="20"/>
  <c r="W46" i="20"/>
  <c r="W45" i="20"/>
  <c r="W44" i="20"/>
  <c r="W43" i="20"/>
  <c r="W41" i="20"/>
  <c r="W40" i="20"/>
  <c r="W39" i="20"/>
  <c r="W38" i="20"/>
  <c r="W37" i="20"/>
  <c r="W36" i="20"/>
  <c r="W35" i="20"/>
  <c r="W34" i="20"/>
  <c r="W33" i="20"/>
  <c r="W32" i="20"/>
  <c r="W30" i="20"/>
  <c r="W28" i="20"/>
  <c r="W26" i="20"/>
  <c r="V23" i="20"/>
  <c r="U23" i="20"/>
  <c r="Z144" i="20"/>
  <c r="N144" i="20"/>
  <c r="K144" i="20"/>
  <c r="H144" i="20"/>
  <c r="Z145" i="20"/>
  <c r="N145" i="20"/>
  <c r="K145" i="20"/>
  <c r="H145" i="20"/>
  <c r="Z146" i="20"/>
  <c r="N146" i="20"/>
  <c r="K146" i="20"/>
  <c r="H146" i="20"/>
  <c r="Z147" i="20"/>
  <c r="N147" i="20"/>
  <c r="K147" i="20"/>
  <c r="H147" i="20"/>
  <c r="Z148" i="20"/>
  <c r="N148" i="20"/>
  <c r="K148" i="20"/>
  <c r="H148" i="20"/>
  <c r="Z149" i="20"/>
  <c r="N149" i="20"/>
  <c r="K149" i="20"/>
  <c r="H149" i="20"/>
  <c r="Z150" i="20"/>
  <c r="N150" i="20"/>
  <c r="K150" i="20"/>
  <c r="H150" i="20"/>
  <c r="Z151" i="20"/>
  <c r="N151" i="20"/>
  <c r="K151" i="20"/>
  <c r="H151" i="20"/>
  <c r="Z100" i="20"/>
  <c r="N100" i="20"/>
  <c r="K100" i="20"/>
  <c r="H100" i="20"/>
  <c r="Z99" i="20"/>
  <c r="N99" i="20"/>
  <c r="K99" i="20"/>
  <c r="H99" i="20"/>
  <c r="Z98" i="20"/>
  <c r="N98" i="20"/>
  <c r="K98" i="20"/>
  <c r="H98" i="20"/>
  <c r="Z96" i="20"/>
  <c r="N96" i="20"/>
  <c r="K96" i="20"/>
  <c r="H96" i="20"/>
  <c r="Z92" i="20"/>
  <c r="N92" i="20"/>
  <c r="K92" i="20"/>
  <c r="H92" i="20"/>
  <c r="Z93" i="20"/>
  <c r="N93" i="20"/>
  <c r="K93" i="20"/>
  <c r="H93" i="20"/>
  <c r="Z94" i="20"/>
  <c r="N94" i="20"/>
  <c r="K94" i="20"/>
  <c r="H94" i="20"/>
  <c r="Z95" i="20"/>
  <c r="N95" i="20"/>
  <c r="K95" i="20"/>
  <c r="H95" i="20"/>
  <c r="Z46" i="20"/>
  <c r="N46" i="20"/>
  <c r="K46" i="20"/>
  <c r="H46" i="20"/>
  <c r="Z45" i="20"/>
  <c r="N45" i="20"/>
  <c r="K45" i="20"/>
  <c r="H45" i="20"/>
  <c r="Z44" i="20"/>
  <c r="N44" i="20"/>
  <c r="K44" i="20"/>
  <c r="H44" i="20"/>
  <c r="Z49" i="20"/>
  <c r="N49" i="20"/>
  <c r="K49" i="20"/>
  <c r="H49" i="20"/>
  <c r="Z48" i="20"/>
  <c r="N48" i="20"/>
  <c r="K48" i="20"/>
  <c r="H48" i="20"/>
  <c r="Z47" i="20"/>
  <c r="N47" i="20"/>
  <c r="K47" i="20"/>
  <c r="H47" i="20"/>
  <c r="Z52" i="20"/>
  <c r="N52" i="20"/>
  <c r="K52" i="20"/>
  <c r="H52" i="20"/>
  <c r="Z51" i="20"/>
  <c r="N51" i="20"/>
  <c r="K51" i="20"/>
  <c r="H51" i="20"/>
  <c r="Z50" i="20"/>
  <c r="N50" i="20"/>
  <c r="K50" i="20"/>
  <c r="H50" i="20"/>
  <c r="Z36" i="20"/>
  <c r="N36" i="20"/>
  <c r="K36" i="20"/>
  <c r="H36" i="20"/>
  <c r="Z37" i="20"/>
  <c r="N37" i="20"/>
  <c r="K37" i="20"/>
  <c r="H37" i="20"/>
  <c r="Z38" i="20"/>
  <c r="N38" i="20"/>
  <c r="K38" i="20"/>
  <c r="H38" i="20"/>
  <c r="Z39" i="20"/>
  <c r="N39" i="20"/>
  <c r="K39" i="20"/>
  <c r="H39" i="20"/>
  <c r="Z40" i="20"/>
  <c r="N40" i="20"/>
  <c r="K40" i="20"/>
  <c r="H40" i="20"/>
  <c r="Z41" i="20"/>
  <c r="N41" i="20"/>
  <c r="K41" i="20"/>
  <c r="H41" i="20"/>
  <c r="Z43" i="20"/>
  <c r="N43" i="20"/>
  <c r="K43" i="20"/>
  <c r="H43" i="20"/>
  <c r="Z53" i="20"/>
  <c r="N53" i="20"/>
  <c r="K53" i="20"/>
  <c r="H53" i="20"/>
  <c r="Z79" i="20"/>
  <c r="N79" i="20"/>
  <c r="K79" i="20"/>
  <c r="H79" i="20"/>
  <c r="C14" i="20"/>
  <c r="C14" i="102" s="1"/>
  <c r="C15" i="20"/>
  <c r="C15" i="102" s="1"/>
  <c r="C16" i="20"/>
  <c r="C16" i="102" s="1"/>
  <c r="C21" i="96"/>
  <c r="C22" i="96"/>
  <c r="B22" i="94"/>
  <c r="B14" i="20"/>
  <c r="B14" i="102" s="1"/>
  <c r="B15" i="20"/>
  <c r="B15" i="102" s="1"/>
  <c r="B16" i="20"/>
  <c r="B16" i="102" s="1"/>
  <c r="B21" i="95"/>
  <c r="J23" i="20"/>
  <c r="I23" i="20"/>
  <c r="Y23" i="20"/>
  <c r="X23" i="20"/>
  <c r="M23" i="20"/>
  <c r="L23" i="20"/>
  <c r="T91" i="20"/>
  <c r="L2" i="96" l="1"/>
  <c r="N3" i="96"/>
  <c r="M3" i="96"/>
  <c r="K3" i="94"/>
  <c r="J3" i="94"/>
  <c r="I2" i="94"/>
  <c r="Q3" i="96"/>
  <c r="P23" i="96" s="1"/>
  <c r="O2" i="96"/>
  <c r="P3" i="96"/>
  <c r="R2" i="20"/>
  <c r="S3" i="20"/>
  <c r="T3" i="20"/>
  <c r="F2" i="94"/>
  <c r="H3" i="94"/>
  <c r="G3" i="94"/>
  <c r="U2" i="20"/>
  <c r="W3" i="20"/>
  <c r="V3" i="20"/>
  <c r="AC3" i="20"/>
  <c r="AB3" i="20"/>
  <c r="AA2" i="20"/>
  <c r="G3" i="96"/>
  <c r="F2" i="96"/>
  <c r="H3" i="96"/>
  <c r="O2" i="20"/>
  <c r="Q3" i="20"/>
  <c r="P3" i="20"/>
  <c r="I2" i="96"/>
  <c r="K3" i="96"/>
  <c r="J23" i="96" s="1"/>
  <c r="J3" i="96"/>
  <c r="K138" i="94"/>
  <c r="K140" i="94"/>
  <c r="H73" i="96"/>
  <c r="H97" i="96"/>
  <c r="Q97" i="96"/>
  <c r="Q74" i="96"/>
  <c r="Q73" i="96"/>
  <c r="W27" i="95"/>
  <c r="T27" i="95"/>
  <c r="W29" i="95"/>
  <c r="T29" i="95"/>
  <c r="W31" i="95"/>
  <c r="T31" i="95"/>
  <c r="W33" i="95"/>
  <c r="T33" i="95"/>
  <c r="W35" i="95"/>
  <c r="T35" i="95"/>
  <c r="W37" i="95"/>
  <c r="T37" i="95"/>
  <c r="W39" i="95"/>
  <c r="T39" i="95"/>
  <c r="W41" i="95"/>
  <c r="T41" i="95"/>
  <c r="W43" i="95"/>
  <c r="T43" i="95"/>
  <c r="W45" i="95"/>
  <c r="T45" i="95"/>
  <c r="W47" i="95"/>
  <c r="T47" i="95"/>
  <c r="W49" i="95"/>
  <c r="T49" i="95"/>
  <c r="W51" i="95"/>
  <c r="T51" i="95"/>
  <c r="W53" i="95"/>
  <c r="T53" i="95"/>
  <c r="W55" i="95"/>
  <c r="T55" i="95"/>
  <c r="W57" i="95"/>
  <c r="T57" i="95"/>
  <c r="W59" i="95"/>
  <c r="T59" i="95"/>
  <c r="W61" i="95"/>
  <c r="T61" i="95"/>
  <c r="W63" i="95"/>
  <c r="T63" i="95"/>
  <c r="W65" i="95"/>
  <c r="T65" i="95"/>
  <c r="W67" i="95"/>
  <c r="T67" i="95"/>
  <c r="W69" i="95"/>
  <c r="T69" i="95"/>
  <c r="W71" i="95"/>
  <c r="T71" i="95"/>
  <c r="W77" i="95"/>
  <c r="T77" i="95"/>
  <c r="W79" i="95"/>
  <c r="T79" i="95"/>
  <c r="W83" i="95"/>
  <c r="T83" i="95"/>
  <c r="W85" i="95"/>
  <c r="T85" i="95"/>
  <c r="W87" i="95"/>
  <c r="T87" i="95"/>
  <c r="W89" i="95"/>
  <c r="T89" i="95"/>
  <c r="W91" i="95"/>
  <c r="T91" i="95"/>
  <c r="W93" i="95"/>
  <c r="T93" i="95"/>
  <c r="W95" i="95"/>
  <c r="T95" i="95"/>
  <c r="W98" i="95"/>
  <c r="T98" i="95"/>
  <c r="W100" i="95"/>
  <c r="T100" i="95"/>
  <c r="W102" i="95"/>
  <c r="T102" i="95"/>
  <c r="W104" i="95"/>
  <c r="T104" i="95"/>
  <c r="W106" i="95"/>
  <c r="T106" i="95"/>
  <c r="W109" i="95"/>
  <c r="T109" i="95"/>
  <c r="W111" i="95"/>
  <c r="T111" i="95"/>
  <c r="W113" i="95"/>
  <c r="T113" i="95"/>
  <c r="W115" i="95"/>
  <c r="T115" i="95"/>
  <c r="W117" i="95"/>
  <c r="T117" i="95"/>
  <c r="W119" i="95"/>
  <c r="T119" i="95"/>
  <c r="W121" i="95"/>
  <c r="T121" i="95"/>
  <c r="W123" i="95"/>
  <c r="T123" i="95"/>
  <c r="W125" i="95"/>
  <c r="T125" i="95"/>
  <c r="W127" i="95"/>
  <c r="T127" i="95"/>
  <c r="W129" i="95"/>
  <c r="T129" i="95"/>
  <c r="W131" i="95"/>
  <c r="T131" i="95"/>
  <c r="W143" i="95"/>
  <c r="T143" i="95"/>
  <c r="W145" i="95"/>
  <c r="T145" i="95"/>
  <c r="W147" i="95"/>
  <c r="T147" i="95"/>
  <c r="W149" i="95"/>
  <c r="T149" i="95"/>
  <c r="W151" i="95"/>
  <c r="T151" i="95"/>
  <c r="W153" i="95"/>
  <c r="T153" i="95"/>
  <c r="W139" i="95"/>
  <c r="T139" i="95"/>
  <c r="W135" i="95"/>
  <c r="T135" i="95"/>
  <c r="W26" i="95"/>
  <c r="T26" i="95"/>
  <c r="W28" i="95"/>
  <c r="T28" i="95"/>
  <c r="W30" i="95"/>
  <c r="T30" i="95"/>
  <c r="W32" i="95"/>
  <c r="T32" i="95"/>
  <c r="W34" i="95"/>
  <c r="T34" i="95"/>
  <c r="W36" i="95"/>
  <c r="T36" i="95"/>
  <c r="W38" i="95"/>
  <c r="T38" i="95"/>
  <c r="W40" i="95"/>
  <c r="T40" i="95"/>
  <c r="W44" i="95"/>
  <c r="T44" i="95"/>
  <c r="W46" i="95"/>
  <c r="T46" i="95"/>
  <c r="W48" i="95"/>
  <c r="T48" i="95"/>
  <c r="W50" i="95"/>
  <c r="T50" i="95"/>
  <c r="W52" i="95"/>
  <c r="T52" i="95"/>
  <c r="W54" i="95"/>
  <c r="T54" i="95"/>
  <c r="W56" i="95"/>
  <c r="T56" i="95"/>
  <c r="W58" i="95"/>
  <c r="T58" i="95"/>
  <c r="W60" i="95"/>
  <c r="T60" i="95"/>
  <c r="W62" i="95"/>
  <c r="T62" i="95"/>
  <c r="W64" i="95"/>
  <c r="T64" i="95"/>
  <c r="W66" i="95"/>
  <c r="T66" i="95"/>
  <c r="W68" i="95"/>
  <c r="T68" i="95"/>
  <c r="W70" i="95"/>
  <c r="T70" i="95"/>
  <c r="W72" i="95"/>
  <c r="T72" i="95"/>
  <c r="W78" i="95"/>
  <c r="T78" i="95"/>
  <c r="W84" i="95"/>
  <c r="T84" i="95"/>
  <c r="W86" i="95"/>
  <c r="T86" i="95"/>
  <c r="W88" i="95"/>
  <c r="T88" i="95"/>
  <c r="W90" i="95"/>
  <c r="T90" i="95"/>
  <c r="W92" i="95"/>
  <c r="T92" i="95"/>
  <c r="W94" i="95"/>
  <c r="T94" i="95"/>
  <c r="W96" i="95"/>
  <c r="T96" i="95"/>
  <c r="W99" i="95"/>
  <c r="T99" i="95"/>
  <c r="W101" i="95"/>
  <c r="T101" i="95"/>
  <c r="W103" i="95"/>
  <c r="T103" i="95"/>
  <c r="W105" i="95"/>
  <c r="T105" i="95"/>
  <c r="W107" i="95"/>
  <c r="T107" i="95"/>
  <c r="W110" i="95"/>
  <c r="T110" i="95"/>
  <c r="W112" i="95"/>
  <c r="T112" i="95"/>
  <c r="W114" i="95"/>
  <c r="T114" i="95"/>
  <c r="W116" i="95"/>
  <c r="T116" i="95"/>
  <c r="W118" i="95"/>
  <c r="T118" i="95"/>
  <c r="W120" i="95"/>
  <c r="T120" i="95"/>
  <c r="W122" i="95"/>
  <c r="T122" i="95"/>
  <c r="W124" i="95"/>
  <c r="T124" i="95"/>
  <c r="W126" i="95"/>
  <c r="T126" i="95"/>
  <c r="W128" i="95"/>
  <c r="T128" i="95"/>
  <c r="W130" i="95"/>
  <c r="T130" i="95"/>
  <c r="W142" i="95"/>
  <c r="T142" i="95"/>
  <c r="W144" i="95"/>
  <c r="T144" i="95"/>
  <c r="W146" i="95"/>
  <c r="T146" i="95"/>
  <c r="W148" i="95"/>
  <c r="T148" i="95"/>
  <c r="W150" i="95"/>
  <c r="T150" i="95"/>
  <c r="W152" i="95"/>
  <c r="T152" i="95"/>
  <c r="W154" i="95"/>
  <c r="T154" i="95"/>
  <c r="W138" i="95"/>
  <c r="T138" i="95"/>
  <c r="W140" i="95"/>
  <c r="T140" i="95"/>
  <c r="Q122" i="96"/>
  <c r="Q67" i="95"/>
  <c r="H67" i="95"/>
  <c r="Q87" i="95"/>
  <c r="H87" i="95"/>
  <c r="Q123" i="95"/>
  <c r="H123" i="95"/>
  <c r="Q139" i="95"/>
  <c r="H139" i="95"/>
  <c r="Q31" i="95"/>
  <c r="H31" i="95"/>
  <c r="Q45" i="95"/>
  <c r="H45" i="95"/>
  <c r="Q57" i="95"/>
  <c r="H57" i="95"/>
  <c r="Q69" i="95"/>
  <c r="H69" i="95"/>
  <c r="Q91" i="95"/>
  <c r="H91" i="95"/>
  <c r="Q102" i="95"/>
  <c r="H102" i="95"/>
  <c r="Q115" i="95"/>
  <c r="H115" i="95"/>
  <c r="Q131" i="95"/>
  <c r="H131" i="95"/>
  <c r="Q149" i="95"/>
  <c r="H149" i="95"/>
  <c r="Q35" i="95"/>
  <c r="H35" i="95"/>
  <c r="Q41" i="95"/>
  <c r="H41" i="95"/>
  <c r="Q49" i="95"/>
  <c r="H49" i="95"/>
  <c r="Q55" i="95"/>
  <c r="H55" i="95"/>
  <c r="Q65" i="95"/>
  <c r="H65" i="95"/>
  <c r="Q77" i="95"/>
  <c r="H77" i="95"/>
  <c r="Q85" i="95"/>
  <c r="H85" i="95"/>
  <c r="Q95" i="95"/>
  <c r="H95" i="95"/>
  <c r="Q106" i="95"/>
  <c r="H106" i="95"/>
  <c r="Q117" i="95"/>
  <c r="H117" i="95"/>
  <c r="Q129" i="95"/>
  <c r="H129" i="95"/>
  <c r="Q143" i="95"/>
  <c r="H143" i="95"/>
  <c r="Q153" i="95"/>
  <c r="H153" i="95"/>
  <c r="Q135" i="95"/>
  <c r="H135" i="95"/>
  <c r="Q33" i="95"/>
  <c r="H33" i="95"/>
  <c r="Q39" i="95"/>
  <c r="H39" i="95"/>
  <c r="Q47" i="95"/>
  <c r="H47" i="95"/>
  <c r="Q53" i="95"/>
  <c r="H53" i="95"/>
  <c r="Q61" i="95"/>
  <c r="H61" i="95"/>
  <c r="Q79" i="95"/>
  <c r="H79" i="95"/>
  <c r="Q89" i="95"/>
  <c r="H89" i="95"/>
  <c r="Q100" i="95"/>
  <c r="H100" i="95"/>
  <c r="Q109" i="95"/>
  <c r="H109" i="95"/>
  <c r="Q119" i="95"/>
  <c r="H119" i="95"/>
  <c r="Q127" i="95"/>
  <c r="H127" i="95"/>
  <c r="Q151" i="95"/>
  <c r="H151" i="95"/>
  <c r="Q26" i="95"/>
  <c r="H26" i="95"/>
  <c r="Q28" i="95"/>
  <c r="H28" i="95"/>
  <c r="Q30" i="95"/>
  <c r="H30" i="95"/>
  <c r="Q32" i="95"/>
  <c r="H32" i="95"/>
  <c r="Q34" i="95"/>
  <c r="H34" i="95"/>
  <c r="Q36" i="95"/>
  <c r="H36" i="95"/>
  <c r="Q38" i="95"/>
  <c r="H38" i="95"/>
  <c r="Q40" i="95"/>
  <c r="H40" i="95"/>
  <c r="Q44" i="95"/>
  <c r="H44" i="95"/>
  <c r="Q46" i="95"/>
  <c r="H46" i="95"/>
  <c r="Q48" i="95"/>
  <c r="H48" i="95"/>
  <c r="Q50" i="95"/>
  <c r="H50" i="95"/>
  <c r="Q52" i="95"/>
  <c r="H52" i="95"/>
  <c r="Q54" i="95"/>
  <c r="H54" i="95"/>
  <c r="Q56" i="95"/>
  <c r="H56" i="95"/>
  <c r="Q58" i="95"/>
  <c r="H58" i="95"/>
  <c r="Q60" i="95"/>
  <c r="H60" i="95"/>
  <c r="Q62" i="95"/>
  <c r="H62" i="95"/>
  <c r="Q64" i="95"/>
  <c r="H64" i="95"/>
  <c r="Q66" i="95"/>
  <c r="H66" i="95"/>
  <c r="Q68" i="95"/>
  <c r="H68" i="95"/>
  <c r="Q70" i="95"/>
  <c r="H70" i="95"/>
  <c r="Q72" i="95"/>
  <c r="H72" i="95"/>
  <c r="Q78" i="95"/>
  <c r="H78" i="95"/>
  <c r="Q84" i="95"/>
  <c r="H84" i="95"/>
  <c r="Q86" i="95"/>
  <c r="H86" i="95"/>
  <c r="Q88" i="95"/>
  <c r="H88" i="95"/>
  <c r="Q90" i="95"/>
  <c r="H90" i="95"/>
  <c r="Q92" i="95"/>
  <c r="H92" i="95"/>
  <c r="Q94" i="95"/>
  <c r="H94" i="95"/>
  <c r="Q96" i="95"/>
  <c r="H96" i="95"/>
  <c r="Q99" i="95"/>
  <c r="H99" i="95"/>
  <c r="Q101" i="95"/>
  <c r="H101" i="95"/>
  <c r="Q103" i="95"/>
  <c r="H103" i="95"/>
  <c r="Q105" i="95"/>
  <c r="H105" i="95"/>
  <c r="Q107" i="95"/>
  <c r="H107" i="95"/>
  <c r="Q110" i="95"/>
  <c r="H110" i="95"/>
  <c r="Q112" i="95"/>
  <c r="H112" i="95"/>
  <c r="Q114" i="95"/>
  <c r="H114" i="95"/>
  <c r="Q116" i="95"/>
  <c r="H116" i="95"/>
  <c r="Q118" i="95"/>
  <c r="H118" i="95"/>
  <c r="Q120" i="95"/>
  <c r="H120" i="95"/>
  <c r="Q122" i="95"/>
  <c r="H122" i="95"/>
  <c r="Q124" i="95"/>
  <c r="H124" i="95"/>
  <c r="Q126" i="95"/>
  <c r="H126" i="95"/>
  <c r="Q128" i="95"/>
  <c r="H128" i="95"/>
  <c r="Q130" i="95"/>
  <c r="H130" i="95"/>
  <c r="Q142" i="95"/>
  <c r="H142" i="95"/>
  <c r="Q144" i="95"/>
  <c r="H144" i="95"/>
  <c r="Q146" i="95"/>
  <c r="H146" i="95"/>
  <c r="Q148" i="95"/>
  <c r="H148" i="95"/>
  <c r="Q150" i="95"/>
  <c r="H150" i="95"/>
  <c r="Q152" i="95"/>
  <c r="H152" i="95"/>
  <c r="Q154" i="95"/>
  <c r="H154" i="95"/>
  <c r="Q27" i="95"/>
  <c r="H27" i="95"/>
  <c r="Q63" i="95"/>
  <c r="H63" i="95"/>
  <c r="Q83" i="95"/>
  <c r="H83" i="95"/>
  <c r="Q121" i="95"/>
  <c r="H121" i="95"/>
  <c r="Q147" i="95"/>
  <c r="H147" i="95"/>
  <c r="Q138" i="95"/>
  <c r="H138" i="95"/>
  <c r="Q140" i="95"/>
  <c r="H140" i="95"/>
  <c r="Q29" i="95"/>
  <c r="H29" i="95"/>
  <c r="Q37" i="95"/>
  <c r="H37" i="95"/>
  <c r="Q43" i="95"/>
  <c r="H43" i="95"/>
  <c r="Q51" i="95"/>
  <c r="H51" i="95"/>
  <c r="Q59" i="95"/>
  <c r="H59" i="95"/>
  <c r="Q71" i="95"/>
  <c r="H71" i="95"/>
  <c r="Q93" i="95"/>
  <c r="H93" i="95"/>
  <c r="Q98" i="95"/>
  <c r="H98" i="95"/>
  <c r="Q104" i="95"/>
  <c r="H104" i="95"/>
  <c r="Q111" i="95"/>
  <c r="H111" i="95"/>
  <c r="Q113" i="95"/>
  <c r="H113" i="95"/>
  <c r="Q125" i="95"/>
  <c r="H125" i="95"/>
  <c r="Q145" i="95"/>
  <c r="H145" i="95"/>
  <c r="N47" i="95"/>
  <c r="K135" i="95"/>
  <c r="N30" i="95"/>
  <c r="K36" i="95"/>
  <c r="K38" i="95"/>
  <c r="K40" i="95"/>
  <c r="K46" i="95"/>
  <c r="K48" i="95"/>
  <c r="N50" i="95"/>
  <c r="K52" i="95"/>
  <c r="K62" i="95"/>
  <c r="K68" i="95"/>
  <c r="K72" i="95"/>
  <c r="K78" i="95"/>
  <c r="K84" i="95"/>
  <c r="K86" i="95"/>
  <c r="K88" i="95"/>
  <c r="N90" i="95"/>
  <c r="K96" i="95"/>
  <c r="K114" i="95"/>
  <c r="K142" i="95"/>
  <c r="N69" i="95"/>
  <c r="K111" i="95"/>
  <c r="K115" i="95"/>
  <c r="K131" i="95"/>
  <c r="N95" i="95"/>
  <c r="N100" i="95"/>
  <c r="N104" i="95"/>
  <c r="N109" i="95"/>
  <c r="K123" i="95"/>
  <c r="K129" i="95"/>
  <c r="K147" i="95"/>
  <c r="H130" i="94"/>
  <c r="B14" i="94"/>
  <c r="B14" i="101"/>
  <c r="B16" i="96"/>
  <c r="B16" i="101"/>
  <c r="C14" i="95"/>
  <c r="C14" i="101"/>
  <c r="C16" i="95"/>
  <c r="C16" i="101"/>
  <c r="H26" i="96"/>
  <c r="B15" i="101"/>
  <c r="C15" i="95"/>
  <c r="C15" i="101"/>
  <c r="H138" i="94"/>
  <c r="Q114" i="96"/>
  <c r="N115" i="95"/>
  <c r="K69" i="95"/>
  <c r="K78" i="96"/>
  <c r="W139" i="20"/>
  <c r="W138" i="20"/>
  <c r="W140" i="20"/>
  <c r="N69" i="96"/>
  <c r="Q123" i="96"/>
  <c r="H67" i="96"/>
  <c r="N61" i="96"/>
  <c r="Q139" i="20"/>
  <c r="Q138" i="20"/>
  <c r="Q140" i="20"/>
  <c r="N55" i="95"/>
  <c r="H59" i="96"/>
  <c r="H67" i="94"/>
  <c r="N113" i="96"/>
  <c r="W84" i="20"/>
  <c r="Q55" i="96"/>
  <c r="N63" i="95"/>
  <c r="H55" i="94"/>
  <c r="K61" i="94"/>
  <c r="N122" i="95"/>
  <c r="Q57" i="96"/>
  <c r="N55" i="96"/>
  <c r="K55" i="95"/>
  <c r="Q71" i="96"/>
  <c r="K69" i="96"/>
  <c r="Q63" i="96"/>
  <c r="K61" i="96"/>
  <c r="K63" i="95"/>
  <c r="K71" i="94"/>
  <c r="H61" i="94"/>
  <c r="Q119" i="96"/>
  <c r="N57" i="96"/>
  <c r="K55" i="96"/>
  <c r="N57" i="95"/>
  <c r="Q77" i="96"/>
  <c r="N71" i="96"/>
  <c r="H69" i="96"/>
  <c r="N63" i="96"/>
  <c r="H61" i="96"/>
  <c r="N71" i="95"/>
  <c r="K65" i="94"/>
  <c r="N131" i="96"/>
  <c r="N121" i="96"/>
  <c r="K57" i="96"/>
  <c r="H55" i="96"/>
  <c r="K57" i="95"/>
  <c r="N77" i="96"/>
  <c r="K71" i="96"/>
  <c r="Q65" i="96"/>
  <c r="K63" i="96"/>
  <c r="K71" i="95"/>
  <c r="K59" i="94"/>
  <c r="N104" i="96"/>
  <c r="H131" i="96"/>
  <c r="N115" i="96"/>
  <c r="K117" i="95"/>
  <c r="H57" i="96"/>
  <c r="K57" i="94"/>
  <c r="K77" i="96"/>
  <c r="H71" i="96"/>
  <c r="N65" i="96"/>
  <c r="H63" i="96"/>
  <c r="K69" i="94"/>
  <c r="H104" i="96"/>
  <c r="H77" i="96"/>
  <c r="Q67" i="96"/>
  <c r="K65" i="96"/>
  <c r="Q59" i="96"/>
  <c r="N77" i="95"/>
  <c r="N67" i="95"/>
  <c r="N61" i="95"/>
  <c r="K63" i="94"/>
  <c r="K104" i="96"/>
  <c r="N117" i="96"/>
  <c r="N67" i="96"/>
  <c r="H65" i="96"/>
  <c r="N59" i="96"/>
  <c r="K77" i="95"/>
  <c r="K67" i="95"/>
  <c r="K61" i="95"/>
  <c r="K77" i="94"/>
  <c r="N111" i="96"/>
  <c r="N123" i="96"/>
  <c r="B15" i="94"/>
  <c r="K66" i="94"/>
  <c r="B21" i="96"/>
  <c r="K56" i="96"/>
  <c r="K56" i="94"/>
  <c r="Q101" i="96"/>
  <c r="K130" i="94"/>
  <c r="Q118" i="96"/>
  <c r="K124" i="94"/>
  <c r="N58" i="95"/>
  <c r="N68" i="95"/>
  <c r="N66" i="95"/>
  <c r="K122" i="95"/>
  <c r="H116" i="94"/>
  <c r="N56" i="95"/>
  <c r="K58" i="94"/>
  <c r="N116" i="95"/>
  <c r="K120" i="95"/>
  <c r="N128" i="95"/>
  <c r="K118" i="94"/>
  <c r="K56" i="95"/>
  <c r="H58" i="94"/>
  <c r="Q68" i="96"/>
  <c r="N72" i="95"/>
  <c r="Q126" i="96"/>
  <c r="H128" i="94"/>
  <c r="K68" i="96"/>
  <c r="N116" i="96"/>
  <c r="B22" i="95"/>
  <c r="N78" i="96"/>
  <c r="H72" i="96"/>
  <c r="H68" i="96"/>
  <c r="K109" i="94"/>
  <c r="H118" i="94"/>
  <c r="K128" i="94"/>
  <c r="H56" i="96"/>
  <c r="H78" i="96"/>
  <c r="Q66" i="96"/>
  <c r="K72" i="94"/>
  <c r="N120" i="96"/>
  <c r="H124" i="94"/>
  <c r="Q58" i="96"/>
  <c r="Q72" i="96"/>
  <c r="N66" i="96"/>
  <c r="H60" i="96"/>
  <c r="K68" i="94"/>
  <c r="B16" i="94"/>
  <c r="B14" i="96"/>
  <c r="B22" i="96"/>
  <c r="B15" i="95"/>
  <c r="N58" i="96"/>
  <c r="N72" i="96"/>
  <c r="K66" i="96"/>
  <c r="H62" i="96"/>
  <c r="N78" i="95"/>
  <c r="K78" i="94"/>
  <c r="B14" i="95"/>
  <c r="K58" i="96"/>
  <c r="K72" i="96"/>
  <c r="H66" i="96"/>
  <c r="B21" i="94"/>
  <c r="B15" i="96"/>
  <c r="B16" i="95"/>
  <c r="K101" i="96"/>
  <c r="N112" i="96"/>
  <c r="N70" i="95"/>
  <c r="K70" i="95"/>
  <c r="Q70" i="96"/>
  <c r="N70" i="96"/>
  <c r="K70" i="96"/>
  <c r="K70" i="94"/>
  <c r="Q64" i="96"/>
  <c r="N64" i="96"/>
  <c r="K64" i="96"/>
  <c r="K64" i="94"/>
  <c r="H64" i="96"/>
  <c r="H62" i="94"/>
  <c r="Q62" i="96"/>
  <c r="N62" i="96"/>
  <c r="N62" i="95"/>
  <c r="N60" i="95"/>
  <c r="K60" i="95"/>
  <c r="K60" i="94"/>
  <c r="Q60" i="96"/>
  <c r="N60" i="96"/>
  <c r="C14" i="94"/>
  <c r="C14" i="96"/>
  <c r="C15" i="94"/>
  <c r="C16" i="94"/>
  <c r="C15" i="96"/>
  <c r="C16" i="96"/>
  <c r="C21" i="95"/>
  <c r="C22" i="95"/>
  <c r="C21" i="94"/>
  <c r="C22" i="94"/>
  <c r="F23" i="20"/>
  <c r="N129" i="96"/>
  <c r="N130" i="95"/>
  <c r="K122" i="94"/>
  <c r="N114" i="95"/>
  <c r="K119" i="95"/>
  <c r="K127" i="95"/>
  <c r="H120" i="94"/>
  <c r="N119" i="95"/>
  <c r="N127" i="95"/>
  <c r="H127" i="94"/>
  <c r="K130" i="96"/>
  <c r="N131" i="95"/>
  <c r="N110" i="96"/>
  <c r="H109" i="94"/>
  <c r="N130" i="96"/>
  <c r="K118" i="95"/>
  <c r="H114" i="94"/>
  <c r="N118" i="95"/>
  <c r="K126" i="95"/>
  <c r="K114" i="94"/>
  <c r="N126" i="95"/>
  <c r="H112" i="94"/>
  <c r="H129" i="96"/>
  <c r="N120" i="95"/>
  <c r="H126" i="94"/>
  <c r="K129" i="96"/>
  <c r="K130" i="95"/>
  <c r="Q102" i="96"/>
  <c r="K116" i="95"/>
  <c r="N117" i="95"/>
  <c r="K128" i="95"/>
  <c r="Q106" i="96"/>
  <c r="N105" i="95"/>
  <c r="K107" i="95"/>
  <c r="K113" i="95"/>
  <c r="K125" i="95"/>
  <c r="H109" i="96"/>
  <c r="N107" i="95"/>
  <c r="H103" i="94"/>
  <c r="K112" i="95"/>
  <c r="N113" i="95"/>
  <c r="K124" i="95"/>
  <c r="N125" i="95"/>
  <c r="H113" i="94"/>
  <c r="H117" i="94"/>
  <c r="H121" i="94"/>
  <c r="H125" i="94"/>
  <c r="K105" i="95"/>
  <c r="N109" i="96"/>
  <c r="N112" i="95"/>
  <c r="N124" i="95"/>
  <c r="K113" i="94"/>
  <c r="K117" i="94"/>
  <c r="K121" i="94"/>
  <c r="K125" i="94"/>
  <c r="N129" i="95"/>
  <c r="H111" i="96"/>
  <c r="H112" i="96"/>
  <c r="H113" i="96"/>
  <c r="H114" i="96"/>
  <c r="H115" i="96"/>
  <c r="H116" i="96"/>
  <c r="H117" i="96"/>
  <c r="H118" i="96"/>
  <c r="H119" i="96"/>
  <c r="H120" i="96"/>
  <c r="H121" i="96"/>
  <c r="H122" i="96"/>
  <c r="H123" i="96"/>
  <c r="H124" i="96"/>
  <c r="H125" i="96"/>
  <c r="H126" i="96"/>
  <c r="H127" i="96"/>
  <c r="H128" i="96"/>
  <c r="N111" i="95"/>
  <c r="N123" i="95"/>
  <c r="Q109" i="96"/>
  <c r="H105" i="96"/>
  <c r="K101" i="95"/>
  <c r="K131" i="96"/>
  <c r="K111" i="96"/>
  <c r="K112" i="96"/>
  <c r="K113" i="96"/>
  <c r="K114" i="96"/>
  <c r="K115" i="96"/>
  <c r="K116" i="96"/>
  <c r="K117" i="96"/>
  <c r="K118" i="96"/>
  <c r="K119" i="96"/>
  <c r="K120" i="96"/>
  <c r="K121" i="96"/>
  <c r="K122" i="96"/>
  <c r="K123" i="96"/>
  <c r="K124" i="96"/>
  <c r="K125" i="96"/>
  <c r="K126" i="96"/>
  <c r="K127" i="96"/>
  <c r="K128" i="96"/>
  <c r="K121" i="95"/>
  <c r="K105" i="96"/>
  <c r="N101" i="95"/>
  <c r="H106" i="94"/>
  <c r="H130" i="96"/>
  <c r="N124" i="96"/>
  <c r="N125" i="96"/>
  <c r="N126" i="96"/>
  <c r="N127" i="96"/>
  <c r="N128" i="96"/>
  <c r="N121" i="95"/>
  <c r="H102" i="96"/>
  <c r="N105" i="96"/>
  <c r="K102" i="96"/>
  <c r="Q105" i="96"/>
  <c r="H104" i="94"/>
  <c r="H111" i="94"/>
  <c r="H115" i="94"/>
  <c r="H119" i="94"/>
  <c r="H123" i="94"/>
  <c r="H102" i="94"/>
  <c r="K110" i="94"/>
  <c r="N106" i="96"/>
  <c r="H110" i="96"/>
  <c r="K104" i="95"/>
  <c r="K110" i="95"/>
  <c r="H103" i="96"/>
  <c r="N110" i="95"/>
  <c r="H129" i="94"/>
  <c r="K103" i="96"/>
  <c r="Q110" i="96"/>
  <c r="N106" i="95"/>
  <c r="K102" i="94"/>
  <c r="K106" i="94"/>
  <c r="N103" i="96"/>
  <c r="H101" i="96"/>
  <c r="H107" i="96"/>
  <c r="K107" i="96"/>
  <c r="N101" i="96"/>
  <c r="H106" i="96"/>
  <c r="N107" i="96"/>
  <c r="H107" i="94"/>
  <c r="H131" i="94"/>
  <c r="K101" i="94"/>
  <c r="K105" i="94"/>
  <c r="K107" i="94"/>
  <c r="K106" i="95"/>
  <c r="K103" i="95"/>
  <c r="K102" i="95"/>
  <c r="N103" i="95"/>
  <c r="N102" i="95"/>
  <c r="H101" i="94"/>
  <c r="H105" i="94"/>
  <c r="H110" i="94"/>
  <c r="K54" i="96"/>
  <c r="H54" i="96"/>
  <c r="K85" i="94"/>
  <c r="H99" i="94"/>
  <c r="K143" i="94"/>
  <c r="K152" i="94"/>
  <c r="K89" i="94"/>
  <c r="H142" i="94"/>
  <c r="Q54" i="96"/>
  <c r="K54" i="94"/>
  <c r="N54" i="95"/>
  <c r="K54" i="95"/>
  <c r="N54" i="96"/>
  <c r="H146" i="94"/>
  <c r="Q48" i="96"/>
  <c r="N150" i="96"/>
  <c r="H85" i="94"/>
  <c r="K52" i="96"/>
  <c r="N100" i="96"/>
  <c r="H94" i="94"/>
  <c r="K144" i="94"/>
  <c r="Q152" i="96"/>
  <c r="H147" i="94"/>
  <c r="K147" i="94"/>
  <c r="H150" i="94"/>
  <c r="Q84" i="96"/>
  <c r="H87" i="96"/>
  <c r="N135" i="95"/>
  <c r="K135" i="94"/>
  <c r="K151" i="94"/>
  <c r="Q52" i="96"/>
  <c r="H148" i="96"/>
  <c r="N148" i="96"/>
  <c r="H88" i="94"/>
  <c r="K51" i="96"/>
  <c r="N44" i="95"/>
  <c r="N144" i="96"/>
  <c r="K47" i="95"/>
  <c r="H142" i="96"/>
  <c r="Q87" i="96"/>
  <c r="K100" i="94"/>
  <c r="N151" i="95"/>
  <c r="H150" i="96"/>
  <c r="N92" i="95"/>
  <c r="H39" i="96"/>
  <c r="Q150" i="96"/>
  <c r="Q39" i="96"/>
  <c r="H99" i="96"/>
  <c r="K90" i="94"/>
  <c r="H154" i="94"/>
  <c r="N86" i="95"/>
  <c r="K144" i="95"/>
  <c r="H96" i="96"/>
  <c r="K99" i="96"/>
  <c r="N144" i="95"/>
  <c r="Q35" i="96"/>
  <c r="N47" i="96"/>
  <c r="N83" i="96"/>
  <c r="N94" i="96"/>
  <c r="N99" i="96"/>
  <c r="Q44" i="96"/>
  <c r="N88" i="95"/>
  <c r="H43" i="96"/>
  <c r="Q47" i="96"/>
  <c r="H52" i="96"/>
  <c r="Q83" i="96"/>
  <c r="Q94" i="96"/>
  <c r="K92" i="94"/>
  <c r="K43" i="96"/>
  <c r="N91" i="96"/>
  <c r="N43" i="96"/>
  <c r="H84" i="94"/>
  <c r="N48" i="95"/>
  <c r="N147" i="95"/>
  <c r="K79" i="96"/>
  <c r="K146" i="96"/>
  <c r="H95" i="94"/>
  <c r="K87" i="95"/>
  <c r="K92" i="95"/>
  <c r="N151" i="96"/>
  <c r="K95" i="94"/>
  <c r="H139" i="94"/>
  <c r="N87" i="95"/>
  <c r="K148" i="95"/>
  <c r="AC91" i="20"/>
  <c r="AC132" i="20" s="1"/>
  <c r="AC160" i="20" s="1"/>
  <c r="K139" i="94"/>
  <c r="N152" i="95"/>
  <c r="H51" i="96"/>
  <c r="K142" i="96"/>
  <c r="Q144" i="96"/>
  <c r="H146" i="96"/>
  <c r="Q146" i="96"/>
  <c r="N53" i="96"/>
  <c r="Q41" i="96"/>
  <c r="N37" i="96"/>
  <c r="Q37" i="96"/>
  <c r="H35" i="96"/>
  <c r="K28" i="95"/>
  <c r="K30" i="95"/>
  <c r="N28" i="95"/>
  <c r="H27" i="96"/>
  <c r="K27" i="96"/>
  <c r="N27" i="96"/>
  <c r="K32" i="95"/>
  <c r="Q32" i="96"/>
  <c r="H28" i="96"/>
  <c r="H88" i="96"/>
  <c r="K28" i="96"/>
  <c r="K35" i="96"/>
  <c r="K36" i="96"/>
  <c r="H44" i="96"/>
  <c r="Q45" i="96"/>
  <c r="N51" i="96"/>
  <c r="K87" i="96"/>
  <c r="K88" i="96"/>
  <c r="N142" i="96"/>
  <c r="H152" i="96"/>
  <c r="H36" i="96"/>
  <c r="Q154" i="96"/>
  <c r="Q28" i="96"/>
  <c r="N35" i="96"/>
  <c r="Q36" i="96"/>
  <c r="K44" i="96"/>
  <c r="Q51" i="96"/>
  <c r="H79" i="96"/>
  <c r="N87" i="96"/>
  <c r="Q88" i="96"/>
  <c r="Q142" i="96"/>
  <c r="K151" i="96"/>
  <c r="N152" i="96"/>
  <c r="Q33" i="96"/>
  <c r="H40" i="96"/>
  <c r="H32" i="96"/>
  <c r="K39" i="96"/>
  <c r="K40" i="96"/>
  <c r="H47" i="96"/>
  <c r="H48" i="96"/>
  <c r="Q79" i="96"/>
  <c r="H83" i="96"/>
  <c r="H84" i="96"/>
  <c r="N85" i="96"/>
  <c r="K93" i="96"/>
  <c r="H94" i="96"/>
  <c r="K95" i="96"/>
  <c r="N96" i="96"/>
  <c r="K147" i="96"/>
  <c r="K32" i="96"/>
  <c r="Q40" i="96"/>
  <c r="K48" i="96"/>
  <c r="K84" i="96"/>
  <c r="Q96" i="96"/>
  <c r="H144" i="96"/>
  <c r="N147" i="96"/>
  <c r="Q148" i="96"/>
  <c r="H154" i="96"/>
  <c r="N32" i="95"/>
  <c r="K35" i="95"/>
  <c r="N36" i="95"/>
  <c r="K90" i="95"/>
  <c r="N148" i="95"/>
  <c r="K151" i="95"/>
  <c r="K152" i="95"/>
  <c r="K79" i="95"/>
  <c r="N39" i="95"/>
  <c r="N40" i="95"/>
  <c r="N79" i="95"/>
  <c r="K95" i="95"/>
  <c r="N96" i="95"/>
  <c r="K100" i="95"/>
  <c r="K39" i="95"/>
  <c r="K43" i="95"/>
  <c r="K83" i="95"/>
  <c r="N84" i="95"/>
  <c r="K94" i="95"/>
  <c r="K143" i="95"/>
  <c r="N43" i="95"/>
  <c r="N83" i="95"/>
  <c r="N143" i="95"/>
  <c r="E181" i="95"/>
  <c r="N52" i="95"/>
  <c r="K89" i="96"/>
  <c r="H89" i="96"/>
  <c r="Q34" i="96"/>
  <c r="N34" i="96"/>
  <c r="K34" i="96"/>
  <c r="Q90" i="96"/>
  <c r="N90" i="96"/>
  <c r="K90" i="96"/>
  <c r="K33" i="96"/>
  <c r="H33" i="96"/>
  <c r="Q38" i="96"/>
  <c r="N38" i="96"/>
  <c r="K38" i="96"/>
  <c r="Q26" i="96"/>
  <c r="N26" i="96"/>
  <c r="Q30" i="96"/>
  <c r="N30" i="96"/>
  <c r="K30" i="96"/>
  <c r="N33" i="96"/>
  <c r="H38" i="96"/>
  <c r="K53" i="96"/>
  <c r="H53" i="96"/>
  <c r="K85" i="96"/>
  <c r="H85" i="96"/>
  <c r="N89" i="96"/>
  <c r="Q143" i="96"/>
  <c r="H143" i="96"/>
  <c r="K143" i="96"/>
  <c r="K49" i="96"/>
  <c r="H49" i="96"/>
  <c r="Q98" i="96"/>
  <c r="H98" i="96"/>
  <c r="K26" i="96"/>
  <c r="K45" i="96"/>
  <c r="H45" i="96"/>
  <c r="Q50" i="96"/>
  <c r="N50" i="96"/>
  <c r="K50" i="96"/>
  <c r="Q53" i="96"/>
  <c r="Q85" i="96"/>
  <c r="H86" i="96"/>
  <c r="K92" i="96"/>
  <c r="Q92" i="96"/>
  <c r="N92" i="96"/>
  <c r="K98" i="96"/>
  <c r="Q153" i="96"/>
  <c r="N153" i="96"/>
  <c r="K153" i="96"/>
  <c r="H153" i="96"/>
  <c r="K41" i="96"/>
  <c r="H41" i="96"/>
  <c r="Q46" i="96"/>
  <c r="N46" i="96"/>
  <c r="K46" i="96"/>
  <c r="N49" i="96"/>
  <c r="N98" i="96"/>
  <c r="Q135" i="96"/>
  <c r="H135" i="96"/>
  <c r="K135" i="96"/>
  <c r="E181" i="96"/>
  <c r="Q86" i="96"/>
  <c r="N86" i="96"/>
  <c r="K86" i="96"/>
  <c r="K37" i="96"/>
  <c r="H37" i="96"/>
  <c r="N45" i="96"/>
  <c r="Q49" i="96"/>
  <c r="H50" i="96"/>
  <c r="H92" i="96"/>
  <c r="Q100" i="96"/>
  <c r="H100" i="96"/>
  <c r="N28" i="96"/>
  <c r="N32" i="96"/>
  <c r="N36" i="96"/>
  <c r="N40" i="96"/>
  <c r="N44" i="96"/>
  <c r="N48" i="96"/>
  <c r="N52" i="96"/>
  <c r="N84" i="96"/>
  <c r="N88" i="96"/>
  <c r="Q145" i="96"/>
  <c r="N145" i="96"/>
  <c r="K145" i="96"/>
  <c r="H145" i="96"/>
  <c r="Q95" i="96"/>
  <c r="Q149" i="96"/>
  <c r="N149" i="96"/>
  <c r="K149" i="96"/>
  <c r="H149" i="96"/>
  <c r="Q93" i="96"/>
  <c r="H93" i="96"/>
  <c r="H95" i="96"/>
  <c r="H147" i="96"/>
  <c r="H151" i="96"/>
  <c r="Q147" i="96"/>
  <c r="Q151" i="96"/>
  <c r="N154" i="96"/>
  <c r="K87" i="94"/>
  <c r="K98" i="94"/>
  <c r="K149" i="94"/>
  <c r="H83" i="94"/>
  <c r="K88" i="94"/>
  <c r="H93" i="94"/>
  <c r="K99" i="94"/>
  <c r="K142" i="94"/>
  <c r="H145" i="94"/>
  <c r="K150" i="94"/>
  <c r="H153" i="94"/>
  <c r="K83" i="94"/>
  <c r="H86" i="94"/>
  <c r="K93" i="94"/>
  <c r="H96" i="94"/>
  <c r="H140" i="94"/>
  <c r="K145" i="94"/>
  <c r="H148" i="94"/>
  <c r="K153" i="94"/>
  <c r="H26" i="94"/>
  <c r="H89" i="94"/>
  <c r="H100" i="94"/>
  <c r="H135" i="94"/>
  <c r="H143" i="94"/>
  <c r="H151" i="94"/>
  <c r="K26" i="95"/>
  <c r="N33" i="95"/>
  <c r="K33" i="95"/>
  <c r="N37" i="95"/>
  <c r="K37" i="95"/>
  <c r="N41" i="95"/>
  <c r="K41" i="95"/>
  <c r="K50" i="95"/>
  <c r="N153" i="95"/>
  <c r="K153" i="95"/>
  <c r="N26" i="95"/>
  <c r="N85" i="95"/>
  <c r="K85" i="95"/>
  <c r="N145" i="95"/>
  <c r="K145" i="95"/>
  <c r="N149" i="95"/>
  <c r="K149" i="95"/>
  <c r="N38" i="95"/>
  <c r="N46" i="95"/>
  <c r="N99" i="95"/>
  <c r="K99" i="95"/>
  <c r="N89" i="95"/>
  <c r="K89" i="95"/>
  <c r="K98" i="95"/>
  <c r="N53" i="95"/>
  <c r="K53" i="95"/>
  <c r="N98" i="95"/>
  <c r="N146" i="95"/>
  <c r="K146" i="95"/>
  <c r="N154" i="95"/>
  <c r="K154" i="95"/>
  <c r="N49" i="95"/>
  <c r="K49" i="95"/>
  <c r="N150" i="95"/>
  <c r="K150" i="95"/>
  <c r="K93" i="95"/>
  <c r="N35" i="95"/>
  <c r="N93" i="95"/>
  <c r="N94" i="95"/>
  <c r="N142" i="95"/>
  <c r="K26" i="94"/>
  <c r="H28" i="94"/>
  <c r="H30" i="94"/>
  <c r="H32" i="94"/>
  <c r="H33" i="94"/>
  <c r="H34" i="94"/>
  <c r="H35" i="94"/>
  <c r="H36" i="94"/>
  <c r="H37" i="94"/>
  <c r="H38" i="94"/>
  <c r="H39" i="94"/>
  <c r="H40" i="94"/>
  <c r="H41" i="94"/>
  <c r="H43" i="94"/>
  <c r="H44" i="94"/>
  <c r="H45" i="94"/>
  <c r="H46" i="94"/>
  <c r="H47" i="94"/>
  <c r="H48" i="94"/>
  <c r="H49" i="94"/>
  <c r="H50" i="94"/>
  <c r="H51" i="94"/>
  <c r="H52" i="94"/>
  <c r="H53" i="94"/>
  <c r="H79" i="94"/>
  <c r="E181" i="94"/>
  <c r="K27" i="94"/>
  <c r="H27" i="94"/>
  <c r="Q91" i="20"/>
  <c r="Q132" i="20" s="1"/>
  <c r="Q160" i="20" s="1"/>
  <c r="T132" i="20"/>
  <c r="T160" i="20" s="1"/>
  <c r="W91" i="20"/>
  <c r="E167" i="102" l="1"/>
  <c r="E171" i="102" s="1"/>
  <c r="E167" i="101"/>
  <c r="E171" i="101" s="1"/>
  <c r="E167" i="94"/>
  <c r="E171" i="94" s="1"/>
  <c r="E167" i="96"/>
  <c r="E171" i="96" s="1"/>
  <c r="E167" i="95"/>
  <c r="E171" i="95" s="1"/>
  <c r="U149" i="96"/>
  <c r="AA146" i="95"/>
  <c r="AA131" i="95"/>
  <c r="AA119" i="95"/>
  <c r="AA106" i="95"/>
  <c r="AA94" i="95"/>
  <c r="AA79" i="95"/>
  <c r="AA67" i="95"/>
  <c r="AA55" i="95"/>
  <c r="AA43" i="95"/>
  <c r="AA96" i="95"/>
  <c r="AA135" i="95"/>
  <c r="AA44" i="95"/>
  <c r="AA145" i="95"/>
  <c r="AA130" i="95"/>
  <c r="AA118" i="95"/>
  <c r="AA105" i="95"/>
  <c r="AA93" i="95"/>
  <c r="AA78" i="95"/>
  <c r="AA66" i="95"/>
  <c r="AA54" i="95"/>
  <c r="AA30" i="95"/>
  <c r="AA108" i="95"/>
  <c r="AA144" i="95"/>
  <c r="AA129" i="95"/>
  <c r="AA117" i="95"/>
  <c r="AA104" i="95"/>
  <c r="AA92" i="95"/>
  <c r="AA77" i="95"/>
  <c r="AA53" i="95"/>
  <c r="AA41" i="95"/>
  <c r="AA148" i="95"/>
  <c r="AA84" i="95"/>
  <c r="AA57" i="95"/>
  <c r="AA33" i="95"/>
  <c r="AA107" i="95"/>
  <c r="AA143" i="95"/>
  <c r="AA128" i="95"/>
  <c r="AA116" i="95"/>
  <c r="AA103" i="95"/>
  <c r="AA76" i="95"/>
  <c r="AA52" i="95"/>
  <c r="AA40" i="95"/>
  <c r="AA28" i="95"/>
  <c r="AA147" i="95"/>
  <c r="AA56" i="95"/>
  <c r="AA154" i="95"/>
  <c r="AA142" i="95"/>
  <c r="AA127" i="95"/>
  <c r="AA114" i="95"/>
  <c r="AA102" i="95"/>
  <c r="AA90" i="95"/>
  <c r="AA75" i="95"/>
  <c r="AA63" i="95"/>
  <c r="AA39" i="95"/>
  <c r="AA109" i="95"/>
  <c r="AA153" i="95"/>
  <c r="AA126" i="95"/>
  <c r="AA113" i="95"/>
  <c r="AA101" i="95"/>
  <c r="AA89" i="95"/>
  <c r="AA74" i="95"/>
  <c r="AA62" i="95"/>
  <c r="AA50" i="95"/>
  <c r="AA38" i="95"/>
  <c r="AA26" i="95"/>
  <c r="AA121" i="95"/>
  <c r="AA83" i="95"/>
  <c r="AA152" i="95"/>
  <c r="AA125" i="95"/>
  <c r="AA112" i="95"/>
  <c r="AA100" i="95"/>
  <c r="AA88" i="95"/>
  <c r="AA73" i="95"/>
  <c r="AA61" i="95"/>
  <c r="AA49" i="95"/>
  <c r="AA37" i="95"/>
  <c r="AA122" i="95"/>
  <c r="AA46" i="95"/>
  <c r="AA69" i="95"/>
  <c r="AA95" i="95"/>
  <c r="AA151" i="95"/>
  <c r="AA124" i="95"/>
  <c r="AA111" i="95"/>
  <c r="AA99" i="95"/>
  <c r="AA87" i="95"/>
  <c r="AA72" i="95"/>
  <c r="AA60" i="95"/>
  <c r="AA48" i="95"/>
  <c r="AA36" i="95"/>
  <c r="AA149" i="95"/>
  <c r="AA120" i="95"/>
  <c r="AA68" i="95"/>
  <c r="AA32" i="95"/>
  <c r="AA150" i="95"/>
  <c r="AA123" i="95"/>
  <c r="AA110" i="95"/>
  <c r="AA98" i="95"/>
  <c r="AA86" i="95"/>
  <c r="AA71" i="95"/>
  <c r="AA47" i="95"/>
  <c r="AA35" i="95"/>
  <c r="AA97" i="95"/>
  <c r="AA85" i="95"/>
  <c r="AA70" i="95"/>
  <c r="AA58" i="95"/>
  <c r="W132" i="95"/>
  <c r="W160" i="95" s="1"/>
  <c r="AA115" i="95"/>
  <c r="O148" i="94"/>
  <c r="O140" i="94"/>
  <c r="O129" i="94"/>
  <c r="O121" i="94"/>
  <c r="O113" i="94"/>
  <c r="O105" i="94"/>
  <c r="O97" i="94"/>
  <c r="O89" i="94"/>
  <c r="O78" i="94"/>
  <c r="O70" i="94"/>
  <c r="O62" i="94"/>
  <c r="O54" i="94"/>
  <c r="O46" i="94"/>
  <c r="O38" i="94"/>
  <c r="O30" i="94"/>
  <c r="O120" i="94"/>
  <c r="O96" i="94"/>
  <c r="O77" i="94"/>
  <c r="O61" i="94"/>
  <c r="O45" i="94"/>
  <c r="O114" i="94"/>
  <c r="O63" i="94"/>
  <c r="O147" i="94"/>
  <c r="O139" i="94"/>
  <c r="O128" i="94"/>
  <c r="O112" i="94"/>
  <c r="O104" i="94"/>
  <c r="O88" i="94"/>
  <c r="O69" i="94"/>
  <c r="O53" i="94"/>
  <c r="O37" i="94"/>
  <c r="O106" i="94"/>
  <c r="O55" i="94"/>
  <c r="O154" i="94"/>
  <c r="O146" i="94"/>
  <c r="O138" i="94"/>
  <c r="O127" i="94"/>
  <c r="O119" i="94"/>
  <c r="O111" i="94"/>
  <c r="O103" i="94"/>
  <c r="O95" i="94"/>
  <c r="O87" i="94"/>
  <c r="O76" i="94"/>
  <c r="O68" i="94"/>
  <c r="O60" i="94"/>
  <c r="O52" i="94"/>
  <c r="O44" i="94"/>
  <c r="O36" i="94"/>
  <c r="O28" i="94"/>
  <c r="O90" i="94"/>
  <c r="O39" i="94"/>
  <c r="O153" i="94"/>
  <c r="O145" i="94"/>
  <c r="O126" i="94"/>
  <c r="O118" i="94"/>
  <c r="O110" i="94"/>
  <c r="O102" i="94"/>
  <c r="O94" i="94"/>
  <c r="O86" i="94"/>
  <c r="O75" i="94"/>
  <c r="O67" i="94"/>
  <c r="O59" i="94"/>
  <c r="O51" i="94"/>
  <c r="O43" i="94"/>
  <c r="O35" i="94"/>
  <c r="O27" i="94"/>
  <c r="O26" i="94"/>
  <c r="O41" i="94"/>
  <c r="O152" i="94"/>
  <c r="O144" i="94"/>
  <c r="O125" i="94"/>
  <c r="O117" i="94"/>
  <c r="O109" i="94"/>
  <c r="O101" i="94"/>
  <c r="O93" i="94"/>
  <c r="O85" i="94"/>
  <c r="O74" i="94"/>
  <c r="O66" i="94"/>
  <c r="O58" i="94"/>
  <c r="O50" i="94"/>
  <c r="O34" i="94"/>
  <c r="O49" i="94"/>
  <c r="O151" i="94"/>
  <c r="O143" i="94"/>
  <c r="O135" i="94"/>
  <c r="O124" i="94"/>
  <c r="O116" i="94"/>
  <c r="O108" i="94"/>
  <c r="O100" i="94"/>
  <c r="O92" i="94"/>
  <c r="O84" i="94"/>
  <c r="O73" i="94"/>
  <c r="O65" i="94"/>
  <c r="O57" i="94"/>
  <c r="O33" i="94"/>
  <c r="O149" i="94"/>
  <c r="O130" i="94"/>
  <c r="O122" i="94"/>
  <c r="O79" i="94"/>
  <c r="O47" i="94"/>
  <c r="O150" i="94"/>
  <c r="O142" i="94"/>
  <c r="O131" i="94"/>
  <c r="O123" i="94"/>
  <c r="O115" i="94"/>
  <c r="O107" i="94"/>
  <c r="O99" i="94"/>
  <c r="O83" i="94"/>
  <c r="O72" i="94"/>
  <c r="O64" i="94"/>
  <c r="O56" i="94"/>
  <c r="O48" i="94"/>
  <c r="O40" i="94"/>
  <c r="O32" i="94"/>
  <c r="O98" i="94"/>
  <c r="O71" i="94"/>
  <c r="T132" i="95"/>
  <c r="T160" i="95" s="1"/>
  <c r="U41" i="96"/>
  <c r="U59" i="96"/>
  <c r="U32" i="96"/>
  <c r="U147" i="96"/>
  <c r="U105" i="96"/>
  <c r="U33" i="96"/>
  <c r="U123" i="96"/>
  <c r="U154" i="96"/>
  <c r="U96" i="96"/>
  <c r="U89" i="96"/>
  <c r="U57" i="96"/>
  <c r="U34" i="96"/>
  <c r="U108" i="96"/>
  <c r="U58" i="96"/>
  <c r="U27" i="96"/>
  <c r="U116" i="96"/>
  <c r="U101" i="96"/>
  <c r="U36" i="96"/>
  <c r="U47" i="96"/>
  <c r="U135" i="96"/>
  <c r="U109" i="96"/>
  <c r="U76" i="96"/>
  <c r="U90" i="96"/>
  <c r="U99" i="96"/>
  <c r="U125" i="96"/>
  <c r="U87" i="96"/>
  <c r="U69" i="96"/>
  <c r="U38" i="96"/>
  <c r="U98" i="96"/>
  <c r="U26" i="96"/>
  <c r="U107" i="96"/>
  <c r="U64" i="96"/>
  <c r="U103" i="96"/>
  <c r="U77" i="96"/>
  <c r="U78" i="96"/>
  <c r="U114" i="96"/>
  <c r="U49" i="96"/>
  <c r="U124" i="96"/>
  <c r="U115" i="96"/>
  <c r="U50" i="96"/>
  <c r="U117" i="96"/>
  <c r="U35" i="96"/>
  <c r="U28" i="96"/>
  <c r="U95" i="96"/>
  <c r="U72" i="96"/>
  <c r="U88" i="96"/>
  <c r="U83" i="96"/>
  <c r="U30" i="96"/>
  <c r="U97" i="96"/>
  <c r="U39" i="96"/>
  <c r="U106" i="96"/>
  <c r="U65" i="96"/>
  <c r="U143" i="96"/>
  <c r="U131" i="96"/>
  <c r="U66" i="96"/>
  <c r="U86" i="96"/>
  <c r="U44" i="96"/>
  <c r="U111" i="96"/>
  <c r="U43" i="96"/>
  <c r="U37" i="96"/>
  <c r="U104" i="96"/>
  <c r="U51" i="96"/>
  <c r="U46" i="96"/>
  <c r="U113" i="96"/>
  <c r="U55" i="96"/>
  <c r="U122" i="96"/>
  <c r="U73" i="96"/>
  <c r="U56" i="96"/>
  <c r="U84" i="96"/>
  <c r="U151" i="96"/>
  <c r="U142" i="96"/>
  <c r="U74" i="96"/>
  <c r="U144" i="96"/>
  <c r="U102" i="96"/>
  <c r="U52" i="96"/>
  <c r="U119" i="96"/>
  <c r="U67" i="96"/>
  <c r="U45" i="96"/>
  <c r="U112" i="96"/>
  <c r="U75" i="96"/>
  <c r="U54" i="96"/>
  <c r="U121" i="96"/>
  <c r="U63" i="96"/>
  <c r="U130" i="96"/>
  <c r="U92" i="96"/>
  <c r="U48" i="96"/>
  <c r="U150" i="96"/>
  <c r="U85" i="96"/>
  <c r="U152" i="96"/>
  <c r="U126" i="96"/>
  <c r="U60" i="96"/>
  <c r="U127" i="96"/>
  <c r="U94" i="96"/>
  <c r="U53" i="96"/>
  <c r="U120" i="96"/>
  <c r="U110" i="96"/>
  <c r="U62" i="96"/>
  <c r="U129" i="96"/>
  <c r="U71" i="96"/>
  <c r="U100" i="96"/>
  <c r="U93" i="96"/>
  <c r="U40" i="96"/>
  <c r="U145" i="96"/>
  <c r="U68" i="96"/>
  <c r="U146" i="96"/>
  <c r="U118" i="96"/>
  <c r="U61" i="96"/>
  <c r="U128" i="96"/>
  <c r="U153" i="96"/>
  <c r="U70" i="96"/>
  <c r="U148" i="96"/>
  <c r="U79" i="96"/>
  <c r="Q132" i="95"/>
  <c r="Q160" i="95" s="1"/>
  <c r="H132" i="95"/>
  <c r="H160" i="95" s="1"/>
  <c r="G23" i="96"/>
  <c r="H139" i="96" s="1"/>
  <c r="Q138" i="96"/>
  <c r="Q140" i="96"/>
  <c r="Q139" i="96"/>
  <c r="N59" i="95"/>
  <c r="N27" i="95"/>
  <c r="N51" i="95"/>
  <c r="N34" i="95"/>
  <c r="N45" i="95"/>
  <c r="N65" i="95"/>
  <c r="N64" i="95"/>
  <c r="K109" i="95"/>
  <c r="K65" i="95"/>
  <c r="K59" i="95"/>
  <c r="K27" i="95"/>
  <c r="AA27" i="95" s="1"/>
  <c r="K51" i="95"/>
  <c r="AA51" i="95" s="1"/>
  <c r="K45" i="95"/>
  <c r="AA45" i="95" s="1"/>
  <c r="K34" i="95"/>
  <c r="K64" i="95"/>
  <c r="AA64" i="95" s="1"/>
  <c r="K138" i="96"/>
  <c r="K140" i="96"/>
  <c r="K139" i="96"/>
  <c r="M23" i="96"/>
  <c r="W132" i="20"/>
  <c r="W160" i="20" s="1"/>
  <c r="E141" i="95"/>
  <c r="E141" i="96"/>
  <c r="E141" i="94"/>
  <c r="H91" i="96"/>
  <c r="H132" i="96" s="1"/>
  <c r="H160" i="96" s="1"/>
  <c r="H91" i="94"/>
  <c r="H132" i="94" s="1"/>
  <c r="H160" i="94" s="1"/>
  <c r="K91" i="95"/>
  <c r="K91" i="94"/>
  <c r="O91" i="94" s="1"/>
  <c r="N91" i="95"/>
  <c r="Q91" i="96"/>
  <c r="Q132" i="96" s="1"/>
  <c r="Q160" i="96" s="1"/>
  <c r="K91" i="96"/>
  <c r="K132" i="96" s="1"/>
  <c r="K160" i="96" s="1"/>
  <c r="N132" i="96"/>
  <c r="N160" i="96" s="1"/>
  <c r="Q141" i="20"/>
  <c r="AC141" i="20"/>
  <c r="W141" i="20"/>
  <c r="T141" i="20"/>
  <c r="C13" i="20"/>
  <c r="C12" i="20"/>
  <c r="C11" i="20"/>
  <c r="C10" i="20"/>
  <c r="C9" i="20"/>
  <c r="C8" i="20"/>
  <c r="B10" i="20"/>
  <c r="B11" i="20"/>
  <c r="B12" i="20"/>
  <c r="B13" i="20"/>
  <c r="AA59" i="95" l="1"/>
  <c r="AA34" i="95"/>
  <c r="AA65" i="95"/>
  <c r="AA91" i="95"/>
  <c r="U91" i="96"/>
  <c r="B10" i="101"/>
  <c r="B10" i="102"/>
  <c r="C8" i="101"/>
  <c r="C8" i="102"/>
  <c r="C9" i="101"/>
  <c r="C9" i="102"/>
  <c r="C10" i="101"/>
  <c r="C10" i="102"/>
  <c r="C12" i="101"/>
  <c r="C12" i="102"/>
  <c r="C13" i="101"/>
  <c r="C13" i="102"/>
  <c r="C11" i="101"/>
  <c r="C11" i="102"/>
  <c r="B13" i="101"/>
  <c r="B13" i="102"/>
  <c r="B12" i="101"/>
  <c r="B12" i="102"/>
  <c r="B11" i="101"/>
  <c r="B11" i="102"/>
  <c r="W141" i="95"/>
  <c r="T141" i="95"/>
  <c r="Q141" i="95"/>
  <c r="H141" i="95"/>
  <c r="H138" i="96"/>
  <c r="H140" i="96"/>
  <c r="J23" i="95"/>
  <c r="N139" i="96"/>
  <c r="U139" i="96" s="1"/>
  <c r="N138" i="96"/>
  <c r="N140" i="96"/>
  <c r="M23" i="95"/>
  <c r="B13" i="96"/>
  <c r="B13" i="95"/>
  <c r="B13" i="94"/>
  <c r="C12" i="96"/>
  <c r="C12" i="95"/>
  <c r="C12" i="94"/>
  <c r="B12" i="94"/>
  <c r="B12" i="96"/>
  <c r="B12" i="95"/>
  <c r="B11" i="95"/>
  <c r="B11" i="94"/>
  <c r="B11" i="96"/>
  <c r="B10" i="96"/>
  <c r="B10" i="95"/>
  <c r="B10" i="94"/>
  <c r="C8" i="95"/>
  <c r="C8" i="94"/>
  <c r="C8" i="96"/>
  <c r="C9" i="94"/>
  <c r="C9" i="96"/>
  <c r="C9" i="95"/>
  <c r="C13" i="96"/>
  <c r="C13" i="95"/>
  <c r="C13" i="94"/>
  <c r="C10" i="96"/>
  <c r="C10" i="95"/>
  <c r="C10" i="94"/>
  <c r="C11" i="95"/>
  <c r="C11" i="94"/>
  <c r="C11" i="96"/>
  <c r="K132" i="95"/>
  <c r="K160" i="95" s="1"/>
  <c r="AA132" i="95"/>
  <c r="AA160" i="95" s="1"/>
  <c r="U132" i="96"/>
  <c r="U160" i="96" s="1"/>
  <c r="K132" i="94"/>
  <c r="K160" i="94" s="1"/>
  <c r="O132" i="94"/>
  <c r="O160" i="94" s="1"/>
  <c r="N132" i="95"/>
  <c r="N160" i="95" s="1"/>
  <c r="H141" i="94"/>
  <c r="K141" i="94"/>
  <c r="Q141" i="96"/>
  <c r="H141" i="96"/>
  <c r="N141" i="96"/>
  <c r="K141" i="96"/>
  <c r="N141" i="95"/>
  <c r="K141" i="95"/>
  <c r="N154" i="20"/>
  <c r="K154" i="20"/>
  <c r="Z154" i="20"/>
  <c r="H154" i="20"/>
  <c r="N153" i="20"/>
  <c r="K153" i="20"/>
  <c r="Z153" i="20"/>
  <c r="H153" i="20"/>
  <c r="N90" i="20"/>
  <c r="K90" i="20"/>
  <c r="Z90" i="20"/>
  <c r="H90" i="20"/>
  <c r="N91" i="20"/>
  <c r="K91" i="20"/>
  <c r="Z91" i="20"/>
  <c r="H91" i="20"/>
  <c r="N34" i="20"/>
  <c r="K34" i="20"/>
  <c r="Z34" i="20"/>
  <c r="H34" i="20"/>
  <c r="N33" i="20"/>
  <c r="Z33" i="20"/>
  <c r="H33" i="20"/>
  <c r="N35" i="20"/>
  <c r="K35" i="20"/>
  <c r="Z35" i="20"/>
  <c r="H35" i="20"/>
  <c r="AA141" i="95" l="1"/>
  <c r="O141" i="94"/>
  <c r="U141" i="96"/>
  <c r="U140" i="96"/>
  <c r="U138" i="96"/>
  <c r="K139" i="95"/>
  <c r="AA139" i="95" s="1"/>
  <c r="K140" i="95"/>
  <c r="AA140" i="95" s="1"/>
  <c r="K138" i="95"/>
  <c r="AA138" i="95" s="1"/>
  <c r="N138" i="95"/>
  <c r="N140" i="95"/>
  <c r="N139" i="95"/>
  <c r="B9" i="20"/>
  <c r="B9" i="101" l="1"/>
  <c r="B9" i="102"/>
  <c r="B9" i="94"/>
  <c r="B9" i="96"/>
  <c r="B9" i="95"/>
  <c r="L1" i="20"/>
  <c r="I1" i="20"/>
  <c r="X1" i="20"/>
  <c r="F1" i="20"/>
  <c r="N3" i="20" l="1"/>
  <c r="M3" i="20"/>
  <c r="L2" i="20"/>
  <c r="Z3" i="20"/>
  <c r="AG51" i="20" s="1"/>
  <c r="I51" i="101" s="1"/>
  <c r="Y3" i="20"/>
  <c r="X2" i="20"/>
  <c r="K3" i="20"/>
  <c r="I2" i="20"/>
  <c r="J3" i="20"/>
  <c r="F2" i="20"/>
  <c r="H3" i="20"/>
  <c r="G3" i="20"/>
  <c r="AG74" i="20"/>
  <c r="I74" i="101" s="1"/>
  <c r="AG76" i="20"/>
  <c r="I76" i="101" s="1"/>
  <c r="AG118" i="20"/>
  <c r="I118" i="101" s="1"/>
  <c r="AG109" i="20"/>
  <c r="I109" i="101" s="1"/>
  <c r="AG100" i="20"/>
  <c r="I100" i="101" s="1"/>
  <c r="AG37" i="20"/>
  <c r="I37" i="101" s="1"/>
  <c r="AG124" i="20"/>
  <c r="I124" i="101" s="1"/>
  <c r="AG116" i="20"/>
  <c r="I116" i="101" s="1"/>
  <c r="AG115" i="20"/>
  <c r="I115" i="101" s="1"/>
  <c r="AG98" i="20"/>
  <c r="I98" i="101" s="1"/>
  <c r="AG90" i="20"/>
  <c r="I90" i="101" s="1"/>
  <c r="AG43" i="20"/>
  <c r="I43" i="101" s="1"/>
  <c r="AG144" i="20"/>
  <c r="I144" i="101" s="1"/>
  <c r="AG55" i="20"/>
  <c r="I55" i="101" s="1"/>
  <c r="AG47" i="20"/>
  <c r="I47" i="101" s="1"/>
  <c r="AG114" i="20"/>
  <c r="I114" i="101" s="1"/>
  <c r="AG105" i="20"/>
  <c r="I105" i="101" s="1"/>
  <c r="AG78" i="20"/>
  <c r="I78" i="101" s="1"/>
  <c r="AG129" i="20"/>
  <c r="I129" i="101" s="1"/>
  <c r="AG121" i="20"/>
  <c r="I121" i="101" s="1"/>
  <c r="AG77" i="20"/>
  <c r="I77" i="101" s="1"/>
  <c r="AG65" i="20"/>
  <c r="I65" i="101" s="1"/>
  <c r="AG49" i="20"/>
  <c r="I49" i="101" s="1"/>
  <c r="AG103" i="20"/>
  <c r="I103" i="101" s="1"/>
  <c r="AG94" i="20"/>
  <c r="I94" i="101" s="1"/>
  <c r="AG48" i="20"/>
  <c r="I48" i="101" s="1"/>
  <c r="AG40" i="20"/>
  <c r="I40" i="101" s="1"/>
  <c r="K33" i="20"/>
  <c r="AG97" i="20" l="1"/>
  <c r="I97" i="101" s="1"/>
  <c r="AG75" i="20"/>
  <c r="I75" i="101" s="1"/>
  <c r="AG120" i="20"/>
  <c r="I120" i="101" s="1"/>
  <c r="AG154" i="20"/>
  <c r="I154" i="101" s="1"/>
  <c r="AG71" i="20"/>
  <c r="I71" i="101" s="1"/>
  <c r="AG36" i="20"/>
  <c r="I36" i="101" s="1"/>
  <c r="AG125" i="20"/>
  <c r="I125" i="101" s="1"/>
  <c r="AG39" i="20"/>
  <c r="I39" i="101" s="1"/>
  <c r="AG62" i="20"/>
  <c r="I62" i="101" s="1"/>
  <c r="AG128" i="20"/>
  <c r="I128" i="101" s="1"/>
  <c r="AG93" i="20"/>
  <c r="I93" i="101" s="1"/>
  <c r="AG44" i="20"/>
  <c r="I44" i="101" s="1"/>
  <c r="AG41" i="20"/>
  <c r="I41" i="101" s="1"/>
  <c r="AG66" i="20"/>
  <c r="I66" i="101" s="1"/>
  <c r="AG127" i="20"/>
  <c r="I127" i="101" s="1"/>
  <c r="AG60" i="20"/>
  <c r="I60" i="101" s="1"/>
  <c r="AG70" i="20"/>
  <c r="I70" i="101" s="1"/>
  <c r="AG33" i="20"/>
  <c r="I33" i="101" s="1"/>
  <c r="AG112" i="20"/>
  <c r="I112" i="101" s="1"/>
  <c r="AG57" i="20"/>
  <c r="I57" i="101" s="1"/>
  <c r="AG146" i="20"/>
  <c r="I146" i="101" s="1"/>
  <c r="AG96" i="20"/>
  <c r="I96" i="101" s="1"/>
  <c r="AG63" i="20"/>
  <c r="I63" i="101" s="1"/>
  <c r="AG35" i="20"/>
  <c r="I35" i="101" s="1"/>
  <c r="AG106" i="20"/>
  <c r="I106" i="101" s="1"/>
  <c r="AG52" i="20"/>
  <c r="I52" i="101" s="1"/>
  <c r="AG149" i="20"/>
  <c r="I149" i="101" s="1"/>
  <c r="AG117" i="20"/>
  <c r="I117" i="101" s="1"/>
  <c r="AG92" i="20"/>
  <c r="I92" i="101" s="1"/>
  <c r="AG73" i="20"/>
  <c r="I73" i="101" s="1"/>
  <c r="AG56" i="20"/>
  <c r="I56" i="101" s="1"/>
  <c r="AG145" i="20"/>
  <c r="I145" i="101" s="1"/>
  <c r="AG95" i="20"/>
  <c r="I95" i="101" s="1"/>
  <c r="AG34" i="20"/>
  <c r="I34" i="101" s="1"/>
  <c r="AG122" i="20"/>
  <c r="I122" i="101" s="1"/>
  <c r="AG102" i="20"/>
  <c r="I102" i="101" s="1"/>
  <c r="AG59" i="20"/>
  <c r="I59" i="101" s="1"/>
  <c r="AG131" i="20"/>
  <c r="I131" i="101" s="1"/>
  <c r="AG91" i="20"/>
  <c r="I91" i="101" s="1"/>
  <c r="AG53" i="20"/>
  <c r="I53" i="101" s="1"/>
  <c r="AG38" i="20"/>
  <c r="I38" i="101" s="1"/>
  <c r="AG151" i="20"/>
  <c r="I151" i="101" s="1"/>
  <c r="AG123" i="20"/>
  <c r="I123" i="101" s="1"/>
  <c r="AG68" i="20"/>
  <c r="I68" i="101" s="1"/>
  <c r="AG45" i="20"/>
  <c r="I45" i="101" s="1"/>
  <c r="AG150" i="20"/>
  <c r="I150" i="101" s="1"/>
  <c r="AG126" i="20"/>
  <c r="I126" i="101" s="1"/>
  <c r="AG64" i="20"/>
  <c r="I64" i="101" s="1"/>
  <c r="AG153" i="20"/>
  <c r="I153" i="101" s="1"/>
  <c r="AG104" i="20"/>
  <c r="I104" i="101" s="1"/>
  <c r="AG50" i="20"/>
  <c r="I50" i="101" s="1"/>
  <c r="AG130" i="20"/>
  <c r="I130" i="101" s="1"/>
  <c r="AG111" i="20"/>
  <c r="I111" i="101" s="1"/>
  <c r="AG67" i="20"/>
  <c r="I67" i="101" s="1"/>
  <c r="AG148" i="20"/>
  <c r="I148" i="101" s="1"/>
  <c r="AG99" i="20"/>
  <c r="I99" i="101" s="1"/>
  <c r="AG61" i="20"/>
  <c r="I61" i="101" s="1"/>
  <c r="AG46" i="20"/>
  <c r="I46" i="101" s="1"/>
  <c r="AG108" i="20"/>
  <c r="I108" i="101" s="1"/>
  <c r="AG72" i="20"/>
  <c r="I72" i="101" s="1"/>
  <c r="AG101" i="20"/>
  <c r="I101" i="101" s="1"/>
  <c r="AG113" i="20"/>
  <c r="I113" i="101" s="1"/>
  <c r="AG58" i="20"/>
  <c r="I58" i="101" s="1"/>
  <c r="AG147" i="20"/>
  <c r="I147" i="101" s="1"/>
  <c r="AG119" i="20"/>
  <c r="I119" i="101" s="1"/>
  <c r="AG79" i="20"/>
  <c r="I79" i="101" s="1"/>
  <c r="AG110" i="20"/>
  <c r="I110" i="101" s="1"/>
  <c r="AG107" i="20"/>
  <c r="I107" i="101" s="1"/>
  <c r="AG69" i="20"/>
  <c r="I69" i="101" s="1"/>
  <c r="AG54" i="20"/>
  <c r="I54" i="101" s="1"/>
  <c r="Z86" i="20"/>
  <c r="H5" i="93"/>
  <c r="H4" i="93"/>
  <c r="H3" i="93"/>
  <c r="H24" i="93"/>
  <c r="H19" i="93"/>
  <c r="H14" i="93"/>
  <c r="H9" i="93"/>
  <c r="G72" i="92"/>
  <c r="G73" i="92"/>
  <c r="G71" i="92"/>
  <c r="G70" i="92"/>
  <c r="G80" i="92"/>
  <c r="G74" i="92"/>
  <c r="G69" i="92"/>
  <c r="G68" i="92"/>
  <c r="G67" i="92"/>
  <c r="G66" i="92"/>
  <c r="G79" i="92"/>
  <c r="G78" i="92"/>
  <c r="G77" i="92"/>
  <c r="G76" i="92"/>
  <c r="G75" i="92"/>
  <c r="G56" i="92"/>
  <c r="G55" i="92"/>
  <c r="G54" i="92"/>
  <c r="G53" i="92"/>
  <c r="G52" i="92"/>
  <c r="G51" i="92"/>
  <c r="G50" i="92"/>
  <c r="G63" i="92"/>
  <c r="G62" i="92"/>
  <c r="G61" i="92"/>
  <c r="G60" i="92"/>
  <c r="G59" i="92"/>
  <c r="G58" i="92"/>
  <c r="G57" i="92"/>
  <c r="G44" i="92"/>
  <c r="G43" i="92"/>
  <c r="G46" i="92"/>
  <c r="G45" i="92"/>
  <c r="G48" i="92"/>
  <c r="G47" i="92"/>
  <c r="G64" i="92"/>
  <c r="G49" i="92"/>
  <c r="G65" i="92"/>
  <c r="G32" i="92"/>
  <c r="G31" i="92"/>
  <c r="G30" i="92"/>
  <c r="G29" i="92"/>
  <c r="G28" i="92"/>
  <c r="G27" i="92"/>
  <c r="G38" i="92"/>
  <c r="G37" i="92"/>
  <c r="G36" i="92"/>
  <c r="G35" i="92"/>
  <c r="G34" i="92"/>
  <c r="G33" i="92"/>
  <c r="G81" i="92"/>
  <c r="G42" i="92"/>
  <c r="G41" i="92"/>
  <c r="G40" i="92"/>
  <c r="G39" i="92"/>
  <c r="G26" i="92"/>
  <c r="G25" i="92"/>
  <c r="G24" i="92"/>
  <c r="G23" i="92"/>
  <c r="G22" i="92"/>
  <c r="G21" i="92"/>
  <c r="G20" i="92"/>
  <c r="G19" i="92"/>
  <c r="G18" i="92"/>
  <c r="G17" i="92"/>
  <c r="G16" i="92"/>
  <c r="G15" i="92"/>
  <c r="G14" i="92"/>
  <c r="G13" i="92"/>
  <c r="G12" i="92"/>
  <c r="G11" i="92"/>
  <c r="G10" i="92"/>
  <c r="G9" i="92"/>
  <c r="G8" i="92"/>
  <c r="G7" i="92"/>
  <c r="G6" i="92"/>
  <c r="G5" i="92"/>
  <c r="G4" i="92"/>
  <c r="E22" i="28"/>
  <c r="F17" i="28"/>
  <c r="F16" i="28"/>
  <c r="F15" i="28"/>
  <c r="F14" i="28"/>
  <c r="F13" i="28"/>
  <c r="F12" i="28"/>
  <c r="F11" i="28"/>
  <c r="F10" i="28"/>
  <c r="F9" i="28"/>
  <c r="F8" i="28"/>
  <c r="F7" i="28"/>
  <c r="F5" i="28"/>
  <c r="F4" i="28"/>
  <c r="N86" i="20"/>
  <c r="K86" i="20"/>
  <c r="B8" i="20"/>
  <c r="C7" i="20"/>
  <c r="B7" i="20"/>
  <c r="B7" i="101" l="1"/>
  <c r="B7" i="102"/>
  <c r="B8" i="101"/>
  <c r="B8" i="102"/>
  <c r="C7" i="101"/>
  <c r="C7" i="102"/>
  <c r="B7" i="94"/>
  <c r="B7" i="96"/>
  <c r="B7" i="95"/>
  <c r="B8" i="96"/>
  <c r="B8" i="95"/>
  <c r="B8" i="94"/>
  <c r="C7" i="96"/>
  <c r="C7" i="95"/>
  <c r="C7" i="94"/>
  <c r="H86" i="20"/>
  <c r="AG86" i="20" s="1"/>
  <c r="I86" i="101" s="1"/>
  <c r="H6" i="93"/>
  <c r="E136" i="20" s="1"/>
  <c r="G82" i="92"/>
  <c r="E137" i="20" s="1"/>
  <c r="F22" i="28"/>
  <c r="E42" i="20" s="1"/>
  <c r="E136" i="101" l="1"/>
  <c r="E136" i="102"/>
  <c r="E137" i="101"/>
  <c r="E137" i="102"/>
  <c r="E42" i="101"/>
  <c r="E42" i="102"/>
  <c r="T42" i="20"/>
  <c r="Z42" i="20"/>
  <c r="E42" i="94"/>
  <c r="E42" i="95"/>
  <c r="E42" i="96"/>
  <c r="AC42" i="20"/>
  <c r="K42" i="20"/>
  <c r="N42" i="20"/>
  <c r="W42" i="20"/>
  <c r="Q42" i="20"/>
  <c r="H42" i="20"/>
  <c r="E137" i="95"/>
  <c r="E137" i="96"/>
  <c r="E137" i="94"/>
  <c r="E136" i="95"/>
  <c r="E136" i="96"/>
  <c r="E136" i="94"/>
  <c r="W29" i="20"/>
  <c r="AC29" i="20"/>
  <c r="Q29" i="20"/>
  <c r="T29" i="20"/>
  <c r="AC27" i="20"/>
  <c r="T31" i="20"/>
  <c r="W31" i="20"/>
  <c r="Q31" i="20"/>
  <c r="AC31" i="20"/>
  <c r="Q137" i="20"/>
  <c r="AC137" i="20"/>
  <c r="Q136" i="20"/>
  <c r="AC136" i="20"/>
  <c r="T27" i="20"/>
  <c r="Q27" i="20"/>
  <c r="W137" i="20"/>
  <c r="T137" i="20"/>
  <c r="W136" i="20"/>
  <c r="T136" i="20"/>
  <c r="Z27" i="20"/>
  <c r="W27" i="20"/>
  <c r="T136" i="102" l="1"/>
  <c r="K136" i="102"/>
  <c r="N136" i="102"/>
  <c r="H136" i="102"/>
  <c r="W136" i="102"/>
  <c r="Q136" i="102"/>
  <c r="Q137" i="102"/>
  <c r="Q155" i="102" s="1"/>
  <c r="Q161" i="102" s="1"/>
  <c r="N137" i="102"/>
  <c r="N155" i="102" s="1"/>
  <c r="N161" i="102" s="1"/>
  <c r="K137" i="102"/>
  <c r="W137" i="102"/>
  <c r="T137" i="102"/>
  <c r="T155" i="102" s="1"/>
  <c r="T161" i="102" s="1"/>
  <c r="H137" i="102"/>
  <c r="Q42" i="96"/>
  <c r="K42" i="96"/>
  <c r="N42" i="96"/>
  <c r="H42" i="96"/>
  <c r="H42" i="95"/>
  <c r="H80" i="95" s="1"/>
  <c r="H159" i="95" s="1"/>
  <c r="T42" i="95"/>
  <c r="T80" i="95" s="1"/>
  <c r="T159" i="95" s="1"/>
  <c r="Q42" i="95"/>
  <c r="Q80" i="95" s="1"/>
  <c r="Q159" i="95" s="1"/>
  <c r="W42" i="95"/>
  <c r="W80" i="95" s="1"/>
  <c r="W159" i="95" s="1"/>
  <c r="K42" i="95"/>
  <c r="N42" i="95"/>
  <c r="K42" i="94"/>
  <c r="H42" i="94"/>
  <c r="K42" i="102"/>
  <c r="W42" i="102"/>
  <c r="W80" i="102" s="1"/>
  <c r="W159" i="102" s="1"/>
  <c r="Q42" i="102"/>
  <c r="Q80" i="102" s="1"/>
  <c r="Q159" i="102" s="1"/>
  <c r="H42" i="102"/>
  <c r="H80" i="102" s="1"/>
  <c r="H159" i="102" s="1"/>
  <c r="T42" i="102"/>
  <c r="T80" i="102" s="1"/>
  <c r="T159" i="102" s="1"/>
  <c r="N42" i="102"/>
  <c r="N80" i="102" s="1"/>
  <c r="N159" i="102" s="1"/>
  <c r="AG42" i="20"/>
  <c r="W137" i="95"/>
  <c r="T137" i="95"/>
  <c r="W136" i="95"/>
  <c r="T136" i="95"/>
  <c r="T155" i="95" s="1"/>
  <c r="T161" i="95" s="1"/>
  <c r="Q136" i="95"/>
  <c r="H136" i="95"/>
  <c r="Q137" i="95"/>
  <c r="H137" i="95"/>
  <c r="Q155" i="20"/>
  <c r="Q161" i="20" s="1"/>
  <c r="T155" i="20"/>
  <c r="T161" i="20" s="1"/>
  <c r="W155" i="20"/>
  <c r="W161" i="20" s="1"/>
  <c r="H137" i="94"/>
  <c r="K137" i="94"/>
  <c r="N137" i="95"/>
  <c r="K137" i="95"/>
  <c r="H137" i="96"/>
  <c r="Q137" i="96"/>
  <c r="K137" i="96"/>
  <c r="N137" i="96"/>
  <c r="H136" i="94"/>
  <c r="K136" i="94"/>
  <c r="O136" i="94" s="1"/>
  <c r="AC80" i="20"/>
  <c r="AC159" i="20" s="1"/>
  <c r="K136" i="95"/>
  <c r="N136" i="95"/>
  <c r="AC155" i="20"/>
  <c r="AC161" i="20" s="1"/>
  <c r="K136" i="96"/>
  <c r="H136" i="96"/>
  <c r="Q136" i="96"/>
  <c r="N136" i="96"/>
  <c r="T80" i="20"/>
  <c r="T159" i="20" s="1"/>
  <c r="Q29" i="96"/>
  <c r="K29" i="96"/>
  <c r="N29" i="96"/>
  <c r="H29" i="96"/>
  <c r="W80" i="20"/>
  <c r="W159" i="20" s="1"/>
  <c r="K29" i="94"/>
  <c r="H29" i="94"/>
  <c r="N29" i="95"/>
  <c r="K29" i="95"/>
  <c r="K31" i="96"/>
  <c r="Q31" i="96"/>
  <c r="N31" i="96"/>
  <c r="H31" i="96"/>
  <c r="K31" i="95"/>
  <c r="N31" i="95"/>
  <c r="Q80" i="20"/>
  <c r="Q159" i="20" s="1"/>
  <c r="K31" i="94"/>
  <c r="H31" i="94"/>
  <c r="N142" i="20"/>
  <c r="N141" i="20"/>
  <c r="N152" i="20"/>
  <c r="N135" i="20"/>
  <c r="N89" i="20"/>
  <c r="N88" i="20"/>
  <c r="N87" i="20"/>
  <c r="N85" i="20"/>
  <c r="N84" i="20"/>
  <c r="N83" i="20"/>
  <c r="N32" i="20"/>
  <c r="N31" i="20"/>
  <c r="N29" i="20"/>
  <c r="N28" i="20"/>
  <c r="N26" i="20"/>
  <c r="O42" i="94" l="1"/>
  <c r="O31" i="94"/>
  <c r="AA29" i="95"/>
  <c r="AA136" i="95"/>
  <c r="AA137" i="95"/>
  <c r="H155" i="102"/>
  <c r="H161" i="102" s="1"/>
  <c r="AA31" i="95"/>
  <c r="W155" i="95"/>
  <c r="W161" i="95" s="1"/>
  <c r="W155" i="102"/>
  <c r="W161" i="102" s="1"/>
  <c r="AA136" i="102"/>
  <c r="O29" i="94"/>
  <c r="U31" i="96"/>
  <c r="U136" i="96"/>
  <c r="U29" i="96"/>
  <c r="AA137" i="102"/>
  <c r="AA155" i="102" s="1"/>
  <c r="AA161" i="102" s="1"/>
  <c r="K155" i="102"/>
  <c r="K161" i="102" s="1"/>
  <c r="U137" i="96"/>
  <c r="U42" i="96"/>
  <c r="K80" i="102"/>
  <c r="K159" i="102" s="1"/>
  <c r="AA42" i="102"/>
  <c r="AA80" i="102" s="1"/>
  <c r="AA159" i="102" s="1"/>
  <c r="AA42" i="95"/>
  <c r="O137" i="94"/>
  <c r="H155" i="95"/>
  <c r="H161" i="95" s="1"/>
  <c r="Q155" i="95"/>
  <c r="Q161" i="95" s="1"/>
  <c r="H80" i="96"/>
  <c r="H159" i="96" s="1"/>
  <c r="N155" i="96"/>
  <c r="N161" i="96" s="1"/>
  <c r="N80" i="95"/>
  <c r="N159" i="95" s="1"/>
  <c r="N155" i="95"/>
  <c r="N161" i="95" s="1"/>
  <c r="H155" i="94"/>
  <c r="H161" i="94" s="1"/>
  <c r="Q80" i="96"/>
  <c r="Q159" i="96" s="1"/>
  <c r="K155" i="95"/>
  <c r="K161" i="95" s="1"/>
  <c r="Q155" i="96"/>
  <c r="Q161" i="96" s="1"/>
  <c r="K155" i="94"/>
  <c r="K161" i="94" s="1"/>
  <c r="H155" i="96"/>
  <c r="H161" i="96" s="1"/>
  <c r="N80" i="96"/>
  <c r="N159" i="96" s="1"/>
  <c r="K155" i="96"/>
  <c r="K161" i="96" s="1"/>
  <c r="K80" i="96"/>
  <c r="K159" i="96" s="1"/>
  <c r="H80" i="94"/>
  <c r="H159" i="94" s="1"/>
  <c r="K80" i="95"/>
  <c r="K159" i="95" s="1"/>
  <c r="K80" i="94"/>
  <c r="K159" i="94" s="1"/>
  <c r="N27" i="20"/>
  <c r="N30" i="20"/>
  <c r="AE23" i="20"/>
  <c r="I42" i="101" l="1"/>
  <c r="O155" i="94"/>
  <c r="O161" i="94" s="1"/>
  <c r="AA80" i="95"/>
  <c r="AA159" i="95" s="1"/>
  <c r="U155" i="96"/>
  <c r="U161" i="96" s="1"/>
  <c r="O80" i="94"/>
  <c r="O159" i="94" s="1"/>
  <c r="AA155" i="95"/>
  <c r="AA161" i="95" s="1"/>
  <c r="U80" i="96"/>
  <c r="U159" i="96" s="1"/>
  <c r="N80" i="20"/>
  <c r="N159" i="20" s="1"/>
  <c r="N139" i="20"/>
  <c r="N138" i="20" l="1"/>
  <c r="N140" i="20"/>
  <c r="N143" i="20" l="1"/>
  <c r="N136" i="20" l="1"/>
  <c r="N132" i="20" l="1"/>
  <c r="N160" i="20" s="1"/>
  <c r="K143" i="20" l="1"/>
  <c r="Z143" i="20"/>
  <c r="H143" i="20"/>
  <c r="K142" i="20"/>
  <c r="H142" i="20"/>
  <c r="K141" i="20"/>
  <c r="Z141" i="20"/>
  <c r="H141" i="20"/>
  <c r="AG141" i="20" l="1"/>
  <c r="I141" i="101" s="1"/>
  <c r="AG143" i="20"/>
  <c r="I143" i="101" s="1"/>
  <c r="K87" i="20"/>
  <c r="Z87" i="20"/>
  <c r="H87" i="20"/>
  <c r="K89" i="20"/>
  <c r="Z89" i="20"/>
  <c r="H89" i="20"/>
  <c r="K88" i="20"/>
  <c r="Z88" i="20"/>
  <c r="H88" i="20"/>
  <c r="AG87" i="20" l="1"/>
  <c r="I87" i="101" s="1"/>
  <c r="AG89" i="20"/>
  <c r="I89" i="101" s="1"/>
  <c r="AG88" i="20"/>
  <c r="I88" i="101" s="1"/>
  <c r="K32" i="20"/>
  <c r="Z32" i="20"/>
  <c r="H32" i="20"/>
  <c r="K31" i="20"/>
  <c r="H31" i="20"/>
  <c r="K30" i="20"/>
  <c r="H30" i="20"/>
  <c r="K29" i="20"/>
  <c r="Z29" i="20"/>
  <c r="H29" i="20"/>
  <c r="K28" i="20"/>
  <c r="Z28" i="20"/>
  <c r="H28" i="20"/>
  <c r="F8" i="26"/>
  <c r="AG32" i="20" l="1"/>
  <c r="I32" i="101" s="1"/>
  <c r="AG29" i="20"/>
  <c r="I29" i="101" s="1"/>
  <c r="AG28" i="20"/>
  <c r="I28" i="101" s="1"/>
  <c r="Z31" i="20" l="1"/>
  <c r="AG31" i="20" s="1"/>
  <c r="I31" i="101" s="1"/>
  <c r="Z30" i="20"/>
  <c r="AG30" i="20" s="1"/>
  <c r="I30" i="101" s="1"/>
  <c r="Z142" i="20"/>
  <c r="AG142" i="20" s="1"/>
  <c r="I142" i="101" s="1"/>
  <c r="Z136" i="20" l="1"/>
  <c r="K135" i="20"/>
  <c r="Z135" i="20"/>
  <c r="H135" i="20"/>
  <c r="K26" i="20"/>
  <c r="K27" i="20"/>
  <c r="Z26" i="20"/>
  <c r="H27" i="20"/>
  <c r="AG135" i="20" l="1"/>
  <c r="I135" i="101" s="1"/>
  <c r="AG27" i="20"/>
  <c r="I27" i="101" s="1"/>
  <c r="Z152" i="20"/>
  <c r="Z85" i="20"/>
  <c r="Z84" i="20"/>
  <c r="D5" i="57"/>
  <c r="K140" i="20" l="1"/>
  <c r="K139" i="20"/>
  <c r="K138" i="20"/>
  <c r="Z140" i="20"/>
  <c r="K152" i="20"/>
  <c r="K84" i="20"/>
  <c r="K83" i="20"/>
  <c r="K85" i="20"/>
  <c r="H152" i="20"/>
  <c r="H26" i="20"/>
  <c r="AG26" i="20" s="1"/>
  <c r="H83" i="20"/>
  <c r="H84" i="20"/>
  <c r="AG84" i="20" l="1"/>
  <c r="I84" i="101" s="1"/>
  <c r="I26" i="101"/>
  <c r="I80" i="101" s="1"/>
  <c r="I159" i="101" s="1"/>
  <c r="AG152" i="20"/>
  <c r="I152" i="101" s="1"/>
  <c r="K80" i="20"/>
  <c r="K159" i="20" s="1"/>
  <c r="K132" i="20"/>
  <c r="K160" i="20" s="1"/>
  <c r="E165" i="20" l="1"/>
  <c r="E166" i="20"/>
  <c r="E167" i="20"/>
  <c r="E168" i="20"/>
  <c r="E169" i="20"/>
  <c r="E174" i="20"/>
  <c r="E175" i="20"/>
  <c r="E176" i="20"/>
  <c r="E177" i="20"/>
  <c r="E178" i="20"/>
  <c r="E179" i="20"/>
  <c r="E180" i="20"/>
  <c r="E170" i="20"/>
  <c r="H85" i="20"/>
  <c r="AG85" i="20" s="1"/>
  <c r="I85" i="101" s="1"/>
  <c r="D31" i="23"/>
  <c r="D27" i="23"/>
  <c r="D16" i="23"/>
  <c r="D6" i="23"/>
  <c r="W4" i="23"/>
  <c r="AA10" i="23"/>
  <c r="AB10" i="23" s="1"/>
  <c r="AA15" i="23"/>
  <c r="AB15" i="23" s="1"/>
  <c r="D16" i="57"/>
  <c r="D3" i="57" s="1"/>
  <c r="D27" i="57"/>
  <c r="E80" i="20"/>
  <c r="E132" i="20"/>
  <c r="E155" i="20"/>
  <c r="E162" i="20"/>
  <c r="D33" i="23" l="1"/>
  <c r="D3" i="23" s="1"/>
  <c r="D18" i="57"/>
  <c r="Z83" i="20"/>
  <c r="AG83" i="20" s="1"/>
  <c r="Z139" i="20"/>
  <c r="Z138" i="20"/>
  <c r="H138" i="20"/>
  <c r="H136" i="20"/>
  <c r="H140" i="20"/>
  <c r="AG140" i="20" s="1"/>
  <c r="I140" i="101" s="1"/>
  <c r="H139" i="20"/>
  <c r="K136" i="20"/>
  <c r="E22" i="26"/>
  <c r="Y9" i="23"/>
  <c r="AA9" i="23" s="1"/>
  <c r="AB9" i="23" s="1"/>
  <c r="Y13" i="23"/>
  <c r="Y12" i="23"/>
  <c r="AA12" i="23" s="1"/>
  <c r="AB12" i="23" s="1"/>
  <c r="Y11" i="23"/>
  <c r="AA11" i="23" s="1"/>
  <c r="AB11" i="23" s="1"/>
  <c r="Y8" i="23"/>
  <c r="AA8" i="23" s="1"/>
  <c r="AB8" i="23" s="1"/>
  <c r="AA13" i="23"/>
  <c r="AB13" i="23" s="1"/>
  <c r="Y7" i="23"/>
  <c r="AA7" i="23" s="1"/>
  <c r="AB7" i="23" s="1"/>
  <c r="Y14" i="23"/>
  <c r="AA14" i="23" s="1"/>
  <c r="AB14" i="23" s="1"/>
  <c r="Y15" i="23"/>
  <c r="Y10" i="23"/>
  <c r="E171" i="20"/>
  <c r="E181" i="20"/>
  <c r="I83" i="101" l="1"/>
  <c r="I132" i="101" s="1"/>
  <c r="I160" i="101" s="1"/>
  <c r="I15" i="26"/>
  <c r="I14" i="26"/>
  <c r="I16" i="26"/>
  <c r="I13" i="26"/>
  <c r="I17" i="26"/>
  <c r="I18" i="26"/>
  <c r="AG138" i="20"/>
  <c r="I138" i="101" s="1"/>
  <c r="AG136" i="20"/>
  <c r="I136" i="101" s="1"/>
  <c r="AG139" i="20"/>
  <c r="I139" i="101" s="1"/>
  <c r="I10" i="26"/>
  <c r="I12" i="26"/>
  <c r="I11" i="26"/>
  <c r="N137" i="20"/>
  <c r="N155" i="20" s="1"/>
  <c r="N161" i="20" s="1"/>
  <c r="Z132" i="20"/>
  <c r="Z160" i="20" s="1"/>
  <c r="Z137" i="20"/>
  <c r="Z155" i="20" s="1"/>
  <c r="Z161" i="20" s="1"/>
  <c r="K137" i="20"/>
  <c r="H137" i="20"/>
  <c r="Z80" i="20"/>
  <c r="Z159" i="20" s="1"/>
  <c r="H80" i="20"/>
  <c r="H159" i="20" s="1"/>
  <c r="I20" i="26"/>
  <c r="I19" i="26"/>
  <c r="I7" i="26"/>
  <c r="I6" i="26"/>
  <c r="I3" i="26"/>
  <c r="I5" i="26"/>
  <c r="I9" i="26"/>
  <c r="I8" i="26"/>
  <c r="I4" i="26"/>
  <c r="J6" i="26" l="1"/>
  <c r="K6" i="26" s="1"/>
  <c r="E10" i="20" s="1"/>
  <c r="J7" i="26"/>
  <c r="K7" i="26" s="1"/>
  <c r="E11" i="20" s="1"/>
  <c r="J18" i="26"/>
  <c r="K18" i="26" s="1"/>
  <c r="E22" i="20" s="1"/>
  <c r="J19" i="26"/>
  <c r="K19" i="26" s="1"/>
  <c r="J17" i="26"/>
  <c r="K17" i="26" s="1"/>
  <c r="E21" i="20" s="1"/>
  <c r="J4" i="26"/>
  <c r="K4" i="26" s="1"/>
  <c r="E8" i="20" s="1"/>
  <c r="J20" i="26"/>
  <c r="K20" i="26" s="1"/>
  <c r="J11" i="26"/>
  <c r="K11" i="26" s="1"/>
  <c r="E15" i="20" s="1"/>
  <c r="J13" i="26"/>
  <c r="K13" i="26" s="1"/>
  <c r="E17" i="20" s="1"/>
  <c r="J8" i="26"/>
  <c r="K8" i="26" s="1"/>
  <c r="E12" i="20" s="1"/>
  <c r="J12" i="26"/>
  <c r="K12" i="26" s="1"/>
  <c r="E16" i="20" s="1"/>
  <c r="J16" i="26"/>
  <c r="K16" i="26" s="1"/>
  <c r="E20" i="20" s="1"/>
  <c r="J9" i="26"/>
  <c r="K9" i="26" s="1"/>
  <c r="E13" i="20" s="1"/>
  <c r="J15" i="26"/>
  <c r="K15" i="26" s="1"/>
  <c r="E19" i="20" s="1"/>
  <c r="J10" i="26"/>
  <c r="K10" i="26" s="1"/>
  <c r="E14" i="20" s="1"/>
  <c r="J14" i="26"/>
  <c r="K14" i="26" s="1"/>
  <c r="E18" i="20" s="1"/>
  <c r="J5" i="26"/>
  <c r="K5" i="26" s="1"/>
  <c r="E9" i="20" s="1"/>
  <c r="J3" i="26"/>
  <c r="K3" i="26" s="1"/>
  <c r="E7" i="20" s="1"/>
  <c r="AG137" i="20"/>
  <c r="AG80" i="20"/>
  <c r="K155" i="20"/>
  <c r="K161" i="20" s="1"/>
  <c r="H132" i="20"/>
  <c r="H160" i="20" s="1"/>
  <c r="E17" i="102" l="1"/>
  <c r="N17" i="102" s="1"/>
  <c r="E17" i="94"/>
  <c r="H17" i="94" s="1"/>
  <c r="E17" i="101"/>
  <c r="T17" i="20"/>
  <c r="K17" i="20"/>
  <c r="E17" i="95"/>
  <c r="N17" i="95" s="1"/>
  <c r="Z17" i="20"/>
  <c r="E21" i="101"/>
  <c r="E21" i="102"/>
  <c r="N21" i="102" s="1"/>
  <c r="E22" i="102"/>
  <c r="W22" i="102" s="1"/>
  <c r="E22" i="101"/>
  <c r="N17" i="20"/>
  <c r="AC17" i="20"/>
  <c r="Q17" i="20"/>
  <c r="H17" i="20"/>
  <c r="E17" i="96"/>
  <c r="N17" i="96" s="1"/>
  <c r="W18" i="20"/>
  <c r="E18" i="94"/>
  <c r="K18" i="94" s="1"/>
  <c r="E18" i="101"/>
  <c r="K18" i="20"/>
  <c r="N18" i="20"/>
  <c r="AC18" i="20"/>
  <c r="Z18" i="20"/>
  <c r="Q18" i="20"/>
  <c r="E18" i="96"/>
  <c r="N18" i="96" s="1"/>
  <c r="E18" i="102"/>
  <c r="H18" i="102" s="1"/>
  <c r="T18" i="20"/>
  <c r="E18" i="95"/>
  <c r="N18" i="95" s="1"/>
  <c r="H18" i="20"/>
  <c r="Q19" i="20"/>
  <c r="T19" i="20"/>
  <c r="E19" i="102"/>
  <c r="N19" i="102" s="1"/>
  <c r="H19" i="20"/>
  <c r="E19" i="95"/>
  <c r="T19" i="95" s="1"/>
  <c r="K19" i="20"/>
  <c r="W19" i="20"/>
  <c r="Z19" i="20"/>
  <c r="E19" i="96"/>
  <c r="K19" i="96" s="1"/>
  <c r="E19" i="94"/>
  <c r="K19" i="94" s="1"/>
  <c r="AC19" i="20"/>
  <c r="E19" i="101"/>
  <c r="N19" i="20"/>
  <c r="N20" i="20"/>
  <c r="E20" i="96"/>
  <c r="Q20" i="96" s="1"/>
  <c r="Z20" i="20"/>
  <c r="E20" i="101"/>
  <c r="K20" i="20"/>
  <c r="E20" i="102"/>
  <c r="K20" i="102" s="1"/>
  <c r="H20" i="20"/>
  <c r="E20" i="95"/>
  <c r="N20" i="95" s="1"/>
  <c r="AC20" i="20"/>
  <c r="E20" i="94"/>
  <c r="H20" i="94" s="1"/>
  <c r="Q20" i="20"/>
  <c r="T20" i="20"/>
  <c r="W20" i="20"/>
  <c r="W17" i="20"/>
  <c r="I137" i="101"/>
  <c r="I155" i="101" s="1"/>
  <c r="I161" i="101" s="1"/>
  <c r="E15" i="101"/>
  <c r="E15" i="102"/>
  <c r="E7" i="101"/>
  <c r="E7" i="102"/>
  <c r="E12" i="101"/>
  <c r="E12" i="102"/>
  <c r="E10" i="101"/>
  <c r="E10" i="102"/>
  <c r="E8" i="101"/>
  <c r="E8" i="102"/>
  <c r="E9" i="101"/>
  <c r="E9" i="102"/>
  <c r="E16" i="101"/>
  <c r="E16" i="102"/>
  <c r="E13" i="101"/>
  <c r="E13" i="102"/>
  <c r="N22" i="102"/>
  <c r="E14" i="101"/>
  <c r="E14" i="102"/>
  <c r="E11" i="101"/>
  <c r="E11" i="102"/>
  <c r="E22" i="95"/>
  <c r="E22" i="96"/>
  <c r="H22" i="96" s="1"/>
  <c r="E22" i="94"/>
  <c r="K22" i="94" s="1"/>
  <c r="E16" i="95"/>
  <c r="E16" i="96"/>
  <c r="Q16" i="96" s="1"/>
  <c r="E16" i="94"/>
  <c r="H16" i="94" s="1"/>
  <c r="E7" i="94"/>
  <c r="E7" i="96"/>
  <c r="K7" i="96" s="1"/>
  <c r="E7" i="95"/>
  <c r="E10" i="95"/>
  <c r="E10" i="96"/>
  <c r="Q10" i="96" s="1"/>
  <c r="E10" i="94"/>
  <c r="E12" i="95"/>
  <c r="E12" i="96"/>
  <c r="E12" i="94"/>
  <c r="H12" i="94" s="1"/>
  <c r="E14" i="95"/>
  <c r="E14" i="96"/>
  <c r="N14" i="96" s="1"/>
  <c r="E14" i="94"/>
  <c r="E21" i="95"/>
  <c r="E21" i="96"/>
  <c r="H21" i="96" s="1"/>
  <c r="E21" i="94"/>
  <c r="E13" i="95"/>
  <c r="E13" i="96"/>
  <c r="N13" i="96" s="1"/>
  <c r="E13" i="94"/>
  <c r="E11" i="95"/>
  <c r="E11" i="96"/>
  <c r="E11" i="94"/>
  <c r="K11" i="94" s="1"/>
  <c r="E15" i="95"/>
  <c r="E15" i="96"/>
  <c r="E15" i="94"/>
  <c r="H15" i="94" s="1"/>
  <c r="E9" i="95"/>
  <c r="E9" i="96"/>
  <c r="N9" i="96" s="1"/>
  <c r="E9" i="94"/>
  <c r="K9" i="94" s="1"/>
  <c r="E8" i="95"/>
  <c r="E8" i="96"/>
  <c r="E8" i="94"/>
  <c r="T12" i="20"/>
  <c r="W12" i="20"/>
  <c r="AC12" i="20"/>
  <c r="Q12" i="20"/>
  <c r="Z16" i="20"/>
  <c r="AC16" i="20"/>
  <c r="Q16" i="20"/>
  <c r="T16" i="20"/>
  <c r="W16" i="20"/>
  <c r="K16" i="20"/>
  <c r="H16" i="20"/>
  <c r="N16" i="20"/>
  <c r="W22" i="20"/>
  <c r="Q22" i="20"/>
  <c r="AC22" i="20"/>
  <c r="T22" i="20"/>
  <c r="Z22" i="20"/>
  <c r="T13" i="20"/>
  <c r="AC13" i="20"/>
  <c r="Q13" i="20"/>
  <c r="W13" i="20"/>
  <c r="AC11" i="20"/>
  <c r="W11" i="20"/>
  <c r="T11" i="20"/>
  <c r="Q11" i="20"/>
  <c r="Z21" i="20"/>
  <c r="Q21" i="20"/>
  <c r="W21" i="20"/>
  <c r="AC21" i="20"/>
  <c r="T21" i="20"/>
  <c r="H21" i="20"/>
  <c r="K21" i="20"/>
  <c r="N21" i="20"/>
  <c r="AC10" i="20"/>
  <c r="W10" i="20"/>
  <c r="T10" i="20"/>
  <c r="Q10" i="20"/>
  <c r="H14" i="20"/>
  <c r="AC14" i="20"/>
  <c r="W14" i="20"/>
  <c r="N14" i="20"/>
  <c r="T14" i="20"/>
  <c r="K14" i="20"/>
  <c r="Z14" i="20"/>
  <c r="Q14" i="20"/>
  <c r="T9" i="20"/>
  <c r="W9" i="20"/>
  <c r="Q9" i="20"/>
  <c r="AC9" i="20"/>
  <c r="Z15" i="20"/>
  <c r="AC15" i="20"/>
  <c r="Q15" i="20"/>
  <c r="K15" i="20"/>
  <c r="W15" i="20"/>
  <c r="N15" i="20"/>
  <c r="H15" i="20"/>
  <c r="T15" i="20"/>
  <c r="AC8" i="20"/>
  <c r="T8" i="20"/>
  <c r="W8" i="20"/>
  <c r="Q8" i="20"/>
  <c r="Q7" i="20"/>
  <c r="AC7" i="20"/>
  <c r="W7" i="20"/>
  <c r="T7" i="20"/>
  <c r="N22" i="20"/>
  <c r="K22" i="20"/>
  <c r="H22" i="20"/>
  <c r="N8" i="20"/>
  <c r="H8" i="20"/>
  <c r="Z8" i="20"/>
  <c r="K8" i="20"/>
  <c r="K13" i="20"/>
  <c r="Z13" i="20"/>
  <c r="N13" i="20"/>
  <c r="H13" i="20"/>
  <c r="N11" i="20"/>
  <c r="N10" i="20"/>
  <c r="N12" i="20"/>
  <c r="N7" i="20"/>
  <c r="N9" i="20"/>
  <c r="K11" i="20"/>
  <c r="K9" i="20"/>
  <c r="H10" i="20"/>
  <c r="Z11" i="20"/>
  <c r="AG132" i="20"/>
  <c r="AG160" i="20" s="1"/>
  <c r="AG159" i="20"/>
  <c r="H9" i="20"/>
  <c r="H11" i="20"/>
  <c r="Z9" i="20"/>
  <c r="K7" i="20"/>
  <c r="H7" i="20"/>
  <c r="K10" i="20"/>
  <c r="K12" i="20"/>
  <c r="Z12" i="20"/>
  <c r="Z7" i="20"/>
  <c r="Z10" i="20"/>
  <c r="H12" i="20"/>
  <c r="Q17" i="102" l="1"/>
  <c r="Q19" i="95"/>
  <c r="H18" i="94"/>
  <c r="Q22" i="102"/>
  <c r="Q20" i="95"/>
  <c r="K22" i="102"/>
  <c r="W20" i="95"/>
  <c r="K18" i="102"/>
  <c r="T18" i="102"/>
  <c r="N19" i="95"/>
  <c r="W18" i="102"/>
  <c r="T20" i="95"/>
  <c r="K18" i="95"/>
  <c r="H20" i="95"/>
  <c r="H22" i="102"/>
  <c r="K20" i="95"/>
  <c r="T22" i="102"/>
  <c r="H19" i="95"/>
  <c r="N18" i="102"/>
  <c r="Q21" i="102"/>
  <c r="H17" i="95"/>
  <c r="T17" i="95"/>
  <c r="W17" i="95"/>
  <c r="Q17" i="95"/>
  <c r="K19" i="95"/>
  <c r="K17" i="94"/>
  <c r="O17" i="94" s="1"/>
  <c r="W19" i="95"/>
  <c r="Q18" i="102"/>
  <c r="AG17" i="20"/>
  <c r="K17" i="95"/>
  <c r="Q19" i="96"/>
  <c r="N19" i="96"/>
  <c r="T17" i="102"/>
  <c r="W17" i="102"/>
  <c r="H17" i="102"/>
  <c r="T21" i="102"/>
  <c r="H18" i="96"/>
  <c r="W21" i="102"/>
  <c r="H21" i="102"/>
  <c r="H19" i="96"/>
  <c r="K21" i="102"/>
  <c r="K17" i="102"/>
  <c r="N20" i="96"/>
  <c r="K17" i="96"/>
  <c r="H19" i="102"/>
  <c r="H17" i="96"/>
  <c r="AG19" i="20"/>
  <c r="H19" i="94"/>
  <c r="O19" i="94" s="1"/>
  <c r="H20" i="102"/>
  <c r="Q17" i="96"/>
  <c r="Q20" i="102"/>
  <c r="K20" i="96"/>
  <c r="T20" i="102"/>
  <c r="AG20" i="20"/>
  <c r="AG18" i="20"/>
  <c r="W20" i="102"/>
  <c r="T18" i="95"/>
  <c r="Q18" i="95"/>
  <c r="W18" i="95"/>
  <c r="K20" i="94"/>
  <c r="O20" i="94" s="1"/>
  <c r="H18" i="95"/>
  <c r="W19" i="102"/>
  <c r="Q18" i="96"/>
  <c r="Q19" i="102"/>
  <c r="N20" i="102"/>
  <c r="K18" i="96"/>
  <c r="T19" i="102"/>
  <c r="H20" i="96"/>
  <c r="K19" i="102"/>
  <c r="AG7" i="20"/>
  <c r="T11" i="102"/>
  <c r="K11" i="102"/>
  <c r="Q11" i="102"/>
  <c r="N11" i="102"/>
  <c r="W11" i="102"/>
  <c r="H11" i="102"/>
  <c r="W8" i="102"/>
  <c r="Q8" i="102"/>
  <c r="T8" i="102"/>
  <c r="K8" i="102"/>
  <c r="N8" i="102"/>
  <c r="H8" i="102"/>
  <c r="T14" i="102"/>
  <c r="H14" i="102"/>
  <c r="Q14" i="102"/>
  <c r="W14" i="102"/>
  <c r="N14" i="102"/>
  <c r="K14" i="102"/>
  <c r="W10" i="102"/>
  <c r="Q10" i="102"/>
  <c r="T10" i="102"/>
  <c r="H10" i="102"/>
  <c r="N10" i="102"/>
  <c r="K10" i="102"/>
  <c r="T13" i="102"/>
  <c r="Q13" i="102"/>
  <c r="W13" i="102"/>
  <c r="H13" i="102"/>
  <c r="N13" i="102"/>
  <c r="K13" i="102"/>
  <c r="W16" i="102"/>
  <c r="T16" i="102"/>
  <c r="K16" i="102"/>
  <c r="N16" i="102"/>
  <c r="Q16" i="102"/>
  <c r="H16" i="102"/>
  <c r="H12" i="102"/>
  <c r="W12" i="102"/>
  <c r="T12" i="102"/>
  <c r="N12" i="102"/>
  <c r="K12" i="102"/>
  <c r="Q12" i="102"/>
  <c r="N9" i="102"/>
  <c r="K9" i="102"/>
  <c r="H9" i="102"/>
  <c r="W9" i="102"/>
  <c r="T9" i="102"/>
  <c r="Q9" i="102"/>
  <c r="N7" i="102"/>
  <c r="K7" i="102"/>
  <c r="H7" i="102"/>
  <c r="W7" i="102"/>
  <c r="Q7" i="102"/>
  <c r="T7" i="102"/>
  <c r="N15" i="102"/>
  <c r="K15" i="102"/>
  <c r="H15" i="102"/>
  <c r="W15" i="102"/>
  <c r="T15" i="102"/>
  <c r="Q15" i="102"/>
  <c r="O18" i="94"/>
  <c r="W8" i="95"/>
  <c r="T8" i="95"/>
  <c r="W15" i="95"/>
  <c r="T15" i="95"/>
  <c r="W16" i="95"/>
  <c r="T16" i="95"/>
  <c r="W7" i="95"/>
  <c r="T7" i="95"/>
  <c r="W10" i="95"/>
  <c r="T10" i="95"/>
  <c r="W14" i="95"/>
  <c r="T14" i="95"/>
  <c r="W11" i="95"/>
  <c r="T11" i="95"/>
  <c r="W12" i="95"/>
  <c r="T12" i="95"/>
  <c r="W13" i="95"/>
  <c r="T13" i="95"/>
  <c r="W9" i="95"/>
  <c r="T9" i="95"/>
  <c r="W21" i="95"/>
  <c r="T21" i="95"/>
  <c r="W22" i="95"/>
  <c r="T22" i="95"/>
  <c r="Q11" i="95"/>
  <c r="H11" i="95"/>
  <c r="Q9" i="95"/>
  <c r="H9" i="95"/>
  <c r="Q22" i="95"/>
  <c r="H22" i="95"/>
  <c r="Q21" i="95"/>
  <c r="H21" i="95"/>
  <c r="Q7" i="95"/>
  <c r="H7" i="95"/>
  <c r="Q12" i="95"/>
  <c r="H12" i="95"/>
  <c r="Q8" i="95"/>
  <c r="H8" i="95"/>
  <c r="Q15" i="95"/>
  <c r="H15" i="95"/>
  <c r="Q13" i="95"/>
  <c r="H13" i="95"/>
  <c r="Q14" i="95"/>
  <c r="H14" i="95"/>
  <c r="Q10" i="95"/>
  <c r="H10" i="95"/>
  <c r="Q16" i="95"/>
  <c r="H16" i="95"/>
  <c r="Q21" i="96"/>
  <c r="K21" i="96"/>
  <c r="H12" i="96"/>
  <c r="Q11" i="96"/>
  <c r="H8" i="96"/>
  <c r="N21" i="96"/>
  <c r="K11" i="96"/>
  <c r="Q22" i="96"/>
  <c r="N8" i="96"/>
  <c r="N11" i="96"/>
  <c r="Q8" i="96"/>
  <c r="H11" i="96"/>
  <c r="Q12" i="96"/>
  <c r="K8" i="96"/>
  <c r="K12" i="96"/>
  <c r="N12" i="96"/>
  <c r="Q7" i="96"/>
  <c r="H15" i="96"/>
  <c r="K10" i="96"/>
  <c r="H14" i="96"/>
  <c r="H10" i="96"/>
  <c r="K14" i="96"/>
  <c r="N10" i="96"/>
  <c r="H16" i="96"/>
  <c r="Q13" i="96"/>
  <c r="Q14" i="96"/>
  <c r="Q9" i="96"/>
  <c r="AG12" i="20"/>
  <c r="K16" i="96"/>
  <c r="N15" i="96"/>
  <c r="N16" i="96"/>
  <c r="AG11" i="20"/>
  <c r="AG9" i="20"/>
  <c r="AG15" i="20"/>
  <c r="AG21" i="20"/>
  <c r="AG8" i="20"/>
  <c r="AG14" i="20"/>
  <c r="AG10" i="20"/>
  <c r="AG13" i="20"/>
  <c r="AG22" i="20"/>
  <c r="AG16" i="20"/>
  <c r="Q15" i="96"/>
  <c r="H7" i="96"/>
  <c r="K15" i="96"/>
  <c r="N7" i="96"/>
  <c r="H9" i="96"/>
  <c r="K22" i="96"/>
  <c r="H13" i="96"/>
  <c r="K9" i="96"/>
  <c r="K13" i="96"/>
  <c r="N22" i="96"/>
  <c r="H8" i="94"/>
  <c r="H14" i="94"/>
  <c r="K12" i="94"/>
  <c r="O12" i="94" s="1"/>
  <c r="K14" i="94"/>
  <c r="H22" i="94"/>
  <c r="O22" i="94" s="1"/>
  <c r="H13" i="94"/>
  <c r="K13" i="94"/>
  <c r="K8" i="94"/>
  <c r="K16" i="94"/>
  <c r="O16" i="94" s="1"/>
  <c r="H10" i="94"/>
  <c r="K15" i="94"/>
  <c r="O15" i="94" s="1"/>
  <c r="N14" i="95"/>
  <c r="K14" i="95"/>
  <c r="N21" i="95"/>
  <c r="K21" i="95"/>
  <c r="N11" i="95"/>
  <c r="K11" i="95"/>
  <c r="N22" i="95"/>
  <c r="K22" i="95"/>
  <c r="H21" i="94"/>
  <c r="K15" i="95"/>
  <c r="N15" i="95"/>
  <c r="N7" i="95"/>
  <c r="K7" i="95"/>
  <c r="N10" i="95"/>
  <c r="K10" i="95"/>
  <c r="K21" i="94"/>
  <c r="H11" i="94"/>
  <c r="O11" i="94" s="1"/>
  <c r="K10" i="94"/>
  <c r="K8" i="95"/>
  <c r="N8" i="95"/>
  <c r="N12" i="95"/>
  <c r="K12" i="95"/>
  <c r="W23" i="20"/>
  <c r="W158" i="20" s="1"/>
  <c r="W162" i="20" s="1"/>
  <c r="K9" i="95"/>
  <c r="N9" i="95"/>
  <c r="H9" i="94"/>
  <c r="O9" i="94" s="1"/>
  <c r="H7" i="94"/>
  <c r="K7" i="94"/>
  <c r="N13" i="95"/>
  <c r="K13" i="95"/>
  <c r="K16" i="95"/>
  <c r="N16" i="95"/>
  <c r="Q23" i="20"/>
  <c r="Q158" i="20" s="1"/>
  <c r="Q162" i="20" s="1"/>
  <c r="Q166" i="20" s="1"/>
  <c r="T23" i="20"/>
  <c r="T158" i="20" s="1"/>
  <c r="T162" i="20" s="1"/>
  <c r="S158" i="20" s="1"/>
  <c r="AC23" i="20"/>
  <c r="AC158" i="20" s="1"/>
  <c r="AC162" i="20" s="1"/>
  <c r="AB158" i="20" s="1"/>
  <c r="AG155" i="20"/>
  <c r="AG161" i="20" s="1"/>
  <c r="N23" i="20"/>
  <c r="N158" i="20" s="1"/>
  <c r="Z23" i="20"/>
  <c r="Z158" i="20" s="1"/>
  <c r="Z162" i="20" s="1"/>
  <c r="Y159" i="20" s="1"/>
  <c r="H23" i="20"/>
  <c r="H158" i="20" s="1"/>
  <c r="H155" i="20"/>
  <c r="AA22" i="102" l="1"/>
  <c r="AA20" i="95"/>
  <c r="AA18" i="102"/>
  <c r="AA17" i="95"/>
  <c r="AA17" i="102"/>
  <c r="AA19" i="95"/>
  <c r="U19" i="96"/>
  <c r="U20" i="96"/>
  <c r="U18" i="96"/>
  <c r="AA21" i="102"/>
  <c r="U17" i="96"/>
  <c r="AA18" i="95"/>
  <c r="AA19" i="102"/>
  <c r="AA20" i="102"/>
  <c r="O7" i="94"/>
  <c r="AA21" i="95"/>
  <c r="O13" i="94"/>
  <c r="U21" i="96"/>
  <c r="U22" i="96"/>
  <c r="AA8" i="95"/>
  <c r="AA15" i="95"/>
  <c r="AA14" i="95"/>
  <c r="AA22" i="95"/>
  <c r="U9" i="96"/>
  <c r="AA16" i="102"/>
  <c r="AA16" i="95"/>
  <c r="AA10" i="95"/>
  <c r="U10" i="96"/>
  <c r="AA8" i="102"/>
  <c r="AA13" i="95"/>
  <c r="AA12" i="95"/>
  <c r="AA11" i="95"/>
  <c r="AA7" i="102"/>
  <c r="AA9" i="95"/>
  <c r="AA7" i="95"/>
  <c r="U7" i="96"/>
  <c r="AA11" i="102"/>
  <c r="AA15" i="102"/>
  <c r="AA9" i="102"/>
  <c r="AA12" i="102"/>
  <c r="AA14" i="102"/>
  <c r="V158" i="20"/>
  <c r="U161" i="20"/>
  <c r="AA13" i="102"/>
  <c r="AA10" i="102"/>
  <c r="Z10" i="102" s="1"/>
  <c r="Z23" i="102" s="1"/>
  <c r="U8" i="96"/>
  <c r="T23" i="95"/>
  <c r="T158" i="95" s="1"/>
  <c r="T162" i="95" s="1"/>
  <c r="S158" i="95" s="1"/>
  <c r="O8" i="94"/>
  <c r="U14" i="96"/>
  <c r="U11" i="96"/>
  <c r="W23" i="95"/>
  <c r="W158" i="95" s="1"/>
  <c r="W162" i="95" s="1"/>
  <c r="W169" i="95" s="1"/>
  <c r="T23" i="102"/>
  <c r="T158" i="102" s="1"/>
  <c r="Q23" i="102"/>
  <c r="Q158" i="102" s="1"/>
  <c r="U15" i="96"/>
  <c r="W23" i="102"/>
  <c r="W158" i="102" s="1"/>
  <c r="H23" i="102"/>
  <c r="H158" i="102" s="1"/>
  <c r="O10" i="94"/>
  <c r="O14" i="94"/>
  <c r="U16" i="96"/>
  <c r="K23" i="102"/>
  <c r="K158" i="102" s="1"/>
  <c r="U12" i="96"/>
  <c r="O21" i="94"/>
  <c r="N23" i="102"/>
  <c r="N158" i="102" s="1"/>
  <c r="U13" i="96"/>
  <c r="Q23" i="95"/>
  <c r="Q158" i="95" s="1"/>
  <c r="Q162" i="95" s="1"/>
  <c r="Q165" i="95" s="1"/>
  <c r="H23" i="95"/>
  <c r="H158" i="95" s="1"/>
  <c r="Q23" i="96"/>
  <c r="Q158" i="96" s="1"/>
  <c r="Q162" i="96" s="1"/>
  <c r="P158" i="96" s="1"/>
  <c r="K23" i="96"/>
  <c r="K158" i="96" s="1"/>
  <c r="K162" i="96" s="1"/>
  <c r="J158" i="96" s="1"/>
  <c r="N23" i="96"/>
  <c r="N158" i="96" s="1"/>
  <c r="N162" i="96" s="1"/>
  <c r="M158" i="96" s="1"/>
  <c r="H23" i="96"/>
  <c r="H158" i="96" s="1"/>
  <c r="H162" i="96" s="1"/>
  <c r="W169" i="20"/>
  <c r="V159" i="20"/>
  <c r="V160" i="20"/>
  <c r="W167" i="20"/>
  <c r="W166" i="20"/>
  <c r="W165" i="20"/>
  <c r="V161" i="20"/>
  <c r="W168" i="20"/>
  <c r="K23" i="94"/>
  <c r="K158" i="94" s="1"/>
  <c r="K162" i="94" s="1"/>
  <c r="K23" i="95"/>
  <c r="K158" i="95" s="1"/>
  <c r="H23" i="94"/>
  <c r="H158" i="94" s="1"/>
  <c r="H162" i="94" s="1"/>
  <c r="G161" i="94" s="1"/>
  <c r="P158" i="20"/>
  <c r="N23" i="95"/>
  <c r="N158" i="95" s="1"/>
  <c r="P159" i="20"/>
  <c r="Q167" i="20"/>
  <c r="P161" i="20"/>
  <c r="P160" i="20"/>
  <c r="Q168" i="20"/>
  <c r="Q169" i="20"/>
  <c r="Q165" i="20"/>
  <c r="AC165" i="20"/>
  <c r="AC169" i="20"/>
  <c r="AC168" i="20"/>
  <c r="AC167" i="20"/>
  <c r="AC166" i="20"/>
  <c r="AB160" i="20"/>
  <c r="AB159" i="20"/>
  <c r="AB161" i="20"/>
  <c r="T167" i="20"/>
  <c r="T166" i="20"/>
  <c r="T165" i="20"/>
  <c r="T168" i="20"/>
  <c r="T169" i="20"/>
  <c r="S160" i="20"/>
  <c r="S159" i="20"/>
  <c r="S161" i="20"/>
  <c r="AF23" i="20"/>
  <c r="N162" i="20"/>
  <c r="M158" i="20" s="1"/>
  <c r="Y158" i="20"/>
  <c r="Z168" i="20"/>
  <c r="Z167" i="20"/>
  <c r="Y160" i="20"/>
  <c r="Z166" i="20"/>
  <c r="Y161" i="20"/>
  <c r="Z169" i="20"/>
  <c r="Z165" i="20"/>
  <c r="H161" i="20"/>
  <c r="H162" i="20" s="1"/>
  <c r="H169" i="20" s="1"/>
  <c r="I18" i="101" l="1"/>
  <c r="I20" i="101"/>
  <c r="I19" i="101"/>
  <c r="I17" i="101"/>
  <c r="I21" i="101"/>
  <c r="I9" i="101"/>
  <c r="I7" i="101"/>
  <c r="I22" i="101"/>
  <c r="I16" i="101"/>
  <c r="I15" i="101"/>
  <c r="I12" i="101"/>
  <c r="I11" i="101"/>
  <c r="I8" i="101"/>
  <c r="I10" i="101"/>
  <c r="I13" i="101"/>
  <c r="I14" i="101"/>
  <c r="V158" i="95"/>
  <c r="V160" i="95"/>
  <c r="W168" i="95"/>
  <c r="W165" i="95"/>
  <c r="W166" i="95"/>
  <c r="V161" i="95"/>
  <c r="W167" i="95"/>
  <c r="AA23" i="102"/>
  <c r="AA158" i="102" s="1"/>
  <c r="V159" i="95"/>
  <c r="K162" i="102"/>
  <c r="J158" i="102" s="1"/>
  <c r="H162" i="102"/>
  <c r="N162" i="102"/>
  <c r="M158" i="102" s="1"/>
  <c r="T162" i="102"/>
  <c r="S158" i="102" s="1"/>
  <c r="Q162" i="102"/>
  <c r="P158" i="102" s="1"/>
  <c r="W162" i="102"/>
  <c r="T167" i="95"/>
  <c r="T166" i="95"/>
  <c r="T165" i="95"/>
  <c r="T168" i="95"/>
  <c r="T169" i="95"/>
  <c r="S159" i="95"/>
  <c r="S160" i="95"/>
  <c r="S161" i="95"/>
  <c r="P158" i="95"/>
  <c r="P161" i="95"/>
  <c r="Q166" i="95"/>
  <c r="Q167" i="95"/>
  <c r="P160" i="95"/>
  <c r="Q168" i="95"/>
  <c r="P159" i="95"/>
  <c r="Q169" i="95"/>
  <c r="H162" i="95"/>
  <c r="G158" i="95" s="1"/>
  <c r="P162" i="20"/>
  <c r="V162" i="20"/>
  <c r="AB162" i="20"/>
  <c r="S162" i="20"/>
  <c r="U23" i="96"/>
  <c r="U158" i="96" s="1"/>
  <c r="U162" i="96" s="1"/>
  <c r="O23" i="94"/>
  <c r="O158" i="94" s="1"/>
  <c r="O162" i="94" s="1"/>
  <c r="V171" i="20"/>
  <c r="W182" i="20" s="1"/>
  <c r="W179" i="20" s="1"/>
  <c r="Q166" i="96"/>
  <c r="Q169" i="96"/>
  <c r="Q165" i="96"/>
  <c r="Q168" i="96"/>
  <c r="Q167" i="96"/>
  <c r="P159" i="96"/>
  <c r="P160" i="96"/>
  <c r="P161" i="96"/>
  <c r="N166" i="96"/>
  <c r="N169" i="96"/>
  <c r="N165" i="96"/>
  <c r="N167" i="96"/>
  <c r="N168" i="96"/>
  <c r="M160" i="96"/>
  <c r="M161" i="96"/>
  <c r="M159" i="96"/>
  <c r="H167" i="96"/>
  <c r="H166" i="96"/>
  <c r="H168" i="96"/>
  <c r="H169" i="96"/>
  <c r="H165" i="96"/>
  <c r="G160" i="96"/>
  <c r="G159" i="96"/>
  <c r="G161" i="96"/>
  <c r="G158" i="96"/>
  <c r="K167" i="96"/>
  <c r="K166" i="96"/>
  <c r="K169" i="96"/>
  <c r="K165" i="96"/>
  <c r="K168" i="96"/>
  <c r="J160" i="96"/>
  <c r="J159" i="96"/>
  <c r="J161" i="96"/>
  <c r="H166" i="94"/>
  <c r="G158" i="94"/>
  <c r="H168" i="94"/>
  <c r="AA23" i="95"/>
  <c r="AA158" i="95" s="1"/>
  <c r="K162" i="95"/>
  <c r="J158" i="95" s="1"/>
  <c r="N162" i="95"/>
  <c r="M158" i="95" s="1"/>
  <c r="H167" i="94"/>
  <c r="H165" i="94"/>
  <c r="H169" i="94"/>
  <c r="AB171" i="20"/>
  <c r="AC182" i="20" s="1"/>
  <c r="AB1" i="20" s="1"/>
  <c r="G159" i="94"/>
  <c r="P171" i="20"/>
  <c r="Q182" i="20" s="1"/>
  <c r="Q174" i="20" s="1"/>
  <c r="G160" i="94"/>
  <c r="K167" i="94"/>
  <c r="K169" i="94"/>
  <c r="K165" i="94"/>
  <c r="K166" i="94"/>
  <c r="K168" i="94"/>
  <c r="J160" i="94"/>
  <c r="J161" i="94"/>
  <c r="J159" i="94"/>
  <c r="J158" i="94"/>
  <c r="S171" i="20"/>
  <c r="T182" i="20" s="1"/>
  <c r="T181" i="20" s="1"/>
  <c r="N167" i="20"/>
  <c r="N166" i="20"/>
  <c r="N165" i="20"/>
  <c r="N169" i="20"/>
  <c r="N168" i="20"/>
  <c r="M159" i="20"/>
  <c r="M160" i="20"/>
  <c r="M161" i="20"/>
  <c r="Y162" i="20"/>
  <c r="Y171" i="20"/>
  <c r="Z182" i="20" s="1"/>
  <c r="G159" i="20"/>
  <c r="H165" i="20"/>
  <c r="G158" i="20"/>
  <c r="G161" i="20"/>
  <c r="G160" i="20"/>
  <c r="H166" i="20"/>
  <c r="H167" i="20"/>
  <c r="H168" i="20"/>
  <c r="V171" i="95" l="1"/>
  <c r="W182" i="95" s="1"/>
  <c r="U182" i="95" s="1"/>
  <c r="S162" i="95"/>
  <c r="V162" i="95"/>
  <c r="N169" i="102"/>
  <c r="N168" i="102"/>
  <c r="N167" i="102"/>
  <c r="N166" i="102"/>
  <c r="N165" i="102"/>
  <c r="M160" i="102"/>
  <c r="M159" i="102"/>
  <c r="M161" i="102"/>
  <c r="K169" i="102"/>
  <c r="K168" i="102"/>
  <c r="K167" i="102"/>
  <c r="K166" i="102"/>
  <c r="K165" i="102"/>
  <c r="J160" i="102"/>
  <c r="J159" i="102"/>
  <c r="J161" i="102"/>
  <c r="W169" i="102"/>
  <c r="W168" i="102"/>
  <c r="W167" i="102"/>
  <c r="W166" i="102"/>
  <c r="W165" i="102"/>
  <c r="V161" i="102"/>
  <c r="V160" i="102"/>
  <c r="V159" i="102"/>
  <c r="V158" i="102"/>
  <c r="S171" i="95"/>
  <c r="T182" i="95" s="1"/>
  <c r="T183" i="95" s="1"/>
  <c r="H169" i="102"/>
  <c r="H168" i="102"/>
  <c r="H167" i="102"/>
  <c r="H166" i="102"/>
  <c r="H165" i="102"/>
  <c r="G160" i="102"/>
  <c r="G159" i="102"/>
  <c r="G161" i="102"/>
  <c r="Q167" i="102"/>
  <c r="Q166" i="102"/>
  <c r="Q169" i="102"/>
  <c r="Q165" i="102"/>
  <c r="Q168" i="102"/>
  <c r="P160" i="102"/>
  <c r="P159" i="102"/>
  <c r="P161" i="102"/>
  <c r="G158" i="102"/>
  <c r="T167" i="102"/>
  <c r="T169" i="102"/>
  <c r="T168" i="102"/>
  <c r="T166" i="102"/>
  <c r="T165" i="102"/>
  <c r="S161" i="102"/>
  <c r="S159" i="102"/>
  <c r="S160" i="102"/>
  <c r="AA162" i="102"/>
  <c r="Z158" i="102" s="1"/>
  <c r="P162" i="95"/>
  <c r="P171" i="95"/>
  <c r="Q182" i="95" s="1"/>
  <c r="Q183" i="95" s="1"/>
  <c r="H166" i="95"/>
  <c r="H167" i="95"/>
  <c r="H165" i="95"/>
  <c r="H169" i="95"/>
  <c r="H168" i="95"/>
  <c r="G159" i="95"/>
  <c r="G160" i="95"/>
  <c r="G161" i="95"/>
  <c r="I23" i="101"/>
  <c r="I158" i="101" s="1"/>
  <c r="I162" i="101" s="1"/>
  <c r="H158" i="101" s="1"/>
  <c r="M162" i="96"/>
  <c r="J162" i="96"/>
  <c r="G162" i="96"/>
  <c r="P162" i="96"/>
  <c r="J162" i="94"/>
  <c r="G162" i="94"/>
  <c r="P74" i="94"/>
  <c r="P73" i="94"/>
  <c r="V73" i="96"/>
  <c r="V74" i="96"/>
  <c r="P75" i="94"/>
  <c r="P76" i="94"/>
  <c r="V76" i="96"/>
  <c r="V75" i="96"/>
  <c r="V19" i="96"/>
  <c r="V97" i="96"/>
  <c r="P19" i="94"/>
  <c r="P97" i="94"/>
  <c r="V18" i="96"/>
  <c r="V17" i="96"/>
  <c r="P18" i="94"/>
  <c r="P17" i="94"/>
  <c r="V108" i="96"/>
  <c r="V20" i="96"/>
  <c r="P108" i="94"/>
  <c r="P20" i="94"/>
  <c r="P128" i="94"/>
  <c r="P124" i="94"/>
  <c r="P123" i="94"/>
  <c r="P111" i="94"/>
  <c r="P118" i="94"/>
  <c r="P113" i="94"/>
  <c r="P122" i="94"/>
  <c r="P121" i="94"/>
  <c r="P119" i="94"/>
  <c r="P126" i="94"/>
  <c r="P117" i="94"/>
  <c r="P125" i="94"/>
  <c r="P112" i="94"/>
  <c r="P116" i="94"/>
  <c r="P115" i="94"/>
  <c r="P114" i="94"/>
  <c r="P127" i="94"/>
  <c r="P120" i="94"/>
  <c r="V128" i="96"/>
  <c r="V126" i="96"/>
  <c r="V114" i="96"/>
  <c r="V125" i="96"/>
  <c r="V113" i="96"/>
  <c r="V124" i="96"/>
  <c r="V112" i="96"/>
  <c r="V123" i="96"/>
  <c r="V111" i="96"/>
  <c r="V122" i="96"/>
  <c r="V121" i="96"/>
  <c r="V120" i="96"/>
  <c r="V115" i="96"/>
  <c r="V116" i="96"/>
  <c r="V117" i="96"/>
  <c r="V118" i="96"/>
  <c r="V119" i="96"/>
  <c r="V127" i="96"/>
  <c r="P129" i="94"/>
  <c r="P131" i="94"/>
  <c r="P130" i="94"/>
  <c r="V130" i="96"/>
  <c r="V131" i="96"/>
  <c r="V129" i="96"/>
  <c r="P110" i="94"/>
  <c r="P107" i="94"/>
  <c r="P104" i="94"/>
  <c r="P109" i="94"/>
  <c r="P106" i="94"/>
  <c r="P102" i="94"/>
  <c r="P103" i="94"/>
  <c r="P101" i="94"/>
  <c r="P105" i="94"/>
  <c r="V107" i="96"/>
  <c r="V106" i="96"/>
  <c r="V104" i="96"/>
  <c r="V102" i="96"/>
  <c r="V109" i="96"/>
  <c r="V110" i="96"/>
  <c r="V101" i="96"/>
  <c r="V103" i="96"/>
  <c r="V105" i="96"/>
  <c r="V71" i="96"/>
  <c r="V68" i="96"/>
  <c r="V65" i="96"/>
  <c r="V72" i="96"/>
  <c r="V69" i="96"/>
  <c r="V78" i="96"/>
  <c r="V66" i="96"/>
  <c r="V60" i="96"/>
  <c r="V63" i="96"/>
  <c r="V77" i="96"/>
  <c r="V62" i="96"/>
  <c r="V64" i="96"/>
  <c r="V70" i="96"/>
  <c r="V61" i="96"/>
  <c r="V67" i="96"/>
  <c r="V59" i="96"/>
  <c r="P65" i="94"/>
  <c r="P62" i="94"/>
  <c r="P61" i="94"/>
  <c r="P71" i="94"/>
  <c r="P66" i="94"/>
  <c r="P60" i="94"/>
  <c r="P78" i="94"/>
  <c r="P63" i="94"/>
  <c r="P72" i="94"/>
  <c r="P59" i="94"/>
  <c r="P67" i="94"/>
  <c r="P69" i="94"/>
  <c r="P68" i="94"/>
  <c r="P64" i="94"/>
  <c r="P70" i="94"/>
  <c r="P77" i="94"/>
  <c r="W181" i="20"/>
  <c r="T158" i="96"/>
  <c r="V55" i="96"/>
  <c r="V56" i="96"/>
  <c r="V58" i="96"/>
  <c r="V57" i="96"/>
  <c r="V54" i="96"/>
  <c r="N158" i="94"/>
  <c r="P58" i="94"/>
  <c r="P56" i="94"/>
  <c r="P57" i="94"/>
  <c r="P54" i="94"/>
  <c r="P55" i="94"/>
  <c r="W178" i="20"/>
  <c r="V1" i="20"/>
  <c r="W177" i="20"/>
  <c r="W176" i="20"/>
  <c r="W175" i="20"/>
  <c r="W170" i="20"/>
  <c r="W171" i="20" s="1"/>
  <c r="U172" i="20" s="1"/>
  <c r="W174" i="20"/>
  <c r="W183" i="20"/>
  <c r="AC175" i="20"/>
  <c r="AC181" i="20"/>
  <c r="AC177" i="20"/>
  <c r="T183" i="20"/>
  <c r="U182" i="20"/>
  <c r="Q181" i="20"/>
  <c r="Q170" i="20"/>
  <c r="Q171" i="20" s="1"/>
  <c r="O172" i="20" s="1"/>
  <c r="J171" i="96"/>
  <c r="K182" i="96" s="1"/>
  <c r="K183" i="96" s="1"/>
  <c r="M171" i="96"/>
  <c r="N182" i="96" s="1"/>
  <c r="N174" i="96" s="1"/>
  <c r="O182" i="20"/>
  <c r="Q175" i="20"/>
  <c r="G171" i="94"/>
  <c r="H182" i="94" s="1"/>
  <c r="H178" i="94" s="1"/>
  <c r="Q176" i="20"/>
  <c r="U168" i="96"/>
  <c r="U167" i="96"/>
  <c r="U169" i="96"/>
  <c r="U165" i="96"/>
  <c r="U166" i="96"/>
  <c r="V51" i="96"/>
  <c r="V147" i="96"/>
  <c r="V136" i="96"/>
  <c r="V151" i="96"/>
  <c r="V91" i="96"/>
  <c r="V39" i="96"/>
  <c r="V48" i="96"/>
  <c r="V79" i="96"/>
  <c r="V146" i="96"/>
  <c r="V30" i="96"/>
  <c r="V27" i="96"/>
  <c r="V138" i="96"/>
  <c r="V87" i="96"/>
  <c r="V96" i="96"/>
  <c r="V141" i="96"/>
  <c r="V137" i="96"/>
  <c r="V50" i="96"/>
  <c r="V49" i="96"/>
  <c r="V154" i="96"/>
  <c r="V135" i="96"/>
  <c r="V46" i="96"/>
  <c r="V139" i="96"/>
  <c r="V52" i="96"/>
  <c r="V149" i="96"/>
  <c r="V45" i="96"/>
  <c r="V44" i="96"/>
  <c r="V99" i="96"/>
  <c r="V38" i="96"/>
  <c r="V84" i="96"/>
  <c r="V43" i="96"/>
  <c r="V94" i="96"/>
  <c r="V40" i="96"/>
  <c r="V90" i="96"/>
  <c r="V37" i="96"/>
  <c r="V35" i="96"/>
  <c r="V142" i="96"/>
  <c r="V47" i="96"/>
  <c r="V148" i="96"/>
  <c r="V93" i="96"/>
  <c r="V140" i="96"/>
  <c r="V152" i="96"/>
  <c r="V83" i="96"/>
  <c r="V89" i="96"/>
  <c r="V32" i="96"/>
  <c r="V145" i="96"/>
  <c r="V41" i="96"/>
  <c r="V85" i="96"/>
  <c r="V29" i="96"/>
  <c r="V143" i="96"/>
  <c r="V88" i="96"/>
  <c r="V86" i="96"/>
  <c r="V36" i="96"/>
  <c r="V92" i="96"/>
  <c r="V95" i="96"/>
  <c r="V53" i="96"/>
  <c r="V28" i="96"/>
  <c r="V100" i="96"/>
  <c r="V26" i="96"/>
  <c r="V34" i="96"/>
  <c r="V144" i="96"/>
  <c r="V98" i="96"/>
  <c r="V153" i="96"/>
  <c r="V42" i="96"/>
  <c r="V31" i="96"/>
  <c r="V150" i="96"/>
  <c r="V33" i="96"/>
  <c r="T160" i="96"/>
  <c r="T159" i="96"/>
  <c r="T161" i="96"/>
  <c r="V15" i="96"/>
  <c r="V9" i="96"/>
  <c r="V13" i="96"/>
  <c r="V12" i="96"/>
  <c r="V10" i="96"/>
  <c r="V21" i="96"/>
  <c r="V22" i="96"/>
  <c r="V11" i="96"/>
  <c r="V8" i="96"/>
  <c r="V16" i="96"/>
  <c r="V7" i="96"/>
  <c r="V14" i="96"/>
  <c r="P171" i="96"/>
  <c r="Q182" i="96" s="1"/>
  <c r="Q179" i="20"/>
  <c r="G171" i="96"/>
  <c r="H182" i="96" s="1"/>
  <c r="P1" i="20"/>
  <c r="Q183" i="20"/>
  <c r="Q178" i="20"/>
  <c r="AC183" i="20"/>
  <c r="AA182" i="20"/>
  <c r="AA162" i="95"/>
  <c r="AC176" i="20"/>
  <c r="Q177" i="20"/>
  <c r="AC178" i="20"/>
  <c r="AC179" i="20"/>
  <c r="N166" i="95"/>
  <c r="N169" i="95"/>
  <c r="N165" i="95"/>
  <c r="N167" i="95"/>
  <c r="N168" i="95"/>
  <c r="M161" i="95"/>
  <c r="M159" i="95"/>
  <c r="M160" i="95"/>
  <c r="AC170" i="20"/>
  <c r="AC171" i="20" s="1"/>
  <c r="AA172" i="20" s="1"/>
  <c r="AC174" i="20"/>
  <c r="K167" i="95"/>
  <c r="K166" i="95"/>
  <c r="K169" i="95"/>
  <c r="K168" i="95"/>
  <c r="K165" i="95"/>
  <c r="J161" i="95"/>
  <c r="J160" i="95"/>
  <c r="J159" i="95"/>
  <c r="J171" i="94"/>
  <c r="K182" i="94" s="1"/>
  <c r="K181" i="94" s="1"/>
  <c r="T176" i="20"/>
  <c r="T177" i="20"/>
  <c r="T179" i="20"/>
  <c r="R182" i="20"/>
  <c r="T174" i="20"/>
  <c r="O167" i="94"/>
  <c r="O166" i="94"/>
  <c r="O168" i="94"/>
  <c r="O169" i="94"/>
  <c r="O165" i="94"/>
  <c r="P96" i="94"/>
  <c r="P88" i="94"/>
  <c r="P39" i="94"/>
  <c r="P135" i="94"/>
  <c r="P26" i="94"/>
  <c r="P50" i="94"/>
  <c r="P31" i="94"/>
  <c r="P44" i="94"/>
  <c r="P94" i="94"/>
  <c r="P99" i="94"/>
  <c r="P35" i="94"/>
  <c r="P43" i="94"/>
  <c r="P137" i="94"/>
  <c r="P92" i="94"/>
  <c r="P143" i="94"/>
  <c r="P79" i="94"/>
  <c r="P139" i="94"/>
  <c r="P45" i="94"/>
  <c r="P36" i="94"/>
  <c r="P95" i="94"/>
  <c r="P144" i="94"/>
  <c r="P152" i="94"/>
  <c r="P46" i="94"/>
  <c r="P87" i="94"/>
  <c r="P91" i="94"/>
  <c r="P37" i="94"/>
  <c r="P49" i="94"/>
  <c r="P32" i="94"/>
  <c r="P90" i="94"/>
  <c r="P138" i="94"/>
  <c r="P142" i="94"/>
  <c r="P52" i="94"/>
  <c r="P153" i="94"/>
  <c r="P140" i="94"/>
  <c r="P147" i="94"/>
  <c r="P141" i="94"/>
  <c r="P40" i="94"/>
  <c r="P146" i="94"/>
  <c r="P148" i="94"/>
  <c r="P29" i="94"/>
  <c r="P30" i="94"/>
  <c r="P89" i="94"/>
  <c r="P42" i="94"/>
  <c r="P83" i="94"/>
  <c r="P145" i="94"/>
  <c r="P150" i="94"/>
  <c r="P53" i="94"/>
  <c r="P149" i="94"/>
  <c r="P93" i="94"/>
  <c r="P38" i="94"/>
  <c r="P34" i="94"/>
  <c r="P48" i="94"/>
  <c r="P85" i="94"/>
  <c r="P27" i="94"/>
  <c r="P28" i="94"/>
  <c r="P100" i="94"/>
  <c r="P84" i="94"/>
  <c r="P86" i="94"/>
  <c r="P154" i="94"/>
  <c r="P33" i="94"/>
  <c r="P136" i="94"/>
  <c r="P151" i="94"/>
  <c r="P51" i="94"/>
  <c r="P98" i="94"/>
  <c r="P41" i="94"/>
  <c r="P47" i="94"/>
  <c r="N160" i="94"/>
  <c r="N161" i="94"/>
  <c r="N159" i="94"/>
  <c r="P7" i="94"/>
  <c r="P9" i="94"/>
  <c r="P11" i="94"/>
  <c r="P8" i="94"/>
  <c r="P21" i="94"/>
  <c r="P22" i="94"/>
  <c r="P15" i="94"/>
  <c r="P10" i="94"/>
  <c r="P16" i="94"/>
  <c r="P13" i="94"/>
  <c r="P12" i="94"/>
  <c r="P14" i="94"/>
  <c r="T175" i="20"/>
  <c r="T170" i="20"/>
  <c r="T171" i="20" s="1"/>
  <c r="R172" i="20" s="1"/>
  <c r="T178" i="20"/>
  <c r="S1" i="20"/>
  <c r="M162" i="20"/>
  <c r="M171" i="20"/>
  <c r="N182" i="20" s="1"/>
  <c r="L182" i="20" s="1"/>
  <c r="Z170" i="20"/>
  <c r="Z171" i="20" s="1"/>
  <c r="X172" i="20" s="1"/>
  <c r="X182" i="20"/>
  <c r="Z179" i="20"/>
  <c r="Z183" i="20"/>
  <c r="Y1" i="20"/>
  <c r="Z176" i="20"/>
  <c r="Z174" i="20"/>
  <c r="Z178" i="20"/>
  <c r="Z177" i="20"/>
  <c r="Z181" i="20"/>
  <c r="Z175" i="20"/>
  <c r="G162" i="20"/>
  <c r="G171" i="20"/>
  <c r="H182" i="20" s="1"/>
  <c r="V1" i="95" l="1"/>
  <c r="W175" i="95"/>
  <c r="W177" i="95"/>
  <c r="W181" i="95"/>
  <c r="W170" i="95"/>
  <c r="W171" i="95" s="1"/>
  <c r="U172" i="95" s="1"/>
  <c r="W176" i="95"/>
  <c r="W174" i="95"/>
  <c r="W183" i="95"/>
  <c r="W179" i="95"/>
  <c r="W178" i="95"/>
  <c r="V162" i="102"/>
  <c r="T177" i="95"/>
  <c r="T176" i="95"/>
  <c r="S162" i="102"/>
  <c r="M171" i="102"/>
  <c r="N182" i="102" s="1"/>
  <c r="N170" i="102" s="1"/>
  <c r="N171" i="102" s="1"/>
  <c r="L172" i="102" s="1"/>
  <c r="T170" i="95"/>
  <c r="T171" i="95" s="1"/>
  <c r="R172" i="95" s="1"/>
  <c r="T178" i="95"/>
  <c r="T179" i="95"/>
  <c r="R182" i="95"/>
  <c r="J162" i="102"/>
  <c r="V171" i="102"/>
  <c r="W182" i="102" s="1"/>
  <c r="W175" i="102" s="1"/>
  <c r="S171" i="102"/>
  <c r="T182" i="102" s="1"/>
  <c r="T175" i="102" s="1"/>
  <c r="P162" i="102"/>
  <c r="G171" i="102"/>
  <c r="H182" i="102" s="1"/>
  <c r="H170" i="102" s="1"/>
  <c r="H171" i="102" s="1"/>
  <c r="F172" i="102" s="1"/>
  <c r="M162" i="102"/>
  <c r="S1" i="95"/>
  <c r="T174" i="95"/>
  <c r="T181" i="95"/>
  <c r="AA169" i="102"/>
  <c r="AA168" i="102"/>
  <c r="AA167" i="102"/>
  <c r="AA166" i="102"/>
  <c r="AA165" i="102"/>
  <c r="AB60" i="102"/>
  <c r="AB79" i="102"/>
  <c r="AB92" i="102"/>
  <c r="AB70" i="102"/>
  <c r="AB29" i="102"/>
  <c r="AB46" i="102"/>
  <c r="AB71" i="102"/>
  <c r="AB95" i="102"/>
  <c r="AB103" i="102"/>
  <c r="AB101" i="102"/>
  <c r="AB137" i="102"/>
  <c r="AB107" i="102"/>
  <c r="AB135" i="102"/>
  <c r="AB32" i="102"/>
  <c r="AB147" i="102"/>
  <c r="AB37" i="102"/>
  <c r="AB73" i="102"/>
  <c r="AB151" i="102"/>
  <c r="AB143" i="102"/>
  <c r="AB119" i="102"/>
  <c r="AB130" i="102"/>
  <c r="AB58" i="102"/>
  <c r="AB98" i="102"/>
  <c r="AB77" i="102"/>
  <c r="AB99" i="102"/>
  <c r="AB88" i="102"/>
  <c r="AB62" i="102"/>
  <c r="AB150" i="102"/>
  <c r="AB96" i="102"/>
  <c r="AB122" i="102"/>
  <c r="AB113" i="102"/>
  <c r="AB93" i="102"/>
  <c r="AB54" i="102"/>
  <c r="AB126" i="102"/>
  <c r="AB114" i="102"/>
  <c r="AB30" i="102"/>
  <c r="AB57" i="102"/>
  <c r="AB154" i="102"/>
  <c r="AB128" i="102"/>
  <c r="AB120" i="102"/>
  <c r="AB86" i="102"/>
  <c r="AB28" i="102"/>
  <c r="AB152" i="102"/>
  <c r="AB145" i="102"/>
  <c r="AB69" i="102"/>
  <c r="AB53" i="102"/>
  <c r="AB72" i="102"/>
  <c r="AB105" i="102"/>
  <c r="AB90" i="102"/>
  <c r="AB55" i="102"/>
  <c r="AB111" i="102"/>
  <c r="AB141" i="102"/>
  <c r="AB106" i="102"/>
  <c r="AB41" i="102"/>
  <c r="AB148" i="102"/>
  <c r="AB149" i="102"/>
  <c r="AB48" i="102"/>
  <c r="AB115" i="102"/>
  <c r="AB97" i="102"/>
  <c r="AB66" i="102"/>
  <c r="AB117" i="102"/>
  <c r="AB124" i="102"/>
  <c r="AB100" i="102"/>
  <c r="AB50" i="102"/>
  <c r="AB75" i="102"/>
  <c r="AB39" i="102"/>
  <c r="AB47" i="102"/>
  <c r="AB108" i="102"/>
  <c r="AB26" i="102"/>
  <c r="AB131" i="102"/>
  <c r="AB123" i="102"/>
  <c r="AB59" i="102"/>
  <c r="AB146" i="102"/>
  <c r="AB129" i="102"/>
  <c r="AB125" i="102"/>
  <c r="AB85" i="102"/>
  <c r="AB104" i="102"/>
  <c r="AB38" i="102"/>
  <c r="AB65" i="102"/>
  <c r="AB116" i="102"/>
  <c r="AB40" i="102"/>
  <c r="AB112" i="102"/>
  <c r="AB102" i="102"/>
  <c r="AB63" i="102"/>
  <c r="AB56" i="102"/>
  <c r="AB43" i="102"/>
  <c r="AB110" i="102"/>
  <c r="AB76" i="102"/>
  <c r="AB49" i="102"/>
  <c r="AB52" i="102"/>
  <c r="AB61" i="102"/>
  <c r="AB118" i="102"/>
  <c r="Z161" i="102"/>
  <c r="AB78" i="102"/>
  <c r="AB87" i="102"/>
  <c r="AB68" i="102"/>
  <c r="AB136" i="102"/>
  <c r="AB35" i="102"/>
  <c r="AB94" i="102"/>
  <c r="AB121" i="102"/>
  <c r="AB33" i="102"/>
  <c r="AB84" i="102"/>
  <c r="AB91" i="102"/>
  <c r="AB89" i="102"/>
  <c r="AB44" i="102"/>
  <c r="AB83" i="102"/>
  <c r="AB74" i="102"/>
  <c r="AB109" i="102"/>
  <c r="AB153" i="102"/>
  <c r="AB144" i="102"/>
  <c r="AB127" i="102"/>
  <c r="AB64" i="102"/>
  <c r="AB67" i="102"/>
  <c r="AB36" i="102"/>
  <c r="AB31" i="102"/>
  <c r="AB142" i="102"/>
  <c r="AB45" i="102"/>
  <c r="AB51" i="102"/>
  <c r="Z159" i="102"/>
  <c r="AB34" i="102"/>
  <c r="AB27" i="102"/>
  <c r="Z160" i="102"/>
  <c r="AB140" i="102"/>
  <c r="AB139" i="102"/>
  <c r="AB42" i="102"/>
  <c r="AB138" i="102"/>
  <c r="AB21" i="102"/>
  <c r="AB22" i="102"/>
  <c r="AB15" i="102"/>
  <c r="AB14" i="102"/>
  <c r="AB20" i="102"/>
  <c r="AB19" i="102"/>
  <c r="AB18" i="102"/>
  <c r="AB17" i="102"/>
  <c r="AB9" i="102"/>
  <c r="AB7" i="102"/>
  <c r="AB16" i="102"/>
  <c r="AB12" i="102"/>
  <c r="AB10" i="102"/>
  <c r="AB8" i="102"/>
  <c r="AB11" i="102"/>
  <c r="AB13" i="102"/>
  <c r="T175" i="95"/>
  <c r="G162" i="102"/>
  <c r="P171" i="102"/>
  <c r="Q182" i="102" s="1"/>
  <c r="J171" i="102"/>
  <c r="K182" i="102" s="1"/>
  <c r="Q181" i="95"/>
  <c r="Q176" i="95"/>
  <c r="Q177" i="95"/>
  <c r="Q175" i="95"/>
  <c r="Q174" i="95"/>
  <c r="P1" i="95"/>
  <c r="Q170" i="95"/>
  <c r="Q171" i="95" s="1"/>
  <c r="O172" i="95" s="1"/>
  <c r="O182" i="95"/>
  <c r="Q178" i="95"/>
  <c r="Q179" i="95"/>
  <c r="G162" i="95"/>
  <c r="G171" i="95"/>
  <c r="H182" i="95" s="1"/>
  <c r="J10" i="101"/>
  <c r="J7" i="101"/>
  <c r="J12" i="101"/>
  <c r="J9" i="101"/>
  <c r="J15" i="101"/>
  <c r="J20" i="101"/>
  <c r="J19" i="101"/>
  <c r="J76" i="101"/>
  <c r="J150" i="101"/>
  <c r="J49" i="101"/>
  <c r="J88" i="101"/>
  <c r="J8" i="101"/>
  <c r="J48" i="101"/>
  <c r="J89" i="101"/>
  <c r="J27" i="101"/>
  <c r="J142" i="101"/>
  <c r="J84" i="101"/>
  <c r="J152" i="101"/>
  <c r="J105" i="101"/>
  <c r="J139" i="101"/>
  <c r="J13" i="101"/>
  <c r="H159" i="101"/>
  <c r="J77" i="101"/>
  <c r="J148" i="101"/>
  <c r="J102" i="101"/>
  <c r="J85" i="101"/>
  <c r="J120" i="101"/>
  <c r="J145" i="101"/>
  <c r="J39" i="101"/>
  <c r="J119" i="101"/>
  <c r="J69" i="101"/>
  <c r="J112" i="101"/>
  <c r="J136" i="101"/>
  <c r="J92" i="101"/>
  <c r="J11" i="101"/>
  <c r="J18" i="101"/>
  <c r="J56" i="101"/>
  <c r="J129" i="101"/>
  <c r="J65" i="101"/>
  <c r="J96" i="101"/>
  <c r="J103" i="101"/>
  <c r="J111" i="101"/>
  <c r="J83" i="101"/>
  <c r="J117" i="101"/>
  <c r="J68" i="101"/>
  <c r="J67" i="101"/>
  <c r="J140" i="101"/>
  <c r="J33" i="101"/>
  <c r="J29" i="101"/>
  <c r="J93" i="101"/>
  <c r="J99" i="101"/>
  <c r="J52" i="101"/>
  <c r="J62" i="101"/>
  <c r="J115" i="101"/>
  <c r="J141" i="101"/>
  <c r="J43" i="101"/>
  <c r="J38" i="101"/>
  <c r="J44" i="101"/>
  <c r="J50" i="101"/>
  <c r="J110" i="101"/>
  <c r="J41" i="101"/>
  <c r="J70" i="101"/>
  <c r="J64" i="101"/>
  <c r="J72" i="101"/>
  <c r="J147" i="101"/>
  <c r="J135" i="101"/>
  <c r="J16" i="101"/>
  <c r="J26" i="101"/>
  <c r="J79" i="101"/>
  <c r="J51" i="101"/>
  <c r="J118" i="101"/>
  <c r="J149" i="101"/>
  <c r="J116" i="101"/>
  <c r="J45" i="101"/>
  <c r="J95" i="101"/>
  <c r="J22" i="101"/>
  <c r="J107" i="101"/>
  <c r="J131" i="101"/>
  <c r="J143" i="101"/>
  <c r="J32" i="101"/>
  <c r="J109" i="101"/>
  <c r="J75" i="101"/>
  <c r="J146" i="101"/>
  <c r="J78" i="101"/>
  <c r="J58" i="101"/>
  <c r="J108" i="101"/>
  <c r="J57" i="101"/>
  <c r="I165" i="101"/>
  <c r="J34" i="101"/>
  <c r="J21" i="101"/>
  <c r="H160" i="101"/>
  <c r="J153" i="101"/>
  <c r="J113" i="101"/>
  <c r="J74" i="101"/>
  <c r="J46" i="101"/>
  <c r="J61" i="101"/>
  <c r="J66" i="101"/>
  <c r="J104" i="101"/>
  <c r="J53" i="101"/>
  <c r="J130" i="101"/>
  <c r="J98" i="101"/>
  <c r="J123" i="101"/>
  <c r="J37" i="101"/>
  <c r="J31" i="101"/>
  <c r="J114" i="101"/>
  <c r="J40" i="101"/>
  <c r="J36" i="101"/>
  <c r="J47" i="101"/>
  <c r="J86" i="101"/>
  <c r="J151" i="101"/>
  <c r="J126" i="101"/>
  <c r="J138" i="101"/>
  <c r="J121" i="101"/>
  <c r="J71" i="101"/>
  <c r="J63" i="101"/>
  <c r="J73" i="101"/>
  <c r="J28" i="101"/>
  <c r="J54" i="101"/>
  <c r="J127" i="101"/>
  <c r="J55" i="101"/>
  <c r="J106" i="101"/>
  <c r="J90" i="101"/>
  <c r="J94" i="101"/>
  <c r="I168" i="101"/>
  <c r="J137" i="101"/>
  <c r="J30" i="101"/>
  <c r="J14" i="101"/>
  <c r="J17" i="101"/>
  <c r="H161" i="101"/>
  <c r="J144" i="101"/>
  <c r="J60" i="101"/>
  <c r="J100" i="101"/>
  <c r="J87" i="101"/>
  <c r="J97" i="101"/>
  <c r="J42" i="101"/>
  <c r="J35" i="101"/>
  <c r="J124" i="101"/>
  <c r="J125" i="101"/>
  <c r="J128" i="101"/>
  <c r="J101" i="101"/>
  <c r="J154" i="101"/>
  <c r="J59" i="101"/>
  <c r="J91" i="101"/>
  <c r="J122" i="101"/>
  <c r="I167" i="101"/>
  <c r="I169" i="101"/>
  <c r="I166" i="101"/>
  <c r="J162" i="95"/>
  <c r="M162" i="95"/>
  <c r="T162" i="96"/>
  <c r="N162" i="94"/>
  <c r="AB74" i="95"/>
  <c r="AB73" i="95"/>
  <c r="AB75" i="95"/>
  <c r="AB76" i="95"/>
  <c r="AB19" i="95"/>
  <c r="AB97" i="95"/>
  <c r="AB18" i="95"/>
  <c r="AB17" i="95"/>
  <c r="AB108" i="95"/>
  <c r="AB20" i="95"/>
  <c r="AB113" i="95"/>
  <c r="AB114" i="95"/>
  <c r="AB127" i="95"/>
  <c r="AB111" i="95"/>
  <c r="AB124" i="95"/>
  <c r="AB118" i="95"/>
  <c r="AB116" i="95"/>
  <c r="AB128" i="95"/>
  <c r="AB119" i="95"/>
  <c r="AB112" i="95"/>
  <c r="AB125" i="95"/>
  <c r="AB126" i="95"/>
  <c r="AB120" i="95"/>
  <c r="AB115" i="95"/>
  <c r="AB122" i="95"/>
  <c r="AB121" i="95"/>
  <c r="AB123" i="95"/>
  <c r="AB117" i="95"/>
  <c r="AB131" i="95"/>
  <c r="AB129" i="95"/>
  <c r="AB130" i="95"/>
  <c r="AB101" i="95"/>
  <c r="AB105" i="95"/>
  <c r="AB102" i="95"/>
  <c r="AB107" i="95"/>
  <c r="AB106" i="95"/>
  <c r="AB104" i="95"/>
  <c r="AB103" i="95"/>
  <c r="AB109" i="95"/>
  <c r="AB110" i="95"/>
  <c r="AB67" i="95"/>
  <c r="AB65" i="95"/>
  <c r="AB77" i="95"/>
  <c r="AB60" i="95"/>
  <c r="AB71" i="95"/>
  <c r="AB72" i="95"/>
  <c r="AB70" i="95"/>
  <c r="AB68" i="95"/>
  <c r="AB78" i="95"/>
  <c r="AB63" i="95"/>
  <c r="AB64" i="95"/>
  <c r="AB61" i="95"/>
  <c r="AB69" i="95"/>
  <c r="AB62" i="95"/>
  <c r="AB66" i="95"/>
  <c r="AB59" i="95"/>
  <c r="K174" i="96"/>
  <c r="AB55" i="95"/>
  <c r="AB58" i="95"/>
  <c r="AB56" i="95"/>
  <c r="AB54" i="95"/>
  <c r="AB57" i="95"/>
  <c r="F182" i="94"/>
  <c r="G1" i="94"/>
  <c r="K178" i="96"/>
  <c r="K181" i="96"/>
  <c r="K175" i="96"/>
  <c r="N181" i="96"/>
  <c r="M1" i="96"/>
  <c r="K179" i="96"/>
  <c r="N178" i="96"/>
  <c r="K170" i="96"/>
  <c r="K171" i="96" s="1"/>
  <c r="I172" i="96" s="1"/>
  <c r="K176" i="96"/>
  <c r="N170" i="96"/>
  <c r="N171" i="96" s="1"/>
  <c r="L172" i="96" s="1"/>
  <c r="H177" i="94"/>
  <c r="I182" i="96"/>
  <c r="H183" i="94"/>
  <c r="N175" i="96"/>
  <c r="H181" i="94"/>
  <c r="J1" i="96"/>
  <c r="N179" i="96"/>
  <c r="K177" i="96"/>
  <c r="L182" i="96"/>
  <c r="N177" i="96"/>
  <c r="N176" i="96"/>
  <c r="N183" i="96"/>
  <c r="J171" i="95"/>
  <c r="K182" i="95" s="1"/>
  <c r="K181" i="95" s="1"/>
  <c r="H170" i="94"/>
  <c r="H171" i="94" s="1"/>
  <c r="F172" i="94" s="1"/>
  <c r="H175" i="94"/>
  <c r="M171" i="95"/>
  <c r="N182" i="95" s="1"/>
  <c r="N175" i="95" s="1"/>
  <c r="H176" i="94"/>
  <c r="Q179" i="96"/>
  <c r="Q175" i="96"/>
  <c r="Q170" i="96"/>
  <c r="Q171" i="96" s="1"/>
  <c r="O172" i="96" s="1"/>
  <c r="Q178" i="96"/>
  <c r="Q174" i="96"/>
  <c r="Q183" i="96"/>
  <c r="Q177" i="96"/>
  <c r="O182" i="96"/>
  <c r="Q181" i="96"/>
  <c r="Q176" i="96"/>
  <c r="P1" i="96"/>
  <c r="H174" i="94"/>
  <c r="H179" i="94"/>
  <c r="T171" i="96"/>
  <c r="U182" i="96" s="1"/>
  <c r="H181" i="96"/>
  <c r="H176" i="96"/>
  <c r="H179" i="96"/>
  <c r="H175" i="96"/>
  <c r="H170" i="96"/>
  <c r="H171" i="96" s="1"/>
  <c r="F172" i="96" s="1"/>
  <c r="H177" i="96"/>
  <c r="H183" i="96"/>
  <c r="H174" i="96"/>
  <c r="H178" i="96"/>
  <c r="G1" i="96"/>
  <c r="F182" i="96"/>
  <c r="AA167" i="95"/>
  <c r="AA166" i="95"/>
  <c r="AA169" i="95"/>
  <c r="AA168" i="95"/>
  <c r="AA165" i="95"/>
  <c r="AB35" i="95"/>
  <c r="AB146" i="95"/>
  <c r="AB52" i="95"/>
  <c r="AB142" i="95"/>
  <c r="AB94" i="95"/>
  <c r="AB136" i="95"/>
  <c r="AB90" i="95"/>
  <c r="AB44" i="95"/>
  <c r="AB46" i="95"/>
  <c r="AB31" i="95"/>
  <c r="AB38" i="95"/>
  <c r="AB139" i="95"/>
  <c r="AB48" i="95"/>
  <c r="AB50" i="95"/>
  <c r="AB98" i="95"/>
  <c r="AB43" i="95"/>
  <c r="AB135" i="95"/>
  <c r="AB40" i="95"/>
  <c r="AB89" i="95"/>
  <c r="AB83" i="95"/>
  <c r="AB95" i="95"/>
  <c r="AB51" i="95"/>
  <c r="AB36" i="95"/>
  <c r="AB41" i="95"/>
  <c r="AB137" i="95"/>
  <c r="AB138" i="95"/>
  <c r="AB34" i="95"/>
  <c r="AB147" i="95"/>
  <c r="AB87" i="95"/>
  <c r="AB91" i="95"/>
  <c r="AB84" i="95"/>
  <c r="AB32" i="95"/>
  <c r="AB149" i="95"/>
  <c r="AB27" i="95"/>
  <c r="AB96" i="95"/>
  <c r="AB49" i="95"/>
  <c r="AB79" i="95"/>
  <c r="AB37" i="95"/>
  <c r="AB148" i="95"/>
  <c r="AB30" i="95"/>
  <c r="AB47" i="95"/>
  <c r="AB26" i="95"/>
  <c r="AB100" i="95"/>
  <c r="AB92" i="95"/>
  <c r="AB88" i="95"/>
  <c r="AB93" i="95"/>
  <c r="AB152" i="95"/>
  <c r="AB99" i="95"/>
  <c r="AB154" i="95"/>
  <c r="AB53" i="95"/>
  <c r="AB45" i="95"/>
  <c r="AB42" i="95"/>
  <c r="AB143" i="95"/>
  <c r="AB141" i="95"/>
  <c r="AB28" i="95"/>
  <c r="AB29" i="95"/>
  <c r="AB145" i="95"/>
  <c r="AB150" i="95"/>
  <c r="AB86" i="95"/>
  <c r="AB151" i="95"/>
  <c r="AB153" i="95"/>
  <c r="AB140" i="95"/>
  <c r="AB33" i="95"/>
  <c r="AB144" i="95"/>
  <c r="AB85" i="95"/>
  <c r="AB39" i="95"/>
  <c r="Z160" i="95"/>
  <c r="Z161" i="95"/>
  <c r="Z159" i="95"/>
  <c r="AB12" i="95"/>
  <c r="AB15" i="95"/>
  <c r="AB13" i="95"/>
  <c r="AB8" i="95"/>
  <c r="AB11" i="95"/>
  <c r="AB9" i="95"/>
  <c r="AB14" i="95"/>
  <c r="AB22" i="95"/>
  <c r="AB16" i="95"/>
  <c r="AB21" i="95"/>
  <c r="AB7" i="95"/>
  <c r="AB10" i="95"/>
  <c r="Z158" i="95"/>
  <c r="J1" i="94"/>
  <c r="K176" i="94"/>
  <c r="K175" i="94"/>
  <c r="K179" i="94"/>
  <c r="K174" i="94"/>
  <c r="K183" i="94"/>
  <c r="K177" i="94"/>
  <c r="K178" i="94"/>
  <c r="I182" i="94"/>
  <c r="N171" i="94"/>
  <c r="O182" i="94" s="1"/>
  <c r="O183" i="94" s="1"/>
  <c r="K170" i="94"/>
  <c r="K171" i="94" s="1"/>
  <c r="I172" i="94" s="1"/>
  <c r="N176" i="20"/>
  <c r="N177" i="20"/>
  <c r="N170" i="20"/>
  <c r="N171" i="20" s="1"/>
  <c r="L172" i="20" s="1"/>
  <c r="N181" i="20"/>
  <c r="N175" i="20"/>
  <c r="N183" i="20"/>
  <c r="N174" i="20"/>
  <c r="N178" i="20"/>
  <c r="N179" i="20"/>
  <c r="M1" i="20"/>
  <c r="F182" i="20"/>
  <c r="H183" i="20"/>
  <c r="H176" i="20"/>
  <c r="H177" i="20"/>
  <c r="H179" i="20"/>
  <c r="G1" i="20"/>
  <c r="H178" i="20"/>
  <c r="H175" i="20"/>
  <c r="H174" i="20"/>
  <c r="H181" i="20"/>
  <c r="H170" i="20"/>
  <c r="H171" i="20" s="1"/>
  <c r="F172" i="20" s="1"/>
  <c r="L182" i="102" l="1"/>
  <c r="N183" i="102"/>
  <c r="N174" i="102"/>
  <c r="N175" i="102"/>
  <c r="N176" i="102"/>
  <c r="N177" i="102"/>
  <c r="N178" i="102"/>
  <c r="N179" i="102"/>
  <c r="N181" i="102"/>
  <c r="M1" i="102"/>
  <c r="T174" i="102"/>
  <c r="T176" i="102"/>
  <c r="T179" i="102"/>
  <c r="V1" i="102"/>
  <c r="H183" i="102"/>
  <c r="H175" i="102"/>
  <c r="G1" i="102"/>
  <c r="T177" i="102"/>
  <c r="H174" i="102"/>
  <c r="R182" i="102"/>
  <c r="H176" i="102"/>
  <c r="W174" i="102"/>
  <c r="H177" i="102"/>
  <c r="H178" i="102"/>
  <c r="W178" i="102"/>
  <c r="H179" i="102"/>
  <c r="W181" i="102"/>
  <c r="F182" i="102"/>
  <c r="F29" i="85" s="1"/>
  <c r="S1" i="102"/>
  <c r="W176" i="102"/>
  <c r="H181" i="102"/>
  <c r="T170" i="102"/>
  <c r="T171" i="102" s="1"/>
  <c r="R172" i="102" s="1"/>
  <c r="U182" i="102"/>
  <c r="T181" i="102"/>
  <c r="W183" i="102"/>
  <c r="Z162" i="102"/>
  <c r="W179" i="102"/>
  <c r="W177" i="102"/>
  <c r="W170" i="102"/>
  <c r="W171" i="102" s="1"/>
  <c r="U172" i="102" s="1"/>
  <c r="T178" i="102"/>
  <c r="T183" i="102"/>
  <c r="Z171" i="102"/>
  <c r="AA182" i="102" s="1"/>
  <c r="AA181" i="102" s="1"/>
  <c r="K170" i="102"/>
  <c r="K171" i="102" s="1"/>
  <c r="I172" i="102" s="1"/>
  <c r="I182" i="102"/>
  <c r="K181" i="102"/>
  <c r="K179" i="102"/>
  <c r="K178" i="102"/>
  <c r="K177" i="102"/>
  <c r="K176" i="102"/>
  <c r="K175" i="102"/>
  <c r="K174" i="102"/>
  <c r="K183" i="102"/>
  <c r="J1" i="102"/>
  <c r="Q179" i="102"/>
  <c r="Q178" i="102"/>
  <c r="Q177" i="102"/>
  <c r="Q176" i="102"/>
  <c r="Q175" i="102"/>
  <c r="Q174" i="102"/>
  <c r="Q183" i="102"/>
  <c r="Q181" i="102"/>
  <c r="Q170" i="102"/>
  <c r="Q171" i="102" s="1"/>
  <c r="O172" i="102" s="1"/>
  <c r="O182" i="102"/>
  <c r="P1" i="102"/>
  <c r="H183" i="95"/>
  <c r="H174" i="95"/>
  <c r="G1" i="95"/>
  <c r="H181" i="95"/>
  <c r="H175" i="95"/>
  <c r="F182" i="95"/>
  <c r="H179" i="95"/>
  <c r="H178" i="95"/>
  <c r="H170" i="95"/>
  <c r="H171" i="95" s="1"/>
  <c r="F172" i="95" s="1"/>
  <c r="H177" i="95"/>
  <c r="H176" i="95"/>
  <c r="H162" i="101"/>
  <c r="H171" i="101"/>
  <c r="I182" i="101" s="1"/>
  <c r="I177" i="101" s="1"/>
  <c r="Z162" i="95"/>
  <c r="F18" i="85"/>
  <c r="G18" i="85" s="1"/>
  <c r="F8" i="85"/>
  <c r="G8" i="85" s="1"/>
  <c r="F19" i="85"/>
  <c r="G19" i="85" s="1"/>
  <c r="M1" i="95"/>
  <c r="N177" i="95"/>
  <c r="N178" i="95"/>
  <c r="F43" i="85"/>
  <c r="G43" i="85" s="1"/>
  <c r="F37" i="85"/>
  <c r="G37" i="85" s="1"/>
  <c r="K177" i="95"/>
  <c r="F39" i="85"/>
  <c r="G39" i="85" s="1"/>
  <c r="K175" i="95"/>
  <c r="F41" i="85"/>
  <c r="G41" i="85" s="1"/>
  <c r="J1" i="95"/>
  <c r="K179" i="95"/>
  <c r="N181" i="95"/>
  <c r="K170" i="95"/>
  <c r="K171" i="95" s="1"/>
  <c r="I172" i="95" s="1"/>
  <c r="N170" i="95"/>
  <c r="N171" i="95" s="1"/>
  <c r="L172" i="95" s="1"/>
  <c r="L182" i="95"/>
  <c r="N179" i="95"/>
  <c r="N183" i="95"/>
  <c r="I182" i="95"/>
  <c r="N174" i="95"/>
  <c r="K178" i="95"/>
  <c r="K176" i="95"/>
  <c r="U183" i="96"/>
  <c r="U177" i="96"/>
  <c r="U181" i="96"/>
  <c r="U176" i="96"/>
  <c r="U178" i="96"/>
  <c r="U174" i="96"/>
  <c r="U179" i="96"/>
  <c r="U170" i="96"/>
  <c r="U171" i="96" s="1"/>
  <c r="S172" i="96" s="1"/>
  <c r="U175" i="96"/>
  <c r="K183" i="95"/>
  <c r="K174" i="95"/>
  <c r="N176" i="95"/>
  <c r="Z171" i="95"/>
  <c r="AA182" i="95" s="1"/>
  <c r="O170" i="94"/>
  <c r="O171" i="94" s="1"/>
  <c r="M172" i="94" s="1"/>
  <c r="O178" i="94"/>
  <c r="O177" i="94"/>
  <c r="O176" i="94"/>
  <c r="O181" i="94"/>
  <c r="O174" i="94"/>
  <c r="O179" i="94"/>
  <c r="O175" i="94"/>
  <c r="AD2" i="57"/>
  <c r="F30" i="85" l="1"/>
  <c r="G30" i="85" s="1"/>
  <c r="F31" i="85"/>
  <c r="G31" i="85" s="1"/>
  <c r="AA170" i="102"/>
  <c r="AA171" i="102" s="1"/>
  <c r="Y172" i="102" s="1"/>
  <c r="AA183" i="102"/>
  <c r="AA174" i="102"/>
  <c r="AA175" i="102"/>
  <c r="AA177" i="102"/>
  <c r="AA179" i="102"/>
  <c r="AA176" i="102"/>
  <c r="AA178" i="102"/>
  <c r="F32" i="85"/>
  <c r="G32" i="85" s="1"/>
  <c r="F34" i="85"/>
  <c r="G34" i="85" s="1"/>
  <c r="F35" i="85"/>
  <c r="G35" i="85" s="1"/>
  <c r="F21" i="85"/>
  <c r="G21" i="85" s="1"/>
  <c r="F22" i="85"/>
  <c r="G22" i="85" s="1"/>
  <c r="F26" i="85"/>
  <c r="G26" i="85" s="1"/>
  <c r="F24" i="85"/>
  <c r="G24" i="85" s="1"/>
  <c r="F23" i="85"/>
  <c r="G23" i="85" s="1"/>
  <c r="F27" i="85"/>
  <c r="G27" i="85" s="1"/>
  <c r="G29" i="85"/>
  <c r="I181" i="101"/>
  <c r="I174" i="101"/>
  <c r="I179" i="101"/>
  <c r="I176" i="101"/>
  <c r="I183" i="101"/>
  <c r="I175" i="101"/>
  <c r="I178" i="101"/>
  <c r="I170" i="101"/>
  <c r="I171" i="101" s="1"/>
  <c r="G172" i="101" s="1"/>
  <c r="AA181" i="95"/>
  <c r="AA176" i="95"/>
  <c r="AA179" i="95"/>
  <c r="AA175" i="95"/>
  <c r="AA170" i="95"/>
  <c r="AA171" i="95" s="1"/>
  <c r="Y172" i="95" s="1"/>
  <c r="AA183" i="95"/>
  <c r="AA178" i="95"/>
  <c r="AA177" i="95"/>
  <c r="AA174" i="95"/>
  <c r="AG23" i="20"/>
  <c r="AG158" i="20" s="1"/>
  <c r="AG162" i="20" s="1"/>
  <c r="K23" i="20"/>
  <c r="K158" i="20" s="1"/>
  <c r="K162" i="20" s="1"/>
  <c r="AH73" i="20" l="1"/>
  <c r="AH74" i="20"/>
  <c r="AH76" i="20"/>
  <c r="AH75" i="20"/>
  <c r="AH19" i="20"/>
  <c r="AH97" i="20"/>
  <c r="AH18" i="20"/>
  <c r="AH17" i="20"/>
  <c r="AH108" i="20"/>
  <c r="AH20" i="20"/>
  <c r="AH78" i="20"/>
  <c r="AH61" i="20"/>
  <c r="AH79" i="20"/>
  <c r="AH71" i="20"/>
  <c r="AH64" i="20"/>
  <c r="AH55" i="20"/>
  <c r="AH56" i="20"/>
  <c r="AH54" i="20"/>
  <c r="AH68" i="20"/>
  <c r="AH66" i="20"/>
  <c r="AH70" i="20"/>
  <c r="AH62" i="20"/>
  <c r="AH58" i="20"/>
  <c r="AH59" i="20"/>
  <c r="AH77" i="20"/>
  <c r="AH63" i="20"/>
  <c r="AH60" i="20"/>
  <c r="AH72" i="20"/>
  <c r="AH57" i="20"/>
  <c r="AH67" i="20"/>
  <c r="AH65" i="20"/>
  <c r="AH69" i="20"/>
  <c r="AH118" i="20"/>
  <c r="AH117" i="20"/>
  <c r="AH128" i="20"/>
  <c r="AH126" i="20"/>
  <c r="AH111" i="20"/>
  <c r="AH115" i="20"/>
  <c r="AH122" i="20"/>
  <c r="AH116" i="20"/>
  <c r="AH112" i="20"/>
  <c r="AH119" i="20"/>
  <c r="AH125" i="20"/>
  <c r="AH121" i="20"/>
  <c r="AH114" i="20"/>
  <c r="AH120" i="20"/>
  <c r="AH123" i="20"/>
  <c r="AH113" i="20"/>
  <c r="AH124" i="20"/>
  <c r="AH127" i="20"/>
  <c r="AH129" i="20"/>
  <c r="AH130" i="20"/>
  <c r="AH131" i="20"/>
  <c r="AH104" i="20"/>
  <c r="AH107" i="20"/>
  <c r="AH109" i="20"/>
  <c r="AH105" i="20"/>
  <c r="AH106" i="20"/>
  <c r="AH102" i="20"/>
  <c r="AH103" i="20"/>
  <c r="AH101" i="20"/>
  <c r="AH110" i="20"/>
  <c r="AH145" i="20"/>
  <c r="AH144" i="20"/>
  <c r="AH147" i="20"/>
  <c r="AH146" i="20"/>
  <c r="AH149" i="20"/>
  <c r="AH148" i="20"/>
  <c r="AH151" i="20"/>
  <c r="AH150" i="20"/>
  <c r="AH99" i="20"/>
  <c r="AH96" i="20"/>
  <c r="AH100" i="20"/>
  <c r="AH98" i="20"/>
  <c r="AH92" i="20"/>
  <c r="AH93" i="20"/>
  <c r="AH94" i="20"/>
  <c r="AH95" i="20"/>
  <c r="AH44" i="20"/>
  <c r="AH45" i="20"/>
  <c r="AH46" i="20"/>
  <c r="AH49" i="20"/>
  <c r="AH48" i="20"/>
  <c r="AH47" i="20"/>
  <c r="AH52" i="20"/>
  <c r="AH50" i="20"/>
  <c r="AH51" i="20"/>
  <c r="AH37" i="20"/>
  <c r="AH36" i="20"/>
  <c r="AH39" i="20"/>
  <c r="AH38" i="20"/>
  <c r="AH41" i="20"/>
  <c r="AH40" i="20"/>
  <c r="AH43" i="20"/>
  <c r="AH42" i="20"/>
  <c r="AH53" i="20"/>
  <c r="AH15" i="20"/>
  <c r="AH14" i="20"/>
  <c r="AH21" i="20"/>
  <c r="AH16" i="20"/>
  <c r="AH153" i="20"/>
  <c r="AH154" i="20"/>
  <c r="AH90" i="20"/>
  <c r="AH91" i="20"/>
  <c r="AH34" i="20"/>
  <c r="AH33" i="20"/>
  <c r="AH35" i="20"/>
  <c r="AH22" i="20"/>
  <c r="AH86" i="20"/>
  <c r="AH83" i="20"/>
  <c r="AH89" i="20"/>
  <c r="AH135" i="20"/>
  <c r="AH11" i="20"/>
  <c r="AH84" i="20"/>
  <c r="AH136" i="20"/>
  <c r="AH140" i="20"/>
  <c r="AH30" i="20"/>
  <c r="AH85" i="20"/>
  <c r="AH152" i="20"/>
  <c r="AH137" i="20"/>
  <c r="AH12" i="20"/>
  <c r="AH31" i="20"/>
  <c r="AH88" i="20"/>
  <c r="AH141" i="20"/>
  <c r="AH13" i="20"/>
  <c r="AH26" i="20"/>
  <c r="AH28" i="20"/>
  <c r="AH9" i="20"/>
  <c r="AH10" i="20"/>
  <c r="AH32" i="20"/>
  <c r="AH138" i="20"/>
  <c r="AH27" i="20"/>
  <c r="AH142" i="20"/>
  <c r="AH87" i="20"/>
  <c r="AH139" i="20"/>
  <c r="AH143" i="20"/>
  <c r="AH29" i="20"/>
  <c r="AH8" i="20"/>
  <c r="AH7" i="20"/>
  <c r="AF158" i="20"/>
  <c r="K168" i="20"/>
  <c r="K165" i="20"/>
  <c r="K166" i="20"/>
  <c r="K167" i="20"/>
  <c r="K169" i="20"/>
  <c r="J160" i="20"/>
  <c r="J161" i="20"/>
  <c r="J159" i="20"/>
  <c r="J158" i="20"/>
  <c r="AG168" i="20"/>
  <c r="AG169" i="20"/>
  <c r="AG165" i="20"/>
  <c r="AF161" i="20"/>
  <c r="AG167" i="20"/>
  <c r="AF160" i="20"/>
  <c r="AF159" i="20"/>
  <c r="AG166" i="20"/>
  <c r="J162" i="20" l="1"/>
  <c r="AF162" i="20"/>
  <c r="AF171" i="20"/>
  <c r="AG182" i="20" s="1"/>
  <c r="J171" i="20"/>
  <c r="K182" i="20" s="1"/>
  <c r="J1" i="20" l="1"/>
  <c r="K179" i="20"/>
  <c r="K178" i="20"/>
  <c r="K175" i="20"/>
  <c r="K183" i="20"/>
  <c r="K181" i="20"/>
  <c r="K176" i="20"/>
  <c r="K174" i="20"/>
  <c r="K170" i="20"/>
  <c r="K171" i="20" s="1"/>
  <c r="I172" i="20" s="1"/>
  <c r="I182" i="20"/>
  <c r="K177" i="20"/>
  <c r="AG174" i="20"/>
  <c r="AG178" i="20"/>
  <c r="AG181" i="20"/>
  <c r="AG183" i="20"/>
  <c r="AG170" i="20"/>
  <c r="AG171" i="20" s="1"/>
  <c r="AE172" i="20" s="1"/>
  <c r="AG176" i="20"/>
  <c r="AG179" i="20"/>
  <c r="AG175" i="20"/>
  <c r="AG177" i="20"/>
  <c r="F15" i="85" l="1"/>
  <c r="G15" i="85" s="1"/>
  <c r="F12" i="85"/>
  <c r="G12" i="85" s="1"/>
  <c r="F11" i="85"/>
  <c r="G11" i="85" s="1"/>
  <c r="F14" i="85"/>
  <c r="G14" i="85" s="1"/>
  <c r="F13" i="85"/>
  <c r="F9" i="85"/>
  <c r="G9" i="85" s="1"/>
  <c r="F10" i="85"/>
  <c r="G10" i="85" s="1"/>
  <c r="G13" i="85" l="1"/>
  <c r="G44" i="85" l="1"/>
  <c r="B1" i="102" l="1"/>
  <c r="H1" i="85"/>
  <c r="H28" i="85"/>
  <c r="H36" i="85"/>
  <c r="H37" i="85"/>
  <c r="H8" i="85"/>
  <c r="H33" i="85"/>
  <c r="H15" i="85"/>
  <c r="H40" i="85"/>
  <c r="H43" i="85"/>
  <c r="B1" i="96"/>
  <c r="H11" i="85"/>
  <c r="H41" i="85"/>
  <c r="H13" i="85"/>
  <c r="H9" i="85"/>
  <c r="H10" i="85"/>
  <c r="M2" i="26"/>
  <c r="H38" i="85"/>
  <c r="H35" i="85"/>
  <c r="H39" i="85"/>
  <c r="H12" i="85"/>
  <c r="H31" i="85"/>
  <c r="B1" i="94"/>
  <c r="H17" i="85"/>
  <c r="AB2" i="57"/>
  <c r="H19" i="85"/>
  <c r="B1" i="20"/>
  <c r="H14" i="85"/>
  <c r="H30" i="85"/>
  <c r="H34" i="85"/>
  <c r="H42" i="85"/>
  <c r="B1" i="95"/>
  <c r="B1" i="101"/>
  <c r="H29" i="85"/>
  <c r="H18" i="85"/>
  <c r="H22" i="85"/>
  <c r="H32" i="85"/>
  <c r="H26" i="85"/>
  <c r="H24" i="85"/>
  <c r="H23" i="85"/>
  <c r="H21" i="85"/>
  <c r="H25" i="85"/>
  <c r="H20" i="85"/>
  <c r="H27" i="8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2300-000001000000}">
      <text>
        <r>
          <rPr>
            <b/>
            <sz val="8"/>
            <color indexed="8"/>
            <rFont val="Tahoma"/>
            <family val="2"/>
          </rPr>
          <t xml:space="preserve">Lei nº 7.78777 de 30/06/89, publicada no D.O.U em 03/07/89.
</t>
        </r>
      </text>
    </comment>
    <comment ref="D7" authorId="0" shapeId="0" xr:uid="{00000000-0006-0000-2300-000002000000}">
      <text>
        <r>
          <rPr>
            <b/>
            <sz val="8"/>
            <color indexed="10"/>
            <rFont val="Tahoma"/>
            <family val="2"/>
          </rPr>
          <t>Para recuperar a fórmula, copie e cole das linhas sequenciais.</t>
        </r>
      </text>
    </comment>
    <comment ref="B8" authorId="0" shapeId="0" xr:uid="{00000000-0006-0000-2300-000003000000}">
      <text>
        <r>
          <rPr>
            <b/>
            <sz val="8"/>
            <color indexed="8"/>
            <rFont val="Tahoma"/>
            <family val="2"/>
          </rPr>
          <t xml:space="preserve">Artigos 439,449,477 a 486, 497 e 502 da C.L.T e Decreto nº 59.820 de 20/12/66.
</t>
        </r>
      </text>
    </comment>
    <comment ref="D8" authorId="0" shapeId="0" xr:uid="{00000000-0006-0000-2300-000004000000}">
      <text>
        <r>
          <rPr>
            <b/>
            <sz val="8"/>
            <color indexed="10"/>
            <rFont val="Tahoma"/>
            <family val="2"/>
          </rPr>
          <t>Para recuperar a fórmula, copie e cole das linhas sequenciais.</t>
        </r>
      </text>
    </comment>
    <comment ref="B9" authorId="0" shapeId="0" xr:uid="{00000000-0006-0000-2300-000005000000}">
      <text>
        <r>
          <rPr>
            <b/>
            <sz val="8"/>
            <color indexed="8"/>
            <rFont val="Tahoma"/>
            <family val="2"/>
          </rPr>
          <t>Decreto nº 60.446 de 14/05/67.</t>
        </r>
      </text>
    </comment>
    <comment ref="D9" authorId="0" shapeId="0" xr:uid="{00000000-0006-0000-2300-000006000000}">
      <text>
        <r>
          <rPr>
            <b/>
            <sz val="8"/>
            <color indexed="10"/>
            <rFont val="Tahoma"/>
            <family val="2"/>
          </rPr>
          <t>Para recuperar a fórmula, copie e cole das linhas sequenciais.</t>
        </r>
      </text>
    </comment>
    <comment ref="B10" authorId="0" shapeId="0" xr:uid="{00000000-0006-0000-2300-000007000000}">
      <text>
        <r>
          <rPr>
            <b/>
            <sz val="8"/>
            <color indexed="8"/>
            <rFont val="Tahoma"/>
            <family val="2"/>
          </rPr>
          <t>Decreto nº 60.446 de 14/05/67.
Empresas com mais de 500 empregados - incluir adicional SENAI  de 0,20.</t>
        </r>
      </text>
    </comment>
    <comment ref="D10" authorId="0" shapeId="0" xr:uid="{00000000-0006-0000-2300-000008000000}">
      <text>
        <r>
          <rPr>
            <b/>
            <sz val="8"/>
            <color indexed="10"/>
            <rFont val="Tahoma"/>
            <family val="2"/>
          </rPr>
          <t>Para recuperar a fórmula, copie e cole das linhas sequenciais.</t>
        </r>
      </text>
    </comment>
    <comment ref="B11" authorId="0" shapeId="0" xr:uid="{00000000-0006-0000-2300-000009000000}">
      <text>
        <r>
          <rPr>
            <b/>
            <sz val="8"/>
            <color indexed="8"/>
            <rFont val="Tahoma"/>
            <family val="2"/>
          </rPr>
          <t>Decreto nº 60.446 de 14/05/67.</t>
        </r>
      </text>
    </comment>
    <comment ref="D11" authorId="0" shapeId="0" xr:uid="{00000000-0006-0000-2300-00000A000000}">
      <text>
        <r>
          <rPr>
            <b/>
            <sz val="8"/>
            <color indexed="10"/>
            <rFont val="Tahoma"/>
            <family val="2"/>
          </rPr>
          <t>Para recuperar a fórmula, copie e cole das linhas sequenciais.</t>
        </r>
      </text>
    </comment>
    <comment ref="B12" authorId="0" shapeId="0" xr:uid="{00000000-0006-0000-2300-00000B000000}">
      <text>
        <r>
          <rPr>
            <b/>
            <sz val="8"/>
            <color indexed="8"/>
            <rFont val="Tahoma"/>
            <family val="2"/>
          </rPr>
          <t>Decreto nº 60.446 de 14/05/67.</t>
        </r>
      </text>
    </comment>
    <comment ref="D12" authorId="0" shapeId="0" xr:uid="{00000000-0006-0000-2300-00000C000000}">
      <text>
        <r>
          <rPr>
            <b/>
            <sz val="8"/>
            <color indexed="10"/>
            <rFont val="Tahoma"/>
            <family val="2"/>
          </rPr>
          <t>Para recuperar a fórmula, copie e cole das linhas sequenciais.</t>
        </r>
      </text>
    </comment>
    <comment ref="B13" authorId="0" shapeId="0" xr:uid="{00000000-0006-0000-2300-00000D000000}">
      <text>
        <r>
          <rPr>
            <b/>
            <sz val="8"/>
            <color indexed="8"/>
            <rFont val="Tahoma"/>
            <family val="2"/>
          </rPr>
          <t>Varia conforme o risco do local em que o empregado trabalha : 1%, para risco leve, de 2%, para risco médio, e de 3% de risco grave. O grau de risco e conforme o mapeamento de risco onde os trabalhos serão executados. 
RAT - variável. Considerar o risco para cada empresa.</t>
        </r>
      </text>
    </comment>
    <comment ref="D13" authorId="0" shapeId="0" xr:uid="{00000000-0006-0000-2300-00000E000000}">
      <text>
        <r>
          <rPr>
            <b/>
            <sz val="8"/>
            <color indexed="10"/>
            <rFont val="Tahoma"/>
            <family val="2"/>
          </rPr>
          <t>Para recuperar a fórmula, copie e cole das linhas sequenciais.</t>
        </r>
      </text>
    </comment>
    <comment ref="B14" authorId="0" shapeId="0" xr:uid="{00000000-0006-0000-2300-00000F000000}">
      <text>
        <r>
          <rPr>
            <b/>
            <sz val="8"/>
            <color indexed="8"/>
            <rFont val="Tahoma"/>
            <family val="2"/>
          </rPr>
          <t>Decreto nº 60.446 de 14/05/67.</t>
        </r>
      </text>
    </comment>
    <comment ref="D14" authorId="0" shapeId="0" xr:uid="{00000000-0006-0000-2300-000010000000}">
      <text>
        <r>
          <rPr>
            <b/>
            <sz val="8"/>
            <color indexed="10"/>
            <rFont val="Tahoma"/>
            <family val="2"/>
          </rPr>
          <t>Para recuperar a fórmula, copie e cole das linhas sequenciais.</t>
        </r>
      </text>
    </comment>
    <comment ref="B15" authorId="0" shapeId="0" xr:uid="{00000000-0006-0000-2300-000011000000}">
      <text>
        <r>
          <rPr>
            <b/>
            <sz val="8"/>
            <color indexed="8"/>
            <rFont val="Tahoma"/>
            <family val="2"/>
          </rPr>
          <t>Art.577 CLT.Este encargo é pago ao sindicato da construcao civil, portando não existe em outras atividades que não seja a construção civil.Aplicável em algumas localidades.</t>
        </r>
      </text>
    </comment>
    <comment ref="D15" authorId="0" shapeId="0" xr:uid="{00000000-0006-0000-2300-000012000000}">
      <text>
        <r>
          <rPr>
            <b/>
            <sz val="8"/>
            <color indexed="10"/>
            <rFont val="Tahoma"/>
            <family val="2"/>
          </rPr>
          <t>Para recuperar a fórmula, copie e cole das linhas sequenciais.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C434F9-58BA-4FB1-A0D4-668E0D9118D9}" keepAlive="1" name="Consulta - CamScanner 12-07-2022 14 50 pdf" description="Conexão com a consulta 'CamScanner 12-07-2022 14 50 pdf' na pasta de trabalho." type="5" refreshedVersion="0" background="1" saveData="1">
    <dbPr connection="Provider=Microsoft.Mashup.OleDb.1;Data Source=$Workbook$;Location=&quot;CamScanner 12-07-2022 14 50 pdf&quot;;Extended Properties=&quot;&quot;" command="SELECT * FROM [CamScanner 12-07-2022 14 50 pdf]"/>
  </connection>
</connections>
</file>

<file path=xl/sharedStrings.xml><?xml version="1.0" encoding="utf-8"?>
<sst xmlns="http://schemas.openxmlformats.org/spreadsheetml/2006/main" count="2002" uniqueCount="744">
  <si>
    <t>C</t>
  </si>
  <si>
    <t>B</t>
  </si>
  <si>
    <t>A</t>
  </si>
  <si>
    <t>D</t>
  </si>
  <si>
    <t>Item</t>
  </si>
  <si>
    <t>Custo</t>
  </si>
  <si>
    <t>Quant</t>
  </si>
  <si>
    <t>Administração Local</t>
  </si>
  <si>
    <t>Taxa</t>
  </si>
  <si>
    <t>ITEM</t>
  </si>
  <si>
    <t>DESCRIÇÃO</t>
  </si>
  <si>
    <t>UNID.</t>
  </si>
  <si>
    <t>2.1</t>
  </si>
  <si>
    <t>2.2</t>
  </si>
  <si>
    <t>2.3</t>
  </si>
  <si>
    <t>2.4</t>
  </si>
  <si>
    <t>2.5</t>
  </si>
  <si>
    <t>BDI</t>
  </si>
  <si>
    <t>LUCRO</t>
  </si>
  <si>
    <t>DESPESAS INDIRETAS</t>
  </si>
  <si>
    <t>ADMINISTRAÇÃO CENTRAL</t>
  </si>
  <si>
    <t>ADMINISTRAÇÃO LOCAL</t>
  </si>
  <si>
    <t>TOTAL BDI</t>
  </si>
  <si>
    <t>TRIBUTOS</t>
  </si>
  <si>
    <t>COFINS</t>
  </si>
  <si>
    <t>PIS</t>
  </si>
  <si>
    <t>CSLL</t>
  </si>
  <si>
    <t>IRPJ</t>
  </si>
  <si>
    <t>IRPJ ADICIONAL DE 10%</t>
  </si>
  <si>
    <t>TOTAL TRIBUTOS</t>
  </si>
  <si>
    <t>Unid</t>
  </si>
  <si>
    <t>P.Unit</t>
  </si>
  <si>
    <t>F.utiliz</t>
  </si>
  <si>
    <t>A - Custo Total de Mão de Obra:</t>
  </si>
  <si>
    <t>C – Materiais</t>
  </si>
  <si>
    <t>C - Custo Total de Materiais:</t>
  </si>
  <si>
    <t>D – Outros</t>
  </si>
  <si>
    <t>D - Custo Total de Outros:</t>
  </si>
  <si>
    <t>Mão de Obra</t>
  </si>
  <si>
    <t>Equipamentos</t>
  </si>
  <si>
    <t>Materiais</t>
  </si>
  <si>
    <t>Outros</t>
  </si>
  <si>
    <t xml:space="preserve">Subtotal: </t>
  </si>
  <si>
    <t>Subtotal:</t>
  </si>
  <si>
    <t>A3) Outros Adicionais</t>
  </si>
  <si>
    <t>Por mês</t>
  </si>
  <si>
    <t>Em HH</t>
  </si>
  <si>
    <t>Encargos Sociais</t>
  </si>
  <si>
    <t>Total de horas trabalhadas mês</t>
  </si>
  <si>
    <t>Vida Útil (mês)</t>
  </si>
  <si>
    <t>$</t>
  </si>
  <si>
    <t>Administração Central</t>
  </si>
  <si>
    <t>Risco do empreendimento</t>
  </si>
  <si>
    <t>Lucro</t>
  </si>
  <si>
    <t>ISS</t>
  </si>
  <si>
    <t>Subtotal</t>
  </si>
  <si>
    <t>Simples Nacional</t>
  </si>
  <si>
    <t>%</t>
  </si>
  <si>
    <t>TOTAL</t>
  </si>
  <si>
    <t>ENCARGOS SOCIAIS</t>
  </si>
  <si>
    <t xml:space="preserve"> - Empresa optante pelo Simples Nacional ?</t>
  </si>
  <si>
    <t>Os percentuais abaixo são orientativos, caso sua empresa aplique outros favor justificar. Acompanhe a legislação (vide comentários).</t>
  </si>
  <si>
    <t>ENCARGOS SOCIAIS BÁSICOS</t>
  </si>
  <si>
    <t>A.1</t>
  </si>
  <si>
    <t>INSS</t>
  </si>
  <si>
    <t>Justifique % diferenciado:</t>
  </si>
  <si>
    <t>A.2</t>
  </si>
  <si>
    <t>FGTS</t>
  </si>
  <si>
    <t>A.3</t>
  </si>
  <si>
    <t>SESI / SESC</t>
  </si>
  <si>
    <t>A.4</t>
  </si>
  <si>
    <t>SENAI / SENAC</t>
  </si>
  <si>
    <t>x</t>
  </si>
  <si>
    <t>A.5</t>
  </si>
  <si>
    <t>INCRA</t>
  </si>
  <si>
    <t>A.6</t>
  </si>
  <si>
    <t>SALÁRIO EDUCAÇÃO</t>
  </si>
  <si>
    <t>A.7</t>
  </si>
  <si>
    <t>SEGURO ACIDENTE/RAT</t>
  </si>
  <si>
    <t>A.8</t>
  </si>
  <si>
    <t>SEBRAE</t>
  </si>
  <si>
    <t>A.9</t>
  </si>
  <si>
    <t>SECONCI</t>
  </si>
  <si>
    <t>ENCARGOS QUE RECEBEM INCIDÊNCIA DE "A"</t>
  </si>
  <si>
    <t xml:space="preserve"> - Mão de Obra Tipo:</t>
  </si>
  <si>
    <t>B.1</t>
  </si>
  <si>
    <t>FÉRIAS + 1/3 FÉRIAS (separar férias e abono)</t>
  </si>
  <si>
    <t>B.2</t>
  </si>
  <si>
    <t>13º  SALÁRIO</t>
  </si>
  <si>
    <t>B.3</t>
  </si>
  <si>
    <t xml:space="preserve">ENCARGOS SOBRE 13º E FÉRIAS </t>
  </si>
  <si>
    <t>B.4</t>
  </si>
  <si>
    <t>FERIADOS / DIAS NÃO TRABALHADOS</t>
  </si>
  <si>
    <t>Obrigatoriamente não aplicável para MENSALISTAS.</t>
  </si>
  <si>
    <t>B.5</t>
  </si>
  <si>
    <t>LICENÇA PATERNIDADE</t>
  </si>
  <si>
    <t>B.6</t>
  </si>
  <si>
    <t>IDENIZAÇÃO DO FGTS</t>
  </si>
  <si>
    <t>B.7</t>
  </si>
  <si>
    <t>AVISO PRÉVIO TRABALHADO</t>
  </si>
  <si>
    <t>B.8</t>
  </si>
  <si>
    <t>B.9</t>
  </si>
  <si>
    <t>ENCARGOS QUE NÃO RECEBEM INCIDÊNCIA DE "A"</t>
  </si>
  <si>
    <t>C.1</t>
  </si>
  <si>
    <t>PROVISÃO PARA RESCISÃO SEM JUSTA CAUSA</t>
  </si>
  <si>
    <t>C.2</t>
  </si>
  <si>
    <t>AVISO PRÉVIO INDENIZADO</t>
  </si>
  <si>
    <t>C.3</t>
  </si>
  <si>
    <t>INDENIZAÇÃO ADICIONAL</t>
  </si>
  <si>
    <t>D.1</t>
  </si>
  <si>
    <t>INDENIZAÇÃO ADICONAL</t>
  </si>
  <si>
    <t>E</t>
  </si>
  <si>
    <t xml:space="preserve">TOTAL  = "A" + "B" + "C" + "D" </t>
  </si>
  <si>
    <t>RISCO DO EMPREENDIMENTO</t>
  </si>
  <si>
    <t>A - Mão de Obra + Encargos</t>
  </si>
  <si>
    <t>CUSTO FINANCEIRO CAPITAL DE GIRO</t>
  </si>
  <si>
    <t>A1) Salário sem encargos</t>
  </si>
  <si>
    <t xml:space="preserve">Capacete </t>
  </si>
  <si>
    <t>Carneira e jugular</t>
  </si>
  <si>
    <t xml:space="preserve"> BDI</t>
  </si>
  <si>
    <t xml:space="preserve"> CUSTOS</t>
  </si>
  <si>
    <t>PREÇO</t>
  </si>
  <si>
    <t>Composição de Preços Unitários</t>
  </si>
  <si>
    <t>hh</t>
  </si>
  <si>
    <t>B – Equipamentos e Ferramentas</t>
  </si>
  <si>
    <t>Custos relacionados com a manutenção da sede da empresa para dar suporte técnico, administrativo e financeiro a todas aos contratos que estejam sendo executadas .Incluem-se entre os gastos com administração central: aluguel do escritório central, manutenção da edificação da sede da empresa, compra de material de expediente para o escritório central, despesas com aquisição de editais e elaboração de propostas comerciais, prolabore e representação da diretoria, despesas com atividades administrativo-financeiras (manutenção da secretaria da sede da empresa e de setores de contabilidade, de recursos humanos, de compras, de finanças e de cobranças), dentre outros. O valor da taxa de administração central decorre do rateio das despesas administrativas do escritório central por todas os contratos que a empresa esteja executando no período, e varia de acordo com a complexidade  e com a estrutura da empresa. Pessupõe-se a estrutura necessária para execução de atividades específicas de direção geral da empresa como um todo, de forma que sejam alcançados os objetivos empresariais .</t>
  </si>
  <si>
    <t>Custos relacionados ao contrato mas que não estão contemplados nas planilhas de custos diretos, como por exemplo, custos com reuniões de preposto ou diretoria em atendimento ao contrato, Custos complanejamento dos serviços do contrato, custo com Gestão de documentação do contrato, Controle tecnologico, Custos ligados `a melhoria e qualidade de processos, coordenação e distribuição de recursos do contrato, programas de melhorias continuas da qualidade do contrato, Gestão de Partes interessadas, Gestão da Comunicação, dentre outros. O valor da taxa de Administração Local decorre do rateio das despesas indiretas administrativas/operacionais por todas os contratos que a empresa esteja executando no período, e varia de acordo com a complexidade  e com a estrutura da Empresa.</t>
  </si>
  <si>
    <t>Despesas financeiras são gastos relacionados à perda monetária decorrente da defasagem entre a data do efetivo desembolso e a data da receita correspondente, o contratado precisa lançar mão de recursos próprios para executar etapas que só serão pagas futuramente, o que gera despesas de investimento de capital. Para que esse capital de giro possa ser remunerado, é instituída a despesa financeira. Para estipulação do valor a ser cobrado como despesa financeira, pressupõe-se o custo de oportunidade do capital, ou seja, deve-se apurar qual seria o seu rendimento se o capital de giro tivesse sido aplicado no mercado financeiro</t>
  </si>
  <si>
    <t>Outras despesas indiretas especificas do contrato, quando houver.</t>
  </si>
  <si>
    <t>AUXÍLIO ENFERMIDADE</t>
  </si>
  <si>
    <t>REPOUSO SEMANAL REMUNERADO</t>
  </si>
  <si>
    <t>Conforme informação de nossa contabilidade</t>
  </si>
  <si>
    <t>Não aplicável para regime mensalista</t>
  </si>
  <si>
    <t>Art. 7º, XXI, CF/88, 477, 487 e ss, CLT</t>
  </si>
  <si>
    <t xml:space="preserve">O artigo 487 CLT, inciso II – determina aviso prévio de 30 dias </t>
  </si>
  <si>
    <t>Art. 9º da Lei 7.238, de 1984</t>
  </si>
  <si>
    <t>B - Custo Total de Equipamentos e Ferramentas:</t>
  </si>
  <si>
    <t>Custo financ. capital giro</t>
  </si>
  <si>
    <t>IRPJ Adicional  10%</t>
  </si>
  <si>
    <t>ENVIAR DIPJ - DECLARAÇÃO DE INFORMAÇÕES ECONÔMICO-FISCAIS DA PESSOA JURÍDICA</t>
  </si>
  <si>
    <t>SIMPLES NACIONAL</t>
  </si>
  <si>
    <t>Imprevistos contratuais. Há ainda a possibilidade de se causar, involuntariamente, danos corporais e materiais a terceiros. Apesar do seguro, no caso deste ser contemplado como custo direto, vale ressaltar que: Há imprevistos não cobertos pelo seguro. A cobertura restringe-se a danos que sejam classificados como acidentais, por serem súbitos e/ou imprevisíveis, obtem-se, em uma só apólice, extensa com uma gama de coberturas (incêndio, alagamento, desmoronamento, responsabilidade civil, roubo, etc). Cabe salientar, quanto aos custos que representam tais seguros, que suas taxas (percentuais a serem aplicados sobre a importância segurada da obra) variam de acordo com as características de cada obra. Consideram-se como imprevistos ou riscos os seguintes acontecimentos, dentre outros, cuja ocorrência prejudica o andamento dos serviços e independe da atuação prévia do executor da obra: fenômenos naturais; perdas de eficiência de mão-de-obra; perdas excessivas de material (por quebras ou retrabalhos) ; manutenções e/ou aferições de equipamentos não previstas; barganha do patrocinador em regras do contrato; regras de reajustes inferiores ao custo de oportunidade economico; greves.</t>
  </si>
  <si>
    <t>OUTROS</t>
  </si>
  <si>
    <t>OBRAS</t>
  </si>
  <si>
    <t>Preço Compra</t>
  </si>
  <si>
    <t>Encargos</t>
  </si>
  <si>
    <t>OBJETO:</t>
  </si>
  <si>
    <t>P.UNITARIO</t>
  </si>
  <si>
    <t>P.TOTAL</t>
  </si>
  <si>
    <t>Óculos Amplavisão</t>
  </si>
  <si>
    <t>Luvas de Vaqueta</t>
  </si>
  <si>
    <t>Luvas de Poliamida</t>
  </si>
  <si>
    <t xml:space="preserve">Respirador </t>
  </si>
  <si>
    <t>Calça de Brim</t>
  </si>
  <si>
    <t>Camisa com Proteção Quimica Manga Longa de Brim</t>
  </si>
  <si>
    <t>P01</t>
  </si>
  <si>
    <t>P02</t>
  </si>
  <si>
    <t>P03</t>
  </si>
  <si>
    <t>P04</t>
  </si>
  <si>
    <t>P05</t>
  </si>
  <si>
    <t>P06</t>
  </si>
  <si>
    <t>P07</t>
  </si>
  <si>
    <t>P08</t>
  </si>
  <si>
    <t>Cód.</t>
  </si>
  <si>
    <t>Função</t>
  </si>
  <si>
    <t>Ajudante</t>
  </si>
  <si>
    <t>Cinta de segurança com talabarte</t>
  </si>
  <si>
    <t>O02</t>
  </si>
  <si>
    <t>O03</t>
  </si>
  <si>
    <t>Discriminação</t>
  </si>
  <si>
    <t xml:space="preserve"> TAXA DE REINCIDÊNCIA 
(Incidência do % do Grupo A sobre o % do Grupo B)</t>
  </si>
  <si>
    <t>COMPOSIÇÃO DO CUSTO SALARIOS POR FUNÇÃO (MOD)</t>
  </si>
  <si>
    <t>QUANT.</t>
  </si>
  <si>
    <t>QQP</t>
  </si>
  <si>
    <t>NÃO</t>
  </si>
  <si>
    <t>FALSO</t>
  </si>
  <si>
    <t>TOTAL GERAL</t>
  </si>
  <si>
    <t>vb</t>
  </si>
  <si>
    <t>A2) Adicional Periculosidade</t>
  </si>
  <si>
    <t>DATA:</t>
  </si>
  <si>
    <t>E10</t>
  </si>
  <si>
    <t>E11</t>
  </si>
  <si>
    <t>Supervisor</t>
  </si>
  <si>
    <t>Container Almoxarifado</t>
  </si>
  <si>
    <t>Vb</t>
  </si>
  <si>
    <t>Material de sinalização</t>
  </si>
  <si>
    <t>Agua Mineral</t>
  </si>
  <si>
    <t>litro</t>
  </si>
  <si>
    <t>Gelo</t>
  </si>
  <si>
    <t>pacote</t>
  </si>
  <si>
    <t>ud</t>
  </si>
  <si>
    <t>O10</t>
  </si>
  <si>
    <t>O11</t>
  </si>
  <si>
    <t>und</t>
  </si>
  <si>
    <t>Fretes</t>
  </si>
  <si>
    <t>Vb/ano</t>
  </si>
  <si>
    <t>Vb/mês</t>
  </si>
  <si>
    <t>Seguro de Vida</t>
  </si>
  <si>
    <t>Seguro Obra</t>
  </si>
  <si>
    <t>Ticket Alimentação</t>
  </si>
  <si>
    <t>CHECK</t>
  </si>
  <si>
    <t>Técnico SSMA</t>
  </si>
  <si>
    <t>MEIO AMBIENTE</t>
  </si>
  <si>
    <t>CONSERVAÇÃO AUDITIVA</t>
  </si>
  <si>
    <t>PROTEÇÃO RESPIRATÓRIA</t>
  </si>
  <si>
    <t>PRODUTOS QUÍMICOS</t>
  </si>
  <si>
    <t>PROTEÇÃO DE MÁQUINAS</t>
  </si>
  <si>
    <t>Encarregado</t>
  </si>
  <si>
    <t>Pedreiro</t>
  </si>
  <si>
    <t>Carpinteiro</t>
  </si>
  <si>
    <t>Eletricista</t>
  </si>
  <si>
    <t>Planejador</t>
  </si>
  <si>
    <t>Superior</t>
  </si>
  <si>
    <t>Médio/Técnico</t>
  </si>
  <si>
    <t>Técnico</t>
  </si>
  <si>
    <t>Kit ambiental</t>
  </si>
  <si>
    <t>Exames medicos</t>
  </si>
  <si>
    <t>O14</t>
  </si>
  <si>
    <t>E20</t>
  </si>
  <si>
    <t>M02</t>
  </si>
  <si>
    <t>M03</t>
  </si>
  <si>
    <t>M04</t>
  </si>
  <si>
    <t>M11</t>
  </si>
  <si>
    <t>M19</t>
  </si>
  <si>
    <t>K</t>
  </si>
  <si>
    <t>CPU</t>
  </si>
  <si>
    <t>m²</t>
  </si>
  <si>
    <t xml:space="preserve">            PROJETA CONSULTORIA E SERVIÇOS LTDA</t>
  </si>
  <si>
    <t xml:space="preserve">           PLANILHA DE QUANTIDADES E PREÇOS</t>
  </si>
  <si>
    <t>CLIENTE:</t>
  </si>
  <si>
    <t>ALUMAR</t>
  </si>
  <si>
    <t>Escolaridade</t>
  </si>
  <si>
    <t>EPIs</t>
  </si>
  <si>
    <t>Mobiliario (cadeira, mesa, etc.)</t>
  </si>
  <si>
    <t>Painel, tomadas, lampadas, dijuntores, cabos</t>
  </si>
  <si>
    <t>E04</t>
  </si>
  <si>
    <t>E07</t>
  </si>
  <si>
    <t>E12</t>
  </si>
  <si>
    <t>E16</t>
  </si>
  <si>
    <t>E24</t>
  </si>
  <si>
    <t>M05</t>
  </si>
  <si>
    <t>Plano de Saude</t>
  </si>
  <si>
    <t>Treinamentos</t>
  </si>
  <si>
    <t>O04</t>
  </si>
  <si>
    <t>O05</t>
  </si>
  <si>
    <t>O06</t>
  </si>
  <si>
    <t>O07</t>
  </si>
  <si>
    <t>O08</t>
  </si>
  <si>
    <t>O09</t>
  </si>
  <si>
    <t>O12</t>
  </si>
  <si>
    <t>O13</t>
  </si>
  <si>
    <t>ART</t>
  </si>
  <si>
    <t>Veiculo utilitario</t>
  </si>
  <si>
    <t>Perneira</t>
  </si>
  <si>
    <t>EPI</t>
  </si>
  <si>
    <t>TREINAMENTOS</t>
  </si>
  <si>
    <t>TREINAMENTO</t>
  </si>
  <si>
    <t>Qnt.</t>
  </si>
  <si>
    <t>Custo/Mês</t>
  </si>
  <si>
    <t>CUSTO</t>
  </si>
  <si>
    <t>Total</t>
  </si>
  <si>
    <t>EMPRESA</t>
  </si>
  <si>
    <t>MATRIZ</t>
  </si>
  <si>
    <t>ÉTICA + VÍDEO INCLUSÃO/DIVERSIDADE (NEW)</t>
  </si>
  <si>
    <t>EHS INTRODUTÓRIO</t>
  </si>
  <si>
    <t>EMERGÊNCIA</t>
  </si>
  <si>
    <t>INTEGRAÇÃO PARA NOVOS FUNCIONÁRIOS</t>
  </si>
  <si>
    <t>PREVENÇÃO DE FSI - GERENCIAMENTO DE RISCOS CRÍTICOS (CRM)</t>
  </si>
  <si>
    <t>CRÍTICOS: EQUIPAMENTOS MÓVEIS/VEÍCULOS</t>
  </si>
  <si>
    <t>CRÍTICOS: LIBERAÇÃO DE ENERGIA INESPERADA</t>
  </si>
  <si>
    <t>CRÍTICOS: PREVENÇÃO DE QUEDAS/QUEDAS DE OBJETO</t>
  </si>
  <si>
    <t>CRÍTICOS: ESPAÇO CONFINADO</t>
  </si>
  <si>
    <t>CRÍTICOS: IÇAMENTO DE CARGA</t>
  </si>
  <si>
    <t>CRÍTICOS: CONTATO COM ELETRICIDADE</t>
  </si>
  <si>
    <t>CRÍTICOS: PROTEÇÃO DE MÁQUINAS</t>
  </si>
  <si>
    <t>CRÍTICOS: METAL LÍQUIDO</t>
  </si>
  <si>
    <t>POT STEP IN</t>
  </si>
  <si>
    <t>CRÍTICOS: PREVENÇÃO DE QUEIMADURAS QUÍMICAS</t>
  </si>
  <si>
    <t>HIGIENE OCUPACIONAL (CONSERVAÇÃO AUDITIVA/PROTEÇÃO RESPIRATÓRIA)</t>
  </si>
  <si>
    <t>PROGRAMAS DE SAÚDE OCUPACIONAL</t>
  </si>
  <si>
    <t>DESEMPENHO HUMANO - MÓDULO EMPREGADOS</t>
  </si>
  <si>
    <t>POLÍTICA GLOBAL DE BARRAGENS</t>
  </si>
  <si>
    <t>RECICLAGEM OBRIGATÓRIA ANUAL</t>
  </si>
  <si>
    <t>POLÍTICA GLOBAL DE BARRAGENS (APENAS ARB)</t>
  </si>
  <si>
    <t>NR 33 ESPAÇO CONFINADO</t>
  </si>
  <si>
    <t>BÁSICO DE ESPAÇO CONFINADO:VIGIA (OBSERVADOR) E EXECUTANTE</t>
  </si>
  <si>
    <t>RECICLAGEM DE EXECUTANTE E VIGIA DE ESPAÇO CONFINADO</t>
  </si>
  <si>
    <t>SUPERVISOR DE ENTRADA EM ESPAÇOS CONFINADOS</t>
  </si>
  <si>
    <t>NR 33 - SEGURANÇA E SAÚDE NOS TRABALHOS EM ESPAÇOS CONFINADOS - SUPERVISOR DE ENTRADA (MÓDULO COMPLEMENTAR) PARTE I</t>
  </si>
  <si>
    <t>NR 33 - SEGURANÇA E SAÚDE NOS TRABALHOS EM ESPAÇOS CONFINADOS - SUPERVISOR DE ENTRADA (MÓDULO COMPLEMENTAR) PARTE II</t>
  </si>
  <si>
    <t>OPERAÇÃO DOS EQUIPAMENTOS DE ESPAÇO CONFINADO</t>
  </si>
  <si>
    <t>ETIQUETAMENTO, BLOQUEIO, TESTE E VERIFICAÇÃO - EBTV</t>
  </si>
  <si>
    <t>TRABALHO A QUENTE</t>
  </si>
  <si>
    <t>OPERAÇÃO DE RESGATES</t>
  </si>
  <si>
    <t>PREVENÇÃO DE QUEDAS</t>
  </si>
  <si>
    <t>NR 33 ESPAÇO CONFINADO - RECICLAGEM</t>
  </si>
  <si>
    <t>AUTORIZADO NA NORMA 32.60</t>
  </si>
  <si>
    <t>SUPERVISOR DE ENTRADA EM ESPAÇOS CONFINADOS - RECICLAGEM</t>
  </si>
  <si>
    <t>RECICLAGEM DE SUPERVISOR DE ENTRADA EM ESPAÇO CONFINADO</t>
  </si>
  <si>
    <t>NR 35 - TRABALHO EM ALTURA</t>
  </si>
  <si>
    <t>PREVENÇÃO DE QUEDAS / NR 35</t>
  </si>
  <si>
    <t>USO E INSPEÇÃO DE CINTO DE SEGURANÇA</t>
  </si>
  <si>
    <t>RECICLAGEM PREVENÇÃO DE QUEDAS / NR 35</t>
  </si>
  <si>
    <t>NR 35 - TRABALHO EM ALTURA - RECICLAGEM</t>
  </si>
  <si>
    <t>NR 20</t>
  </si>
  <si>
    <t>NR 20 CURSO DE INICIACAO SOBRE INFLAMAVEIS E COMBUSTIVEIS – 3 HORAS</t>
  </si>
  <si>
    <t>NR 20 CURSO AVANÇADO I (2,5 dias)</t>
  </si>
  <si>
    <t>NR 20 CURSO BASICO – 4 HORAS</t>
  </si>
  <si>
    <t>NR 20 CURSO BASICO – 6 HORAS</t>
  </si>
  <si>
    <t>NR 20 CURSO INTERMEDIARIO – 12 HORAS</t>
  </si>
  <si>
    <t>NR 20 CURSO INTERMEDIARIO – 14 HORAS</t>
  </si>
  <si>
    <t>NR 20 - RECICLAGEM</t>
  </si>
  <si>
    <t>RECICLAGEM DE NR 20 BASICO – 4 HORAS</t>
  </si>
  <si>
    <t>RECICLAGEM DE NR 20 INTERMEDIARIO – 4 HORAS</t>
  </si>
  <si>
    <t>RECICLAGEM DE NR 20 AVANCADO I – 4 HORAS</t>
  </si>
  <si>
    <t>DIVERSOS</t>
  </si>
  <si>
    <t>ISOLAMENTO DE ÁREA</t>
  </si>
  <si>
    <t>ANÁLISE DE RISCO OPERACIONAL - ARO (8 HORAS)</t>
  </si>
  <si>
    <t>ANÁLISE DE RISCO OPERACIONAL - ARO (4 HORAS)</t>
  </si>
  <si>
    <t>PROCESSO DE INVESTIGAÇÃO DE INCIDENTES - TRABALHO/AMBIENTAL</t>
  </si>
  <si>
    <t>ERGONOMIA PARA TRABALHOS EM TERMINAIS DE VÍDEO</t>
  </si>
  <si>
    <t>CIPA - COMISSÃO INTERNA DE PREVENÇÃO DE ACIDENTES</t>
  </si>
  <si>
    <t>NR 10 - SEG. EM ELETRICIDADE</t>
  </si>
  <si>
    <t>BÁSICO DE QUALIFICADO NA NORMA 32.60, 32.69, 32.70 &amp; NR-10</t>
  </si>
  <si>
    <t>QUALIFICADO NA NORMA 32.60, 32.69, 32.70 &amp; NR-10 (MÓDULO COMPACTO)</t>
  </si>
  <si>
    <t>NR 10 - SEG. EM ELETRICIDADE - RECICLAGEM</t>
  </si>
  <si>
    <t>RECICLAGEM DO QUALIFICADO NA NORMA 32.60, 32.69, 32.70 &amp; NR-10</t>
  </si>
  <si>
    <t xml:space="preserve"> NORMA 32.60, 32.69, 32.70 &amp; NR-10 AUTORIZADO</t>
  </si>
  <si>
    <t>DEMISSIONAL</t>
  </si>
  <si>
    <t>ADMISSIONAL</t>
  </si>
  <si>
    <t>PERIÓDICO</t>
  </si>
  <si>
    <t>QNT.</t>
  </si>
  <si>
    <t>DOCUMENTAÇÕES SESMT - (PCMSO - PGR - PCA - PPR)</t>
  </si>
  <si>
    <t>Contrato Quantidade de 0 a 10 Funcionários</t>
  </si>
  <si>
    <t>PCMSO</t>
  </si>
  <si>
    <t>PGR</t>
  </si>
  <si>
    <t>PCA</t>
  </si>
  <si>
    <t>PPR</t>
  </si>
  <si>
    <t>Contrato Quantidade de 11 a 30 Funcionários</t>
  </si>
  <si>
    <t>DESCRIÇÃO EXAME</t>
  </si>
  <si>
    <t>Contrato Quantidade de 31 a 50 Funcionários</t>
  </si>
  <si>
    <t>EXAMES  /  DOCUMENTAÇÕES SESMT</t>
  </si>
  <si>
    <t>Contrato Quantidade de 51 a 100 Funcionários</t>
  </si>
  <si>
    <t>PCMSO / PGR / PCA / PPR</t>
  </si>
  <si>
    <t>TABELA DE EXAMES</t>
  </si>
  <si>
    <t>EXAME</t>
  </si>
  <si>
    <t>VALOR</t>
  </si>
  <si>
    <t>ACUIDADE VISUAL</t>
  </si>
  <si>
    <t>ATESTADO DE APTIDAO FISICA</t>
  </si>
  <si>
    <t>ATESTADO PNE</t>
  </si>
  <si>
    <t>AUDIOMETRIA TONAL</t>
  </si>
  <si>
    <t>AUDIOMETRIA TONAL E VOCAL</t>
  </si>
  <si>
    <t>CAMPIMETRIA COMPUTADORIZADA</t>
  </si>
  <si>
    <t>CLINICO ANAMNESE DIRIGIDA/EXAME FISICO E MENTAL</t>
  </si>
  <si>
    <t>COLESTEROL TOTAL E FRAÇÕES</t>
  </si>
  <si>
    <t>CONSULTA COM ENDOCRINOLOGISTA</t>
  </si>
  <si>
    <t>CONSULTA COM OFTALMOLOGISTA COM POTENCIAL ACUIDADE</t>
  </si>
  <si>
    <t>CONSULTA OFTALMOLOGICA -POTENCIAL ACUIDADE VISUAL</t>
  </si>
  <si>
    <t>ELETROCARDIOGRAMA</t>
  </si>
  <si>
    <t>ELETROENCEFALOGRAMA</t>
  </si>
  <si>
    <t>ESPIROMETRIA</t>
  </si>
  <si>
    <t>EXAME CLINICO</t>
  </si>
  <si>
    <t>FATOR RH</t>
  </si>
  <si>
    <t>FICHA RAC</t>
  </si>
  <si>
    <t>GAMA GT</t>
  </si>
  <si>
    <t>GLICEMIA</t>
  </si>
  <si>
    <t>GLICEMIA EM JEJUM</t>
  </si>
  <si>
    <t>GRUPO SANGUINEO</t>
  </si>
  <si>
    <t>HEMOGLOBINA GLICADA</t>
  </si>
  <si>
    <t>HEMOGLOBINA GLICOSADA</t>
  </si>
  <si>
    <t>HEMOGRAMA COMPLETO</t>
  </si>
  <si>
    <t>LIPIDOGRAMA</t>
  </si>
  <si>
    <t>MANGANES URINARIO</t>
  </si>
  <si>
    <t>PSA LIVRE (ANTIGENO PROSTATICO ESPECIFICO)</t>
  </si>
  <si>
    <t>PSA TOTAL (ANTIGENO PROSTATICO ESPECIFICO)</t>
  </si>
  <si>
    <t>RX DA MAO DIREITA</t>
  </si>
  <si>
    <t>RX DO PE DIREITO</t>
  </si>
  <si>
    <t>RX DO TORAX</t>
  </si>
  <si>
    <t>RX DO TORAX OIT 2000</t>
  </si>
  <si>
    <t>RX DO TORAX PADRÃO OIT</t>
  </si>
  <si>
    <t>TESTE ERGOMETRICO</t>
  </si>
  <si>
    <t>TGO</t>
  </si>
  <si>
    <t>TGP</t>
  </si>
  <si>
    <t>TOXICOLÓGICO</t>
  </si>
  <si>
    <t>URINA</t>
  </si>
  <si>
    <t>VALE</t>
  </si>
  <si>
    <t>RACs  E  NRs</t>
  </si>
  <si>
    <t>TREINAMENTO DE RAC E NR</t>
  </si>
  <si>
    <t>E14</t>
  </si>
  <si>
    <t>M09</t>
  </si>
  <si>
    <t>pç</t>
  </si>
  <si>
    <t>CPU
1</t>
  </si>
  <si>
    <t>P09</t>
  </si>
  <si>
    <t>P10</t>
  </si>
  <si>
    <t>P11</t>
  </si>
  <si>
    <t>P12</t>
  </si>
  <si>
    <t>P13</t>
  </si>
  <si>
    <t>Engenheiro</t>
  </si>
  <si>
    <t>E29</t>
  </si>
  <si>
    <t>E30</t>
  </si>
  <si>
    <t>Caixa dágua 500L</t>
  </si>
  <si>
    <t>Martelete demolição</t>
  </si>
  <si>
    <t>Misturador de argamassa</t>
  </si>
  <si>
    <t>Carro de mão</t>
  </si>
  <si>
    <t>coleta</t>
  </si>
  <si>
    <t xml:space="preserve">TOTAL GERAL   </t>
  </si>
  <si>
    <t>1.1</t>
  </si>
  <si>
    <t>1.2</t>
  </si>
  <si>
    <t>1.3</t>
  </si>
  <si>
    <t>1.4</t>
  </si>
  <si>
    <t>1.5</t>
  </si>
  <si>
    <t>1.6</t>
  </si>
  <si>
    <t>1.7</t>
  </si>
  <si>
    <t>1.8</t>
  </si>
  <si>
    <t>m</t>
  </si>
  <si>
    <t>m³</t>
  </si>
  <si>
    <t>2.1.1</t>
  </si>
  <si>
    <t>2.1.2</t>
  </si>
  <si>
    <t>2.6</t>
  </si>
  <si>
    <t>2.7</t>
  </si>
  <si>
    <t>2.8</t>
  </si>
  <si>
    <t>2.8.1</t>
  </si>
  <si>
    <t>2.7.1</t>
  </si>
  <si>
    <t>2.6.1</t>
  </si>
  <si>
    <t>2.5.1</t>
  </si>
  <si>
    <t>2.4.1</t>
  </si>
  <si>
    <t>2.3.1</t>
  </si>
  <si>
    <t>2.2.1</t>
  </si>
  <si>
    <t>2.2.2</t>
  </si>
  <si>
    <t>2.2.3</t>
  </si>
  <si>
    <t>2.2.4</t>
  </si>
  <si>
    <t>E01</t>
  </si>
  <si>
    <t>E02</t>
  </si>
  <si>
    <t>E03</t>
  </si>
  <si>
    <t>E05</t>
  </si>
  <si>
    <t>E06</t>
  </si>
  <si>
    <t>E08</t>
  </si>
  <si>
    <t>E09</t>
  </si>
  <si>
    <t>E13</t>
  </si>
  <si>
    <t>E15</t>
  </si>
  <si>
    <t>E17</t>
  </si>
  <si>
    <t>E18</t>
  </si>
  <si>
    <t>E19</t>
  </si>
  <si>
    <t>E21</t>
  </si>
  <si>
    <t>E22</t>
  </si>
  <si>
    <t>E23</t>
  </si>
  <si>
    <t>E25</t>
  </si>
  <si>
    <t>E26</t>
  </si>
  <si>
    <t>E27</t>
  </si>
  <si>
    <t>E28</t>
  </si>
  <si>
    <t>M01</t>
  </si>
  <si>
    <t>M06</t>
  </si>
  <si>
    <t>M07</t>
  </si>
  <si>
    <t>M08</t>
  </si>
  <si>
    <t>M12</t>
  </si>
  <si>
    <t>M13</t>
  </si>
  <si>
    <t>M14</t>
  </si>
  <si>
    <t>M15</t>
  </si>
  <si>
    <t>M16</t>
  </si>
  <si>
    <t>M17</t>
  </si>
  <si>
    <t>M18</t>
  </si>
  <si>
    <t>M20</t>
  </si>
  <si>
    <t>M21</t>
  </si>
  <si>
    <t>M22</t>
  </si>
  <si>
    <t>M23</t>
  </si>
  <si>
    <t>M24</t>
  </si>
  <si>
    <t>M25</t>
  </si>
  <si>
    <t>M26</t>
  </si>
  <si>
    <t>M27</t>
  </si>
  <si>
    <t>M28</t>
  </si>
  <si>
    <t>M29</t>
  </si>
  <si>
    <t>M30</t>
  </si>
  <si>
    <t>O01</t>
  </si>
  <si>
    <t>O15</t>
  </si>
  <si>
    <t>O16</t>
  </si>
  <si>
    <t>O17</t>
  </si>
  <si>
    <t>O18</t>
  </si>
  <si>
    <t>O19</t>
  </si>
  <si>
    <t>O20</t>
  </si>
  <si>
    <t>CPU
2</t>
  </si>
  <si>
    <t>CPU
3</t>
  </si>
  <si>
    <t>CPU
4</t>
  </si>
  <si>
    <t>Container escritorio</t>
  </si>
  <si>
    <t>Gerador 6KVA</t>
  </si>
  <si>
    <t>Tenda 3 x 3m</t>
  </si>
  <si>
    <t>Veiculo hatch</t>
  </si>
  <si>
    <t>Tela cerquite</t>
  </si>
  <si>
    <t>Carro plataforma</t>
  </si>
  <si>
    <t>Furadeira</t>
  </si>
  <si>
    <t>Serra circular</t>
  </si>
  <si>
    <t>Caixa dágua 1000L</t>
  </si>
  <si>
    <t>Gerador 40KVA</t>
  </si>
  <si>
    <t>Garrafa térmica 12 L</t>
  </si>
  <si>
    <t>Caminhão munck</t>
  </si>
  <si>
    <t>Armador</t>
  </si>
  <si>
    <t>unid</t>
  </si>
  <si>
    <t>kit</t>
  </si>
  <si>
    <t>Coletor de resíduo com pedal - 50L (V,V,A,A)</t>
  </si>
  <si>
    <t>vb/mês</t>
  </si>
  <si>
    <t>E31</t>
  </si>
  <si>
    <t>E32</t>
  </si>
  <si>
    <t>E33</t>
  </si>
  <si>
    <t>E34</t>
  </si>
  <si>
    <t>E35</t>
  </si>
  <si>
    <t>E36</t>
  </si>
  <si>
    <t>Caçamba de entulho 4m³</t>
  </si>
  <si>
    <t>Serviço de descarte de residuo</t>
  </si>
  <si>
    <t>Masseira 2x1m</t>
  </si>
  <si>
    <t>Tenda 10 x 10m</t>
  </si>
  <si>
    <t>Terrometro</t>
  </si>
  <si>
    <t>Multimetro</t>
  </si>
  <si>
    <t>E37</t>
  </si>
  <si>
    <t>E38</t>
  </si>
  <si>
    <t>E39</t>
  </si>
  <si>
    <t>E40</t>
  </si>
  <si>
    <t>E41</t>
  </si>
  <si>
    <t>E42</t>
  </si>
  <si>
    <t>Computador</t>
  </si>
  <si>
    <t>Impressora</t>
  </si>
  <si>
    <t>Placa de obra</t>
  </si>
  <si>
    <t>Banheiro hidraulico - locação</t>
  </si>
  <si>
    <t>Torquesa SID13</t>
  </si>
  <si>
    <t>E43</t>
  </si>
  <si>
    <t>E44</t>
  </si>
  <si>
    <t>E45</t>
  </si>
  <si>
    <t>E46</t>
  </si>
  <si>
    <t>E47</t>
  </si>
  <si>
    <t>E48</t>
  </si>
  <si>
    <t>E49</t>
  </si>
  <si>
    <t>E50</t>
  </si>
  <si>
    <t>Vibrador de concreto</t>
  </si>
  <si>
    <t>Estação total (com acessorios)</t>
  </si>
  <si>
    <t>Painel eletrico para canteiro</t>
  </si>
  <si>
    <t>Painel eletrico para frente de serviço</t>
  </si>
  <si>
    <t>Esmerilhadeira 4-1/2"</t>
  </si>
  <si>
    <t>Barreira física metalica</t>
  </si>
  <si>
    <t>Compactador de solo manual</t>
  </si>
  <si>
    <t>Ferramentas gerais para obra</t>
  </si>
  <si>
    <t>Pedestais para isolamento</t>
  </si>
  <si>
    <t>Detector de raios</t>
  </si>
  <si>
    <t>Radio de comunicação (par)</t>
  </si>
  <si>
    <t>Luminaria de fotovoltaica canteiro</t>
  </si>
  <si>
    <t>Cercamento e delimitação de canteiro de obra (15x30m)</t>
  </si>
  <si>
    <t>Material de escritório (papel, tinta, grampos, pastas, ...)</t>
  </si>
  <si>
    <t>Quadros DDS e Gestão a vista</t>
  </si>
  <si>
    <t>Areia</t>
  </si>
  <si>
    <t>Cimento</t>
  </si>
  <si>
    <t>M31</t>
  </si>
  <si>
    <t>M32</t>
  </si>
  <si>
    <t>M33</t>
  </si>
  <si>
    <t>M34</t>
  </si>
  <si>
    <t>M35</t>
  </si>
  <si>
    <t>M36</t>
  </si>
  <si>
    <t>M37</t>
  </si>
  <si>
    <t>M38</t>
  </si>
  <si>
    <t>M39</t>
  </si>
  <si>
    <t>M40</t>
  </si>
  <si>
    <t>M41</t>
  </si>
  <si>
    <t>M42</t>
  </si>
  <si>
    <t>M43</t>
  </si>
  <si>
    <t>M44</t>
  </si>
  <si>
    <t>M45</t>
  </si>
  <si>
    <t>M46</t>
  </si>
  <si>
    <t>M47</t>
  </si>
  <si>
    <t>M48</t>
  </si>
  <si>
    <t>Arrame recozido</t>
  </si>
  <si>
    <t>Arrame galganizado</t>
  </si>
  <si>
    <t>Prego</t>
  </si>
  <si>
    <t>Catoneira galvanizada 1"x1-1/4</t>
  </si>
  <si>
    <t>Arame ovalado zincado</t>
  </si>
  <si>
    <t>Painel tipo gradil morla 2,03 x 2,5m, fio 5,10mm revestido</t>
  </si>
  <si>
    <t>Concertina dupla clipada 45cm perimetral galvanizada CBT 65 RL 10m com seus respectivos acessórios de fixação</t>
  </si>
  <si>
    <t>Compensado resinado espessura mínima de 10mm</t>
  </si>
  <si>
    <t>Aço CA-50, (ferro 8.0)</t>
  </si>
  <si>
    <t>M49</t>
  </si>
  <si>
    <t>M50</t>
  </si>
  <si>
    <t>CPU
5</t>
  </si>
  <si>
    <t>Serviço de movimentação do Banheiro Hidráulico</t>
  </si>
  <si>
    <t>kg</t>
  </si>
  <si>
    <t>peça</t>
  </si>
  <si>
    <t>saco</t>
  </si>
  <si>
    <t>Sistema de fixação das telas (parafuso, porcas, arruelas, chapas), galvanizados</t>
  </si>
  <si>
    <t>Espaçadores de ferragem</t>
  </si>
  <si>
    <t>dias</t>
  </si>
  <si>
    <t>Nome do Contrato:</t>
  </si>
  <si>
    <t>Dono do Risco:</t>
  </si>
  <si>
    <t>Cliente:</t>
  </si>
  <si>
    <t>Missão do Contrato:</t>
  </si>
  <si>
    <t>Prazo (dias):</t>
  </si>
  <si>
    <t>Prazo pgto
(dd):</t>
  </si>
  <si>
    <t>Local:</t>
  </si>
  <si>
    <t>Valor Estimado</t>
  </si>
  <si>
    <t>Custo M.obra</t>
  </si>
  <si>
    <t>Custo
Equipam.</t>
  </si>
  <si>
    <t>Custo
Consumiveis</t>
  </si>
  <si>
    <t>Riscos a Verificar</t>
  </si>
  <si>
    <t>Criterio de Avaliação do Nivel do Risco</t>
  </si>
  <si>
    <t>Nota</t>
  </si>
  <si>
    <t>Probabilidade</t>
  </si>
  <si>
    <t>NR</t>
  </si>
  <si>
    <t>Probabilidade do Risco Acontecer</t>
  </si>
  <si>
    <t>QUASE CERTO</t>
  </si>
  <si>
    <t>Risco Alto</t>
  </si>
  <si>
    <t>Alto</t>
  </si>
  <si>
    <t>GRÁFICO</t>
  </si>
  <si>
    <t>VERMELHO</t>
  </si>
  <si>
    <t>AMARELO</t>
  </si>
  <si>
    <t>VERDE</t>
  </si>
  <si>
    <t>1 a 2,5</t>
  </si>
  <si>
    <t>Nivel</t>
  </si>
  <si>
    <t>Vermelho</t>
  </si>
  <si>
    <t>Amarelo</t>
  </si>
  <si>
    <t>Verde</t>
  </si>
  <si>
    <t>MUITO PROVÁVEL</t>
  </si>
  <si>
    <t>2,6 a 4,9</t>
  </si>
  <si>
    <t>PROVÁVEL</t>
  </si>
  <si>
    <t>Médio</t>
  </si>
  <si>
    <t>5 a 7,4</t>
  </si>
  <si>
    <t>POUCO PROVÁVEL</t>
  </si>
  <si>
    <t>7,5 a 8,5</t>
  </si>
  <si>
    <t>IMPROVÁVEL</t>
  </si>
  <si>
    <t>Baixo</t>
  </si>
  <si>
    <t>8,6 a 9,3</t>
  </si>
  <si>
    <t>RARO</t>
  </si>
  <si>
    <t>9,4 a 10</t>
  </si>
  <si>
    <t>Quanto maior a probabilidade do risco, menor a Nota atribuída e vice versa.</t>
  </si>
  <si>
    <t>Risco Médio</t>
  </si>
  <si>
    <t>Tipo de Riscos</t>
  </si>
  <si>
    <t>Peso da
Consequencia</t>
  </si>
  <si>
    <t>Nivel de Risco</t>
  </si>
  <si>
    <t>1-FINANCEIRO (Fluxo de caixa)</t>
  </si>
  <si>
    <t xml:space="preserve">Observações gerais a serem contempladas na APR </t>
  </si>
  <si>
    <t>2-CALOTE (SERASA)</t>
  </si>
  <si>
    <t>3-NIVEL DE COMPLEXIDADE</t>
  </si>
  <si>
    <t>Risco Baixo</t>
  </si>
  <si>
    <t>4-CAPACIDADE TÉCNICA</t>
  </si>
  <si>
    <t>5-SSMA</t>
  </si>
  <si>
    <t>6-RISCO DE NÃO ACONTECER</t>
  </si>
  <si>
    <t>7-DISPONIBILIDADE DE RECURSOS (Mercado)</t>
  </si>
  <si>
    <t>8-COMPETITIVIDADE (Concorrentes)</t>
  </si>
  <si>
    <t>Nível de Risco:</t>
  </si>
  <si>
    <t>9-HH PARADO/EQUIPAMENTO</t>
  </si>
  <si>
    <t>10-LOGISTICA</t>
  </si>
  <si>
    <t>11-NOTIFICAÇÕES E MULTAS</t>
  </si>
  <si>
    <t>12-PRAZO DE ELABORAÇÃO PROPOSTA</t>
  </si>
  <si>
    <t>13-PRAZO DE EXECUÇÃO</t>
  </si>
  <si>
    <t>14-LEILÃO</t>
  </si>
  <si>
    <t>Nota 1 - Os Níveis de Risco considerados Médios e Altos (amarelo e vermelho) deverão ser contemplados na ARC (Análise de Risco do Contrato).</t>
  </si>
  <si>
    <t>Nota 2 - Yeld é o indicador qualitativo da oportunidade do contrato no que diz respeito ao risco, varia entre 1 e 10.</t>
  </si>
  <si>
    <t>Nota 3 - Yeld menor ou igual a 5, o processo será declinado, para Yeld &gt; 5 e &lt; 8,5, deverá ser elaborada Análise de Risco do Contrato com ações para mitigar os riscos</t>
  </si>
  <si>
    <t>APROVADO</t>
  </si>
  <si>
    <t>(Fazer a APR)</t>
  </si>
  <si>
    <t>Comercial</t>
  </si>
  <si>
    <t>Dono do Risco</t>
  </si>
  <si>
    <t>REPROVADO</t>
  </si>
  <si>
    <t>Trabalhar esse formulário junto com a APR</t>
  </si>
  <si>
    <t>(Declinar do Processo)</t>
  </si>
  <si>
    <t xml:space="preserve">Este formulario deve ser utilizado como ferramenta de decisão de continuidade em processos de contratação. </t>
  </si>
  <si>
    <t>Rev. 03</t>
  </si>
  <si>
    <t>Marcio Lopes</t>
  </si>
  <si>
    <t>Alavanca, picareta, enxada, cavador, pá</t>
  </si>
  <si>
    <t>Extensões eletricas (plug steck + DJ + DR) 40m</t>
  </si>
  <si>
    <t>Freezer 300L</t>
  </si>
  <si>
    <t>diária</t>
  </si>
  <si>
    <t>Barrote de madeira 7x7cm</t>
  </si>
  <si>
    <t>Bloco tipo canaleta (14x19x39cm)</t>
  </si>
  <si>
    <t>conjunto</t>
  </si>
  <si>
    <t>Treliça - para viga baldrame</t>
  </si>
  <si>
    <t>Mourão tipo Y, 13 x 13 x 313cm fck 30mpa</t>
  </si>
  <si>
    <t>P14</t>
  </si>
  <si>
    <t>P15</t>
  </si>
  <si>
    <t>P16</t>
  </si>
  <si>
    <t>P17</t>
  </si>
  <si>
    <t>P18</t>
  </si>
  <si>
    <t>Tópografo</t>
  </si>
  <si>
    <t>Auxiliar de Topografia</t>
  </si>
  <si>
    <t>Projetista</t>
  </si>
  <si>
    <t>Combustivel - Gasolina</t>
  </si>
  <si>
    <t>Combustivel - Diesel</t>
  </si>
  <si>
    <t>Bebedouro 4 torneiras 50L</t>
  </si>
  <si>
    <t>E51</t>
  </si>
  <si>
    <t>E52</t>
  </si>
  <si>
    <t>E53</t>
  </si>
  <si>
    <t>E54</t>
  </si>
  <si>
    <t>Segurança Patrimonial</t>
  </si>
  <si>
    <t>Materiais topográficos</t>
  </si>
  <si>
    <t>Retroescavadeira</t>
  </si>
  <si>
    <t>Caminhão Basculante</t>
  </si>
  <si>
    <t>Operador/motorista</t>
  </si>
  <si>
    <t>Cadinho solda exotermica</t>
  </si>
  <si>
    <t>Brita 1</t>
  </si>
  <si>
    <t>Mourão em eucalipto 10cm x 273cm</t>
  </si>
  <si>
    <t>Solda exortémica</t>
  </si>
  <si>
    <t>Haste de aterramento</t>
  </si>
  <si>
    <t>Grampos de aterramento</t>
  </si>
  <si>
    <t>Caixa de passagens para aterramento h600 diâmetro 30cm</t>
  </si>
  <si>
    <t>Cabo 50mm²</t>
  </si>
  <si>
    <t>Conector split bolt 50mm</t>
  </si>
  <si>
    <t>PREMISSAS:</t>
  </si>
  <si>
    <t>2.4.2</t>
  </si>
  <si>
    <t>2.4.3</t>
  </si>
  <si>
    <t>2.4.4</t>
  </si>
  <si>
    <t>2.5.2</t>
  </si>
  <si>
    <t>2.9</t>
  </si>
  <si>
    <t>2.9.1</t>
  </si>
  <si>
    <t>Concreto usinado 30MPa</t>
  </si>
  <si>
    <t>Tela ondulada em aço galvanizado 0,65mx1m</t>
  </si>
  <si>
    <t>2.3.2</t>
  </si>
  <si>
    <t>Parafuso 10mm</t>
  </si>
  <si>
    <t>Chapa de base da cantoneira 1/8"</t>
  </si>
  <si>
    <t>Material solda exotermica</t>
  </si>
  <si>
    <t>XXXXXXXXXXXXXX</t>
  </si>
  <si>
    <t>PRO-000-24</t>
  </si>
  <si>
    <t>REV. 0</t>
  </si>
  <si>
    <t>XXXXXXXXXXXXXXXXXXXXXXXXXXXXXXXXXXX</t>
  </si>
  <si>
    <t>XXXXXXXXXXXXXXXXXXXX</t>
  </si>
  <si>
    <t>XXXXXXXXXXXXXXXXXXXXXXXXXXXXXXXXXXXXXXXXXX</t>
  </si>
  <si>
    <t>xx</t>
  </si>
  <si>
    <t>XXXXXXXXXXXXXXXXXXXXXX</t>
  </si>
  <si>
    <r>
      <rPr>
        <b/>
        <sz val="9"/>
        <rFont val="Rubik"/>
      </rPr>
      <t xml:space="preserve">NOTA: </t>
    </r>
    <r>
      <rPr>
        <sz val="9"/>
        <rFont val="Rubik"/>
      </rPr>
      <t xml:space="preserve">
1 - A base de cáculo para retenção do INSS pela contratante  é somente sobre a parcela mão de obra que corresponde a XX% dos custos, por se tratar de um serviço que inclui equipamentos e materiais conforme IN 971/2009;
2 - A presente proposta prever a dedução de valor de material, para apuração da base de cálculo do INSS conforme instrução normativa de cada municipio;
3 - INSS e o ISS deverão ser sobre a parcela de mão de obra.</t>
    </r>
  </si>
  <si>
    <t>LISTA DE DESVIOS:</t>
  </si>
  <si>
    <t xml:space="preserve">          PROPOSTA COMERCIAL</t>
  </si>
  <si>
    <t>ANÁLISE DE RISCO</t>
  </si>
  <si>
    <t>1ª ETAPA - ANÁLISE PRELIMINAR DE RISCO</t>
  </si>
  <si>
    <t>Nr. De Pessoas</t>
  </si>
  <si>
    <t>2ª ETAPA - ANÁLISE DE RISCO</t>
  </si>
  <si>
    <t>OBSERVAÇÕES</t>
  </si>
  <si>
    <t>ESTIMATIVA FINANCEIRAS</t>
  </si>
  <si>
    <t>Custo Total</t>
  </si>
  <si>
    <t>Óculos impacto</t>
  </si>
  <si>
    <t>Protetor facial - MSA</t>
  </si>
  <si>
    <t>Abafador ruido tipo concha - MSA</t>
  </si>
  <si>
    <t>Bota de segurança manobreiro</t>
  </si>
  <si>
    <t>Pretor solar 30fps 2 litros</t>
  </si>
  <si>
    <t>Avental</t>
  </si>
  <si>
    <t>Mascara de solda carbografite</t>
  </si>
  <si>
    <t>A Projeta não dispõe da expertise necessária para seguir com o processo e o nível de complexidade para o prazo requerido não possibilita a tentativa de participar do processo sem maiores riscos.</t>
  </si>
  <si>
    <t>X</t>
  </si>
  <si>
    <t>PRO-021-24 - ALUMAR - RDC 4573033 SUBSTITUIÇÃO MÓDULO 08 CORREIA TRANSPORTADORA - 07 - O</t>
  </si>
  <si>
    <t>Contratação de empresa especializada para execução da substituição do módulo 08 da correia 
transportadora C-01</t>
  </si>
  <si>
    <t>Márcio Lopes</t>
  </si>
  <si>
    <t>Tamires Paula</t>
  </si>
  <si>
    <t>Porto</t>
  </si>
  <si>
    <t>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</si>
</sst>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1">
    <numFmt numFmtId="44" formatCode="_-&quot;R$&quot;\ * #,##0.00_-;\-&quot;R$&quot;\ * #,##0.00_-;_-&quot;R$&quot;\ * &quot;-&quot;??_-;_-@_-"/>
    <numFmt numFmtId="43" formatCode="_-* #,##0.00_-;\-* #,##0.00_-;_-* &quot;-&quot;??_-;_-@_-"/>
    <numFmt numFmtId="164" formatCode="_-&quot;R$&quot;* #,##0.00_-;\-&quot;R$&quot;* #,##0.00_-;_-&quot;R$&quot;* &quot;-&quot;??_-;_-@_-"/>
    <numFmt numFmtId="165" formatCode="_(* #,##0.00_);_(* \(#,##0.00\);_(* &quot;-&quot;??_);_(@_)"/>
    <numFmt numFmtId="166" formatCode="_(&quot;R$ &quot;* #,##0.00_);_(&quot;R$ &quot;* \(#,##0.00\);_(&quot;R$ &quot;* &quot;-&quot;??_);_(@_)"/>
    <numFmt numFmtId="167" formatCode="0.0%"/>
    <numFmt numFmtId="168" formatCode="\ 0\ &quot;Hh&quot;"/>
    <numFmt numFmtId="169" formatCode="0.000"/>
    <numFmt numFmtId="170" formatCode="_-* #,##0.00_-;\-* #,##0.00_-;_-* \-??_-;_-@_-"/>
    <numFmt numFmtId="171" formatCode="#\,##0."/>
    <numFmt numFmtId="172" formatCode="_(&quot;R$ &quot;* #,##0.00_);_(&quot;R$ &quot;* \(#,##0.00\);_(&quot;R$ &quot;* \-??_);_(@_)"/>
    <numFmt numFmtId="173" formatCode="_-&quot;R$ &quot;* #,##0.00_-;&quot;-R$ &quot;* #,##0.00_-;_-&quot;R$ &quot;* \-??_-;_-@_-"/>
    <numFmt numFmtId="174" formatCode="\$#."/>
    <numFmt numFmtId="175" formatCode="\$#,##0\ ;\(\$#,##0\)"/>
    <numFmt numFmtId="176" formatCode="\$#,##0\ ;&quot;($&quot;#,##0\)"/>
    <numFmt numFmtId="177" formatCode="#,"/>
    <numFmt numFmtId="178" formatCode="_([$€-2]* #,##0.00_);_([$€-2]* \(#,##0.00\);_([$€-2]* &quot;-&quot;??_)"/>
    <numFmt numFmtId="179" formatCode="_([$€]* #,##0.00_);_([$€]* \(#,##0.00\);_([$€]* &quot;-&quot;??_);_(@_)"/>
    <numFmt numFmtId="180" formatCode="_([$€]* #,##0.00_);_([$€]* \(#,##0.00\);_([$€]* \-??_);_(@_)"/>
    <numFmt numFmtId="181" formatCode="_([$€-2]* #,##0.00_);_([$€-2]* \(#,##0.00\);_([$€-2]* \-??_)"/>
    <numFmt numFmtId="182" formatCode="#.00"/>
    <numFmt numFmtId="183" formatCode="#,#00"/>
    <numFmt numFmtId="184" formatCode="&quot;R$ &quot;#,##0_);\(&quot;R$ &quot;#,##0\)"/>
    <numFmt numFmtId="185" formatCode="&quot;R$ &quot;#,##0_);&quot;(R$ &quot;#,##0\)"/>
    <numFmt numFmtId="186" formatCode="_(&quot;R$&quot;* #,##0.00_);_(&quot;R$&quot;* \(#,##0.00\);_(&quot;R$&quot;* &quot;-&quot;??_);_(@_)"/>
    <numFmt numFmtId="187" formatCode="_(&quot;R$&quot;* #,##0.00_);_(&quot;R$&quot;* \(#,##0.00\);_(&quot;R$&quot;* \-??_);_(@_)"/>
    <numFmt numFmtId="188" formatCode="_(&quot;Cr$&quot;* #,##0.00_);_(&quot;Cr$&quot;* \(#,##0.00\);_(&quot;Cr$&quot;* &quot;-&quot;??_);_(@_)"/>
    <numFmt numFmtId="189" formatCode="_(&quot;Cr$&quot;* #,##0.00_);_(&quot;Cr$&quot;* \(#,##0.00\);_(&quot;Cr$&quot;* \-??_);_(@_)"/>
    <numFmt numFmtId="190" formatCode="General_)"/>
    <numFmt numFmtId="191" formatCode="%#,#00"/>
    <numFmt numFmtId="192" formatCode="#.##000"/>
    <numFmt numFmtId="193" formatCode="00"/>
    <numFmt numFmtId="194" formatCode="_(* #,##0.00_);_(* \(#,##0.00\);_(* \-??_);_(@_)"/>
    <numFmt numFmtId="195" formatCode="&quot;R$ &quot;#,##0.00_);[Red]\(&quot;R$ &quot;#,##0.00\)"/>
    <numFmt numFmtId="196" formatCode="&quot;R$ &quot;#,##0.00_);[Red]&quot;(R$ &quot;#,##0.00\)"/>
    <numFmt numFmtId="197" formatCode="_(* #,##0_);_(* \(#,##0\);_(* &quot;-&quot;_);_(@_)"/>
    <numFmt numFmtId="198" formatCode="_(* #,##0.000_);_(* \(#,##0.000\);_(* \-??_);_(@_)"/>
    <numFmt numFmtId="199" formatCode="#,##0_ ;\-#,##0\ "/>
    <numFmt numFmtId="200" formatCode="[h]:mm:ss;@"/>
    <numFmt numFmtId="201" formatCode="_(* #,##0.0000_);_(* \(#,##0.0000\);_(* &quot;-&quot;??_);_(@_)"/>
    <numFmt numFmtId="202" formatCode="&quot;Cr$&quot;#,##0.00_);[Red]\(&quot;Cr$&quot;#,##0.00\)"/>
  </numFmts>
  <fonts count="15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0"/>
      <name val="Arial"/>
      <family val="2"/>
    </font>
    <font>
      <sz val="9"/>
      <name val="Arial"/>
      <family val="2"/>
    </font>
    <font>
      <sz val="10"/>
      <color indexed="10"/>
      <name val="Arial"/>
      <family val="2"/>
    </font>
    <font>
      <sz val="10"/>
      <color rgb="FF000000"/>
      <name val="Arial"/>
      <family val="2"/>
    </font>
    <font>
      <sz val="10"/>
      <color indexed="8"/>
      <name val="Arial"/>
      <family val="2"/>
    </font>
    <font>
      <sz val="10"/>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sz val="12"/>
      <color indexed="24"/>
      <name val="System"/>
      <family val="2"/>
    </font>
    <font>
      <sz val="1"/>
      <color indexed="8"/>
      <name val="Courier New"/>
      <family val="3"/>
    </font>
    <font>
      <sz val="1"/>
      <color indexed="16"/>
      <name val="Courier"/>
      <family val="3"/>
    </font>
    <font>
      <sz val="1"/>
      <color indexed="16"/>
      <name val="Courier New"/>
      <family val="3"/>
    </font>
    <font>
      <sz val="11"/>
      <color indexed="62"/>
      <name val="Calibri"/>
      <family val="2"/>
    </font>
    <font>
      <sz val="10"/>
      <name val="Helv"/>
    </font>
    <font>
      <i/>
      <sz val="11"/>
      <color indexed="23"/>
      <name val="Calibri"/>
      <family val="2"/>
    </font>
    <font>
      <sz val="18"/>
      <color indexed="24"/>
      <name val="System"/>
      <family val="2"/>
    </font>
    <font>
      <sz val="10"/>
      <color indexed="24"/>
      <name val="System"/>
      <family val="2"/>
    </font>
    <font>
      <b/>
      <sz val="11"/>
      <color indexed="56"/>
      <name val="Calibri"/>
      <family val="2"/>
    </font>
    <font>
      <u/>
      <sz val="10"/>
      <color indexed="12"/>
      <name val="Arial"/>
      <family val="2"/>
    </font>
    <font>
      <sz val="10"/>
      <name val="Courier"/>
      <family val="3"/>
    </font>
    <font>
      <sz val="10"/>
      <name val="Courier New"/>
      <family val="3"/>
    </font>
    <font>
      <sz val="10"/>
      <name val="Times New Roman"/>
      <family val="1"/>
    </font>
    <font>
      <sz val="11"/>
      <color indexed="60"/>
      <name val="Calibri"/>
      <family val="2"/>
    </font>
    <font>
      <sz val="12"/>
      <name val="Times New Roman"/>
      <family val="1"/>
    </font>
    <font>
      <sz val="12"/>
      <color indexed="8"/>
      <name val="Calibri"/>
      <family val="2"/>
    </font>
    <font>
      <sz val="10"/>
      <name val="MS Sans Serif"/>
      <family val="2"/>
    </font>
    <font>
      <sz val="12"/>
      <color indexed="8"/>
      <name val="Arial"/>
      <family val="2"/>
    </font>
    <font>
      <sz val="8"/>
      <name val="Times New Roman"/>
      <family val="1"/>
    </font>
    <font>
      <b/>
      <sz val="11"/>
      <color indexed="63"/>
      <name val="Calibri"/>
      <family val="2"/>
    </font>
    <font>
      <b/>
      <sz val="8"/>
      <name val="Times New Roman"/>
      <family val="1"/>
    </font>
    <font>
      <sz val="1"/>
      <color indexed="18"/>
      <name val="Courier"/>
      <family val="3"/>
    </font>
    <font>
      <sz val="1"/>
      <color indexed="18"/>
      <name val="Courier New"/>
      <family val="3"/>
    </font>
    <font>
      <sz val="6"/>
      <color indexed="8"/>
      <name val="Times New Roman"/>
      <family val="1"/>
    </font>
    <font>
      <sz val="11"/>
      <color indexed="10"/>
      <name val="Calibri"/>
      <family val="2"/>
    </font>
    <font>
      <b/>
      <sz val="18"/>
      <color indexed="56"/>
      <name val="Cambria"/>
      <family val="2"/>
    </font>
    <font>
      <b/>
      <sz val="15"/>
      <color indexed="62"/>
      <name val="Calibri"/>
      <family val="2"/>
    </font>
    <font>
      <b/>
      <sz val="15"/>
      <color indexed="56"/>
      <name val="Calibri"/>
      <family val="2"/>
    </font>
    <font>
      <b/>
      <sz val="13"/>
      <color indexed="56"/>
      <name val="Calibri"/>
      <family val="2"/>
    </font>
    <font>
      <b/>
      <sz val="1"/>
      <color indexed="16"/>
      <name val="Courier"/>
      <family val="3"/>
    </font>
    <font>
      <b/>
      <sz val="1"/>
      <color indexed="8"/>
      <name val="Courier"/>
      <family val="3"/>
    </font>
    <font>
      <b/>
      <sz val="1"/>
      <color indexed="8"/>
      <name val="Courier New"/>
      <family val="3"/>
    </font>
    <font>
      <b/>
      <sz val="1"/>
      <color indexed="16"/>
      <name val="Courier New"/>
      <family val="3"/>
    </font>
    <font>
      <b/>
      <sz val="11"/>
      <color indexed="8"/>
      <name val="Calibri"/>
      <family val="2"/>
    </font>
    <font>
      <b/>
      <sz val="8"/>
      <color indexed="8"/>
      <name val="Tahoma"/>
      <family val="2"/>
    </font>
    <font>
      <b/>
      <sz val="8"/>
      <color indexed="10"/>
      <name val="Tahoma"/>
      <family val="2"/>
    </font>
    <font>
      <u/>
      <sz val="10"/>
      <color theme="10"/>
      <name val="Arial"/>
      <family val="2"/>
    </font>
    <font>
      <u/>
      <sz val="10"/>
      <color theme="11"/>
      <name val="Arial"/>
      <family val="2"/>
    </font>
    <font>
      <sz val="11"/>
      <color theme="1"/>
      <name val="Arial1"/>
    </font>
    <font>
      <sz val="10"/>
      <name val="MS Sans Serif"/>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sz val="8"/>
      <name val="Arial"/>
      <family val="2"/>
    </font>
    <font>
      <sz val="11"/>
      <name val="Montserrat"/>
    </font>
    <font>
      <b/>
      <sz val="12"/>
      <color theme="0"/>
      <name val="Montserrat"/>
    </font>
    <font>
      <b/>
      <sz val="14"/>
      <color theme="0"/>
      <name val="Montserrat"/>
    </font>
    <font>
      <b/>
      <sz val="12"/>
      <name val="Montserrat"/>
    </font>
    <font>
      <b/>
      <sz val="11"/>
      <name val="Montserrat"/>
    </font>
    <font>
      <sz val="10"/>
      <name val="Montserrat"/>
    </font>
    <font>
      <b/>
      <sz val="14"/>
      <name val="Montserrat"/>
    </font>
    <font>
      <sz val="12"/>
      <name val="Montserrat"/>
    </font>
    <font>
      <b/>
      <sz val="16"/>
      <name val="Montserrat"/>
    </font>
    <font>
      <sz val="11"/>
      <color theme="1"/>
      <name val="Montserrat"/>
    </font>
    <font>
      <sz val="10"/>
      <color theme="1"/>
      <name val="Arial"/>
      <family val="2"/>
    </font>
    <font>
      <sz val="11"/>
      <color rgb="FF000000"/>
      <name val="Calibri"/>
      <family val="2"/>
      <charset val="204"/>
    </font>
    <font>
      <sz val="12"/>
      <color theme="1"/>
      <name val="Rubik"/>
    </font>
    <font>
      <sz val="8"/>
      <name val="Rubik"/>
    </font>
    <font>
      <b/>
      <sz val="14"/>
      <name val="Rubik"/>
    </font>
    <font>
      <sz val="8"/>
      <color theme="1"/>
      <name val="Rubik"/>
    </font>
    <font>
      <b/>
      <sz val="12"/>
      <name val="Rubik"/>
    </font>
    <font>
      <b/>
      <sz val="12"/>
      <color rgb="FFEAEAEA"/>
      <name val="Rubik"/>
    </font>
    <font>
      <b/>
      <sz val="10"/>
      <color theme="1"/>
      <name val="Rubik"/>
    </font>
    <font>
      <b/>
      <sz val="11"/>
      <color theme="1"/>
      <name val="Rubik"/>
    </font>
    <font>
      <b/>
      <sz val="12"/>
      <color theme="1"/>
      <name val="Rubik"/>
    </font>
    <font>
      <sz val="11"/>
      <name val="Rubik"/>
    </font>
    <font>
      <b/>
      <sz val="12"/>
      <color rgb="FFAF1B1B"/>
      <name val="Rubik"/>
    </font>
    <font>
      <sz val="9"/>
      <name val="Rubik"/>
    </font>
    <font>
      <b/>
      <sz val="15"/>
      <name val="Rubik"/>
    </font>
    <font>
      <sz val="12"/>
      <name val="Rubik"/>
    </font>
    <font>
      <b/>
      <sz val="11"/>
      <name val="Rubik"/>
    </font>
    <font>
      <b/>
      <sz val="10"/>
      <name val="Rubik"/>
    </font>
    <font>
      <b/>
      <sz val="16"/>
      <color theme="0"/>
      <name val="Rubik"/>
    </font>
    <font>
      <sz val="10"/>
      <name val="Rubik"/>
    </font>
    <font>
      <b/>
      <sz val="11"/>
      <color theme="0"/>
      <name val="Rubik"/>
    </font>
    <font>
      <sz val="11"/>
      <color theme="0"/>
      <name val="Rubik"/>
    </font>
    <font>
      <sz val="10"/>
      <color theme="0"/>
      <name val="Rubik"/>
    </font>
    <font>
      <sz val="12"/>
      <color theme="0"/>
      <name val="Rubik"/>
    </font>
    <font>
      <b/>
      <sz val="11"/>
      <color rgb="FFAF1B1B"/>
      <name val="Rubik"/>
    </font>
    <font>
      <sz val="12"/>
      <color rgb="FFAF1B1B"/>
      <name val="Rubik"/>
    </font>
    <font>
      <sz val="11"/>
      <color theme="1"/>
      <name val="Rubik"/>
    </font>
    <font>
      <b/>
      <sz val="14"/>
      <color rgb="FFEAEAEA"/>
      <name val="Rubik"/>
    </font>
    <font>
      <sz val="9"/>
      <color theme="1"/>
      <name val="Rubik"/>
    </font>
    <font>
      <b/>
      <sz val="16"/>
      <color theme="1"/>
      <name val="Rubik"/>
    </font>
    <font>
      <b/>
      <sz val="14"/>
      <color theme="1"/>
      <name val="Rubik"/>
    </font>
    <font>
      <sz val="10"/>
      <color theme="1"/>
      <name val="Rubik"/>
    </font>
    <font>
      <b/>
      <sz val="10"/>
      <color theme="0"/>
      <name val="Rubik"/>
    </font>
    <font>
      <b/>
      <sz val="12"/>
      <color theme="0"/>
      <name val="Rubik"/>
    </font>
    <font>
      <b/>
      <sz val="18"/>
      <color theme="1"/>
      <name val="Rubik"/>
    </font>
    <font>
      <b/>
      <sz val="48"/>
      <color theme="1"/>
      <name val="Rubik"/>
    </font>
    <font>
      <sz val="36"/>
      <color theme="1"/>
      <name val="Rubik"/>
    </font>
    <font>
      <b/>
      <sz val="26"/>
      <color theme="1"/>
      <name val="Rubik"/>
    </font>
    <font>
      <b/>
      <sz val="22"/>
      <color theme="1"/>
      <name val="Rubik"/>
    </font>
    <font>
      <sz val="16"/>
      <color theme="1"/>
      <name val="Rubik"/>
    </font>
    <font>
      <b/>
      <sz val="20"/>
      <color rgb="FFEAEAEA"/>
      <name val="Rubik"/>
    </font>
    <font>
      <b/>
      <sz val="9"/>
      <name val="Rubik"/>
    </font>
    <font>
      <b/>
      <sz val="11"/>
      <color rgb="FFEAEAEA"/>
      <name val="Montserrat"/>
    </font>
    <font>
      <b/>
      <sz val="16"/>
      <name val="Rubik"/>
    </font>
    <font>
      <b/>
      <sz val="10"/>
      <color rgb="FFFF0000"/>
      <name val="Rubik"/>
    </font>
    <font>
      <b/>
      <sz val="11"/>
      <color rgb="FFEAEAEA"/>
      <name val="Rubik"/>
    </font>
    <font>
      <sz val="11"/>
      <color rgb="FFFF0000"/>
      <name val="Rubik"/>
    </font>
    <font>
      <b/>
      <sz val="12"/>
      <color rgb="FFEAEAEA"/>
      <name val="Montserrat"/>
    </font>
    <font>
      <sz val="10"/>
      <color indexed="10"/>
      <name val="Rubik"/>
    </font>
    <font>
      <sz val="6"/>
      <color indexed="10"/>
      <name val="Rubik"/>
    </font>
    <font>
      <b/>
      <sz val="10"/>
      <color indexed="10"/>
      <name val="Rubik"/>
    </font>
    <font>
      <sz val="11"/>
      <color indexed="10"/>
      <name val="Rubik"/>
    </font>
    <font>
      <sz val="8"/>
      <color indexed="10"/>
      <name val="Rubik"/>
    </font>
    <font>
      <b/>
      <sz val="11"/>
      <color rgb="FFFF0000"/>
      <name val="Rubik"/>
    </font>
    <font>
      <b/>
      <sz val="26"/>
      <name val="Rubik"/>
    </font>
    <font>
      <b/>
      <sz val="18"/>
      <name val="Rubik"/>
    </font>
  </fonts>
  <fills count="1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41"/>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gray125">
        <fgColor indexed="11"/>
      </patternFill>
    </fill>
    <fill>
      <patternFill patternType="solid">
        <fgColor indexed="41"/>
        <bgColor indexed="42"/>
      </patternFill>
    </fill>
    <fill>
      <patternFill patternType="solid">
        <fgColor indexed="15"/>
        <bgColor indexed="64"/>
      </patternFill>
    </fill>
    <fill>
      <patternFill patternType="solid">
        <fgColor indexed="15"/>
        <bgColor indexed="35"/>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0" tint="-0.249977111117893"/>
        <bgColor indexed="64"/>
      </patternFill>
    </fill>
    <fill>
      <patternFill patternType="solid">
        <fgColor indexed="13"/>
        <bgColor indexed="51"/>
      </patternFill>
    </fill>
    <fill>
      <patternFill patternType="solid">
        <fgColor indexed="10"/>
        <bgColor indexed="37"/>
      </patternFill>
    </fill>
    <fill>
      <patternFill patternType="solid">
        <fgColor indexed="9"/>
        <bgColor indexed="26"/>
      </patternFill>
    </fill>
    <fill>
      <patternFill patternType="solid">
        <fgColor theme="0"/>
        <bgColor indexed="38"/>
      </patternFill>
    </fill>
    <fill>
      <patternFill patternType="solid">
        <fgColor theme="0"/>
        <bgColor indexed="26"/>
      </patternFill>
    </fill>
    <fill>
      <patternFill patternType="solid">
        <fgColor theme="0"/>
        <bgColor indexed="41"/>
      </patternFill>
    </fill>
    <fill>
      <patternFill patternType="solid">
        <fgColor rgb="FFFFFF00"/>
        <bgColor indexed="64"/>
      </patternFill>
    </fill>
    <fill>
      <patternFill patternType="solid">
        <fgColor theme="0"/>
        <bgColor indexed="37"/>
      </patternFill>
    </fill>
    <fill>
      <patternFill patternType="solid">
        <fgColor rgb="FFFF0000"/>
        <bgColor indexed="64"/>
      </patternFill>
    </fill>
    <fill>
      <patternFill patternType="solid">
        <fgColor theme="0"/>
        <bgColor rgb="FF000000"/>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FF5050"/>
        <bgColor indexed="64"/>
      </patternFill>
    </fill>
    <fill>
      <patternFill patternType="solid">
        <fgColor theme="1" tint="0.499984740745262"/>
        <bgColor indexed="64"/>
      </patternFill>
    </fill>
    <fill>
      <patternFill patternType="solid">
        <fgColor rgb="FFAF1B1B"/>
        <bgColor indexed="64"/>
      </patternFill>
    </fill>
    <fill>
      <patternFill patternType="solid">
        <fgColor rgb="FFAF1B1B"/>
        <bgColor rgb="FF000000"/>
      </patternFill>
    </fill>
    <fill>
      <patternFill patternType="solid">
        <fgColor rgb="FFEAEAEA"/>
        <bgColor indexed="64"/>
      </patternFill>
    </fill>
    <fill>
      <patternFill patternType="solid">
        <fgColor rgb="FFEAEAEA"/>
        <bgColor rgb="FF000000"/>
      </patternFill>
    </fill>
    <fill>
      <patternFill patternType="solid">
        <fgColor rgb="FF008000"/>
        <bgColor indexed="64"/>
      </patternFill>
    </fill>
    <fill>
      <patternFill patternType="solid">
        <fgColor theme="1"/>
        <bgColor indexed="64"/>
      </patternFill>
    </fill>
    <fill>
      <patternFill patternType="solid">
        <fgColor rgb="FF00B050"/>
        <bgColor indexed="64"/>
      </patternFill>
    </fill>
    <fill>
      <patternFill patternType="solid">
        <fgColor rgb="FFAF1B1B"/>
        <bgColor indexed="38"/>
      </patternFill>
    </fill>
    <fill>
      <patternFill patternType="solid">
        <fgColor rgb="FFAF1B1B"/>
        <bgColor indexed="26"/>
      </patternFill>
    </fill>
    <fill>
      <patternFill patternType="solid">
        <fgColor rgb="FFEAEAEA"/>
        <bgColor indexed="41"/>
      </patternFill>
    </fill>
    <fill>
      <patternFill patternType="solid">
        <fgColor rgb="FFEAEAEA"/>
        <bgColor indexed="26"/>
      </patternFill>
    </fill>
    <fill>
      <patternFill patternType="solid">
        <fgColor rgb="FFEAEAEA"/>
        <bgColor indexed="38"/>
      </patternFill>
    </fill>
  </fills>
  <borders count="193">
    <border>
      <left/>
      <right/>
      <top/>
      <bottom/>
      <diagonal/>
    </border>
    <border>
      <left style="thin">
        <color auto="1"/>
      </left>
      <right/>
      <top/>
      <bottom style="thin">
        <color auto="1"/>
      </bottom>
      <diagonal/>
    </border>
    <border>
      <left style="thin">
        <color auto="1"/>
      </left>
      <right/>
      <top/>
      <bottom/>
      <diagonal/>
    </border>
    <border>
      <left style="thin">
        <color auto="1"/>
      </left>
      <right/>
      <top style="thin">
        <color auto="1"/>
      </top>
      <bottom/>
      <diagonal/>
    </border>
    <border>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hair">
        <color auto="1"/>
      </bottom>
      <diagonal/>
    </border>
    <border>
      <left style="medium">
        <color auto="1"/>
      </left>
      <right/>
      <top style="thin">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thin">
        <color auto="1"/>
      </top>
      <bottom style="medium">
        <color auto="1"/>
      </bottom>
      <diagonal/>
    </border>
    <border>
      <left style="thin">
        <color auto="1"/>
      </left>
      <right style="thin">
        <color auto="1"/>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medium">
        <color auto="1"/>
      </left>
      <right style="medium">
        <color auto="1"/>
      </right>
      <top style="double">
        <color auto="1"/>
      </top>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double">
        <color auto="1"/>
      </left>
      <right style="thin">
        <color auto="1"/>
      </right>
      <top style="double">
        <color auto="1"/>
      </top>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auto="1"/>
      </right>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thin">
        <color auto="1"/>
      </left>
      <right/>
      <top style="medium">
        <color auto="1"/>
      </top>
      <bottom style="hair">
        <color auto="1"/>
      </bottom>
      <diagonal/>
    </border>
    <border>
      <left style="thin">
        <color auto="1"/>
      </left>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ck">
        <color theme="0"/>
      </left>
      <right style="thick">
        <color theme="0"/>
      </right>
      <top style="thick">
        <color theme="0"/>
      </top>
      <bottom style="thick">
        <color theme="0"/>
      </bottom>
      <diagonal/>
    </border>
    <border>
      <left style="thick">
        <color theme="0"/>
      </left>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bottom/>
      <diagonal/>
    </border>
    <border>
      <left/>
      <right style="thick">
        <color theme="0"/>
      </right>
      <top/>
      <bottom style="thick">
        <color theme="0"/>
      </bottom>
      <diagonal/>
    </border>
    <border>
      <left style="medium">
        <color auto="1"/>
      </left>
      <right/>
      <top/>
      <bottom style="hair">
        <color auto="1"/>
      </bottom>
      <diagonal/>
    </border>
    <border>
      <left style="medium">
        <color auto="1"/>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style="medium">
        <color auto="1"/>
      </right>
      <top style="medium">
        <color indexed="64"/>
      </top>
      <bottom style="medium">
        <color indexed="64"/>
      </bottom>
      <diagonal/>
    </border>
    <border>
      <left/>
      <right/>
      <top style="thick">
        <color theme="0"/>
      </top>
      <bottom/>
      <diagonal/>
    </border>
    <border>
      <left/>
      <right/>
      <top/>
      <bottom style="medium">
        <color indexed="64"/>
      </bottom>
      <diagonal/>
    </border>
    <border>
      <left style="dashed">
        <color theme="0"/>
      </left>
      <right style="dashed">
        <color theme="0"/>
      </right>
      <top style="dashed">
        <color theme="0"/>
      </top>
      <bottom style="dashed">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bottom style="hair">
        <color auto="1"/>
      </bottom>
      <diagonal/>
    </border>
    <border>
      <left style="thin">
        <color auto="1"/>
      </left>
      <right/>
      <top style="medium">
        <color auto="1"/>
      </top>
      <bottom/>
      <diagonal/>
    </border>
    <border>
      <left style="thin">
        <color auto="1"/>
      </left>
      <right style="thin">
        <color auto="1"/>
      </right>
      <top style="hair">
        <color auto="1"/>
      </top>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right/>
      <top/>
      <bottom style="thick">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medium">
        <color auto="1"/>
      </top>
      <bottom style="hair">
        <color auto="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thin">
        <color auto="1"/>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auto="1"/>
      </top>
      <bottom/>
      <diagonal/>
    </border>
    <border>
      <left/>
      <right style="thin">
        <color auto="1"/>
      </right>
      <top style="medium">
        <color auto="1"/>
      </top>
      <bottom/>
      <diagonal/>
    </border>
    <border>
      <left style="medium">
        <color auto="1"/>
      </left>
      <right/>
      <top/>
      <bottom style="medium">
        <color indexed="64"/>
      </bottom>
      <diagonal/>
    </border>
    <border>
      <left style="thin">
        <color indexed="64"/>
      </left>
      <right style="thin">
        <color indexed="64"/>
      </right>
      <top/>
      <bottom style="medium">
        <color indexed="64"/>
      </bottom>
      <diagonal/>
    </border>
    <border>
      <left/>
      <right style="thin">
        <color auto="1"/>
      </right>
      <top/>
      <bottom style="medium">
        <color indexed="64"/>
      </bottom>
      <diagonal/>
    </border>
    <border>
      <left style="thin">
        <color auto="1"/>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ck">
        <color theme="0"/>
      </left>
      <right/>
      <top/>
      <bottom style="thick">
        <color theme="0"/>
      </bottom>
      <diagonal/>
    </border>
    <border>
      <left/>
      <right/>
      <top style="thin">
        <color auto="1"/>
      </top>
      <bottom style="medium">
        <color auto="1"/>
      </bottom>
      <diagonal/>
    </border>
    <border>
      <left style="medium">
        <color auto="1"/>
      </left>
      <right/>
      <top style="thin">
        <color auto="1"/>
      </top>
      <bottom style="medium">
        <color auto="1"/>
      </bottom>
      <diagonal/>
    </border>
    <border>
      <left/>
      <right/>
      <top style="thin">
        <color auto="1"/>
      </top>
      <bottom/>
      <diagonal/>
    </border>
    <border>
      <left/>
      <right style="thin">
        <color auto="1"/>
      </right>
      <top style="thin">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dashed">
        <color theme="0"/>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indexed="64"/>
      </left>
      <right style="thin">
        <color indexed="64"/>
      </right>
      <top style="thin">
        <color auto="1"/>
      </top>
      <bottom style="hair">
        <color auto="1"/>
      </bottom>
      <diagonal/>
    </border>
    <border>
      <left style="medium">
        <color auto="1"/>
      </left>
      <right style="thin">
        <color auto="1"/>
      </right>
      <top/>
      <bottom/>
      <diagonal/>
    </border>
    <border>
      <left style="medium">
        <color auto="1"/>
      </left>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thin">
        <color auto="1"/>
      </left>
      <right style="thin">
        <color auto="1"/>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style="thin">
        <color auto="1"/>
      </top>
      <bottom/>
      <diagonal/>
    </border>
    <border>
      <left/>
      <right style="medium">
        <color indexed="64"/>
      </right>
      <top style="thin">
        <color indexed="64"/>
      </top>
      <bottom/>
      <diagonal/>
    </border>
    <border>
      <left style="medium">
        <color indexed="64"/>
      </left>
      <right/>
      <top/>
      <bottom style="thin">
        <color auto="1"/>
      </bottom>
      <diagonal/>
    </border>
    <border>
      <left/>
      <right style="medium">
        <color indexed="64"/>
      </right>
      <top/>
      <bottom style="thin">
        <color auto="1"/>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auto="1"/>
      </bottom>
      <diagonal/>
    </border>
    <border>
      <left/>
      <right/>
      <top style="thin">
        <color auto="1"/>
      </top>
      <bottom style="thin">
        <color auto="1"/>
      </bottom>
      <diagonal/>
    </border>
    <border>
      <left/>
      <right style="medium">
        <color indexed="64"/>
      </right>
      <top style="thin">
        <color auto="1"/>
      </top>
      <bottom style="medium">
        <color indexed="64"/>
      </bottom>
      <diagonal/>
    </border>
    <border>
      <left style="thin">
        <color auto="1"/>
      </left>
      <right/>
      <top style="thin">
        <color auto="1"/>
      </top>
      <bottom style="medium">
        <color auto="1"/>
      </bottom>
      <diagonal/>
    </border>
    <border>
      <left/>
      <right style="thin">
        <color auto="1"/>
      </right>
      <top style="thin">
        <color auto="1"/>
      </top>
      <bottom style="medium">
        <color indexed="64"/>
      </bottom>
      <diagonal/>
    </border>
  </borders>
  <cellStyleXfs count="1163">
    <xf numFmtId="0" fontId="0"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165" fontId="19" fillId="0" borderId="0" applyFont="0" applyFill="0" applyBorder="0" applyAlignment="0" applyProtection="0"/>
    <xf numFmtId="9" fontId="19" fillId="0" borderId="0" applyFont="0" applyFill="0" applyBorder="0" applyAlignment="0" applyProtection="0"/>
    <xf numFmtId="0" fontId="15" fillId="0" borderId="0"/>
    <xf numFmtId="9" fontId="16" fillId="0" borderId="0" applyFont="0" applyFill="0" applyBorder="0" applyAlignment="0" applyProtection="0"/>
    <xf numFmtId="44" fontId="24" fillId="0" borderId="0" applyFont="0" applyFill="0" applyBorder="0" applyAlignment="0" applyProtection="0"/>
    <xf numFmtId="0" fontId="23" fillId="0" borderId="0" applyNumberFormat="0" applyFill="0" applyBorder="0" applyAlignment="0" applyProtection="0"/>
    <xf numFmtId="0" fontId="14" fillId="0" borderId="0"/>
    <xf numFmtId="44" fontId="14" fillId="0" borderId="0" applyFont="0" applyFill="0" applyBorder="0" applyAlignment="0" applyProtection="0"/>
    <xf numFmtId="0" fontId="23" fillId="0" borderId="0" applyNumberFormat="0" applyFill="0" applyBorder="0" applyAlignment="0" applyProtection="0"/>
    <xf numFmtId="0" fontId="16" fillId="0" borderId="0"/>
    <xf numFmtId="0" fontId="16" fillId="0" borderId="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37" fontId="17" fillId="0" borderId="0" applyFill="0" applyBorder="0">
      <alignment horizontal="left"/>
    </xf>
    <xf numFmtId="0" fontId="28" fillId="8" borderId="0" applyNumberFormat="0" applyBorder="0" applyAlignment="0" applyProtection="0"/>
    <xf numFmtId="0" fontId="28" fillId="9" borderId="0" applyNumberFormat="0" applyBorder="0" applyAlignment="0" applyProtection="0"/>
    <xf numFmtId="0" fontId="29" fillId="40" borderId="42" applyNumberFormat="0" applyAlignment="0" applyProtection="0"/>
    <xf numFmtId="0" fontId="29" fillId="41" borderId="42" applyNumberFormat="0" applyAlignment="0" applyProtection="0"/>
    <xf numFmtId="0" fontId="29" fillId="40" borderId="42" applyNumberFormat="0" applyAlignment="0" applyProtection="0"/>
    <xf numFmtId="0" fontId="29" fillId="41" borderId="42" applyNumberFormat="0" applyAlignment="0" applyProtection="0"/>
    <xf numFmtId="0" fontId="16" fillId="0" borderId="0"/>
    <xf numFmtId="0" fontId="30" fillId="42" borderId="43" applyNumberFormat="0" applyAlignment="0" applyProtection="0"/>
    <xf numFmtId="0" fontId="30" fillId="43" borderId="43" applyNumberFormat="0" applyAlignment="0" applyProtection="0"/>
    <xf numFmtId="0" fontId="31" fillId="0" borderId="44" applyNumberFormat="0" applyFill="0" applyAlignment="0" applyProtection="0"/>
    <xf numFmtId="0" fontId="30" fillId="42" borderId="43" applyNumberFormat="0" applyAlignment="0" applyProtection="0"/>
    <xf numFmtId="0" fontId="30" fillId="43" borderId="43" applyNumberFormat="0" applyAlignment="0" applyProtection="0"/>
    <xf numFmtId="43" fontId="25" fillId="0" borderId="0" applyFont="0" applyFill="0" applyBorder="0" applyAlignment="0" applyProtection="0"/>
    <xf numFmtId="170" fontId="16" fillId="0" borderId="0" applyFill="0" applyBorder="0" applyAlignment="0" applyProtection="0"/>
    <xf numFmtId="171" fontId="32" fillId="0" borderId="0">
      <protection locked="0"/>
    </xf>
    <xf numFmtId="3" fontId="33" fillId="0" borderId="0" applyFont="0" applyFill="0" applyBorder="0" applyAlignment="0" applyProtection="0"/>
    <xf numFmtId="3" fontId="16" fillId="0" borderId="0" applyFill="0" applyBorder="0" applyAlignment="0" applyProtection="0"/>
    <xf numFmtId="171" fontId="34" fillId="0" borderId="0">
      <protection locked="0"/>
    </xf>
    <xf numFmtId="166" fontId="16" fillId="0" borderId="0" applyFont="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72" fontId="16" fillId="0" borderId="0" applyFill="0" applyBorder="0" applyAlignment="0" applyProtection="0"/>
    <xf numFmtId="44" fontId="25" fillId="0" borderId="0" applyFont="0" applyFill="0" applyBorder="0" applyAlignment="0" applyProtection="0"/>
    <xf numFmtId="173" fontId="16" fillId="0" borderId="0" applyFill="0" applyBorder="0" applyAlignment="0" applyProtection="0"/>
    <xf numFmtId="174" fontId="32" fillId="0" borderId="0">
      <protection locked="0"/>
    </xf>
    <xf numFmtId="175" fontId="33" fillId="0" borderId="0" applyFont="0" applyFill="0" applyBorder="0" applyAlignment="0" applyProtection="0"/>
    <xf numFmtId="176" fontId="16" fillId="0" borderId="0" applyFill="0" applyBorder="0" applyAlignment="0" applyProtection="0"/>
    <xf numFmtId="174" fontId="34" fillId="0" borderId="0">
      <protection locked="0"/>
    </xf>
    <xf numFmtId="177" fontId="35" fillId="0" borderId="0">
      <protection locked="0"/>
    </xf>
    <xf numFmtId="0" fontId="32" fillId="0" borderId="0">
      <protection locked="0"/>
    </xf>
    <xf numFmtId="0" fontId="34" fillId="0" borderId="0">
      <protection locked="0"/>
    </xf>
    <xf numFmtId="177" fontId="36" fillId="0" borderId="0">
      <protection locked="0"/>
    </xf>
    <xf numFmtId="0" fontId="32" fillId="0" borderId="0">
      <protection locked="0"/>
    </xf>
    <xf numFmtId="0" fontId="33" fillId="0" borderId="0" applyFont="0" applyFill="0" applyBorder="0" applyAlignment="0" applyProtection="0"/>
    <xf numFmtId="0" fontId="16" fillId="0" borderId="0" applyFill="0" applyBorder="0" applyAlignment="0" applyProtection="0"/>
    <xf numFmtId="0" fontId="34" fillId="0" borderId="0">
      <protection locked="0"/>
    </xf>
    <xf numFmtId="0" fontId="26" fillId="3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37" fillId="14" borderId="42" applyNumberFormat="0" applyAlignment="0" applyProtection="0"/>
    <xf numFmtId="0" fontId="37" fillId="15" borderId="42" applyNumberFormat="0" applyAlignment="0" applyProtection="0"/>
    <xf numFmtId="0" fontId="18" fillId="1" borderId="45" applyFont="0" applyFill="0" applyBorder="0" applyAlignment="0">
      <alignment horizontal="center" vertical="center"/>
    </xf>
    <xf numFmtId="0" fontId="16" fillId="0" borderId="0" applyFill="0" applyBorder="0" applyAlignment="0"/>
    <xf numFmtId="0" fontId="16" fillId="0" borderId="0"/>
    <xf numFmtId="0" fontId="16" fillId="0" borderId="0"/>
    <xf numFmtId="0" fontId="38" fillId="0" borderId="0"/>
    <xf numFmtId="178" fontId="16" fillId="0" borderId="0" applyFont="0" applyFill="0" applyBorder="0" applyAlignment="0" applyProtection="0"/>
    <xf numFmtId="179" fontId="16" fillId="0" borderId="0" applyFont="0" applyFill="0" applyBorder="0" applyAlignment="0" applyProtection="0"/>
    <xf numFmtId="180" fontId="16" fillId="0" borderId="0" applyFill="0" applyBorder="0" applyAlignment="0" applyProtection="0"/>
    <xf numFmtId="181" fontId="16" fillId="0" borderId="0" applyFill="0" applyBorder="0" applyAlignment="0" applyProtection="0"/>
    <xf numFmtId="0" fontId="16" fillId="0" borderId="0"/>
    <xf numFmtId="0" fontId="39" fillId="0" borderId="0" applyNumberFormat="0" applyFill="0" applyBorder="0" applyAlignment="0" applyProtection="0"/>
    <xf numFmtId="182" fontId="32" fillId="0" borderId="0">
      <protection locked="0"/>
    </xf>
    <xf numFmtId="2" fontId="33" fillId="0" borderId="0" applyFont="0" applyFill="0" applyBorder="0" applyAlignment="0" applyProtection="0"/>
    <xf numFmtId="2" fontId="16" fillId="0" borderId="0" applyFill="0" applyBorder="0" applyAlignment="0" applyProtection="0"/>
    <xf numFmtId="182" fontId="34" fillId="0" borderId="0">
      <protection locked="0"/>
    </xf>
    <xf numFmtId="177" fontId="35" fillId="0" borderId="0">
      <protection locked="0"/>
    </xf>
    <xf numFmtId="183" fontId="32" fillId="0" borderId="0">
      <protection locked="0"/>
    </xf>
    <xf numFmtId="183" fontId="34" fillId="0" borderId="0">
      <protection locked="0"/>
    </xf>
    <xf numFmtId="177" fontId="36" fillId="0" borderId="0">
      <protection locked="0"/>
    </xf>
    <xf numFmtId="0" fontId="28" fillId="8" borderId="0" applyNumberFormat="0" applyBorder="0" applyAlignment="0" applyProtection="0"/>
    <xf numFmtId="0" fontId="28" fillId="9" borderId="0" applyNumberFormat="0" applyBorder="0" applyAlignment="0" applyProtection="0"/>
    <xf numFmtId="0" fontId="32" fillId="0" borderId="0">
      <protection locked="0"/>
    </xf>
    <xf numFmtId="0" fontId="40" fillId="0" borderId="0" applyNumberFormat="0" applyFill="0" applyBorder="0" applyAlignment="0" applyProtection="0"/>
    <xf numFmtId="0" fontId="34" fillId="0" borderId="0">
      <protection locked="0"/>
    </xf>
    <xf numFmtId="0" fontId="32" fillId="0" borderId="0">
      <protection locked="0"/>
    </xf>
    <xf numFmtId="0" fontId="41" fillId="0" borderId="0" applyNumberFormat="0" applyFill="0" applyBorder="0" applyAlignment="0" applyProtection="0"/>
    <xf numFmtId="0" fontId="34" fillId="0" borderId="0">
      <protection locked="0"/>
    </xf>
    <xf numFmtId="0" fontId="42" fillId="0" borderId="46" applyNumberFormat="0" applyFill="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27" fillId="6" borderId="0" applyNumberFormat="0" applyBorder="0" applyAlignment="0" applyProtection="0"/>
    <xf numFmtId="0" fontId="27" fillId="7" borderId="0" applyNumberFormat="0" applyBorder="0" applyAlignment="0" applyProtection="0"/>
    <xf numFmtId="0" fontId="44" fillId="0" borderId="0"/>
    <xf numFmtId="0" fontId="45" fillId="0" borderId="0"/>
    <xf numFmtId="0" fontId="37" fillId="14" borderId="42" applyNumberFormat="0" applyAlignment="0" applyProtection="0"/>
    <xf numFmtId="0" fontId="37" fillId="15" borderId="42" applyNumberFormat="0" applyAlignment="0" applyProtection="0"/>
    <xf numFmtId="0" fontId="16" fillId="0" borderId="0"/>
    <xf numFmtId="169" fontId="17" fillId="44" borderId="0" applyFont="0" applyBorder="0">
      <alignment horizontal="right"/>
    </xf>
    <xf numFmtId="169" fontId="16" fillId="45" borderId="0" applyBorder="0">
      <alignment horizontal="right"/>
    </xf>
    <xf numFmtId="0" fontId="31" fillId="0" borderId="44" applyNumberFormat="0" applyFill="0" applyAlignment="0" applyProtection="0"/>
    <xf numFmtId="0" fontId="16" fillId="0" borderId="0">
      <alignment horizontal="centerContinuous" vertical="justify"/>
    </xf>
    <xf numFmtId="0" fontId="16" fillId="0" borderId="0">
      <alignment horizontal="center" vertical="top" wrapText="1"/>
    </xf>
    <xf numFmtId="0" fontId="18" fillId="46" borderId="0">
      <alignment horizontal="left" vertical="top" wrapText="1"/>
    </xf>
    <xf numFmtId="0" fontId="18" fillId="47" borderId="0">
      <alignment horizontal="left" vertical="top" wrapText="1"/>
    </xf>
    <xf numFmtId="43" fontId="16" fillId="0" borderId="0" applyFont="0" applyFill="0" applyBorder="0" applyAlignment="0" applyProtection="0"/>
    <xf numFmtId="184" fontId="46" fillId="0" borderId="0" applyFont="0" applyFill="0" applyBorder="0" applyAlignment="0" applyProtection="0"/>
    <xf numFmtId="185"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44" fontId="16" fillId="0" borderId="0" applyFill="0" applyBorder="0" applyAlignment="0" applyProtection="0"/>
    <xf numFmtId="44" fontId="16" fillId="0" borderId="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72"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72" fontId="25" fillId="0" borderId="0" applyFill="0" applyBorder="0" applyAlignment="0" applyProtection="0"/>
    <xf numFmtId="172" fontId="16" fillId="0" borderId="0" applyFill="0" applyBorder="0" applyAlignment="0" applyProtection="0"/>
    <xf numFmtId="186" fontId="16" fillId="0" borderId="0" applyFont="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66" fontId="16" fillId="0" borderId="0" applyFont="0" applyFill="0" applyBorder="0" applyAlignment="0" applyProtection="0"/>
    <xf numFmtId="172" fontId="25" fillId="0" borderId="0" applyFill="0" applyBorder="0" applyAlignment="0" applyProtection="0"/>
    <xf numFmtId="172" fontId="25" fillId="0" borderId="0" applyFill="0" applyBorder="0" applyAlignment="0" applyProtection="0"/>
    <xf numFmtId="172" fontId="16" fillId="0" borderId="0" applyFill="0" applyBorder="0" applyAlignment="0" applyProtection="0"/>
    <xf numFmtId="172" fontId="25" fillId="0" borderId="0" applyFill="0" applyBorder="0" applyAlignment="0" applyProtection="0"/>
    <xf numFmtId="186" fontId="16" fillId="0" borderId="0" applyFont="0" applyFill="0" applyBorder="0" applyAlignment="0" applyProtection="0"/>
    <xf numFmtId="172" fontId="25" fillId="0" borderId="0" applyFill="0" applyBorder="0" applyAlignment="0" applyProtection="0"/>
    <xf numFmtId="187" fontId="16" fillId="0" borderId="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88" fontId="16" fillId="0" borderId="0" applyFont="0" applyFill="0" applyBorder="0" applyAlignment="0" applyProtection="0"/>
    <xf numFmtId="189" fontId="16" fillId="0" borderId="0" applyFill="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6" fillId="0" borderId="0"/>
    <xf numFmtId="0" fontId="16" fillId="0" borderId="0"/>
    <xf numFmtId="0" fontId="16" fillId="0" borderId="0"/>
    <xf numFmtId="0" fontId="16" fillId="0" borderId="0"/>
    <xf numFmtId="0" fontId="16" fillId="0" borderId="0"/>
    <xf numFmtId="0" fontId="13" fillId="0" borderId="0"/>
    <xf numFmtId="0" fontId="25" fillId="0" borderId="0"/>
    <xf numFmtId="0" fontId="13" fillId="0" borderId="0"/>
    <xf numFmtId="0" fontId="25" fillId="0" borderId="0"/>
    <xf numFmtId="0" fontId="13" fillId="0" borderId="0"/>
    <xf numFmtId="0" fontId="25" fillId="0" borderId="0"/>
    <xf numFmtId="0" fontId="13" fillId="0" borderId="0"/>
    <xf numFmtId="0" fontId="25" fillId="0" borderId="0"/>
    <xf numFmtId="0" fontId="13" fillId="0" borderId="0"/>
    <xf numFmtId="0" fontId="25" fillId="0" borderId="0"/>
    <xf numFmtId="0" fontId="13" fillId="0" borderId="0"/>
    <xf numFmtId="0" fontId="25" fillId="0" borderId="0"/>
    <xf numFmtId="0" fontId="13" fillId="0" borderId="0"/>
    <xf numFmtId="0" fontId="25" fillId="0" borderId="0"/>
    <xf numFmtId="0" fontId="13" fillId="0" borderId="0"/>
    <xf numFmtId="0" fontId="25" fillId="0" borderId="0"/>
    <xf numFmtId="0" fontId="16" fillId="0" borderId="0"/>
    <xf numFmtId="0" fontId="49" fillId="0" borderId="0"/>
    <xf numFmtId="0" fontId="49" fillId="0" borderId="0"/>
    <xf numFmtId="0" fontId="49" fillId="0" borderId="0"/>
    <xf numFmtId="0" fontId="16" fillId="0" borderId="0"/>
    <xf numFmtId="0" fontId="49" fillId="0" borderId="0"/>
    <xf numFmtId="0" fontId="49" fillId="0" borderId="0"/>
    <xf numFmtId="0" fontId="46" fillId="0" borderId="0"/>
    <xf numFmtId="0" fontId="16" fillId="0" borderId="0"/>
    <xf numFmtId="0" fontId="25" fillId="0" borderId="0"/>
    <xf numFmtId="0" fontId="4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6" fillId="0" borderId="0"/>
    <xf numFmtId="0" fontId="46" fillId="0" borderId="0"/>
    <xf numFmtId="0" fontId="13" fillId="0" borderId="0"/>
    <xf numFmtId="0" fontId="46" fillId="0" borderId="0"/>
    <xf numFmtId="0" fontId="46" fillId="0" borderId="0"/>
    <xf numFmtId="0" fontId="13" fillId="0" borderId="0"/>
    <xf numFmtId="0" fontId="46" fillId="0" borderId="0"/>
    <xf numFmtId="0" fontId="46" fillId="0" borderId="0"/>
    <xf numFmtId="0" fontId="13" fillId="0" borderId="0"/>
    <xf numFmtId="0" fontId="16" fillId="0" borderId="0"/>
    <xf numFmtId="0" fontId="13" fillId="0" borderId="0"/>
    <xf numFmtId="0" fontId="13" fillId="0" borderId="0"/>
    <xf numFmtId="0" fontId="13" fillId="0" borderId="0"/>
    <xf numFmtId="0" fontId="16" fillId="0" borderId="0"/>
    <xf numFmtId="0" fontId="46" fillId="0" borderId="0"/>
    <xf numFmtId="0" fontId="25" fillId="0" borderId="0"/>
    <xf numFmtId="0" fontId="46" fillId="0" borderId="0"/>
    <xf numFmtId="0" fontId="25" fillId="0" borderId="0"/>
    <xf numFmtId="0" fontId="13" fillId="0" borderId="0"/>
    <xf numFmtId="0" fontId="13" fillId="0" borderId="0"/>
    <xf numFmtId="0" fontId="13" fillId="0" borderId="0"/>
    <xf numFmtId="0" fontId="1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0" fillId="0" borderId="0"/>
    <xf numFmtId="0" fontId="16" fillId="0" borderId="0"/>
    <xf numFmtId="0" fontId="50" fillId="0" borderId="0"/>
    <xf numFmtId="0" fontId="25" fillId="0" borderId="0"/>
    <xf numFmtId="0" fontId="51" fillId="0" borderId="0"/>
    <xf numFmtId="0" fontId="13" fillId="0" borderId="0"/>
    <xf numFmtId="0" fontId="25" fillId="0" borderId="0"/>
    <xf numFmtId="0" fontId="16" fillId="0" borderId="0"/>
    <xf numFmtId="0" fontId="13" fillId="0" borderId="0"/>
    <xf numFmtId="0" fontId="25" fillId="0" borderId="0"/>
    <xf numFmtId="0" fontId="16" fillId="0" borderId="0"/>
    <xf numFmtId="190" fontId="52" fillId="0" borderId="15">
      <alignment horizontal="center"/>
    </xf>
    <xf numFmtId="190" fontId="52" fillId="0" borderId="47">
      <alignment horizontal="center"/>
    </xf>
    <xf numFmtId="0" fontId="16" fillId="50" borderId="48" applyNumberFormat="0" applyFont="0" applyAlignment="0" applyProtection="0"/>
    <xf numFmtId="0" fontId="16" fillId="50" borderId="48" applyNumberFormat="0" applyFont="0" applyAlignment="0" applyProtection="0"/>
    <xf numFmtId="0" fontId="16" fillId="51" borderId="48" applyNumberFormat="0" applyAlignment="0" applyProtection="0"/>
    <xf numFmtId="0" fontId="16" fillId="51" borderId="48" applyNumberFormat="0" applyAlignment="0" applyProtection="0"/>
    <xf numFmtId="0" fontId="16" fillId="50" borderId="48" applyNumberFormat="0" applyFont="0" applyAlignment="0" applyProtection="0"/>
    <xf numFmtId="0" fontId="16" fillId="51" borderId="48" applyNumberFormat="0" applyAlignment="0" applyProtection="0"/>
    <xf numFmtId="0" fontId="53" fillId="40" borderId="49" applyNumberFormat="0" applyAlignment="0" applyProtection="0"/>
    <xf numFmtId="0" fontId="53" fillId="41" borderId="49"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177" fontId="35" fillId="0" borderId="0">
      <protection locked="0"/>
    </xf>
    <xf numFmtId="191" fontId="32" fillId="0" borderId="0">
      <protection locked="0"/>
    </xf>
    <xf numFmtId="191" fontId="34" fillId="0" borderId="0">
      <protection locked="0"/>
    </xf>
    <xf numFmtId="177" fontId="36" fillId="0" borderId="0">
      <protection locked="0"/>
    </xf>
    <xf numFmtId="0" fontId="54" fillId="0" borderId="50" applyNumberFormat="0" applyFont="0" applyBorder="0" applyAlignment="0"/>
    <xf numFmtId="0" fontId="16" fillId="0" borderId="0" applyNumberFormat="0" applyBorder="0" applyAlignment="0"/>
    <xf numFmtId="177" fontId="35" fillId="0" borderId="0">
      <protection locked="0"/>
    </xf>
    <xf numFmtId="192" fontId="32" fillId="0" borderId="0">
      <protection locked="0"/>
    </xf>
    <xf numFmtId="192" fontId="34" fillId="0" borderId="0">
      <protection locked="0"/>
    </xf>
    <xf numFmtId="177" fontId="36" fillId="0" borderId="0">
      <protection locked="0"/>
    </xf>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3"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49" fillId="0" borderId="0" applyFont="0" applyFill="0" applyBorder="0" applyAlignment="0" applyProtection="0"/>
    <xf numFmtId="9" fontId="49" fillId="0" borderId="0" applyFont="0" applyFill="0" applyBorder="0" applyAlignment="0" applyProtection="0"/>
    <xf numFmtId="9" fontId="16" fillId="0" borderId="0" applyFill="0" applyBorder="0" applyAlignment="0" applyProtection="0"/>
    <xf numFmtId="9" fontId="49"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49" fillId="0" borderId="0" applyFont="0" applyFill="0" applyBorder="0" applyAlignment="0" applyProtection="0"/>
    <xf numFmtId="9" fontId="16" fillId="0" borderId="0" applyFill="0" applyBorder="0" applyAlignment="0" applyProtection="0"/>
    <xf numFmtId="9" fontId="49" fillId="0" borderId="0" applyFont="0" applyFill="0" applyBorder="0" applyAlignment="0" applyProtection="0"/>
    <xf numFmtId="9" fontId="16" fillId="0" borderId="0" applyFill="0" applyBorder="0" applyAlignment="0" applyProtection="0"/>
    <xf numFmtId="9" fontId="25"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25"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25"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193" fontId="17" fillId="0" borderId="0" applyFill="0" applyBorder="0">
      <alignment horizontal="center"/>
    </xf>
    <xf numFmtId="37" fontId="17" fillId="0" borderId="0">
      <alignment horizontal="right"/>
      <protection locked="0"/>
    </xf>
    <xf numFmtId="9" fontId="17" fillId="0" borderId="0" applyFont="0" applyBorder="0">
      <alignment horizontal="right"/>
      <protection locked="0"/>
    </xf>
    <xf numFmtId="9" fontId="16" fillId="0" borderId="0" applyBorder="0">
      <alignment horizontal="right"/>
      <protection locked="0"/>
    </xf>
    <xf numFmtId="167" fontId="17" fillId="0" borderId="0" applyFill="0" applyBorder="0">
      <alignment horizontal="right"/>
      <protection locked="0"/>
    </xf>
    <xf numFmtId="0" fontId="53" fillId="40" borderId="49" applyNumberFormat="0" applyAlignment="0" applyProtection="0"/>
    <xf numFmtId="0" fontId="53" fillId="41" borderId="49" applyNumberFormat="0" applyAlignment="0" applyProtection="0"/>
    <xf numFmtId="38" fontId="50" fillId="0" borderId="0" applyFont="0" applyFill="0" applyBorder="0" applyAlignment="0" applyProtection="0"/>
    <xf numFmtId="38" fontId="16" fillId="0" borderId="0" applyFill="0" applyBorder="0" applyAlignment="0" applyProtection="0"/>
    <xf numFmtId="177" fontId="55" fillId="0" borderId="0">
      <protection locked="0"/>
    </xf>
    <xf numFmtId="177" fontId="56" fillId="0" borderId="0">
      <protection locked="0"/>
    </xf>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57"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25"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95" fontId="46" fillId="0" borderId="0" applyFont="0" applyFill="0" applyBorder="0" applyAlignment="0" applyProtection="0"/>
    <xf numFmtId="196" fontId="16" fillId="0" borderId="0" applyFill="0" applyBorder="0" applyAlignment="0" applyProtection="0"/>
    <xf numFmtId="195" fontId="46" fillId="0" borderId="0" applyFont="0" applyFill="0" applyBorder="0" applyAlignment="0" applyProtection="0"/>
    <xf numFmtId="196"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49" fillId="0" borderId="0" applyFont="0" applyFill="0" applyBorder="0" applyAlignment="0" applyProtection="0"/>
    <xf numFmtId="165" fontId="49" fillId="0" borderId="0" applyFont="0" applyFill="0" applyBorder="0" applyAlignment="0" applyProtection="0"/>
    <xf numFmtId="194" fontId="16" fillId="0" borderId="0" applyFill="0" applyBorder="0" applyAlignment="0" applyProtection="0"/>
    <xf numFmtId="165" fontId="49"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49" fillId="0" borderId="0" applyFont="0" applyFill="0" applyBorder="0" applyAlignment="0" applyProtection="0"/>
    <xf numFmtId="194" fontId="16" fillId="0" borderId="0" applyFill="0" applyBorder="0" applyAlignment="0" applyProtection="0"/>
    <xf numFmtId="165" fontId="49" fillId="0" borderId="0" applyFont="0" applyFill="0" applyBorder="0" applyAlignment="0" applyProtection="0"/>
    <xf numFmtId="194" fontId="16" fillId="0" borderId="0" applyFill="0" applyBorder="0" applyAlignment="0" applyProtection="0"/>
    <xf numFmtId="194" fontId="25" fillId="0" borderId="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25" fillId="0" borderId="0" applyFill="0" applyBorder="0" applyAlignment="0" applyProtection="0"/>
    <xf numFmtId="194" fontId="16" fillId="0" borderId="0" applyFill="0" applyBorder="0" applyAlignment="0" applyProtection="0"/>
    <xf numFmtId="0" fontId="16" fillId="0" borderId="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94" fontId="25"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25"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94" fontId="16" fillId="0" borderId="0" applyFill="0" applyBorder="0" applyAlignment="0" applyProtection="0"/>
    <xf numFmtId="194" fontId="16" fillId="0" borderId="0" applyFont="0" applyFill="0" applyBorder="0" applyAlignment="0" applyProtection="0"/>
    <xf numFmtId="194" fontId="16" fillId="0" borderId="0" applyFill="0" applyBorder="0" applyAlignment="0" applyProtection="0"/>
    <xf numFmtId="194"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7" fontId="46" fillId="0" borderId="0" applyFont="0" applyFill="0" applyBorder="0" applyAlignment="0" applyProtection="0"/>
    <xf numFmtId="0" fontId="16" fillId="0" borderId="0"/>
    <xf numFmtId="37" fontId="17" fillId="0" borderId="0" applyFill="0" applyBorder="0">
      <alignment horizontal="right"/>
      <protection locked="0"/>
    </xf>
    <xf numFmtId="0" fontId="58" fillId="0" borderId="0" applyNumberFormat="0" applyFill="0" applyBorder="0" applyAlignment="0" applyProtection="0"/>
    <xf numFmtId="0" fontId="39" fillId="0" borderId="0" applyNumberFormat="0" applyFill="0" applyBorder="0" applyAlignment="0" applyProtection="0"/>
    <xf numFmtId="0" fontId="59" fillId="0" borderId="0" applyNumberFormat="0" applyFill="0" applyBorder="0" applyAlignment="0" applyProtection="0"/>
    <xf numFmtId="0" fontId="60" fillId="0" borderId="51" applyNumberFormat="0" applyFill="0" applyAlignment="0" applyProtection="0"/>
    <xf numFmtId="0" fontId="61" fillId="0" borderId="52" applyNumberFormat="0" applyFill="0" applyAlignment="0" applyProtection="0"/>
    <xf numFmtId="0" fontId="62" fillId="0" borderId="53" applyNumberFormat="0" applyFill="0" applyAlignment="0" applyProtection="0"/>
    <xf numFmtId="0" fontId="42" fillId="0" borderId="46" applyNumberFormat="0" applyFill="0" applyAlignment="0" applyProtection="0"/>
    <xf numFmtId="0" fontId="42" fillId="0" borderId="0" applyNumberFormat="0" applyFill="0" applyBorder="0" applyAlignment="0" applyProtection="0"/>
    <xf numFmtId="0" fontId="59" fillId="0" borderId="0" applyNumberFormat="0" applyFill="0" applyBorder="0" applyAlignment="0" applyProtection="0"/>
    <xf numFmtId="177" fontId="63" fillId="0" borderId="0">
      <protection locked="0"/>
    </xf>
    <xf numFmtId="177" fontId="64" fillId="0" borderId="0">
      <protection locked="0"/>
    </xf>
    <xf numFmtId="177" fontId="65" fillId="0" borderId="0">
      <protection locked="0"/>
    </xf>
    <xf numFmtId="177" fontId="66" fillId="0" borderId="0">
      <protection locked="0"/>
    </xf>
    <xf numFmtId="177" fontId="63" fillId="0" borderId="0">
      <protection locked="0"/>
    </xf>
    <xf numFmtId="177" fontId="64" fillId="0" borderId="0">
      <protection locked="0"/>
    </xf>
    <xf numFmtId="177" fontId="65" fillId="0" borderId="0">
      <protection locked="0"/>
    </xf>
    <xf numFmtId="177" fontId="66" fillId="0" borderId="0">
      <protection locked="0"/>
    </xf>
    <xf numFmtId="0" fontId="67" fillId="0" borderId="54" applyNumberFormat="0" applyFill="0" applyAlignment="0" applyProtection="0"/>
    <xf numFmtId="177" fontId="32" fillId="0" borderId="55">
      <protection locked="0"/>
    </xf>
    <xf numFmtId="177" fontId="34" fillId="0" borderId="56">
      <protection locked="0"/>
    </xf>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43" fontId="13"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43" fontId="16" fillId="0" borderId="0" applyFont="0" applyFill="0" applyBorder="0" applyAlignment="0" applyProtection="0"/>
    <xf numFmtId="170" fontId="16" fillId="0" borderId="0" applyFill="0" applyBorder="0" applyAlignment="0" applyProtection="0"/>
    <xf numFmtId="165" fontId="4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3"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0" fontId="58" fillId="0" borderId="0" applyNumberFormat="0" applyFill="0" applyBorder="0" applyAlignment="0" applyProtection="0"/>
    <xf numFmtId="0" fontId="12" fillId="0" borderId="0"/>
    <xf numFmtId="0" fontId="70" fillId="0" borderId="0" applyNumberFormat="0" applyFill="0" applyBorder="0" applyAlignment="0" applyProtection="0"/>
    <xf numFmtId="0" fontId="71" fillId="0" borderId="0" applyNumberFormat="0" applyFill="0" applyBorder="0" applyAlignment="0" applyProtection="0"/>
    <xf numFmtId="194" fontId="16" fillId="0" borderId="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16" fillId="0" borderId="0">
      <alignment vertical="top"/>
    </xf>
    <xf numFmtId="44" fontId="16" fillId="0" borderId="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44" fontId="16" fillId="0" borderId="0" applyFont="0" applyFill="0" applyBorder="0" applyAlignment="0" applyProtection="0"/>
    <xf numFmtId="0" fontId="72" fillId="0" borderId="0"/>
    <xf numFmtId="43" fontId="72" fillId="0" borderId="0" applyFont="0" applyFill="0" applyBorder="0" applyAlignment="0" applyProtection="0"/>
    <xf numFmtId="0" fontId="11" fillId="0" borderId="0"/>
    <xf numFmtId="43" fontId="11" fillId="0" borderId="0" applyFont="0" applyFill="0" applyBorder="0" applyAlignment="0" applyProtection="0"/>
    <xf numFmtId="164" fontId="11" fillId="0" borderId="0" applyFont="0" applyFill="0" applyBorder="0" applyAlignment="0" applyProtection="0"/>
    <xf numFmtId="166" fontId="25"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0" fillId="0" borderId="0"/>
    <xf numFmtId="0" fontId="73" fillId="0" borderId="0"/>
    <xf numFmtId="0" fontId="9" fillId="0" borderId="0"/>
    <xf numFmtId="43" fontId="73" fillId="0" borderId="0" applyFont="0" applyFill="0" applyBorder="0" applyAlignment="0" applyProtection="0"/>
    <xf numFmtId="0" fontId="73" fillId="0" borderId="0"/>
    <xf numFmtId="0" fontId="73" fillId="0" borderId="0"/>
    <xf numFmtId="0" fontId="16" fillId="0" borderId="0" applyNumberFormat="0" applyFill="0" applyBorder="0" applyAlignment="0" applyProtection="0"/>
    <xf numFmtId="0" fontId="46" fillId="0" borderId="0"/>
    <xf numFmtId="40" fontId="50" fillId="0" borderId="0" applyFont="0" applyFill="0" applyBorder="0" applyAlignment="0" applyProtection="0"/>
    <xf numFmtId="0" fontId="16" fillId="0" borderId="0"/>
    <xf numFmtId="0" fontId="73" fillId="0" borderId="0"/>
    <xf numFmtId="0" fontId="8" fillId="0" borderId="0"/>
    <xf numFmtId="0" fontId="8" fillId="0" borderId="0"/>
    <xf numFmtId="0" fontId="8" fillId="0" borderId="0"/>
    <xf numFmtId="0" fontId="8" fillId="0" borderId="0"/>
    <xf numFmtId="0" fontId="8" fillId="0" borderId="0"/>
    <xf numFmtId="0" fontId="8" fillId="0" borderId="0"/>
    <xf numFmtId="0" fontId="74" fillId="0" borderId="103" applyNumberFormat="0" applyFill="0" applyAlignment="0" applyProtection="0"/>
    <xf numFmtId="0" fontId="75" fillId="0" borderId="104" applyNumberFormat="0" applyFill="0" applyAlignment="0" applyProtection="0"/>
    <xf numFmtId="0" fontId="76" fillId="0" borderId="105" applyNumberFormat="0" applyFill="0" applyAlignment="0" applyProtection="0"/>
    <xf numFmtId="0" fontId="76" fillId="0" borderId="0" applyNumberFormat="0" applyFill="0" applyBorder="0" applyAlignment="0" applyProtection="0"/>
    <xf numFmtId="0" fontId="77" fillId="64" borderId="0" applyNumberFormat="0" applyBorder="0" applyAlignment="0" applyProtection="0"/>
    <xf numFmtId="0" fontId="78" fillId="65" borderId="0" applyNumberFormat="0" applyBorder="0" applyAlignment="0" applyProtection="0"/>
    <xf numFmtId="0" fontId="79" fillId="67" borderId="106" applyNumberFormat="0" applyAlignment="0" applyProtection="0"/>
    <xf numFmtId="0" fontId="80" fillId="68" borderId="107" applyNumberFormat="0" applyAlignment="0" applyProtection="0"/>
    <xf numFmtId="0" fontId="81" fillId="68" borderId="106" applyNumberFormat="0" applyAlignment="0" applyProtection="0"/>
    <xf numFmtId="0" fontId="82" fillId="0" borderId="108" applyNumberFormat="0" applyFill="0" applyAlignment="0" applyProtection="0"/>
    <xf numFmtId="0" fontId="83" fillId="69" borderId="109" applyNumberFormat="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6" fillId="0" borderId="111" applyNumberFormat="0" applyFill="0" applyAlignment="0" applyProtection="0"/>
    <xf numFmtId="0" fontId="87" fillId="71" borderId="0" applyNumberFormat="0" applyBorder="0" applyAlignment="0" applyProtection="0"/>
    <xf numFmtId="0" fontId="7" fillId="72" borderId="0" applyNumberFormat="0" applyBorder="0" applyAlignment="0" applyProtection="0"/>
    <xf numFmtId="0" fontId="7" fillId="73" borderId="0" applyNumberFormat="0" applyBorder="0" applyAlignment="0" applyProtection="0"/>
    <xf numFmtId="0" fontId="87" fillId="75" borderId="0" applyNumberFormat="0" applyBorder="0" applyAlignment="0" applyProtection="0"/>
    <xf numFmtId="0" fontId="7" fillId="76" borderId="0" applyNumberFormat="0" applyBorder="0" applyAlignment="0" applyProtection="0"/>
    <xf numFmtId="0" fontId="7" fillId="77" borderId="0" applyNumberFormat="0" applyBorder="0" applyAlignment="0" applyProtection="0"/>
    <xf numFmtId="0" fontId="87" fillId="79" borderId="0" applyNumberFormat="0" applyBorder="0" applyAlignment="0" applyProtection="0"/>
    <xf numFmtId="0" fontId="7" fillId="80" borderId="0" applyNumberFormat="0" applyBorder="0" applyAlignment="0" applyProtection="0"/>
    <xf numFmtId="0" fontId="7" fillId="81" borderId="0" applyNumberFormat="0" applyBorder="0" applyAlignment="0" applyProtection="0"/>
    <xf numFmtId="0" fontId="87" fillId="83" borderId="0" applyNumberFormat="0" applyBorder="0" applyAlignment="0" applyProtection="0"/>
    <xf numFmtId="0" fontId="7" fillId="84" borderId="0" applyNumberFormat="0" applyBorder="0" applyAlignment="0" applyProtection="0"/>
    <xf numFmtId="0" fontId="7" fillId="85" borderId="0" applyNumberFormat="0" applyBorder="0" applyAlignment="0" applyProtection="0"/>
    <xf numFmtId="0" fontId="87" fillId="87" borderId="0" applyNumberFormat="0" applyBorder="0" applyAlignment="0" applyProtection="0"/>
    <xf numFmtId="0" fontId="7" fillId="88" borderId="0" applyNumberFormat="0" applyBorder="0" applyAlignment="0" applyProtection="0"/>
    <xf numFmtId="0" fontId="7" fillId="89" borderId="0" applyNumberFormat="0" applyBorder="0" applyAlignment="0" applyProtection="0"/>
    <xf numFmtId="0" fontId="87" fillId="91" borderId="0" applyNumberFormat="0" applyBorder="0" applyAlignment="0" applyProtection="0"/>
    <xf numFmtId="0" fontId="7" fillId="92" borderId="0" applyNumberFormat="0" applyBorder="0" applyAlignment="0" applyProtection="0"/>
    <xf numFmtId="0" fontId="7" fillId="93" borderId="0" applyNumberFormat="0" applyBorder="0" applyAlignment="0" applyProtection="0"/>
    <xf numFmtId="0" fontId="16" fillId="0" borderId="0"/>
    <xf numFmtId="0" fontId="7" fillId="0" borderId="0"/>
    <xf numFmtId="44" fontId="16" fillId="0" borderId="0" applyFont="0" applyFill="0" applyBorder="0" applyAlignment="0" applyProtection="0"/>
    <xf numFmtId="0" fontId="16" fillId="51" borderId="122" applyNumberFormat="0" applyAlignment="0" applyProtection="0"/>
    <xf numFmtId="0" fontId="7" fillId="0" borderId="0"/>
    <xf numFmtId="44" fontId="7" fillId="0" borderId="0" applyFont="0" applyFill="0" applyBorder="0" applyAlignment="0" applyProtection="0"/>
    <xf numFmtId="0" fontId="29" fillId="40" borderId="120" applyNumberFormat="0" applyAlignment="0" applyProtection="0"/>
    <xf numFmtId="0" fontId="29" fillId="41" borderId="120" applyNumberFormat="0" applyAlignment="0" applyProtection="0"/>
    <xf numFmtId="0" fontId="29" fillId="41" borderId="120" applyNumberFormat="0" applyAlignment="0" applyProtection="0"/>
    <xf numFmtId="0" fontId="37" fillId="14" borderId="120" applyNumberFormat="0" applyAlignment="0" applyProtection="0"/>
    <xf numFmtId="0" fontId="29" fillId="40" borderId="112" applyNumberFormat="0" applyAlignment="0" applyProtection="0"/>
    <xf numFmtId="0" fontId="29" fillId="41" borderId="112" applyNumberFormat="0" applyAlignment="0" applyProtection="0"/>
    <xf numFmtId="0" fontId="29" fillId="40" borderId="112" applyNumberFormat="0" applyAlignment="0" applyProtection="0"/>
    <xf numFmtId="0" fontId="29" fillId="41" borderId="112" applyNumberFormat="0" applyAlignment="0" applyProtection="0"/>
    <xf numFmtId="0" fontId="37" fillId="14" borderId="120" applyNumberFormat="0" applyAlignment="0" applyProtection="0"/>
    <xf numFmtId="43" fontId="25" fillId="0" borderId="0" applyFont="0" applyFill="0" applyBorder="0" applyAlignment="0" applyProtection="0"/>
    <xf numFmtId="44" fontId="25" fillId="0" borderId="0" applyFont="0" applyFill="0" applyBorder="0" applyAlignment="0" applyProtection="0"/>
    <xf numFmtId="0" fontId="37" fillId="14" borderId="112" applyNumberFormat="0" applyAlignment="0" applyProtection="0"/>
    <xf numFmtId="0" fontId="37" fillId="15" borderId="112" applyNumberFormat="0" applyAlignment="0" applyProtection="0"/>
    <xf numFmtId="0" fontId="42" fillId="0" borderId="113" applyNumberFormat="0" applyFill="0" applyAlignment="0" applyProtection="0"/>
    <xf numFmtId="0" fontId="37" fillId="14" borderId="112" applyNumberFormat="0" applyAlignment="0" applyProtection="0"/>
    <xf numFmtId="0" fontId="37" fillId="15" borderId="112" applyNumberFormat="0" applyAlignment="0" applyProtection="0"/>
    <xf numFmtId="44" fontId="16" fillId="0" borderId="0" applyFont="0" applyFill="0" applyBorder="0" applyAlignment="0" applyProtection="0"/>
    <xf numFmtId="44" fontId="16" fillId="0" borderId="0" applyFill="0" applyBorder="0" applyAlignment="0" applyProtection="0"/>
    <xf numFmtId="44" fontId="16" fillId="0" borderId="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7" fillId="0" borderId="0"/>
    <xf numFmtId="0" fontId="7" fillId="0" borderId="0"/>
    <xf numFmtId="0" fontId="7" fillId="0" borderId="0"/>
    <xf numFmtId="190" fontId="52" fillId="0" borderId="121">
      <alignment horizontal="center"/>
    </xf>
    <xf numFmtId="0" fontId="7" fillId="0" borderId="0"/>
    <xf numFmtId="0" fontId="16" fillId="50" borderId="122" applyNumberFormat="0" applyFont="0" applyAlignment="0" applyProtection="0"/>
    <xf numFmtId="0" fontId="7" fillId="0" borderId="0"/>
    <xf numFmtId="0" fontId="16" fillId="50" borderId="122" applyNumberFormat="0" applyFont="0" applyAlignment="0" applyProtection="0"/>
    <xf numFmtId="0" fontId="7" fillId="0" borderId="0"/>
    <xf numFmtId="0" fontId="16" fillId="51" borderId="122" applyNumberFormat="0" applyAlignment="0" applyProtection="0"/>
    <xf numFmtId="0" fontId="7" fillId="0" borderId="0"/>
    <xf numFmtId="0" fontId="16" fillId="51" borderId="122" applyNumberFormat="0" applyAlignment="0" applyProtection="0"/>
    <xf numFmtId="0" fontId="7" fillId="0" borderId="0"/>
    <xf numFmtId="0" fontId="16" fillId="50" borderId="122" applyNumberFormat="0" applyFont="0" applyAlignment="0" applyProtection="0"/>
    <xf numFmtId="0" fontId="53" fillId="40" borderId="123" applyNumberFormat="0" applyAlignment="0" applyProtection="0"/>
    <xf numFmtId="0" fontId="53" fillId="41" borderId="123"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90" fontId="52" fillId="0" borderId="95">
      <alignment horizontal="center"/>
    </xf>
    <xf numFmtId="190" fontId="52" fillId="0" borderId="114">
      <alignment horizontal="center"/>
    </xf>
    <xf numFmtId="0" fontId="16" fillId="50" borderId="115" applyNumberFormat="0" applyFont="0" applyAlignment="0" applyProtection="0"/>
    <xf numFmtId="0" fontId="16" fillId="50" borderId="115" applyNumberFormat="0" applyFont="0" applyAlignment="0" applyProtection="0"/>
    <xf numFmtId="0" fontId="16" fillId="51" borderId="115" applyNumberFormat="0" applyAlignment="0" applyProtection="0"/>
    <xf numFmtId="0" fontId="16" fillId="51" borderId="115" applyNumberFormat="0" applyAlignment="0" applyProtection="0"/>
    <xf numFmtId="0" fontId="16" fillId="50" borderId="115" applyNumberFormat="0" applyFont="0" applyAlignment="0" applyProtection="0"/>
    <xf numFmtId="0" fontId="16" fillId="51" borderId="115" applyNumberFormat="0" applyAlignment="0" applyProtection="0"/>
    <xf numFmtId="0" fontId="53" fillId="40" borderId="116" applyNumberFormat="0" applyAlignment="0" applyProtection="0"/>
    <xf numFmtId="0" fontId="53" fillId="41" borderId="116" applyNumberFormat="0" applyAlignment="0" applyProtection="0"/>
    <xf numFmtId="0" fontId="53" fillId="40" borderId="123" applyNumberFormat="0" applyAlignment="0" applyProtection="0"/>
    <xf numFmtId="9" fontId="7" fillId="0" borderId="0" applyFont="0" applyFill="0" applyBorder="0" applyAlignment="0" applyProtection="0"/>
    <xf numFmtId="0" fontId="53" fillId="41" borderId="123" applyNumberFormat="0" applyAlignment="0" applyProtection="0"/>
    <xf numFmtId="9" fontId="7" fillId="0" borderId="0" applyFont="0" applyFill="0" applyBorder="0" applyAlignment="0" applyProtection="0"/>
    <xf numFmtId="0" fontId="53" fillId="40" borderId="116" applyNumberFormat="0" applyAlignment="0" applyProtection="0"/>
    <xf numFmtId="0" fontId="53" fillId="41" borderId="116"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0" fontId="67" fillId="0" borderId="124" applyNumberFormat="0" applyFill="0" applyAlignment="0" applyProtection="0"/>
    <xf numFmtId="177" fontId="32" fillId="0" borderId="125">
      <protection locked="0"/>
    </xf>
    <xf numFmtId="177" fontId="34" fillId="0" borderId="126">
      <protection locked="0"/>
    </xf>
    <xf numFmtId="43" fontId="1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42" fillId="0" borderId="113" applyNumberFormat="0" applyFill="0" applyAlignment="0" applyProtection="0"/>
    <xf numFmtId="0" fontId="67" fillId="0" borderId="117" applyNumberFormat="0" applyFill="0" applyAlignment="0" applyProtection="0"/>
    <xf numFmtId="177" fontId="32" fillId="0" borderId="118">
      <protection locked="0"/>
    </xf>
    <xf numFmtId="177" fontId="34" fillId="0" borderId="119">
      <protection locked="0"/>
    </xf>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7" fillId="0" borderId="0"/>
    <xf numFmtId="44" fontId="16" fillId="0" borderId="0" applyBorder="0" applyAlignment="0" applyProtection="0"/>
    <xf numFmtId="44" fontId="16" fillId="0" borderId="0" applyFont="0" applyFill="0" applyBorder="0" applyAlignment="0" applyProtection="0"/>
    <xf numFmtId="0" fontId="37" fillId="15" borderId="120" applyNumberFormat="0" applyAlignment="0" applyProtection="0"/>
    <xf numFmtId="0" fontId="16" fillId="0" borderId="0"/>
    <xf numFmtId="44" fontId="16" fillId="0" borderId="0" applyFont="0" applyFill="0" applyBorder="0" applyAlignment="0" applyProtection="0"/>
    <xf numFmtId="43" fontId="72" fillId="0" borderId="0" applyFont="0" applyFill="0" applyBorder="0" applyAlignment="0" applyProtection="0"/>
    <xf numFmtId="0" fontId="37" fillId="15" borderId="120" applyNumberFormat="0" applyAlignment="0" applyProtection="0"/>
    <xf numFmtId="0" fontId="29" fillId="40" borderId="120" applyNumberFormat="0" applyAlignment="0" applyProtection="0"/>
    <xf numFmtId="0" fontId="7" fillId="0" borderId="0"/>
    <xf numFmtId="0" fontId="26" fillId="34" borderId="0" applyNumberFormat="0" applyBorder="0" applyAlignment="0" applyProtection="0"/>
    <xf numFmtId="0" fontId="7" fillId="0" borderId="0"/>
    <xf numFmtId="0" fontId="50" fillId="0" borderId="0"/>
    <xf numFmtId="0" fontId="50" fillId="0" borderId="0"/>
    <xf numFmtId="0" fontId="50" fillId="0" borderId="0" applyProtection="0"/>
    <xf numFmtId="0" fontId="50" fillId="0" borderId="0" applyProtection="0"/>
    <xf numFmtId="40" fontId="50" fillId="0" borderId="0" applyFont="0" applyFill="0" applyBorder="0" applyAlignment="0" applyProtection="0"/>
    <xf numFmtId="43" fontId="16" fillId="0" borderId="0" applyFont="0" applyFill="0" applyBorder="0" applyAlignment="0" applyProtection="0"/>
    <xf numFmtId="0" fontId="50" fillId="0" borderId="0" applyProtection="0"/>
    <xf numFmtId="0" fontId="16" fillId="0" borderId="0"/>
    <xf numFmtId="0" fontId="50" fillId="0" borderId="0"/>
    <xf numFmtId="0" fontId="50" fillId="0" borderId="0" applyProtection="0"/>
    <xf numFmtId="43" fontId="16" fillId="0" borderId="0" applyFont="0" applyFill="0" applyBorder="0" applyAlignment="0" applyProtection="0"/>
    <xf numFmtId="0" fontId="50" fillId="0" borderId="0" applyProtection="0"/>
    <xf numFmtId="0" fontId="88" fillId="0" borderId="0" applyNumberFormat="0" applyFill="0" applyBorder="0" applyAlignment="0" applyProtection="0"/>
    <xf numFmtId="0" fontId="89" fillId="66" borderId="0" applyNumberFormat="0" applyBorder="0" applyAlignment="0" applyProtection="0"/>
    <xf numFmtId="0" fontId="7" fillId="70" borderId="110" applyNumberFormat="0" applyFont="0" applyAlignment="0" applyProtection="0"/>
    <xf numFmtId="0" fontId="87" fillId="74" borderId="0" applyNumberFormat="0" applyBorder="0" applyAlignment="0" applyProtection="0"/>
    <xf numFmtId="0" fontId="87" fillId="78" borderId="0" applyNumberFormat="0" applyBorder="0" applyAlignment="0" applyProtection="0"/>
    <xf numFmtId="0" fontId="87" fillId="82" borderId="0" applyNumberFormat="0" applyBorder="0" applyAlignment="0" applyProtection="0"/>
    <xf numFmtId="0" fontId="87" fillId="86" borderId="0" applyNumberFormat="0" applyBorder="0" applyAlignment="0" applyProtection="0"/>
    <xf numFmtId="0" fontId="87" fillId="90" borderId="0" applyNumberFormat="0" applyBorder="0" applyAlignment="0" applyProtection="0"/>
    <xf numFmtId="0" fontId="87" fillId="94" borderId="0" applyNumberFormat="0" applyBorder="0" applyAlignment="0" applyProtection="0"/>
    <xf numFmtId="202" fontId="50"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6" fillId="0" borderId="0" applyFont="0" applyFill="0" applyBorder="0" applyAlignment="0" applyProtection="0"/>
    <xf numFmtId="0" fontId="16" fillId="0" borderId="0"/>
    <xf numFmtId="0" fontId="7" fillId="0" borderId="0"/>
    <xf numFmtId="0" fontId="16" fillId="0" borderId="0"/>
    <xf numFmtId="43" fontId="7" fillId="0" borderId="0" applyFont="0" applyFill="0" applyBorder="0" applyAlignment="0" applyProtection="0"/>
    <xf numFmtId="43" fontId="7"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21" fillId="0" borderId="0"/>
    <xf numFmtId="165" fontId="21"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4" fillId="0" borderId="0"/>
    <xf numFmtId="43" fontId="46" fillId="0" borderId="0" applyFont="0" applyFill="0" applyBorder="0" applyAlignment="0" applyProtection="0"/>
    <xf numFmtId="0" fontId="16" fillId="0" borderId="0"/>
    <xf numFmtId="0" fontId="16" fillId="0" borderId="0"/>
    <xf numFmtId="165" fontId="46" fillId="0" borderId="0" applyFont="0" applyFill="0" applyBorder="0" applyAlignment="0" applyProtection="0"/>
    <xf numFmtId="0" fontId="101" fillId="0" borderId="0"/>
    <xf numFmtId="0" fontId="101" fillId="0" borderId="0"/>
    <xf numFmtId="9" fontId="46" fillId="0" borderId="0" applyFont="0" applyFill="0" applyBorder="0" applyAlignment="0" applyProtection="0"/>
    <xf numFmtId="0" fontId="70" fillId="0" borderId="0" applyNumberFormat="0" applyFill="0" applyBorder="0" applyAlignment="0" applyProtection="0"/>
    <xf numFmtId="0" fontId="16" fillId="0" borderId="0"/>
    <xf numFmtId="0" fontId="3" fillId="0" borderId="0"/>
    <xf numFmtId="44" fontId="16" fillId="0" borderId="0" applyFont="0" applyFill="0" applyBorder="0" applyAlignment="0" applyProtection="0"/>
    <xf numFmtId="0" fontId="3" fillId="0" borderId="0"/>
    <xf numFmtId="44" fontId="3" fillId="0" borderId="0" applyFont="0" applyFill="0" applyBorder="0" applyAlignment="0" applyProtection="0"/>
    <xf numFmtId="0" fontId="29" fillId="40" borderId="151" applyNumberFormat="0" applyAlignment="0" applyProtection="0"/>
    <xf numFmtId="0" fontId="29" fillId="41" borderId="151" applyNumberFormat="0" applyAlignment="0" applyProtection="0"/>
    <xf numFmtId="0" fontId="29" fillId="40" borderId="151" applyNumberFormat="0" applyAlignment="0" applyProtection="0"/>
    <xf numFmtId="0" fontId="29" fillId="41" borderId="151" applyNumberFormat="0" applyAlignment="0" applyProtection="0"/>
    <xf numFmtId="43" fontId="25" fillId="0" borderId="0" applyFont="0" applyFill="0" applyBorder="0" applyAlignment="0" applyProtection="0"/>
    <xf numFmtId="44" fontId="25" fillId="0" borderId="0" applyFont="0" applyFill="0" applyBorder="0" applyAlignment="0" applyProtection="0"/>
    <xf numFmtId="0" fontId="37" fillId="14" borderId="151" applyNumberFormat="0" applyAlignment="0" applyProtection="0"/>
    <xf numFmtId="0" fontId="37" fillId="15" borderId="151" applyNumberFormat="0" applyAlignment="0" applyProtection="0"/>
    <xf numFmtId="0" fontId="37" fillId="14" borderId="151" applyNumberFormat="0" applyAlignment="0" applyProtection="0"/>
    <xf numFmtId="0" fontId="37" fillId="15" borderId="151" applyNumberFormat="0" applyAlignment="0" applyProtection="0"/>
    <xf numFmtId="44" fontId="16" fillId="0" borderId="0" applyFill="0" applyBorder="0" applyAlignment="0" applyProtection="0"/>
    <xf numFmtId="44" fontId="16" fillId="0" borderId="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52" fillId="0" borderId="135">
      <alignment horizontal="center"/>
    </xf>
    <xf numFmtId="190" fontId="52" fillId="0" borderId="152">
      <alignment horizontal="center"/>
    </xf>
    <xf numFmtId="0" fontId="16" fillId="50" borderId="153" applyNumberFormat="0" applyFont="0" applyAlignment="0" applyProtection="0"/>
    <xf numFmtId="0" fontId="16" fillId="50" borderId="153" applyNumberFormat="0" applyFont="0" applyAlignment="0" applyProtection="0"/>
    <xf numFmtId="0" fontId="16" fillId="51" borderId="153" applyNumberFormat="0" applyAlignment="0" applyProtection="0"/>
    <xf numFmtId="0" fontId="16" fillId="51" borderId="153" applyNumberFormat="0" applyAlignment="0" applyProtection="0"/>
    <xf numFmtId="0" fontId="16" fillId="50" borderId="153" applyNumberFormat="0" applyFont="0" applyAlignment="0" applyProtection="0"/>
    <xf numFmtId="0" fontId="16" fillId="51" borderId="153" applyNumberFormat="0" applyAlignment="0" applyProtection="0"/>
    <xf numFmtId="0" fontId="53" fillId="40" borderId="154" applyNumberFormat="0" applyAlignment="0" applyProtection="0"/>
    <xf numFmtId="0" fontId="53" fillId="41" borderId="154"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53" fillId="40" borderId="154" applyNumberFormat="0" applyAlignment="0" applyProtection="0"/>
    <xf numFmtId="0" fontId="53" fillId="41" borderId="154" applyNumberFormat="0" applyAlignment="0" applyProtection="0"/>
    <xf numFmtId="0" fontId="67" fillId="0" borderId="155" applyNumberFormat="0" applyFill="0" applyAlignment="0" applyProtection="0"/>
    <xf numFmtId="177" fontId="32" fillId="0" borderId="156">
      <protection locked="0"/>
    </xf>
    <xf numFmtId="177" fontId="34" fillId="0" borderId="157">
      <protection locked="0"/>
    </xf>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0" fontId="3" fillId="0" borderId="0"/>
    <xf numFmtId="44" fontId="16" fillId="0" borderId="0" applyBorder="0" applyAlignment="0" applyProtection="0"/>
    <xf numFmtId="44" fontId="16" fillId="0" borderId="0" applyFont="0" applyFill="0" applyBorder="0" applyAlignment="0" applyProtection="0"/>
    <xf numFmtId="43" fontId="72" fillId="0" borderId="0" applyFont="0" applyFill="0" applyBorder="0" applyAlignment="0" applyProtection="0"/>
    <xf numFmtId="0" fontId="3" fillId="0" borderId="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43" fontId="7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xf numFmtId="0" fontId="3" fillId="72" borderId="0" applyNumberFormat="0" applyBorder="0" applyAlignment="0" applyProtection="0"/>
    <xf numFmtId="0" fontId="3" fillId="73" borderId="0" applyNumberFormat="0" applyBorder="0" applyAlignment="0" applyProtection="0"/>
    <xf numFmtId="0" fontId="3" fillId="76" borderId="0" applyNumberFormat="0" applyBorder="0" applyAlignment="0" applyProtection="0"/>
    <xf numFmtId="0" fontId="3" fillId="77" borderId="0" applyNumberFormat="0" applyBorder="0" applyAlignment="0" applyProtection="0"/>
    <xf numFmtId="0" fontId="3" fillId="80" borderId="0" applyNumberFormat="0" applyBorder="0" applyAlignment="0" applyProtection="0"/>
    <xf numFmtId="0" fontId="3" fillId="81" borderId="0" applyNumberFormat="0" applyBorder="0" applyAlignment="0" applyProtection="0"/>
    <xf numFmtId="0" fontId="3" fillId="84" borderId="0" applyNumberFormat="0" applyBorder="0" applyAlignment="0" applyProtection="0"/>
    <xf numFmtId="0" fontId="3" fillId="85" borderId="0" applyNumberFormat="0" applyBorder="0" applyAlignment="0" applyProtection="0"/>
    <xf numFmtId="0" fontId="3" fillId="88" borderId="0" applyNumberFormat="0" applyBorder="0" applyAlignment="0" applyProtection="0"/>
    <xf numFmtId="0" fontId="3" fillId="89" borderId="0" applyNumberFormat="0" applyBorder="0" applyAlignment="0" applyProtection="0"/>
    <xf numFmtId="0" fontId="3" fillId="92" borderId="0" applyNumberFormat="0" applyBorder="0" applyAlignment="0" applyProtection="0"/>
    <xf numFmtId="0" fontId="3" fillId="93" borderId="0" applyNumberFormat="0" applyBorder="0" applyAlignment="0" applyProtection="0"/>
    <xf numFmtId="0" fontId="3" fillId="0" borderId="0"/>
    <xf numFmtId="44" fontId="16" fillId="0" borderId="0" applyFont="0" applyFill="0" applyBorder="0" applyAlignment="0" applyProtection="0"/>
    <xf numFmtId="0" fontId="16" fillId="51" borderId="153" applyNumberFormat="0" applyAlignment="0" applyProtection="0"/>
    <xf numFmtId="0" fontId="3" fillId="0" borderId="0"/>
    <xf numFmtId="44" fontId="3" fillId="0" borderId="0" applyFont="0" applyFill="0" applyBorder="0" applyAlignment="0" applyProtection="0"/>
    <xf numFmtId="0" fontId="29" fillId="40" borderId="151" applyNumberFormat="0" applyAlignment="0" applyProtection="0"/>
    <xf numFmtId="0" fontId="29" fillId="41" borderId="151" applyNumberFormat="0" applyAlignment="0" applyProtection="0"/>
    <xf numFmtId="0" fontId="29" fillId="41" borderId="151" applyNumberFormat="0" applyAlignment="0" applyProtection="0"/>
    <xf numFmtId="0" fontId="37" fillId="14" borderId="151" applyNumberFormat="0" applyAlignment="0" applyProtection="0"/>
    <xf numFmtId="0" fontId="29" fillId="40" borderId="151" applyNumberFormat="0" applyAlignment="0" applyProtection="0"/>
    <xf numFmtId="0" fontId="29" fillId="41" borderId="151" applyNumberFormat="0" applyAlignment="0" applyProtection="0"/>
    <xf numFmtId="0" fontId="29" fillId="40" borderId="151" applyNumberFormat="0" applyAlignment="0" applyProtection="0"/>
    <xf numFmtId="0" fontId="29" fillId="41" borderId="151" applyNumberFormat="0" applyAlignment="0" applyProtection="0"/>
    <xf numFmtId="0" fontId="37" fillId="14" borderId="151" applyNumberFormat="0" applyAlignment="0" applyProtection="0"/>
    <xf numFmtId="43" fontId="25" fillId="0" borderId="0" applyFont="0" applyFill="0" applyBorder="0" applyAlignment="0" applyProtection="0"/>
    <xf numFmtId="44" fontId="25" fillId="0" borderId="0" applyFont="0" applyFill="0" applyBorder="0" applyAlignment="0" applyProtection="0"/>
    <xf numFmtId="0" fontId="37" fillId="14" borderId="151" applyNumberFormat="0" applyAlignment="0" applyProtection="0"/>
    <xf numFmtId="0" fontId="37" fillId="15" borderId="151" applyNumberFormat="0" applyAlignment="0" applyProtection="0"/>
    <xf numFmtId="0" fontId="42" fillId="0" borderId="46" applyNumberFormat="0" applyFill="0" applyAlignment="0" applyProtection="0"/>
    <xf numFmtId="0" fontId="37" fillId="14" borderId="151" applyNumberFormat="0" applyAlignment="0" applyProtection="0"/>
    <xf numFmtId="0" fontId="37" fillId="15" borderId="151" applyNumberFormat="0" applyAlignment="0" applyProtection="0"/>
    <xf numFmtId="44" fontId="16" fillId="0" borderId="0" applyFont="0" applyFill="0" applyBorder="0" applyAlignment="0" applyProtection="0"/>
    <xf numFmtId="44" fontId="16" fillId="0" borderId="0" applyFill="0" applyBorder="0" applyAlignment="0" applyProtection="0"/>
    <xf numFmtId="44" fontId="16" fillId="0" borderId="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3" fillId="0" borderId="0"/>
    <xf numFmtId="0" fontId="3" fillId="0" borderId="0"/>
    <xf numFmtId="0" fontId="3" fillId="0" borderId="0"/>
    <xf numFmtId="190" fontId="52" fillId="0" borderId="152">
      <alignment horizontal="center"/>
    </xf>
    <xf numFmtId="0" fontId="3" fillId="0" borderId="0"/>
    <xf numFmtId="0" fontId="16" fillId="50" borderId="153" applyNumberFormat="0" applyFont="0" applyAlignment="0" applyProtection="0"/>
    <xf numFmtId="0" fontId="3" fillId="0" borderId="0"/>
    <xf numFmtId="0" fontId="16" fillId="50" borderId="153" applyNumberFormat="0" applyFont="0" applyAlignment="0" applyProtection="0"/>
    <xf numFmtId="0" fontId="3" fillId="0" borderId="0"/>
    <xf numFmtId="0" fontId="16" fillId="51" borderId="153" applyNumberFormat="0" applyAlignment="0" applyProtection="0"/>
    <xf numFmtId="0" fontId="3" fillId="0" borderId="0"/>
    <xf numFmtId="0" fontId="16" fillId="51" borderId="153" applyNumberFormat="0" applyAlignment="0" applyProtection="0"/>
    <xf numFmtId="0" fontId="3" fillId="0" borderId="0"/>
    <xf numFmtId="0" fontId="16" fillId="50" borderId="153" applyNumberFormat="0" applyFont="0" applyAlignment="0" applyProtection="0"/>
    <xf numFmtId="0" fontId="53" fillId="40" borderId="154" applyNumberFormat="0" applyAlignment="0" applyProtection="0"/>
    <xf numFmtId="0" fontId="53" fillId="41" borderId="15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52" fillId="0" borderId="135">
      <alignment horizontal="center"/>
    </xf>
    <xf numFmtId="190" fontId="52" fillId="0" borderId="152">
      <alignment horizontal="center"/>
    </xf>
    <xf numFmtId="0" fontId="16" fillId="50" borderId="153" applyNumberFormat="0" applyFont="0" applyAlignment="0" applyProtection="0"/>
    <xf numFmtId="0" fontId="16" fillId="50" borderId="153" applyNumberFormat="0" applyFont="0" applyAlignment="0" applyProtection="0"/>
    <xf numFmtId="0" fontId="16" fillId="51" borderId="153" applyNumberFormat="0" applyAlignment="0" applyProtection="0"/>
    <xf numFmtId="0" fontId="16" fillId="51" borderId="153" applyNumberFormat="0" applyAlignment="0" applyProtection="0"/>
    <xf numFmtId="0" fontId="16" fillId="50" borderId="153" applyNumberFormat="0" applyFont="0" applyAlignment="0" applyProtection="0"/>
    <xf numFmtId="0" fontId="16" fillId="51" borderId="153" applyNumberFormat="0" applyAlignment="0" applyProtection="0"/>
    <xf numFmtId="0" fontId="53" fillId="40" borderId="154" applyNumberFormat="0" applyAlignment="0" applyProtection="0"/>
    <xf numFmtId="0" fontId="53" fillId="41" borderId="154" applyNumberFormat="0" applyAlignment="0" applyProtection="0"/>
    <xf numFmtId="0" fontId="53" fillId="40" borderId="154" applyNumberFormat="0" applyAlignment="0" applyProtection="0"/>
    <xf numFmtId="9" fontId="3" fillId="0" borderId="0" applyFont="0" applyFill="0" applyBorder="0" applyAlignment="0" applyProtection="0"/>
    <xf numFmtId="0" fontId="53" fillId="41" borderId="154" applyNumberFormat="0" applyAlignment="0" applyProtection="0"/>
    <xf numFmtId="9" fontId="3" fillId="0" borderId="0" applyFont="0" applyFill="0" applyBorder="0" applyAlignment="0" applyProtection="0"/>
    <xf numFmtId="0" fontId="53" fillId="40" borderId="154" applyNumberFormat="0" applyAlignment="0" applyProtection="0"/>
    <xf numFmtId="0" fontId="53" fillId="41" borderId="154"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0" fontId="67" fillId="0" borderId="155" applyNumberFormat="0" applyFill="0" applyAlignment="0" applyProtection="0"/>
    <xf numFmtId="177" fontId="32" fillId="0" borderId="156">
      <protection locked="0"/>
    </xf>
    <xf numFmtId="177" fontId="34" fillId="0" borderId="157">
      <protection locked="0"/>
    </xf>
    <xf numFmtId="43" fontId="1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42" fillId="0" borderId="46" applyNumberFormat="0" applyFill="0" applyAlignment="0" applyProtection="0"/>
    <xf numFmtId="0" fontId="67" fillId="0" borderId="155" applyNumberFormat="0" applyFill="0" applyAlignment="0" applyProtection="0"/>
    <xf numFmtId="177" fontId="32" fillId="0" borderId="156">
      <protection locked="0"/>
    </xf>
    <xf numFmtId="177" fontId="34" fillId="0" borderId="157">
      <protection locked="0"/>
    </xf>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3" fillId="0" borderId="0"/>
    <xf numFmtId="44" fontId="16" fillId="0" borderId="0" applyBorder="0" applyAlignment="0" applyProtection="0"/>
    <xf numFmtId="44" fontId="16" fillId="0" borderId="0" applyFont="0" applyFill="0" applyBorder="0" applyAlignment="0" applyProtection="0"/>
    <xf numFmtId="0" fontId="37" fillId="15" borderId="151" applyNumberFormat="0" applyAlignment="0" applyProtection="0"/>
    <xf numFmtId="44" fontId="16" fillId="0" borderId="0" applyFont="0" applyFill="0" applyBorder="0" applyAlignment="0" applyProtection="0"/>
    <xf numFmtId="43" fontId="72" fillId="0" borderId="0" applyFont="0" applyFill="0" applyBorder="0" applyAlignment="0" applyProtection="0"/>
    <xf numFmtId="0" fontId="37" fillId="15" borderId="151" applyNumberFormat="0" applyAlignment="0" applyProtection="0"/>
    <xf numFmtId="0" fontId="29" fillId="40" borderId="151" applyNumberFormat="0" applyAlignment="0" applyProtection="0"/>
    <xf numFmtId="0" fontId="3" fillId="0" borderId="0"/>
    <xf numFmtId="0" fontId="3" fillId="0" borderId="0"/>
    <xf numFmtId="43" fontId="16" fillId="0" borderId="0" applyFont="0" applyFill="0" applyBorder="0" applyAlignment="0" applyProtection="0"/>
    <xf numFmtId="43" fontId="16" fillId="0" borderId="0" applyFont="0" applyFill="0" applyBorder="0" applyAlignment="0" applyProtection="0"/>
    <xf numFmtId="0" fontId="3" fillId="70" borderId="110" applyNumberFormat="0" applyFont="0" applyAlignment="0" applyProtection="0"/>
    <xf numFmtId="43" fontId="16" fillId="0" borderId="0" applyFont="0" applyFill="0" applyBorder="0" applyAlignment="0" applyProtection="0"/>
    <xf numFmtId="43"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102" fillId="0" borderId="0"/>
    <xf numFmtId="43" fontId="10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793">
    <xf numFmtId="0" fontId="0" fillId="0" borderId="0" xfId="0"/>
    <xf numFmtId="0" fontId="96" fillId="0" borderId="0" xfId="251" applyFont="1"/>
    <xf numFmtId="0" fontId="96" fillId="0" borderId="0" xfId="251" applyFont="1" applyAlignment="1">
      <alignment vertical="center"/>
    </xf>
    <xf numFmtId="0" fontId="96" fillId="0" borderId="0" xfId="251" applyFont="1" applyAlignment="1">
      <alignment horizontal="left" vertical="center"/>
    </xf>
    <xf numFmtId="164" fontId="96" fillId="0" borderId="0" xfId="251" applyNumberFormat="1" applyFont="1" applyAlignment="1">
      <alignment vertical="center"/>
    </xf>
    <xf numFmtId="0" fontId="91" fillId="0" borderId="0" xfId="251" applyFont="1" applyAlignment="1">
      <alignment vertical="center"/>
    </xf>
    <xf numFmtId="165" fontId="91" fillId="0" borderId="17" xfId="2" applyFont="1" applyBorder="1" applyAlignment="1">
      <alignment horizontal="center" vertical="center"/>
    </xf>
    <xf numFmtId="165" fontId="91" fillId="0" borderId="61" xfId="2" applyFont="1" applyBorder="1" applyAlignment="1">
      <alignment horizontal="center" vertical="center"/>
    </xf>
    <xf numFmtId="165" fontId="91" fillId="0" borderId="139" xfId="2" applyFont="1" applyBorder="1" applyAlignment="1">
      <alignment horizontal="center" vertical="center"/>
    </xf>
    <xf numFmtId="165" fontId="91" fillId="0" borderId="141" xfId="2" applyFont="1" applyBorder="1" applyAlignment="1">
      <alignment horizontal="center" vertical="center"/>
    </xf>
    <xf numFmtId="0" fontId="98" fillId="0" borderId="65" xfId="4" applyFont="1" applyBorder="1" applyAlignment="1">
      <alignment horizontal="left" vertical="center"/>
    </xf>
    <xf numFmtId="165" fontId="98" fillId="0" borderId="66" xfId="2" applyFont="1" applyBorder="1" applyAlignment="1">
      <alignment horizontal="center" vertical="center"/>
    </xf>
    <xf numFmtId="165" fontId="98" fillId="0" borderId="71" xfId="2" applyFont="1" applyBorder="1" applyAlignment="1">
      <alignment horizontal="center" vertical="center"/>
    </xf>
    <xf numFmtId="165" fontId="98" fillId="0" borderId="128" xfId="2" applyFont="1" applyBorder="1" applyAlignment="1">
      <alignment horizontal="center" vertical="center"/>
    </xf>
    <xf numFmtId="0" fontId="98" fillId="0" borderId="60" xfId="4" applyFont="1" applyBorder="1" applyAlignment="1">
      <alignment horizontal="left" vertical="center"/>
    </xf>
    <xf numFmtId="165" fontId="98" fillId="0" borderId="17" xfId="2" applyFont="1" applyBorder="1" applyAlignment="1">
      <alignment horizontal="center" vertical="center"/>
    </xf>
    <xf numFmtId="165" fontId="98" fillId="0" borderId="11" xfId="2" applyFont="1" applyBorder="1" applyAlignment="1">
      <alignment horizontal="center" vertical="center"/>
    </xf>
    <xf numFmtId="165" fontId="98" fillId="0" borderId="61" xfId="2" applyFont="1" applyBorder="1" applyAlignment="1">
      <alignment horizontal="center" vertical="center"/>
    </xf>
    <xf numFmtId="0" fontId="98" fillId="0" borderId="138" xfId="4" applyFont="1" applyBorder="1" applyAlignment="1">
      <alignment horizontal="left" vertical="center"/>
    </xf>
    <xf numFmtId="165" fontId="98" fillId="0" borderId="139" xfId="2" applyFont="1" applyBorder="1" applyAlignment="1">
      <alignment horizontal="center" vertical="center"/>
    </xf>
    <xf numFmtId="165" fontId="98" fillId="0" borderId="140" xfId="2" applyFont="1" applyBorder="1" applyAlignment="1">
      <alignment horizontal="center" vertical="center"/>
    </xf>
    <xf numFmtId="165" fontId="98" fillId="0" borderId="141" xfId="2" applyFont="1" applyBorder="1" applyAlignment="1">
      <alignment horizontal="center" vertical="center"/>
    </xf>
    <xf numFmtId="199" fontId="94" fillId="0" borderId="67" xfId="9" applyNumberFormat="1" applyFont="1" applyFill="1" applyBorder="1" applyAlignment="1">
      <alignment horizontal="center" vertical="center"/>
    </xf>
    <xf numFmtId="165" fontId="94" fillId="59" borderId="39" xfId="2" applyFont="1" applyFill="1" applyBorder="1" applyAlignment="1">
      <alignment horizontal="center" vertical="center"/>
    </xf>
    <xf numFmtId="1" fontId="98" fillId="3" borderId="65" xfId="2" applyNumberFormat="1" applyFont="1" applyFill="1" applyBorder="1" applyAlignment="1">
      <alignment horizontal="center" vertical="center"/>
    </xf>
    <xf numFmtId="1" fontId="98" fillId="3" borderId="60" xfId="2" applyNumberFormat="1" applyFont="1" applyFill="1" applyBorder="1" applyAlignment="1">
      <alignment horizontal="center" vertical="center"/>
    </xf>
    <xf numFmtId="1" fontId="98" fillId="3" borderId="138" xfId="2" applyNumberFormat="1" applyFont="1" applyFill="1" applyBorder="1" applyAlignment="1">
      <alignment horizontal="center" vertical="center"/>
    </xf>
    <xf numFmtId="0" fontId="96" fillId="0" borderId="0" xfId="251" applyFont="1" applyAlignment="1">
      <alignment horizontal="center" vertical="center"/>
    </xf>
    <xf numFmtId="0" fontId="96" fillId="0" borderId="66" xfId="4" applyFont="1" applyBorder="1" applyAlignment="1">
      <alignment horizontal="center" vertical="center"/>
    </xf>
    <xf numFmtId="165" fontId="96" fillId="0" borderId="71" xfId="2" applyFont="1" applyBorder="1" applyAlignment="1">
      <alignment horizontal="center" vertical="center"/>
    </xf>
    <xf numFmtId="1" fontId="96" fillId="3" borderId="65" xfId="2" applyNumberFormat="1" applyFont="1" applyFill="1" applyBorder="1" applyAlignment="1">
      <alignment horizontal="center" vertical="center"/>
    </xf>
    <xf numFmtId="165" fontId="96" fillId="0" borderId="128" xfId="2" applyFont="1" applyBorder="1" applyAlignment="1">
      <alignment horizontal="center" vertical="center"/>
    </xf>
    <xf numFmtId="0" fontId="96" fillId="0" borderId="17" xfId="4" applyFont="1" applyBorder="1" applyAlignment="1">
      <alignment horizontal="center" vertical="center"/>
    </xf>
    <xf numFmtId="165" fontId="96" fillId="0" borderId="11" xfId="2" applyFont="1" applyBorder="1" applyAlignment="1">
      <alignment horizontal="center" vertical="center"/>
    </xf>
    <xf numFmtId="1" fontId="96" fillId="3" borderId="60" xfId="2" applyNumberFormat="1" applyFont="1" applyFill="1" applyBorder="1" applyAlignment="1">
      <alignment horizontal="center" vertical="center"/>
    </xf>
    <xf numFmtId="165" fontId="96" fillId="0" borderId="61" xfId="2" applyFont="1" applyBorder="1" applyAlignment="1">
      <alignment horizontal="center" vertical="center"/>
    </xf>
    <xf numFmtId="0" fontId="96" fillId="0" borderId="139" xfId="4" applyFont="1" applyBorder="1" applyAlignment="1">
      <alignment horizontal="center" vertical="center"/>
    </xf>
    <xf numFmtId="165" fontId="96" fillId="0" borderId="140" xfId="2" applyFont="1" applyBorder="1" applyAlignment="1">
      <alignment horizontal="center" vertical="center"/>
    </xf>
    <xf numFmtId="1" fontId="96" fillId="3" borderId="138" xfId="2" applyNumberFormat="1" applyFont="1" applyFill="1" applyBorder="1" applyAlignment="1">
      <alignment horizontal="center" vertical="center"/>
    </xf>
    <xf numFmtId="165" fontId="96" fillId="0" borderId="141" xfId="2" applyFont="1" applyBorder="1" applyAlignment="1">
      <alignment horizontal="center" vertical="center"/>
    </xf>
    <xf numFmtId="165" fontId="95" fillId="0" borderId="23" xfId="2" applyFont="1" applyFill="1" applyBorder="1" applyAlignment="1">
      <alignment horizontal="center" vertical="center"/>
    </xf>
    <xf numFmtId="165" fontId="95" fillId="59" borderId="25" xfId="2" applyFont="1" applyFill="1" applyBorder="1" applyAlignment="1">
      <alignment horizontal="center" vertical="center"/>
    </xf>
    <xf numFmtId="0" fontId="96" fillId="0" borderId="65" xfId="4" applyFont="1" applyBorder="1" applyAlignment="1">
      <alignment horizontal="left" vertical="center" wrapText="1"/>
    </xf>
    <xf numFmtId="0" fontId="96" fillId="0" borderId="60" xfId="4" applyFont="1" applyBorder="1" applyAlignment="1">
      <alignment horizontal="left" vertical="center" wrapText="1"/>
    </xf>
    <xf numFmtId="0" fontId="96" fillId="0" borderId="138" xfId="4" applyFont="1" applyBorder="1" applyAlignment="1">
      <alignment horizontal="left" vertical="center" wrapText="1"/>
    </xf>
    <xf numFmtId="4" fontId="94" fillId="59" borderId="39" xfId="0" applyNumberFormat="1" applyFont="1" applyFill="1" applyBorder="1" applyAlignment="1">
      <alignment vertical="center"/>
    </xf>
    <xf numFmtId="165" fontId="91" fillId="0" borderId="130" xfId="2" applyFont="1" applyBorder="1" applyAlignment="1">
      <alignment vertical="center"/>
    </xf>
    <xf numFmtId="0" fontId="91" fillId="0" borderId="130" xfId="251" applyFont="1" applyBorder="1" applyAlignment="1">
      <alignment horizontal="left" vertical="center"/>
    </xf>
    <xf numFmtId="0" fontId="100" fillId="0" borderId="64" xfId="0" applyFont="1" applyBorder="1" applyAlignment="1">
      <alignment vertical="center"/>
    </xf>
    <xf numFmtId="165" fontId="91" fillId="0" borderId="16" xfId="2" applyFont="1" applyFill="1" applyBorder="1" applyAlignment="1">
      <alignment horizontal="center" vertical="center"/>
    </xf>
    <xf numFmtId="165" fontId="91" fillId="0" borderId="16" xfId="2" applyFont="1" applyBorder="1" applyAlignment="1">
      <alignment horizontal="center" vertical="center"/>
    </xf>
    <xf numFmtId="165" fontId="91" fillId="0" borderId="96" xfId="2" applyFont="1" applyBorder="1" applyAlignment="1">
      <alignment horizontal="center" vertical="center"/>
    </xf>
    <xf numFmtId="0" fontId="100" fillId="0" borderId="60" xfId="0" applyFont="1" applyBorder="1" applyAlignment="1">
      <alignment vertical="center"/>
    </xf>
    <xf numFmtId="165" fontId="91" fillId="0" borderId="17" xfId="2" applyFont="1" applyFill="1" applyBorder="1" applyAlignment="1">
      <alignment horizontal="center" vertical="center"/>
    </xf>
    <xf numFmtId="0" fontId="100" fillId="0" borderId="138" xfId="0" applyFont="1" applyBorder="1" applyAlignment="1">
      <alignment vertical="center"/>
    </xf>
    <xf numFmtId="165" fontId="91" fillId="0" borderId="139" xfId="2" applyFont="1" applyFill="1" applyBorder="1" applyAlignment="1">
      <alignment horizontal="center" vertical="center"/>
    </xf>
    <xf numFmtId="165" fontId="94" fillId="0" borderId="130" xfId="2" applyFont="1" applyBorder="1" applyAlignment="1">
      <alignment wrapText="1"/>
    </xf>
    <xf numFmtId="0" fontId="95" fillId="95" borderId="130" xfId="251" applyFont="1" applyFill="1" applyBorder="1" applyAlignment="1">
      <alignment horizontal="center" vertical="center"/>
    </xf>
    <xf numFmtId="165" fontId="91" fillId="0" borderId="130" xfId="2" applyFont="1" applyBorder="1" applyAlignment="1">
      <alignment horizontal="center" vertical="center"/>
    </xf>
    <xf numFmtId="0" fontId="91" fillId="0" borderId="130" xfId="251" applyFont="1" applyBorder="1" applyAlignment="1">
      <alignment horizontal="left" vertical="center" wrapText="1"/>
    </xf>
    <xf numFmtId="165" fontId="94" fillId="59" borderId="130" xfId="2" applyFont="1" applyFill="1" applyBorder="1" applyAlignment="1">
      <alignment wrapText="1"/>
    </xf>
    <xf numFmtId="165" fontId="94" fillId="0" borderId="130" xfId="2" applyFont="1" applyFill="1" applyBorder="1" applyAlignment="1">
      <alignment wrapText="1"/>
    </xf>
    <xf numFmtId="0" fontId="104" fillId="100" borderId="0" xfId="251" applyFont="1" applyFill="1"/>
    <xf numFmtId="10" fontId="103" fillId="0" borderId="0" xfId="251" applyNumberFormat="1" applyFont="1" applyAlignment="1">
      <alignment horizontal="left" vertical="center"/>
    </xf>
    <xf numFmtId="0" fontId="106" fillId="0" borderId="0" xfId="251" applyFont="1" applyAlignment="1">
      <alignment horizontal="center"/>
    </xf>
    <xf numFmtId="0" fontId="107" fillId="100" borderId="83" xfId="251" applyFont="1" applyFill="1" applyBorder="1" applyAlignment="1">
      <alignment horizontal="right" vertical="center"/>
    </xf>
    <xf numFmtId="0" fontId="104" fillId="100" borderId="102" xfId="251" applyFont="1" applyFill="1" applyBorder="1"/>
    <xf numFmtId="0" fontId="107" fillId="100" borderId="81" xfId="251" applyFont="1" applyFill="1" applyBorder="1" applyAlignment="1">
      <alignment horizontal="center" vertical="center" wrapText="1"/>
    </xf>
    <xf numFmtId="14" fontId="107" fillId="100" borderId="84" xfId="251" applyNumberFormat="1" applyFont="1" applyFill="1" applyBorder="1" applyAlignment="1">
      <alignment horizontal="left" vertical="center"/>
    </xf>
    <xf numFmtId="0" fontId="108" fillId="99" borderId="91" xfId="251" applyFont="1" applyFill="1" applyBorder="1" applyAlignment="1">
      <alignment horizontal="center" vertical="center" wrapText="1"/>
    </xf>
    <xf numFmtId="0" fontId="103" fillId="0" borderId="0" xfId="251" applyFont="1" applyAlignment="1">
      <alignment horizontal="left" vertical="center"/>
    </xf>
    <xf numFmtId="0" fontId="106" fillId="0" borderId="0" xfId="251" applyFont="1" applyAlignment="1">
      <alignment horizontal="center" vertical="center"/>
    </xf>
    <xf numFmtId="0" fontId="109" fillId="62" borderId="0" xfId="251" applyFont="1" applyFill="1" applyAlignment="1">
      <alignment horizontal="center" vertical="center" wrapText="1"/>
    </xf>
    <xf numFmtId="0" fontId="110" fillId="62" borderId="0" xfId="251" applyFont="1" applyFill="1" applyAlignment="1">
      <alignment horizontal="left" vertical="center" wrapText="1"/>
    </xf>
    <xf numFmtId="0" fontId="108" fillId="98" borderId="135" xfId="251" quotePrefix="1" applyFont="1" applyFill="1" applyBorder="1" applyAlignment="1">
      <alignment horizontal="center" vertical="center"/>
    </xf>
    <xf numFmtId="49" fontId="108" fillId="98" borderId="135" xfId="251" applyNumberFormat="1" applyFont="1" applyFill="1" applyBorder="1" applyAlignment="1">
      <alignment horizontal="center" vertical="center" wrapText="1"/>
    </xf>
    <xf numFmtId="3" fontId="108" fillId="98" borderId="135" xfId="251" applyNumberFormat="1" applyFont="1" applyFill="1" applyBorder="1" applyAlignment="1">
      <alignment horizontal="center" vertical="center" wrapText="1"/>
    </xf>
    <xf numFmtId="0" fontId="108" fillId="98" borderId="135" xfId="251" applyFont="1" applyFill="1" applyBorder="1" applyAlignment="1">
      <alignment horizontal="center" vertical="center"/>
    </xf>
    <xf numFmtId="4" fontId="108" fillId="98" borderId="135" xfId="251" applyNumberFormat="1" applyFont="1" applyFill="1" applyBorder="1" applyAlignment="1">
      <alignment horizontal="center" vertical="center"/>
    </xf>
    <xf numFmtId="166" fontId="108" fillId="98" borderId="135" xfId="251" applyNumberFormat="1" applyFont="1" applyFill="1" applyBorder="1" applyAlignment="1">
      <alignment horizontal="center" vertical="center" wrapText="1"/>
    </xf>
    <xf numFmtId="10" fontId="111" fillId="0" borderId="0" xfId="251" applyNumberFormat="1" applyFont="1" applyAlignment="1">
      <alignment horizontal="left" vertical="center" wrapText="1"/>
    </xf>
    <xf numFmtId="0" fontId="106" fillId="0" borderId="0" xfId="251" applyFont="1" applyAlignment="1" applyProtection="1">
      <alignment horizontal="center"/>
      <protection locked="0"/>
    </xf>
    <xf numFmtId="0" fontId="103" fillId="0" borderId="127" xfId="251" quotePrefix="1" applyFont="1" applyBorder="1" applyAlignment="1">
      <alignment horizontal="center" vertical="center"/>
    </xf>
    <xf numFmtId="3" fontId="103" fillId="2" borderId="127" xfId="251" applyNumberFormat="1" applyFont="1" applyFill="1" applyBorder="1" applyAlignment="1">
      <alignment horizontal="center" vertical="center" wrapText="1"/>
    </xf>
    <xf numFmtId="165" fontId="103" fillId="2" borderId="127" xfId="2" applyFont="1" applyFill="1" applyBorder="1" applyAlignment="1" applyProtection="1">
      <alignment horizontal="center" vertical="center"/>
    </xf>
    <xf numFmtId="165" fontId="103" fillId="0" borderId="127" xfId="2" applyFont="1" applyBorder="1" applyAlignment="1">
      <alignment horizontal="justify" vertical="center" wrapText="1"/>
    </xf>
    <xf numFmtId="44" fontId="103" fillId="0" borderId="127" xfId="753" applyFont="1" applyBorder="1" applyAlignment="1">
      <alignment horizontal="justify" vertical="center" wrapText="1"/>
    </xf>
    <xf numFmtId="10" fontId="103" fillId="0" borderId="93" xfId="1" applyNumberFormat="1" applyFont="1" applyFill="1" applyBorder="1" applyAlignment="1">
      <alignment horizontal="left" vertical="center" wrapText="1"/>
    </xf>
    <xf numFmtId="44" fontId="113" fillId="101" borderId="135" xfId="753" applyFont="1" applyFill="1" applyBorder="1" applyAlignment="1">
      <alignment horizontal="center" vertical="center"/>
    </xf>
    <xf numFmtId="0" fontId="103" fillId="0" borderId="0" xfId="251" applyFont="1" applyAlignment="1">
      <alignment horizontal="center" vertical="center"/>
    </xf>
    <xf numFmtId="0" fontId="103" fillId="0" borderId="159" xfId="251" quotePrefix="1" applyFont="1" applyBorder="1" applyAlignment="1">
      <alignment horizontal="center" vertical="center"/>
    </xf>
    <xf numFmtId="44" fontId="103" fillId="0" borderId="159" xfId="753" applyFont="1" applyBorder="1" applyAlignment="1">
      <alignment horizontal="justify" vertical="center" wrapText="1"/>
    </xf>
    <xf numFmtId="10" fontId="103" fillId="0" borderId="0" xfId="1" applyNumberFormat="1" applyFont="1" applyFill="1" applyBorder="1" applyAlignment="1">
      <alignment horizontal="left" vertical="center" wrapText="1"/>
    </xf>
    <xf numFmtId="0" fontId="113" fillId="100" borderId="159" xfId="251" quotePrefix="1" applyFont="1" applyFill="1" applyBorder="1" applyAlignment="1">
      <alignment horizontal="center" vertical="center"/>
    </xf>
    <xf numFmtId="3" fontId="113" fillId="100" borderId="159" xfId="251" applyNumberFormat="1" applyFont="1" applyFill="1" applyBorder="1" applyAlignment="1">
      <alignment horizontal="center" vertical="center" wrapText="1"/>
    </xf>
    <xf numFmtId="0" fontId="113" fillId="100" borderId="159" xfId="251" applyFont="1" applyFill="1" applyBorder="1" applyAlignment="1">
      <alignment horizontal="center" vertical="center"/>
    </xf>
    <xf numFmtId="4" fontId="113" fillId="100" borderId="159" xfId="251" applyNumberFormat="1" applyFont="1" applyFill="1" applyBorder="1" applyAlignment="1">
      <alignment horizontal="center" vertical="center"/>
    </xf>
    <xf numFmtId="166" fontId="113" fillId="100" borderId="159" xfId="251" applyNumberFormat="1" applyFont="1" applyFill="1" applyBorder="1" applyAlignment="1">
      <alignment horizontal="center" vertical="center" wrapText="1"/>
    </xf>
    <xf numFmtId="49" fontId="113" fillId="100" borderId="133" xfId="251" applyNumberFormat="1" applyFont="1" applyFill="1" applyBorder="1" applyAlignment="1">
      <alignment horizontal="left" vertical="center" wrapText="1"/>
    </xf>
    <xf numFmtId="0" fontId="112" fillId="0" borderId="129" xfId="251" applyFont="1" applyBorder="1" applyAlignment="1">
      <alignment horizontal="left" vertical="center" wrapText="1"/>
    </xf>
    <xf numFmtId="0" fontId="117" fillId="100" borderId="133" xfId="251" applyFont="1" applyFill="1" applyBorder="1" applyAlignment="1">
      <alignment vertical="center" wrapText="1"/>
    </xf>
    <xf numFmtId="0" fontId="111" fillId="100" borderId="159" xfId="251" quotePrefix="1" applyFont="1" applyFill="1" applyBorder="1" applyAlignment="1">
      <alignment horizontal="center" vertical="center"/>
    </xf>
    <xf numFmtId="3" fontId="111" fillId="100" borderId="159" xfId="251" applyNumberFormat="1" applyFont="1" applyFill="1" applyBorder="1" applyAlignment="1">
      <alignment horizontal="center" vertical="center" wrapText="1"/>
    </xf>
    <xf numFmtId="165" fontId="111" fillId="100" borderId="159" xfId="2" applyFont="1" applyFill="1" applyBorder="1" applyAlignment="1" applyProtection="1">
      <alignment horizontal="center" vertical="center"/>
    </xf>
    <xf numFmtId="165" fontId="111" fillId="100" borderId="159" xfId="2" applyFont="1" applyFill="1" applyBorder="1" applyAlignment="1">
      <alignment horizontal="justify" vertical="center" wrapText="1"/>
    </xf>
    <xf numFmtId="44" fontId="111" fillId="100" borderId="159" xfId="753" applyFont="1" applyFill="1" applyBorder="1" applyAlignment="1">
      <alignment horizontal="justify" vertical="center" wrapText="1"/>
    </xf>
    <xf numFmtId="0" fontId="107" fillId="0" borderId="26" xfId="0" applyFont="1" applyBorder="1" applyAlignment="1">
      <alignment horizontal="center" vertical="center"/>
    </xf>
    <xf numFmtId="2" fontId="112" fillId="0" borderId="0" xfId="0" applyNumberFormat="1" applyFont="1" applyAlignment="1">
      <alignment horizontal="center" vertical="center"/>
    </xf>
    <xf numFmtId="0" fontId="116" fillId="0" borderId="0" xfId="0" applyFont="1" applyAlignment="1">
      <alignment horizontal="center" vertical="center"/>
    </xf>
    <xf numFmtId="0" fontId="112" fillId="0" borderId="0" xfId="0" applyFont="1" applyAlignment="1">
      <alignment horizontal="center" vertical="center"/>
    </xf>
    <xf numFmtId="165" fontId="118" fillId="2" borderId="0" xfId="0" applyNumberFormat="1" applyFont="1" applyFill="1" applyAlignment="1">
      <alignment horizontal="center" vertical="center"/>
    </xf>
    <xf numFmtId="0" fontId="120" fillId="0" borderId="0" xfId="0" applyFont="1" applyAlignment="1">
      <alignment horizontal="center" vertical="center"/>
    </xf>
    <xf numFmtId="3" fontId="117" fillId="2" borderId="22" xfId="0" applyNumberFormat="1" applyFont="1" applyFill="1" applyBorder="1" applyAlignment="1">
      <alignment vertical="center" wrapText="1"/>
    </xf>
    <xf numFmtId="3" fontId="117" fillId="2" borderId="22" xfId="0" applyNumberFormat="1" applyFont="1" applyFill="1" applyBorder="1" applyAlignment="1">
      <alignment horizontal="right" vertical="center" wrapText="1"/>
    </xf>
    <xf numFmtId="4" fontId="117" fillId="2" borderId="0" xfId="0" applyNumberFormat="1" applyFont="1" applyFill="1" applyAlignment="1">
      <alignment horizontal="left" vertical="center" wrapText="1"/>
    </xf>
    <xf numFmtId="165" fontId="120" fillId="2" borderId="0" xfId="0" applyNumberFormat="1" applyFont="1" applyFill="1" applyAlignment="1">
      <alignment horizontal="center" vertical="center"/>
    </xf>
    <xf numFmtId="3" fontId="118" fillId="2" borderId="0" xfId="0" applyNumberFormat="1" applyFont="1" applyFill="1" applyAlignment="1">
      <alignment horizontal="center" vertical="center" wrapText="1"/>
    </xf>
    <xf numFmtId="0" fontId="112" fillId="2" borderId="92" xfId="0" applyFont="1" applyFill="1" applyBorder="1" applyAlignment="1">
      <alignment horizontal="right" vertical="center" wrapText="1"/>
    </xf>
    <xf numFmtId="3" fontId="118" fillId="2" borderId="0" xfId="0" applyNumberFormat="1" applyFont="1" applyFill="1" applyAlignment="1">
      <alignment vertical="center" wrapText="1"/>
    </xf>
    <xf numFmtId="0" fontId="120" fillId="63" borderId="0" xfId="0" applyFont="1" applyFill="1" applyAlignment="1">
      <alignment vertical="center" wrapText="1"/>
    </xf>
    <xf numFmtId="0" fontId="120" fillId="0" borderId="0" xfId="0" applyFont="1" applyAlignment="1">
      <alignment vertical="center" wrapText="1"/>
    </xf>
    <xf numFmtId="3" fontId="118" fillId="2" borderId="0" xfId="0" applyNumberFormat="1" applyFont="1" applyFill="1" applyAlignment="1">
      <alignment horizontal="right" vertical="center" wrapText="1"/>
    </xf>
    <xf numFmtId="0" fontId="118" fillId="2" borderId="0" xfId="0" applyFont="1" applyFill="1" applyAlignment="1">
      <alignment horizontal="right" vertical="center" wrapText="1"/>
    </xf>
    <xf numFmtId="0" fontId="120" fillId="2" borderId="0" xfId="2" applyNumberFormat="1" applyFont="1" applyFill="1" applyBorder="1" applyAlignment="1">
      <alignment horizontal="center" vertical="center"/>
    </xf>
    <xf numFmtId="165" fontId="117" fillId="2" borderId="0" xfId="0" applyNumberFormat="1" applyFont="1" applyFill="1" applyAlignment="1">
      <alignment horizontal="center" vertical="center"/>
    </xf>
    <xf numFmtId="20" fontId="116" fillId="0" borderId="0" xfId="0" applyNumberFormat="1" applyFont="1" applyAlignment="1">
      <alignment horizontal="center" vertical="center"/>
    </xf>
    <xf numFmtId="20" fontId="117" fillId="0" borderId="0" xfId="0" applyNumberFormat="1" applyFont="1" applyAlignment="1">
      <alignment horizontal="center" vertical="center"/>
    </xf>
    <xf numFmtId="0" fontId="117" fillId="0" borderId="0" xfId="0" applyFont="1" applyAlignment="1">
      <alignment horizontal="center" vertical="center"/>
    </xf>
    <xf numFmtId="165" fontId="112" fillId="2" borderId="87" xfId="0" applyNumberFormat="1" applyFont="1" applyFill="1" applyBorder="1" applyAlignment="1">
      <alignment horizontal="center" vertical="center"/>
    </xf>
    <xf numFmtId="165" fontId="112" fillId="2" borderId="66" xfId="0" applyNumberFormat="1" applyFont="1" applyFill="1" applyBorder="1" applyAlignment="1">
      <alignment horizontal="left" vertical="center" wrapText="1"/>
    </xf>
    <xf numFmtId="165" fontId="112" fillId="2" borderId="16" xfId="0" applyNumberFormat="1" applyFont="1" applyFill="1" applyBorder="1" applyAlignment="1">
      <alignment horizontal="center" vertical="center" shrinkToFit="1"/>
    </xf>
    <xf numFmtId="165" fontId="112" fillId="2" borderId="72" xfId="0" applyNumberFormat="1" applyFont="1" applyFill="1" applyBorder="1" applyAlignment="1">
      <alignment horizontal="center" vertical="center"/>
    </xf>
    <xf numFmtId="165" fontId="112" fillId="0" borderId="64" xfId="0" applyNumberFormat="1" applyFont="1" applyBorder="1" applyAlignment="1">
      <alignment horizontal="center" vertical="center"/>
    </xf>
    <xf numFmtId="165" fontId="112" fillId="0" borderId="16" xfId="0" applyNumberFormat="1" applyFont="1" applyBorder="1" applyAlignment="1">
      <alignment horizontal="center" vertical="center"/>
    </xf>
    <xf numFmtId="165" fontId="112" fillId="0" borderId="61" xfId="0" applyNumberFormat="1" applyFont="1" applyBorder="1" applyAlignment="1">
      <alignment horizontal="center" vertical="center"/>
    </xf>
    <xf numFmtId="165" fontId="121" fillId="96" borderId="64" xfId="0" applyNumberFormat="1" applyFont="1" applyFill="1" applyBorder="1" applyAlignment="1">
      <alignment horizontal="center" vertical="center"/>
    </xf>
    <xf numFmtId="165" fontId="121" fillId="96" borderId="16" xfId="0" applyNumberFormat="1" applyFont="1" applyFill="1" applyBorder="1" applyAlignment="1">
      <alignment horizontal="center" vertical="center"/>
    </xf>
    <xf numFmtId="43" fontId="121" fillId="96" borderId="96" xfId="0" applyNumberFormat="1" applyFont="1" applyFill="1" applyBorder="1" applyAlignment="1">
      <alignment horizontal="center" vertical="center"/>
    </xf>
    <xf numFmtId="10" fontId="116" fillId="0" borderId="0" xfId="1" applyNumberFormat="1" applyFont="1" applyAlignment="1">
      <alignment horizontal="left" vertical="center"/>
    </xf>
    <xf numFmtId="20" fontId="112" fillId="0" borderId="0" xfId="0" applyNumberFormat="1" applyFont="1" applyAlignment="1">
      <alignment horizontal="center" vertical="center"/>
    </xf>
    <xf numFmtId="165" fontId="112" fillId="2" borderId="16" xfId="0" applyNumberFormat="1" applyFont="1" applyFill="1" applyBorder="1" applyAlignment="1">
      <alignment horizontal="left" vertical="center" wrapText="1"/>
    </xf>
    <xf numFmtId="165" fontId="112" fillId="2" borderId="17" xfId="0" applyNumberFormat="1" applyFont="1" applyFill="1" applyBorder="1" applyAlignment="1">
      <alignment horizontal="center" vertical="center" shrinkToFit="1"/>
    </xf>
    <xf numFmtId="165" fontId="112" fillId="0" borderId="17" xfId="0" applyNumberFormat="1" applyFont="1" applyBorder="1" applyAlignment="1">
      <alignment horizontal="center" vertical="center"/>
    </xf>
    <xf numFmtId="165" fontId="112" fillId="2" borderId="0" xfId="0" applyNumberFormat="1" applyFont="1" applyFill="1" applyAlignment="1">
      <alignment horizontal="center" vertical="center"/>
    </xf>
    <xf numFmtId="200" fontId="112" fillId="0" borderId="0" xfId="0" applyNumberFormat="1" applyFont="1" applyAlignment="1">
      <alignment horizontal="center" vertical="center"/>
    </xf>
    <xf numFmtId="165" fontId="112" fillId="0" borderId="60" xfId="0" applyNumberFormat="1" applyFont="1" applyBorder="1" applyAlignment="1">
      <alignment horizontal="center" vertical="center"/>
    </xf>
    <xf numFmtId="165" fontId="112" fillId="0" borderId="0" xfId="0" applyNumberFormat="1" applyFont="1" applyAlignment="1">
      <alignment vertical="center"/>
    </xf>
    <xf numFmtId="165" fontId="117" fillId="0" borderId="0" xfId="0" applyNumberFormat="1" applyFont="1" applyAlignment="1">
      <alignment vertical="center"/>
    </xf>
    <xf numFmtId="165" fontId="112" fillId="2" borderId="64" xfId="0" applyNumberFormat="1" applyFont="1" applyFill="1" applyBorder="1" applyAlignment="1">
      <alignment horizontal="center" vertical="center"/>
    </xf>
    <xf numFmtId="194" fontId="112" fillId="0" borderId="17" xfId="0" applyNumberFormat="1" applyFont="1" applyBorder="1" applyAlignment="1">
      <alignment horizontal="left" vertical="center" wrapText="1"/>
    </xf>
    <xf numFmtId="165" fontId="112" fillId="2" borderId="12" xfId="0" applyNumberFormat="1" applyFont="1" applyFill="1" applyBorder="1" applyAlignment="1">
      <alignment horizontal="center" vertical="center" shrinkToFit="1"/>
    </xf>
    <xf numFmtId="165" fontId="112" fillId="0" borderId="11" xfId="0" applyNumberFormat="1" applyFont="1" applyBorder="1" applyAlignment="1">
      <alignment horizontal="left" vertical="center" shrinkToFit="1"/>
    </xf>
    <xf numFmtId="165" fontId="112" fillId="0" borderId="0" xfId="0" applyNumberFormat="1" applyFont="1" applyAlignment="1">
      <alignment horizontal="center" vertical="center"/>
    </xf>
    <xf numFmtId="165" fontId="121" fillId="96" borderId="60" xfId="0" applyNumberFormat="1" applyFont="1" applyFill="1" applyBorder="1" applyAlignment="1">
      <alignment horizontal="left" vertical="center" indent="1"/>
    </xf>
    <xf numFmtId="201" fontId="121" fillId="96" borderId="17" xfId="0" applyNumberFormat="1" applyFont="1" applyFill="1" applyBorder="1" applyAlignment="1">
      <alignment horizontal="left" vertical="center"/>
    </xf>
    <xf numFmtId="165" fontId="112" fillId="0" borderId="12" xfId="0" applyNumberFormat="1" applyFont="1" applyBorder="1" applyAlignment="1">
      <alignment horizontal="center" vertical="center" shrinkToFit="1"/>
    </xf>
    <xf numFmtId="165" fontId="112" fillId="0" borderId="17" xfId="0" applyNumberFormat="1" applyFont="1" applyBorder="1" applyAlignment="1">
      <alignment vertical="center" wrapText="1" shrinkToFit="1"/>
    </xf>
    <xf numFmtId="165" fontId="112" fillId="0" borderId="17" xfId="0" applyNumberFormat="1" applyFont="1" applyBorder="1" applyAlignment="1">
      <alignment horizontal="center" vertical="center" shrinkToFit="1"/>
    </xf>
    <xf numFmtId="165" fontId="112" fillId="0" borderId="11" xfId="0" applyNumberFormat="1" applyFont="1" applyBorder="1" applyAlignment="1">
      <alignment vertical="center" shrinkToFit="1"/>
    </xf>
    <xf numFmtId="165" fontId="121" fillId="96" borderId="60" xfId="0" applyNumberFormat="1" applyFont="1" applyFill="1" applyBorder="1" applyAlignment="1">
      <alignment horizontal="center" vertical="center"/>
    </xf>
    <xf numFmtId="165" fontId="121" fillId="96" borderId="17" xfId="0" applyNumberFormat="1" applyFont="1" applyFill="1" applyBorder="1" applyAlignment="1">
      <alignment horizontal="center" vertical="center"/>
    </xf>
    <xf numFmtId="165" fontId="112" fillId="0" borderId="17" xfId="0" applyNumberFormat="1" applyFont="1" applyBorder="1" applyAlignment="1">
      <alignment horizontal="left" vertical="center" wrapText="1" shrinkToFit="1"/>
    </xf>
    <xf numFmtId="165" fontId="121" fillId="96" borderId="69" xfId="0" applyNumberFormat="1" applyFont="1" applyFill="1" applyBorder="1" applyAlignment="1">
      <alignment horizontal="center" vertical="center"/>
    </xf>
    <xf numFmtId="165" fontId="121" fillId="96" borderId="98" xfId="0" applyNumberFormat="1" applyFont="1" applyFill="1" applyBorder="1" applyAlignment="1">
      <alignment horizontal="center" vertical="center"/>
    </xf>
    <xf numFmtId="165" fontId="112" fillId="0" borderId="70" xfId="0" applyNumberFormat="1" applyFont="1" applyBorder="1" applyAlignment="1">
      <alignment horizontal="center" vertical="center"/>
    </xf>
    <xf numFmtId="165" fontId="118" fillId="0" borderId="26" xfId="0" applyNumberFormat="1" applyFont="1" applyBorder="1" applyAlignment="1">
      <alignment horizontal="center" vertical="center"/>
    </xf>
    <xf numFmtId="165" fontId="118" fillId="0" borderId="26" xfId="0" applyNumberFormat="1" applyFont="1" applyBorder="1" applyAlignment="1">
      <alignment vertical="center"/>
    </xf>
    <xf numFmtId="165" fontId="118" fillId="0" borderId="92" xfId="0" applyNumberFormat="1" applyFont="1" applyBorder="1" applyAlignment="1">
      <alignment vertical="center"/>
    </xf>
    <xf numFmtId="165" fontId="112" fillId="0" borderId="58" xfId="0" applyNumberFormat="1" applyFont="1" applyBorder="1" applyAlignment="1">
      <alignment horizontal="center" vertical="center"/>
    </xf>
    <xf numFmtId="165" fontId="112" fillId="0" borderId="19" xfId="0" applyNumberFormat="1" applyFont="1" applyBorder="1" applyAlignment="1">
      <alignment vertical="center"/>
    </xf>
    <xf numFmtId="165" fontId="112" fillId="0" borderId="6" xfId="0" applyNumberFormat="1" applyFont="1" applyBorder="1" applyAlignment="1">
      <alignment vertical="center"/>
    </xf>
    <xf numFmtId="10" fontId="112" fillId="0" borderId="19" xfId="1" applyNumberFormat="1" applyFont="1" applyFill="1" applyBorder="1" applyAlignment="1">
      <alignment horizontal="center" vertical="center"/>
    </xf>
    <xf numFmtId="10" fontId="112" fillId="0" borderId="58" xfId="1" applyNumberFormat="1" applyFont="1" applyFill="1" applyBorder="1" applyAlignment="1">
      <alignment horizontal="center" vertical="center"/>
    </xf>
    <xf numFmtId="10" fontId="112" fillId="0" borderId="32" xfId="1" applyNumberFormat="1" applyFont="1" applyFill="1" applyBorder="1" applyAlignment="1">
      <alignment horizontal="right" vertical="center"/>
    </xf>
    <xf numFmtId="165" fontId="112" fillId="0" borderId="59" xfId="0" applyNumberFormat="1" applyFont="1" applyBorder="1" applyAlignment="1">
      <alignment horizontal="center" vertical="center"/>
    </xf>
    <xf numFmtId="10" fontId="117" fillId="0" borderId="99" xfId="1" applyNumberFormat="1" applyFont="1" applyFill="1" applyBorder="1" applyAlignment="1">
      <alignment horizontal="center" vertical="center"/>
    </xf>
    <xf numFmtId="10" fontId="117" fillId="0" borderId="100" xfId="1" applyNumberFormat="1" applyFont="1" applyFill="1" applyBorder="1" applyAlignment="1">
      <alignment horizontal="right" vertical="center"/>
    </xf>
    <xf numFmtId="165" fontId="117" fillId="0" borderId="101" xfId="0" applyNumberFormat="1" applyFont="1" applyBorder="1" applyAlignment="1">
      <alignment horizontal="center" vertical="center"/>
    </xf>
    <xf numFmtId="165" fontId="112" fillId="0" borderId="11" xfId="0" applyNumberFormat="1" applyFont="1" applyBorder="1" applyAlignment="1">
      <alignment vertical="center"/>
    </xf>
    <xf numFmtId="165" fontId="112" fillId="0" borderId="13" xfId="0" applyNumberFormat="1" applyFont="1" applyBorder="1" applyAlignment="1">
      <alignment vertical="center"/>
    </xf>
    <xf numFmtId="10" fontId="112" fillId="0" borderId="11" xfId="0" applyNumberFormat="1" applyFont="1" applyBorder="1" applyAlignment="1">
      <alignment horizontal="center" vertical="center"/>
    </xf>
    <xf numFmtId="10" fontId="112" fillId="0" borderId="60" xfId="1" applyNumberFormat="1" applyFont="1" applyFill="1" applyBorder="1" applyAlignment="1">
      <alignment horizontal="center" vertical="center"/>
    </xf>
    <xf numFmtId="10" fontId="112" fillId="0" borderId="17" xfId="1" applyNumberFormat="1" applyFont="1" applyFill="1" applyBorder="1" applyAlignment="1">
      <alignment horizontal="right" vertical="center"/>
    </xf>
    <xf numFmtId="10" fontId="117" fillId="0" borderId="60" xfId="1" applyNumberFormat="1" applyFont="1" applyFill="1" applyBorder="1" applyAlignment="1">
      <alignment horizontal="center" vertical="center"/>
    </xf>
    <xf numFmtId="10" fontId="117" fillId="0" borderId="17" xfId="1" applyNumberFormat="1" applyFont="1" applyFill="1" applyBorder="1" applyAlignment="1">
      <alignment horizontal="right" vertical="center"/>
    </xf>
    <xf numFmtId="165" fontId="117" fillId="0" borderId="61" xfId="0" applyNumberFormat="1" applyFont="1" applyBorder="1" applyAlignment="1">
      <alignment horizontal="center" vertical="center"/>
    </xf>
    <xf numFmtId="165" fontId="112" fillId="0" borderId="62" xfId="0" applyNumberFormat="1" applyFont="1" applyBorder="1" applyAlignment="1">
      <alignment horizontal="center" vertical="center"/>
    </xf>
    <xf numFmtId="165" fontId="112" fillId="0" borderId="14" xfId="0" applyNumberFormat="1" applyFont="1" applyBorder="1" applyAlignment="1">
      <alignment vertical="center"/>
    </xf>
    <xf numFmtId="165" fontId="112" fillId="0" borderId="4" xfId="0" applyNumberFormat="1" applyFont="1" applyBorder="1" applyAlignment="1">
      <alignment vertical="center"/>
    </xf>
    <xf numFmtId="10" fontId="112" fillId="0" borderId="14" xfId="0" applyNumberFormat="1" applyFont="1" applyBorder="1" applyAlignment="1">
      <alignment horizontal="center" vertical="center"/>
    </xf>
    <xf numFmtId="10" fontId="112" fillId="0" borderId="62" xfId="1" applyNumberFormat="1" applyFont="1" applyFill="1" applyBorder="1" applyAlignment="1">
      <alignment horizontal="center" vertical="center"/>
    </xf>
    <xf numFmtId="10" fontId="112" fillId="0" borderId="18" xfId="1" applyNumberFormat="1" applyFont="1" applyFill="1" applyBorder="1" applyAlignment="1">
      <alignment horizontal="right" vertical="center"/>
    </xf>
    <xf numFmtId="165" fontId="112" fillId="0" borderId="63" xfId="0" applyNumberFormat="1" applyFont="1" applyBorder="1" applyAlignment="1">
      <alignment horizontal="center" vertical="center"/>
    </xf>
    <xf numFmtId="10" fontId="117" fillId="0" borderId="62" xfId="1" applyNumberFormat="1" applyFont="1" applyFill="1" applyBorder="1" applyAlignment="1">
      <alignment horizontal="center" vertical="center"/>
    </xf>
    <xf numFmtId="10" fontId="117" fillId="0" borderId="18" xfId="1" applyNumberFormat="1" applyFont="1" applyFill="1" applyBorder="1" applyAlignment="1">
      <alignment horizontal="right" vertical="center"/>
    </xf>
    <xf numFmtId="165" fontId="117" fillId="0" borderId="63" xfId="0" applyNumberFormat="1" applyFont="1" applyBorder="1" applyAlignment="1">
      <alignment horizontal="center" vertical="center"/>
    </xf>
    <xf numFmtId="165" fontId="112" fillId="0" borderId="33" xfId="0" applyNumberFormat="1" applyFont="1" applyBorder="1" applyAlignment="1">
      <alignment horizontal="center" vertical="center"/>
    </xf>
    <xf numFmtId="165" fontId="112" fillId="2" borderId="58" xfId="0" applyNumberFormat="1" applyFont="1" applyFill="1" applyBorder="1" applyAlignment="1">
      <alignment horizontal="center" vertical="center"/>
    </xf>
    <xf numFmtId="165" fontId="112" fillId="2" borderId="19" xfId="0" applyNumberFormat="1" applyFont="1" applyFill="1" applyBorder="1" applyAlignment="1">
      <alignment vertical="center"/>
    </xf>
    <xf numFmtId="165" fontId="112" fillId="2" borderId="6" xfId="0" applyNumberFormat="1" applyFont="1" applyFill="1" applyBorder="1" applyAlignment="1">
      <alignment vertical="center"/>
    </xf>
    <xf numFmtId="10" fontId="112" fillId="2" borderId="19" xfId="1" applyNumberFormat="1" applyFont="1" applyFill="1" applyBorder="1" applyAlignment="1">
      <alignment horizontal="center" vertical="center"/>
    </xf>
    <xf numFmtId="4" fontId="112" fillId="2" borderId="58" xfId="1" applyNumberFormat="1" applyFont="1" applyFill="1" applyBorder="1" applyAlignment="1">
      <alignment horizontal="center" vertical="center"/>
    </xf>
    <xf numFmtId="4" fontId="112" fillId="2" borderId="7" xfId="1" applyNumberFormat="1" applyFont="1" applyFill="1" applyBorder="1" applyAlignment="1">
      <alignment horizontal="center" vertical="center"/>
    </xf>
    <xf numFmtId="165" fontId="112" fillId="2" borderId="59" xfId="0" applyNumberFormat="1" applyFont="1" applyFill="1" applyBorder="1" applyAlignment="1">
      <alignment horizontal="center" vertical="center"/>
    </xf>
    <xf numFmtId="4" fontId="117" fillId="2" borderId="99" xfId="1" applyNumberFormat="1" applyFont="1" applyFill="1" applyBorder="1" applyAlignment="1">
      <alignment horizontal="center" vertical="center"/>
    </xf>
    <xf numFmtId="4" fontId="117" fillId="2" borderId="100" xfId="1" applyNumberFormat="1" applyFont="1" applyFill="1" applyBorder="1" applyAlignment="1">
      <alignment horizontal="center" vertical="center"/>
    </xf>
    <xf numFmtId="165" fontId="117" fillId="2" borderId="101" xfId="0" applyNumberFormat="1" applyFont="1" applyFill="1" applyBorder="1" applyAlignment="1">
      <alignment horizontal="center" vertical="center"/>
    </xf>
    <xf numFmtId="165" fontId="112" fillId="2" borderId="60" xfId="0" applyNumberFormat="1" applyFont="1" applyFill="1" applyBorder="1" applyAlignment="1">
      <alignment horizontal="center" vertical="center"/>
    </xf>
    <xf numFmtId="165" fontId="112" fillId="2" borderId="11" xfId="0" applyNumberFormat="1" applyFont="1" applyFill="1" applyBorder="1" applyAlignment="1">
      <alignment vertical="center"/>
    </xf>
    <xf numFmtId="165" fontId="112" fillId="2" borderId="13" xfId="0" applyNumberFormat="1" applyFont="1" applyFill="1" applyBorder="1" applyAlignment="1">
      <alignment vertical="center"/>
    </xf>
    <xf numFmtId="10" fontId="112" fillId="2" borderId="11" xfId="1" applyNumberFormat="1" applyFont="1" applyFill="1" applyBorder="1" applyAlignment="1">
      <alignment horizontal="center" vertical="center"/>
    </xf>
    <xf numFmtId="4" fontId="112" fillId="2" borderId="60" xfId="1" applyNumberFormat="1" applyFont="1" applyFill="1" applyBorder="1" applyAlignment="1">
      <alignment horizontal="center" vertical="center"/>
    </xf>
    <xf numFmtId="4" fontId="112" fillId="2" borderId="12" xfId="1" applyNumberFormat="1" applyFont="1" applyFill="1" applyBorder="1" applyAlignment="1">
      <alignment horizontal="center" vertical="center"/>
    </xf>
    <xf numFmtId="165" fontId="112" fillId="2" borderId="61" xfId="0" applyNumberFormat="1" applyFont="1" applyFill="1" applyBorder="1" applyAlignment="1">
      <alignment horizontal="center" vertical="center"/>
    </xf>
    <xf numFmtId="4" fontId="117" fillId="2" borderId="60" xfId="1" applyNumberFormat="1" applyFont="1" applyFill="1" applyBorder="1" applyAlignment="1">
      <alignment horizontal="center" vertical="center"/>
    </xf>
    <xf numFmtId="4" fontId="117" fillId="2" borderId="17" xfId="1" applyNumberFormat="1" applyFont="1" applyFill="1" applyBorder="1" applyAlignment="1">
      <alignment horizontal="center" vertical="center"/>
    </xf>
    <xf numFmtId="165" fontId="117" fillId="2" borderId="61" xfId="0" applyNumberFormat="1" applyFont="1" applyFill="1" applyBorder="1" applyAlignment="1">
      <alignment horizontal="center" vertical="center"/>
    </xf>
    <xf numFmtId="165" fontId="112" fillId="2" borderId="73" xfId="0" applyNumberFormat="1" applyFont="1" applyFill="1" applyBorder="1" applyAlignment="1">
      <alignment vertical="center"/>
    </xf>
    <xf numFmtId="165" fontId="112" fillId="2" borderId="74" xfId="0" applyNumberFormat="1" applyFont="1" applyFill="1" applyBorder="1" applyAlignment="1">
      <alignment vertical="center"/>
    </xf>
    <xf numFmtId="4" fontId="112" fillId="2" borderId="69" xfId="1" applyNumberFormat="1" applyFont="1" applyFill="1" applyBorder="1" applyAlignment="1">
      <alignment horizontal="center" vertical="center"/>
    </xf>
    <xf numFmtId="4" fontId="112" fillId="2" borderId="75" xfId="1" applyNumberFormat="1" applyFont="1" applyFill="1" applyBorder="1" applyAlignment="1">
      <alignment horizontal="center" vertical="center"/>
    </xf>
    <xf numFmtId="165" fontId="112" fillId="2" borderId="70" xfId="0" applyNumberFormat="1" applyFont="1" applyFill="1" applyBorder="1" applyAlignment="1">
      <alignment horizontal="center" vertical="center"/>
    </xf>
    <xf numFmtId="4" fontId="117" fillId="2" borderId="69" xfId="1" applyNumberFormat="1" applyFont="1" applyFill="1" applyBorder="1" applyAlignment="1">
      <alignment horizontal="center" vertical="center"/>
    </xf>
    <xf numFmtId="4" fontId="117" fillId="2" borderId="98" xfId="1" applyNumberFormat="1" applyFont="1" applyFill="1" applyBorder="1" applyAlignment="1">
      <alignment horizontal="center" vertical="center"/>
    </xf>
    <xf numFmtId="165" fontId="117" fillId="2" borderId="70" xfId="0" applyNumberFormat="1" applyFont="1" applyFill="1" applyBorder="1" applyAlignment="1">
      <alignment horizontal="center" vertical="center"/>
    </xf>
    <xf numFmtId="165" fontId="112" fillId="2" borderId="14" xfId="0" applyNumberFormat="1" applyFont="1" applyFill="1" applyBorder="1" applyAlignment="1">
      <alignment vertical="center"/>
    </xf>
    <xf numFmtId="165" fontId="112" fillId="2" borderId="4" xfId="0" applyNumberFormat="1" applyFont="1" applyFill="1" applyBorder="1" applyAlignment="1">
      <alignment vertical="center"/>
    </xf>
    <xf numFmtId="10" fontId="112" fillId="2" borderId="14" xfId="1" applyNumberFormat="1" applyFont="1" applyFill="1" applyBorder="1" applyAlignment="1">
      <alignment horizontal="center" vertical="center"/>
    </xf>
    <xf numFmtId="4" fontId="112" fillId="2" borderId="62" xfId="1" applyNumberFormat="1" applyFont="1" applyFill="1" applyBorder="1" applyAlignment="1">
      <alignment horizontal="center" vertical="center"/>
    </xf>
    <xf numFmtId="4" fontId="112" fillId="2" borderId="5" xfId="1" applyNumberFormat="1" applyFont="1" applyFill="1" applyBorder="1" applyAlignment="1">
      <alignment horizontal="center" vertical="center"/>
    </xf>
    <xf numFmtId="165" fontId="112" fillId="2" borderId="63" xfId="0" applyNumberFormat="1" applyFont="1" applyFill="1" applyBorder="1" applyAlignment="1">
      <alignment horizontal="center" vertical="center"/>
    </xf>
    <xf numFmtId="4" fontId="117" fillId="2" borderId="62" xfId="1" applyNumberFormat="1" applyFont="1" applyFill="1" applyBorder="1" applyAlignment="1">
      <alignment horizontal="center" vertical="center"/>
    </xf>
    <xf numFmtId="4" fontId="117" fillId="2" borderId="18" xfId="1" applyNumberFormat="1" applyFont="1" applyFill="1" applyBorder="1" applyAlignment="1">
      <alignment horizontal="center" vertical="center"/>
    </xf>
    <xf numFmtId="165" fontId="117" fillId="2" borderId="63" xfId="0" applyNumberFormat="1" applyFont="1" applyFill="1" applyBorder="1" applyAlignment="1">
      <alignment horizontal="center" vertical="center"/>
    </xf>
    <xf numFmtId="165" fontId="112" fillId="0" borderId="57" xfId="0" applyNumberFormat="1" applyFont="1" applyBorder="1" applyAlignment="1">
      <alignment vertical="center"/>
    </xf>
    <xf numFmtId="0" fontId="112" fillId="0" borderId="57" xfId="0" applyFont="1" applyBorder="1" applyAlignment="1">
      <alignment horizontal="center" vertical="center"/>
    </xf>
    <xf numFmtId="10" fontId="112" fillId="0" borderId="57" xfId="1" applyNumberFormat="1" applyFont="1" applyBorder="1" applyAlignment="1">
      <alignment horizontal="center" vertical="center"/>
    </xf>
    <xf numFmtId="165" fontId="122" fillId="2" borderId="0" xfId="0" applyNumberFormat="1" applyFont="1" applyFill="1" applyAlignment="1">
      <alignment horizontal="center" vertical="center"/>
    </xf>
    <xf numFmtId="10" fontId="112" fillId="2" borderId="58" xfId="1" applyNumberFormat="1" applyFont="1" applyFill="1" applyBorder="1" applyAlignment="1">
      <alignment horizontal="center" vertical="center"/>
    </xf>
    <xf numFmtId="10" fontId="112" fillId="2" borderId="7" xfId="1" applyNumberFormat="1" applyFont="1" applyFill="1" applyBorder="1" applyAlignment="1">
      <alignment horizontal="center" vertical="center"/>
    </xf>
    <xf numFmtId="10" fontId="117" fillId="2" borderId="99" xfId="1" applyNumberFormat="1" applyFont="1" applyFill="1" applyBorder="1" applyAlignment="1">
      <alignment horizontal="center" vertical="center"/>
    </xf>
    <xf numFmtId="10" fontId="117" fillId="2" borderId="100" xfId="1" applyNumberFormat="1" applyFont="1" applyFill="1" applyBorder="1" applyAlignment="1">
      <alignment horizontal="center" vertical="center"/>
    </xf>
    <xf numFmtId="10" fontId="112" fillId="2" borderId="60" xfId="1" applyNumberFormat="1" applyFont="1" applyFill="1" applyBorder="1" applyAlignment="1">
      <alignment horizontal="center" vertical="center"/>
    </xf>
    <xf numFmtId="10" fontId="112" fillId="2" borderId="12" xfId="1" applyNumberFormat="1" applyFont="1" applyFill="1" applyBorder="1" applyAlignment="1">
      <alignment horizontal="center" vertical="center"/>
    </xf>
    <xf numFmtId="10" fontId="117" fillId="2" borderId="60" xfId="1" applyNumberFormat="1" applyFont="1" applyFill="1" applyBorder="1" applyAlignment="1">
      <alignment horizontal="center" vertical="center"/>
    </xf>
    <xf numFmtId="10" fontId="117" fillId="2" borderId="17" xfId="1" applyNumberFormat="1" applyFont="1" applyFill="1" applyBorder="1" applyAlignment="1">
      <alignment horizontal="center" vertical="center"/>
    </xf>
    <xf numFmtId="165" fontId="112" fillId="2" borderId="62" xfId="0" applyNumberFormat="1" applyFont="1" applyFill="1" applyBorder="1" applyAlignment="1">
      <alignment horizontal="center" vertical="center"/>
    </xf>
    <xf numFmtId="10" fontId="112" fillId="2" borderId="62" xfId="1" applyNumberFormat="1" applyFont="1" applyFill="1" applyBorder="1" applyAlignment="1">
      <alignment horizontal="center" vertical="center"/>
    </xf>
    <xf numFmtId="10" fontId="112" fillId="2" borderId="5" xfId="1" applyNumberFormat="1" applyFont="1" applyFill="1" applyBorder="1" applyAlignment="1">
      <alignment horizontal="center" vertical="center"/>
    </xf>
    <xf numFmtId="10" fontId="117" fillId="2" borderId="62" xfId="1" applyNumberFormat="1" applyFont="1" applyFill="1" applyBorder="1" applyAlignment="1">
      <alignment horizontal="center" vertical="center"/>
    </xf>
    <xf numFmtId="10" fontId="117" fillId="2" borderId="18" xfId="1" applyNumberFormat="1" applyFont="1" applyFill="1" applyBorder="1" applyAlignment="1">
      <alignment horizontal="center" vertical="center"/>
    </xf>
    <xf numFmtId="0" fontId="120" fillId="63" borderId="0" xfId="0" applyFont="1" applyFill="1" applyAlignment="1">
      <alignment horizontal="center" vertical="center"/>
    </xf>
    <xf numFmtId="0" fontId="118" fillId="63" borderId="0" xfId="0" applyFont="1" applyFill="1" applyAlignment="1">
      <alignment horizontal="center" vertical="center"/>
    </xf>
    <xf numFmtId="2" fontId="118" fillId="63" borderId="0" xfId="0" applyNumberFormat="1" applyFont="1" applyFill="1" applyAlignment="1">
      <alignment horizontal="center" vertical="center"/>
    </xf>
    <xf numFmtId="0" fontId="116" fillId="63" borderId="0" xfId="0" applyFont="1" applyFill="1" applyAlignment="1">
      <alignment horizontal="center" vertical="center"/>
    </xf>
    <xf numFmtId="0" fontId="123" fillId="0" borderId="0" xfId="0" applyFont="1" applyAlignment="1">
      <alignment horizontal="center" vertical="center"/>
    </xf>
    <xf numFmtId="0" fontId="118" fillId="0" borderId="0" xfId="0" applyFont="1" applyAlignment="1">
      <alignment horizontal="center" vertical="center"/>
    </xf>
    <xf numFmtId="0" fontId="124" fillId="0" borderId="0" xfId="0" applyFont="1" applyAlignment="1">
      <alignment horizontal="center" vertical="center"/>
    </xf>
    <xf numFmtId="165" fontId="125" fillId="100" borderId="38" xfId="0" applyNumberFormat="1" applyFont="1" applyFill="1" applyBorder="1" applyAlignment="1">
      <alignment horizontal="center" vertical="center"/>
    </xf>
    <xf numFmtId="0" fontId="125" fillId="100" borderId="41" xfId="0" applyFont="1" applyFill="1" applyBorder="1" applyAlignment="1">
      <alignment horizontal="center" vertical="center"/>
    </xf>
    <xf numFmtId="165" fontId="125" fillId="100" borderId="41" xfId="0" applyNumberFormat="1" applyFont="1" applyFill="1" applyBorder="1" applyAlignment="1">
      <alignment horizontal="center" vertical="center"/>
    </xf>
    <xf numFmtId="165" fontId="125" fillId="100" borderId="68" xfId="0" applyNumberFormat="1" applyFont="1" applyFill="1" applyBorder="1" applyAlignment="1">
      <alignment horizontal="center" vertical="center"/>
    </xf>
    <xf numFmtId="165" fontId="125" fillId="100" borderId="39" xfId="0" applyNumberFormat="1" applyFont="1" applyFill="1" applyBorder="1" applyAlignment="1">
      <alignment horizontal="center" vertical="center"/>
    </xf>
    <xf numFmtId="165" fontId="117" fillId="100" borderId="88" xfId="0" applyNumberFormat="1" applyFont="1" applyFill="1" applyBorder="1" applyAlignment="1">
      <alignment horizontal="center" vertical="center"/>
    </xf>
    <xf numFmtId="165" fontId="117" fillId="100" borderId="89" xfId="1" applyNumberFormat="1" applyFont="1" applyFill="1" applyBorder="1" applyAlignment="1">
      <alignment horizontal="center" vertical="center"/>
    </xf>
    <xf numFmtId="165" fontId="117" fillId="100" borderId="90" xfId="0" applyNumberFormat="1" applyFont="1" applyFill="1" applyBorder="1" applyAlignment="1">
      <alignment horizontal="center" vertical="center"/>
    </xf>
    <xf numFmtId="165" fontId="117" fillId="100" borderId="27" xfId="0" applyNumberFormat="1" applyFont="1" applyFill="1" applyBorder="1" applyAlignment="1">
      <alignment horizontal="center" vertical="center"/>
    </xf>
    <xf numFmtId="165" fontId="117" fillId="100" borderId="34" xfId="0" applyNumberFormat="1" applyFont="1" applyFill="1" applyBorder="1" applyAlignment="1">
      <alignment vertical="center"/>
    </xf>
    <xf numFmtId="165" fontId="117" fillId="100" borderId="28" xfId="0" applyNumberFormat="1" applyFont="1" applyFill="1" applyBorder="1" applyAlignment="1">
      <alignment horizontal="center" vertical="center"/>
    </xf>
    <xf numFmtId="165" fontId="117" fillId="100" borderId="29" xfId="0" applyNumberFormat="1" applyFont="1" applyFill="1" applyBorder="1" applyAlignment="1">
      <alignment horizontal="center" vertical="center"/>
    </xf>
    <xf numFmtId="165" fontId="112" fillId="100" borderId="30" xfId="0" applyNumberFormat="1" applyFont="1" applyFill="1" applyBorder="1" applyAlignment="1">
      <alignment horizontal="center" vertical="center"/>
    </xf>
    <xf numFmtId="165" fontId="117" fillId="100" borderId="8" xfId="0" applyNumberFormat="1" applyFont="1" applyFill="1" applyBorder="1" applyAlignment="1">
      <alignment vertical="center"/>
    </xf>
    <xf numFmtId="165" fontId="117" fillId="100" borderId="9" xfId="0" applyNumberFormat="1" applyFont="1" applyFill="1" applyBorder="1" applyAlignment="1">
      <alignment vertical="center"/>
    </xf>
    <xf numFmtId="165" fontId="117" fillId="100" borderId="8" xfId="0" applyNumberFormat="1" applyFont="1" applyFill="1" applyBorder="1" applyAlignment="1">
      <alignment horizontal="center" vertical="center"/>
    </xf>
    <xf numFmtId="165" fontId="117" fillId="100" borderId="30" xfId="0" applyNumberFormat="1" applyFont="1" applyFill="1" applyBorder="1" applyAlignment="1">
      <alignment horizontal="center" vertical="center"/>
    </xf>
    <xf numFmtId="165" fontId="117" fillId="100" borderId="15" xfId="0" applyNumberFormat="1" applyFont="1" applyFill="1" applyBorder="1" applyAlignment="1">
      <alignment horizontal="center" vertical="center"/>
    </xf>
    <xf numFmtId="165" fontId="117" fillId="100" borderId="31" xfId="0" applyNumberFormat="1" applyFont="1" applyFill="1" applyBorder="1" applyAlignment="1">
      <alignment horizontal="center" vertical="center"/>
    </xf>
    <xf numFmtId="165" fontId="117" fillId="100" borderId="80" xfId="0" applyNumberFormat="1" applyFont="1" applyFill="1" applyBorder="1" applyAlignment="1">
      <alignment horizontal="center" vertical="center"/>
    </xf>
    <xf numFmtId="165" fontId="117" fillId="100" borderId="79" xfId="0" applyNumberFormat="1" applyFont="1" applyFill="1" applyBorder="1" applyAlignment="1">
      <alignment horizontal="center" vertical="center"/>
    </xf>
    <xf numFmtId="165" fontId="117" fillId="100" borderId="78" xfId="0" applyNumberFormat="1" applyFont="1" applyFill="1" applyBorder="1" applyAlignment="1">
      <alignment horizontal="center" vertical="center"/>
    </xf>
    <xf numFmtId="10" fontId="117" fillId="100" borderId="8" xfId="1" applyNumberFormat="1" applyFont="1" applyFill="1" applyBorder="1" applyAlignment="1">
      <alignment horizontal="center" vertical="center"/>
    </xf>
    <xf numFmtId="4" fontId="117" fillId="100" borderId="30" xfId="1" applyNumberFormat="1" applyFont="1" applyFill="1" applyBorder="1" applyAlignment="1">
      <alignment horizontal="center" vertical="center"/>
    </xf>
    <xf numFmtId="4" fontId="112" fillId="100" borderId="10" xfId="1" applyNumberFormat="1" applyFont="1" applyFill="1" applyBorder="1" applyAlignment="1">
      <alignment horizontal="center" vertical="center"/>
    </xf>
    <xf numFmtId="4" fontId="117" fillId="100" borderId="80" xfId="1" applyNumberFormat="1" applyFont="1" applyFill="1" applyBorder="1" applyAlignment="1">
      <alignment horizontal="center" vertical="center"/>
    </xf>
    <xf numFmtId="4" fontId="117" fillId="100" borderId="79" xfId="1" applyNumberFormat="1" applyFont="1" applyFill="1" applyBorder="1" applyAlignment="1">
      <alignment horizontal="center" vertical="center"/>
    </xf>
    <xf numFmtId="4" fontId="117" fillId="100" borderId="10" xfId="1" applyNumberFormat="1" applyFont="1" applyFill="1" applyBorder="1" applyAlignment="1">
      <alignment horizontal="center" vertical="center"/>
    </xf>
    <xf numFmtId="10" fontId="117" fillId="100" borderId="77" xfId="1" applyNumberFormat="1" applyFont="1" applyFill="1" applyBorder="1" applyAlignment="1">
      <alignment horizontal="center" vertical="center"/>
    </xf>
    <xf numFmtId="4" fontId="117" fillId="100" borderId="95" xfId="1" applyNumberFormat="1" applyFont="1" applyFill="1" applyBorder="1" applyAlignment="1">
      <alignment horizontal="center" vertical="center"/>
    </xf>
    <xf numFmtId="165" fontId="126" fillId="100" borderId="162" xfId="0" applyNumberFormat="1" applyFont="1" applyFill="1" applyBorder="1" applyAlignment="1">
      <alignment horizontal="center"/>
    </xf>
    <xf numFmtId="165" fontId="108" fillId="100" borderId="40" xfId="0" applyNumberFormat="1" applyFont="1" applyFill="1" applyBorder="1"/>
    <xf numFmtId="165" fontId="113" fillId="100" borderId="36" xfId="0" applyNumberFormat="1" applyFont="1" applyFill="1" applyBorder="1"/>
    <xf numFmtId="165" fontId="113" fillId="100" borderId="37" xfId="2" applyFont="1" applyFill="1" applyBorder="1" applyAlignment="1">
      <alignment horizontal="center"/>
    </xf>
    <xf numFmtId="165" fontId="107" fillId="2" borderId="2" xfId="2" applyFont="1" applyFill="1" applyBorder="1" applyAlignment="1">
      <alignment horizontal="center"/>
    </xf>
    <xf numFmtId="165" fontId="113" fillId="100" borderId="80" xfId="0" applyNumberFormat="1" applyFont="1" applyFill="1" applyBorder="1" applyAlignment="1">
      <alignment horizontal="center"/>
    </xf>
    <xf numFmtId="165" fontId="113" fillId="100" borderId="79" xfId="0" applyNumberFormat="1" applyFont="1" applyFill="1" applyBorder="1" applyAlignment="1">
      <alignment horizontal="center"/>
    </xf>
    <xf numFmtId="165" fontId="113" fillId="100" borderId="78" xfId="2" applyFont="1" applyFill="1" applyBorder="1" applyAlignment="1">
      <alignment horizontal="center"/>
    </xf>
    <xf numFmtId="44" fontId="113" fillId="100" borderId="23" xfId="9" applyFont="1" applyFill="1" applyBorder="1" applyAlignment="1">
      <alignment horizontal="right" vertical="center"/>
    </xf>
    <xf numFmtId="0" fontId="113" fillId="100" borderId="25" xfId="9" applyNumberFormat="1" applyFont="1" applyFill="1" applyBorder="1" applyAlignment="1">
      <alignment horizontal="center" vertical="center"/>
    </xf>
    <xf numFmtId="0" fontId="113" fillId="0" borderId="0" xfId="251" applyFont="1" applyAlignment="1">
      <alignment vertical="center"/>
    </xf>
    <xf numFmtId="165" fontId="112" fillId="0" borderId="0" xfId="0" applyNumberFormat="1" applyFont="1" applyAlignment="1">
      <alignment vertical="center" wrapText="1" shrinkToFit="1"/>
    </xf>
    <xf numFmtId="0" fontId="127" fillId="0" borderId="0" xfId="674" applyFont="1"/>
    <xf numFmtId="0" fontId="127" fillId="0" borderId="0" xfId="674" applyFont="1" applyAlignment="1">
      <alignment horizontal="center" vertical="center"/>
    </xf>
    <xf numFmtId="0" fontId="127" fillId="0" borderId="0" xfId="674" applyFont="1" applyAlignment="1">
      <alignment horizontal="center"/>
    </xf>
    <xf numFmtId="0" fontId="107" fillId="100" borderId="159" xfId="674" applyFont="1" applyFill="1" applyBorder="1" applyAlignment="1">
      <alignment horizontal="center" vertical="center"/>
    </xf>
    <xf numFmtId="0" fontId="116" fillId="0" borderId="0" xfId="674" applyFont="1"/>
    <xf numFmtId="0" fontId="116" fillId="0" borderId="0" xfId="674" applyFont="1" applyAlignment="1">
      <alignment horizontal="center" vertical="center"/>
    </xf>
    <xf numFmtId="0" fontId="116" fillId="0" borderId="0" xfId="674" applyFont="1" applyAlignment="1">
      <alignment horizontal="center"/>
    </xf>
    <xf numFmtId="0" fontId="107" fillId="100" borderId="159" xfId="674" applyFont="1" applyFill="1" applyBorder="1" applyAlignment="1">
      <alignment horizontal="center" vertical="center" wrapText="1"/>
    </xf>
    <xf numFmtId="0" fontId="116" fillId="0" borderId="0" xfId="674" applyFont="1" applyAlignment="1">
      <alignment horizontal="left" vertical="center"/>
    </xf>
    <xf numFmtId="0" fontId="103" fillId="0" borderId="0" xfId="674" applyFont="1" applyAlignment="1">
      <alignment horizontal="left" vertical="center"/>
    </xf>
    <xf numFmtId="0" fontId="103" fillId="0" borderId="0" xfId="674" applyFont="1" applyAlignment="1">
      <alignment horizontal="center" vertical="center"/>
    </xf>
    <xf numFmtId="0" fontId="127" fillId="0" borderId="3" xfId="674" applyFont="1" applyBorder="1"/>
    <xf numFmtId="0" fontId="127" fillId="0" borderId="163" xfId="674" applyFont="1" applyBorder="1"/>
    <xf numFmtId="0" fontId="127" fillId="0" borderId="2" xfId="674" applyFont="1" applyBorder="1"/>
    <xf numFmtId="0" fontId="127" fillId="0" borderId="132" xfId="674" applyFont="1" applyBorder="1"/>
    <xf numFmtId="0" fontId="127" fillId="0" borderId="21" xfId="674" applyFont="1" applyBorder="1"/>
    <xf numFmtId="0" fontId="127" fillId="0" borderId="22" xfId="674" applyFont="1" applyBorder="1" applyAlignment="1">
      <alignment horizontal="center" vertical="center"/>
    </xf>
    <xf numFmtId="0" fontId="127" fillId="0" borderId="22" xfId="674" applyFont="1" applyBorder="1"/>
    <xf numFmtId="0" fontId="127" fillId="0" borderId="22" xfId="674" applyFont="1" applyBorder="1" applyAlignment="1">
      <alignment horizontal="center"/>
    </xf>
    <xf numFmtId="0" fontId="127" fillId="0" borderId="165" xfId="674" applyFont="1" applyBorder="1"/>
    <xf numFmtId="0" fontId="103" fillId="0" borderId="132" xfId="674" applyFont="1" applyBorder="1" applyAlignment="1">
      <alignment horizontal="center" vertical="center"/>
    </xf>
    <xf numFmtId="0" fontId="127" fillId="0" borderId="166" xfId="674" applyFont="1" applyBorder="1"/>
    <xf numFmtId="0" fontId="118" fillId="0" borderId="159" xfId="272" applyFont="1" applyBorder="1" applyAlignment="1">
      <alignment horizontal="center" vertical="center"/>
    </xf>
    <xf numFmtId="0" fontId="118" fillId="0" borderId="159" xfId="272" applyFont="1" applyBorder="1" applyAlignment="1">
      <alignment vertical="center"/>
    </xf>
    <xf numFmtId="0" fontId="120" fillId="0" borderId="0" xfId="272" applyFont="1" applyAlignment="1">
      <alignment vertical="center"/>
    </xf>
    <xf numFmtId="0" fontId="120" fillId="0" borderId="0" xfId="272" applyFont="1" applyAlignment="1">
      <alignment horizontal="center" vertical="center"/>
    </xf>
    <xf numFmtId="0" fontId="127" fillId="0" borderId="167" xfId="674" applyFont="1" applyBorder="1"/>
    <xf numFmtId="0" fontId="120" fillId="0" borderId="159" xfId="272" applyFont="1" applyBorder="1" applyAlignment="1">
      <alignment horizontal="center" vertical="center"/>
    </xf>
    <xf numFmtId="0" fontId="132" fillId="61" borderId="159" xfId="272" applyFont="1" applyFill="1" applyBorder="1" applyAlignment="1">
      <alignment vertical="center"/>
    </xf>
    <xf numFmtId="0" fontId="120" fillId="61" borderId="159" xfId="272" applyFont="1" applyFill="1" applyBorder="1" applyAlignment="1">
      <alignment vertical="center"/>
    </xf>
    <xf numFmtId="0" fontId="133" fillId="61" borderId="159" xfId="272" applyFont="1" applyFill="1" applyBorder="1" applyAlignment="1">
      <alignment horizontal="center" vertical="center"/>
    </xf>
    <xf numFmtId="0" fontId="109" fillId="59" borderId="159" xfId="272" applyFont="1" applyFill="1" applyBorder="1" applyAlignment="1">
      <alignment horizontal="center" vertical="center"/>
    </xf>
    <xf numFmtId="0" fontId="133" fillId="102" borderId="159" xfId="272" applyFont="1" applyFill="1" applyBorder="1" applyAlignment="1">
      <alignment horizontal="center" vertical="center"/>
    </xf>
    <xf numFmtId="0" fontId="120" fillId="0" borderId="159" xfId="272" applyFont="1" applyBorder="1" applyAlignment="1">
      <alignment vertical="center"/>
    </xf>
    <xf numFmtId="43" fontId="120" fillId="0" borderId="159" xfId="272" applyNumberFormat="1" applyFont="1" applyBorder="1" applyAlignment="1">
      <alignment horizontal="center" vertical="center"/>
    </xf>
    <xf numFmtId="0" fontId="132" fillId="59" borderId="159" xfId="272" applyFont="1" applyFill="1" applyBorder="1" applyAlignment="1">
      <alignment vertical="center"/>
    </xf>
    <xf numFmtId="0" fontId="120" fillId="59" borderId="159" xfId="272" applyFont="1" applyFill="1" applyBorder="1" applyAlignment="1">
      <alignment vertical="center"/>
    </xf>
    <xf numFmtId="0" fontId="111" fillId="100" borderId="159" xfId="674" applyFont="1" applyFill="1" applyBorder="1" applyAlignment="1">
      <alignment horizontal="justify" vertical="center" wrapText="1"/>
    </xf>
    <xf numFmtId="0" fontId="127" fillId="0" borderId="1" xfId="674" applyFont="1" applyBorder="1"/>
    <xf numFmtId="0" fontId="127" fillId="0" borderId="131" xfId="674" applyFont="1" applyBorder="1"/>
    <xf numFmtId="0" fontId="127" fillId="0" borderId="0" xfId="674" applyFont="1" applyAlignment="1">
      <alignment horizontal="right" indent="1"/>
    </xf>
    <xf numFmtId="0" fontId="110" fillId="0" borderId="0" xfId="674" applyFont="1"/>
    <xf numFmtId="0" fontId="132" fillId="102" borderId="159" xfId="272" applyFont="1" applyFill="1" applyBorder="1" applyAlignment="1">
      <alignment vertical="center"/>
    </xf>
    <xf numFmtId="0" fontId="120" fillId="102" borderId="159" xfId="272" applyFont="1" applyFill="1" applyBorder="1" applyAlignment="1">
      <alignment vertical="center"/>
    </xf>
    <xf numFmtId="0" fontId="127" fillId="0" borderId="147" xfId="674" applyFont="1" applyBorder="1"/>
    <xf numFmtId="0" fontId="127" fillId="0" borderId="168" xfId="674" applyFont="1" applyBorder="1"/>
    <xf numFmtId="0" fontId="137" fillId="0" borderId="2" xfId="674" applyFont="1" applyBorder="1" applyAlignment="1">
      <alignment horizontal="center" vertical="center"/>
    </xf>
    <xf numFmtId="0" fontId="137" fillId="0" borderId="0" xfId="674" applyFont="1" applyAlignment="1">
      <alignment horizontal="center" vertical="center"/>
    </xf>
    <xf numFmtId="0" fontId="137" fillId="0" borderId="132" xfId="674" applyFont="1" applyBorder="1" applyAlignment="1">
      <alignment horizontal="center" vertical="center"/>
    </xf>
    <xf numFmtId="0" fontId="109" fillId="0" borderId="2" xfId="674" applyFont="1" applyBorder="1" applyAlignment="1">
      <alignment horizontal="center" vertical="center"/>
    </xf>
    <xf numFmtId="0" fontId="109" fillId="0" borderId="0" xfId="674" applyFont="1" applyAlignment="1">
      <alignment horizontal="center" vertical="center"/>
    </xf>
    <xf numFmtId="0" fontId="109" fillId="0" borderId="132" xfId="674" applyFont="1" applyBorder="1" applyAlignment="1">
      <alignment horizontal="center" vertical="center"/>
    </xf>
    <xf numFmtId="0" fontId="139" fillId="0" borderId="2" xfId="674" applyFont="1" applyBorder="1" applyAlignment="1">
      <alignment horizontal="center" vertical="center"/>
    </xf>
    <xf numFmtId="0" fontId="139" fillId="0" borderId="0" xfId="674" applyFont="1" applyAlignment="1">
      <alignment horizontal="center" vertical="center"/>
    </xf>
    <xf numFmtId="0" fontId="139" fillId="0" borderId="132" xfId="674" applyFont="1" applyBorder="1" applyAlignment="1">
      <alignment horizontal="center" vertical="center"/>
    </xf>
    <xf numFmtId="0" fontId="127" fillId="0" borderId="0" xfId="674" applyFont="1" applyAlignment="1">
      <alignment horizontal="right"/>
    </xf>
    <xf numFmtId="43" fontId="127" fillId="0" borderId="163" xfId="675" applyFont="1" applyBorder="1" applyAlignment="1" applyProtection="1">
      <alignment horizontal="center" vertical="center"/>
      <protection locked="0"/>
    </xf>
    <xf numFmtId="0" fontId="127" fillId="0" borderId="131" xfId="674" applyFont="1" applyBorder="1" applyAlignment="1">
      <alignment horizontal="center" vertical="center"/>
    </xf>
    <xf numFmtId="0" fontId="127" fillId="0" borderId="163" xfId="674" applyFont="1" applyBorder="1" applyAlignment="1">
      <alignment horizontal="left" vertical="center"/>
    </xf>
    <xf numFmtId="0" fontId="122" fillId="103" borderId="163" xfId="674" applyFont="1" applyFill="1" applyBorder="1" applyAlignment="1">
      <alignment horizontal="center" vertical="center"/>
    </xf>
    <xf numFmtId="0" fontId="127" fillId="0" borderId="163" xfId="674" applyFont="1" applyBorder="1" applyAlignment="1">
      <alignment horizontal="right" indent="1"/>
    </xf>
    <xf numFmtId="0" fontId="127" fillId="0" borderId="163" xfId="674" applyFont="1" applyBorder="1" applyAlignment="1">
      <alignment horizontal="center" vertical="center"/>
    </xf>
    <xf numFmtId="0" fontId="109" fillId="0" borderId="163" xfId="674" applyFont="1" applyBorder="1" applyAlignment="1">
      <alignment horizontal="center" vertical="center"/>
    </xf>
    <xf numFmtId="0" fontId="127" fillId="0" borderId="163" xfId="674" applyFont="1" applyBorder="1" applyAlignment="1" applyProtection="1">
      <alignment horizontal="center" vertical="top" wrapText="1"/>
      <protection locked="0"/>
    </xf>
    <xf numFmtId="0" fontId="131" fillId="0" borderId="0" xfId="674" applyFont="1" applyAlignment="1">
      <alignment horizontal="center"/>
    </xf>
    <xf numFmtId="0" fontId="130" fillId="0" borderId="159" xfId="674" applyFont="1" applyBorder="1" applyAlignment="1" applyProtection="1">
      <alignment horizontal="center" vertical="center"/>
      <protection locked="0"/>
    </xf>
    <xf numFmtId="0" fontId="129" fillId="0" borderId="0" xfId="674" applyFont="1" applyAlignment="1">
      <alignment vertical="top"/>
    </xf>
    <xf numFmtId="0" fontId="131" fillId="0" borderId="0" xfId="674" applyFont="1" applyAlignment="1">
      <alignment vertical="center"/>
    </xf>
    <xf numFmtId="0" fontId="130" fillId="0" borderId="0" xfId="674" applyFont="1" applyAlignment="1">
      <alignment vertical="center"/>
    </xf>
    <xf numFmtId="0" fontId="140" fillId="0" borderId="0" xfId="674" applyFont="1" applyAlignment="1">
      <alignment horizontal="center" vertical="center"/>
    </xf>
    <xf numFmtId="0" fontId="127" fillId="0" borderId="0" xfId="674" applyFont="1" applyAlignment="1">
      <alignment vertical="center"/>
    </xf>
    <xf numFmtId="165" fontId="112" fillId="0" borderId="16" xfId="2" applyFont="1" applyBorder="1" applyAlignment="1">
      <alignment horizontal="center" vertical="center"/>
    </xf>
    <xf numFmtId="165" fontId="121" fillId="96" borderId="17" xfId="2" applyFont="1" applyFill="1" applyBorder="1" applyAlignment="1">
      <alignment horizontal="left" vertical="center"/>
    </xf>
    <xf numFmtId="2" fontId="118" fillId="0" borderId="0" xfId="0" applyNumberFormat="1" applyFont="1" applyAlignment="1">
      <alignment horizontal="center" vertical="center"/>
    </xf>
    <xf numFmtId="165" fontId="117" fillId="100" borderId="64" xfId="0" applyNumberFormat="1" applyFont="1" applyFill="1" applyBorder="1" applyAlignment="1">
      <alignment horizontal="center" vertical="center"/>
    </xf>
    <xf numFmtId="165" fontId="117" fillId="100" borderId="16" xfId="0" applyNumberFormat="1" applyFont="1" applyFill="1" applyBorder="1" applyAlignment="1">
      <alignment horizontal="center" vertical="center"/>
    </xf>
    <xf numFmtId="43" fontId="117" fillId="100" borderId="96" xfId="0" applyNumberFormat="1" applyFont="1" applyFill="1" applyBorder="1" applyAlignment="1">
      <alignment horizontal="center" vertical="center"/>
    </xf>
    <xf numFmtId="165" fontId="117" fillId="100" borderId="60" xfId="0" applyNumberFormat="1" applyFont="1" applyFill="1" applyBorder="1" applyAlignment="1">
      <alignment horizontal="left" vertical="center" indent="1"/>
    </xf>
    <xf numFmtId="201" fontId="117" fillId="100" borderId="17" xfId="0" applyNumberFormat="1" applyFont="1" applyFill="1" applyBorder="1" applyAlignment="1">
      <alignment horizontal="left" vertical="center"/>
    </xf>
    <xf numFmtId="165" fontId="117" fillId="100" borderId="60" xfId="0" applyNumberFormat="1" applyFont="1" applyFill="1" applyBorder="1" applyAlignment="1">
      <alignment horizontal="center" vertical="center"/>
    </xf>
    <xf numFmtId="165" fontId="117" fillId="100" borderId="17" xfId="0" applyNumberFormat="1" applyFont="1" applyFill="1" applyBorder="1" applyAlignment="1">
      <alignment horizontal="center" vertical="center"/>
    </xf>
    <xf numFmtId="165" fontId="117" fillId="100" borderId="69" xfId="0" applyNumberFormat="1" applyFont="1" applyFill="1" applyBorder="1" applyAlignment="1">
      <alignment horizontal="center" vertical="center"/>
    </xf>
    <xf numFmtId="165" fontId="117" fillId="100" borderId="98" xfId="0" applyNumberFormat="1" applyFont="1" applyFill="1" applyBorder="1" applyAlignment="1">
      <alignment horizontal="center" vertical="center"/>
    </xf>
    <xf numFmtId="165" fontId="112" fillId="59" borderId="11" xfId="0" applyNumberFormat="1" applyFont="1" applyFill="1" applyBorder="1" applyAlignment="1">
      <alignment horizontal="left" vertical="center" shrinkToFit="1"/>
    </xf>
    <xf numFmtId="0" fontId="112" fillId="0" borderId="8" xfId="251" applyFont="1" applyBorder="1" applyAlignment="1">
      <alignment vertical="center" wrapText="1"/>
    </xf>
    <xf numFmtId="43" fontId="120" fillId="63" borderId="0" xfId="0" applyNumberFormat="1" applyFont="1" applyFill="1" applyAlignment="1">
      <alignment vertical="center" wrapText="1"/>
    </xf>
    <xf numFmtId="44" fontId="131" fillId="59" borderId="0" xfId="251" applyNumberFormat="1" applyFont="1" applyFill="1" applyAlignment="1">
      <alignment horizontal="left" vertical="center"/>
    </xf>
    <xf numFmtId="165" fontId="111" fillId="0" borderId="0" xfId="2" applyFont="1" applyAlignment="1">
      <alignment horizontal="left" vertical="center" wrapText="1"/>
    </xf>
    <xf numFmtId="0" fontId="120" fillId="0" borderId="0" xfId="251" applyFont="1"/>
    <xf numFmtId="0" fontId="145" fillId="59" borderId="0" xfId="251" applyFont="1" applyFill="1" applyAlignment="1">
      <alignment horizontal="center" vertical="center"/>
    </xf>
    <xf numFmtId="0" fontId="146" fillId="98" borderId="94" xfId="251" applyFont="1" applyFill="1" applyBorder="1" applyAlignment="1">
      <alignment horizontal="center" vertical="center" wrapText="1"/>
    </xf>
    <xf numFmtId="0" fontId="146" fillId="98" borderId="95" xfId="251" applyFont="1" applyFill="1" applyBorder="1" applyAlignment="1">
      <alignment horizontal="center" vertical="center" wrapText="1"/>
    </xf>
    <xf numFmtId="44" fontId="145" fillId="59" borderId="0" xfId="251" applyNumberFormat="1" applyFont="1" applyFill="1" applyAlignment="1">
      <alignment horizontal="center" vertical="center"/>
    </xf>
    <xf numFmtId="4" fontId="112" fillId="0" borderId="94" xfId="251" applyNumberFormat="1" applyFont="1" applyBorder="1" applyAlignment="1">
      <alignment horizontal="center" vertical="center"/>
    </xf>
    <xf numFmtId="4" fontId="112" fillId="0" borderId="95" xfId="0" applyNumberFormat="1" applyFont="1" applyBorder="1" applyAlignment="1">
      <alignment horizontal="left" vertical="center"/>
    </xf>
    <xf numFmtId="165" fontId="112" fillId="0" borderId="95" xfId="2" applyFont="1" applyBorder="1" applyAlignment="1">
      <alignment horizontal="center" vertical="center"/>
    </xf>
    <xf numFmtId="165" fontId="147" fillId="0" borderId="94" xfId="2" applyFont="1" applyBorder="1" applyAlignment="1">
      <alignment horizontal="center" vertical="center"/>
    </xf>
    <xf numFmtId="165" fontId="112" fillId="0" borderId="94" xfId="2" applyFont="1" applyBorder="1" applyAlignment="1">
      <alignment horizontal="center" vertical="center"/>
    </xf>
    <xf numFmtId="0" fontId="120" fillId="2" borderId="0" xfId="251" applyFont="1" applyFill="1"/>
    <xf numFmtId="4" fontId="112" fillId="0" borderId="95" xfId="251" applyNumberFormat="1" applyFont="1" applyBorder="1" applyAlignment="1">
      <alignment horizontal="left" vertical="center"/>
    </xf>
    <xf numFmtId="4" fontId="112" fillId="0" borderId="94" xfId="0" applyNumberFormat="1" applyFont="1" applyBorder="1" applyAlignment="1">
      <alignment horizontal="left" vertical="center"/>
    </xf>
    <xf numFmtId="165" fontId="147" fillId="0" borderId="95" xfId="2" applyFont="1" applyBorder="1" applyAlignment="1">
      <alignment horizontal="center" vertical="center"/>
    </xf>
    <xf numFmtId="44" fontId="120" fillId="0" borderId="0" xfId="9" applyFont="1"/>
    <xf numFmtId="9" fontId="120" fillId="0" borderId="0" xfId="1" applyFont="1"/>
    <xf numFmtId="165" fontId="147" fillId="0" borderId="20" xfId="2" applyFont="1" applyBorder="1" applyAlignment="1">
      <alignment horizontal="center" vertical="center"/>
    </xf>
    <xf numFmtId="0" fontId="120" fillId="0" borderId="0" xfId="251" applyFont="1" applyAlignment="1">
      <alignment horizontal="center"/>
    </xf>
    <xf numFmtId="10" fontId="146" fillId="98" borderId="94" xfId="8" applyNumberFormat="1" applyFont="1" applyFill="1" applyBorder="1" applyAlignment="1">
      <alignment horizontal="center" vertical="center"/>
    </xf>
    <xf numFmtId="168" fontId="146" fillId="98" borderId="94" xfId="251" applyNumberFormat="1" applyFont="1" applyFill="1" applyBorder="1" applyAlignment="1">
      <alignment horizontal="center" vertical="center"/>
    </xf>
    <xf numFmtId="0" fontId="148" fillId="98" borderId="143" xfId="251" applyFont="1" applyFill="1" applyBorder="1" applyAlignment="1">
      <alignment horizontal="center" vertical="center" wrapText="1"/>
    </xf>
    <xf numFmtId="0" fontId="148" fillId="98" borderId="144" xfId="251" applyFont="1" applyFill="1" applyBorder="1" applyAlignment="1">
      <alignment horizontal="center" vertical="center" wrapText="1"/>
    </xf>
    <xf numFmtId="0" fontId="148" fillId="98" borderId="21" xfId="251" applyFont="1" applyFill="1" applyBorder="1" applyAlignment="1">
      <alignment horizontal="center" wrapText="1"/>
    </xf>
    <xf numFmtId="0" fontId="148" fillId="98" borderId="145" xfId="251" applyFont="1" applyFill="1" applyBorder="1" applyAlignment="1">
      <alignment horizontal="center" wrapText="1"/>
    </xf>
    <xf numFmtId="0" fontId="148" fillId="98" borderId="146" xfId="251" applyFont="1" applyFill="1" applyBorder="1" applyAlignment="1">
      <alignment horizontal="center" wrapText="1"/>
    </xf>
    <xf numFmtId="0" fontId="148" fillId="98" borderId="97" xfId="251" applyFont="1" applyFill="1" applyBorder="1" applyAlignment="1">
      <alignment horizontal="center" wrapText="1"/>
    </xf>
    <xf numFmtId="0" fontId="148" fillId="98" borderId="147" xfId="251" applyFont="1" applyFill="1" applyBorder="1" applyAlignment="1">
      <alignment vertical="center" wrapText="1"/>
    </xf>
    <xf numFmtId="0" fontId="148" fillId="98" borderId="148" xfId="251" applyFont="1" applyFill="1" applyBorder="1" applyAlignment="1">
      <alignment vertical="center" wrapText="1"/>
    </xf>
    <xf numFmtId="0" fontId="148" fillId="98" borderId="149" xfId="251" applyFont="1" applyFill="1" applyBorder="1" applyAlignment="1">
      <alignment vertical="center" wrapText="1"/>
    </xf>
    <xf numFmtId="0" fontId="148" fillId="98" borderId="150" xfId="251" applyFont="1" applyFill="1" applyBorder="1" applyAlignment="1">
      <alignment vertical="center" wrapText="1"/>
    </xf>
    <xf numFmtId="0" fontId="148" fillId="98" borderId="143" xfId="251" applyFont="1" applyFill="1" applyBorder="1" applyAlignment="1">
      <alignment horizontal="center" vertical="center"/>
    </xf>
    <xf numFmtId="0" fontId="148" fillId="98" borderId="144" xfId="251" applyFont="1" applyFill="1" applyBorder="1" applyAlignment="1">
      <alignment horizontal="center" vertical="center"/>
    </xf>
    <xf numFmtId="0" fontId="143" fillId="98" borderId="38" xfId="251" applyFont="1" applyFill="1" applyBorder="1" applyAlignment="1">
      <alignment horizontal="center" vertical="center"/>
    </xf>
    <xf numFmtId="4" fontId="143" fillId="98" borderId="41" xfId="0" applyNumberFormat="1" applyFont="1" applyFill="1" applyBorder="1" applyAlignment="1">
      <alignment horizontal="center" vertical="center"/>
    </xf>
    <xf numFmtId="4" fontId="143" fillId="98" borderId="39" xfId="0" applyNumberFormat="1" applyFont="1" applyFill="1" applyBorder="1" applyAlignment="1">
      <alignment horizontal="center" vertical="center"/>
    </xf>
    <xf numFmtId="10" fontId="116" fillId="56" borderId="0" xfId="358" applyNumberFormat="1" applyFont="1" applyFill="1" applyBorder="1" applyAlignment="1" applyProtection="1">
      <alignment vertical="center"/>
    </xf>
    <xf numFmtId="0" fontId="149" fillId="2" borderId="0" xfId="251" applyFont="1" applyFill="1" applyAlignment="1">
      <alignment horizontal="left" vertical="center"/>
    </xf>
    <xf numFmtId="0" fontId="149" fillId="2" borderId="0" xfId="251" applyFont="1" applyFill="1"/>
    <xf numFmtId="0" fontId="149" fillId="57" borderId="0" xfId="251" applyFont="1" applyFill="1"/>
    <xf numFmtId="0" fontId="149" fillId="55" borderId="0" xfId="251" applyFont="1" applyFill="1"/>
    <xf numFmtId="0" fontId="150" fillId="55" borderId="0" xfId="251" applyFont="1" applyFill="1"/>
    <xf numFmtId="0" fontId="149" fillId="0" borderId="0" xfId="251" applyFont="1"/>
    <xf numFmtId="0" fontId="118" fillId="100" borderId="57" xfId="251" applyFont="1" applyFill="1" applyBorder="1" applyAlignment="1">
      <alignment horizontal="left" vertical="center"/>
    </xf>
    <xf numFmtId="0" fontId="120" fillId="2" borderId="3" xfId="251" applyFont="1" applyFill="1" applyBorder="1" applyAlignment="1">
      <alignment horizontal="right" vertical="center"/>
    </xf>
    <xf numFmtId="0" fontId="149" fillId="0" borderId="0" xfId="251" applyFont="1" applyAlignment="1">
      <alignment horizontal="center"/>
    </xf>
    <xf numFmtId="0" fontId="120" fillId="2" borderId="1" xfId="251" applyFont="1" applyFill="1" applyBorder="1" applyAlignment="1">
      <alignment vertical="center" wrapText="1"/>
    </xf>
    <xf numFmtId="0" fontId="120" fillId="2" borderId="131" xfId="251" applyFont="1" applyFill="1" applyBorder="1" applyAlignment="1">
      <alignment horizontal="left" vertical="center" wrapText="1"/>
    </xf>
    <xf numFmtId="0" fontId="120" fillId="2" borderId="1" xfId="251" applyFont="1" applyFill="1" applyBorder="1" applyAlignment="1">
      <alignment horizontal="right" vertical="center"/>
    </xf>
    <xf numFmtId="10" fontId="146" fillId="98" borderId="169" xfId="358" applyNumberFormat="1" applyFont="1" applyFill="1" applyBorder="1" applyAlignment="1" applyProtection="1">
      <alignment horizontal="center" vertical="center"/>
    </xf>
    <xf numFmtId="0" fontId="120" fillId="2" borderId="57" xfId="251" applyFont="1" applyFill="1" applyBorder="1" applyAlignment="1">
      <alignment horizontal="left" vertical="center"/>
    </xf>
    <xf numFmtId="9" fontId="149" fillId="0" borderId="0" xfId="358" applyFont="1" applyFill="1" applyBorder="1" applyAlignment="1" applyProtection="1">
      <alignment horizontal="left" vertical="center"/>
    </xf>
    <xf numFmtId="0" fontId="149" fillId="55" borderId="0" xfId="251" applyFont="1" applyFill="1" applyAlignment="1">
      <alignment horizontal="center" vertical="center"/>
    </xf>
    <xf numFmtId="198" fontId="149" fillId="57" borderId="0" xfId="522" applyNumberFormat="1" applyFont="1" applyFill="1" applyBorder="1" applyAlignment="1" applyProtection="1"/>
    <xf numFmtId="10" fontId="149" fillId="55" borderId="0" xfId="358" applyNumberFormat="1" applyFont="1" applyFill="1" applyBorder="1" applyAlignment="1" applyProtection="1"/>
    <xf numFmtId="49" fontId="149" fillId="57" borderId="0" xfId="522" applyNumberFormat="1" applyFont="1" applyFill="1" applyBorder="1" applyAlignment="1" applyProtection="1">
      <alignment vertical="center"/>
    </xf>
    <xf numFmtId="0" fontId="149" fillId="57" borderId="0" xfId="251" applyFont="1" applyFill="1" applyAlignment="1">
      <alignment vertical="center"/>
    </xf>
    <xf numFmtId="0" fontId="149" fillId="55" borderId="0" xfId="251" applyFont="1" applyFill="1" applyAlignment="1">
      <alignment vertical="center"/>
    </xf>
    <xf numFmtId="10" fontId="149" fillId="57" borderId="0" xfId="358" applyNumberFormat="1" applyFont="1" applyFill="1" applyBorder="1" applyAlignment="1" applyProtection="1"/>
    <xf numFmtId="0" fontId="149" fillId="60" borderId="0" xfId="251" applyFont="1" applyFill="1" applyAlignment="1">
      <alignment vertical="center" wrapText="1"/>
    </xf>
    <xf numFmtId="0" fontId="120" fillId="2" borderId="0" xfId="251" applyFont="1" applyFill="1" applyAlignment="1">
      <alignment horizontal="left" vertical="center"/>
    </xf>
    <xf numFmtId="0" fontId="120" fillId="0" borderId="0" xfId="251" applyFont="1" applyAlignment="1">
      <alignment horizontal="left" vertical="center"/>
    </xf>
    <xf numFmtId="2" fontId="145" fillId="2" borderId="0" xfId="251" applyNumberFormat="1" applyFont="1" applyFill="1" applyAlignment="1">
      <alignment horizontal="center" vertical="center"/>
    </xf>
    <xf numFmtId="0" fontId="149" fillId="0" borderId="0" xfId="251" applyFont="1" applyAlignment="1">
      <alignment horizontal="left" vertical="center"/>
    </xf>
    <xf numFmtId="0" fontId="117" fillId="63" borderId="0" xfId="251" applyFont="1" applyFill="1" applyAlignment="1">
      <alignment horizontal="center" vertical="center"/>
    </xf>
    <xf numFmtId="0" fontId="152" fillId="0" borderId="0" xfId="251" applyFont="1"/>
    <xf numFmtId="44" fontId="117" fillId="63" borderId="0" xfId="9" applyFont="1" applyFill="1" applyAlignment="1">
      <alignment horizontal="center" vertical="center"/>
    </xf>
    <xf numFmtId="2" fontId="117" fillId="63" borderId="0" xfId="251" applyNumberFormat="1" applyFont="1" applyFill="1" applyAlignment="1">
      <alignment horizontal="center" vertical="center"/>
    </xf>
    <xf numFmtId="10" fontId="118" fillId="58" borderId="169" xfId="358" applyNumberFormat="1" applyFont="1" applyFill="1" applyBorder="1" applyAlignment="1" applyProtection="1">
      <alignment horizontal="center" vertical="center"/>
    </xf>
    <xf numFmtId="0" fontId="120" fillId="100" borderId="57" xfId="251" applyFont="1" applyFill="1" applyBorder="1" applyAlignment="1">
      <alignment horizontal="left" vertical="center"/>
    </xf>
    <xf numFmtId="0" fontId="153" fillId="0" borderId="0" xfId="251" applyFont="1" applyAlignment="1">
      <alignment vertical="center"/>
    </xf>
    <xf numFmtId="0" fontId="117" fillId="109" borderId="57" xfId="251" applyFont="1" applyFill="1" applyBorder="1" applyAlignment="1">
      <alignment vertical="center"/>
    </xf>
    <xf numFmtId="0" fontId="112" fillId="0" borderId="0" xfId="251" applyFont="1"/>
    <xf numFmtId="0" fontId="152" fillId="0" borderId="0" xfId="251" applyFont="1" applyAlignment="1">
      <alignment horizontal="left" vertical="center"/>
    </xf>
    <xf numFmtId="0" fontId="152" fillId="0" borderId="0" xfId="251" applyFont="1" applyAlignment="1">
      <alignment horizontal="center"/>
    </xf>
    <xf numFmtId="0" fontId="117" fillId="109" borderId="57" xfId="251" applyFont="1" applyFill="1" applyBorder="1" applyAlignment="1">
      <alignment horizontal="left" vertical="center"/>
    </xf>
    <xf numFmtId="0" fontId="112" fillId="0" borderId="0" xfId="251" applyFont="1" applyAlignment="1">
      <alignment vertical="center"/>
    </xf>
    <xf numFmtId="0" fontId="152" fillId="0" borderId="0" xfId="251" applyFont="1" applyAlignment="1">
      <alignment vertical="center"/>
    </xf>
    <xf numFmtId="0" fontId="112" fillId="0" borderId="57" xfId="251" applyFont="1" applyBorder="1" applyAlignment="1">
      <alignment horizontal="left" vertical="center"/>
    </xf>
    <xf numFmtId="0" fontId="152" fillId="54" borderId="0" xfId="251" applyFont="1" applyFill="1" applyAlignment="1">
      <alignment vertical="center"/>
    </xf>
    <xf numFmtId="167" fontId="152" fillId="0" borderId="0" xfId="358" applyNumberFormat="1" applyFont="1" applyFill="1" applyBorder="1" applyAlignment="1" applyProtection="1">
      <alignment vertical="center"/>
    </xf>
    <xf numFmtId="9" fontId="152" fillId="0" borderId="0" xfId="358" applyFont="1" applyFill="1" applyBorder="1" applyAlignment="1" applyProtection="1">
      <alignment vertical="center"/>
    </xf>
    <xf numFmtId="0" fontId="147" fillId="0" borderId="0" xfId="251" applyFont="1" applyAlignment="1">
      <alignment vertical="center"/>
    </xf>
    <xf numFmtId="0" fontId="147" fillId="0" borderId="0" xfId="251" applyFont="1" applyAlignment="1">
      <alignment horizontal="left" vertical="center"/>
    </xf>
    <xf numFmtId="0" fontId="154" fillId="54" borderId="0" xfId="251" applyFont="1" applyFill="1" applyAlignment="1">
      <alignment vertical="center"/>
    </xf>
    <xf numFmtId="10" fontId="147" fillId="0" borderId="0" xfId="358" applyNumberFormat="1" applyFont="1" applyFill="1" applyBorder="1" applyAlignment="1" applyProtection="1">
      <alignment vertical="center"/>
    </xf>
    <xf numFmtId="10" fontId="112" fillId="0" borderId="20" xfId="358" applyNumberFormat="1" applyFont="1" applyFill="1" applyBorder="1" applyAlignment="1" applyProtection="1">
      <alignment horizontal="center" vertical="center"/>
    </xf>
    <xf numFmtId="10" fontId="117" fillId="108" borderId="20" xfId="358" applyNumberFormat="1" applyFont="1" applyFill="1" applyBorder="1" applyAlignment="1" applyProtection="1">
      <alignment horizontal="center" vertical="center"/>
    </xf>
    <xf numFmtId="0" fontId="117" fillId="109" borderId="57" xfId="251" applyFont="1" applyFill="1" applyBorder="1" applyAlignment="1">
      <alignment horizontal="left" vertical="center" wrapText="1"/>
    </xf>
    <xf numFmtId="10" fontId="108" fillId="105" borderId="159" xfId="358" applyNumberFormat="1" applyFont="1" applyFill="1" applyBorder="1" applyAlignment="1" applyProtection="1">
      <alignment horizontal="center" vertical="center"/>
    </xf>
    <xf numFmtId="0" fontId="117" fillId="109" borderId="8" xfId="251" applyFont="1" applyFill="1" applyBorder="1" applyAlignment="1">
      <alignment horizontal="center" vertical="center"/>
    </xf>
    <xf numFmtId="10" fontId="117" fillId="108" borderId="159" xfId="358" applyNumberFormat="1" applyFont="1" applyFill="1" applyBorder="1" applyAlignment="1" applyProtection="1">
      <alignment horizontal="center" vertical="center"/>
    </xf>
    <xf numFmtId="0" fontId="112" fillId="0" borderId="8" xfId="251" applyFont="1" applyBorder="1" applyAlignment="1">
      <alignment horizontal="center" vertical="center"/>
    </xf>
    <xf numFmtId="0" fontId="112" fillId="0" borderId="171" xfId="251" applyFont="1" applyBorder="1" applyAlignment="1">
      <alignment horizontal="center" vertical="center"/>
    </xf>
    <xf numFmtId="0" fontId="112" fillId="0" borderId="172" xfId="251" applyFont="1" applyBorder="1" applyAlignment="1">
      <alignment horizontal="left" vertical="center"/>
    </xf>
    <xf numFmtId="10" fontId="112" fillId="0" borderId="173" xfId="358" applyNumberFormat="1" applyFont="1" applyFill="1" applyBorder="1" applyAlignment="1" applyProtection="1">
      <alignment horizontal="center" vertical="center"/>
    </xf>
    <xf numFmtId="0" fontId="112" fillId="0" borderId="11" xfId="251" applyFont="1" applyBorder="1" applyAlignment="1">
      <alignment horizontal="center" vertical="center"/>
    </xf>
    <xf numFmtId="0" fontId="112" fillId="0" borderId="13" xfId="251" applyFont="1" applyBorder="1" applyAlignment="1">
      <alignment horizontal="left" vertical="center"/>
    </xf>
    <xf numFmtId="10" fontId="112" fillId="0" borderId="17" xfId="358" applyNumberFormat="1" applyFont="1" applyFill="1" applyBorder="1" applyAlignment="1" applyProtection="1">
      <alignment horizontal="center" vertical="center"/>
    </xf>
    <xf numFmtId="0" fontId="112" fillId="0" borderId="14" xfId="251" applyFont="1" applyBorder="1" applyAlignment="1">
      <alignment horizontal="center" vertical="center"/>
    </xf>
    <xf numFmtId="0" fontId="112" fillId="0" borderId="4" xfId="251" applyFont="1" applyBorder="1" applyAlignment="1">
      <alignment horizontal="left" vertical="center"/>
    </xf>
    <xf numFmtId="10" fontId="112" fillId="0" borderId="18" xfId="358" applyNumberFormat="1" applyFont="1" applyFill="1" applyBorder="1" applyAlignment="1" applyProtection="1">
      <alignment horizontal="center" vertical="center"/>
    </xf>
    <xf numFmtId="10" fontId="117" fillId="0" borderId="18" xfId="358" applyNumberFormat="1" applyFont="1" applyFill="1" applyBorder="1" applyAlignment="1" applyProtection="1">
      <alignment horizontal="center" vertical="center"/>
    </xf>
    <xf numFmtId="0" fontId="112" fillId="108" borderId="10" xfId="251" applyFont="1" applyFill="1" applyBorder="1" applyAlignment="1">
      <alignment horizontal="left" vertical="center"/>
    </xf>
    <xf numFmtId="0" fontId="117" fillId="108" borderId="8" xfId="251" applyFont="1" applyFill="1" applyBorder="1" applyAlignment="1">
      <alignment vertical="center"/>
    </xf>
    <xf numFmtId="0" fontId="117" fillId="108" borderId="57" xfId="251" applyFont="1" applyFill="1" applyBorder="1" applyAlignment="1">
      <alignment vertical="center"/>
    </xf>
    <xf numFmtId="0" fontId="117" fillId="109" borderId="8" xfId="251" applyFont="1" applyFill="1" applyBorder="1" applyAlignment="1">
      <alignment vertical="center"/>
    </xf>
    <xf numFmtId="0" fontId="117" fillId="109" borderId="10" xfId="251" applyFont="1" applyFill="1" applyBorder="1" applyAlignment="1">
      <alignment horizontal="left" vertical="center"/>
    </xf>
    <xf numFmtId="10" fontId="118" fillId="0" borderId="8" xfId="358" applyNumberFormat="1" applyFont="1" applyFill="1" applyBorder="1" applyAlignment="1" applyProtection="1">
      <alignment vertical="distributed" wrapText="1"/>
    </xf>
    <xf numFmtId="10" fontId="118" fillId="0" borderId="10" xfId="358" applyNumberFormat="1" applyFont="1" applyFill="1" applyBorder="1" applyAlignment="1" applyProtection="1">
      <alignment vertical="distributed" wrapText="1"/>
    </xf>
    <xf numFmtId="10" fontId="118" fillId="0" borderId="57" xfId="358" applyNumberFormat="1" applyFont="1" applyFill="1" applyBorder="1" applyAlignment="1" applyProtection="1">
      <alignment vertical="distributed" wrapText="1"/>
    </xf>
    <xf numFmtId="10" fontId="108" fillId="106" borderId="169" xfId="358" applyNumberFormat="1" applyFont="1" applyFill="1" applyBorder="1" applyAlignment="1" applyProtection="1">
      <alignment horizontal="center" vertical="center"/>
    </xf>
    <xf numFmtId="0" fontId="118" fillId="100" borderId="8" xfId="251" applyFont="1" applyFill="1" applyBorder="1" applyAlignment="1">
      <alignment horizontal="left" vertical="center"/>
    </xf>
    <xf numFmtId="10" fontId="118" fillId="107" borderId="159" xfId="358" applyNumberFormat="1" applyFont="1" applyFill="1" applyBorder="1" applyAlignment="1" applyProtection="1">
      <alignment horizontal="center" vertical="center"/>
    </xf>
    <xf numFmtId="10" fontId="118" fillId="108" borderId="159" xfId="358" applyNumberFormat="1" applyFont="1" applyFill="1" applyBorder="1" applyAlignment="1" applyProtection="1">
      <alignment horizontal="center" vertical="center"/>
    </xf>
    <xf numFmtId="0" fontId="118" fillId="2" borderId="163" xfId="251" applyFont="1" applyFill="1" applyBorder="1" applyAlignment="1">
      <alignment horizontal="left" vertical="center"/>
    </xf>
    <xf numFmtId="10" fontId="118" fillId="100" borderId="159" xfId="358" applyNumberFormat="1" applyFont="1" applyFill="1" applyBorder="1" applyAlignment="1" applyProtection="1">
      <alignment horizontal="center" vertical="center"/>
    </xf>
    <xf numFmtId="0" fontId="120" fillId="107" borderId="164" xfId="251" applyFont="1" applyFill="1" applyBorder="1" applyAlignment="1">
      <alignment horizontal="left" vertical="center"/>
    </xf>
    <xf numFmtId="0" fontId="120" fillId="57" borderId="8" xfId="358" applyNumberFormat="1" applyFont="1" applyFill="1" applyBorder="1" applyAlignment="1" applyProtection="1">
      <alignment horizontal="left" vertical="center"/>
    </xf>
    <xf numFmtId="10" fontId="118" fillId="58" borderId="159" xfId="358" applyNumberFormat="1" applyFont="1" applyFill="1" applyBorder="1" applyAlignment="1" applyProtection="1">
      <alignment horizontal="center" vertical="center"/>
    </xf>
    <xf numFmtId="0" fontId="120" fillId="2" borderId="8" xfId="251" applyFont="1" applyFill="1" applyBorder="1" applyAlignment="1">
      <alignment horizontal="left" vertical="center"/>
    </xf>
    <xf numFmtId="0" fontId="120" fillId="100" borderId="8" xfId="251" applyFont="1" applyFill="1" applyBorder="1" applyAlignment="1">
      <alignment horizontal="left" vertical="center"/>
    </xf>
    <xf numFmtId="0" fontId="120" fillId="2" borderId="1" xfId="251" applyFont="1" applyFill="1" applyBorder="1" applyAlignment="1">
      <alignment vertical="center"/>
    </xf>
    <xf numFmtId="0" fontId="120" fillId="2" borderId="131" xfId="251" applyFont="1" applyFill="1" applyBorder="1" applyAlignment="1">
      <alignment vertical="center"/>
    </xf>
    <xf numFmtId="0" fontId="118" fillId="0" borderId="163" xfId="251" applyFont="1" applyBorder="1" applyAlignment="1">
      <alignment horizontal="left" vertical="center"/>
    </xf>
    <xf numFmtId="10" fontId="118" fillId="0" borderId="163" xfId="358" applyNumberFormat="1" applyFont="1" applyFill="1" applyBorder="1" applyAlignment="1" applyProtection="1">
      <alignment horizontal="center" vertical="center"/>
    </xf>
    <xf numFmtId="0" fontId="112" fillId="0" borderId="0" xfId="674" applyFont="1" applyAlignment="1">
      <alignment horizontal="center"/>
    </xf>
    <xf numFmtId="0" fontId="155" fillId="0" borderId="0" xfId="674" applyFont="1" applyAlignment="1">
      <alignment horizontal="center" vertical="center"/>
    </xf>
    <xf numFmtId="0" fontId="105" fillId="0" borderId="0" xfId="674" applyFont="1" applyAlignment="1" applyProtection="1">
      <alignment horizontal="right" vertical="center"/>
      <protection locked="0"/>
    </xf>
    <xf numFmtId="14" fontId="105" fillId="0" borderId="0" xfId="674" applyNumberFormat="1" applyFont="1" applyAlignment="1" applyProtection="1">
      <alignment horizontal="left" vertical="center"/>
      <protection locked="0"/>
    </xf>
    <xf numFmtId="0" fontId="105" fillId="0" borderId="0" xfId="674" applyFont="1" applyAlignment="1" applyProtection="1">
      <alignment horizontal="left" vertical="center"/>
      <protection locked="0"/>
    </xf>
    <xf numFmtId="0" fontId="107" fillId="100" borderId="175" xfId="674" applyFont="1" applyFill="1" applyBorder="1" applyAlignment="1" applyProtection="1">
      <alignment horizontal="center" vertical="center"/>
      <protection locked="0"/>
    </xf>
    <xf numFmtId="0" fontId="107" fillId="100" borderId="28" xfId="674" applyFont="1" applyFill="1" applyBorder="1" applyAlignment="1">
      <alignment horizontal="center" vertical="center"/>
    </xf>
    <xf numFmtId="0" fontId="107" fillId="100" borderId="166" xfId="674" applyFont="1" applyFill="1" applyBorder="1" applyAlignment="1" applyProtection="1">
      <alignment horizontal="center" vertical="center"/>
      <protection locked="0"/>
    </xf>
    <xf numFmtId="0" fontId="111" fillId="0" borderId="180" xfId="674" applyFont="1" applyBorder="1" applyAlignment="1" applyProtection="1">
      <alignment horizontal="center" vertical="center"/>
      <protection locked="0"/>
    </xf>
    <xf numFmtId="4" fontId="111" fillId="0" borderId="180" xfId="674" applyNumberFormat="1" applyFont="1" applyBorder="1" applyAlignment="1" applyProtection="1">
      <alignment horizontal="center" vertical="center"/>
      <protection locked="0"/>
    </xf>
    <xf numFmtId="0" fontId="111" fillId="0" borderId="180" xfId="674" applyFont="1" applyBorder="1" applyAlignment="1" applyProtection="1">
      <alignment horizontal="center" vertical="center" wrapText="1"/>
      <protection locked="0"/>
    </xf>
    <xf numFmtId="3" fontId="111" fillId="0" borderId="180" xfId="674" applyNumberFormat="1" applyFont="1" applyBorder="1" applyAlignment="1" applyProtection="1">
      <alignment horizontal="center" vertical="center"/>
      <protection locked="0"/>
    </xf>
    <xf numFmtId="0" fontId="111" fillId="0" borderId="180" xfId="674" applyFont="1" applyBorder="1" applyAlignment="1">
      <alignment horizontal="center" vertical="center" wrapText="1"/>
    </xf>
    <xf numFmtId="43" fontId="117" fillId="0" borderId="180" xfId="1162" applyFont="1" applyBorder="1" applyAlignment="1" applyProtection="1">
      <alignment horizontal="center" vertical="center"/>
      <protection locked="0"/>
    </xf>
    <xf numFmtId="0" fontId="110" fillId="0" borderId="180" xfId="674" applyFont="1" applyBorder="1" applyAlignment="1">
      <alignment horizontal="center" vertical="center"/>
    </xf>
    <xf numFmtId="10" fontId="110" fillId="0" borderId="180" xfId="369" applyNumberFormat="1" applyFont="1" applyBorder="1" applyAlignment="1" applyProtection="1">
      <alignment horizontal="center" vertical="center"/>
      <protection locked="0"/>
    </xf>
    <xf numFmtId="43" fontId="110" fillId="0" borderId="180" xfId="1162" applyFont="1" applyBorder="1" applyAlignment="1" applyProtection="1">
      <alignment horizontal="center" vertical="center"/>
      <protection locked="0"/>
    </xf>
    <xf numFmtId="0" fontId="127" fillId="0" borderId="183" xfId="674" applyFont="1" applyBorder="1"/>
    <xf numFmtId="0" fontId="131" fillId="2" borderId="174" xfId="674" applyFont="1" applyFill="1" applyBorder="1" applyAlignment="1">
      <alignment vertical="center"/>
    </xf>
    <xf numFmtId="0" fontId="111" fillId="2" borderId="174" xfId="674" applyFont="1" applyFill="1" applyBorder="1" applyAlignment="1">
      <alignment horizontal="center" vertical="center"/>
    </xf>
    <xf numFmtId="0" fontId="109" fillId="2" borderId="174" xfId="674" applyFont="1" applyFill="1" applyBorder="1" applyAlignment="1">
      <alignment vertical="center"/>
    </xf>
    <xf numFmtId="0" fontId="127" fillId="0" borderId="185" xfId="674" applyFont="1" applyBorder="1"/>
    <xf numFmtId="0" fontId="103" fillId="0" borderId="158" xfId="674" applyFont="1" applyBorder="1" applyAlignment="1">
      <alignment horizontal="center" vertical="center"/>
    </xf>
    <xf numFmtId="2" fontId="111" fillId="0" borderId="159" xfId="675" applyNumberFormat="1" applyFont="1" applyBorder="1" applyAlignment="1" applyProtection="1">
      <alignment horizontal="center" vertical="center"/>
      <protection locked="0"/>
    </xf>
    <xf numFmtId="0" fontId="110" fillId="0" borderId="166" xfId="674" applyFont="1" applyBorder="1" applyAlignment="1">
      <alignment horizontal="left" vertical="center"/>
    </xf>
    <xf numFmtId="0" fontId="110" fillId="0" borderId="132" xfId="674" applyFont="1" applyBorder="1" applyAlignment="1">
      <alignment horizontal="left" vertical="center"/>
    </xf>
    <xf numFmtId="2" fontId="111" fillId="0" borderId="57" xfId="675" applyNumberFormat="1" applyFont="1" applyBorder="1" applyAlignment="1" applyProtection="1">
      <alignment horizontal="center" vertical="center"/>
      <protection locked="0"/>
    </xf>
    <xf numFmtId="0" fontId="127" fillId="0" borderId="26" xfId="674" applyFont="1" applyBorder="1" applyAlignment="1">
      <alignment horizontal="center" vertical="center"/>
    </xf>
    <xf numFmtId="0" fontId="127" fillId="0" borderId="26" xfId="674" applyFont="1" applyBorder="1"/>
    <xf numFmtId="0" fontId="127" fillId="0" borderId="26" xfId="674" applyFont="1" applyBorder="1" applyAlignment="1">
      <alignment horizontal="center"/>
    </xf>
    <xf numFmtId="0" fontId="110" fillId="0" borderId="166" xfId="674" applyFont="1" applyBorder="1" applyAlignment="1">
      <alignment vertical="center"/>
    </xf>
    <xf numFmtId="0" fontId="110" fillId="0" borderId="132" xfId="674" applyFont="1" applyBorder="1" applyAlignment="1">
      <alignment vertical="center"/>
    </xf>
    <xf numFmtId="0" fontId="127" fillId="0" borderId="182" xfId="674" applyFont="1" applyBorder="1" applyAlignment="1">
      <alignment horizontal="left" vertical="center"/>
    </xf>
    <xf numFmtId="0" fontId="127" fillId="0" borderId="183" xfId="674" applyFont="1" applyBorder="1" applyAlignment="1" applyProtection="1">
      <alignment horizontal="center" vertical="top" wrapText="1"/>
      <protection locked="0"/>
    </xf>
    <xf numFmtId="0" fontId="131" fillId="0" borderId="167" xfId="674" applyFont="1" applyBorder="1" applyAlignment="1">
      <alignment horizontal="center"/>
    </xf>
    <xf numFmtId="0" fontId="127" fillId="0" borderId="167" xfId="674" applyFont="1" applyBorder="1" applyAlignment="1">
      <alignment horizontal="right"/>
    </xf>
    <xf numFmtId="0" fontId="129" fillId="0" borderId="166" xfId="674" applyFont="1" applyBorder="1" applyAlignment="1">
      <alignment vertical="top"/>
    </xf>
    <xf numFmtId="0" fontId="127" fillId="0" borderId="26" xfId="674" applyFont="1" applyBorder="1" applyAlignment="1">
      <alignment horizontal="right"/>
    </xf>
    <xf numFmtId="0" fontId="127" fillId="0" borderId="168" xfId="674" applyFont="1" applyBorder="1" applyAlignment="1">
      <alignment horizontal="right"/>
    </xf>
    <xf numFmtId="0" fontId="107" fillId="100" borderId="177" xfId="674" applyFont="1" applyFill="1" applyBorder="1" applyAlignment="1" applyProtection="1">
      <alignment horizontal="right" vertical="center"/>
      <protection locked="0"/>
    </xf>
    <xf numFmtId="0" fontId="107" fillId="100" borderId="133" xfId="674" applyFont="1" applyFill="1" applyBorder="1" applyAlignment="1" applyProtection="1">
      <alignment horizontal="right" vertical="center" wrapText="1"/>
      <protection locked="0"/>
    </xf>
    <xf numFmtId="0" fontId="107" fillId="100" borderId="133" xfId="674" applyFont="1" applyFill="1" applyBorder="1" applyAlignment="1">
      <alignment horizontal="right" vertical="center" wrapText="1"/>
    </xf>
    <xf numFmtId="0" fontId="107" fillId="100" borderId="133" xfId="674" applyFont="1" applyFill="1" applyBorder="1" applyAlignment="1">
      <alignment horizontal="right" vertical="center"/>
    </xf>
    <xf numFmtId="0" fontId="107" fillId="100" borderId="133" xfId="674" applyFont="1" applyFill="1" applyBorder="1" applyAlignment="1" applyProtection="1">
      <alignment horizontal="right" vertical="center"/>
      <protection locked="0"/>
    </xf>
    <xf numFmtId="0" fontId="98" fillId="0" borderId="69" xfId="4" applyFont="1" applyBorder="1" applyAlignment="1">
      <alignment horizontal="left" vertical="center"/>
    </xf>
    <xf numFmtId="165" fontId="98" fillId="0" borderId="98" xfId="2" applyFont="1" applyBorder="1" applyAlignment="1">
      <alignment horizontal="center" vertical="center"/>
    </xf>
    <xf numFmtId="165" fontId="98" fillId="0" borderId="73" xfId="2" applyFont="1" applyBorder="1" applyAlignment="1">
      <alignment horizontal="center" vertical="center"/>
    </xf>
    <xf numFmtId="1" fontId="98" fillId="3" borderId="69" xfId="2" applyNumberFormat="1" applyFont="1" applyFill="1" applyBorder="1" applyAlignment="1">
      <alignment horizontal="center" vertical="center"/>
    </xf>
    <xf numFmtId="0" fontId="107" fillId="0" borderId="159" xfId="674" applyFont="1" applyBorder="1" applyAlignment="1">
      <alignment horizontal="center" vertical="center"/>
    </xf>
    <xf numFmtId="4" fontId="107" fillId="0" borderId="134" xfId="674" applyNumberFormat="1" applyFont="1" applyBorder="1" applyAlignment="1" applyProtection="1">
      <alignment horizontal="center" vertical="center"/>
      <protection locked="0"/>
    </xf>
    <xf numFmtId="3" fontId="107" fillId="0" borderId="134" xfId="674" applyNumberFormat="1" applyFont="1" applyBorder="1" applyAlignment="1" applyProtection="1">
      <alignment horizontal="center" vertical="center"/>
      <protection locked="0"/>
    </xf>
    <xf numFmtId="0" fontId="105" fillId="100" borderId="191" xfId="674" applyFont="1" applyFill="1" applyBorder="1" applyAlignment="1" applyProtection="1">
      <alignment horizontal="right" vertical="center"/>
      <protection locked="0"/>
    </xf>
    <xf numFmtId="0" fontId="127" fillId="0" borderId="26" xfId="674" applyFont="1" applyBorder="1" applyAlignment="1">
      <alignment horizontal="center" vertical="center"/>
    </xf>
    <xf numFmtId="0" fontId="127" fillId="0" borderId="0" xfId="674" applyFont="1" applyAlignment="1">
      <alignment horizontal="left"/>
    </xf>
    <xf numFmtId="0" fontId="134" fillId="104" borderId="159" xfId="674" applyFont="1" applyFill="1" applyBorder="1" applyAlignment="1">
      <alignment horizontal="center" vertical="center"/>
    </xf>
    <xf numFmtId="0" fontId="127" fillId="0" borderId="0" xfId="674" applyFont="1" applyAlignment="1">
      <alignment horizontal="center" vertical="center"/>
    </xf>
    <xf numFmtId="0" fontId="127" fillId="0" borderId="0" xfId="674" applyFont="1" applyAlignment="1">
      <alignment horizontal="left" vertical="center"/>
    </xf>
    <xf numFmtId="0" fontId="127" fillId="0" borderId="163" xfId="674" applyFont="1" applyBorder="1" applyAlignment="1">
      <alignment horizontal="center" vertical="center"/>
    </xf>
    <xf numFmtId="0" fontId="134" fillId="61" borderId="159" xfId="674" applyFont="1" applyFill="1" applyBorder="1" applyAlignment="1">
      <alignment horizontal="center" vertical="center"/>
    </xf>
    <xf numFmtId="0" fontId="110" fillId="0" borderId="166" xfId="674" applyFont="1" applyBorder="1" applyAlignment="1">
      <alignment horizontal="left" vertical="center"/>
    </xf>
    <xf numFmtId="0" fontId="110" fillId="0" borderId="132" xfId="674" applyFont="1" applyBorder="1" applyAlignment="1">
      <alignment horizontal="left" vertical="center"/>
    </xf>
    <xf numFmtId="0" fontId="109" fillId="0" borderId="2" xfId="674" applyFont="1" applyBorder="1" applyAlignment="1">
      <alignment horizontal="center" vertical="center"/>
    </xf>
    <xf numFmtId="0" fontId="109" fillId="0" borderId="0" xfId="674" applyFont="1" applyAlignment="1">
      <alignment horizontal="center" vertical="center"/>
    </xf>
    <xf numFmtId="0" fontId="109" fillId="0" borderId="132" xfId="674" applyFont="1" applyBorder="1" applyAlignment="1">
      <alignment horizontal="center" vertical="center"/>
    </xf>
    <xf numFmtId="0" fontId="109" fillId="0" borderId="166" xfId="674" applyFont="1" applyBorder="1" applyAlignment="1">
      <alignment horizontal="left" vertical="center"/>
    </xf>
    <xf numFmtId="0" fontId="109" fillId="0" borderId="0" xfId="674" applyFont="1" applyAlignment="1">
      <alignment horizontal="left" vertical="center"/>
    </xf>
    <xf numFmtId="0" fontId="117" fillId="0" borderId="166" xfId="674" applyFont="1" applyBorder="1" applyAlignment="1">
      <alignment horizontal="left" vertical="center"/>
    </xf>
    <xf numFmtId="0" fontId="117" fillId="0" borderId="132" xfId="674" applyFont="1" applyBorder="1" applyAlignment="1">
      <alignment horizontal="left" vertical="center"/>
    </xf>
    <xf numFmtId="0" fontId="110" fillId="0" borderId="182" xfId="674" applyFont="1" applyBorder="1" applyAlignment="1">
      <alignment horizontal="left" vertical="center"/>
    </xf>
    <xf numFmtId="0" fontId="110" fillId="0" borderId="164" xfId="674" applyFont="1" applyBorder="1" applyAlignment="1">
      <alignment horizontal="left" vertical="center"/>
    </xf>
    <xf numFmtId="0" fontId="131" fillId="100" borderId="8" xfId="674" applyFont="1" applyFill="1" applyBorder="1" applyAlignment="1">
      <alignment horizontal="center"/>
    </xf>
    <xf numFmtId="0" fontId="131" fillId="100" borderId="57" xfId="674" applyFont="1" applyFill="1" applyBorder="1" applyAlignment="1">
      <alignment horizontal="center"/>
    </xf>
    <xf numFmtId="0" fontId="131" fillId="100" borderId="178" xfId="674" applyFont="1" applyFill="1" applyBorder="1" applyAlignment="1">
      <alignment horizontal="center"/>
    </xf>
    <xf numFmtId="0" fontId="127" fillId="0" borderId="3" xfId="674" applyFont="1" applyBorder="1" applyAlignment="1" applyProtection="1">
      <alignment horizontal="left" vertical="top" wrapText="1"/>
      <protection locked="0"/>
    </xf>
    <xf numFmtId="0" fontId="127" fillId="0" borderId="163" xfId="674" applyFont="1" applyBorder="1" applyAlignment="1" applyProtection="1">
      <alignment horizontal="left" vertical="top" wrapText="1"/>
      <protection locked="0"/>
    </xf>
    <xf numFmtId="0" fontId="127" fillId="0" borderId="2" xfId="674" applyFont="1" applyBorder="1" applyAlignment="1" applyProtection="1">
      <alignment horizontal="left" vertical="top" wrapText="1"/>
      <protection locked="0"/>
    </xf>
    <xf numFmtId="0" fontId="127" fillId="0" borderId="0" xfId="674" applyFont="1" applyAlignment="1" applyProtection="1">
      <alignment horizontal="left" vertical="top" wrapText="1"/>
      <protection locked="0"/>
    </xf>
    <xf numFmtId="0" fontId="127" fillId="0" borderId="1" xfId="674" applyFont="1" applyBorder="1" applyAlignment="1" applyProtection="1">
      <alignment horizontal="left" vertical="top" wrapText="1"/>
      <protection locked="0"/>
    </xf>
    <xf numFmtId="0" fontId="127" fillId="0" borderId="131" xfId="674" applyFont="1" applyBorder="1" applyAlignment="1" applyProtection="1">
      <alignment horizontal="left" vertical="top" wrapText="1"/>
      <protection locked="0"/>
    </xf>
    <xf numFmtId="0" fontId="110" fillId="0" borderId="186" xfId="674" applyFont="1" applyBorder="1" applyAlignment="1" applyProtection="1">
      <alignment horizontal="left" vertical="top" wrapText="1"/>
      <protection locked="0"/>
    </xf>
    <xf numFmtId="0" fontId="127" fillId="0" borderId="183" xfId="674" applyFont="1" applyBorder="1" applyAlignment="1" applyProtection="1">
      <alignment horizontal="left" vertical="top" wrapText="1"/>
      <protection locked="0"/>
    </xf>
    <xf numFmtId="0" fontId="127" fillId="0" borderId="187" xfId="674" applyFont="1" applyBorder="1" applyAlignment="1" applyProtection="1">
      <alignment horizontal="left" vertical="top" wrapText="1"/>
      <protection locked="0"/>
    </xf>
    <xf numFmtId="0" fontId="127" fillId="0" borderId="167" xfId="674" applyFont="1" applyBorder="1" applyAlignment="1" applyProtection="1">
      <alignment horizontal="left" vertical="top" wrapText="1"/>
      <protection locked="0"/>
    </xf>
    <xf numFmtId="0" fontId="127" fillId="0" borderId="188" xfId="674" applyFont="1" applyBorder="1" applyAlignment="1" applyProtection="1">
      <alignment horizontal="left" vertical="top" wrapText="1"/>
      <protection locked="0"/>
    </xf>
    <xf numFmtId="0" fontId="127" fillId="0" borderId="185" xfId="674" applyFont="1" applyBorder="1" applyAlignment="1" applyProtection="1">
      <alignment horizontal="left" vertical="top" wrapText="1"/>
      <protection locked="0"/>
    </xf>
    <xf numFmtId="0" fontId="136" fillId="0" borderId="2" xfId="674" applyFont="1" applyBorder="1" applyAlignment="1">
      <alignment horizontal="center" vertical="center"/>
    </xf>
    <xf numFmtId="0" fontId="136" fillId="0" borderId="0" xfId="674" applyFont="1" applyAlignment="1">
      <alignment horizontal="center" vertical="center"/>
    </xf>
    <xf numFmtId="0" fontId="136" fillId="0" borderId="132" xfId="674" applyFont="1" applyBorder="1" applyAlignment="1">
      <alignment horizontal="center" vertical="center"/>
    </xf>
    <xf numFmtId="0" fontId="109" fillId="0" borderId="2" xfId="674" applyFont="1" applyBorder="1" applyAlignment="1">
      <alignment horizontal="center"/>
    </xf>
    <xf numFmtId="0" fontId="109" fillId="0" borderId="0" xfId="674" applyFont="1" applyAlignment="1">
      <alignment horizontal="center"/>
    </xf>
    <xf numFmtId="0" fontId="109" fillId="0" borderId="132" xfId="674" applyFont="1" applyBorder="1" applyAlignment="1">
      <alignment horizontal="center"/>
    </xf>
    <xf numFmtId="0" fontId="138" fillId="0" borderId="2" xfId="674" applyFont="1" applyBorder="1" applyAlignment="1">
      <alignment horizontal="center" vertical="center"/>
    </xf>
    <xf numFmtId="0" fontId="138" fillId="0" borderId="0" xfId="674" applyFont="1" applyAlignment="1">
      <alignment horizontal="center" vertical="center"/>
    </xf>
    <xf numFmtId="0" fontId="138" fillId="0" borderId="132" xfId="674" applyFont="1" applyBorder="1" applyAlignment="1">
      <alignment horizontal="center" vertical="center"/>
    </xf>
    <xf numFmtId="0" fontId="134" fillId="102" borderId="8" xfId="674" applyFont="1" applyFill="1" applyBorder="1" applyAlignment="1">
      <alignment horizontal="left" vertical="center"/>
    </xf>
    <xf numFmtId="0" fontId="134" fillId="102" borderId="10" xfId="674" applyFont="1" applyFill="1" applyBorder="1" applyAlignment="1">
      <alignment horizontal="left" vertical="center"/>
    </xf>
    <xf numFmtId="0" fontId="134" fillId="102" borderId="8" xfId="674" applyFont="1" applyFill="1" applyBorder="1" applyAlignment="1">
      <alignment horizontal="center" vertical="center"/>
    </xf>
    <xf numFmtId="0" fontId="134" fillId="102" borderId="10" xfId="674" applyFont="1" applyFill="1" applyBorder="1" applyAlignment="1">
      <alignment horizontal="center" vertical="center"/>
    </xf>
    <xf numFmtId="0" fontId="134" fillId="102" borderId="159" xfId="674" applyFont="1" applyFill="1" applyBorder="1" applyAlignment="1">
      <alignment horizontal="center" vertical="center"/>
    </xf>
    <xf numFmtId="0" fontId="129" fillId="0" borderId="184" xfId="674" applyFont="1" applyBorder="1" applyAlignment="1">
      <alignment horizontal="center" vertical="top"/>
    </xf>
    <xf numFmtId="0" fontId="129" fillId="0" borderId="131" xfId="674" applyFont="1" applyBorder="1" applyAlignment="1">
      <alignment horizontal="center" vertical="top"/>
    </xf>
    <xf numFmtId="0" fontId="129" fillId="0" borderId="76" xfId="674" applyFont="1" applyBorder="1" applyAlignment="1">
      <alignment horizontal="center" vertical="top"/>
    </xf>
    <xf numFmtId="0" fontId="131" fillId="100" borderId="177" xfId="674" applyFont="1" applyFill="1" applyBorder="1" applyAlignment="1">
      <alignment horizontal="center" vertical="center"/>
    </xf>
    <xf numFmtId="0" fontId="131" fillId="100" borderId="10" xfId="674" applyFont="1" applyFill="1" applyBorder="1" applyAlignment="1">
      <alignment horizontal="center" vertical="center"/>
    </xf>
    <xf numFmtId="0" fontId="131" fillId="100" borderId="159" xfId="674" applyFont="1" applyFill="1" applyBorder="1" applyAlignment="1">
      <alignment horizontal="center" vertical="center"/>
    </xf>
    <xf numFmtId="0" fontId="135" fillId="100" borderId="159" xfId="674" applyFont="1" applyFill="1" applyBorder="1" applyAlignment="1">
      <alignment horizontal="center" vertical="center"/>
    </xf>
    <xf numFmtId="0" fontId="111" fillId="59" borderId="8" xfId="674" applyFont="1" applyFill="1" applyBorder="1" applyAlignment="1">
      <alignment horizontal="left" vertical="center"/>
    </xf>
    <xf numFmtId="0" fontId="111" fillId="59" borderId="10" xfId="674" applyFont="1" applyFill="1" applyBorder="1" applyAlignment="1">
      <alignment horizontal="left" vertical="center"/>
    </xf>
    <xf numFmtId="0" fontId="111" fillId="59" borderId="8" xfId="674" applyFont="1" applyFill="1" applyBorder="1" applyAlignment="1">
      <alignment horizontal="center" vertical="center"/>
    </xf>
    <xf numFmtId="0" fontId="111" fillId="59" borderId="10" xfId="674" applyFont="1" applyFill="1" applyBorder="1" applyAlignment="1">
      <alignment horizontal="center" vertical="center"/>
    </xf>
    <xf numFmtId="0" fontId="111" fillId="59" borderId="159" xfId="674" applyFont="1" applyFill="1" applyBorder="1" applyAlignment="1">
      <alignment horizontal="center" vertical="center"/>
    </xf>
    <xf numFmtId="0" fontId="134" fillId="61" borderId="8" xfId="674" applyFont="1" applyFill="1" applyBorder="1" applyAlignment="1">
      <alignment horizontal="left" vertical="center"/>
    </xf>
    <xf numFmtId="0" fontId="134" fillId="61" borderId="10" xfId="674" applyFont="1" applyFill="1" applyBorder="1" applyAlignment="1">
      <alignment horizontal="left" vertical="center"/>
    </xf>
    <xf numFmtId="0" fontId="134" fillId="61" borderId="8" xfId="674" applyFont="1" applyFill="1" applyBorder="1" applyAlignment="1">
      <alignment horizontal="center" vertical="center"/>
    </xf>
    <xf numFmtId="0" fontId="134" fillId="61" borderId="10" xfId="674" applyFont="1" applyFill="1" applyBorder="1" applyAlignment="1">
      <alignment horizontal="center" vertical="center"/>
    </xf>
    <xf numFmtId="0" fontId="133" fillId="61" borderId="159" xfId="272" applyFont="1" applyFill="1" applyBorder="1" applyAlignment="1">
      <alignment horizontal="center" vertical="center"/>
    </xf>
    <xf numFmtId="0" fontId="109" fillId="59" borderId="159" xfId="272" applyFont="1" applyFill="1" applyBorder="1" applyAlignment="1">
      <alignment horizontal="center" vertical="center"/>
    </xf>
    <xf numFmtId="0" fontId="133" fillId="102" borderId="159" xfId="272" applyFont="1" applyFill="1" applyBorder="1" applyAlignment="1">
      <alignment horizontal="center" vertical="center"/>
    </xf>
    <xf numFmtId="0" fontId="118" fillId="3" borderId="159" xfId="272" applyFont="1" applyFill="1" applyBorder="1" applyAlignment="1">
      <alignment horizontal="center" vertical="center"/>
    </xf>
    <xf numFmtId="0" fontId="103" fillId="0" borderId="182" xfId="674" applyFont="1" applyBorder="1" applyAlignment="1">
      <alignment horizontal="center" vertical="center"/>
    </xf>
    <xf numFmtId="0" fontId="103" fillId="0" borderId="163" xfId="674" applyFont="1" applyBorder="1" applyAlignment="1">
      <alignment horizontal="center" vertical="center"/>
    </xf>
    <xf numFmtId="0" fontId="103" fillId="0" borderId="164" xfId="674" applyFont="1" applyBorder="1" applyAlignment="1">
      <alignment horizontal="center" vertical="center"/>
    </xf>
    <xf numFmtId="0" fontId="131" fillId="100" borderId="8" xfId="674" applyFont="1" applyFill="1" applyBorder="1" applyAlignment="1">
      <alignment horizontal="center" vertical="center"/>
    </xf>
    <xf numFmtId="0" fontId="131" fillId="100" borderId="57" xfId="674" applyFont="1" applyFill="1" applyBorder="1" applyAlignment="1">
      <alignment horizontal="center" vertical="center"/>
    </xf>
    <xf numFmtId="0" fontId="110" fillId="100" borderId="8" xfId="674" applyFont="1" applyFill="1" applyBorder="1" applyAlignment="1">
      <alignment horizontal="center" vertical="center"/>
    </xf>
    <xf numFmtId="0" fontId="110" fillId="100" borderId="10" xfId="674" applyFont="1" applyFill="1" applyBorder="1" applyAlignment="1">
      <alignment horizontal="center" vertical="center"/>
    </xf>
    <xf numFmtId="0" fontId="111" fillId="100" borderId="8" xfId="674" applyFont="1" applyFill="1" applyBorder="1" applyAlignment="1">
      <alignment horizontal="center" vertical="center"/>
    </xf>
    <xf numFmtId="0" fontId="111" fillId="100" borderId="10" xfId="674" applyFont="1" applyFill="1" applyBorder="1" applyAlignment="1">
      <alignment horizontal="center" vertical="center"/>
    </xf>
    <xf numFmtId="0" fontId="111" fillId="100" borderId="159" xfId="674" applyFont="1" applyFill="1" applyBorder="1" applyAlignment="1">
      <alignment horizontal="center" vertical="center"/>
    </xf>
    <xf numFmtId="0" fontId="130" fillId="100" borderId="182" xfId="674" applyFont="1" applyFill="1" applyBorder="1" applyAlignment="1">
      <alignment horizontal="center" vertical="center"/>
    </xf>
    <xf numFmtId="0" fontId="130" fillId="100" borderId="163" xfId="674" applyFont="1" applyFill="1" applyBorder="1" applyAlignment="1">
      <alignment horizontal="center" vertical="center"/>
    </xf>
    <xf numFmtId="0" fontId="130" fillId="100" borderId="164" xfId="674" applyFont="1" applyFill="1" applyBorder="1" applyAlignment="1">
      <alignment horizontal="center" vertical="center"/>
    </xf>
    <xf numFmtId="0" fontId="130" fillId="100" borderId="184" xfId="674" applyFont="1" applyFill="1" applyBorder="1" applyAlignment="1">
      <alignment horizontal="center" vertical="center"/>
    </xf>
    <xf numFmtId="0" fontId="130" fillId="100" borderId="131" xfId="674" applyFont="1" applyFill="1" applyBorder="1" applyAlignment="1">
      <alignment horizontal="center" vertical="center"/>
    </xf>
    <xf numFmtId="0" fontId="130" fillId="100" borderId="76" xfId="674" applyFont="1" applyFill="1" applyBorder="1" applyAlignment="1">
      <alignment horizontal="center" vertical="center"/>
    </xf>
    <xf numFmtId="0" fontId="107" fillId="0" borderId="159" xfId="674" applyFont="1" applyBorder="1" applyAlignment="1" applyProtection="1">
      <alignment horizontal="center" vertical="center" wrapText="1"/>
      <protection locked="0"/>
    </xf>
    <xf numFmtId="0" fontId="107" fillId="0" borderId="159" xfId="674" applyFont="1" applyBorder="1" applyAlignment="1">
      <alignment horizontal="center" vertical="center" wrapText="1"/>
    </xf>
    <xf numFmtId="0" fontId="107" fillId="0" borderId="176" xfId="674" applyFont="1" applyBorder="1" applyAlignment="1">
      <alignment horizontal="center" vertical="center" wrapText="1"/>
    </xf>
    <xf numFmtId="0" fontId="107" fillId="100" borderId="177" xfId="674" applyFont="1" applyFill="1" applyBorder="1" applyAlignment="1" applyProtection="1">
      <alignment horizontal="center" vertical="center"/>
      <protection locked="0"/>
    </xf>
    <xf numFmtId="0" fontId="107" fillId="100" borderId="189" xfId="674" applyFont="1" applyFill="1" applyBorder="1" applyAlignment="1" applyProtection="1">
      <alignment horizontal="center" vertical="center"/>
      <protection locked="0"/>
    </xf>
    <xf numFmtId="0" fontId="107" fillId="100" borderId="178" xfId="674" applyFont="1" applyFill="1" applyBorder="1" applyAlignment="1" applyProtection="1">
      <alignment horizontal="center" vertical="center"/>
      <protection locked="0"/>
    </xf>
    <xf numFmtId="4" fontId="107" fillId="0" borderId="134" xfId="674" applyNumberFormat="1" applyFont="1" applyBorder="1" applyAlignment="1">
      <alignment horizontal="center" vertical="center"/>
    </xf>
    <xf numFmtId="4" fontId="107" fillId="0" borderId="159" xfId="674" applyNumberFormat="1" applyFont="1" applyBorder="1" applyAlignment="1">
      <alignment horizontal="center" vertical="center"/>
    </xf>
    <xf numFmtId="4" fontId="107" fillId="0" borderId="134" xfId="674" applyNumberFormat="1" applyFont="1" applyBorder="1" applyAlignment="1" applyProtection="1">
      <alignment horizontal="center" vertical="center"/>
      <protection locked="0"/>
    </xf>
    <xf numFmtId="4" fontId="107" fillId="0" borderId="159" xfId="674" applyNumberFormat="1" applyFont="1" applyBorder="1" applyAlignment="1" applyProtection="1">
      <alignment horizontal="center" vertical="center"/>
      <protection locked="0"/>
    </xf>
    <xf numFmtId="2" fontId="107" fillId="0" borderId="134" xfId="674" applyNumberFormat="1" applyFont="1" applyBorder="1" applyAlignment="1" applyProtection="1">
      <alignment horizontal="center" vertical="center"/>
      <protection locked="0"/>
    </xf>
    <xf numFmtId="2" fontId="107" fillId="0" borderId="176" xfId="674" applyNumberFormat="1" applyFont="1" applyBorder="1" applyAlignment="1" applyProtection="1">
      <alignment horizontal="center" vertical="center"/>
      <protection locked="0"/>
    </xf>
    <xf numFmtId="10" fontId="111" fillId="0" borderId="180" xfId="369" applyNumberFormat="1" applyFont="1" applyBorder="1" applyAlignment="1">
      <alignment horizontal="center" vertical="center"/>
    </xf>
    <xf numFmtId="10" fontId="111" fillId="0" borderId="180" xfId="369" applyNumberFormat="1" applyFont="1" applyBorder="1" applyAlignment="1" applyProtection="1">
      <alignment horizontal="center" vertical="center"/>
      <protection locked="0"/>
    </xf>
    <xf numFmtId="0" fontId="111" fillId="0" borderId="180" xfId="674" applyFont="1" applyBorder="1" applyAlignment="1" applyProtection="1">
      <alignment horizontal="center" vertical="center"/>
      <protection locked="0"/>
    </xf>
    <xf numFmtId="0" fontId="128" fillId="98" borderId="23" xfId="674" applyFont="1" applyFill="1" applyBorder="1" applyAlignment="1">
      <alignment horizontal="left" vertical="center"/>
    </xf>
    <xf numFmtId="0" fontId="128" fillId="98" borderId="24" xfId="674" applyFont="1" applyFill="1" applyBorder="1" applyAlignment="1">
      <alignment horizontal="left" vertical="center"/>
    </xf>
    <xf numFmtId="0" fontId="128" fillId="98" borderId="25" xfId="674" applyFont="1" applyFill="1" applyBorder="1" applyAlignment="1">
      <alignment horizontal="left" vertical="center"/>
    </xf>
    <xf numFmtId="0" fontId="127" fillId="0" borderId="175" xfId="674" applyFont="1" applyBorder="1" applyAlignment="1">
      <alignment horizontal="center"/>
    </xf>
    <xf numFmtId="0" fontId="127" fillId="0" borderId="180" xfId="674" applyFont="1" applyBorder="1" applyAlignment="1">
      <alignment horizontal="center"/>
    </xf>
    <xf numFmtId="0" fontId="127" fillId="0" borderId="181" xfId="674" applyFont="1" applyBorder="1" applyAlignment="1">
      <alignment horizontal="center"/>
    </xf>
    <xf numFmtId="0" fontId="107" fillId="0" borderId="162" xfId="674" applyFont="1" applyBorder="1" applyAlignment="1" applyProtection="1">
      <alignment horizontal="left" vertical="center" wrapText="1"/>
      <protection locked="0"/>
    </xf>
    <xf numFmtId="0" fontId="107" fillId="0" borderId="161" xfId="674" applyFont="1" applyBorder="1" applyAlignment="1" applyProtection="1">
      <alignment horizontal="left" vertical="center"/>
      <protection locked="0"/>
    </xf>
    <xf numFmtId="0" fontId="107" fillId="0" borderId="190" xfId="674" applyFont="1" applyBorder="1" applyAlignment="1" applyProtection="1">
      <alignment horizontal="left" vertical="center"/>
      <protection locked="0"/>
    </xf>
    <xf numFmtId="0" fontId="112" fillId="100" borderId="21" xfId="674" applyFont="1" applyFill="1" applyBorder="1" applyAlignment="1">
      <alignment horizontal="center"/>
    </xf>
    <xf numFmtId="0" fontId="112" fillId="100" borderId="147" xfId="674" applyFont="1" applyFill="1" applyBorder="1" applyAlignment="1">
      <alignment horizontal="center"/>
    </xf>
    <xf numFmtId="0" fontId="155" fillId="100" borderId="22" xfId="674" applyFont="1" applyFill="1" applyBorder="1" applyAlignment="1">
      <alignment horizontal="center" vertical="center"/>
    </xf>
    <xf numFmtId="0" fontId="155" fillId="100" borderId="26" xfId="674" applyFont="1" applyFill="1" applyBorder="1" applyAlignment="1">
      <alignment horizontal="center" vertical="center"/>
    </xf>
    <xf numFmtId="0" fontId="156" fillId="100" borderId="28" xfId="674" applyFont="1" applyFill="1" applyBorder="1" applyAlignment="1" applyProtection="1">
      <alignment horizontal="center" vertical="center"/>
      <protection locked="0"/>
    </xf>
    <xf numFmtId="0" fontId="156" fillId="100" borderId="29" xfId="674" applyFont="1" applyFill="1" applyBorder="1" applyAlignment="1" applyProtection="1">
      <alignment horizontal="center" vertical="center"/>
      <protection locked="0"/>
    </xf>
    <xf numFmtId="14" fontId="105" fillId="100" borderId="192" xfId="674" applyNumberFormat="1" applyFont="1" applyFill="1" applyBorder="1" applyAlignment="1" applyProtection="1">
      <alignment horizontal="left" vertical="center"/>
      <protection locked="0"/>
    </xf>
    <xf numFmtId="0" fontId="105" fillId="100" borderId="179" xfId="674" applyFont="1" applyFill="1" applyBorder="1" applyAlignment="1" applyProtection="1">
      <alignment horizontal="left" vertical="center"/>
      <protection locked="0"/>
    </xf>
    <xf numFmtId="0" fontId="105" fillId="100" borderId="144" xfId="674" applyFont="1" applyFill="1" applyBorder="1" applyAlignment="1" applyProtection="1">
      <alignment horizontal="left" vertical="center"/>
      <protection locked="0"/>
    </xf>
    <xf numFmtId="0" fontId="107" fillId="0" borderId="28" xfId="674" applyFont="1" applyBorder="1" applyAlignment="1" applyProtection="1">
      <alignment horizontal="center" vertical="center" wrapText="1"/>
      <protection locked="0"/>
    </xf>
    <xf numFmtId="0" fontId="107" fillId="100" borderId="34" xfId="674" applyFont="1" applyFill="1" applyBorder="1" applyAlignment="1">
      <alignment horizontal="center" vertical="center"/>
    </xf>
    <xf numFmtId="0" fontId="107" fillId="100" borderId="35" xfId="674" applyFont="1" applyFill="1" applyBorder="1" applyAlignment="1">
      <alignment horizontal="center" vertical="center"/>
    </xf>
    <xf numFmtId="0" fontId="107" fillId="0" borderId="34" xfId="674" applyFont="1" applyBorder="1" applyAlignment="1">
      <alignment horizontal="center" vertical="center"/>
    </xf>
    <xf numFmtId="0" fontId="107" fillId="0" borderId="35" xfId="674" applyFont="1" applyBorder="1" applyAlignment="1">
      <alignment horizontal="center" vertical="center"/>
    </xf>
    <xf numFmtId="0" fontId="107" fillId="0" borderId="28" xfId="674" applyFont="1" applyBorder="1" applyAlignment="1">
      <alignment horizontal="center" vertical="center"/>
    </xf>
    <xf numFmtId="0" fontId="107" fillId="0" borderId="29" xfId="674" applyFont="1" applyBorder="1" applyAlignment="1">
      <alignment horizontal="center" vertical="center"/>
    </xf>
    <xf numFmtId="165" fontId="117" fillId="100" borderId="8" xfId="0" applyNumberFormat="1" applyFont="1" applyFill="1" applyBorder="1" applyAlignment="1">
      <alignment horizontal="left" vertical="center"/>
    </xf>
    <xf numFmtId="165" fontId="117" fillId="100" borderId="10" xfId="0" applyNumberFormat="1" applyFont="1" applyFill="1" applyBorder="1" applyAlignment="1">
      <alignment horizontal="left" vertical="center"/>
    </xf>
    <xf numFmtId="165" fontId="113" fillId="100" borderId="161" xfId="0" applyNumberFormat="1" applyFont="1" applyFill="1" applyBorder="1" applyAlignment="1">
      <alignment horizontal="left"/>
    </xf>
    <xf numFmtId="0" fontId="120" fillId="0" borderId="22" xfId="0" applyFont="1" applyBorder="1" applyAlignment="1">
      <alignment horizontal="center" vertical="center"/>
    </xf>
    <xf numFmtId="165" fontId="117" fillId="0" borderId="0" xfId="0" applyNumberFormat="1" applyFont="1" applyAlignment="1">
      <alignment horizontal="center" vertical="center"/>
    </xf>
    <xf numFmtId="165" fontId="121" fillId="0" borderId="0" xfId="0" applyNumberFormat="1" applyFont="1" applyAlignment="1">
      <alignment horizontal="center" vertical="center"/>
    </xf>
    <xf numFmtId="165" fontId="117" fillId="100" borderId="23" xfId="0" applyNumberFormat="1" applyFont="1" applyFill="1" applyBorder="1" applyAlignment="1">
      <alignment horizontal="right" vertical="center"/>
    </xf>
    <xf numFmtId="165" fontId="117" fillId="100" borderId="24" xfId="0" applyNumberFormat="1" applyFont="1" applyFill="1" applyBorder="1" applyAlignment="1">
      <alignment horizontal="right" vertical="center"/>
    </xf>
    <xf numFmtId="165" fontId="117" fillId="100" borderId="34" xfId="0" applyNumberFormat="1" applyFont="1" applyFill="1" applyBorder="1" applyAlignment="1">
      <alignment horizontal="left" vertical="center"/>
    </xf>
    <xf numFmtId="165" fontId="117" fillId="100" borderId="35" xfId="0" applyNumberFormat="1" applyFont="1" applyFill="1" applyBorder="1" applyAlignment="1">
      <alignment horizontal="left" vertical="center"/>
    </xf>
    <xf numFmtId="165" fontId="117" fillId="0" borderId="57" xfId="0" applyNumberFormat="1" applyFont="1" applyBorder="1" applyAlignment="1">
      <alignment horizontal="center" vertical="center"/>
    </xf>
    <xf numFmtId="0" fontId="108" fillId="98" borderId="23" xfId="0" applyFont="1" applyFill="1" applyBorder="1" applyAlignment="1">
      <alignment horizontal="left"/>
    </xf>
    <xf numFmtId="0" fontId="108" fillId="98" borderId="24" xfId="0" applyFont="1" applyFill="1" applyBorder="1" applyAlignment="1">
      <alignment horizontal="left"/>
    </xf>
    <xf numFmtId="0" fontId="108" fillId="98" borderId="25" xfId="0" applyFont="1" applyFill="1" applyBorder="1" applyAlignment="1">
      <alignment horizontal="left"/>
    </xf>
    <xf numFmtId="44" fontId="108" fillId="98" borderId="23" xfId="9" applyFont="1" applyFill="1" applyBorder="1" applyAlignment="1">
      <alignment horizontal="center" vertical="center"/>
    </xf>
    <xf numFmtId="44" fontId="108" fillId="98" borderId="25" xfId="9" applyFont="1" applyFill="1" applyBorder="1" applyAlignment="1">
      <alignment horizontal="center" vertical="center"/>
    </xf>
    <xf numFmtId="0" fontId="118" fillId="0" borderId="92" xfId="0" applyFont="1" applyBorder="1" applyAlignment="1">
      <alignment horizontal="center" vertical="center"/>
    </xf>
    <xf numFmtId="0" fontId="107" fillId="100" borderId="23" xfId="0" applyFont="1" applyFill="1" applyBorder="1" applyAlignment="1">
      <alignment horizontal="right" wrapText="1"/>
    </xf>
    <xf numFmtId="0" fontId="107" fillId="100" borderId="24" xfId="0" applyFont="1" applyFill="1" applyBorder="1" applyAlignment="1">
      <alignment horizontal="right" wrapText="1"/>
    </xf>
    <xf numFmtId="0" fontId="107" fillId="100" borderId="25" xfId="0" applyFont="1" applyFill="1" applyBorder="1" applyAlignment="1">
      <alignment horizontal="right" wrapText="1"/>
    </xf>
    <xf numFmtId="0" fontId="141" fillId="98" borderId="23" xfId="0" applyFont="1" applyFill="1" applyBorder="1" applyAlignment="1">
      <alignment horizontal="center" vertical="center" wrapText="1"/>
    </xf>
    <xf numFmtId="0" fontId="141" fillId="98" borderId="24" xfId="0" applyFont="1" applyFill="1" applyBorder="1" applyAlignment="1">
      <alignment horizontal="center" vertical="center" wrapText="1"/>
    </xf>
    <xf numFmtId="0" fontId="141" fillId="98" borderId="25" xfId="0" applyFont="1" applyFill="1" applyBorder="1" applyAlignment="1">
      <alignment horizontal="center" vertical="center" wrapText="1"/>
    </xf>
    <xf numFmtId="0" fontId="117" fillId="0" borderId="0" xfId="0" applyFont="1" applyAlignment="1">
      <alignment horizontal="center" vertical="center"/>
    </xf>
    <xf numFmtId="0" fontId="117" fillId="2" borderId="22" xfId="0" applyFont="1" applyFill="1" applyBorder="1" applyAlignment="1">
      <alignment horizontal="right" vertical="center" wrapText="1"/>
    </xf>
    <xf numFmtId="3" fontId="118" fillId="2" borderId="22" xfId="0" applyNumberFormat="1" applyFont="1" applyFill="1" applyBorder="1" applyAlignment="1">
      <alignment horizontal="right" vertical="center" wrapText="1"/>
    </xf>
    <xf numFmtId="0" fontId="118" fillId="2" borderId="22" xfId="0" applyFont="1" applyFill="1" applyBorder="1" applyAlignment="1">
      <alignment horizontal="right" vertical="center" wrapText="1"/>
    </xf>
    <xf numFmtId="0" fontId="118" fillId="0" borderId="0" xfId="0" applyFont="1" applyAlignment="1">
      <alignment horizontal="center" vertical="center" wrapText="1"/>
    </xf>
    <xf numFmtId="0" fontId="132" fillId="0" borderId="2" xfId="251" applyFont="1" applyBorder="1" applyAlignment="1">
      <alignment horizontal="left" vertical="center"/>
    </xf>
    <xf numFmtId="0" fontId="132" fillId="0" borderId="0" xfId="251" applyFont="1" applyAlignment="1">
      <alignment horizontal="left" vertical="center"/>
    </xf>
    <xf numFmtId="0" fontId="132" fillId="0" borderId="132" xfId="251" applyFont="1" applyBorder="1" applyAlignment="1">
      <alignment horizontal="left" vertical="center"/>
    </xf>
    <xf numFmtId="0" fontId="106" fillId="0" borderId="163" xfId="251" applyFont="1" applyBorder="1" applyAlignment="1">
      <alignment horizontal="left"/>
    </xf>
    <xf numFmtId="0" fontId="106" fillId="0" borderId="170" xfId="251" applyFont="1" applyBorder="1" applyAlignment="1">
      <alignment horizontal="left"/>
    </xf>
    <xf numFmtId="0" fontId="109" fillId="0" borderId="3" xfId="251" applyFont="1" applyBorder="1" applyAlignment="1">
      <alignment horizontal="left" vertical="center"/>
    </xf>
    <xf numFmtId="0" fontId="109" fillId="0" borderId="163" xfId="251" applyFont="1" applyBorder="1" applyAlignment="1">
      <alignment horizontal="left" vertical="center"/>
    </xf>
    <xf numFmtId="0" fontId="109" fillId="0" borderId="164" xfId="251" applyFont="1" applyBorder="1" applyAlignment="1">
      <alignment horizontal="left" vertical="center"/>
    </xf>
    <xf numFmtId="0" fontId="114" fillId="0" borderId="130" xfId="251" applyFont="1" applyBorder="1" applyAlignment="1">
      <alignment horizontal="left" vertical="center" wrapText="1"/>
    </xf>
    <xf numFmtId="0" fontId="114" fillId="0" borderId="130" xfId="251" applyFont="1" applyBorder="1" applyAlignment="1">
      <alignment horizontal="left" vertical="center"/>
    </xf>
    <xf numFmtId="0" fontId="113" fillId="101" borderId="135" xfId="251" applyFont="1" applyFill="1" applyBorder="1" applyAlignment="1">
      <alignment horizontal="right" vertical="center"/>
    </xf>
    <xf numFmtId="0" fontId="115" fillId="100" borderId="0" xfId="251" applyFont="1" applyFill="1" applyAlignment="1">
      <alignment horizontal="center" vertical="center" wrapText="1"/>
    </xf>
    <xf numFmtId="0" fontId="115" fillId="100" borderId="85" xfId="251" applyFont="1" applyFill="1" applyBorder="1" applyAlignment="1">
      <alignment horizontal="center" vertical="center" wrapText="1"/>
    </xf>
    <xf numFmtId="0" fontId="105" fillId="100" borderId="160" xfId="251" applyFont="1" applyFill="1" applyBorder="1" applyAlignment="1">
      <alignment horizontal="center" vertical="center"/>
    </xf>
    <xf numFmtId="0" fontId="105" fillId="100" borderId="102" xfId="251" applyFont="1" applyFill="1" applyBorder="1" applyAlignment="1">
      <alignment horizontal="center" vertical="center"/>
    </xf>
    <xf numFmtId="0" fontId="115" fillId="100" borderId="102" xfId="251" applyFont="1" applyFill="1" applyBorder="1" applyAlignment="1">
      <alignment horizontal="center" wrapText="1"/>
    </xf>
    <xf numFmtId="0" fontId="115" fillId="100" borderId="86" xfId="251" applyFont="1" applyFill="1" applyBorder="1" applyAlignment="1">
      <alignment horizontal="center" wrapText="1"/>
    </xf>
    <xf numFmtId="0" fontId="107" fillId="100" borderId="84" xfId="251" applyFont="1" applyFill="1" applyBorder="1" applyAlignment="1">
      <alignment horizontal="center" vertical="center"/>
    </xf>
    <xf numFmtId="0" fontId="113" fillId="0" borderId="0" xfId="251" applyFont="1" applyAlignment="1">
      <alignment horizontal="center" vertical="center"/>
    </xf>
    <xf numFmtId="0" fontId="113" fillId="0" borderId="131" xfId="251" applyFont="1" applyBorder="1" applyAlignment="1">
      <alignment horizontal="center" vertical="center"/>
    </xf>
    <xf numFmtId="0" fontId="108" fillId="99" borderId="82" xfId="251" applyFont="1" applyFill="1" applyBorder="1" applyAlignment="1">
      <alignment horizontal="left" vertical="center" wrapText="1"/>
    </xf>
    <xf numFmtId="0" fontId="108" fillId="99" borderId="91" xfId="251" applyFont="1" applyFill="1" applyBorder="1" applyAlignment="1">
      <alignment horizontal="left" vertical="center" wrapText="1"/>
    </xf>
    <xf numFmtId="0" fontId="113" fillId="0" borderId="137" xfId="919" applyFont="1" applyBorder="1" applyAlignment="1">
      <alignment horizontal="center" vertical="center" wrapText="1"/>
    </xf>
    <xf numFmtId="0" fontId="113" fillId="0" borderId="158" xfId="919" applyFont="1" applyBorder="1" applyAlignment="1">
      <alignment horizontal="center" vertical="center" wrapText="1"/>
    </xf>
    <xf numFmtId="0" fontId="113" fillId="0" borderId="20" xfId="919" applyFont="1" applyBorder="1" applyAlignment="1">
      <alignment horizontal="center" vertical="center" wrapText="1"/>
    </xf>
    <xf numFmtId="0" fontId="113" fillId="0" borderId="158" xfId="919" applyFont="1" applyBorder="1" applyAlignment="1">
      <alignment horizontal="center" vertical="center"/>
    </xf>
    <xf numFmtId="0" fontId="113" fillId="0" borderId="169" xfId="919" applyFont="1" applyBorder="1" applyAlignment="1">
      <alignment horizontal="center" vertical="center" wrapText="1"/>
    </xf>
    <xf numFmtId="0" fontId="113" fillId="0" borderId="0" xfId="919" applyFont="1" applyFill="1" applyAlignment="1">
      <alignment horizontal="center" vertical="center" wrapText="1"/>
    </xf>
    <xf numFmtId="0" fontId="113" fillId="0" borderId="0" xfId="919" applyFont="1" applyFill="1" applyAlignment="1">
      <alignment horizontal="center" vertical="center"/>
    </xf>
    <xf numFmtId="0" fontId="112" fillId="0" borderId="0" xfId="0" applyFont="1" applyAlignment="1">
      <alignment horizontal="center" vertical="center"/>
    </xf>
    <xf numFmtId="165" fontId="122" fillId="0" borderId="57" xfId="0" applyNumberFormat="1" applyFont="1" applyBorder="1" applyAlignment="1">
      <alignment horizontal="center" vertical="center"/>
    </xf>
    <xf numFmtId="0" fontId="120" fillId="63" borderId="22" xfId="0" applyFont="1" applyFill="1" applyBorder="1" applyAlignment="1">
      <alignment horizontal="center" vertical="center"/>
    </xf>
    <xf numFmtId="165" fontId="125" fillId="100" borderId="92" xfId="2" applyFont="1" applyFill="1" applyBorder="1" applyAlignment="1">
      <alignment horizontal="center" vertical="center"/>
    </xf>
    <xf numFmtId="0" fontId="117" fillId="100" borderId="23" xfId="0" applyFont="1" applyFill="1" applyBorder="1" applyAlignment="1">
      <alignment horizontal="center" vertical="center" wrapText="1"/>
    </xf>
    <xf numFmtId="0" fontId="117" fillId="100" borderId="24" xfId="0" applyFont="1" applyFill="1" applyBorder="1" applyAlignment="1">
      <alignment horizontal="center" vertical="center" wrapText="1"/>
    </xf>
    <xf numFmtId="0" fontId="117" fillId="100" borderId="25" xfId="0" applyFont="1" applyFill="1" applyBorder="1" applyAlignment="1">
      <alignment horizontal="center" vertical="center" wrapText="1"/>
    </xf>
    <xf numFmtId="0" fontId="119" fillId="61" borderId="23" xfId="0" applyFont="1" applyFill="1" applyBorder="1" applyAlignment="1">
      <alignment horizontal="center" vertical="center" wrapText="1"/>
    </xf>
    <xf numFmtId="0" fontId="119" fillId="61" borderId="24" xfId="0" applyFont="1" applyFill="1" applyBorder="1" applyAlignment="1">
      <alignment horizontal="center" vertical="center" wrapText="1"/>
    </xf>
    <xf numFmtId="0" fontId="119" fillId="61" borderId="25" xfId="0" applyFont="1" applyFill="1" applyBorder="1" applyAlignment="1">
      <alignment horizontal="center" vertical="center" wrapText="1"/>
    </xf>
    <xf numFmtId="0" fontId="117" fillId="100" borderId="94" xfId="573" applyFont="1" applyFill="1" applyBorder="1" applyAlignment="1">
      <alignment horizontal="center" vertical="center"/>
    </xf>
    <xf numFmtId="0" fontId="144" fillId="0" borderId="94" xfId="251" applyFont="1" applyBorder="1" applyAlignment="1">
      <alignment horizontal="center" vertical="center"/>
    </xf>
    <xf numFmtId="0" fontId="144" fillId="0" borderId="95" xfId="251" applyFont="1" applyBorder="1" applyAlignment="1">
      <alignment horizontal="center" vertical="center"/>
    </xf>
    <xf numFmtId="0" fontId="117" fillId="100" borderId="133" xfId="573" applyFont="1" applyFill="1" applyBorder="1" applyAlignment="1">
      <alignment horizontal="center" vertical="center"/>
    </xf>
    <xf numFmtId="0" fontId="117" fillId="100" borderId="134" xfId="573" applyFont="1" applyFill="1" applyBorder="1" applyAlignment="1">
      <alignment horizontal="center" vertical="center"/>
    </xf>
    <xf numFmtId="0" fontId="93" fillId="97" borderId="23" xfId="4" applyFont="1" applyFill="1" applyBorder="1" applyAlignment="1">
      <alignment horizontal="right" vertical="center"/>
    </xf>
    <xf numFmtId="0" fontId="93" fillId="97" borderId="24" xfId="4" applyFont="1" applyFill="1" applyBorder="1" applyAlignment="1">
      <alignment horizontal="right" vertical="center"/>
    </xf>
    <xf numFmtId="0" fontId="99" fillId="0" borderId="23" xfId="251" applyFont="1" applyBorder="1" applyAlignment="1">
      <alignment horizontal="center" vertical="center" wrapText="1"/>
    </xf>
    <xf numFmtId="0" fontId="99" fillId="0" borderId="24" xfId="251" applyFont="1" applyBorder="1" applyAlignment="1">
      <alignment horizontal="center" vertical="center" wrapText="1"/>
    </xf>
    <xf numFmtId="0" fontId="99" fillId="0" borderId="25" xfId="251" applyFont="1" applyBorder="1" applyAlignment="1">
      <alignment horizontal="center" vertical="center" wrapText="1"/>
    </xf>
    <xf numFmtId="0" fontId="148" fillId="98" borderId="27" xfId="251" applyFont="1" applyFill="1" applyBorder="1" applyAlignment="1">
      <alignment horizontal="center" vertical="center" wrapText="1"/>
    </xf>
    <xf numFmtId="0" fontId="148" fillId="98" borderId="136" xfId="251" applyFont="1" applyFill="1" applyBorder="1" applyAlignment="1">
      <alignment horizontal="center" vertical="center" wrapText="1"/>
    </xf>
    <xf numFmtId="0" fontId="148" fillId="98" borderId="28" xfId="251" applyFont="1" applyFill="1" applyBorder="1" applyAlignment="1">
      <alignment horizontal="center" vertical="center" wrapText="1"/>
    </xf>
    <xf numFmtId="0" fontId="148" fillId="98" borderId="137" xfId="251" applyFont="1" applyFill="1" applyBorder="1" applyAlignment="1">
      <alignment horizontal="center" vertical="center" wrapText="1"/>
    </xf>
    <xf numFmtId="0" fontId="148" fillId="98" borderId="34" xfId="251" applyFont="1" applyFill="1" applyBorder="1" applyAlignment="1">
      <alignment horizontal="center" vertical="center" wrapText="1"/>
    </xf>
    <xf numFmtId="0" fontId="148" fillId="98" borderId="142" xfId="251" applyFont="1" applyFill="1" applyBorder="1" applyAlignment="1">
      <alignment horizontal="center" vertical="center" wrapText="1"/>
    </xf>
    <xf numFmtId="0" fontId="148" fillId="98" borderId="29" xfId="251" applyFont="1" applyFill="1" applyBorder="1" applyAlignment="1">
      <alignment horizontal="center" vertical="center" wrapText="1"/>
    </xf>
    <xf numFmtId="0" fontId="93" fillId="97" borderId="25" xfId="4" applyFont="1" applyFill="1" applyBorder="1" applyAlignment="1">
      <alignment horizontal="right" vertical="center"/>
    </xf>
    <xf numFmtId="0" fontId="91" fillId="0" borderId="130" xfId="251" applyFont="1" applyBorder="1" applyAlignment="1">
      <alignment horizontal="left" vertical="center"/>
    </xf>
    <xf numFmtId="0" fontId="94" fillId="52" borderId="130" xfId="251" applyFont="1" applyFill="1" applyBorder="1" applyAlignment="1">
      <alignment horizontal="left" wrapText="1"/>
    </xf>
    <xf numFmtId="0" fontId="148" fillId="98" borderId="130" xfId="251" applyFont="1" applyFill="1" applyBorder="1" applyAlignment="1">
      <alignment horizontal="center" vertical="center"/>
    </xf>
    <xf numFmtId="0" fontId="97" fillId="0" borderId="0" xfId="251" applyFont="1" applyAlignment="1">
      <alignment horizontal="center" vertical="center" wrapText="1"/>
    </xf>
    <xf numFmtId="0" fontId="92" fillId="97" borderId="23" xfId="0" applyFont="1" applyFill="1" applyBorder="1" applyAlignment="1">
      <alignment horizontal="right" vertical="center"/>
    </xf>
    <xf numFmtId="0" fontId="92" fillId="97" borderId="24" xfId="0" applyFont="1" applyFill="1" applyBorder="1" applyAlignment="1">
      <alignment horizontal="right" vertical="center"/>
    </xf>
    <xf numFmtId="0" fontId="92" fillId="97" borderId="67" xfId="0" applyFont="1" applyFill="1" applyBorder="1" applyAlignment="1">
      <alignment horizontal="right" vertical="center"/>
    </xf>
    <xf numFmtId="0" fontId="149" fillId="57" borderId="0" xfId="251" applyFont="1" applyFill="1" applyAlignment="1">
      <alignment horizontal="center" vertical="center"/>
    </xf>
    <xf numFmtId="0" fontId="151" fillId="2" borderId="0" xfId="251" applyFont="1" applyFill="1" applyAlignment="1">
      <alignment horizontal="center" vertical="center" wrapText="1"/>
    </xf>
    <xf numFmtId="0" fontId="120" fillId="107" borderId="8" xfId="251" applyFont="1" applyFill="1" applyBorder="1" applyAlignment="1">
      <alignment horizontal="center" vertical="center"/>
    </xf>
    <xf numFmtId="0" fontId="120" fillId="107" borderId="57" xfId="251" applyFont="1" applyFill="1" applyBorder="1" applyAlignment="1">
      <alignment horizontal="center" vertical="center"/>
    </xf>
    <xf numFmtId="10" fontId="116" fillId="0" borderId="0" xfId="358" applyNumberFormat="1" applyFont="1" applyFill="1" applyBorder="1" applyAlignment="1" applyProtection="1">
      <alignment horizontal="center" vertical="center"/>
    </xf>
    <xf numFmtId="10" fontId="128" fillId="105" borderId="3" xfId="358" applyNumberFormat="1" applyFont="1" applyFill="1" applyBorder="1" applyAlignment="1" applyProtection="1">
      <alignment horizontal="center" vertical="center"/>
    </xf>
    <xf numFmtId="10" fontId="128" fillId="105" borderId="163" xfId="358" applyNumberFormat="1" applyFont="1" applyFill="1" applyBorder="1" applyAlignment="1" applyProtection="1">
      <alignment horizontal="center" vertical="center"/>
    </xf>
    <xf numFmtId="10" fontId="146" fillId="98" borderId="3" xfId="358" applyNumberFormat="1" applyFont="1" applyFill="1" applyBorder="1" applyAlignment="1" applyProtection="1">
      <alignment horizontal="center" vertical="center"/>
    </xf>
    <xf numFmtId="10" fontId="146" fillId="98" borderId="163" xfId="358" applyNumberFormat="1" applyFont="1" applyFill="1" applyBorder="1" applyAlignment="1" applyProtection="1">
      <alignment horizontal="center" vertical="center"/>
    </xf>
    <xf numFmtId="10" fontId="118" fillId="58" borderId="169" xfId="358" applyNumberFormat="1" applyFont="1" applyFill="1" applyBorder="1" applyAlignment="1" applyProtection="1">
      <alignment horizontal="center" vertical="center"/>
    </xf>
    <xf numFmtId="10" fontId="118" fillId="58" borderId="20" xfId="358" applyNumberFormat="1" applyFont="1" applyFill="1" applyBorder="1" applyAlignment="1" applyProtection="1">
      <alignment horizontal="center" vertical="center"/>
    </xf>
    <xf numFmtId="0" fontId="152" fillId="53" borderId="0" xfId="251" applyFont="1" applyFill="1" applyAlignment="1">
      <alignment horizontal="center" vertical="center"/>
    </xf>
    <xf numFmtId="10" fontId="128" fillId="105" borderId="159" xfId="358" applyNumberFormat="1" applyFont="1" applyFill="1" applyBorder="1" applyAlignment="1" applyProtection="1">
      <alignment horizontal="center" vertical="center"/>
    </xf>
  </cellXfs>
  <cellStyles count="1163">
    <cellStyle name=" Task]_x000a__x000a_TaskName=Scan At_x000a__x000a_TaskID=3_x000a__x000a_WorkstationName=SmarTone_x000a__x000a_LastExecuted=0_x000a__x000a_LastSt" xfId="14" xr:uid="{00000000-0005-0000-0000-000000000000}"/>
    <cellStyle name=" Task]_x000d__x000a_TaskName=Scan At_x000d__x000a_TaskID=3_x000d__x000a_WorkstationName=SmarTone_x000d__x000a_LastExecuted=0_x000d__x000a_LastSt" xfId="15" xr:uid="{00000000-0005-0000-0000-000001000000}"/>
    <cellStyle name="20% - Accent1" xfId="16" xr:uid="{00000000-0005-0000-0000-000002000000}"/>
    <cellStyle name="20% - Accent1 2" xfId="17" xr:uid="{00000000-0005-0000-0000-000003000000}"/>
    <cellStyle name="20% - Accent2" xfId="18" xr:uid="{00000000-0005-0000-0000-000004000000}"/>
    <cellStyle name="20% - Accent2 2" xfId="19" xr:uid="{00000000-0005-0000-0000-000005000000}"/>
    <cellStyle name="20% - Accent3" xfId="20" xr:uid="{00000000-0005-0000-0000-000006000000}"/>
    <cellStyle name="20% - Accent3 2" xfId="21" xr:uid="{00000000-0005-0000-0000-000007000000}"/>
    <cellStyle name="20% - Accent4" xfId="22" xr:uid="{00000000-0005-0000-0000-000008000000}"/>
    <cellStyle name="20% - Accent4 2" xfId="23" xr:uid="{00000000-0005-0000-0000-000009000000}"/>
    <cellStyle name="20% - Accent5" xfId="24" xr:uid="{00000000-0005-0000-0000-00000A000000}"/>
    <cellStyle name="20% - Accent5 2" xfId="25" xr:uid="{00000000-0005-0000-0000-00000B000000}"/>
    <cellStyle name="20% - Accent6" xfId="26" xr:uid="{00000000-0005-0000-0000-00000C000000}"/>
    <cellStyle name="20% - Accent6 2" xfId="27" xr:uid="{00000000-0005-0000-0000-00000D000000}"/>
    <cellStyle name="20% - Ênfase1" xfId="714" builtinId="30" customBuiltin="1"/>
    <cellStyle name="20% - Ênfase1 2" xfId="28" xr:uid="{00000000-0005-0000-0000-00000E000000}"/>
    <cellStyle name="20% - Ênfase1 2 2" xfId="29" xr:uid="{00000000-0005-0000-0000-00000F000000}"/>
    <cellStyle name="20% - Ênfase1 3" xfId="996" xr:uid="{167CE951-6C58-4E3D-9F7C-41A4121618B7}"/>
    <cellStyle name="20% - Ênfase2" xfId="717" builtinId="34" customBuiltin="1"/>
    <cellStyle name="20% - Ênfase2 2" xfId="30" xr:uid="{00000000-0005-0000-0000-000010000000}"/>
    <cellStyle name="20% - Ênfase2 2 2" xfId="31" xr:uid="{00000000-0005-0000-0000-000011000000}"/>
    <cellStyle name="20% - Ênfase2 3" xfId="998" xr:uid="{51F8F085-0AB5-4AFC-B584-5A997A9A7ED8}"/>
    <cellStyle name="20% - Ênfase3" xfId="720" builtinId="38" customBuiltin="1"/>
    <cellStyle name="20% - Ênfase3 2" xfId="32" xr:uid="{00000000-0005-0000-0000-000012000000}"/>
    <cellStyle name="20% - Ênfase3 2 2" xfId="33" xr:uid="{00000000-0005-0000-0000-000013000000}"/>
    <cellStyle name="20% - Ênfase3 3" xfId="1000" xr:uid="{13A49957-7579-42F9-82D0-4142AEFA8866}"/>
    <cellStyle name="20% - Ênfase4" xfId="723" builtinId="42" customBuiltin="1"/>
    <cellStyle name="20% - Ênfase4 2" xfId="34" xr:uid="{00000000-0005-0000-0000-000014000000}"/>
    <cellStyle name="20% - Ênfase4 2 2" xfId="35" xr:uid="{00000000-0005-0000-0000-000015000000}"/>
    <cellStyle name="20% - Ênfase4 3" xfId="1002" xr:uid="{E9C80346-1417-4BDF-8936-AE6EFAD081D3}"/>
    <cellStyle name="20% - Ênfase5" xfId="726" builtinId="46" customBuiltin="1"/>
    <cellStyle name="20% - Ênfase5 2" xfId="36" xr:uid="{00000000-0005-0000-0000-000016000000}"/>
    <cellStyle name="20% - Ênfase5 2 2" xfId="37" xr:uid="{00000000-0005-0000-0000-000017000000}"/>
    <cellStyle name="20% - Ênfase5 3" xfId="1004" xr:uid="{904F7872-9AC6-46D8-8537-6C6805B0C4C4}"/>
    <cellStyle name="20% - Ênfase6" xfId="729" builtinId="50" customBuiltin="1"/>
    <cellStyle name="20% - Ênfase6 2" xfId="38" xr:uid="{00000000-0005-0000-0000-000018000000}"/>
    <cellStyle name="20% - Ênfase6 2 2" xfId="39" xr:uid="{00000000-0005-0000-0000-000019000000}"/>
    <cellStyle name="20% - Ênfase6 3" xfId="1006" xr:uid="{A5AE4828-0D3A-4CA4-BD8F-CA4EB74E3504}"/>
    <cellStyle name="40% - Accent1" xfId="40" xr:uid="{00000000-0005-0000-0000-00001A000000}"/>
    <cellStyle name="40% - Accent1 2" xfId="41" xr:uid="{00000000-0005-0000-0000-00001B000000}"/>
    <cellStyle name="40% - Accent2" xfId="42" xr:uid="{00000000-0005-0000-0000-00001C000000}"/>
    <cellStyle name="40% - Accent2 2" xfId="43" xr:uid="{00000000-0005-0000-0000-00001D000000}"/>
    <cellStyle name="40% - Accent3" xfId="44" xr:uid="{00000000-0005-0000-0000-00001E000000}"/>
    <cellStyle name="40% - Accent3 2" xfId="45" xr:uid="{00000000-0005-0000-0000-00001F000000}"/>
    <cellStyle name="40% - Accent4" xfId="46" xr:uid="{00000000-0005-0000-0000-000020000000}"/>
    <cellStyle name="40% - Accent4 2" xfId="47" xr:uid="{00000000-0005-0000-0000-000021000000}"/>
    <cellStyle name="40% - Accent5" xfId="48" xr:uid="{00000000-0005-0000-0000-000022000000}"/>
    <cellStyle name="40% - Accent5 2" xfId="49" xr:uid="{00000000-0005-0000-0000-000023000000}"/>
    <cellStyle name="40% - Accent6" xfId="50" xr:uid="{00000000-0005-0000-0000-000024000000}"/>
    <cellStyle name="40% - Accent6 2" xfId="51" xr:uid="{00000000-0005-0000-0000-000025000000}"/>
    <cellStyle name="40% - Ênfase1" xfId="715" builtinId="31" customBuiltin="1"/>
    <cellStyle name="40% - Ênfase1 2" xfId="52" xr:uid="{00000000-0005-0000-0000-000026000000}"/>
    <cellStyle name="40% - Ênfase1 2 2" xfId="53" xr:uid="{00000000-0005-0000-0000-000027000000}"/>
    <cellStyle name="40% - Ênfase1 3" xfId="997" xr:uid="{17F4827B-CBE9-43D5-9583-D5C98C1A189E}"/>
    <cellStyle name="40% - Ênfase2" xfId="718" builtinId="35" customBuiltin="1"/>
    <cellStyle name="40% - Ênfase2 2" xfId="54" xr:uid="{00000000-0005-0000-0000-000028000000}"/>
    <cellStyle name="40% - Ênfase2 2 2" xfId="55" xr:uid="{00000000-0005-0000-0000-000029000000}"/>
    <cellStyle name="40% - Ênfase2 3" xfId="999" xr:uid="{A7061D96-2C3F-4E90-95CE-003A0C94B8DD}"/>
    <cellStyle name="40% - Ênfase3" xfId="721" builtinId="39" customBuiltin="1"/>
    <cellStyle name="40% - Ênfase3 2" xfId="56" xr:uid="{00000000-0005-0000-0000-00002A000000}"/>
    <cellStyle name="40% - Ênfase3 2 2" xfId="57" xr:uid="{00000000-0005-0000-0000-00002B000000}"/>
    <cellStyle name="40% - Ênfase3 3" xfId="1001" xr:uid="{59DFE837-8BE5-4C04-B5AB-66A4362D93EE}"/>
    <cellStyle name="40% - Ênfase4" xfId="724" builtinId="43" customBuiltin="1"/>
    <cellStyle name="40% - Ênfase4 2" xfId="58" xr:uid="{00000000-0005-0000-0000-00002C000000}"/>
    <cellStyle name="40% - Ênfase4 2 2" xfId="59" xr:uid="{00000000-0005-0000-0000-00002D000000}"/>
    <cellStyle name="40% - Ênfase4 3" xfId="1003" xr:uid="{76324EE7-3F44-41FE-9410-9034B5B03702}"/>
    <cellStyle name="40% - Ênfase5" xfId="727" builtinId="47" customBuiltin="1"/>
    <cellStyle name="40% - Ênfase5 2" xfId="60" xr:uid="{00000000-0005-0000-0000-00002E000000}"/>
    <cellStyle name="40% - Ênfase5 2 2" xfId="61" xr:uid="{00000000-0005-0000-0000-00002F000000}"/>
    <cellStyle name="40% - Ênfase5 3" xfId="1005" xr:uid="{98891407-0E5D-441C-AF72-E40996D4E050}"/>
    <cellStyle name="40% - Ênfase6" xfId="730" builtinId="51" customBuiltin="1"/>
    <cellStyle name="40% - Ênfase6 2" xfId="62" xr:uid="{00000000-0005-0000-0000-000030000000}"/>
    <cellStyle name="40% - Ênfase6 2 2" xfId="63" xr:uid="{00000000-0005-0000-0000-000031000000}"/>
    <cellStyle name="40% - Ênfase6 3" xfId="1007" xr:uid="{7117AC3D-0174-48D1-9B4E-CAECC984A188}"/>
    <cellStyle name="60% - Accent1" xfId="64" xr:uid="{00000000-0005-0000-0000-000032000000}"/>
    <cellStyle name="60% - Accent1 2" xfId="65" xr:uid="{00000000-0005-0000-0000-000033000000}"/>
    <cellStyle name="60% - Accent2" xfId="66" xr:uid="{00000000-0005-0000-0000-000034000000}"/>
    <cellStyle name="60% - Accent2 2" xfId="67" xr:uid="{00000000-0005-0000-0000-000035000000}"/>
    <cellStyle name="60% - Accent3" xfId="68" xr:uid="{00000000-0005-0000-0000-000036000000}"/>
    <cellStyle name="60% - Accent3 2" xfId="69" xr:uid="{00000000-0005-0000-0000-000037000000}"/>
    <cellStyle name="60% - Accent4" xfId="70" xr:uid="{00000000-0005-0000-0000-000038000000}"/>
    <cellStyle name="60% - Accent4 2" xfId="71" xr:uid="{00000000-0005-0000-0000-000039000000}"/>
    <cellStyle name="60% - Accent5" xfId="72" xr:uid="{00000000-0005-0000-0000-00003A000000}"/>
    <cellStyle name="60% - Accent5 2" xfId="73" xr:uid="{00000000-0005-0000-0000-00003B000000}"/>
    <cellStyle name="60% - Accent6" xfId="74" xr:uid="{00000000-0005-0000-0000-00003C000000}"/>
    <cellStyle name="60% - Accent6 2" xfId="75" xr:uid="{00000000-0005-0000-0000-00003D000000}"/>
    <cellStyle name="60% - Ênfase1 2" xfId="76" xr:uid="{00000000-0005-0000-0000-00003E000000}"/>
    <cellStyle name="60% - Ênfase1 2 2" xfId="77" xr:uid="{00000000-0005-0000-0000-00003F000000}"/>
    <cellStyle name="60% - Ênfase1 3" xfId="886" xr:uid="{AC2ED281-47B9-475E-A1F7-11095A2C4E57}"/>
    <cellStyle name="60% - Ênfase2 2" xfId="78" xr:uid="{00000000-0005-0000-0000-000040000000}"/>
    <cellStyle name="60% - Ênfase2 2 2" xfId="79" xr:uid="{00000000-0005-0000-0000-000041000000}"/>
    <cellStyle name="60% - Ênfase2 3" xfId="887" xr:uid="{958DB651-DF5F-4268-A890-7DB3694BA792}"/>
    <cellStyle name="60% - Ênfase3 2" xfId="80" xr:uid="{00000000-0005-0000-0000-000042000000}"/>
    <cellStyle name="60% - Ênfase3 2 2" xfId="81" xr:uid="{00000000-0005-0000-0000-000043000000}"/>
    <cellStyle name="60% - Ênfase3 3" xfId="888" xr:uid="{60BB62F5-CB50-4ACA-A276-4864151A427E}"/>
    <cellStyle name="60% - Ênfase4 2" xfId="82" xr:uid="{00000000-0005-0000-0000-000044000000}"/>
    <cellStyle name="60% - Ênfase4 2 2" xfId="83" xr:uid="{00000000-0005-0000-0000-000045000000}"/>
    <cellStyle name="60% - Ênfase4 3" xfId="889" xr:uid="{2C1334F6-8EFD-4A52-A086-3992389DE76F}"/>
    <cellStyle name="60% - Ênfase5 2" xfId="84" xr:uid="{00000000-0005-0000-0000-000046000000}"/>
    <cellStyle name="60% - Ênfase5 2 2" xfId="85" xr:uid="{00000000-0005-0000-0000-000047000000}"/>
    <cellStyle name="60% - Ênfase5 3" xfId="890" xr:uid="{7B518189-73CB-479F-8662-C6AAD83EC945}"/>
    <cellStyle name="60% - Ênfase6 2" xfId="86" xr:uid="{00000000-0005-0000-0000-000048000000}"/>
    <cellStyle name="60% - Ênfase6 2 2" xfId="87" xr:uid="{00000000-0005-0000-0000-000049000000}"/>
    <cellStyle name="60% - Ênfase6 3" xfId="891" xr:uid="{8E115144-B8E6-4C73-8522-B9E7E5243C6D}"/>
    <cellStyle name="Accent1" xfId="88" xr:uid="{00000000-0005-0000-0000-00004A000000}"/>
    <cellStyle name="Accent1 2" xfId="89" xr:uid="{00000000-0005-0000-0000-00004B000000}"/>
    <cellStyle name="Accent2" xfId="90" xr:uid="{00000000-0005-0000-0000-00004C000000}"/>
    <cellStyle name="Accent2 2" xfId="91" xr:uid="{00000000-0005-0000-0000-00004D000000}"/>
    <cellStyle name="Accent3" xfId="92" xr:uid="{00000000-0005-0000-0000-00004E000000}"/>
    <cellStyle name="Accent3 2" xfId="93" xr:uid="{00000000-0005-0000-0000-00004F000000}"/>
    <cellStyle name="Accent4" xfId="94" xr:uid="{00000000-0005-0000-0000-000050000000}"/>
    <cellStyle name="Accent4 2" xfId="95" xr:uid="{00000000-0005-0000-0000-000051000000}"/>
    <cellStyle name="Accent5" xfId="96" xr:uid="{00000000-0005-0000-0000-000052000000}"/>
    <cellStyle name="Accent5 2" xfId="97" xr:uid="{00000000-0005-0000-0000-000053000000}"/>
    <cellStyle name="Accent6" xfId="98" xr:uid="{00000000-0005-0000-0000-000054000000}"/>
    <cellStyle name="Accent6 2" xfId="99" xr:uid="{00000000-0005-0000-0000-000055000000}"/>
    <cellStyle name="Bad" xfId="100" xr:uid="{00000000-0005-0000-0000-000056000000}"/>
    <cellStyle name="Bad 2" xfId="101" xr:uid="{00000000-0005-0000-0000-000057000000}"/>
    <cellStyle name="Beschreibung" xfId="102" xr:uid="{00000000-0005-0000-0000-000058000000}"/>
    <cellStyle name="Bom" xfId="703" builtinId="26" customBuiltin="1"/>
    <cellStyle name="Bom 2" xfId="103" xr:uid="{00000000-0005-0000-0000-000059000000}"/>
    <cellStyle name="Bom 2 2" xfId="104" xr:uid="{00000000-0005-0000-0000-00005A000000}"/>
    <cellStyle name="Calculation" xfId="105" xr:uid="{00000000-0005-0000-0000-00005B000000}"/>
    <cellStyle name="Calculation 2" xfId="106" xr:uid="{00000000-0005-0000-0000-00005C000000}"/>
    <cellStyle name="Calculation 2 2" xfId="742" xr:uid="{F30E2466-0236-4D81-8E22-9B11EFADC2CB}"/>
    <cellStyle name="Calculation 2 2 2" xfId="1018" xr:uid="{7A43C8BF-9ABC-43D9-85BA-7375A763EEA3}"/>
    <cellStyle name="Calculation 2 3" xfId="738" xr:uid="{AD696D42-0117-4A7B-9DE2-756C6F00DDE3}"/>
    <cellStyle name="Calculation 2 3 2" xfId="1014" xr:uid="{E34CF6C6-C185-4667-8E85-DD4C7F100C13}"/>
    <cellStyle name="Calculation 2 4" xfId="926" xr:uid="{BE3DEFB5-FA1E-493A-83F1-7EF4567D0DDD}"/>
    <cellStyle name="Calculation 3" xfId="741" xr:uid="{37A18E81-D603-4C2A-A8D4-7FCEAD85ECCF}"/>
    <cellStyle name="Calculation 3 2" xfId="1017" xr:uid="{CFD42E17-B85E-4FC2-BF01-D607761AE0B4}"/>
    <cellStyle name="Calculation 4" xfId="737" xr:uid="{A08A603B-69D4-4AE2-A52E-7784B60A99A3}"/>
    <cellStyle name="Calculation 4 2" xfId="1013" xr:uid="{721188FE-C587-48CC-A339-840741093F7B}"/>
    <cellStyle name="Calculation 5" xfId="925" xr:uid="{61CE0A84-9A92-4446-A128-084DB81BA1CC}"/>
    <cellStyle name="Cálculo" xfId="707" builtinId="22" customBuiltin="1"/>
    <cellStyle name="Cálculo 2" xfId="107" xr:uid="{00000000-0005-0000-0000-00005D000000}"/>
    <cellStyle name="Cálculo 2 2" xfId="108" xr:uid="{00000000-0005-0000-0000-00005E000000}"/>
    <cellStyle name="Cálculo 2 2 2" xfId="744" xr:uid="{D3E5E9A7-5AC6-4EC7-8261-FB5A9115A3E3}"/>
    <cellStyle name="Cálculo 2 2 2 2" xfId="1020" xr:uid="{C51F58BA-A4AC-439A-A15C-BB5C5AB3A0AF}"/>
    <cellStyle name="Cálculo 2 2 3" xfId="739" xr:uid="{2909E606-E92C-4BE6-896B-4FE76ECF94D0}"/>
    <cellStyle name="Cálculo 2 2 3 2" xfId="1015" xr:uid="{CD12D07F-54D9-4343-A947-6D22AEF7F055}"/>
    <cellStyle name="Cálculo 2 2 4" xfId="928" xr:uid="{8D2B5A26-33B1-4FE1-9C8B-CE30A2AFE190}"/>
    <cellStyle name="Cálculo 2 3" xfId="743" xr:uid="{0C148D37-6DC5-4C01-B8DB-97DAF5F470BE}"/>
    <cellStyle name="Cálculo 2 3 2" xfId="1019" xr:uid="{2853C9AB-FC33-425F-BDFF-A3E436844042}"/>
    <cellStyle name="Cálculo 2 4" xfId="867" xr:uid="{2552467C-174E-4675-8B2D-B25CE509779F}"/>
    <cellStyle name="Cálculo 2 4 2" xfId="1142" xr:uid="{D5CB01B4-1897-4B79-8062-5F63444B913F}"/>
    <cellStyle name="Cálculo 2 5" xfId="927" xr:uid="{122EAB77-CD79-4242-8B5F-D3B6AB5F8CC2}"/>
    <cellStyle name="Cancel" xfId="109" xr:uid="{00000000-0005-0000-0000-00005F000000}"/>
    <cellStyle name="Cancel 2" xfId="900" xr:uid="{B442F96C-2E89-493B-898D-6CD6B6BA1A5D}"/>
    <cellStyle name="Célula de Verificação" xfId="709" builtinId="23" customBuiltin="1"/>
    <cellStyle name="Célula de Verificação 2" xfId="110" xr:uid="{00000000-0005-0000-0000-000060000000}"/>
    <cellStyle name="Célula de Verificação 2 2" xfId="111" xr:uid="{00000000-0005-0000-0000-000061000000}"/>
    <cellStyle name="Célula Vinculada" xfId="708" builtinId="24" customBuiltin="1"/>
    <cellStyle name="Célula Vinculada 2" xfId="112" xr:uid="{00000000-0005-0000-0000-000062000000}"/>
    <cellStyle name="Check Cell" xfId="113" xr:uid="{00000000-0005-0000-0000-000063000000}"/>
    <cellStyle name="Check Cell 2" xfId="114" xr:uid="{00000000-0005-0000-0000-000064000000}"/>
    <cellStyle name="Comma 2" xfId="115" xr:uid="{00000000-0005-0000-0000-000065000000}"/>
    <cellStyle name="Comma 2 2" xfId="116" xr:uid="{00000000-0005-0000-0000-000066000000}"/>
    <cellStyle name="Comma 2 3" xfId="690" xr:uid="{17EAD4E9-9653-4C55-9609-27CECA57A447}"/>
    <cellStyle name="Comma 2 4" xfId="746" xr:uid="{4DFBD5F8-1926-4A66-B626-868AEAC43178}"/>
    <cellStyle name="Comma 2 4 2" xfId="1022" xr:uid="{B3EE94BD-CD15-445B-9DA0-CCC9A58C8464}"/>
    <cellStyle name="Comma 2 5" xfId="929" xr:uid="{EB8B927D-CDDB-44D1-8FFB-56C0771EC80A}"/>
    <cellStyle name="Comma0" xfId="117" xr:uid="{00000000-0005-0000-0000-000067000000}"/>
    <cellStyle name="Comma0 2" xfId="118" xr:uid="{00000000-0005-0000-0000-000068000000}"/>
    <cellStyle name="Comma0 2 2" xfId="119" xr:uid="{00000000-0005-0000-0000-000069000000}"/>
    <cellStyle name="Comma0 3" xfId="120" xr:uid="{00000000-0005-0000-0000-00006A000000}"/>
    <cellStyle name="Currency 2" xfId="121" xr:uid="{00000000-0005-0000-0000-00006B000000}"/>
    <cellStyle name="Currency 2 2" xfId="122" xr:uid="{00000000-0005-0000-0000-00006C000000}"/>
    <cellStyle name="Currency 2 2 2" xfId="123" xr:uid="{00000000-0005-0000-0000-00006D000000}"/>
    <cellStyle name="Currency 2 3" xfId="124" xr:uid="{00000000-0005-0000-0000-00006E000000}"/>
    <cellStyle name="Currency 3" xfId="125" xr:uid="{00000000-0005-0000-0000-00006F000000}"/>
    <cellStyle name="Currency 3 2" xfId="126" xr:uid="{00000000-0005-0000-0000-000070000000}"/>
    <cellStyle name="Currency 3 3" xfId="747" xr:uid="{211DC695-AD05-47AC-A2CC-C8AA67E5496D}"/>
    <cellStyle name="Currency 3 3 2" xfId="1023" xr:uid="{3DAD25EF-7D60-46E9-A554-0A52A635950A}"/>
    <cellStyle name="Currency 3 4" xfId="930" xr:uid="{E535C73F-5302-4541-9BB6-D1610184801E}"/>
    <cellStyle name="Currency0" xfId="127" xr:uid="{00000000-0005-0000-0000-000071000000}"/>
    <cellStyle name="Currency0 2" xfId="128" xr:uid="{00000000-0005-0000-0000-000072000000}"/>
    <cellStyle name="Currency0 2 2" xfId="129" xr:uid="{00000000-0005-0000-0000-000073000000}"/>
    <cellStyle name="Currency0 3" xfId="130" xr:uid="{00000000-0005-0000-0000-000074000000}"/>
    <cellStyle name="Data" xfId="131" xr:uid="{00000000-0005-0000-0000-000075000000}"/>
    <cellStyle name="Data 2" xfId="132" xr:uid="{00000000-0005-0000-0000-000076000000}"/>
    <cellStyle name="Data 2 2" xfId="133" xr:uid="{00000000-0005-0000-0000-000077000000}"/>
    <cellStyle name="Data 3" xfId="134" xr:uid="{00000000-0005-0000-0000-000078000000}"/>
    <cellStyle name="Date" xfId="135" xr:uid="{00000000-0005-0000-0000-000079000000}"/>
    <cellStyle name="Date 2" xfId="136" xr:uid="{00000000-0005-0000-0000-00007A000000}"/>
    <cellStyle name="Date 2 2" xfId="137" xr:uid="{00000000-0005-0000-0000-00007B000000}"/>
    <cellStyle name="Date 3" xfId="138" xr:uid="{00000000-0005-0000-0000-00007C000000}"/>
    <cellStyle name="Ênfase1" xfId="713" builtinId="29" customBuiltin="1"/>
    <cellStyle name="Ênfase1 2" xfId="139" xr:uid="{00000000-0005-0000-0000-00007D000000}"/>
    <cellStyle name="Ênfase1 2 2" xfId="140" xr:uid="{00000000-0005-0000-0000-00007E000000}"/>
    <cellStyle name="Ênfase2" xfId="716" builtinId="33" customBuiltin="1"/>
    <cellStyle name="Ênfase2 2" xfId="141" xr:uid="{00000000-0005-0000-0000-00007F000000}"/>
    <cellStyle name="Ênfase2 2 2" xfId="142" xr:uid="{00000000-0005-0000-0000-000080000000}"/>
    <cellStyle name="Ênfase3" xfId="719" builtinId="37" customBuiltin="1"/>
    <cellStyle name="Ênfase3 2" xfId="143" xr:uid="{00000000-0005-0000-0000-000081000000}"/>
    <cellStyle name="Ênfase3 2 2" xfId="144" xr:uid="{00000000-0005-0000-0000-000082000000}"/>
    <cellStyle name="Ênfase4" xfId="722" builtinId="41" customBuiltin="1"/>
    <cellStyle name="Ênfase4 2" xfId="145" xr:uid="{00000000-0005-0000-0000-000083000000}"/>
    <cellStyle name="Ênfase4 2 2" xfId="146" xr:uid="{00000000-0005-0000-0000-000084000000}"/>
    <cellStyle name="Ênfase5" xfId="725" builtinId="45" customBuiltin="1"/>
    <cellStyle name="Ênfase5 2" xfId="147" xr:uid="{00000000-0005-0000-0000-000085000000}"/>
    <cellStyle name="Ênfase5 2 2" xfId="148" xr:uid="{00000000-0005-0000-0000-000086000000}"/>
    <cellStyle name="Ênfase6" xfId="728" builtinId="49" customBuiltin="1"/>
    <cellStyle name="Ênfase6 2" xfId="149" xr:uid="{00000000-0005-0000-0000-000087000000}"/>
    <cellStyle name="Ênfase6 2 2" xfId="150" xr:uid="{00000000-0005-0000-0000-000088000000}"/>
    <cellStyle name="Ênfase6 2 3" xfId="869" xr:uid="{CF3712A4-861A-4836-A782-3AA32B23CF74}"/>
    <cellStyle name="Entrada" xfId="705" builtinId="20" customBuiltin="1"/>
    <cellStyle name="Entrada 2" xfId="151" xr:uid="{00000000-0005-0000-0000-000089000000}"/>
    <cellStyle name="Entrada 2 2" xfId="152" xr:uid="{00000000-0005-0000-0000-00008A000000}"/>
    <cellStyle name="Entrada 2 2 2" xfId="749" xr:uid="{1A91669F-52C0-4693-B3C7-5CB7DD000B2C}"/>
    <cellStyle name="Entrada 2 2 2 2" xfId="1025" xr:uid="{6B5362AB-A54B-451D-84CD-01CD0155645D}"/>
    <cellStyle name="Entrada 2 2 3" xfId="862" xr:uid="{80332748-E27B-4D34-81AD-14A73AA60874}"/>
    <cellStyle name="Entrada 2 2 3 2" xfId="1138" xr:uid="{1CA123CB-03A6-465C-A0DB-D355A13E2A81}"/>
    <cellStyle name="Entrada 2 2 4" xfId="932" xr:uid="{FE5A20DE-D55F-414E-8C8F-F761DCFB6E29}"/>
    <cellStyle name="Entrada 2 3" xfId="748" xr:uid="{DEE1F772-A4D1-4043-A9EA-EA3C2383A22D}"/>
    <cellStyle name="Entrada 2 3 2" xfId="1024" xr:uid="{781B920B-35F1-4B0F-B74E-974F6779AF45}"/>
    <cellStyle name="Entrada 2 4" xfId="740" xr:uid="{9186AE13-B609-4773-BBCC-17C15B400957}"/>
    <cellStyle name="Entrada 2 4 2" xfId="1016" xr:uid="{5F721C42-1209-4952-9035-FD37B7E7B7E6}"/>
    <cellStyle name="Entrada 2 5" xfId="931" xr:uid="{8870E6B4-C20B-4CC8-8869-4D2B70C43D15}"/>
    <cellStyle name="ESPECM" xfId="153" xr:uid="{00000000-0005-0000-0000-00008B000000}"/>
    <cellStyle name="ESPECM 2" xfId="154" xr:uid="{00000000-0005-0000-0000-00008C000000}"/>
    <cellStyle name="Estilo 1" xfId="155" xr:uid="{00000000-0005-0000-0000-00008D000000}"/>
    <cellStyle name="Estilo 1 2" xfId="156" xr:uid="{00000000-0005-0000-0000-00008E000000}"/>
    <cellStyle name="Estilo 1 3" xfId="157" xr:uid="{00000000-0005-0000-0000-00008F000000}"/>
    <cellStyle name="Euro" xfId="158" xr:uid="{00000000-0005-0000-0000-000090000000}"/>
    <cellStyle name="Euro 2" xfId="159" xr:uid="{00000000-0005-0000-0000-000091000000}"/>
    <cellStyle name="Euro 2 2" xfId="160" xr:uid="{00000000-0005-0000-0000-000092000000}"/>
    <cellStyle name="Euro 3" xfId="161" xr:uid="{00000000-0005-0000-0000-000093000000}"/>
    <cellStyle name="Excel Built-in Normal" xfId="162" xr:uid="{00000000-0005-0000-0000-000094000000}"/>
    <cellStyle name="Explanatory Text" xfId="163" xr:uid="{00000000-0005-0000-0000-000095000000}"/>
    <cellStyle name="Fixed" xfId="164" xr:uid="{00000000-0005-0000-0000-000096000000}"/>
    <cellStyle name="Fixed 2" xfId="165" xr:uid="{00000000-0005-0000-0000-000097000000}"/>
    <cellStyle name="Fixed 2 2" xfId="166" xr:uid="{00000000-0005-0000-0000-000098000000}"/>
    <cellStyle name="Fixed 3" xfId="167" xr:uid="{00000000-0005-0000-0000-000099000000}"/>
    <cellStyle name="Fixo" xfId="168" xr:uid="{00000000-0005-0000-0000-00009A000000}"/>
    <cellStyle name="Fixo 2" xfId="169" xr:uid="{00000000-0005-0000-0000-00009B000000}"/>
    <cellStyle name="Fixo 2 2" xfId="170" xr:uid="{00000000-0005-0000-0000-00009C000000}"/>
    <cellStyle name="Fixo 3" xfId="171" xr:uid="{00000000-0005-0000-0000-00009D000000}"/>
    <cellStyle name="Good" xfId="172" xr:uid="{00000000-0005-0000-0000-00009E000000}"/>
    <cellStyle name="Good 2" xfId="173" xr:uid="{00000000-0005-0000-0000-00009F000000}"/>
    <cellStyle name="Heading 1" xfId="174" xr:uid="{00000000-0005-0000-0000-0000A0000000}"/>
    <cellStyle name="Heading 1 2" xfId="175" xr:uid="{00000000-0005-0000-0000-0000A1000000}"/>
    <cellStyle name="Heading 1 3" xfId="176" xr:uid="{00000000-0005-0000-0000-0000A2000000}"/>
    <cellStyle name="Heading 2" xfId="177" xr:uid="{00000000-0005-0000-0000-0000A3000000}"/>
    <cellStyle name="Heading 2 2" xfId="178" xr:uid="{00000000-0005-0000-0000-0000A4000000}"/>
    <cellStyle name="Heading 2 3" xfId="179" xr:uid="{00000000-0005-0000-0000-0000A5000000}"/>
    <cellStyle name="Heading 3" xfId="180" xr:uid="{00000000-0005-0000-0000-0000A6000000}"/>
    <cellStyle name="Heading 3 2" xfId="750" xr:uid="{DEC971AA-356C-4E10-A929-D25A3FB6D2B8}"/>
    <cellStyle name="Heading 3 2 2" xfId="1026" xr:uid="{99A09776-D88C-43DD-813A-5971D0616502}"/>
    <cellStyle name="Heading 4" xfId="181" xr:uid="{00000000-0005-0000-0000-0000A7000000}"/>
    <cellStyle name="Hiperlink" xfId="574" builtinId="8" hidden="1"/>
    <cellStyle name="Hiperlink" xfId="577" builtinId="8" hidden="1"/>
    <cellStyle name="Hiperlink" xfId="579" builtinId="8" hidden="1"/>
    <cellStyle name="Hiperlink" xfId="581" builtinId="8" hidden="1"/>
    <cellStyle name="Hiperlink" xfId="583" builtinId="8" hidden="1"/>
    <cellStyle name="Hiperlink" xfId="585" builtinId="8" hidden="1"/>
    <cellStyle name="Hiperlink" xfId="587" builtinId="8" hidden="1"/>
    <cellStyle name="Hiperlink" xfId="589" builtinId="8" hidden="1"/>
    <cellStyle name="Hiperlink" xfId="591" builtinId="8" hidden="1"/>
    <cellStyle name="Hiperlink" xfId="593" builtinId="8" hidden="1"/>
    <cellStyle name="Hiperlink" xfId="595" builtinId="8" hidden="1"/>
    <cellStyle name="Hiperlink" xfId="597" builtinId="8" hidden="1"/>
    <cellStyle name="Hiperlink" xfId="599" builtinId="8" hidden="1"/>
    <cellStyle name="Hiperlink" xfId="603" builtinId="8" hidden="1"/>
    <cellStyle name="Hiperlink" xfId="605" builtinId="8" hidden="1"/>
    <cellStyle name="Hiperlink" xfId="607" builtinId="8" hidden="1"/>
    <cellStyle name="Hiperlink" xfId="609" builtinId="8" hidden="1"/>
    <cellStyle name="Hiperlink" xfId="611" builtinId="8" hidden="1"/>
    <cellStyle name="Hiperlink" xfId="613" builtinId="8" hidden="1"/>
    <cellStyle name="Hiperlink" xfId="615" builtinId="8" hidden="1"/>
    <cellStyle name="Hiperlink" xfId="617" builtinId="8" hidden="1"/>
    <cellStyle name="Hiperlink" xfId="619" builtinId="8" hidden="1"/>
    <cellStyle name="Hiperlink" xfId="621" builtinId="8" hidden="1"/>
    <cellStyle name="Hiperlink" xfId="623" builtinId="8" hidden="1"/>
    <cellStyle name="Hiperlink" xfId="625" builtinId="8" hidden="1"/>
    <cellStyle name="Hiperlink" xfId="627" builtinId="8" hidden="1"/>
    <cellStyle name="Hiperlink" xfId="629" builtinId="8" hidden="1"/>
    <cellStyle name="Hiperlink" xfId="631" builtinId="8" hidden="1"/>
    <cellStyle name="Hiperlink" xfId="633" builtinId="8" hidden="1"/>
    <cellStyle name="Hiperlink" xfId="635" builtinId="8" hidden="1"/>
    <cellStyle name="Hiperlink" xfId="637" builtinId="8" hidden="1"/>
    <cellStyle name="Hiperlink" xfId="639" builtinId="8" hidden="1"/>
    <cellStyle name="Hiperlink" xfId="641" builtinId="8" hidden="1"/>
    <cellStyle name="Hiperlink" xfId="643" builtinId="8" hidden="1"/>
    <cellStyle name="Hiperlink" xfId="645" builtinId="8" hidden="1"/>
    <cellStyle name="Hiperlink" xfId="647" builtinId="8" hidden="1"/>
    <cellStyle name="Hiperlink" xfId="649" builtinId="8" hidden="1"/>
    <cellStyle name="Hiperlink" xfId="651" builtinId="8" hidden="1"/>
    <cellStyle name="Hiperlink" xfId="653" builtinId="8" hidden="1"/>
    <cellStyle name="Hiperlink" xfId="655" builtinId="8" hidden="1"/>
    <cellStyle name="Hiperlink" xfId="657" builtinId="8" hidden="1"/>
    <cellStyle name="Hiperlink" xfId="659" builtinId="8" hidden="1"/>
    <cellStyle name="Hiperlink" xfId="661" builtinId="8" hidden="1"/>
    <cellStyle name="Hiperlink" xfId="663" builtinId="8" hidden="1"/>
    <cellStyle name="Hiperlink" xfId="665" builtinId="8" hidden="1"/>
    <cellStyle name="Hiperlink" xfId="667" builtinId="8" hidden="1"/>
    <cellStyle name="Hiperlink" xfId="669" builtinId="8" hidden="1"/>
    <cellStyle name="Hiperlink" xfId="671" builtinId="8" hidden="1"/>
    <cellStyle name="Hiperlink" xfId="919" builtinId="8"/>
    <cellStyle name="Hiperlink 2" xfId="995" xr:uid="{8A7CA96F-C344-446E-AD21-A94EDC163CC0}"/>
    <cellStyle name="Hiperlink Visitado" xfId="575" builtinId="9" hidden="1"/>
    <cellStyle name="Hiperlink Visitado" xfId="578" builtinId="9" hidden="1"/>
    <cellStyle name="Hiperlink Visitado" xfId="580" builtinId="9" hidden="1"/>
    <cellStyle name="Hiperlink Visitado" xfId="582" builtinId="9" hidden="1"/>
    <cellStyle name="Hiperlink Visitado" xfId="584" builtinId="9" hidden="1"/>
    <cellStyle name="Hiperlink Visitado" xfId="586" builtinId="9" hidden="1"/>
    <cellStyle name="Hiperlink Visitado" xfId="588" builtinId="9" hidden="1"/>
    <cellStyle name="Hiperlink Visitado" xfId="590" builtinId="9" hidden="1"/>
    <cellStyle name="Hiperlink Visitado" xfId="592" builtinId="9" hidden="1"/>
    <cellStyle name="Hiperlink Visitado" xfId="594" builtinId="9" hidden="1"/>
    <cellStyle name="Hiperlink Visitado" xfId="596" builtinId="9" hidden="1"/>
    <cellStyle name="Hiperlink Visitado" xfId="598" builtinId="9" hidden="1"/>
    <cellStyle name="Hiperlink Visitado" xfId="600" builtinId="9" hidden="1"/>
    <cellStyle name="Hiperlink Visitado" xfId="604" builtinId="9" hidden="1"/>
    <cellStyle name="Hiperlink Visitado" xfId="606" builtinId="9" hidden="1"/>
    <cellStyle name="Hiperlink Visitado" xfId="608" builtinId="9" hidden="1"/>
    <cellStyle name="Hiperlink Visitado" xfId="610" builtinId="9" hidden="1"/>
    <cellStyle name="Hiperlink Visitado" xfId="612" builtinId="9" hidden="1"/>
    <cellStyle name="Hiperlink Visitado" xfId="614" builtinId="9" hidden="1"/>
    <cellStyle name="Hiperlink Visitado" xfId="616" builtinId="9" hidden="1"/>
    <cellStyle name="Hiperlink Visitado" xfId="618" builtinId="9" hidden="1"/>
    <cellStyle name="Hiperlink Visitado" xfId="620" builtinId="9" hidden="1"/>
    <cellStyle name="Hiperlink Visitado" xfId="622" builtinId="9" hidden="1"/>
    <cellStyle name="Hiperlink Visitado" xfId="624" builtinId="9" hidden="1"/>
    <cellStyle name="Hiperlink Visitado" xfId="626" builtinId="9" hidden="1"/>
    <cellStyle name="Hiperlink Visitado" xfId="628" builtinId="9" hidden="1"/>
    <cellStyle name="Hiperlink Visitado" xfId="630" builtinId="9" hidden="1"/>
    <cellStyle name="Hiperlink Visitado" xfId="632" builtinId="9" hidden="1"/>
    <cellStyle name="Hiperlink Visitado" xfId="634" builtinId="9" hidden="1"/>
    <cellStyle name="Hiperlink Visitado" xfId="636" builtinId="9" hidden="1"/>
    <cellStyle name="Hiperlink Visitado" xfId="638" builtinId="9" hidden="1"/>
    <cellStyle name="Hiperlink Visitado" xfId="640" builtinId="9" hidden="1"/>
    <cellStyle name="Hiperlink Visitado" xfId="642" builtinId="9" hidden="1"/>
    <cellStyle name="Hiperlink Visitado" xfId="644" builtinId="9" hidden="1"/>
    <cellStyle name="Hiperlink Visitado" xfId="646" builtinId="9" hidden="1"/>
    <cellStyle name="Hiperlink Visitado" xfId="648" builtinId="9" hidden="1"/>
    <cellStyle name="Hiperlink Visitado" xfId="650" builtinId="9" hidden="1"/>
    <cellStyle name="Hiperlink Visitado" xfId="652" builtinId="9" hidden="1"/>
    <cellStyle name="Hiperlink Visitado" xfId="654" builtinId="9" hidden="1"/>
    <cellStyle name="Hiperlink Visitado" xfId="656" builtinId="9" hidden="1"/>
    <cellStyle name="Hiperlink Visitado" xfId="658" builtinId="9" hidden="1"/>
    <cellStyle name="Hiperlink Visitado" xfId="660" builtinId="9" hidden="1"/>
    <cellStyle name="Hiperlink Visitado" xfId="662" builtinId="9" hidden="1"/>
    <cellStyle name="Hiperlink Visitado" xfId="664" builtinId="9" hidden="1"/>
    <cellStyle name="Hiperlink Visitado" xfId="666" builtinId="9" hidden="1"/>
    <cellStyle name="Hiperlink Visitado" xfId="668" builtinId="9" hidden="1"/>
    <cellStyle name="Hiperlink Visitado" xfId="670" builtinId="9" hidden="1"/>
    <cellStyle name="Hiperlink Visitado" xfId="672" builtinId="9" hidden="1"/>
    <cellStyle name="Hyperlink 2" xfId="182" xr:uid="{00000000-0005-0000-0000-000008010000}"/>
    <cellStyle name="Incorreto 2" xfId="183" xr:uid="{00000000-0005-0000-0000-000009010000}"/>
    <cellStyle name="Incorreto 2 2" xfId="184" xr:uid="{00000000-0005-0000-0000-00000A010000}"/>
    <cellStyle name="Indefinido" xfId="185" xr:uid="{00000000-0005-0000-0000-00000B010000}"/>
    <cellStyle name="Indefinido 2" xfId="186" xr:uid="{00000000-0005-0000-0000-00000C010000}"/>
    <cellStyle name="Input" xfId="187" xr:uid="{00000000-0005-0000-0000-00000D010000}"/>
    <cellStyle name="Input 2" xfId="188" xr:uid="{00000000-0005-0000-0000-00000E010000}"/>
    <cellStyle name="Input 2 2" xfId="752" xr:uid="{4CF486BA-C8D6-45DA-8B34-02A99F330D00}"/>
    <cellStyle name="Input 2 2 2" xfId="1028" xr:uid="{55F8897A-8BC2-4A69-9999-4E6D59F05741}"/>
    <cellStyle name="Input 2 3" xfId="866" xr:uid="{677C17AC-2F8A-4A4D-83A3-DC283A25B71D}"/>
    <cellStyle name="Input 2 3 2" xfId="1141" xr:uid="{73BAA3B7-94DB-4176-9960-EE5DD251FDB9}"/>
    <cellStyle name="Input 2 4" xfId="934" xr:uid="{AF6FAD2F-F123-4C64-9363-76719BD4A7BD}"/>
    <cellStyle name="Input 3" xfId="751" xr:uid="{1FC8AEEE-D3A9-4167-88BE-9B69F92E8D3E}"/>
    <cellStyle name="Input 3 2" xfId="1027" xr:uid="{ECD95A0E-84A0-48D7-9822-99FC9197D61A}"/>
    <cellStyle name="Input 4" xfId="745" xr:uid="{A8C10DA7-1830-4895-8F8D-10FF26C07A98}"/>
    <cellStyle name="Input 4 2" xfId="1021" xr:uid="{204DEB54-346A-4D9D-A305-312D71EFDBEA}"/>
    <cellStyle name="Input 5" xfId="933" xr:uid="{E96F2207-8016-45CC-806A-11FFA3171D8B}"/>
    <cellStyle name="Kostnadskalkyl" xfId="189" xr:uid="{00000000-0005-0000-0000-00000F010000}"/>
    <cellStyle name="Kurs" xfId="190" xr:uid="{00000000-0005-0000-0000-000010010000}"/>
    <cellStyle name="Kurs 2" xfId="191" xr:uid="{00000000-0005-0000-0000-000011010000}"/>
    <cellStyle name="Linked Cell" xfId="192" xr:uid="{00000000-0005-0000-0000-000012010000}"/>
    <cellStyle name="material" xfId="193" xr:uid="{00000000-0005-0000-0000-000013010000}"/>
    <cellStyle name="material 2" xfId="194" xr:uid="{00000000-0005-0000-0000-000014010000}"/>
    <cellStyle name="mendes" xfId="195" xr:uid="{00000000-0005-0000-0000-000015010000}"/>
    <cellStyle name="mendes 2" xfId="196" xr:uid="{00000000-0005-0000-0000-000016010000}"/>
    <cellStyle name="Millares_Tunel prospección - partidas" xfId="197" xr:uid="{00000000-0005-0000-0000-000017010000}"/>
    <cellStyle name="Moeda" xfId="9" builtinId="4"/>
    <cellStyle name="Moeda [0] 2" xfId="198" xr:uid="{00000000-0005-0000-0000-000019010000}"/>
    <cellStyle name="Moeda [0] 2 2" xfId="199" xr:uid="{00000000-0005-0000-0000-00001A010000}"/>
    <cellStyle name="Moeda 10" xfId="200" xr:uid="{00000000-0005-0000-0000-00001B010000}"/>
    <cellStyle name="Moeda 10 2" xfId="201" xr:uid="{00000000-0005-0000-0000-00001C010000}"/>
    <cellStyle name="Moeda 10 3" xfId="753" xr:uid="{5AC2B7CF-6FC6-4977-8954-2F516281530C}"/>
    <cellStyle name="Moeda 10 3 2" xfId="1029" xr:uid="{0F557D67-9364-4942-92C2-2EAA7AD44048}"/>
    <cellStyle name="Moeda 11" xfId="202" xr:uid="{00000000-0005-0000-0000-00001D010000}"/>
    <cellStyle name="Moeda 11 2" xfId="203" xr:uid="{00000000-0005-0000-0000-00001E010000}"/>
    <cellStyle name="Moeda 12" xfId="204" xr:uid="{00000000-0005-0000-0000-00001F010000}"/>
    <cellStyle name="Moeda 12 2" xfId="679" xr:uid="{C5799379-1DFC-4CDA-9D7B-AF51663DEC32}"/>
    <cellStyle name="Moeda 13" xfId="205" xr:uid="{00000000-0005-0000-0000-000020010000}"/>
    <cellStyle name="Moeda 13 2" xfId="754" xr:uid="{3EC4BC85-5882-4ED2-BCF4-50FD649CB998}"/>
    <cellStyle name="Moeda 13 2 2" xfId="1030" xr:uid="{1B002777-20D1-42E7-A021-00F7E548F2C0}"/>
    <cellStyle name="Moeda 13 3" xfId="935" xr:uid="{0C943B2F-25C2-4F84-B818-ACC296F98C1F}"/>
    <cellStyle name="Moeda 14" xfId="206" xr:uid="{00000000-0005-0000-0000-000021010000}"/>
    <cellStyle name="Moeda 14 2" xfId="755" xr:uid="{47F0FCA1-7B6A-40AC-98BE-F0EAA9D275DA}"/>
    <cellStyle name="Moeda 14 2 2" xfId="1031" xr:uid="{50FDE0BD-489D-486A-9F9F-2B375BA69C04}"/>
    <cellStyle name="Moeda 14 3" xfId="936" xr:uid="{449DDB27-6952-43BF-96C5-AED10D21C979}"/>
    <cellStyle name="Moeda 15" xfId="207" xr:uid="{00000000-0005-0000-0000-000022010000}"/>
    <cellStyle name="Moeda 16" xfId="602" xr:uid="{00000000-0005-0000-0000-000023010000}"/>
    <cellStyle name="Moeda 16 2" xfId="860" xr:uid="{956E079B-50B2-40F1-BB95-6B7452438C98}"/>
    <cellStyle name="Moeda 16 2 2" xfId="1136" xr:uid="{0920184A-7997-4753-88C2-EC6B0C24AB30}"/>
    <cellStyle name="Moeda 16 3" xfId="978" xr:uid="{98C6CC91-15EA-4B40-A128-EBC982B5724F}"/>
    <cellStyle name="Moeda 17" xfId="673" xr:uid="{00000000-0005-0000-0000-000024010000}"/>
    <cellStyle name="Moeda 17 2" xfId="864" xr:uid="{85EB00F4-448A-4D2B-BD8F-BE8C12FC8DBD}"/>
    <cellStyle name="Moeda 17 2 2" xfId="1139" xr:uid="{7F411931-72D4-45D2-8BAA-068DB4E3BE77}"/>
    <cellStyle name="Moeda 17 3" xfId="979" xr:uid="{FF7C9780-A84D-4738-911F-591206DA701C}"/>
    <cellStyle name="Moeda 18" xfId="681" xr:uid="{B2653789-C594-451E-B590-CC686B766B6B}"/>
    <cellStyle name="Moeda 18 2" xfId="895" xr:uid="{4AD5ED19-7349-4840-9ECE-586BC1A3DED3}"/>
    <cellStyle name="Moeda 18 2 2" xfId="1150" xr:uid="{EA02DE6A-C118-4B25-8364-9B5F87FEE063}"/>
    <cellStyle name="Moeda 18 3" xfId="985" xr:uid="{F9B980B8-F7A1-4251-BF2B-F8D6A27E2976}"/>
    <cellStyle name="Moeda 19" xfId="896" xr:uid="{51EF6870-686F-4BF3-BF89-1706C3F14923}"/>
    <cellStyle name="Moeda 19 2" xfId="1151" xr:uid="{7FD6DD22-8235-4AD1-A27D-9588C9E3B35A}"/>
    <cellStyle name="Moeda 2" xfId="12" xr:uid="{00000000-0005-0000-0000-000025010000}"/>
    <cellStyle name="Moeda 2 2" xfId="208" xr:uid="{00000000-0005-0000-0000-000026010000}"/>
    <cellStyle name="Moeda 2 2 2" xfId="209" xr:uid="{00000000-0005-0000-0000-000027010000}"/>
    <cellStyle name="Moeda 2 2 2 2" xfId="210" xr:uid="{00000000-0005-0000-0000-000028010000}"/>
    <cellStyle name="Moeda 2 2 3" xfId="211" xr:uid="{00000000-0005-0000-0000-000029010000}"/>
    <cellStyle name="Moeda 2 2 3 2" xfId="212" xr:uid="{00000000-0005-0000-0000-00002A010000}"/>
    <cellStyle name="Moeda 2 2 4" xfId="213" xr:uid="{00000000-0005-0000-0000-00002B010000}"/>
    <cellStyle name="Moeda 2 3" xfId="214" xr:uid="{00000000-0005-0000-0000-00002C010000}"/>
    <cellStyle name="Moeda 2 3 2" xfId="215" xr:uid="{00000000-0005-0000-0000-00002D010000}"/>
    <cellStyle name="Moeda 2 4" xfId="216" xr:uid="{00000000-0005-0000-0000-00002E010000}"/>
    <cellStyle name="Moeda 2 5" xfId="217" xr:uid="{00000000-0005-0000-0000-00002F010000}"/>
    <cellStyle name="Moeda 2 6" xfId="678" xr:uid="{DB129D95-71E3-4A36-9751-9AAEE182F24C}"/>
    <cellStyle name="Moeda 2 6 2" xfId="892" xr:uid="{3DF36C3A-79AD-4052-9D5D-EEA4CF4B3964}"/>
    <cellStyle name="Moeda 2 6 3" xfId="983" xr:uid="{D6C487E6-086C-4A5F-ADAD-BF8623C23064}"/>
    <cellStyle name="Moeda 2 7" xfId="736" xr:uid="{92899767-2DF4-4B81-85B9-F2468E1C3F7A}"/>
    <cellStyle name="Moeda 2 7 2" xfId="1012" xr:uid="{85960A9E-4C21-48E5-8A79-52CBC6345C18}"/>
    <cellStyle name="Moeda 2 8" xfId="924" xr:uid="{EC2E409B-18C9-4C64-9A17-42895B6B25D0}"/>
    <cellStyle name="Moeda 2_LY-0101-001111-011 Revisao B - QQP e Anexos SDC 1586065" xfId="218" xr:uid="{00000000-0005-0000-0000-000030010000}"/>
    <cellStyle name="Moeda 20" xfId="733" xr:uid="{45D8BE0A-4691-4152-AD09-F61EEAAC221C}"/>
    <cellStyle name="Moeda 20 2" xfId="1009" xr:uid="{6B68B790-D7B2-4B62-A62B-E7F27B151572}"/>
    <cellStyle name="Moeda 21" xfId="861" xr:uid="{9F5A7D0D-F48E-495D-AB02-893F5ECEBFCC}"/>
    <cellStyle name="Moeda 21 2" xfId="1137" xr:uid="{77270A70-9527-4EB5-B1B7-2B057B382812}"/>
    <cellStyle name="Moeda 22" xfId="897" xr:uid="{9595AA63-1ADF-4388-81D8-C43629117892}"/>
    <cellStyle name="Moeda 22 2" xfId="1152" xr:uid="{94933546-1271-464B-B1DC-0B77AB4F4485}"/>
    <cellStyle name="Moeda 23" xfId="922" xr:uid="{E5C329AB-40FA-46B2-8FC8-63C453319C3C}"/>
    <cellStyle name="Moeda 3" xfId="219" xr:uid="{00000000-0005-0000-0000-000031010000}"/>
    <cellStyle name="Moeda 3 2" xfId="220" xr:uid="{00000000-0005-0000-0000-000032010000}"/>
    <cellStyle name="Moeda 4" xfId="221" xr:uid="{00000000-0005-0000-0000-000033010000}"/>
    <cellStyle name="Moeda 4 2" xfId="222" xr:uid="{00000000-0005-0000-0000-000034010000}"/>
    <cellStyle name="Moeda 4 3" xfId="223" xr:uid="{00000000-0005-0000-0000-000035010000}"/>
    <cellStyle name="Moeda 4 4" xfId="224" xr:uid="{00000000-0005-0000-0000-000036010000}"/>
    <cellStyle name="Moeda 4_QQP TERRAPLENAGEM PAVIMENTAÇÃO DIOC REV.02" xfId="225" xr:uid="{00000000-0005-0000-0000-000037010000}"/>
    <cellStyle name="Moeda 5" xfId="226" xr:uid="{00000000-0005-0000-0000-000038010000}"/>
    <cellStyle name="Moeda 5 2" xfId="227" xr:uid="{00000000-0005-0000-0000-000039010000}"/>
    <cellStyle name="Moeda 5 3" xfId="228" xr:uid="{00000000-0005-0000-0000-00003A010000}"/>
    <cellStyle name="Moeda 5 4" xfId="756" xr:uid="{60E64AA8-E5FC-4C7D-8A2F-20669EEF5439}"/>
    <cellStyle name="Moeda 5 4 2" xfId="1032" xr:uid="{036B28FC-ED5D-43C9-B17F-748995F8F6A1}"/>
    <cellStyle name="Moeda 6" xfId="229" xr:uid="{00000000-0005-0000-0000-00003B010000}"/>
    <cellStyle name="Moeda 6 2" xfId="230" xr:uid="{00000000-0005-0000-0000-00003C010000}"/>
    <cellStyle name="Moeda 7" xfId="231" xr:uid="{00000000-0005-0000-0000-00003D010000}"/>
    <cellStyle name="Moeda 7 2" xfId="232" xr:uid="{00000000-0005-0000-0000-00003E010000}"/>
    <cellStyle name="Moeda 7 3" xfId="757" xr:uid="{959529EA-8162-435A-9DB5-0B9C896B571B}"/>
    <cellStyle name="Moeda 7 3 2" xfId="1033" xr:uid="{E7172EC6-6A6D-4FFD-9117-C0132BBC7D22}"/>
    <cellStyle name="Moeda 8" xfId="233" xr:uid="{00000000-0005-0000-0000-00003F010000}"/>
    <cellStyle name="Moeda 8 2" xfId="234" xr:uid="{00000000-0005-0000-0000-000040010000}"/>
    <cellStyle name="Moeda 8 3" xfId="758" xr:uid="{10330D1E-118F-47A9-8661-EA168364D7D9}"/>
    <cellStyle name="Moeda 8 3 2" xfId="1034" xr:uid="{024EF0BD-AB74-463D-BBFD-A185F5A2439B}"/>
    <cellStyle name="Moeda 9" xfId="235" xr:uid="{00000000-0005-0000-0000-000041010000}"/>
    <cellStyle name="Moeda 9 2" xfId="236" xr:uid="{00000000-0005-0000-0000-000042010000}"/>
    <cellStyle name="Moeda 9 3" xfId="759" xr:uid="{F2B8CCB3-8318-4C1A-B5C7-4A90AD5D11EA}"/>
    <cellStyle name="Moeda 9 3 2" xfId="1035" xr:uid="{959FB363-A3A3-4EF6-BFB1-1C64C39AC6D1}"/>
    <cellStyle name="mpenho" xfId="237" xr:uid="{00000000-0005-0000-0000-000043010000}"/>
    <cellStyle name="mpenho 2" xfId="238" xr:uid="{00000000-0005-0000-0000-000044010000}"/>
    <cellStyle name="Neutra 2" xfId="239" xr:uid="{00000000-0005-0000-0000-000045010000}"/>
    <cellStyle name="Neutra 2 2" xfId="240" xr:uid="{00000000-0005-0000-0000-000046010000}"/>
    <cellStyle name="Neutral" xfId="241" xr:uid="{00000000-0005-0000-0000-000047010000}"/>
    <cellStyle name="Neutral 2" xfId="242" xr:uid="{00000000-0005-0000-0000-000048010000}"/>
    <cellStyle name="Neutro 2" xfId="884" xr:uid="{FA536C18-4CD7-439B-8B5C-A8E7EB272074}"/>
    <cellStyle name="Normal" xfId="0" builtinId="0"/>
    <cellStyle name="Normal - Estilo1" xfId="243" xr:uid="{00000000-0005-0000-0000-00004A010000}"/>
    <cellStyle name="Normal - Estilo2" xfId="244" xr:uid="{00000000-0005-0000-0000-00004B010000}"/>
    <cellStyle name="Normal - Estilo3" xfId="245" xr:uid="{00000000-0005-0000-0000-00004C010000}"/>
    <cellStyle name="Normal - Estilo4" xfId="246" xr:uid="{00000000-0005-0000-0000-00004D010000}"/>
    <cellStyle name="Normal - Estilo5" xfId="247" xr:uid="{00000000-0005-0000-0000-00004E010000}"/>
    <cellStyle name="Normal - Estilo6" xfId="248" xr:uid="{00000000-0005-0000-0000-00004F010000}"/>
    <cellStyle name="Normal - Estilo7" xfId="249" xr:uid="{00000000-0005-0000-0000-000050010000}"/>
    <cellStyle name="Normal - Estilo8" xfId="250" xr:uid="{00000000-0005-0000-0000-000051010000}"/>
    <cellStyle name="Normal 10" xfId="251" xr:uid="{00000000-0005-0000-0000-000052010000}"/>
    <cellStyle name="Normal 10 2 2 5" xfId="914" xr:uid="{491B8E5B-2335-4264-A212-22C640961EFB}"/>
    <cellStyle name="Normal 11" xfId="252" xr:uid="{00000000-0005-0000-0000-000053010000}"/>
    <cellStyle name="Normal 11 2" xfId="253" xr:uid="{00000000-0005-0000-0000-000054010000}"/>
    <cellStyle name="Normal 11 2 2" xfId="254" xr:uid="{00000000-0005-0000-0000-000055010000}"/>
    <cellStyle name="Normal 11 2 3" xfId="255" xr:uid="{00000000-0005-0000-0000-000056010000}"/>
    <cellStyle name="Normal 12" xfId="256" xr:uid="{00000000-0005-0000-0000-000057010000}"/>
    <cellStyle name="Normal 12 2" xfId="257" xr:uid="{00000000-0005-0000-0000-000058010000}"/>
    <cellStyle name="Normal 12 3" xfId="760" xr:uid="{5A1C5193-6D73-43AF-BB87-2A13F5CAD48B}"/>
    <cellStyle name="Normal 12 3 2" xfId="1036" xr:uid="{67CE4DAF-0C10-4A22-B429-93CB8BF5734D}"/>
    <cellStyle name="Normal 12 4" xfId="937" xr:uid="{AA0699FC-03CE-4288-8CE4-E7B93F4E1364}"/>
    <cellStyle name="Normal 13" xfId="258" xr:uid="{00000000-0005-0000-0000-000059010000}"/>
    <cellStyle name="Normal 13 2" xfId="259" xr:uid="{00000000-0005-0000-0000-00005A010000}"/>
    <cellStyle name="Normal 13 3" xfId="601" xr:uid="{00000000-0005-0000-0000-00005B010000}"/>
    <cellStyle name="Normal 13 4" xfId="689" xr:uid="{2CA417DD-9731-41AD-BE09-48B180D6DC0F}"/>
    <cellStyle name="Normal 13 5" xfId="761" xr:uid="{AE665DA7-10FB-4E96-9BB4-06F2B70E15CB}"/>
    <cellStyle name="Normal 13 5 2" xfId="1037" xr:uid="{317558E5-965F-404E-902E-31F3883C8762}"/>
    <cellStyle name="Normal 13 6" xfId="938" xr:uid="{3C3BB0D7-7A45-4B83-AC1C-D806E6C2DFDB}"/>
    <cellStyle name="Normal 14" xfId="260" xr:uid="{00000000-0005-0000-0000-00005C010000}"/>
    <cellStyle name="Normal 14 2" xfId="261" xr:uid="{00000000-0005-0000-0000-00005D010000}"/>
    <cellStyle name="Normal 14 3" xfId="762" xr:uid="{1110812D-0DE9-4625-8A49-68764905F766}"/>
    <cellStyle name="Normal 14 3 2" xfId="1038" xr:uid="{4B677F67-06CD-49CE-B604-91C9ECB14815}"/>
    <cellStyle name="Normal 14 4" xfId="939" xr:uid="{9CCDABB5-447C-433B-BD24-2DAB2FF5091E}"/>
    <cellStyle name="Normal 15" xfId="262" xr:uid="{00000000-0005-0000-0000-00005E010000}"/>
    <cellStyle name="Normal 15 2" xfId="263" xr:uid="{00000000-0005-0000-0000-00005F010000}"/>
    <cellStyle name="Normal 15 3" xfId="764" xr:uid="{FADBA9DA-4768-4249-A596-A905522272EE}"/>
    <cellStyle name="Normal 15 3 2" xfId="1040" xr:uid="{4F3ADA8F-F9AB-4E4A-953C-D33441E5F64B}"/>
    <cellStyle name="Normal 15 4" xfId="940" xr:uid="{E2AC1476-70AD-4C4D-9CB1-3F3725325CB7}"/>
    <cellStyle name="Normal 16" xfId="264" xr:uid="{00000000-0005-0000-0000-000060010000}"/>
    <cellStyle name="Normal 16 2" xfId="265" xr:uid="{00000000-0005-0000-0000-000061010000}"/>
    <cellStyle name="Normal 16 3" xfId="766" xr:uid="{65DEBA3F-466A-4ADB-AF0C-3C370BB85EB6}"/>
    <cellStyle name="Normal 16 3 2" xfId="1042" xr:uid="{9D808050-2488-45D7-A886-9A68F04FD398}"/>
    <cellStyle name="Normal 16 4" xfId="941" xr:uid="{23FCDC6F-5EA7-4DE4-B880-134D7CA7C1CE}"/>
    <cellStyle name="Normal 17" xfId="266" xr:uid="{00000000-0005-0000-0000-000062010000}"/>
    <cellStyle name="Normal 17 2" xfId="267" xr:uid="{00000000-0005-0000-0000-000063010000}"/>
    <cellStyle name="Normal 17 3" xfId="768" xr:uid="{580E17FA-EB72-4A86-86CC-2A1C11E735A1}"/>
    <cellStyle name="Normal 17 3 2" xfId="1044" xr:uid="{A1BDD225-11BF-4808-A6C0-BB9EAA66DAFA}"/>
    <cellStyle name="Normal 17 4" xfId="942" xr:uid="{A581C4F0-74F8-4353-B264-7B8159BBB63A}"/>
    <cellStyle name="Normal 18" xfId="268" xr:uid="{00000000-0005-0000-0000-000064010000}"/>
    <cellStyle name="Normal 18 2" xfId="269" xr:uid="{00000000-0005-0000-0000-000065010000}"/>
    <cellStyle name="Normal 18 3" xfId="770" xr:uid="{90DCBF17-53DF-4D6A-AB88-7FB78E69CD76}"/>
    <cellStyle name="Normal 18 3 2" xfId="1046" xr:uid="{9809ADD7-9507-48D7-98E0-085365DF884B}"/>
    <cellStyle name="Normal 18 4" xfId="943" xr:uid="{E944EA8A-0C2E-40E7-BBEE-4475B4BE90E3}"/>
    <cellStyle name="Normal 19" xfId="270" xr:uid="{00000000-0005-0000-0000-000066010000}"/>
    <cellStyle name="Normal 19 2" xfId="271" xr:uid="{00000000-0005-0000-0000-000067010000}"/>
    <cellStyle name="Normal 19 3" xfId="772" xr:uid="{1BB4F370-94CC-462F-825C-436B2FB90CC0}"/>
    <cellStyle name="Normal 19 3 2" xfId="1048" xr:uid="{1156169D-F136-4A16-8468-AE58A918B337}"/>
    <cellStyle name="Normal 19 4" xfId="944" xr:uid="{BFC57A6F-8E3A-4B0D-ADDF-CE79196E5FAD}"/>
    <cellStyle name="Normal 2" xfId="10" xr:uid="{00000000-0005-0000-0000-000068010000}"/>
    <cellStyle name="Normal 2 2" xfId="272" xr:uid="{00000000-0005-0000-0000-000069010000}"/>
    <cellStyle name="Normal 2 2 2" xfId="273" xr:uid="{00000000-0005-0000-0000-00006A010000}"/>
    <cellStyle name="Normal 2 2 2 2" xfId="274" xr:uid="{00000000-0005-0000-0000-00006B010000}"/>
    <cellStyle name="Normal 2 2 2 3" xfId="275" xr:uid="{00000000-0005-0000-0000-00006C010000}"/>
    <cellStyle name="Normal 2 2 2 4" xfId="276" xr:uid="{00000000-0005-0000-0000-00006D010000}"/>
    <cellStyle name="Normal 2 2 3" xfId="277" xr:uid="{00000000-0005-0000-0000-00006E010000}"/>
    <cellStyle name="Normal 2 2 4" xfId="278" xr:uid="{00000000-0005-0000-0000-00006F010000}"/>
    <cellStyle name="Normal 2 2 5" xfId="279" xr:uid="{00000000-0005-0000-0000-000070010000}"/>
    <cellStyle name="Normal 2 3" xfId="4" xr:uid="{00000000-0005-0000-0000-000071010000}"/>
    <cellStyle name="Normal 2 3 2" xfId="684" xr:uid="{62B30266-71CE-4437-A6B0-5AA0911839E5}"/>
    <cellStyle name="Normal 2 3 2 2" xfId="697" xr:uid="{B0D6B2E3-E9D2-4267-A277-C834B2676256}"/>
    <cellStyle name="Normal 2 3 2 2 2" xfId="993" xr:uid="{059975F9-D6DC-4787-B898-AD03A9630211}"/>
    <cellStyle name="Normal 2 3 2 3" xfId="987" xr:uid="{541FD3D6-04C8-4AC1-9FAF-93E6D782A8F7}"/>
    <cellStyle name="Normal 2 3 3" xfId="694" xr:uid="{82B49461-047B-4009-A4F6-32AA75F19FD5}"/>
    <cellStyle name="Normal 2 3 3 2" xfId="990" xr:uid="{D616B44E-49A6-4ED7-AE89-88B20D833D3D}"/>
    <cellStyle name="Normal 2 4" xfId="280" xr:uid="{00000000-0005-0000-0000-000072010000}"/>
    <cellStyle name="Normal 2 4 2" xfId="698" xr:uid="{0B574039-9C47-4278-AC36-4458559403A9}"/>
    <cellStyle name="Normal 2 4 2 2" xfId="994" xr:uid="{D9971400-8D46-4182-8D5F-EBC86BAEA389}"/>
    <cellStyle name="Normal 2 4 3" xfId="695" xr:uid="{C4B3015A-0F8C-4196-B8AA-D20D04D72CDC}"/>
    <cellStyle name="Normal 2 4 3 2" xfId="991" xr:uid="{94EC5F9F-E78F-44DA-B30E-A7C33EC5C4E2}"/>
    <cellStyle name="Normal 2 47" xfId="911" xr:uid="{7F9FB260-C983-46B1-8E8C-330E58A2BF7A}"/>
    <cellStyle name="Normal 2 5" xfId="281" xr:uid="{00000000-0005-0000-0000-000073010000}"/>
    <cellStyle name="Normal 2 6" xfId="282" xr:uid="{00000000-0005-0000-0000-000074010000}"/>
    <cellStyle name="Normal 2 7" xfId="283" xr:uid="{00000000-0005-0000-0000-000075010000}"/>
    <cellStyle name="Normal 2 8" xfId="687" xr:uid="{9BCF1910-DFB0-4FF4-A456-FD2DDE9736A1}"/>
    <cellStyle name="Normal 2 8 2" xfId="870" xr:uid="{59089F81-DE45-44F4-A2D8-E84154153EC0}"/>
    <cellStyle name="Normal 2 8 2 2" xfId="1144" xr:uid="{9BA3974F-4623-414C-BB2D-532DD7B5FF36}"/>
    <cellStyle name="Normal 2_13aMedicao(1)" xfId="284" xr:uid="{00000000-0005-0000-0000-000076010000}"/>
    <cellStyle name="Normal 20" xfId="285" xr:uid="{00000000-0005-0000-0000-000077010000}"/>
    <cellStyle name="Normal 21" xfId="286" xr:uid="{00000000-0005-0000-0000-000078010000}"/>
    <cellStyle name="Normal 22" xfId="287" xr:uid="{00000000-0005-0000-0000-000079010000}"/>
    <cellStyle name="Normal 23" xfId="288" xr:uid="{00000000-0005-0000-0000-00007A010000}"/>
    <cellStyle name="Normal 24" xfId="289" xr:uid="{00000000-0005-0000-0000-00007B010000}"/>
    <cellStyle name="Normal 24 2" xfId="290" xr:uid="{00000000-0005-0000-0000-00007C010000}"/>
    <cellStyle name="Normal 24 3" xfId="291" xr:uid="{00000000-0005-0000-0000-00007D010000}"/>
    <cellStyle name="Normal 24 3 2" xfId="776" xr:uid="{648C365B-1873-46EB-84FB-99AF2E1199E4}"/>
    <cellStyle name="Normal 24 3 2 2" xfId="1052" xr:uid="{394F8EE3-A5A3-441A-92E3-5DB050EC6755}"/>
    <cellStyle name="Normal 24 3 3" xfId="945" xr:uid="{F31B0BB4-973D-4E33-A508-BCEAC60E985F}"/>
    <cellStyle name="Normal 25" xfId="292" xr:uid="{00000000-0005-0000-0000-00007E010000}"/>
    <cellStyle name="Normal 25 2" xfId="293" xr:uid="{00000000-0005-0000-0000-00007F010000}"/>
    <cellStyle name="Normal 25 3" xfId="294" xr:uid="{00000000-0005-0000-0000-000080010000}"/>
    <cellStyle name="Normal 25 3 2" xfId="777" xr:uid="{C23402C7-BD36-4B60-9154-E23D229B4F0F}"/>
    <cellStyle name="Normal 25 3 2 2" xfId="1053" xr:uid="{931B90DE-B487-4260-ABE2-DA920564DFD7}"/>
    <cellStyle name="Normal 25 3 3" xfId="946" xr:uid="{B379C313-920E-4284-8897-ED9783925B8D}"/>
    <cellStyle name="Normal 26" xfId="295" xr:uid="{00000000-0005-0000-0000-000081010000}"/>
    <cellStyle name="Normal 26 2" xfId="296" xr:uid="{00000000-0005-0000-0000-000082010000}"/>
    <cellStyle name="Normal 26 3" xfId="297" xr:uid="{00000000-0005-0000-0000-000083010000}"/>
    <cellStyle name="Normal 26 3 2" xfId="778" xr:uid="{C5B48665-900D-4F8A-915D-6835CE198A09}"/>
    <cellStyle name="Normal 26 3 2 2" xfId="1054" xr:uid="{1B8051A5-2C75-45C7-8F22-88F93A795791}"/>
    <cellStyle name="Normal 26 3 3" xfId="947" xr:uid="{0ECB34E7-670B-4F23-98A2-27D246780365}"/>
    <cellStyle name="Normal 27" xfId="298" xr:uid="{00000000-0005-0000-0000-000084010000}"/>
    <cellStyle name="Normal 27 2" xfId="299" xr:uid="{00000000-0005-0000-0000-000085010000}"/>
    <cellStyle name="Normal 27 2 2" xfId="779" xr:uid="{18289D8E-96AB-4AD0-AB96-A4C13DAA9225}"/>
    <cellStyle name="Normal 27 2 2 2" xfId="1055" xr:uid="{1726DA20-4D37-431F-A4CB-C8BCC4362D3D}"/>
    <cellStyle name="Normal 27 2 3" xfId="948" xr:uid="{0CA1327D-FA40-417D-9F06-FA2EB459A080}"/>
    <cellStyle name="Normal 28" xfId="300" xr:uid="{00000000-0005-0000-0000-000086010000}"/>
    <cellStyle name="Normal 28 2" xfId="780" xr:uid="{A28C10FA-E63C-458F-BF25-C2E83CCECA43}"/>
    <cellStyle name="Normal 28 2 2" xfId="1056" xr:uid="{BC4E4681-EED4-400F-8B46-7FDA65CACE9B}"/>
    <cellStyle name="Normal 28 3" xfId="949" xr:uid="{B47ACF84-937F-440A-97EA-77CDDCCC1383}"/>
    <cellStyle name="Normal 29" xfId="301" xr:uid="{00000000-0005-0000-0000-000087010000}"/>
    <cellStyle name="Normal 29 2" xfId="781" xr:uid="{CD51C76A-D7C0-4313-B6D1-331191FA6079}"/>
    <cellStyle name="Normal 29 2 2" xfId="1057" xr:uid="{5003E544-67E1-4EAD-AD28-58EA9BD3E5CE}"/>
    <cellStyle name="Normal 29 3" xfId="950" xr:uid="{ED06A987-9BBD-40AA-9F78-7E53AABE6BCB}"/>
    <cellStyle name="Normal 3" xfId="13" xr:uid="{00000000-0005-0000-0000-000088010000}"/>
    <cellStyle name="Normal 3 2" xfId="302" xr:uid="{00000000-0005-0000-0000-000089010000}"/>
    <cellStyle name="Normal 3 2 2" xfId="303" xr:uid="{00000000-0005-0000-0000-00008A010000}"/>
    <cellStyle name="Normal 3 2 3" xfId="696" xr:uid="{605789BC-2525-40AA-AC88-7834666FCAFC}"/>
    <cellStyle name="Normal 3 2 3 10" xfId="913" xr:uid="{181813DD-E00B-4259-877F-B329AE1B24BF}"/>
    <cellStyle name="Normal 3 2 3 2" xfId="879" xr:uid="{1EFD867C-C310-4B48-84BD-7A4DEBC3F9C8}"/>
    <cellStyle name="Normal 3 2 3 3" xfId="992" xr:uid="{122AE0C2-584F-49ED-A694-3AA87EEEDD1B}"/>
    <cellStyle name="Normal 3 3" xfId="304" xr:uid="{00000000-0005-0000-0000-00008B010000}"/>
    <cellStyle name="Normal 3 4" xfId="305" xr:uid="{00000000-0005-0000-0000-00008C010000}"/>
    <cellStyle name="Normal 3 5" xfId="693" xr:uid="{877DA25E-E7E8-45C7-8B68-8CBF1D473758}"/>
    <cellStyle name="Normal 3 5 2" xfId="871" xr:uid="{01E5E0E3-8644-4F94-869C-75E35301B6DE}"/>
    <cellStyle name="Normal 3 5 3" xfId="989" xr:uid="{5B34CD9F-4C08-4741-8477-B4E5285DF5F5}"/>
    <cellStyle name="Normal 3_13aMedicao(1)" xfId="306" xr:uid="{00000000-0005-0000-0000-00008D010000}"/>
    <cellStyle name="Normal 30" xfId="307" xr:uid="{00000000-0005-0000-0000-00008E010000}"/>
    <cellStyle name="Normal 30 2" xfId="782" xr:uid="{D726E047-81D3-46F8-B850-FBF20A1E95FB}"/>
    <cellStyle name="Normal 30 2 2" xfId="1058" xr:uid="{9835BAD2-A2DE-482D-911F-0FB6A378ED42}"/>
    <cellStyle name="Normal 30 3" xfId="951" xr:uid="{453E4B62-781D-435A-BB34-3B7661F12650}"/>
    <cellStyle name="Normal 31" xfId="308" xr:uid="{00000000-0005-0000-0000-00008F010000}"/>
    <cellStyle name="Normal 31 2" xfId="783" xr:uid="{29E0F02C-EEC9-4024-A880-79398A567F8F}"/>
    <cellStyle name="Normal 31 2 2" xfId="1059" xr:uid="{7CBCB3FC-0A0F-409E-9D08-288C95D1AA5F}"/>
    <cellStyle name="Normal 31 3" xfId="952" xr:uid="{0C1EF70C-61F0-41C2-91C8-DFD167E91CE6}"/>
    <cellStyle name="Normal 32" xfId="309" xr:uid="{00000000-0005-0000-0000-000090010000}"/>
    <cellStyle name="Normal 32 2" xfId="784" xr:uid="{85C2FF7F-EEAB-420B-BF7D-1F8F1E262F87}"/>
    <cellStyle name="Normal 32 2 2" xfId="1060" xr:uid="{7BF1A9D8-F450-424C-BE0D-4BD5C733310A}"/>
    <cellStyle name="Normal 32 3" xfId="953" xr:uid="{5B7AE158-3889-4F29-A332-8C0756656641}"/>
    <cellStyle name="Normal 33" xfId="310" xr:uid="{00000000-0005-0000-0000-000091010000}"/>
    <cellStyle name="Normal 33 2" xfId="785" xr:uid="{8F3BF6B6-1EE3-4E63-972C-E1B232DCDCA5}"/>
    <cellStyle name="Normal 33 2 2" xfId="1061" xr:uid="{B5E6475B-B4C7-4970-937B-AB23656CBBF1}"/>
    <cellStyle name="Normal 33 3" xfId="954" xr:uid="{E858B4CE-CEA0-421D-AB18-5D3436EA5DE5}"/>
    <cellStyle name="Normal 34" xfId="311" xr:uid="{00000000-0005-0000-0000-000092010000}"/>
    <cellStyle name="Normal 35" xfId="312" xr:uid="{00000000-0005-0000-0000-000093010000}"/>
    <cellStyle name="Normal 36" xfId="313" xr:uid="{00000000-0005-0000-0000-000094010000}"/>
    <cellStyle name="Normal 37" xfId="314" xr:uid="{00000000-0005-0000-0000-000095010000}"/>
    <cellStyle name="Normal 38" xfId="315" xr:uid="{00000000-0005-0000-0000-000096010000}"/>
    <cellStyle name="Normal 39" xfId="316" xr:uid="{00000000-0005-0000-0000-000097010000}"/>
    <cellStyle name="Normal 4" xfId="11" xr:uid="{00000000-0005-0000-0000-000098010000}"/>
    <cellStyle name="Normal 4 2" xfId="317" xr:uid="{00000000-0005-0000-0000-000099010000}"/>
    <cellStyle name="Normal 4 3" xfId="872" xr:uid="{2F4CB919-F6CA-419E-B073-BEBA2DC676E6}"/>
    <cellStyle name="Normal 4 4" xfId="735" xr:uid="{425E7D61-5966-43B1-8157-FFE2A758C11B}"/>
    <cellStyle name="Normal 4 4 2" xfId="1011" xr:uid="{BB508409-DB4D-479B-A66B-E80EA0C8AE33}"/>
    <cellStyle name="Normal 4 5" xfId="923" xr:uid="{4C96746B-1292-4FB6-9E7A-9A872DA32D3F}"/>
    <cellStyle name="Normal 4_ORÇAME ROBERTO TEXEIRA" xfId="318" xr:uid="{00000000-0005-0000-0000-00009A010000}"/>
    <cellStyle name="Normal 40" xfId="319" xr:uid="{00000000-0005-0000-0000-00009B010000}"/>
    <cellStyle name="Normal 41" xfId="320" xr:uid="{00000000-0005-0000-0000-00009C010000}"/>
    <cellStyle name="Normal 42" xfId="674" xr:uid="{33308216-5153-4473-8BBF-94DC5C2673D9}"/>
    <cellStyle name="Normal 43" xfId="676" xr:uid="{D2551F80-6A2E-4C6C-9D88-B9EA52A913F3}"/>
    <cellStyle name="Normal 43 2" xfId="868" xr:uid="{4F251DCC-E09C-4B75-91CB-E1B9120594C8}"/>
    <cellStyle name="Normal 43 2 2" xfId="1143" xr:uid="{2C9EE916-6E9A-47BD-AB3F-1983EC51CE86}"/>
    <cellStyle name="Normal 43 3" xfId="981" xr:uid="{4BDFF03A-8B62-4DC0-8FA4-8D0FE57376F4}"/>
    <cellStyle name="Normal 44" xfId="682" xr:uid="{03B141A1-1C79-4852-B62E-5F0F1458B138}"/>
    <cellStyle name="Normal 44 2" xfId="986" xr:uid="{1E68C225-62EC-41AA-A9A1-5E1853713EC1}"/>
    <cellStyle name="Normal 45" xfId="683" xr:uid="{95221ABE-9FE9-434E-B8BF-FB2DA892FF0E}"/>
    <cellStyle name="Normal 46" xfId="686" xr:uid="{807E04F3-B991-4587-8F2C-60F6523C6AAB}"/>
    <cellStyle name="Normal 47" xfId="731" xr:uid="{D99D7BA9-FEFF-44FF-8DD5-FAE51522CE55}"/>
    <cellStyle name="Normal 48" xfId="863" xr:uid="{984BAB59-D1C1-45BB-9D2C-CA68EDBC8809}"/>
    <cellStyle name="Normal 489" xfId="899" xr:uid="{216441FC-4FD7-43C7-AE62-76E62039A2E4}"/>
    <cellStyle name="Normal 489 2" xfId="1153" xr:uid="{1A1B939B-04D4-44BD-97D7-89F49E36CA91}"/>
    <cellStyle name="Normal 49" xfId="898" xr:uid="{8BA46141-D947-4A41-AB18-8F91E60C47F6}"/>
    <cellStyle name="Normal 5" xfId="321" xr:uid="{00000000-0005-0000-0000-00009D010000}"/>
    <cellStyle name="Normal 5 2" xfId="322" xr:uid="{00000000-0005-0000-0000-00009E010000}"/>
    <cellStyle name="Normal 5 3" xfId="323" xr:uid="{00000000-0005-0000-0000-00009F010000}"/>
    <cellStyle name="Normal 5 4" xfId="873" xr:uid="{618AA3DB-FA11-47A5-9E3E-500DFF0DA86A}"/>
    <cellStyle name="Normal 50" xfId="903" xr:uid="{87584867-E56A-4FA0-97D2-8BB4DFACA174}"/>
    <cellStyle name="Normal 50 2" xfId="1156" xr:uid="{D3D510EA-D97D-4D69-9083-1AD4F49F1BCA}"/>
    <cellStyle name="Normal 51" xfId="906" xr:uid="{4592C2C2-31FE-42B1-9D0D-566609D79CE0}"/>
    <cellStyle name="Normal 51 2" xfId="1159" xr:uid="{68BEA8DB-ABD8-49CA-80BE-CDB75C21D6A2}"/>
    <cellStyle name="Normal 52" xfId="908" xr:uid="{BE167186-1255-41C2-879D-BC52C480A3BC}"/>
    <cellStyle name="Normal 53" xfId="920" xr:uid="{5C545DB4-CD8F-41FA-A345-EEFD1C41CE25}"/>
    <cellStyle name="Normal 6" xfId="7" xr:uid="{00000000-0005-0000-0000-0000A0010000}"/>
    <cellStyle name="Normal 6 2" xfId="324" xr:uid="{00000000-0005-0000-0000-0000A1010000}"/>
    <cellStyle name="Normal 6 2 2" xfId="878" xr:uid="{7FA0E87E-91A4-470E-A377-318C490A532D}"/>
    <cellStyle name="Normal 6 3" xfId="3" xr:uid="{00000000-0005-0000-0000-0000A2010000}"/>
    <cellStyle name="Normal 6 4" xfId="325" xr:uid="{00000000-0005-0000-0000-0000A3010000}"/>
    <cellStyle name="Normal 6 5" xfId="573" xr:uid="{00000000-0005-0000-0000-0000A4010000}"/>
    <cellStyle name="Normal 6 5 2" xfId="859" xr:uid="{8B3D2E0A-6E5F-4A5B-B06E-12B69F36F0D5}"/>
    <cellStyle name="Normal 6 5 2 2" xfId="1135" xr:uid="{089F24CF-24B9-4E87-918C-704DD3BF953E}"/>
    <cellStyle name="Normal 6 5 3" xfId="977" xr:uid="{52C3979C-8550-4775-AF6B-4B1193F13B32}"/>
    <cellStyle name="Normal 6 6" xfId="732" xr:uid="{5A89C888-FED6-4478-82A0-91D2821193D9}"/>
    <cellStyle name="Normal 6 6 2" xfId="1008" xr:uid="{C2F665D9-0FEB-43A6-AECF-432072819CD5}"/>
    <cellStyle name="Normal 6 7" xfId="921" xr:uid="{08D3E11E-3E1A-4D4D-A45F-D1E21B3B86C8}"/>
    <cellStyle name="Normal 7" xfId="326" xr:uid="{00000000-0005-0000-0000-0000A5010000}"/>
    <cellStyle name="Normal 7 2" xfId="691" xr:uid="{EF25C0C6-025F-4819-BFC4-C0C12CAD0040}"/>
    <cellStyle name="Normal 7 2 2" xfId="880" xr:uid="{34FBF6B0-7F5F-4D2D-B019-894375B892E4}"/>
    <cellStyle name="Normal 7 3" xfId="874" xr:uid="{60A0EB91-0AA7-471B-9E71-1D8C51C778E4}"/>
    <cellStyle name="Normal 8" xfId="327" xr:uid="{00000000-0005-0000-0000-0000A6010000}"/>
    <cellStyle name="Normal 8 2" xfId="328" xr:uid="{00000000-0005-0000-0000-0000A7010000}"/>
    <cellStyle name="Normal 8 2 2" xfId="882" xr:uid="{141F69CE-981E-408D-80A9-321AFB6EBB1C}"/>
    <cellStyle name="Normal 8 2 3" xfId="916" xr:uid="{E199D183-EDC0-42A4-B54C-EB8FEAEA6EC6}"/>
    <cellStyle name="Normal 8 3" xfId="329" xr:uid="{00000000-0005-0000-0000-0000A8010000}"/>
    <cellStyle name="Normal 8 4" xfId="692" xr:uid="{D18FBB6E-3A99-4112-9140-B214CA93C0CA}"/>
    <cellStyle name="Normal 8 4 2" xfId="877" xr:uid="{39AA6693-307B-4DB4-9845-BBB1E76080FA}"/>
    <cellStyle name="Normal 8 5" xfId="786" xr:uid="{9AA3AED1-F13A-41AF-A02F-30B45F4DEFFE}"/>
    <cellStyle name="Normal 8 5 2" xfId="1062" xr:uid="{267D633D-9E1E-46CF-9A52-D517C64F435E}"/>
    <cellStyle name="Normal 8 6" xfId="955" xr:uid="{583351A1-F6B5-4E87-9069-B9E09EC2949E}"/>
    <cellStyle name="Normal 9" xfId="330" xr:uid="{00000000-0005-0000-0000-0000A9010000}"/>
    <cellStyle name="Normal 9 2" xfId="331" xr:uid="{00000000-0005-0000-0000-0000AA010000}"/>
    <cellStyle name="Normal 9 3" xfId="787" xr:uid="{CFAECCDA-568A-48ED-9085-DC189DA942B3}"/>
    <cellStyle name="Normal 9 3 2" xfId="1063" xr:uid="{477A4319-BB15-4204-9F05-99665D9A7DE6}"/>
    <cellStyle name="Normal 9 4" xfId="956" xr:uid="{B087B818-A0EF-46BC-8717-941C240164FA}"/>
    <cellStyle name="normal plan 1 (2)" xfId="332" xr:uid="{00000000-0005-0000-0000-0000AB010000}"/>
    <cellStyle name="Normal1" xfId="333" xr:uid="{00000000-0005-0000-0000-0000AC010000}"/>
    <cellStyle name="Normal1 2" xfId="334" xr:uid="{00000000-0005-0000-0000-0000AD010000}"/>
    <cellStyle name="Normal1 2 2" xfId="789" xr:uid="{630155D7-557D-41EB-A049-58CE45E1F781}"/>
    <cellStyle name="Normal1 2 2 2" xfId="1065" xr:uid="{164E57D5-6010-4CB5-8484-D709A584D59E}"/>
    <cellStyle name="Normal1 2 3" xfId="763" xr:uid="{EE842296-2A07-4F5C-BF99-6F0C3F3A9C56}"/>
    <cellStyle name="Normal1 2 3 2" xfId="1039" xr:uid="{B347C3C2-9B7E-4A3D-9E40-64A75F1701D8}"/>
    <cellStyle name="Normal1 2 4" xfId="958" xr:uid="{A1A590EC-FFE3-499D-B7E2-A976701510BC}"/>
    <cellStyle name="Normal1 3" xfId="788" xr:uid="{D3AEAAE6-79B4-4044-B759-52B6698721E9}"/>
    <cellStyle name="Normal1 3 2" xfId="1064" xr:uid="{F8842932-B447-4754-9874-24D4C46D5D5C}"/>
    <cellStyle name="Normal1 4" xfId="957" xr:uid="{7CE98266-D3BB-42E7-B35D-EC69CB960BF5}"/>
    <cellStyle name="Nota 2" xfId="335" xr:uid="{00000000-0005-0000-0000-0000AE010000}"/>
    <cellStyle name="Nota 2 2" xfId="336" xr:uid="{00000000-0005-0000-0000-0000AF010000}"/>
    <cellStyle name="Nota 2 2 2" xfId="337" xr:uid="{00000000-0005-0000-0000-0000B0010000}"/>
    <cellStyle name="Nota 2 2 2 2" xfId="792" xr:uid="{D303496B-76C2-4A26-BC29-FD56AF8D5DFC}"/>
    <cellStyle name="Nota 2 2 2 2 2" xfId="1068" xr:uid="{B0E7D2EC-A201-461B-ACF2-16C3192792A3}"/>
    <cellStyle name="Nota 2 2 2 3" xfId="769" xr:uid="{D7D87A86-6005-42CC-AD55-2E23C4ACF300}"/>
    <cellStyle name="Nota 2 2 2 3 2" xfId="1045" xr:uid="{186C8C88-48C2-4C7F-AE7D-B5CDD529D45F}"/>
    <cellStyle name="Nota 2 2 2 4" xfId="961" xr:uid="{23738114-13FE-4E42-8948-AE3DCC701B8D}"/>
    <cellStyle name="Nota 2 2 3" xfId="791" xr:uid="{F141D278-91BD-45EB-8BFA-70D4503A4ED6}"/>
    <cellStyle name="Nota 2 2 3 2" xfId="1067" xr:uid="{FE2C9F04-9121-4650-9C35-070AD9F8AB0C}"/>
    <cellStyle name="Nota 2 2 4" xfId="767" xr:uid="{80A55149-2947-4725-A241-FEE6F56C6648}"/>
    <cellStyle name="Nota 2 2 4 2" xfId="1043" xr:uid="{6717BD57-1A9D-4291-A724-6DE623A3C90E}"/>
    <cellStyle name="Nota 2 2 5" xfId="960" xr:uid="{3B923A25-CE13-4620-9F90-EFBBC70BB1AE}"/>
    <cellStyle name="Nota 2 3" xfId="338" xr:uid="{00000000-0005-0000-0000-0000B1010000}"/>
    <cellStyle name="Nota 2 3 2" xfId="793" xr:uid="{086549D8-810D-48A5-9029-D8E8E9E76AEA}"/>
    <cellStyle name="Nota 2 3 2 2" xfId="1069" xr:uid="{DB9CEE2F-ABE4-475D-804C-92A89A843FDF}"/>
    <cellStyle name="Nota 2 3 3" xfId="771" xr:uid="{885D2FD1-0632-478A-BA79-6BB0291239EF}"/>
    <cellStyle name="Nota 2 3 3 2" xfId="1047" xr:uid="{F0E69EE4-3522-465F-88D6-CA957E5B6BD2}"/>
    <cellStyle name="Nota 2 3 4" xfId="962" xr:uid="{7B219C8B-2772-4E74-B38E-647125A9E50C}"/>
    <cellStyle name="Nota 2 4" xfId="790" xr:uid="{260AC151-67D5-496C-9DE4-8188F5D1CCF1}"/>
    <cellStyle name="Nota 2 4 2" xfId="1066" xr:uid="{83F8B27B-34B3-4666-99EC-7D7C4FE6ADE0}"/>
    <cellStyle name="Nota 2 5" xfId="765" xr:uid="{387AE98E-DF00-49C3-A029-FB5623E7673E}"/>
    <cellStyle name="Nota 2 5 2" xfId="1041" xr:uid="{E763983A-0B84-4152-92F7-3DAF927BA996}"/>
    <cellStyle name="Nota 2 6" xfId="959" xr:uid="{AE168544-6367-4375-91EA-146BEB755759}"/>
    <cellStyle name="Nota 3" xfId="885" xr:uid="{EEDAFF46-A241-48DD-9B24-34901D3120FF}"/>
    <cellStyle name="Nota 3 2" xfId="1147" xr:uid="{E079AC78-C5EB-4BDB-992F-B0843D2E3204}"/>
    <cellStyle name="Note" xfId="339" xr:uid="{00000000-0005-0000-0000-0000B2010000}"/>
    <cellStyle name="Note 2" xfId="340" xr:uid="{00000000-0005-0000-0000-0000B3010000}"/>
    <cellStyle name="Note 2 2" xfId="795" xr:uid="{D80DCAF3-1797-4FD6-A3A9-15A1D33A92F0}"/>
    <cellStyle name="Note 2 2 2" xfId="1071" xr:uid="{273508D1-D3D6-4EB9-BB2D-972077CA287E}"/>
    <cellStyle name="Note 2 3" xfId="734" xr:uid="{E8C43FAF-0C03-4325-B139-6EC164E60B41}"/>
    <cellStyle name="Note 2 3 2" xfId="1010" xr:uid="{7298B9D0-3542-42C7-BFC7-1E055E588C25}"/>
    <cellStyle name="Note 2 4" xfId="964" xr:uid="{0B352621-11CC-4117-BED7-90C94BD436E1}"/>
    <cellStyle name="Note 3" xfId="794" xr:uid="{15A4803F-1795-4DD3-BB23-6ACF5EAF7613}"/>
    <cellStyle name="Note 3 2" xfId="1070" xr:uid="{31FEB72C-2510-42BC-BC5B-3EED35EAE4B3}"/>
    <cellStyle name="Note 4" xfId="773" xr:uid="{67340D93-83F6-412C-A7C6-FBC0D76E4A8F}"/>
    <cellStyle name="Note 4 2" xfId="1049" xr:uid="{4CA421A4-285B-4606-AB94-1486A80EDC2D}"/>
    <cellStyle name="Note 5" xfId="963" xr:uid="{AB2958F9-2BD8-4401-AEB3-5946C1239F38}"/>
    <cellStyle name="Output" xfId="341" xr:uid="{00000000-0005-0000-0000-0000B4010000}"/>
    <cellStyle name="Output 2" xfId="342" xr:uid="{00000000-0005-0000-0000-0000B5010000}"/>
    <cellStyle name="Output 2 2" xfId="797" xr:uid="{A536F051-CB1D-42DC-9C43-A559C23A25F2}"/>
    <cellStyle name="Output 2 2 2" xfId="1073" xr:uid="{9FD0F2BA-CD01-4F6D-AD60-DF0940B9AF2E}"/>
    <cellStyle name="Output 2 3" xfId="775" xr:uid="{4E7BF595-0348-40F9-B8F9-D4170C660D49}"/>
    <cellStyle name="Output 2 3 2" xfId="1051" xr:uid="{45516D97-39F4-440F-BC42-3EEFA775944D}"/>
    <cellStyle name="Output 2 4" xfId="966" xr:uid="{A9AF7626-D825-4E63-9744-4EBA2FCC5E55}"/>
    <cellStyle name="Output 3" xfId="796" xr:uid="{D9D074C4-9722-46D4-90C7-AD14D9DDF61E}"/>
    <cellStyle name="Output 3 2" xfId="1072" xr:uid="{9B6D87CD-B6B8-4EDA-97AD-CB60F7E0D3C1}"/>
    <cellStyle name="Output 4" xfId="774" xr:uid="{C330F444-5873-4C3E-91AE-B2F771FD2B54}"/>
    <cellStyle name="Output 4 2" xfId="1050" xr:uid="{7330ACFE-3C93-4267-8901-2EB03A0BE0CA}"/>
    <cellStyle name="Output 5" xfId="965" xr:uid="{1CE3DB35-4EA9-4A81-9CC3-1D9AF699BCC8}"/>
    <cellStyle name="Percent 2" xfId="343" xr:uid="{00000000-0005-0000-0000-0000B6010000}"/>
    <cellStyle name="Percent 2 2" xfId="344" xr:uid="{00000000-0005-0000-0000-0000B7010000}"/>
    <cellStyle name="Percent 2 2 2" xfId="345" xr:uid="{00000000-0005-0000-0000-0000B8010000}"/>
    <cellStyle name="Percent 2 3" xfId="346" xr:uid="{00000000-0005-0000-0000-0000B9010000}"/>
    <cellStyle name="Percentual" xfId="347" xr:uid="{00000000-0005-0000-0000-0000BA010000}"/>
    <cellStyle name="Percentual 2" xfId="348" xr:uid="{00000000-0005-0000-0000-0000BB010000}"/>
    <cellStyle name="Percentual 2 2" xfId="349" xr:uid="{00000000-0005-0000-0000-0000BC010000}"/>
    <cellStyle name="Percentual 3" xfId="350" xr:uid="{00000000-0005-0000-0000-0000BD010000}"/>
    <cellStyle name="planilhas" xfId="351" xr:uid="{00000000-0005-0000-0000-0000BE010000}"/>
    <cellStyle name="planilhas 2" xfId="352" xr:uid="{00000000-0005-0000-0000-0000BF010000}"/>
    <cellStyle name="Ponto" xfId="353" xr:uid="{00000000-0005-0000-0000-0000C0010000}"/>
    <cellStyle name="Ponto 2" xfId="354" xr:uid="{00000000-0005-0000-0000-0000C1010000}"/>
    <cellStyle name="Ponto 2 2" xfId="355" xr:uid="{00000000-0005-0000-0000-0000C2010000}"/>
    <cellStyle name="Ponto 3" xfId="356" xr:uid="{00000000-0005-0000-0000-0000C3010000}"/>
    <cellStyle name="Porcentagem" xfId="1" builtinId="5"/>
    <cellStyle name="Porcentagem 10" xfId="357" xr:uid="{00000000-0005-0000-0000-0000C5010000}"/>
    <cellStyle name="Porcentagem 10 2" xfId="358" xr:uid="{00000000-0005-0000-0000-0000C6010000}"/>
    <cellStyle name="Porcentagem 11" xfId="359" xr:uid="{00000000-0005-0000-0000-0000C7010000}"/>
    <cellStyle name="Porcentagem 11 2" xfId="360" xr:uid="{00000000-0005-0000-0000-0000C8010000}"/>
    <cellStyle name="Porcentagem 11 3" xfId="361" xr:uid="{00000000-0005-0000-0000-0000C9010000}"/>
    <cellStyle name="Porcentagem 12" xfId="362" xr:uid="{00000000-0005-0000-0000-0000CA010000}"/>
    <cellStyle name="Porcentagem 12 2" xfId="363" xr:uid="{00000000-0005-0000-0000-0000CB010000}"/>
    <cellStyle name="Porcentagem 12 3" xfId="364" xr:uid="{00000000-0005-0000-0000-0000CC010000}"/>
    <cellStyle name="Porcentagem 13" xfId="365" xr:uid="{00000000-0005-0000-0000-0000CD010000}"/>
    <cellStyle name="Porcentagem 13 2" xfId="366" xr:uid="{00000000-0005-0000-0000-0000CE010000}"/>
    <cellStyle name="Porcentagem 13 3" xfId="367" xr:uid="{00000000-0005-0000-0000-0000CF010000}"/>
    <cellStyle name="Porcentagem 13 3 2" xfId="799" xr:uid="{DA81695C-424D-49A8-A4A9-667FA4FAECB6}"/>
    <cellStyle name="Porcentagem 13 3 2 2" xfId="1075" xr:uid="{AD9F52C9-A584-454C-B92F-1D48C064FA5A}"/>
    <cellStyle name="Porcentagem 13 3 3" xfId="967" xr:uid="{15055D81-624C-40C2-8116-43E794FAE0AA}"/>
    <cellStyle name="Porcentagem 14" xfId="368" xr:uid="{00000000-0005-0000-0000-0000D0010000}"/>
    <cellStyle name="Porcentagem 15" xfId="8" xr:uid="{00000000-0005-0000-0000-0000D1010000}"/>
    <cellStyle name="Porcentagem 16" xfId="905" xr:uid="{8E5A23DF-4253-4C99-A39E-59881AFBA382}"/>
    <cellStyle name="Porcentagem 16 2" xfId="918" xr:uid="{EA5EBC90-DE79-469A-87CA-6EDE760DA5DF}"/>
    <cellStyle name="Porcentagem 16 3" xfId="1158" xr:uid="{A3DFF47D-D261-4FE4-9753-7F6F8287E9F1}"/>
    <cellStyle name="Porcentagem 17" xfId="910" xr:uid="{B8FA1D9B-FF6E-4858-9F76-03356F5F78AC}"/>
    <cellStyle name="Porcentagem 2" xfId="6" xr:uid="{00000000-0005-0000-0000-0000D2010000}"/>
    <cellStyle name="Porcentagem 2 2" xfId="369" xr:uid="{00000000-0005-0000-0000-0000D3010000}"/>
    <cellStyle name="Porcentagem 2 2 2" xfId="370" xr:uid="{00000000-0005-0000-0000-0000D4010000}"/>
    <cellStyle name="Porcentagem 2 2 2 2" xfId="371" xr:uid="{00000000-0005-0000-0000-0000D5010000}"/>
    <cellStyle name="Porcentagem 2 2 2 2 2" xfId="372" xr:uid="{00000000-0005-0000-0000-0000D6010000}"/>
    <cellStyle name="Porcentagem 2 2 2 3" xfId="373" xr:uid="{00000000-0005-0000-0000-0000D7010000}"/>
    <cellStyle name="Porcentagem 2 2 2 3 2" xfId="374" xr:uid="{00000000-0005-0000-0000-0000D8010000}"/>
    <cellStyle name="Porcentagem 2 2 2 4" xfId="375" xr:uid="{00000000-0005-0000-0000-0000D9010000}"/>
    <cellStyle name="Porcentagem 2 2 2 4 2" xfId="376" xr:uid="{00000000-0005-0000-0000-0000DA010000}"/>
    <cellStyle name="Porcentagem 2 2 2 5" xfId="377" xr:uid="{00000000-0005-0000-0000-0000DB010000}"/>
    <cellStyle name="Porcentagem 2 2 3" xfId="378" xr:uid="{00000000-0005-0000-0000-0000DC010000}"/>
    <cellStyle name="Porcentagem 2 2 3 2" xfId="379" xr:uid="{00000000-0005-0000-0000-0000DD010000}"/>
    <cellStyle name="Porcentagem 2 2 4" xfId="380" xr:uid="{00000000-0005-0000-0000-0000DE010000}"/>
    <cellStyle name="Porcentagem 2 2 4 2" xfId="381" xr:uid="{00000000-0005-0000-0000-0000DF010000}"/>
    <cellStyle name="Porcentagem 2 2 5" xfId="382" xr:uid="{00000000-0005-0000-0000-0000E0010000}"/>
    <cellStyle name="Porcentagem 2 2 5 2" xfId="383" xr:uid="{00000000-0005-0000-0000-0000E1010000}"/>
    <cellStyle name="Porcentagem 2 2 6" xfId="384" xr:uid="{00000000-0005-0000-0000-0000E2010000}"/>
    <cellStyle name="Porcentagem 2 3" xfId="385" xr:uid="{00000000-0005-0000-0000-0000E3010000}"/>
    <cellStyle name="Porcentagem 2 3 2" xfId="386" xr:uid="{00000000-0005-0000-0000-0000E4010000}"/>
    <cellStyle name="Porcentagem 2 4" xfId="387" xr:uid="{00000000-0005-0000-0000-0000E5010000}"/>
    <cellStyle name="Porcentagem 2 4 2" xfId="388" xr:uid="{00000000-0005-0000-0000-0000E6010000}"/>
    <cellStyle name="Porcentagem 2 5" xfId="389" xr:uid="{00000000-0005-0000-0000-0000E7010000}"/>
    <cellStyle name="Porcentagem 2 5 2" xfId="390" xr:uid="{00000000-0005-0000-0000-0000E8010000}"/>
    <cellStyle name="Porcentagem 2 6" xfId="391" xr:uid="{00000000-0005-0000-0000-0000E9010000}"/>
    <cellStyle name="Porcentagem 2 6 2" xfId="392" xr:uid="{00000000-0005-0000-0000-0000EA010000}"/>
    <cellStyle name="Porcentagem 2 7" xfId="393" xr:uid="{00000000-0005-0000-0000-0000EB010000}"/>
    <cellStyle name="Porcentagem 3" xfId="394" xr:uid="{00000000-0005-0000-0000-0000EC010000}"/>
    <cellStyle name="Porcentagem 3 2" xfId="395" xr:uid="{00000000-0005-0000-0000-0000ED010000}"/>
    <cellStyle name="Porcentagem 3 2 2" xfId="396" xr:uid="{00000000-0005-0000-0000-0000EE010000}"/>
    <cellStyle name="Porcentagem 3 3" xfId="397" xr:uid="{00000000-0005-0000-0000-0000EF010000}"/>
    <cellStyle name="Porcentagem 3 3 2" xfId="398" xr:uid="{00000000-0005-0000-0000-0000F0010000}"/>
    <cellStyle name="Porcentagem 3 4" xfId="399" xr:uid="{00000000-0005-0000-0000-0000F1010000}"/>
    <cellStyle name="Porcentagem 4" xfId="400" xr:uid="{00000000-0005-0000-0000-0000F2010000}"/>
    <cellStyle name="Porcentagem 4 2" xfId="401" xr:uid="{00000000-0005-0000-0000-0000F3010000}"/>
    <cellStyle name="Porcentagem 4 2 2" xfId="402" xr:uid="{00000000-0005-0000-0000-0000F4010000}"/>
    <cellStyle name="Porcentagem 4 3" xfId="403" xr:uid="{00000000-0005-0000-0000-0000F5010000}"/>
    <cellStyle name="Porcentagem 5" xfId="404" xr:uid="{00000000-0005-0000-0000-0000F6010000}"/>
    <cellStyle name="Porcentagem 5 2" xfId="405" xr:uid="{00000000-0005-0000-0000-0000F7010000}"/>
    <cellStyle name="Porcentagem 5 2 2" xfId="406" xr:uid="{00000000-0005-0000-0000-0000F8010000}"/>
    <cellStyle name="Porcentagem 5 3" xfId="407" xr:uid="{00000000-0005-0000-0000-0000F9010000}"/>
    <cellStyle name="Porcentagem 5 3 2" xfId="408" xr:uid="{00000000-0005-0000-0000-0000FA010000}"/>
    <cellStyle name="Porcentagem 5 4" xfId="409" xr:uid="{00000000-0005-0000-0000-0000FB010000}"/>
    <cellStyle name="Porcentagem 5 5" xfId="801" xr:uid="{BC377BD8-2EE1-4EDE-B136-B4F6B93A92F6}"/>
    <cellStyle name="Porcentagem 5 5 2" xfId="1077" xr:uid="{6F287BF9-A2C2-49E0-88B1-46F6C864873E}"/>
    <cellStyle name="Porcentagem 5 6" xfId="968" xr:uid="{9A4E2884-1C3D-463C-9C32-E8BD66E6AB37}"/>
    <cellStyle name="Porcentagem 6" xfId="410" xr:uid="{00000000-0005-0000-0000-0000FC010000}"/>
    <cellStyle name="Porcentagem 6 2" xfId="411" xr:uid="{00000000-0005-0000-0000-0000FD010000}"/>
    <cellStyle name="Porcentagem 7" xfId="412" xr:uid="{00000000-0005-0000-0000-0000FE010000}"/>
    <cellStyle name="Porcentagem 7 2" xfId="413" xr:uid="{00000000-0005-0000-0000-0000FF010000}"/>
    <cellStyle name="Porcentagem 8" xfId="414" xr:uid="{00000000-0005-0000-0000-000000020000}"/>
    <cellStyle name="Porcentagem 8 2" xfId="415" xr:uid="{00000000-0005-0000-0000-000001020000}"/>
    <cellStyle name="Porcentagem 8 2 2" xfId="416" xr:uid="{00000000-0005-0000-0000-000002020000}"/>
    <cellStyle name="Porcentagem 8 3" xfId="417" xr:uid="{00000000-0005-0000-0000-000003020000}"/>
    <cellStyle name="Porcentagem 9" xfId="418" xr:uid="{00000000-0005-0000-0000-000004020000}"/>
    <cellStyle name="Porcentagem 9 2" xfId="419" xr:uid="{00000000-0005-0000-0000-000005020000}"/>
    <cellStyle name="Porcentagem 9 2 2" xfId="420" xr:uid="{00000000-0005-0000-0000-000006020000}"/>
    <cellStyle name="Porcentagem 9 3" xfId="421" xr:uid="{00000000-0005-0000-0000-000007020000}"/>
    <cellStyle name="Pos" xfId="422" xr:uid="{00000000-0005-0000-0000-000008020000}"/>
    <cellStyle name="Preis" xfId="423" xr:uid="{00000000-0005-0000-0000-000009020000}"/>
    <cellStyle name="Prozent0" xfId="424" xr:uid="{00000000-0005-0000-0000-00000A020000}"/>
    <cellStyle name="Prozent0 2" xfId="425" xr:uid="{00000000-0005-0000-0000-00000B020000}"/>
    <cellStyle name="Prozent1" xfId="426" xr:uid="{00000000-0005-0000-0000-00000C020000}"/>
    <cellStyle name="RowLevel_2 2" xfId="688" xr:uid="{ADA6E6B6-30AC-482D-AFF2-1B2100BDDBE8}"/>
    <cellStyle name="Ruim" xfId="704" builtinId="27" customBuiltin="1"/>
    <cellStyle name="Saída" xfId="706" builtinId="21" customBuiltin="1"/>
    <cellStyle name="Saída 2" xfId="427" xr:uid="{00000000-0005-0000-0000-00000D020000}"/>
    <cellStyle name="Saída 2 2" xfId="428" xr:uid="{00000000-0005-0000-0000-00000E020000}"/>
    <cellStyle name="Saída 2 2 2" xfId="803" xr:uid="{54E3D0F2-CE8F-4906-BF67-69BC827D36D6}"/>
    <cellStyle name="Saída 2 2 2 2" xfId="1079" xr:uid="{B9CD3491-CBFF-4719-8234-467290D13E00}"/>
    <cellStyle name="Saída 2 2 3" xfId="800" xr:uid="{FCC5C968-4C3B-45DD-B10A-A9F6E24023D7}"/>
    <cellStyle name="Saída 2 2 3 2" xfId="1076" xr:uid="{F757BD85-29F4-4555-9E3F-AC2A46988817}"/>
    <cellStyle name="Saída 2 2 4" xfId="970" xr:uid="{AC1654E0-05F7-4189-9F9A-823A1DDB05DC}"/>
    <cellStyle name="Saída 2 3" xfId="802" xr:uid="{ED2DE3AF-181F-425B-80EE-56ED35A1915C}"/>
    <cellStyle name="Saída 2 3 2" xfId="1078" xr:uid="{9AFDF161-0D21-4D4E-AD74-42FAD3F0F749}"/>
    <cellStyle name="Saída 2 4" xfId="798" xr:uid="{739DAD6F-EA86-4A78-BCCA-D62ECEE17D4D}"/>
    <cellStyle name="Saída 2 4 2" xfId="1074" xr:uid="{76019CE7-807F-449B-A76C-66B92B8F7738}"/>
    <cellStyle name="Saída 2 5" xfId="969" xr:uid="{791AE644-B6A7-4829-9DAB-D035D728D482}"/>
    <cellStyle name="Sep. milhar [0]" xfId="429" xr:uid="{00000000-0005-0000-0000-00000F020000}"/>
    <cellStyle name="Sep. milhar [0] 2" xfId="430" xr:uid="{00000000-0005-0000-0000-000010020000}"/>
    <cellStyle name="Separador de m" xfId="431" xr:uid="{00000000-0005-0000-0000-000011020000}"/>
    <cellStyle name="Separador de m 2" xfId="432" xr:uid="{00000000-0005-0000-0000-000012020000}"/>
    <cellStyle name="Separador de milhares 10" xfId="433" xr:uid="{00000000-0005-0000-0000-000013020000}"/>
    <cellStyle name="Separador de milhares 10 2" xfId="434" xr:uid="{00000000-0005-0000-0000-000014020000}"/>
    <cellStyle name="Separador de milhares 10 2 2" xfId="435" xr:uid="{00000000-0005-0000-0000-000015020000}"/>
    <cellStyle name="Separador de milhares 10 2 3" xfId="805" xr:uid="{4E8CB43B-D89C-4808-8D45-7CF2A7252DD9}"/>
    <cellStyle name="Separador de milhares 10 2 3 2" xfId="1081" xr:uid="{8B1D0613-A08F-4B34-B4E2-5400D48DB269}"/>
    <cellStyle name="Separador de milhares 10 3" xfId="436" xr:uid="{00000000-0005-0000-0000-000016020000}"/>
    <cellStyle name="Separador de milhares 10 4" xfId="804" xr:uid="{F0792126-D236-4837-886A-83AA635AC6E9}"/>
    <cellStyle name="Separador de milhares 10 4 2" xfId="1080" xr:uid="{5C6D6412-86D1-45AE-8622-FF3D11F0A705}"/>
    <cellStyle name="Separador de milhares 2" xfId="437" xr:uid="{00000000-0005-0000-0000-000017020000}"/>
    <cellStyle name="Separador de milhares 2 2" xfId="438" xr:uid="{00000000-0005-0000-0000-000018020000}"/>
    <cellStyle name="Separador de milhares 2 2 2" xfId="439" xr:uid="{00000000-0005-0000-0000-000019020000}"/>
    <cellStyle name="Separador de milhares 2 2 2 2" xfId="440" xr:uid="{00000000-0005-0000-0000-00001A020000}"/>
    <cellStyle name="Separador de milhares 2 2 2 3" xfId="807" xr:uid="{C5476998-8212-4289-94C0-25BD9DBF8338}"/>
    <cellStyle name="Separador de milhares 2 2 2 3 2" xfId="1083" xr:uid="{60E4F795-7CD1-4195-A000-3C822F355D13}"/>
    <cellStyle name="Separador de milhares 2 2 3" xfId="441" xr:uid="{00000000-0005-0000-0000-00001B020000}"/>
    <cellStyle name="Separador de milhares 2 2 4" xfId="442" xr:uid="{00000000-0005-0000-0000-00001C020000}"/>
    <cellStyle name="Separador de milhares 2 2_LY-0101-001111-011 Revisao B - QQP e Anexos SDC 1586065" xfId="443" xr:uid="{00000000-0005-0000-0000-00001D020000}"/>
    <cellStyle name="Separador de milhares 2 3" xfId="444" xr:uid="{00000000-0005-0000-0000-00001E020000}"/>
    <cellStyle name="Separador de milhares 2 3 2" xfId="445" xr:uid="{00000000-0005-0000-0000-00001F020000}"/>
    <cellStyle name="Separador de milhares 2 3 3" xfId="808" xr:uid="{E16D46EC-8BAF-4A44-ABC2-F7DE80972BE9}"/>
    <cellStyle name="Separador de milhares 2 3 3 2" xfId="1084" xr:uid="{BF077218-A6ED-4EE6-BC19-6C5B5C9A54D2}"/>
    <cellStyle name="Separador de milhares 2 4" xfId="446" xr:uid="{00000000-0005-0000-0000-000020020000}"/>
    <cellStyle name="Separador de milhares 2 4 2" xfId="447" xr:uid="{00000000-0005-0000-0000-000021020000}"/>
    <cellStyle name="Separador de milhares 2 5" xfId="448" xr:uid="{00000000-0005-0000-0000-000022020000}"/>
    <cellStyle name="Separador de milhares 2 5 2" xfId="449" xr:uid="{00000000-0005-0000-0000-000023020000}"/>
    <cellStyle name="Separador de milhares 2 6" xfId="450" xr:uid="{00000000-0005-0000-0000-000024020000}"/>
    <cellStyle name="Separador de milhares 2 6 2" xfId="451" xr:uid="{00000000-0005-0000-0000-000025020000}"/>
    <cellStyle name="Separador de milhares 2 7" xfId="452" xr:uid="{00000000-0005-0000-0000-000026020000}"/>
    <cellStyle name="Separador de milhares 2 8" xfId="806" xr:uid="{6FBABF60-BF83-407C-9E76-6234AEE5AD2F}"/>
    <cellStyle name="Separador de milhares 2 8 2" xfId="1082" xr:uid="{55DB019F-6DB8-4CF1-A13D-FD978B75FFAC}"/>
    <cellStyle name="Separador de milhares 2_13aMedicao(1)" xfId="453" xr:uid="{00000000-0005-0000-0000-000027020000}"/>
    <cellStyle name="Separador de milhares 3" xfId="454" xr:uid="{00000000-0005-0000-0000-000028020000}"/>
    <cellStyle name="Separador de milhares 3 2" xfId="455" xr:uid="{00000000-0005-0000-0000-000029020000}"/>
    <cellStyle name="Separador de milhares 3 2 2" xfId="456" xr:uid="{00000000-0005-0000-0000-00002A020000}"/>
    <cellStyle name="Separador de milhares 3 2 2 2" xfId="457" xr:uid="{00000000-0005-0000-0000-00002B020000}"/>
    <cellStyle name="Separador de milhares 3 2 2 2 2" xfId="458" xr:uid="{00000000-0005-0000-0000-00002C020000}"/>
    <cellStyle name="Separador de milhares 3 2 2 2 3" xfId="812" xr:uid="{4F5C8229-C4CE-4B0D-86E7-F586655B17AE}"/>
    <cellStyle name="Separador de milhares 3 2 2 2 3 2" xfId="1088" xr:uid="{17092DA9-A324-4440-9806-E1E449CDF673}"/>
    <cellStyle name="Separador de milhares 3 2 2 3" xfId="459" xr:uid="{00000000-0005-0000-0000-00002D020000}"/>
    <cellStyle name="Separador de milhares 3 2 2 3 2" xfId="460" xr:uid="{00000000-0005-0000-0000-00002E020000}"/>
    <cellStyle name="Separador de milhares 3 2 2 3 3" xfId="813" xr:uid="{AF49F818-277F-4C60-BF40-3BCACA6FEEAA}"/>
    <cellStyle name="Separador de milhares 3 2 2 3 3 2" xfId="1089" xr:uid="{794958A4-C98C-46CF-9BFF-D5BD140D6BDD}"/>
    <cellStyle name="Separador de milhares 3 2 2 4" xfId="461" xr:uid="{00000000-0005-0000-0000-00002F020000}"/>
    <cellStyle name="Separador de milhares 3 2 2 5" xfId="811" xr:uid="{FB09C6CB-5A10-4C76-B92F-DC028E047259}"/>
    <cellStyle name="Separador de milhares 3 2 2 5 2" xfId="1087" xr:uid="{CF309F85-0086-4F38-A531-D9C962B339D9}"/>
    <cellStyle name="Separador de milhares 3 2 3" xfId="462" xr:uid="{00000000-0005-0000-0000-000030020000}"/>
    <cellStyle name="Separador de milhares 3 2 3 2" xfId="463" xr:uid="{00000000-0005-0000-0000-000031020000}"/>
    <cellStyle name="Separador de milhares 3 2 3 3" xfId="814" xr:uid="{32A0F686-5D7B-4525-A2AA-541E2DF2538C}"/>
    <cellStyle name="Separador de milhares 3 2 3 3 2" xfId="1090" xr:uid="{EEC28487-DA76-4BBB-98BD-E7739457F55C}"/>
    <cellStyle name="Separador de milhares 3 2 4" xfId="464" xr:uid="{00000000-0005-0000-0000-000032020000}"/>
    <cellStyle name="Separador de milhares 3 2 4 2" xfId="465" xr:uid="{00000000-0005-0000-0000-000033020000}"/>
    <cellStyle name="Separador de milhares 3 2 4 3" xfId="815" xr:uid="{FC1721CF-E45D-468D-B202-69E82FB4B6D4}"/>
    <cellStyle name="Separador de milhares 3 2 4 3 2" xfId="1091" xr:uid="{BBAC75F9-2E37-4F7E-B446-96D391CE6135}"/>
    <cellStyle name="Separador de milhares 3 2 5" xfId="466" xr:uid="{00000000-0005-0000-0000-000034020000}"/>
    <cellStyle name="Separador de milhares 3 2 6" xfId="467" xr:uid="{00000000-0005-0000-0000-000035020000}"/>
    <cellStyle name="Separador de milhares 3 2 7" xfId="810" xr:uid="{313289E4-F250-44AB-9EEB-EE43E47661D7}"/>
    <cellStyle name="Separador de milhares 3 2 7 2" xfId="1086" xr:uid="{8B69AF87-1D0B-430B-95E4-68E52248C848}"/>
    <cellStyle name="Separador de milhares 3 3" xfId="468" xr:uid="{00000000-0005-0000-0000-000036020000}"/>
    <cellStyle name="Separador de milhares 3 3 2" xfId="469" xr:uid="{00000000-0005-0000-0000-000037020000}"/>
    <cellStyle name="Separador de milhares 3 4" xfId="470" xr:uid="{00000000-0005-0000-0000-000038020000}"/>
    <cellStyle name="Separador de milhares 3 4 2" xfId="471" xr:uid="{00000000-0005-0000-0000-000039020000}"/>
    <cellStyle name="Separador de milhares 3 4 3" xfId="819" xr:uid="{9FEEF772-78A9-4B36-8DAF-AC7851964727}"/>
    <cellStyle name="Separador de milhares 3 4 3 2" xfId="1095" xr:uid="{C602ED3E-9862-41A0-9A97-D2BAB18A5ED7}"/>
    <cellStyle name="Separador de milhares 3 5" xfId="472" xr:uid="{00000000-0005-0000-0000-00003A020000}"/>
    <cellStyle name="Separador de milhares 3 6" xfId="473" xr:uid="{00000000-0005-0000-0000-00003B020000}"/>
    <cellStyle name="Separador de milhares 3 7" xfId="809" xr:uid="{B409E9C0-DD3F-4215-9DB1-E0C8F9CE31F8}"/>
    <cellStyle name="Separador de milhares 3 7 2" xfId="1085" xr:uid="{BBA749E5-405F-4A35-B781-5D0C79B1C9DF}"/>
    <cellStyle name="Separador de milhares 3_1 medição" xfId="474" xr:uid="{00000000-0005-0000-0000-00003C020000}"/>
    <cellStyle name="Separador de milhares 4" xfId="475" xr:uid="{00000000-0005-0000-0000-00003D020000}"/>
    <cellStyle name="Separador de milhares 4 2" xfId="476" xr:uid="{00000000-0005-0000-0000-00003E020000}"/>
    <cellStyle name="Separador de milhares 4 2 2" xfId="477" xr:uid="{00000000-0005-0000-0000-00003F020000}"/>
    <cellStyle name="Separador de milhares 4 2 3" xfId="821" xr:uid="{40F14FAA-2602-4443-9BA3-B0419D935E80}"/>
    <cellStyle name="Separador de milhares 4 2 3 2" xfId="1097" xr:uid="{D6AF353C-B426-45D8-9A75-97DE367320AB}"/>
    <cellStyle name="Separador de milhares 4 3" xfId="478" xr:uid="{00000000-0005-0000-0000-000040020000}"/>
    <cellStyle name="Separador de milhares 4 3 2" xfId="479" xr:uid="{00000000-0005-0000-0000-000041020000}"/>
    <cellStyle name="Separador de milhares 4 4" xfId="480" xr:uid="{00000000-0005-0000-0000-000042020000}"/>
    <cellStyle name="Separador de milhares 4 5" xfId="481" xr:uid="{00000000-0005-0000-0000-000043020000}"/>
    <cellStyle name="Separador de milhares 4 6" xfId="820" xr:uid="{DF1A1BE1-F097-4AF3-A5CC-FE3B4C1BD7CD}"/>
    <cellStyle name="Separador de milhares 4 6 2" xfId="1096" xr:uid="{1D05B2C5-4A3A-4DEB-8CA1-E21A7F2A6C54}"/>
    <cellStyle name="Separador de milhares 5" xfId="482" xr:uid="{00000000-0005-0000-0000-000044020000}"/>
    <cellStyle name="Separador de milhares 5 2" xfId="483" xr:uid="{00000000-0005-0000-0000-000045020000}"/>
    <cellStyle name="Separador de milhares 5 3" xfId="484" xr:uid="{00000000-0005-0000-0000-000046020000}"/>
    <cellStyle name="Separador de milhares 5 4" xfId="822" xr:uid="{1A40ADE2-5880-4FC6-AA6B-C56DC080C67D}"/>
    <cellStyle name="Separador de milhares 5 4 2" xfId="1098" xr:uid="{F99C8CBD-696F-45A3-B84B-5842003FF549}"/>
    <cellStyle name="Separador de milhares 6" xfId="485" xr:uid="{00000000-0005-0000-0000-000047020000}"/>
    <cellStyle name="Separador de milhares 6 2" xfId="486" xr:uid="{00000000-0005-0000-0000-000048020000}"/>
    <cellStyle name="Separador de milhares 6 2 2" xfId="487" xr:uid="{00000000-0005-0000-0000-000049020000}"/>
    <cellStyle name="Separador de milhares 6 2 3" xfId="824" xr:uid="{A5A6B5B9-9EEA-46E1-87BB-529FF8B7317A}"/>
    <cellStyle name="Separador de milhares 6 2 3 2" xfId="1100" xr:uid="{ED811C36-2605-4263-9731-D93F4AF9F3CF}"/>
    <cellStyle name="Separador de milhares 6 3" xfId="488" xr:uid="{00000000-0005-0000-0000-00004A020000}"/>
    <cellStyle name="Separador de milhares 6 3 2" xfId="489" xr:uid="{00000000-0005-0000-0000-00004B020000}"/>
    <cellStyle name="Separador de milhares 6 4" xfId="490" xr:uid="{00000000-0005-0000-0000-00004C020000}"/>
    <cellStyle name="Separador de milhares 6 5" xfId="823" xr:uid="{011C6FBE-ACF7-4ABD-9BAC-8D5FE306348C}"/>
    <cellStyle name="Separador de milhares 6 5 2" xfId="1099" xr:uid="{17B41CD6-8DC5-429E-A271-99E3C083853B}"/>
    <cellStyle name="Separador de milhares 7" xfId="491" xr:uid="{00000000-0005-0000-0000-00004D020000}"/>
    <cellStyle name="Separador de milhares 7 2" xfId="492" xr:uid="{00000000-0005-0000-0000-00004E020000}"/>
    <cellStyle name="Separador de milhares 8" xfId="493" xr:uid="{00000000-0005-0000-0000-00004F020000}"/>
    <cellStyle name="Separador de milhares 8 2" xfId="494" xr:uid="{00000000-0005-0000-0000-000050020000}"/>
    <cellStyle name="Separador de milhares 9" xfId="495" xr:uid="{00000000-0005-0000-0000-000051020000}"/>
    <cellStyle name="Separador de milhares 9 2" xfId="496" xr:uid="{00000000-0005-0000-0000-000052020000}"/>
    <cellStyle name="Separador de milhares 9 3" xfId="825" xr:uid="{7B63B6B3-F111-4481-8F7C-31EDD36AE3AD}"/>
    <cellStyle name="Separador de milhares 9 3 2" xfId="1101" xr:uid="{07037D3A-BD0D-4009-A16E-7EA3DCD206D5}"/>
    <cellStyle name="Sepavador de milhares [0]_Pasta2" xfId="497" xr:uid="{00000000-0005-0000-0000-000053020000}"/>
    <cellStyle name="Standard_Bearbeitung" xfId="498" xr:uid="{00000000-0005-0000-0000-000054020000}"/>
    <cellStyle name="Stück" xfId="499" xr:uid="{00000000-0005-0000-0000-000055020000}"/>
    <cellStyle name="Texto de Aviso" xfId="710" builtinId="11" customBuiltin="1"/>
    <cellStyle name="Texto de Aviso 2" xfId="500" xr:uid="{00000000-0005-0000-0000-000056020000}"/>
    <cellStyle name="Texto Explicativo" xfId="711" builtinId="53" customBuiltin="1"/>
    <cellStyle name="Texto Explicativo 2" xfId="501" xr:uid="{00000000-0005-0000-0000-000057020000}"/>
    <cellStyle name="Title" xfId="502" xr:uid="{00000000-0005-0000-0000-000058020000}"/>
    <cellStyle name="Título 1" xfId="699" builtinId="16" customBuiltin="1"/>
    <cellStyle name="Título 1 1" xfId="503" xr:uid="{00000000-0005-0000-0000-000059020000}"/>
    <cellStyle name="Título 1 2" xfId="504" xr:uid="{00000000-0005-0000-0000-00005A020000}"/>
    <cellStyle name="Título 2" xfId="700" builtinId="17" customBuiltin="1"/>
    <cellStyle name="Título 2 2" xfId="505" xr:uid="{00000000-0005-0000-0000-00005B020000}"/>
    <cellStyle name="Título 3" xfId="701" builtinId="18" customBuiltin="1"/>
    <cellStyle name="Título 3 2" xfId="506" xr:uid="{00000000-0005-0000-0000-00005C020000}"/>
    <cellStyle name="Título 3 2 2" xfId="826" xr:uid="{87D9FE69-4014-4D50-B0C1-30C0D7510207}"/>
    <cellStyle name="Título 3 2 2 2" xfId="1102" xr:uid="{BF776CF0-F483-45C8-8C85-DD3264F1AC9D}"/>
    <cellStyle name="Título 4" xfId="702" builtinId="19" customBuiltin="1"/>
    <cellStyle name="Título 4 2" xfId="507" xr:uid="{00000000-0005-0000-0000-00005D020000}"/>
    <cellStyle name="Título 5" xfId="508" xr:uid="{00000000-0005-0000-0000-00005E020000}"/>
    <cellStyle name="Título 6" xfId="883" xr:uid="{B09701DF-A873-4002-825F-83E5CFCDFD7A}"/>
    <cellStyle name="Titulo1" xfId="509" xr:uid="{00000000-0005-0000-0000-00005F020000}"/>
    <cellStyle name="Titulo1 2" xfId="510" xr:uid="{00000000-0005-0000-0000-000060020000}"/>
    <cellStyle name="Titulo1 2 2" xfId="511" xr:uid="{00000000-0005-0000-0000-000061020000}"/>
    <cellStyle name="Titulo1 3" xfId="512" xr:uid="{00000000-0005-0000-0000-000062020000}"/>
    <cellStyle name="Titulo2" xfId="513" xr:uid="{00000000-0005-0000-0000-000063020000}"/>
    <cellStyle name="Titulo2 2" xfId="514" xr:uid="{00000000-0005-0000-0000-000064020000}"/>
    <cellStyle name="Titulo2 2 2" xfId="515" xr:uid="{00000000-0005-0000-0000-000065020000}"/>
    <cellStyle name="Titulo2 3" xfId="516" xr:uid="{00000000-0005-0000-0000-000066020000}"/>
    <cellStyle name="Total" xfId="712" builtinId="25" customBuiltin="1"/>
    <cellStyle name="Total 2" xfId="517" xr:uid="{00000000-0005-0000-0000-000067020000}"/>
    <cellStyle name="Total 2 2" xfId="827" xr:uid="{6B42D9D5-A6C4-4B4C-BD99-E42DE59F304F}"/>
    <cellStyle name="Total 2 2 2" xfId="1103" xr:uid="{102BBB7F-7DCE-49B3-A347-208B81C79B0F}"/>
    <cellStyle name="Total 2 3" xfId="816" xr:uid="{929B3F63-3FC7-4B75-9AB7-0C740746E2A2}"/>
    <cellStyle name="Total 2 3 2" xfId="1092" xr:uid="{5F492FB3-BF1B-4A26-A1AB-94EFF399C521}"/>
    <cellStyle name="Total 2 4" xfId="971" xr:uid="{643F6837-415F-494A-A5DC-D5446A0D0CF9}"/>
    <cellStyle name="Total 3" xfId="518" xr:uid="{00000000-0005-0000-0000-000068020000}"/>
    <cellStyle name="Total 3 2" xfId="519" xr:uid="{00000000-0005-0000-0000-000069020000}"/>
    <cellStyle name="Total 3 2 2" xfId="829" xr:uid="{E3FFA53E-EF33-458E-93C3-8297CD45AA0D}"/>
    <cellStyle name="Total 3 2 2 2" xfId="1105" xr:uid="{37FE49BC-8B42-4BBC-904A-AECAF61E36DC}"/>
    <cellStyle name="Total 3 2 3" xfId="818" xr:uid="{854F507A-FF79-467D-9C54-771B27EAC5A9}"/>
    <cellStyle name="Total 3 2 3 2" xfId="1094" xr:uid="{3C7D5C61-C48B-4782-A672-1367A2F37957}"/>
    <cellStyle name="Total 3 2 4" xfId="973" xr:uid="{389FCAF6-296B-466A-A12B-6931440E465A}"/>
    <cellStyle name="Total 3 3" xfId="828" xr:uid="{1114D4B6-BB2C-4728-8553-F67865C54A57}"/>
    <cellStyle name="Total 3 3 2" xfId="1104" xr:uid="{BB511A7C-E478-49CD-B284-1CAE05DDFC2D}"/>
    <cellStyle name="Total 3 4" xfId="817" xr:uid="{C001DDDB-DB93-49A3-82BC-BE4B906D3F4C}"/>
    <cellStyle name="Total 3 4 2" xfId="1093" xr:uid="{34E7B745-1EDC-4566-982C-F6A901861472}"/>
    <cellStyle name="Total 3 5" xfId="972" xr:uid="{1CF50B15-C999-4447-9986-02865757CA0A}"/>
    <cellStyle name="Vírgula" xfId="2" builtinId="3"/>
    <cellStyle name="Vírgula 10" xfId="520" xr:uid="{00000000-0005-0000-0000-00006B020000}"/>
    <cellStyle name="Vírgula 10 2" xfId="521" xr:uid="{00000000-0005-0000-0000-00006C020000}"/>
    <cellStyle name="Vírgula 10 2 2" xfId="831" xr:uid="{33925D3F-599C-45B8-AC02-D114E8140666}"/>
    <cellStyle name="Vírgula 10 2 2 2" xfId="1107" xr:uid="{58629F06-A98F-436B-8C82-2C4FA040F3E8}"/>
    <cellStyle name="Vírgula 10 3" xfId="522" xr:uid="{00000000-0005-0000-0000-00006D020000}"/>
    <cellStyle name="Vírgula 10 4" xfId="830" xr:uid="{83A6028B-BC35-4E56-9003-C232B6C1776D}"/>
    <cellStyle name="Vírgula 10 4 2" xfId="1106" xr:uid="{96B42B65-EFCE-42C5-A191-BFB8B37BFD5D}"/>
    <cellStyle name="Vírgula 11" xfId="523" xr:uid="{00000000-0005-0000-0000-00006E020000}"/>
    <cellStyle name="Vírgula 11 2" xfId="524" xr:uid="{00000000-0005-0000-0000-00006F020000}"/>
    <cellStyle name="Vírgula 11 2 2" xfId="833" xr:uid="{4C8DA440-C328-48F5-95F9-60191B0808D8}"/>
    <cellStyle name="Vírgula 11 2 2 2" xfId="1109" xr:uid="{567360DC-357D-4708-9342-58E80AA1AC4E}"/>
    <cellStyle name="Vírgula 11 3" xfId="525" xr:uid="{00000000-0005-0000-0000-000070020000}"/>
    <cellStyle name="Vírgula 11 4" xfId="832" xr:uid="{42A57868-392C-41A1-9F71-ED9801D31CD5}"/>
    <cellStyle name="Vírgula 11 4 2" xfId="1108" xr:uid="{A5F0EDBE-504D-4C7C-A926-7A72ED46C3D3}"/>
    <cellStyle name="Vírgula 12" xfId="526" xr:uid="{00000000-0005-0000-0000-000071020000}"/>
    <cellStyle name="Vírgula 12 2" xfId="834" xr:uid="{2B0A515A-2AA4-419A-9669-29382E9C475A}"/>
    <cellStyle name="Vírgula 12 2 2" xfId="1110" xr:uid="{10C2AD5C-9B37-4978-A78B-264A8830785F}"/>
    <cellStyle name="Vírgula 12 3" xfId="974" xr:uid="{03204544-8ACC-4238-AD42-76A441B7FA6C}"/>
    <cellStyle name="Vírgula 13" xfId="527" xr:uid="{00000000-0005-0000-0000-000072020000}"/>
    <cellStyle name="Vírgula 13 2" xfId="835" xr:uid="{CDAB102C-9E76-465D-BD5C-8FD21BFD6788}"/>
    <cellStyle name="Vírgula 13 2 2" xfId="902" xr:uid="{97A828F4-D556-4B6E-99DF-573B77E749F8}"/>
    <cellStyle name="Vírgula 13 2 2 2" xfId="1155" xr:uid="{10554AA7-E250-46C2-A60C-E86EBEF7407F}"/>
    <cellStyle name="Vírgula 13 2 3" xfId="1111" xr:uid="{B91D6914-A8CE-4387-9BB6-6D2AE421E669}"/>
    <cellStyle name="Vírgula 14" xfId="528" xr:uid="{00000000-0005-0000-0000-000073020000}"/>
    <cellStyle name="Vírgula 14 2" xfId="901" xr:uid="{D9F63937-604E-432A-ABCE-0C2A100E575B}"/>
    <cellStyle name="Vírgula 14 2 2" xfId="1154" xr:uid="{5836B6D4-E555-4707-9F95-D84EE6B611F4}"/>
    <cellStyle name="Vírgula 15" xfId="576" xr:uid="{00000000-0005-0000-0000-000074020000}"/>
    <cellStyle name="Vírgula 16" xfId="675" xr:uid="{34D9F43B-EFF0-454E-904B-68FBC9A6F546}"/>
    <cellStyle name="Vírgula 16 2" xfId="865" xr:uid="{F1CBF6B7-E8C9-4E44-AF34-9432205BD8C1}"/>
    <cellStyle name="Vírgula 16 2 2" xfId="1140" xr:uid="{429D66D2-3EE7-4318-A1E7-54456C0930D0}"/>
    <cellStyle name="Vírgula 16 3" xfId="980" xr:uid="{9F6D9285-ACDC-4304-B454-96DEC0F77573}"/>
    <cellStyle name="Vírgula 17" xfId="677" xr:uid="{8E68946E-92EE-454D-A8BA-FB2A35F25FE7}"/>
    <cellStyle name="Vírgula 17 2" xfId="982" xr:uid="{2FD2FCA4-45ED-4EF9-88D0-C04ADC64319C}"/>
    <cellStyle name="Vírgula 18" xfId="685" xr:uid="{9F067CE3-2F37-40E1-A3CD-E2D69EADA067}"/>
    <cellStyle name="Vírgula 18 2" xfId="912" xr:uid="{BD5CA20B-1021-481B-89F5-13D21DAEAB2B}"/>
    <cellStyle name="Vírgula 18 3" xfId="988" xr:uid="{93FB9BE5-DD9B-46B3-93C1-83350ABAD7CE}"/>
    <cellStyle name="Vírgula 19" xfId="904" xr:uid="{7A9E06F2-A028-4BF9-8177-E0E1B955FEF8}"/>
    <cellStyle name="Vírgula 19 2" xfId="1157" xr:uid="{950276E9-104B-47A4-87F3-F6D2AE5991FB}"/>
    <cellStyle name="Vírgula 2" xfId="5" xr:uid="{00000000-0005-0000-0000-000075020000}"/>
    <cellStyle name="Vírgula 2 2" xfId="529" xr:uid="{00000000-0005-0000-0000-000076020000}"/>
    <cellStyle name="Vírgula 2 2 2" xfId="530" xr:uid="{00000000-0005-0000-0000-000077020000}"/>
    <cellStyle name="Vírgula 2 2 2 2" xfId="531" xr:uid="{00000000-0005-0000-0000-000078020000}"/>
    <cellStyle name="Vírgula 2 2 2 3" xfId="837" xr:uid="{5C88C693-9FC8-4AC8-8662-074210D5E92C}"/>
    <cellStyle name="Vírgula 2 2 2 3 2" xfId="1113" xr:uid="{8780DA4D-F822-4CA8-A098-5A61170FBC2F}"/>
    <cellStyle name="Vírgula 2 2 3" xfId="532" xr:uid="{00000000-0005-0000-0000-000079020000}"/>
    <cellStyle name="Vírgula 2 2 3 2" xfId="533" xr:uid="{00000000-0005-0000-0000-00007A020000}"/>
    <cellStyle name="Vírgula 2 2 3 3" xfId="838" xr:uid="{346E7AA3-4124-4BE8-BFA2-C8AAA63AE123}"/>
    <cellStyle name="Vírgula 2 2 3 3 2" xfId="1114" xr:uid="{1F33B6CD-BCB9-464C-AEDD-F9E19526F958}"/>
    <cellStyle name="Vírgula 2 2 4" xfId="534" xr:uid="{00000000-0005-0000-0000-00007B020000}"/>
    <cellStyle name="Vírgula 2 2 5" xfId="836" xr:uid="{153E2CFB-3478-428F-9450-A8F8CBA79966}"/>
    <cellStyle name="Vírgula 2 2 5 2" xfId="1112" xr:uid="{95192E46-37FD-4106-A1FC-47DA9CD9DDA0}"/>
    <cellStyle name="Vírgula 2 3" xfId="535" xr:uid="{00000000-0005-0000-0000-00007C020000}"/>
    <cellStyle name="Vírgula 2 3 2" xfId="536" xr:uid="{00000000-0005-0000-0000-00007D020000}"/>
    <cellStyle name="Vírgula 2 3 3" xfId="839" xr:uid="{387CA3D2-C3B5-4EC6-BD10-9E19D410BCBA}"/>
    <cellStyle name="Vírgula 2 3 3 2" xfId="1115" xr:uid="{C1F2EF46-7E0D-463B-873D-FF17DAE816C6}"/>
    <cellStyle name="Vírgula 2 4" xfId="537" xr:uid="{00000000-0005-0000-0000-00007E020000}"/>
    <cellStyle name="Vírgula 2 4 2" xfId="538" xr:uid="{00000000-0005-0000-0000-00007F020000}"/>
    <cellStyle name="Vírgula 2 4 3" xfId="840" xr:uid="{7D08DB3B-D7FE-4540-A460-64FC3EC5D4AC}"/>
    <cellStyle name="Vírgula 2 4 3 2" xfId="1116" xr:uid="{E69C021B-F261-41D4-9AC9-5A2038DF5912}"/>
    <cellStyle name="Vírgula 2 4 4" xfId="975" xr:uid="{ECD7AF0F-9939-4EAF-A641-7BF3FF3EBAC4}"/>
    <cellStyle name="Vírgula 2 5" xfId="539" xr:uid="{00000000-0005-0000-0000-000080020000}"/>
    <cellStyle name="Vírgula 2 5 2" xfId="540" xr:uid="{00000000-0005-0000-0000-000081020000}"/>
    <cellStyle name="Vírgula 2 5 2 2" xfId="842" xr:uid="{06EB6551-78DB-48BE-B350-CA4DB1CB1FC0}"/>
    <cellStyle name="Vírgula 2 5 2 2 2" xfId="1118" xr:uid="{41515CA3-06ED-47D7-A01A-62647EDE7EAE}"/>
    <cellStyle name="Vírgula 2 5 3" xfId="841" xr:uid="{A11E7522-A487-4858-9B4F-9E11A0A0183C}"/>
    <cellStyle name="Vírgula 2 5 3 2" xfId="1117" xr:uid="{A637259B-3D3F-4ABC-BE25-0111E69FCBB5}"/>
    <cellStyle name="Vírgula 2 6" xfId="541" xr:uid="{00000000-0005-0000-0000-000082020000}"/>
    <cellStyle name="Vírgula 2 6 2" xfId="843" xr:uid="{AF8EDB99-BD63-412D-A4EE-AC8EA823A439}"/>
    <cellStyle name="Vírgula 2 6 2 2" xfId="1119" xr:uid="{3122BD04-82B2-4E47-BA14-3CDD6A6A7603}"/>
    <cellStyle name="Vírgula 2 7" xfId="542" xr:uid="{00000000-0005-0000-0000-000083020000}"/>
    <cellStyle name="Vírgula 2 8" xfId="680" xr:uid="{04DE6663-9A0F-4765-A598-9BE7271D136A}"/>
    <cellStyle name="Vírgula 2 8 2" xfId="875" xr:uid="{6ACBFA19-FC25-4B9C-9385-D28587A46093}"/>
    <cellStyle name="Vírgula 2 8 3" xfId="984" xr:uid="{DC84CD8C-47F4-4864-9321-A93FAACF90D5}"/>
    <cellStyle name="Vírgula 20" xfId="907" xr:uid="{EDE3C50B-E4E1-4778-B56B-CC9AD4C1FE66}"/>
    <cellStyle name="Vírgula 20 2" xfId="1160" xr:uid="{1736B8CD-6FB8-4E83-AF75-FE8F9EEDF15D}"/>
    <cellStyle name="Vírgula 21" xfId="909" xr:uid="{09B735AA-1883-4120-8913-21CF35F8D571}"/>
    <cellStyle name="Vírgula 22" xfId="1161" xr:uid="{0A5BBC4E-4F2B-47A3-8D0D-576B21ACADE1}"/>
    <cellStyle name="Vírgula 24" xfId="1162" xr:uid="{292A7875-C31E-42FA-BB9D-D69D0A7BE662}"/>
    <cellStyle name="Vírgula 3" xfId="543" xr:uid="{00000000-0005-0000-0000-000084020000}"/>
    <cellStyle name="Vírgula 3 2" xfId="544" xr:uid="{00000000-0005-0000-0000-000085020000}"/>
    <cellStyle name="Vírgula 3 2 2" xfId="545" xr:uid="{00000000-0005-0000-0000-000086020000}"/>
    <cellStyle name="Vírgula 3 2 2 2" xfId="894" xr:uid="{1AD98CFC-C775-4D18-B97C-47ACF167924F}"/>
    <cellStyle name="Vírgula 3 2 2 2 2" xfId="1149" xr:uid="{2B11EDC4-0308-482B-8A19-CCF9293238A6}"/>
    <cellStyle name="Vírgula 3 2 3" xfId="881" xr:uid="{715AE9F6-3BE8-4308-81A8-3033F9B89474}"/>
    <cellStyle name="Vírgula 3 2 3 2" xfId="1146" xr:uid="{74E5433E-8726-46EC-9BCA-ABE4B0ED0E0F}"/>
    <cellStyle name="Vírgula 3 2 4" xfId="845" xr:uid="{62DB29A0-CB39-4A7C-966B-52BCCF704679}"/>
    <cellStyle name="Vírgula 3 2 4 2" xfId="1121" xr:uid="{66290CB0-96F7-4099-9AEA-E6295571B638}"/>
    <cellStyle name="Vírgula 3 3" xfId="546" xr:uid="{00000000-0005-0000-0000-000087020000}"/>
    <cellStyle name="Vírgula 3 3 2" xfId="547" xr:uid="{00000000-0005-0000-0000-000088020000}"/>
    <cellStyle name="Vírgula 3 3 3" xfId="893" xr:uid="{F59911BF-7A75-4087-9A45-E6F49481B9CA}"/>
    <cellStyle name="Vírgula 3 3 3 2" xfId="1148" xr:uid="{8F7D8B50-14E1-44DC-8EB8-9235824CD486}"/>
    <cellStyle name="Vírgula 3 3 4" xfId="846" xr:uid="{FBB81299-5335-492A-AA3E-ADADC0D03A77}"/>
    <cellStyle name="Vírgula 3 3 4 2" xfId="1122" xr:uid="{3626B3FC-745F-4689-93B7-5C82D71567FB}"/>
    <cellStyle name="Vírgula 3 4" xfId="548" xr:uid="{00000000-0005-0000-0000-000089020000}"/>
    <cellStyle name="Vírgula 3 5" xfId="876" xr:uid="{E4030365-E8AB-4784-90D1-FA2F98917331}"/>
    <cellStyle name="Vírgula 3 5 2" xfId="1145" xr:uid="{42C912AB-F1A9-46B5-BFAF-02624BC6B20D}"/>
    <cellStyle name="Vírgula 3 6" xfId="844" xr:uid="{0CC2AE34-1B4E-4D27-8CC1-893141E6FC62}"/>
    <cellStyle name="Vírgula 3 6 2" xfId="1120" xr:uid="{2A17A7EA-B84E-4FEA-87B0-936590E080A9}"/>
    <cellStyle name="Vírgula 4" xfId="549" xr:uid="{00000000-0005-0000-0000-00008A020000}"/>
    <cellStyle name="Vírgula 4 2" xfId="550" xr:uid="{00000000-0005-0000-0000-00008B020000}"/>
    <cellStyle name="Vírgula 4 2 2" xfId="551" xr:uid="{00000000-0005-0000-0000-00008C020000}"/>
    <cellStyle name="Vírgula 4 2 3" xfId="848" xr:uid="{9DB46EAD-9FC5-463F-B282-E041FED490A8}"/>
    <cellStyle name="Vírgula 4 2 3 2" xfId="1124" xr:uid="{3FF08CEA-B203-4376-A692-3DE769D0CC9F}"/>
    <cellStyle name="Vírgula 4 3" xfId="552" xr:uid="{00000000-0005-0000-0000-00008D020000}"/>
    <cellStyle name="Vírgula 4 4" xfId="847" xr:uid="{5379B432-1660-427C-AC41-8F2C9F1107F6}"/>
    <cellStyle name="Vírgula 4 4 2" xfId="1123" xr:uid="{524A91D5-BAF1-47CC-BAD5-201FD218A99C}"/>
    <cellStyle name="Vírgula 4 5" xfId="976" xr:uid="{05622549-F5AC-4E38-8371-70F81C3CFF84}"/>
    <cellStyle name="Vírgula 5" xfId="553" xr:uid="{00000000-0005-0000-0000-00008E020000}"/>
    <cellStyle name="Vírgula 5 2" xfId="554" xr:uid="{00000000-0005-0000-0000-00008F020000}"/>
    <cellStyle name="Vírgula 5 2 2" xfId="555" xr:uid="{00000000-0005-0000-0000-000090020000}"/>
    <cellStyle name="Vírgula 5 2 3" xfId="850" xr:uid="{D25DDD45-4992-434A-BB0F-3FF4EFC66A99}"/>
    <cellStyle name="Vírgula 5 2 3 2" xfId="1126" xr:uid="{0609C326-8678-47A1-BC4F-47827B3F6A1F}"/>
    <cellStyle name="Vírgula 5 3" xfId="556" xr:uid="{00000000-0005-0000-0000-000091020000}"/>
    <cellStyle name="Vírgula 5 4" xfId="849" xr:uid="{3F9BA237-312D-41D7-9B83-67A8EF200BC5}"/>
    <cellStyle name="Vírgula 5 4 2" xfId="1125" xr:uid="{F40797FA-1E11-44BC-BD4F-A77F29939BDE}"/>
    <cellStyle name="Vírgula 6" xfId="557" xr:uid="{00000000-0005-0000-0000-000092020000}"/>
    <cellStyle name="Vírgula 6 2" xfId="558" xr:uid="{00000000-0005-0000-0000-000093020000}"/>
    <cellStyle name="Vírgula 6 2 2" xfId="559" xr:uid="{00000000-0005-0000-0000-000094020000}"/>
    <cellStyle name="Vírgula 6 2 3" xfId="852" xr:uid="{65F9D480-BB05-4674-B928-B15119611D63}"/>
    <cellStyle name="Vírgula 6 2 3 2" xfId="917" xr:uid="{100599F3-D404-4111-A53E-A7F022452A8E}"/>
    <cellStyle name="Vírgula 6 2 3 3" xfId="1128" xr:uid="{64642F19-F01E-4CF0-9053-9DB3C0A4BD6B}"/>
    <cellStyle name="Vírgula 6 3" xfId="560" xr:uid="{00000000-0005-0000-0000-000095020000}"/>
    <cellStyle name="Vírgula 6 4" xfId="851" xr:uid="{6F98E3BF-F75B-4B56-8A09-6C16B700D018}"/>
    <cellStyle name="Vírgula 6 4 2" xfId="915" xr:uid="{5652B2B2-5F83-4071-9CB9-AD71D3050CD7}"/>
    <cellStyle name="Vírgula 6 4 3" xfId="1127" xr:uid="{94295C21-6579-46E6-8E6C-C0B0318356D1}"/>
    <cellStyle name="Vírgula 7" xfId="561" xr:uid="{00000000-0005-0000-0000-000096020000}"/>
    <cellStyle name="Vírgula 7 2" xfId="562" xr:uid="{00000000-0005-0000-0000-000097020000}"/>
    <cellStyle name="Vírgula 7 2 2" xfId="563" xr:uid="{00000000-0005-0000-0000-000098020000}"/>
    <cellStyle name="Vírgula 7 2 3" xfId="854" xr:uid="{9113710D-3118-429C-8E7D-B54B5224446B}"/>
    <cellStyle name="Vírgula 7 2 3 2" xfId="1130" xr:uid="{60612A42-8F7D-4A68-B1E2-4EF7EE3C915F}"/>
    <cellStyle name="Vírgula 7 3" xfId="564" xr:uid="{00000000-0005-0000-0000-000099020000}"/>
    <cellStyle name="Vírgula 7 4" xfId="853" xr:uid="{865C949D-95B6-40E3-AB95-E18882FC140B}"/>
    <cellStyle name="Vírgula 7 4 2" xfId="1129" xr:uid="{2CCBF5A8-717F-4C82-BEA1-3EB774ABE874}"/>
    <cellStyle name="Vírgula 8" xfId="565" xr:uid="{00000000-0005-0000-0000-00009A020000}"/>
    <cellStyle name="Vírgula 8 2" xfId="566" xr:uid="{00000000-0005-0000-0000-00009B020000}"/>
    <cellStyle name="Vírgula 8 2 2" xfId="567" xr:uid="{00000000-0005-0000-0000-00009C020000}"/>
    <cellStyle name="Vírgula 8 2 3" xfId="856" xr:uid="{8C0AFE7D-599F-4E74-BFEE-85D9F08D7B82}"/>
    <cellStyle name="Vírgula 8 2 3 2" xfId="1132" xr:uid="{192BDCA8-9E07-46ED-8A0C-199548D09B41}"/>
    <cellStyle name="Vírgula 8 3" xfId="568" xr:uid="{00000000-0005-0000-0000-00009D020000}"/>
    <cellStyle name="Vírgula 8 4" xfId="855" xr:uid="{DB71C3ED-5C3B-404C-AB31-6F881AF3BB2A}"/>
    <cellStyle name="Vírgula 8 4 2" xfId="1131" xr:uid="{5C673908-44E3-4E18-BD34-056CCF59FFB3}"/>
    <cellStyle name="Vírgula 9" xfId="569" xr:uid="{00000000-0005-0000-0000-00009E020000}"/>
    <cellStyle name="Vírgula 9 2" xfId="570" xr:uid="{00000000-0005-0000-0000-00009F020000}"/>
    <cellStyle name="Vírgula 9 2 2" xfId="858" xr:uid="{ECC0567B-94BD-4E34-A536-F2A5EEB84A15}"/>
    <cellStyle name="Vírgula 9 2 2 2" xfId="1134" xr:uid="{D202E331-F06D-4BEF-B306-E7689062C91A}"/>
    <cellStyle name="Vírgula 9 3" xfId="571" xr:uid="{00000000-0005-0000-0000-0000A0020000}"/>
    <cellStyle name="Vírgula 9 4" xfId="857" xr:uid="{5EF2CC08-AA33-4915-9BC3-9CC5B69C57E0}"/>
    <cellStyle name="Vírgula 9 4 2" xfId="1133" xr:uid="{E465E0E2-38BC-44FF-A130-D3CE01EF0CB9}"/>
    <cellStyle name="Warning Text" xfId="572" xr:uid="{00000000-0005-0000-0000-0000A1020000}"/>
  </cellStyles>
  <dxfs count="94">
    <dxf>
      <font>
        <b val="0"/>
        <condense val="0"/>
        <extend val="0"/>
        <color indexed="9"/>
      </font>
      <fill>
        <patternFill patternType="solid">
          <fgColor indexed="26"/>
          <bgColor indexed="9"/>
        </patternFill>
      </fill>
    </dxf>
    <dxf>
      <font>
        <b val="0"/>
        <condense val="0"/>
        <extend val="0"/>
        <color indexed="9"/>
      </font>
      <fill>
        <patternFill patternType="solid">
          <fgColor indexed="26"/>
          <bgColor indexed="9"/>
        </patternFill>
      </fill>
    </dxf>
    <dxf>
      <font>
        <b val="0"/>
        <i val="0"/>
        <strike val="0"/>
        <condense val="0"/>
        <extend val="0"/>
        <u val="none"/>
        <color indexed="0"/>
      </font>
      <fill>
        <patternFill patternType="solid">
          <fgColor indexed="23"/>
          <bgColor indexed="54"/>
        </patternFill>
      </fill>
    </dxf>
    <dxf>
      <fill>
        <patternFill patternType="solid">
          <fgColor indexed="26"/>
          <bgColor indexed="9"/>
        </patternFill>
      </fill>
    </dxf>
    <dxf>
      <font>
        <b val="0"/>
        <i val="0"/>
        <strike val="0"/>
        <condense val="0"/>
        <extend val="0"/>
        <u val="none"/>
        <color indexed="0"/>
      </font>
      <fill>
        <patternFill patternType="solid">
          <fgColor indexed="23"/>
          <bgColor indexed="54"/>
        </patternFill>
      </fill>
    </dxf>
    <dxf>
      <font>
        <b val="0"/>
        <i val="0"/>
        <strike val="0"/>
        <condense val="0"/>
        <extend val="0"/>
        <u val="none"/>
        <color indexed="0"/>
      </font>
      <fill>
        <patternFill patternType="solid">
          <fgColor indexed="23"/>
          <bgColor indexed="54"/>
        </patternFill>
      </fill>
    </dxf>
    <dxf>
      <fill>
        <patternFill patternType="solid">
          <fgColor indexed="23"/>
          <bgColor indexed="54"/>
        </patternFill>
      </fill>
    </dxf>
    <dxf>
      <font>
        <b/>
        <i val="0"/>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ill>
        <patternFill>
          <bgColor rgb="FFFFFF00"/>
        </patternFill>
      </fill>
    </dxf>
    <dxf>
      <fill>
        <patternFill>
          <bgColor rgb="FFFF0000"/>
        </patternFill>
      </fill>
    </dxf>
    <dxf>
      <fill>
        <patternFill>
          <bgColor theme="9" tint="-0.24994659260841701"/>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rgb="FFFFFF00"/>
        </patternFill>
      </fill>
    </dxf>
    <dxf>
      <fill>
        <patternFill>
          <bgColor theme="9" tint="-0.24994659260841701"/>
        </patternFill>
      </fill>
    </dxf>
    <dxf>
      <font>
        <b/>
        <i val="0"/>
      </font>
      <fill>
        <patternFill>
          <bgColor rgb="FFFFFF00"/>
        </patternFill>
      </fill>
    </dxf>
    <dxf>
      <font>
        <b/>
        <i val="0"/>
        <color theme="0"/>
      </font>
      <fill>
        <patternFill>
          <bgColor rgb="FFFF00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font>
      <fill>
        <patternFill>
          <bgColor rgb="FFFFFF00"/>
        </patternFill>
      </fill>
    </dxf>
    <dxf>
      <font>
        <b/>
        <i val="0"/>
        <color theme="0"/>
      </font>
      <fill>
        <patternFill>
          <bgColor rgb="FF02AA2E"/>
        </patternFill>
      </fill>
    </dxf>
    <dxf>
      <font>
        <b/>
        <i val="0"/>
        <color theme="0"/>
      </font>
      <fill>
        <patternFill>
          <bgColor rgb="FFFF0000"/>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theme="9" tint="-0.24994659260841701"/>
        </patternFill>
      </fill>
    </dxf>
    <dxf>
      <fill>
        <patternFill>
          <bgColor rgb="FFFFFF00"/>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
      <fill>
        <patternFill>
          <bgColor rgb="FFFFFF00"/>
        </patternFill>
      </fill>
    </dxf>
    <dxf>
      <fill>
        <patternFill>
          <bgColor rgb="FFFF0000"/>
        </patternFill>
      </fill>
    </dxf>
    <dxf>
      <fill>
        <patternFill>
          <bgColor theme="9" tint="-0.24994659260841701"/>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
      <fill>
        <patternFill>
          <bgColor rgb="FFFFFF00"/>
        </patternFill>
      </fill>
    </dxf>
    <dxf>
      <fill>
        <patternFill>
          <bgColor rgb="FFFF0000"/>
        </patternFill>
      </fill>
    </dxf>
    <dxf>
      <fill>
        <patternFill>
          <bgColor theme="9" tint="-0.24994659260841701"/>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
      <fill>
        <patternFill>
          <bgColor theme="9" tint="-0.24994659260841701"/>
        </patternFill>
      </fill>
    </dxf>
    <dxf>
      <fill>
        <patternFill>
          <bgColor rgb="FFFFFF00"/>
        </patternFill>
      </fill>
    </dxf>
    <dxf>
      <fill>
        <patternFill>
          <bgColor rgb="FFFF0000"/>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FF00"/>
        </patternFill>
      </fill>
    </dxf>
    <dxf>
      <fill>
        <patternFill>
          <bgColor theme="9" tint="-0.24994659260841701"/>
        </patternFill>
      </fill>
    </dxf>
    <dxf>
      <fill>
        <patternFill>
          <bgColor rgb="FFFF0000"/>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
      <fill>
        <patternFill>
          <bgColor theme="9" tint="-0.24994659260841701"/>
        </patternFill>
      </fill>
    </dxf>
    <dxf>
      <fill>
        <patternFill>
          <bgColor rgb="FFFFFF00"/>
        </patternFill>
      </fill>
    </dxf>
    <dxf>
      <fill>
        <patternFill>
          <bgColor rgb="FFFF0000"/>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
      <fill>
        <patternFill>
          <bgColor theme="9" tint="-0.24994659260841701"/>
        </patternFill>
      </fill>
    </dxf>
    <dxf>
      <fill>
        <patternFill>
          <bgColor rgb="FFFFFF00"/>
        </patternFill>
      </fill>
    </dxf>
    <dxf>
      <fill>
        <patternFill>
          <bgColor rgb="FFFF0000"/>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
      <fill>
        <patternFill>
          <bgColor theme="9" tint="-0.24994659260841701"/>
        </patternFill>
      </fill>
    </dxf>
    <dxf>
      <fill>
        <patternFill>
          <bgColor rgb="FFFFFF00"/>
        </patternFill>
      </fill>
    </dxf>
    <dxf>
      <fill>
        <patternFill>
          <bgColor rgb="FFFF0000"/>
        </patternFill>
      </fill>
    </dxf>
    <dxf>
      <font>
        <b/>
        <i val="0"/>
        <color theme="0"/>
      </font>
      <fill>
        <patternFill>
          <bgColor rgb="FF02AA2E"/>
        </patternFill>
      </fill>
    </dxf>
    <dxf>
      <font>
        <b/>
        <i val="0"/>
      </font>
      <fill>
        <patternFill>
          <bgColor rgb="FFFFFF00"/>
        </patternFill>
      </fill>
    </dxf>
    <dxf>
      <font>
        <b/>
        <i val="0"/>
        <color theme="0"/>
      </font>
      <fill>
        <patternFill>
          <bgColor rgb="FFFF0000"/>
        </patternFill>
      </fill>
    </dxf>
  </dxfs>
  <tableStyles count="1" defaultTableStyle="TableStyleMedium2" defaultPivotStyle="PivotStyleLight16">
    <tableStyle name="Invisible" pivot="0" table="0" count="0" xr9:uid="{B9EB3ED0-E162-4070-8E88-52CEC67D2CE4}"/>
  </tableStyles>
  <colors>
    <mruColors>
      <color rgb="FFAF1B1B"/>
      <color rgb="FFEAEAEA"/>
      <color rgb="FFA3DCDB"/>
      <color rgb="FFED0505"/>
      <color rgb="FF78B832"/>
      <color rgb="FFCCFFCC"/>
      <color rgb="FFE50505"/>
      <color rgb="FFFFFFCC"/>
      <color rgb="FF87CB3D"/>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202250503539019E-2"/>
          <c:y val="4.0170620180316335E-2"/>
          <c:w val="0.94804457294083044"/>
          <c:h val="0.84734244174109874"/>
        </c:manualLayout>
      </c:layout>
      <c:bar3DChart>
        <c:barDir val="col"/>
        <c:grouping val="standard"/>
        <c:varyColors val="0"/>
        <c:ser>
          <c:idx val="0"/>
          <c:order val="0"/>
          <c:spPr>
            <a:solidFill>
              <a:srgbClr val="FF0000"/>
            </a:solidFill>
            <a:ln>
              <a:solidFill>
                <a:srgbClr val="EAEAEA"/>
              </a:solidFill>
            </a:ln>
            <a:effectLst/>
            <a:sp3d>
              <a:contourClr>
                <a:srgbClr val="EAEAEA"/>
              </a:contourClr>
            </a:sp3d>
          </c:spPr>
          <c:invertIfNegative val="0"/>
          <c:cat>
            <c:numRef>
              <c:f>APR!$AJ$20:$AJ$33</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APR!$AM$20:$AM$33</c:f>
              <c:numCache>
                <c:formatCode>General</c:formatCode>
                <c:ptCount val="14"/>
                <c:pt idx="0">
                  <c:v>3</c:v>
                </c:pt>
                <c:pt idx="1">
                  <c:v>0</c:v>
                </c:pt>
                <c:pt idx="2">
                  <c:v>1</c:v>
                </c:pt>
                <c:pt idx="3">
                  <c:v>1</c:v>
                </c:pt>
                <c:pt idx="4">
                  <c:v>0</c:v>
                </c:pt>
                <c:pt idx="5">
                  <c:v>0</c:v>
                </c:pt>
                <c:pt idx="6">
                  <c:v>4</c:v>
                </c:pt>
                <c:pt idx="7">
                  <c:v>2</c:v>
                </c:pt>
                <c:pt idx="8">
                  <c:v>2</c:v>
                </c:pt>
                <c:pt idx="9">
                  <c:v>1</c:v>
                </c:pt>
                <c:pt idx="10">
                  <c:v>0</c:v>
                </c:pt>
                <c:pt idx="11">
                  <c:v>3</c:v>
                </c:pt>
                <c:pt idx="12">
                  <c:v>0</c:v>
                </c:pt>
                <c:pt idx="13">
                  <c:v>0</c:v>
                </c:pt>
              </c:numCache>
            </c:numRef>
          </c:val>
          <c:extLst>
            <c:ext xmlns:c16="http://schemas.microsoft.com/office/drawing/2014/chart" uri="{C3380CC4-5D6E-409C-BE32-E72D297353CC}">
              <c16:uniqueId val="{00000000-EC3D-47D4-8BCB-3F0494C83C2B}"/>
            </c:ext>
          </c:extLst>
        </c:ser>
        <c:ser>
          <c:idx val="1"/>
          <c:order val="1"/>
          <c:spPr>
            <a:solidFill>
              <a:srgbClr val="FFFF00"/>
            </a:solidFill>
            <a:ln>
              <a:solidFill>
                <a:srgbClr val="EAEAEA"/>
              </a:solidFill>
            </a:ln>
            <a:effectLst/>
            <a:sp3d>
              <a:contourClr>
                <a:srgbClr val="EAEAEA"/>
              </a:contourClr>
            </a:sp3d>
          </c:spPr>
          <c:invertIfNegative val="0"/>
          <c:cat>
            <c:numRef>
              <c:f>APR!$AJ$20:$AJ$33</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APR!$AN$20:$AN$33</c:f>
              <c:numCache>
                <c:formatCode>General</c:formatCode>
                <c:ptCount val="14"/>
                <c:pt idx="0">
                  <c:v>0</c:v>
                </c:pt>
                <c:pt idx="1">
                  <c:v>0</c:v>
                </c:pt>
                <c:pt idx="2">
                  <c:v>0</c:v>
                </c:pt>
                <c:pt idx="3">
                  <c:v>0</c:v>
                </c:pt>
                <c:pt idx="4">
                  <c:v>6</c:v>
                </c:pt>
                <c:pt idx="5">
                  <c:v>6</c:v>
                </c:pt>
                <c:pt idx="6">
                  <c:v>0</c:v>
                </c:pt>
                <c:pt idx="7">
                  <c:v>0</c:v>
                </c:pt>
                <c:pt idx="8">
                  <c:v>0</c:v>
                </c:pt>
                <c:pt idx="9">
                  <c:v>0</c:v>
                </c:pt>
                <c:pt idx="10">
                  <c:v>0</c:v>
                </c:pt>
                <c:pt idx="11">
                  <c:v>0</c:v>
                </c:pt>
                <c:pt idx="12">
                  <c:v>7</c:v>
                </c:pt>
                <c:pt idx="13">
                  <c:v>7</c:v>
                </c:pt>
              </c:numCache>
            </c:numRef>
          </c:val>
          <c:extLst>
            <c:ext xmlns:c16="http://schemas.microsoft.com/office/drawing/2014/chart" uri="{C3380CC4-5D6E-409C-BE32-E72D297353CC}">
              <c16:uniqueId val="{00000001-EC3D-47D4-8BCB-3F0494C83C2B}"/>
            </c:ext>
          </c:extLst>
        </c:ser>
        <c:ser>
          <c:idx val="2"/>
          <c:order val="2"/>
          <c:spPr>
            <a:solidFill>
              <a:srgbClr val="02AA2E"/>
            </a:solidFill>
            <a:ln>
              <a:solidFill>
                <a:srgbClr val="EAEAEA"/>
              </a:solidFill>
            </a:ln>
            <a:effectLst/>
            <a:sp3d>
              <a:contourClr>
                <a:srgbClr val="EAEAEA"/>
              </a:contourClr>
            </a:sp3d>
          </c:spPr>
          <c:invertIfNegative val="0"/>
          <c:cat>
            <c:numRef>
              <c:f>APR!$AJ$20:$AJ$33</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APR!$AO$20:$AO$33</c:f>
              <c:numCache>
                <c:formatCode>General</c:formatCode>
                <c:ptCount val="14"/>
                <c:pt idx="0">
                  <c:v>0</c:v>
                </c:pt>
                <c:pt idx="1">
                  <c:v>9</c:v>
                </c:pt>
                <c:pt idx="2">
                  <c:v>0</c:v>
                </c:pt>
                <c:pt idx="3">
                  <c:v>0</c:v>
                </c:pt>
                <c:pt idx="4">
                  <c:v>0</c:v>
                </c:pt>
                <c:pt idx="5">
                  <c:v>0</c:v>
                </c:pt>
                <c:pt idx="6">
                  <c:v>0</c:v>
                </c:pt>
                <c:pt idx="7">
                  <c:v>0</c:v>
                </c:pt>
                <c:pt idx="8">
                  <c:v>0</c:v>
                </c:pt>
                <c:pt idx="9">
                  <c:v>0</c:v>
                </c:pt>
                <c:pt idx="10">
                  <c:v>8.6</c:v>
                </c:pt>
                <c:pt idx="11">
                  <c:v>0</c:v>
                </c:pt>
                <c:pt idx="12">
                  <c:v>0</c:v>
                </c:pt>
                <c:pt idx="13">
                  <c:v>0</c:v>
                </c:pt>
              </c:numCache>
            </c:numRef>
          </c:val>
          <c:extLst>
            <c:ext xmlns:c16="http://schemas.microsoft.com/office/drawing/2014/chart" uri="{C3380CC4-5D6E-409C-BE32-E72D297353CC}">
              <c16:uniqueId val="{00000002-EC3D-47D4-8BCB-3F0494C83C2B}"/>
            </c:ext>
          </c:extLst>
        </c:ser>
        <c:dLbls>
          <c:showLegendKey val="0"/>
          <c:showVal val="0"/>
          <c:showCatName val="0"/>
          <c:showSerName val="0"/>
          <c:showPercent val="0"/>
          <c:showBubbleSize val="0"/>
        </c:dLbls>
        <c:gapWidth val="150"/>
        <c:shape val="box"/>
        <c:axId val="109814272"/>
        <c:axId val="123920608"/>
        <c:axId val="2146338784"/>
      </c:bar3DChart>
      <c:catAx>
        <c:axId val="10981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pt-BR"/>
          </a:p>
        </c:txPr>
        <c:crossAx val="123920608"/>
        <c:crosses val="autoZero"/>
        <c:auto val="1"/>
        <c:lblAlgn val="ctr"/>
        <c:lblOffset val="100"/>
        <c:noMultiLvlLbl val="0"/>
      </c:catAx>
      <c:valAx>
        <c:axId val="123920608"/>
        <c:scaling>
          <c:orientation val="minMax"/>
          <c:max val="10"/>
        </c:scaling>
        <c:delete val="0"/>
        <c:axPos val="l"/>
        <c:majorGridlines>
          <c:spPr>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9814272"/>
        <c:crosses val="autoZero"/>
        <c:crossBetween val="between"/>
        <c:majorUnit val="1"/>
      </c:valAx>
      <c:serAx>
        <c:axId val="2146338784"/>
        <c:scaling>
          <c:orientation val="minMax"/>
        </c:scaling>
        <c:delete val="1"/>
        <c:axPos val="b"/>
        <c:majorTickMark val="none"/>
        <c:minorTickMark val="none"/>
        <c:tickLblPos val="nextTo"/>
        <c:crossAx val="123920608"/>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23"/>
</file>

<file path=xl/ctrlProps/ctrlProp2.xml><?xml version="1.0" encoding="utf-8"?>
<formControlPr xmlns="http://schemas.microsoft.com/office/spreadsheetml/2009/9/main" objectType="Radio"/>
</file>

<file path=xl/ctrlProps/ctrlProp3.xml><?xml version="1.0" encoding="utf-8"?>
<formControlPr xmlns="http://schemas.microsoft.com/office/spreadsheetml/2009/9/main" objectType="Radio"/>
</file>

<file path=xl/ctrlProps/ctrlProp4.xml><?xml version="1.0" encoding="utf-8"?>
<formControlPr xmlns="http://schemas.microsoft.com/office/spreadsheetml/2009/9/main" objectType="Radio" checked="Checked" firstButton="1" fmlaLink="$AB$17"/>
</file>

<file path=xl/ctrlProps/ctrlProp5.xml><?xml version="1.0" encoding="utf-8"?>
<formControlPr xmlns="http://schemas.microsoft.com/office/spreadsheetml/2009/9/main" objectType="Radio"/>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 - MOUR&#195;O Y'!A16"/></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A7"/></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A16"/></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A20"/></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A28"/></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A36"/></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drawing1.xml><?xml version="1.0" encoding="utf-8"?>
<xdr:wsDr xmlns:xdr="http://schemas.openxmlformats.org/drawingml/2006/spreadsheetDrawing" xmlns:a="http://schemas.openxmlformats.org/drawingml/2006/main">
  <xdr:twoCellAnchor>
    <xdr:from>
      <xdr:col>12</xdr:col>
      <xdr:colOff>32656</xdr:colOff>
      <xdr:row>13</xdr:row>
      <xdr:rowOff>38100</xdr:rowOff>
    </xdr:from>
    <xdr:to>
      <xdr:col>20</xdr:col>
      <xdr:colOff>403411</xdr:colOff>
      <xdr:row>25</xdr:row>
      <xdr:rowOff>478972</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685801</xdr:colOff>
      <xdr:row>13</xdr:row>
      <xdr:rowOff>10885</xdr:rowOff>
    </xdr:from>
    <xdr:to>
      <xdr:col>16</xdr:col>
      <xdr:colOff>293914</xdr:colOff>
      <xdr:row>14</xdr:row>
      <xdr:rowOff>141514</xdr:rowOff>
    </xdr:to>
    <xdr:sp macro="" textlink="">
      <xdr:nvSpPr>
        <xdr:cNvPr id="3" name="CaixaDeTexto 2">
          <a:extLst>
            <a:ext uri="{FF2B5EF4-FFF2-40B4-BE49-F238E27FC236}">
              <a16:creationId xmlns:a16="http://schemas.microsoft.com/office/drawing/2014/main" id="{00000000-0008-0000-0000-000003000000}"/>
            </a:ext>
          </a:extLst>
        </xdr:cNvPr>
        <xdr:cNvSpPr txBox="1"/>
      </xdr:nvSpPr>
      <xdr:spPr>
        <a:xfrm>
          <a:off x="12954001" y="3916135"/>
          <a:ext cx="1913163"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a:solidFill>
                <a:sysClr val="windowText" lastClr="000000"/>
              </a:solidFill>
            </a:rPr>
            <a:t>TIPOS DE RISCOS</a:t>
          </a:r>
        </a:p>
      </xdr:txBody>
    </xdr:sp>
    <xdr:clientData/>
  </xdr:twoCellAnchor>
  <xdr:twoCellAnchor editAs="oneCell">
    <xdr:from>
      <xdr:col>1</xdr:col>
      <xdr:colOff>59949</xdr:colOff>
      <xdr:row>0</xdr:row>
      <xdr:rowOff>61991</xdr:rowOff>
    </xdr:from>
    <xdr:to>
      <xdr:col>1</xdr:col>
      <xdr:colOff>1876537</xdr:colOff>
      <xdr:row>1</xdr:row>
      <xdr:rowOff>337637</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rcRect/>
        <a:stretch/>
      </xdr:blipFill>
      <xdr:spPr>
        <a:xfrm>
          <a:off x="127184" y="61991"/>
          <a:ext cx="1816588" cy="667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1020499</xdr:colOff>
      <xdr:row>1</xdr:row>
      <xdr:rowOff>589222</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rcRect/>
        <a:stretch/>
      </xdr:blipFill>
      <xdr:spPr>
        <a:xfrm>
          <a:off x="124658" y="315922"/>
          <a:ext cx="1486391" cy="530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76957</xdr:colOff>
      <xdr:row>0</xdr:row>
      <xdr:rowOff>163975</xdr:rowOff>
    </xdr:from>
    <xdr:to>
      <xdr:col>2</xdr:col>
      <xdr:colOff>970355</xdr:colOff>
      <xdr:row>2</xdr:row>
      <xdr:rowOff>55879</xdr:rowOff>
    </xdr:to>
    <xdr:pic>
      <xdr:nvPicPr>
        <xdr:cNvPr id="2" name="Image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xdr:blipFill>
      <xdr:spPr>
        <a:xfrm>
          <a:off x="542624" y="163975"/>
          <a:ext cx="1765888" cy="661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1000973</xdr:colOff>
      <xdr:row>1</xdr:row>
      <xdr:rowOff>593032</xdr:rowOff>
    </xdr:to>
    <xdr:pic>
      <xdr:nvPicPr>
        <xdr:cNvPr id="3" name="Imagem 2">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rcRect/>
        <a:stretch/>
      </xdr:blipFill>
      <xdr:spPr>
        <a:xfrm>
          <a:off x="120425" y="312747"/>
          <a:ext cx="1468822" cy="54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997163</xdr:colOff>
      <xdr:row>1</xdr:row>
      <xdr:rowOff>589222</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rcRect/>
        <a:stretch/>
      </xdr:blipFill>
      <xdr:spPr>
        <a:xfrm>
          <a:off x="124658" y="315922"/>
          <a:ext cx="1471997" cy="54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1000973</xdr:colOff>
      <xdr:row>1</xdr:row>
      <xdr:rowOff>593032</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rcRect/>
        <a:stretch/>
      </xdr:blipFill>
      <xdr:spPr>
        <a:xfrm>
          <a:off x="124658" y="315922"/>
          <a:ext cx="1471997" cy="54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997163</xdr:colOff>
      <xdr:row>1</xdr:row>
      <xdr:rowOff>589222</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rcRect/>
        <a:stretch/>
      </xdr:blipFill>
      <xdr:spPr>
        <a:xfrm>
          <a:off x="124658" y="315922"/>
          <a:ext cx="1486391" cy="530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1000973</xdr:colOff>
      <xdr:row>1</xdr:row>
      <xdr:rowOff>593032</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srcRect/>
        <a:stretch/>
      </xdr:blipFill>
      <xdr:spPr>
        <a:xfrm>
          <a:off x="124658" y="315922"/>
          <a:ext cx="1471997" cy="540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109107</xdr:colOff>
      <xdr:row>0</xdr:row>
      <xdr:rowOff>54075</xdr:rowOff>
    </xdr:from>
    <xdr:to>
      <xdr:col>2</xdr:col>
      <xdr:colOff>693807</xdr:colOff>
      <xdr:row>0</xdr:row>
      <xdr:rowOff>451128</xdr:rowOff>
    </xdr:to>
    <xdr:pic>
      <xdr:nvPicPr>
        <xdr:cNvPr id="3" name="Imagem 2">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rcRect/>
        <a:stretch/>
      </xdr:blipFill>
      <xdr:spPr>
        <a:xfrm>
          <a:off x="194832" y="54075"/>
          <a:ext cx="1080000" cy="39705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77634</xdr:colOff>
      <xdr:row>0</xdr:row>
      <xdr:rowOff>52283</xdr:rowOff>
    </xdr:from>
    <xdr:to>
      <xdr:col>1</xdr:col>
      <xdr:colOff>1157634</xdr:colOff>
      <xdr:row>0</xdr:row>
      <xdr:rowOff>449336</xdr:rowOff>
    </xdr:to>
    <xdr:pic>
      <xdr:nvPicPr>
        <xdr:cNvPr id="3" name="Imagem 2">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rcRect/>
        <a:stretch/>
      </xdr:blipFill>
      <xdr:spPr>
        <a:xfrm>
          <a:off x="163359" y="52283"/>
          <a:ext cx="1080000" cy="3970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106209</xdr:colOff>
      <xdr:row>0</xdr:row>
      <xdr:rowOff>42758</xdr:rowOff>
    </xdr:from>
    <xdr:to>
      <xdr:col>1</xdr:col>
      <xdr:colOff>1186209</xdr:colOff>
      <xdr:row>0</xdr:row>
      <xdr:rowOff>439811</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srcRect/>
        <a:stretch/>
      </xdr:blipFill>
      <xdr:spPr>
        <a:xfrm>
          <a:off x="190876" y="42758"/>
          <a:ext cx="1080000" cy="39705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51923</xdr:colOff>
      <xdr:row>0</xdr:row>
      <xdr:rowOff>61806</xdr:rowOff>
    </xdr:from>
    <xdr:to>
      <xdr:col>1</xdr:col>
      <xdr:colOff>1131923</xdr:colOff>
      <xdr:row>0</xdr:row>
      <xdr:rowOff>458859</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a:srcRect/>
        <a:stretch/>
      </xdr:blipFill>
      <xdr:spPr>
        <a:xfrm>
          <a:off x="137648" y="61806"/>
          <a:ext cx="1080000" cy="39705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247650</xdr:colOff>
          <xdr:row>18</xdr:row>
          <xdr:rowOff>85725</xdr:rowOff>
        </xdr:from>
        <xdr:to>
          <xdr:col>2</xdr:col>
          <xdr:colOff>1381125</xdr:colOff>
          <xdr:row>18</xdr:row>
          <xdr:rowOff>419100</xdr:rowOff>
        </xdr:to>
        <xdr:sp macro="" textlink="">
          <xdr:nvSpPr>
            <xdr:cNvPr id="32775" name="Botão de opção 16" descr="Lucro Presumido" hidden="1">
              <a:extLst>
                <a:ext uri="{63B3BB69-23CF-44E3-9099-C40C66FF867C}">
                  <a14:compatExt spid="_x0000_s32775"/>
                </a:ext>
                <a:ext uri="{FF2B5EF4-FFF2-40B4-BE49-F238E27FC236}">
                  <a16:creationId xmlns:a16="http://schemas.microsoft.com/office/drawing/2014/main" id="{00000000-0008-0000-0C00-000007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pt-BR" sz="1000" b="0" i="0" u="none" strike="noStrike" baseline="0">
                  <a:solidFill>
                    <a:srgbClr val="000000"/>
                  </a:solidFill>
                  <a:latin typeface="Arial"/>
                  <a:cs typeface="Arial"/>
                </a:rPr>
                <a:t>Lucro Presumido</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2085975</xdr:colOff>
          <xdr:row>18</xdr:row>
          <xdr:rowOff>85725</xdr:rowOff>
        </xdr:from>
        <xdr:to>
          <xdr:col>2</xdr:col>
          <xdr:colOff>3733800</xdr:colOff>
          <xdr:row>18</xdr:row>
          <xdr:rowOff>419100</xdr:rowOff>
        </xdr:to>
        <xdr:sp macro="" textlink="">
          <xdr:nvSpPr>
            <xdr:cNvPr id="32776" name="Botão de opção 17" descr="Lucro Real" hidden="1">
              <a:extLst>
                <a:ext uri="{63B3BB69-23CF-44E3-9099-C40C66FF867C}">
                  <a14:compatExt spid="_x0000_s32776"/>
                </a:ext>
                <a:ext uri="{FF2B5EF4-FFF2-40B4-BE49-F238E27FC236}">
                  <a16:creationId xmlns:a16="http://schemas.microsoft.com/office/drawing/2014/main" id="{00000000-0008-0000-0C00-000008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pt-BR" sz="1000" b="0" i="0" u="none" strike="noStrike" baseline="0">
                  <a:solidFill>
                    <a:srgbClr val="000000"/>
                  </a:solidFill>
                  <a:latin typeface="Arial"/>
                  <a:cs typeface="Arial"/>
                </a:rPr>
                <a:t>Lucro Real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4581525</xdr:colOff>
          <xdr:row>18</xdr:row>
          <xdr:rowOff>76200</xdr:rowOff>
        </xdr:from>
        <xdr:to>
          <xdr:col>2</xdr:col>
          <xdr:colOff>6248400</xdr:colOff>
          <xdr:row>18</xdr:row>
          <xdr:rowOff>428625</xdr:rowOff>
        </xdr:to>
        <xdr:sp macro="" textlink="">
          <xdr:nvSpPr>
            <xdr:cNvPr id="32777" name="Botão de opção 18" descr="Simples Nacional" hidden="1">
              <a:extLst>
                <a:ext uri="{63B3BB69-23CF-44E3-9099-C40C66FF867C}">
                  <a14:compatExt spid="_x0000_s32777"/>
                </a:ext>
                <a:ext uri="{FF2B5EF4-FFF2-40B4-BE49-F238E27FC236}">
                  <a16:creationId xmlns:a16="http://schemas.microsoft.com/office/drawing/2014/main" id="{00000000-0008-0000-0C00-000009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pt-BR" sz="1000" b="0" i="0" u="none" strike="noStrike" baseline="0">
                  <a:solidFill>
                    <a:srgbClr val="000000"/>
                  </a:solidFill>
                  <a:latin typeface="Arial"/>
                  <a:cs typeface="Arial"/>
                </a:rPr>
                <a:t>Simples Nacional</a:t>
              </a:r>
            </a:p>
          </xdr:txBody>
        </xdr:sp>
        <xdr:clientData/>
      </xdr:twoCellAnchor>
    </mc:Choice>
    <mc:Fallback/>
  </mc:AlternateContent>
  <xdr:twoCellAnchor editAs="oneCell">
    <xdr:from>
      <xdr:col>1</xdr:col>
      <xdr:colOff>62634</xdr:colOff>
      <xdr:row>0</xdr:row>
      <xdr:rowOff>24019</xdr:rowOff>
    </xdr:from>
    <xdr:to>
      <xdr:col>2</xdr:col>
      <xdr:colOff>669609</xdr:colOff>
      <xdr:row>1</xdr:row>
      <xdr:rowOff>222652</xdr:rowOff>
    </xdr:to>
    <xdr:pic>
      <xdr:nvPicPr>
        <xdr:cNvPr id="6" name="Imagem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2"/>
        <a:srcRect/>
        <a:stretch/>
      </xdr:blipFill>
      <xdr:spPr>
        <a:xfrm>
          <a:off x="157884" y="24019"/>
          <a:ext cx="1188000" cy="43675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5286375</xdr:colOff>
          <xdr:row>16</xdr:row>
          <xdr:rowOff>76200</xdr:rowOff>
        </xdr:from>
        <xdr:to>
          <xdr:col>2</xdr:col>
          <xdr:colOff>6296025</xdr:colOff>
          <xdr:row>16</xdr:row>
          <xdr:rowOff>285750</xdr:rowOff>
        </xdr:to>
        <xdr:sp macro="" textlink="">
          <xdr:nvSpPr>
            <xdr:cNvPr id="20481" name="Botão de opção 18" descr="MENSALISTA" hidden="1">
              <a:extLst>
                <a:ext uri="{63B3BB69-23CF-44E3-9099-C40C66FF867C}">
                  <a14:compatExt spid="_x0000_s20481"/>
                </a:ext>
                <a:ext uri="{FF2B5EF4-FFF2-40B4-BE49-F238E27FC236}">
                  <a16:creationId xmlns:a16="http://schemas.microsoft.com/office/drawing/2014/main" id="{00000000-0008-0000-0D00-000001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pt-BR" sz="1000" b="0" i="0" u="none" strike="noStrike" baseline="0">
                  <a:solidFill>
                    <a:srgbClr val="000000"/>
                  </a:solidFill>
                  <a:latin typeface="Arial"/>
                  <a:cs typeface="Arial"/>
                </a:rPr>
                <a:t>MENSALISTA</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3429000</xdr:colOff>
          <xdr:row>16</xdr:row>
          <xdr:rowOff>66675</xdr:rowOff>
        </xdr:from>
        <xdr:to>
          <xdr:col>2</xdr:col>
          <xdr:colOff>4343400</xdr:colOff>
          <xdr:row>16</xdr:row>
          <xdr:rowOff>295275</xdr:rowOff>
        </xdr:to>
        <xdr:sp macro="" textlink="">
          <xdr:nvSpPr>
            <xdr:cNvPr id="20482" name="Botão de opção 19" descr=" - HORISTA" hidden="1">
              <a:extLst>
                <a:ext uri="{63B3BB69-23CF-44E3-9099-C40C66FF867C}">
                  <a14:compatExt spid="_x0000_s20482"/>
                </a:ext>
                <a:ext uri="{FF2B5EF4-FFF2-40B4-BE49-F238E27FC236}">
                  <a16:creationId xmlns:a16="http://schemas.microsoft.com/office/drawing/2014/main" id="{00000000-0008-0000-0D00-000002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pt-BR" sz="1000" b="0" i="0" u="none" strike="noStrike" baseline="0">
                  <a:solidFill>
                    <a:srgbClr val="000000"/>
                  </a:solidFill>
                  <a:latin typeface="Arial"/>
                  <a:cs typeface="Arial"/>
                </a:rPr>
                <a:t> - HORISTA</a:t>
              </a:r>
            </a:p>
          </xdr:txBody>
        </xdr:sp>
        <xdr:clientData/>
      </xdr:twoCellAnchor>
    </mc:Choice>
    <mc:Fallback/>
  </mc:AlternateContent>
  <xdr:twoCellAnchor editAs="oneCell">
    <xdr:from>
      <xdr:col>1</xdr:col>
      <xdr:colOff>47009</xdr:colOff>
      <xdr:row>0</xdr:row>
      <xdr:rowOff>26204</xdr:rowOff>
    </xdr:from>
    <xdr:to>
      <xdr:col>2</xdr:col>
      <xdr:colOff>606359</xdr:colOff>
      <xdr:row>1</xdr:row>
      <xdr:rowOff>222456</xdr:rowOff>
    </xdr:to>
    <xdr:pic>
      <xdr:nvPicPr>
        <xdr:cNvPr id="5" name="Imagem 4">
          <a:hlinkClick xmlns:r="http://schemas.openxmlformats.org/officeDocument/2006/relationships" r:id="rId1"/>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2"/>
        <a:srcRect/>
        <a:stretch/>
      </xdr:blipFill>
      <xdr:spPr>
        <a:xfrm>
          <a:off x="113684" y="26204"/>
          <a:ext cx="1188000" cy="43437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4.xml"/><Relationship Id="rId1" Type="http://schemas.openxmlformats.org/officeDocument/2006/relationships/printerSettings" Target="../printerSettings/printerSettings14.bin"/><Relationship Id="rId6" Type="http://schemas.openxmlformats.org/officeDocument/2006/relationships/comments" Target="../comments1.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1824-E03E-466B-994E-00962200A5EB}">
  <sheetPr>
    <tabColor rgb="FFFF0000"/>
    <pageSetUpPr fitToPage="1"/>
  </sheetPr>
  <dimension ref="A1:AY65"/>
  <sheetViews>
    <sheetView showGridLines="0" zoomScale="80" zoomScaleNormal="80" zoomScaleSheetLayoutView="100" zoomScalePageLayoutView="200" workbookViewId="0">
      <pane ySplit="3" topLeftCell="A24" activePane="bottomLeft" state="frozen"/>
      <selection pane="bottomLeft" activeCell="M28" sqref="M28:P55"/>
    </sheetView>
  </sheetViews>
  <sheetFormatPr defaultColWidth="12.28515625" defaultRowHeight="14.25" outlineLevelRow="1"/>
  <cols>
    <col min="1" max="1" width="1" style="300" customWidth="1"/>
    <col min="2" max="2" width="29.42578125" style="300" customWidth="1"/>
    <col min="3" max="3" width="26.140625" style="300" customWidth="1"/>
    <col min="4" max="4" width="19" style="300" customWidth="1"/>
    <col min="5" max="5" width="11.85546875" style="300" customWidth="1"/>
    <col min="6" max="6" width="10.140625" style="300" customWidth="1"/>
    <col min="7" max="7" width="6.85546875" style="300" customWidth="1"/>
    <col min="8" max="8" width="15" style="300" customWidth="1"/>
    <col min="9" max="9" width="13.85546875" style="300" customWidth="1"/>
    <col min="10" max="12" width="6.42578125" style="300" customWidth="1"/>
    <col min="13" max="13" width="17.5703125" style="300" customWidth="1"/>
    <col min="14" max="14" width="18.7109375" style="300" customWidth="1"/>
    <col min="15" max="15" width="15.7109375" style="300" customWidth="1"/>
    <col min="16" max="16" width="18.85546875" style="300" customWidth="1"/>
    <col min="17" max="17" width="16.140625" style="300" customWidth="1"/>
    <col min="18" max="18" width="19.42578125" style="300" customWidth="1"/>
    <col min="19" max="21" width="6.85546875" style="300" customWidth="1"/>
    <col min="22" max="30" width="9.42578125" style="300" customWidth="1"/>
    <col min="31" max="31" width="4.7109375" style="300" customWidth="1"/>
    <col min="32" max="32" width="5.28515625" style="301" bestFit="1" customWidth="1"/>
    <col min="33" max="33" width="18.5703125" style="300" bestFit="1" customWidth="1"/>
    <col min="34" max="34" width="12.42578125" style="300" customWidth="1"/>
    <col min="35" max="35" width="13.28515625" style="300" customWidth="1"/>
    <col min="36" max="36" width="6.7109375" style="300" customWidth="1"/>
    <col min="37" max="37" width="32.28515625" style="300" bestFit="1" customWidth="1"/>
    <col min="38" max="38" width="6.85546875" style="302" bestFit="1" customWidth="1"/>
    <col min="39" max="41" width="12.28515625" style="302"/>
    <col min="42" max="42" width="4" style="302" customWidth="1"/>
    <col min="43" max="43" width="32.28515625" style="300" bestFit="1" customWidth="1"/>
    <col min="44" max="44" width="6.42578125" style="302" customWidth="1"/>
    <col min="45" max="45" width="4" style="302" customWidth="1"/>
    <col min="46" max="46" width="32.28515625" style="300" bestFit="1" customWidth="1"/>
    <col min="47" max="47" width="6.42578125" style="302" customWidth="1"/>
    <col min="48" max="48" width="4" style="302" customWidth="1"/>
    <col min="49" max="49" width="32.28515625" style="300" bestFit="1" customWidth="1"/>
    <col min="50" max="50" width="6.42578125" style="302" customWidth="1"/>
    <col min="51" max="51" width="4.5703125" style="300" customWidth="1"/>
    <col min="52" max="16384" width="12.28515625" style="300"/>
  </cols>
  <sheetData>
    <row r="1" spans="2:51" ht="30.75" customHeight="1">
      <c r="B1" s="672"/>
      <c r="C1" s="674" t="s">
        <v>722</v>
      </c>
      <c r="D1" s="674"/>
      <c r="E1" s="674"/>
      <c r="F1" s="674"/>
      <c r="G1" s="674"/>
      <c r="H1" s="674"/>
      <c r="I1" s="674"/>
      <c r="J1" s="674"/>
      <c r="K1" s="674"/>
      <c r="L1" s="674"/>
      <c r="M1" s="674"/>
      <c r="N1" s="674"/>
      <c r="O1" s="674"/>
      <c r="P1" s="674"/>
      <c r="Q1" s="674"/>
      <c r="R1" s="676" t="s">
        <v>712</v>
      </c>
      <c r="S1" s="676"/>
      <c r="T1" s="676"/>
      <c r="U1" s="677"/>
    </row>
    <row r="2" spans="2:51" ht="30.75" customHeight="1" thickBot="1">
      <c r="B2" s="673"/>
      <c r="C2" s="675"/>
      <c r="D2" s="675"/>
      <c r="E2" s="675"/>
      <c r="F2" s="675"/>
      <c r="G2" s="675"/>
      <c r="H2" s="675"/>
      <c r="I2" s="675"/>
      <c r="J2" s="675"/>
      <c r="K2" s="675"/>
      <c r="L2" s="675"/>
      <c r="M2" s="675"/>
      <c r="N2" s="675"/>
      <c r="O2" s="675"/>
      <c r="P2" s="675"/>
      <c r="Q2" s="675"/>
      <c r="R2" s="564" t="s">
        <v>179</v>
      </c>
      <c r="S2" s="678">
        <v>45292</v>
      </c>
      <c r="T2" s="679"/>
      <c r="U2" s="680"/>
    </row>
    <row r="3" spans="2:51" ht="4.5" customHeight="1" thickBot="1">
      <c r="B3" s="513"/>
      <c r="C3" s="514"/>
      <c r="D3" s="514"/>
      <c r="E3" s="514"/>
      <c r="F3" s="514"/>
      <c r="G3" s="514"/>
      <c r="H3" s="514"/>
      <c r="I3" s="514"/>
      <c r="J3" s="514"/>
      <c r="K3" s="514"/>
      <c r="L3" s="514"/>
      <c r="M3" s="514"/>
      <c r="N3" s="514"/>
      <c r="O3" s="514"/>
      <c r="P3" s="514"/>
      <c r="Q3" s="514"/>
      <c r="R3" s="515"/>
      <c r="S3" s="516"/>
      <c r="T3" s="517"/>
      <c r="U3" s="517"/>
    </row>
    <row r="4" spans="2:51" ht="30.75" customHeight="1" thickBot="1">
      <c r="B4" s="663" t="s">
        <v>723</v>
      </c>
      <c r="C4" s="664"/>
      <c r="D4" s="664"/>
      <c r="E4" s="664"/>
      <c r="F4" s="664"/>
      <c r="G4" s="664"/>
      <c r="H4" s="664"/>
      <c r="I4" s="664"/>
      <c r="J4" s="664"/>
      <c r="K4" s="664"/>
      <c r="L4" s="664"/>
      <c r="M4" s="664"/>
      <c r="N4" s="664"/>
      <c r="O4" s="664"/>
      <c r="P4" s="664"/>
      <c r="Q4" s="664"/>
      <c r="R4" s="664"/>
      <c r="S4" s="664"/>
      <c r="T4" s="664"/>
      <c r="U4" s="665"/>
    </row>
    <row r="5" spans="2:51" s="304" customFormat="1" ht="47.25" customHeight="1" outlineLevel="1">
      <c r="B5" s="518" t="s">
        <v>584</v>
      </c>
      <c r="C5" s="681" t="s">
        <v>738</v>
      </c>
      <c r="D5" s="681"/>
      <c r="E5" s="681"/>
      <c r="F5" s="681"/>
      <c r="G5" s="681"/>
      <c r="H5" s="681"/>
      <c r="I5" s="681"/>
      <c r="J5" s="681"/>
      <c r="K5" s="681"/>
      <c r="L5" s="681"/>
      <c r="M5" s="682" t="s">
        <v>585</v>
      </c>
      <c r="N5" s="683"/>
      <c r="O5" s="684" t="s">
        <v>740</v>
      </c>
      <c r="P5" s="685"/>
      <c r="Q5" s="519" t="s">
        <v>586</v>
      </c>
      <c r="R5" s="686" t="s">
        <v>741</v>
      </c>
      <c r="S5" s="686"/>
      <c r="T5" s="686"/>
      <c r="U5" s="687"/>
      <c r="AF5" s="305"/>
      <c r="AL5" s="306"/>
      <c r="AM5" s="306"/>
      <c r="AN5" s="306"/>
      <c r="AO5" s="306"/>
      <c r="AP5" s="306"/>
      <c r="AR5" s="306"/>
      <c r="AS5" s="306"/>
      <c r="AU5" s="306"/>
      <c r="AV5" s="306"/>
      <c r="AX5" s="306"/>
    </row>
    <row r="6" spans="2:51" s="304" customFormat="1" ht="47.25" customHeight="1" outlineLevel="1">
      <c r="B6" s="520" t="s">
        <v>587</v>
      </c>
      <c r="C6" s="648" t="s">
        <v>739</v>
      </c>
      <c r="D6" s="648"/>
      <c r="E6" s="648"/>
      <c r="F6" s="648"/>
      <c r="G6" s="648"/>
      <c r="H6" s="648"/>
      <c r="I6" s="648"/>
      <c r="J6" s="648"/>
      <c r="K6" s="648"/>
      <c r="L6" s="648"/>
      <c r="M6" s="303" t="s">
        <v>588</v>
      </c>
      <c r="N6" s="561">
        <f>30*5</f>
        <v>150</v>
      </c>
      <c r="O6" s="307" t="s">
        <v>589</v>
      </c>
      <c r="P6" s="561">
        <v>64</v>
      </c>
      <c r="Q6" s="303" t="s">
        <v>590</v>
      </c>
      <c r="R6" s="649" t="s">
        <v>742</v>
      </c>
      <c r="S6" s="649"/>
      <c r="T6" s="649"/>
      <c r="U6" s="650"/>
      <c r="AF6" s="305"/>
      <c r="AL6" s="306"/>
      <c r="AM6" s="306"/>
      <c r="AN6" s="306"/>
      <c r="AO6" s="306"/>
      <c r="AP6" s="306"/>
      <c r="AR6" s="306"/>
      <c r="AS6" s="306"/>
      <c r="AU6" s="306"/>
      <c r="AV6" s="306"/>
      <c r="AX6" s="306"/>
    </row>
    <row r="7" spans="2:51" s="304" customFormat="1" ht="25.5" customHeight="1" outlineLevel="1">
      <c r="B7" s="651" t="s">
        <v>727</v>
      </c>
      <c r="C7" s="652"/>
      <c r="D7" s="652"/>
      <c r="E7" s="652"/>
      <c r="F7" s="652"/>
      <c r="G7" s="652"/>
      <c r="H7" s="652"/>
      <c r="I7" s="652"/>
      <c r="J7" s="652"/>
      <c r="K7" s="652"/>
      <c r="L7" s="652"/>
      <c r="M7" s="652"/>
      <c r="N7" s="652"/>
      <c r="O7" s="652"/>
      <c r="P7" s="652"/>
      <c r="Q7" s="652"/>
      <c r="R7" s="652"/>
      <c r="S7" s="652"/>
      <c r="T7" s="652"/>
      <c r="U7" s="653"/>
      <c r="AF7" s="305"/>
      <c r="AL7" s="306"/>
      <c r="AM7" s="306"/>
      <c r="AN7" s="306"/>
      <c r="AO7" s="306"/>
      <c r="AP7" s="306"/>
      <c r="AR7" s="306"/>
      <c r="AS7" s="306"/>
      <c r="AU7" s="306"/>
      <c r="AV7" s="306"/>
      <c r="AX7" s="306"/>
    </row>
    <row r="8" spans="2:51" s="308" customFormat="1" ht="36" customHeight="1" outlineLevel="1">
      <c r="B8" s="552" t="s">
        <v>591</v>
      </c>
      <c r="C8" s="562">
        <f>R8*T8</f>
        <v>0</v>
      </c>
      <c r="D8" s="553" t="s">
        <v>724</v>
      </c>
      <c r="E8" s="563"/>
      <c r="F8" s="553" t="s">
        <v>592</v>
      </c>
      <c r="G8" s="654"/>
      <c r="H8" s="655"/>
      <c r="I8" s="553" t="s">
        <v>593</v>
      </c>
      <c r="J8" s="656"/>
      <c r="K8" s="657"/>
      <c r="L8" s="657"/>
      <c r="M8" s="554" t="s">
        <v>594</v>
      </c>
      <c r="N8" s="562"/>
      <c r="O8" s="555" t="s">
        <v>41</v>
      </c>
      <c r="P8" s="562"/>
      <c r="Q8" s="555" t="s">
        <v>728</v>
      </c>
      <c r="R8" s="562">
        <f>G8+J8+N8+P8</f>
        <v>0</v>
      </c>
      <c r="S8" s="556" t="s">
        <v>224</v>
      </c>
      <c r="T8" s="658">
        <v>1.72</v>
      </c>
      <c r="U8" s="659"/>
      <c r="AF8" s="305"/>
      <c r="AL8" s="305"/>
      <c r="AM8" s="305"/>
      <c r="AN8" s="305"/>
      <c r="AO8" s="305"/>
      <c r="AP8" s="305"/>
      <c r="AR8" s="305"/>
      <c r="AS8" s="305"/>
      <c r="AU8" s="305"/>
      <c r="AV8" s="305"/>
      <c r="AX8" s="305"/>
    </row>
    <row r="9" spans="2:51" s="304" customFormat="1" ht="25.5" customHeight="1" outlineLevel="1">
      <c r="B9" s="651" t="s">
        <v>726</v>
      </c>
      <c r="C9" s="652"/>
      <c r="D9" s="652"/>
      <c r="E9" s="652"/>
      <c r="F9" s="652"/>
      <c r="G9" s="652"/>
      <c r="H9" s="652"/>
      <c r="I9" s="652"/>
      <c r="J9" s="652"/>
      <c r="K9" s="652"/>
      <c r="L9" s="652"/>
      <c r="M9" s="652"/>
      <c r="N9" s="652"/>
      <c r="O9" s="652"/>
      <c r="P9" s="652"/>
      <c r="Q9" s="652"/>
      <c r="R9" s="652"/>
      <c r="S9" s="652"/>
      <c r="T9" s="652"/>
      <c r="U9" s="653"/>
      <c r="AF9" s="305"/>
      <c r="AL9" s="306"/>
      <c r="AM9" s="306"/>
      <c r="AN9" s="306"/>
      <c r="AO9" s="306"/>
      <c r="AP9" s="306"/>
      <c r="AR9" s="306"/>
      <c r="AS9" s="306"/>
      <c r="AU9" s="306"/>
      <c r="AV9" s="306"/>
      <c r="AX9" s="306"/>
    </row>
    <row r="10" spans="2:51" s="308" customFormat="1" ht="72" customHeight="1" outlineLevel="1" thickBot="1">
      <c r="B10" s="669"/>
      <c r="C10" s="670"/>
      <c r="D10" s="670"/>
      <c r="E10" s="670"/>
      <c r="F10" s="670"/>
      <c r="G10" s="670"/>
      <c r="H10" s="670"/>
      <c r="I10" s="670"/>
      <c r="J10" s="670"/>
      <c r="K10" s="670"/>
      <c r="L10" s="670"/>
      <c r="M10" s="670"/>
      <c r="N10" s="670"/>
      <c r="O10" s="670"/>
      <c r="P10" s="670"/>
      <c r="Q10" s="670"/>
      <c r="R10" s="670"/>
      <c r="S10" s="670"/>
      <c r="T10" s="670"/>
      <c r="U10" s="671"/>
      <c r="AF10" s="305"/>
      <c r="AL10" s="305"/>
      <c r="AM10" s="305"/>
      <c r="AN10" s="305"/>
      <c r="AO10" s="305"/>
      <c r="AP10" s="305"/>
      <c r="AR10" s="305"/>
      <c r="AS10" s="305"/>
      <c r="AU10" s="305"/>
      <c r="AV10" s="305"/>
      <c r="AX10" s="305"/>
    </row>
    <row r="11" spans="2:51" s="309" customFormat="1" ht="15.75" customHeight="1" thickBot="1">
      <c r="B11" s="521"/>
      <c r="C11" s="522"/>
      <c r="D11" s="523"/>
      <c r="E11" s="524"/>
      <c r="F11" s="523"/>
      <c r="G11" s="660"/>
      <c r="H11" s="660"/>
      <c r="I11" s="523"/>
      <c r="J11" s="661"/>
      <c r="K11" s="661"/>
      <c r="L11" s="661"/>
      <c r="M11" s="525"/>
      <c r="N11" s="526"/>
      <c r="O11" s="527"/>
      <c r="P11" s="528"/>
      <c r="Q11" s="527"/>
      <c r="R11" s="529"/>
      <c r="S11" s="521"/>
      <c r="T11" s="662"/>
      <c r="U11" s="662"/>
      <c r="AF11" s="310"/>
      <c r="AL11" s="310"/>
      <c r="AM11" s="310"/>
      <c r="AN11" s="310"/>
      <c r="AO11" s="310"/>
      <c r="AP11" s="310"/>
      <c r="AR11" s="310"/>
      <c r="AS11" s="310"/>
      <c r="AU11" s="310"/>
      <c r="AV11" s="310"/>
      <c r="AX11" s="310"/>
    </row>
    <row r="12" spans="2:51" ht="30.75" customHeight="1" thickBot="1">
      <c r="B12" s="663" t="s">
        <v>725</v>
      </c>
      <c r="C12" s="664"/>
      <c r="D12" s="664"/>
      <c r="E12" s="664"/>
      <c r="F12" s="664"/>
      <c r="G12" s="664"/>
      <c r="H12" s="664"/>
      <c r="I12" s="664"/>
      <c r="J12" s="664"/>
      <c r="K12" s="664"/>
      <c r="L12" s="664"/>
      <c r="M12" s="664"/>
      <c r="N12" s="664"/>
      <c r="O12" s="664"/>
      <c r="P12" s="664"/>
      <c r="Q12" s="664"/>
      <c r="R12" s="664"/>
      <c r="S12" s="664"/>
      <c r="T12" s="664"/>
      <c r="U12" s="665"/>
    </row>
    <row r="13" spans="2:51" ht="8.25" customHeight="1" outlineLevel="1">
      <c r="B13" s="666"/>
      <c r="C13" s="667"/>
      <c r="D13" s="667"/>
      <c r="E13" s="667"/>
      <c r="F13" s="667"/>
      <c r="G13" s="667"/>
      <c r="H13" s="667"/>
      <c r="I13" s="667"/>
      <c r="J13" s="667"/>
      <c r="K13" s="667"/>
      <c r="L13" s="667"/>
      <c r="M13" s="667"/>
      <c r="N13" s="667"/>
      <c r="O13" s="667"/>
      <c r="P13" s="667"/>
      <c r="Q13" s="667"/>
      <c r="R13" s="667"/>
      <c r="S13" s="667"/>
      <c r="T13" s="667"/>
      <c r="U13" s="668"/>
    </row>
    <row r="14" spans="2:51" ht="13.15" customHeight="1" outlineLevel="1">
      <c r="B14" s="642" t="s">
        <v>595</v>
      </c>
      <c r="C14" s="643"/>
      <c r="D14" s="643"/>
      <c r="E14" s="643"/>
      <c r="F14" s="643"/>
      <c r="G14" s="643"/>
      <c r="H14" s="643"/>
      <c r="I14" s="643"/>
      <c r="J14" s="643"/>
      <c r="K14" s="643"/>
      <c r="L14" s="644"/>
      <c r="M14" s="311"/>
      <c r="N14" s="312"/>
      <c r="O14" s="312"/>
      <c r="P14" s="312"/>
      <c r="Q14" s="312"/>
      <c r="R14" s="312"/>
      <c r="S14" s="312"/>
      <c r="T14" s="312"/>
      <c r="U14" s="530"/>
    </row>
    <row r="15" spans="2:51" ht="13.15" customHeight="1" outlineLevel="1" thickBot="1">
      <c r="B15" s="645"/>
      <c r="C15" s="646"/>
      <c r="D15" s="646"/>
      <c r="E15" s="646"/>
      <c r="F15" s="646"/>
      <c r="G15" s="646"/>
      <c r="H15" s="646"/>
      <c r="I15" s="646"/>
      <c r="J15" s="646"/>
      <c r="K15" s="646"/>
      <c r="L15" s="647"/>
      <c r="M15" s="313"/>
      <c r="U15" s="326"/>
    </row>
    <row r="16" spans="2:51" ht="19.899999999999999" customHeight="1" outlineLevel="1">
      <c r="B16" s="632"/>
      <c r="C16" s="633"/>
      <c r="D16" s="633"/>
      <c r="E16" s="633"/>
      <c r="F16" s="633"/>
      <c r="G16" s="633"/>
      <c r="H16" s="633"/>
      <c r="I16" s="633"/>
      <c r="J16" s="633"/>
      <c r="K16" s="633"/>
      <c r="L16" s="634"/>
      <c r="M16" s="313"/>
      <c r="U16" s="326"/>
      <c r="AE16" s="315"/>
      <c r="AF16" s="316"/>
      <c r="AG16" s="317"/>
      <c r="AH16" s="317"/>
      <c r="AI16" s="317"/>
      <c r="AJ16" s="317"/>
      <c r="AK16" s="317"/>
      <c r="AL16" s="318"/>
      <c r="AM16" s="318"/>
      <c r="AN16" s="318"/>
      <c r="AO16" s="318"/>
      <c r="AP16" s="318"/>
      <c r="AQ16" s="317"/>
      <c r="AR16" s="318"/>
      <c r="AS16" s="318"/>
      <c r="AT16" s="317"/>
      <c r="AU16" s="318"/>
      <c r="AV16" s="318"/>
      <c r="AW16" s="317"/>
      <c r="AX16" s="318"/>
      <c r="AY16" s="319"/>
    </row>
    <row r="17" spans="2:51" ht="21" customHeight="1" outlineLevel="1">
      <c r="B17" s="531"/>
      <c r="C17" s="635" t="s">
        <v>596</v>
      </c>
      <c r="D17" s="636"/>
      <c r="E17" s="636"/>
      <c r="F17" s="636"/>
      <c r="G17" s="636"/>
      <c r="H17" s="616"/>
      <c r="I17" s="310"/>
      <c r="J17" s="310"/>
      <c r="K17" s="310"/>
      <c r="L17" s="320"/>
      <c r="M17" s="313"/>
      <c r="U17" s="326"/>
      <c r="AE17" s="321"/>
      <c r="AF17" s="322" t="s">
        <v>597</v>
      </c>
      <c r="AG17" s="323" t="s">
        <v>598</v>
      </c>
      <c r="AH17" s="323" t="s">
        <v>599</v>
      </c>
      <c r="AI17" s="323" t="s">
        <v>599</v>
      </c>
      <c r="AJ17" s="324"/>
      <c r="AK17" s="324"/>
      <c r="AL17" s="325"/>
      <c r="AM17" s="325"/>
      <c r="AN17" s="325"/>
      <c r="AO17" s="325"/>
      <c r="AP17" s="325"/>
      <c r="AQ17" s="324"/>
      <c r="AR17" s="325"/>
      <c r="AS17" s="325"/>
      <c r="AT17" s="324"/>
      <c r="AU17" s="325"/>
      <c r="AV17" s="325"/>
      <c r="AW17" s="324"/>
      <c r="AX17" s="325"/>
      <c r="AY17" s="326"/>
    </row>
    <row r="18" spans="2:51" ht="22.15" customHeight="1" outlineLevel="1">
      <c r="B18" s="532"/>
      <c r="C18" s="637" t="s">
        <v>600</v>
      </c>
      <c r="D18" s="638"/>
      <c r="E18" s="639" t="s">
        <v>599</v>
      </c>
      <c r="F18" s="640"/>
      <c r="G18" s="641" t="s">
        <v>597</v>
      </c>
      <c r="H18" s="641"/>
      <c r="I18" s="310"/>
      <c r="J18" s="310"/>
      <c r="K18" s="310"/>
      <c r="L18" s="320"/>
      <c r="M18" s="313"/>
      <c r="U18" s="326"/>
      <c r="AE18" s="321"/>
      <c r="AF18" s="327">
        <v>1</v>
      </c>
      <c r="AG18" s="328" t="s">
        <v>601</v>
      </c>
      <c r="AH18" s="329" t="s">
        <v>602</v>
      </c>
      <c r="AI18" s="329" t="s">
        <v>603</v>
      </c>
      <c r="AJ18" s="324"/>
      <c r="AK18" s="631" t="s">
        <v>604</v>
      </c>
      <c r="AL18" s="631"/>
      <c r="AM18" s="631"/>
      <c r="AN18" s="631"/>
      <c r="AO18" s="631"/>
      <c r="AP18" s="325"/>
      <c r="AQ18" s="628" t="s">
        <v>605</v>
      </c>
      <c r="AR18" s="628"/>
      <c r="AS18" s="325"/>
      <c r="AT18" s="629" t="s">
        <v>606</v>
      </c>
      <c r="AU18" s="629"/>
      <c r="AV18" s="325"/>
      <c r="AW18" s="630" t="s">
        <v>607</v>
      </c>
      <c r="AX18" s="630"/>
      <c r="AY18" s="326"/>
    </row>
    <row r="19" spans="2:51" ht="22.15" customHeight="1" outlineLevel="1">
      <c r="B19" s="533"/>
      <c r="C19" s="624" t="s">
        <v>601</v>
      </c>
      <c r="D19" s="625"/>
      <c r="E19" s="626" t="s">
        <v>603</v>
      </c>
      <c r="F19" s="627"/>
      <c r="G19" s="571" t="s">
        <v>608</v>
      </c>
      <c r="H19" s="571"/>
      <c r="I19" s="310"/>
      <c r="J19" s="310"/>
      <c r="K19" s="310"/>
      <c r="L19" s="320"/>
      <c r="M19" s="313"/>
      <c r="U19" s="326"/>
      <c r="AE19" s="321"/>
      <c r="AF19" s="327">
        <v>2</v>
      </c>
      <c r="AG19" s="328" t="s">
        <v>601</v>
      </c>
      <c r="AH19" s="329" t="s">
        <v>602</v>
      </c>
      <c r="AI19" s="329" t="s">
        <v>603</v>
      </c>
      <c r="AJ19" s="324"/>
      <c r="AK19" s="333" t="str">
        <f>B26</f>
        <v>Tipo de Riscos</v>
      </c>
      <c r="AL19" s="327" t="s">
        <v>609</v>
      </c>
      <c r="AM19" s="330" t="s">
        <v>610</v>
      </c>
      <c r="AN19" s="331" t="s">
        <v>611</v>
      </c>
      <c r="AO19" s="332" t="s">
        <v>612</v>
      </c>
      <c r="AP19" s="325"/>
      <c r="AQ19" s="333" t="str">
        <f>AK19</f>
        <v>Tipo de Riscos</v>
      </c>
      <c r="AR19" s="327" t="str">
        <f>" "</f>
        <v xml:space="preserve"> </v>
      </c>
      <c r="AS19" s="325"/>
      <c r="AT19" s="333" t="str">
        <f>AK19</f>
        <v>Tipo de Riscos</v>
      </c>
      <c r="AU19" s="327" t="str">
        <f>" "</f>
        <v xml:space="preserve"> </v>
      </c>
      <c r="AV19" s="325"/>
      <c r="AW19" s="333" t="str">
        <f>AK19</f>
        <v>Tipo de Riscos</v>
      </c>
      <c r="AX19" s="327" t="str">
        <f>" "</f>
        <v xml:space="preserve"> </v>
      </c>
      <c r="AY19" s="326"/>
    </row>
    <row r="20" spans="2:51" ht="22.15" customHeight="1" outlineLevel="1">
      <c r="B20" s="533"/>
      <c r="C20" s="624" t="s">
        <v>613</v>
      </c>
      <c r="D20" s="625"/>
      <c r="E20" s="626" t="s">
        <v>603</v>
      </c>
      <c r="F20" s="627"/>
      <c r="G20" s="571" t="s">
        <v>614</v>
      </c>
      <c r="H20" s="571"/>
      <c r="I20" s="310"/>
      <c r="J20" s="310"/>
      <c r="K20" s="310"/>
      <c r="L20" s="320"/>
      <c r="M20" s="313"/>
      <c r="U20" s="326"/>
      <c r="AE20" s="321"/>
      <c r="AF20" s="327">
        <v>2.5</v>
      </c>
      <c r="AG20" s="328" t="s">
        <v>601</v>
      </c>
      <c r="AH20" s="329" t="s">
        <v>602</v>
      </c>
      <c r="AI20" s="329" t="s">
        <v>603</v>
      </c>
      <c r="AJ20" s="324">
        <v>1</v>
      </c>
      <c r="AK20" s="333" t="str">
        <f>B27</f>
        <v>1-FINANCEIRO (Fluxo de caixa)</v>
      </c>
      <c r="AL20" s="334">
        <f>F27</f>
        <v>3</v>
      </c>
      <c r="AM20" s="327">
        <f>IF(AL20&lt;=4.9,AL20,"")</f>
        <v>3</v>
      </c>
      <c r="AN20" s="327" t="str">
        <f>IF(AND(AL20&gt;4.9,AL20&lt;=8.5),AL20,"")</f>
        <v/>
      </c>
      <c r="AO20" s="327" t="str">
        <f t="shared" ref="AO20:AO33" si="0">IF(AL20&gt;=8.6,AL20,"")</f>
        <v/>
      </c>
      <c r="AP20" s="325"/>
      <c r="AQ20" s="333" t="str">
        <f t="shared" ref="AQ20:AQ33" si="1">AK20</f>
        <v>1-FINANCEIRO (Fluxo de caixa)</v>
      </c>
      <c r="AR20" s="327">
        <f t="shared" ref="AR20:AR33" si="2">AM20</f>
        <v>3</v>
      </c>
      <c r="AS20" s="325"/>
      <c r="AT20" s="333" t="str">
        <f t="shared" ref="AT20:AT33" si="3">AK20</f>
        <v>1-FINANCEIRO (Fluxo de caixa)</v>
      </c>
      <c r="AU20" s="327" t="str">
        <f t="shared" ref="AU20:AU33" si="4">AN20</f>
        <v/>
      </c>
      <c r="AV20" s="325"/>
      <c r="AW20" s="333" t="str">
        <f t="shared" ref="AW20:AW33" si="5">AK20</f>
        <v>1-FINANCEIRO (Fluxo de caixa)</v>
      </c>
      <c r="AX20" s="327" t="str">
        <f t="shared" ref="AX20:AX33" si="6">AO20</f>
        <v/>
      </c>
      <c r="AY20" s="326"/>
    </row>
    <row r="21" spans="2:51" ht="22.15" customHeight="1" outlineLevel="1">
      <c r="B21" s="533"/>
      <c r="C21" s="619" t="s">
        <v>615</v>
      </c>
      <c r="D21" s="620"/>
      <c r="E21" s="621" t="s">
        <v>616</v>
      </c>
      <c r="F21" s="622"/>
      <c r="G21" s="623" t="s">
        <v>617</v>
      </c>
      <c r="H21" s="623"/>
      <c r="I21" s="310"/>
      <c r="J21" s="310"/>
      <c r="K21" s="310"/>
      <c r="L21" s="320"/>
      <c r="M21" s="313"/>
      <c r="U21" s="326"/>
      <c r="AE21" s="321"/>
      <c r="AF21" s="327">
        <v>2.6</v>
      </c>
      <c r="AG21" s="328" t="s">
        <v>613</v>
      </c>
      <c r="AH21" s="329" t="s">
        <v>602</v>
      </c>
      <c r="AI21" s="329" t="s">
        <v>603</v>
      </c>
      <c r="AJ21" s="324">
        <v>2</v>
      </c>
      <c r="AK21" s="333" t="str">
        <f>B29</f>
        <v>2-CALOTE (SERASA)</v>
      </c>
      <c r="AL21" s="334">
        <f>F29</f>
        <v>9</v>
      </c>
      <c r="AM21" s="327" t="str">
        <f t="shared" ref="AM21:AM29" si="7">IF(AL21&lt;=4.9,AL21,"")</f>
        <v/>
      </c>
      <c r="AN21" s="327" t="str">
        <f t="shared" ref="AN21:AN33" si="8">IF(AND(AL21&gt;4.9,AL21&lt;=8.5),AL21,"")</f>
        <v/>
      </c>
      <c r="AO21" s="327">
        <f t="shared" si="0"/>
        <v>9</v>
      </c>
      <c r="AP21" s="325"/>
      <c r="AQ21" s="333" t="str">
        <f t="shared" si="1"/>
        <v>2-CALOTE (SERASA)</v>
      </c>
      <c r="AR21" s="327" t="str">
        <f t="shared" si="2"/>
        <v/>
      </c>
      <c r="AS21" s="325"/>
      <c r="AT21" s="333" t="str">
        <f t="shared" si="3"/>
        <v>2-CALOTE (SERASA)</v>
      </c>
      <c r="AU21" s="327" t="str">
        <f t="shared" si="4"/>
        <v/>
      </c>
      <c r="AV21" s="325"/>
      <c r="AW21" s="333" t="str">
        <f t="shared" si="5"/>
        <v>2-CALOTE (SERASA)</v>
      </c>
      <c r="AX21" s="327">
        <f t="shared" si="6"/>
        <v>9</v>
      </c>
      <c r="AY21" s="326"/>
    </row>
    <row r="22" spans="2:51" ht="22.15" customHeight="1" outlineLevel="1">
      <c r="B22" s="533"/>
      <c r="C22" s="619" t="s">
        <v>618</v>
      </c>
      <c r="D22" s="620"/>
      <c r="E22" s="621" t="s">
        <v>616</v>
      </c>
      <c r="F22" s="622"/>
      <c r="G22" s="623" t="s">
        <v>619</v>
      </c>
      <c r="H22" s="623"/>
      <c r="I22" s="310"/>
      <c r="J22" s="310"/>
      <c r="K22" s="310"/>
      <c r="L22" s="320"/>
      <c r="M22" s="313"/>
      <c r="U22" s="326"/>
      <c r="AE22" s="321"/>
      <c r="AF22" s="327">
        <v>3</v>
      </c>
      <c r="AG22" s="328" t="s">
        <v>613</v>
      </c>
      <c r="AH22" s="329" t="s">
        <v>602</v>
      </c>
      <c r="AI22" s="329" t="s">
        <v>603</v>
      </c>
      <c r="AJ22" s="324">
        <v>3</v>
      </c>
      <c r="AK22" s="333" t="str">
        <f>B31</f>
        <v>3-NIVEL DE COMPLEXIDADE</v>
      </c>
      <c r="AL22" s="334">
        <f>F31</f>
        <v>1</v>
      </c>
      <c r="AM22" s="327">
        <f t="shared" si="7"/>
        <v>1</v>
      </c>
      <c r="AN22" s="327" t="str">
        <f t="shared" si="8"/>
        <v/>
      </c>
      <c r="AO22" s="327" t="str">
        <f t="shared" si="0"/>
        <v/>
      </c>
      <c r="AP22" s="325"/>
      <c r="AQ22" s="333" t="str">
        <f t="shared" si="1"/>
        <v>3-NIVEL DE COMPLEXIDADE</v>
      </c>
      <c r="AR22" s="327">
        <f t="shared" si="2"/>
        <v>1</v>
      </c>
      <c r="AS22" s="325"/>
      <c r="AT22" s="333" t="str">
        <f t="shared" si="3"/>
        <v>3-NIVEL DE COMPLEXIDADE</v>
      </c>
      <c r="AU22" s="327" t="str">
        <f t="shared" si="4"/>
        <v/>
      </c>
      <c r="AV22" s="325"/>
      <c r="AW22" s="333" t="str">
        <f t="shared" si="5"/>
        <v>3-NIVEL DE COMPLEXIDADE</v>
      </c>
      <c r="AX22" s="327" t="str">
        <f t="shared" si="6"/>
        <v/>
      </c>
      <c r="AY22" s="326"/>
    </row>
    <row r="23" spans="2:51" ht="22.15" customHeight="1" outlineLevel="1">
      <c r="B23" s="533"/>
      <c r="C23" s="607" t="s">
        <v>620</v>
      </c>
      <c r="D23" s="608"/>
      <c r="E23" s="609" t="s">
        <v>621</v>
      </c>
      <c r="F23" s="610"/>
      <c r="G23" s="611" t="s">
        <v>622</v>
      </c>
      <c r="H23" s="611"/>
      <c r="I23" s="310"/>
      <c r="J23" s="310"/>
      <c r="K23" s="310"/>
      <c r="L23" s="320"/>
      <c r="M23" s="313"/>
      <c r="U23" s="326"/>
      <c r="AE23" s="321"/>
      <c r="AF23" s="327">
        <v>4</v>
      </c>
      <c r="AG23" s="328" t="s">
        <v>613</v>
      </c>
      <c r="AH23" s="329" t="s">
        <v>602</v>
      </c>
      <c r="AI23" s="329" t="s">
        <v>603</v>
      </c>
      <c r="AJ23" s="324">
        <v>4</v>
      </c>
      <c r="AK23" s="333" t="str">
        <f>B33</f>
        <v>4-CAPACIDADE TÉCNICA</v>
      </c>
      <c r="AL23" s="334">
        <f>F33</f>
        <v>1</v>
      </c>
      <c r="AM23" s="327">
        <f t="shared" si="7"/>
        <v>1</v>
      </c>
      <c r="AN23" s="327" t="str">
        <f t="shared" si="8"/>
        <v/>
      </c>
      <c r="AO23" s="327" t="str">
        <f t="shared" si="0"/>
        <v/>
      </c>
      <c r="AP23" s="325"/>
      <c r="AQ23" s="333" t="str">
        <f t="shared" si="1"/>
        <v>4-CAPACIDADE TÉCNICA</v>
      </c>
      <c r="AR23" s="327">
        <f t="shared" si="2"/>
        <v>1</v>
      </c>
      <c r="AS23" s="325"/>
      <c r="AT23" s="333" t="str">
        <f t="shared" si="3"/>
        <v>4-CAPACIDADE TÉCNICA</v>
      </c>
      <c r="AU23" s="327" t="str">
        <f t="shared" si="4"/>
        <v/>
      </c>
      <c r="AV23" s="325"/>
      <c r="AW23" s="333" t="str">
        <f t="shared" si="5"/>
        <v>4-CAPACIDADE TÉCNICA</v>
      </c>
      <c r="AX23" s="327" t="str">
        <f t="shared" si="6"/>
        <v/>
      </c>
      <c r="AY23" s="326"/>
    </row>
    <row r="24" spans="2:51" ht="22.15" customHeight="1" outlineLevel="1">
      <c r="B24" s="533"/>
      <c r="C24" s="607" t="s">
        <v>623</v>
      </c>
      <c r="D24" s="608"/>
      <c r="E24" s="609" t="s">
        <v>621</v>
      </c>
      <c r="F24" s="610"/>
      <c r="G24" s="611" t="s">
        <v>624</v>
      </c>
      <c r="H24" s="611"/>
      <c r="I24" s="310"/>
      <c r="J24" s="310"/>
      <c r="K24" s="310"/>
      <c r="L24" s="320"/>
      <c r="M24" s="313"/>
      <c r="U24" s="326"/>
      <c r="AE24" s="321"/>
      <c r="AF24" s="327">
        <v>4.9000000000000004</v>
      </c>
      <c r="AG24" s="328" t="s">
        <v>613</v>
      </c>
      <c r="AH24" s="329" t="s">
        <v>602</v>
      </c>
      <c r="AI24" s="329" t="s">
        <v>603</v>
      </c>
      <c r="AJ24" s="324">
        <v>5</v>
      </c>
      <c r="AK24" s="333" t="str">
        <f>B35</f>
        <v>5-SSMA</v>
      </c>
      <c r="AL24" s="334">
        <f>F35</f>
        <v>6</v>
      </c>
      <c r="AM24" s="327" t="str">
        <f t="shared" si="7"/>
        <v/>
      </c>
      <c r="AN24" s="327">
        <f t="shared" si="8"/>
        <v>6</v>
      </c>
      <c r="AO24" s="327" t="str">
        <f t="shared" si="0"/>
        <v/>
      </c>
      <c r="AP24" s="325"/>
      <c r="AQ24" s="333" t="str">
        <f t="shared" si="1"/>
        <v>5-SSMA</v>
      </c>
      <c r="AR24" s="327" t="str">
        <f t="shared" si="2"/>
        <v/>
      </c>
      <c r="AS24" s="325"/>
      <c r="AT24" s="333" t="str">
        <f t="shared" si="3"/>
        <v>5-SSMA</v>
      </c>
      <c r="AU24" s="327">
        <f t="shared" si="4"/>
        <v>6</v>
      </c>
      <c r="AV24" s="325"/>
      <c r="AW24" s="333" t="str">
        <f t="shared" si="5"/>
        <v>5-SSMA</v>
      </c>
      <c r="AX24" s="327" t="str">
        <f t="shared" si="6"/>
        <v/>
      </c>
      <c r="AY24" s="326"/>
    </row>
    <row r="25" spans="2:51" ht="19.899999999999999" customHeight="1" outlineLevel="1">
      <c r="B25" s="612" t="s">
        <v>625</v>
      </c>
      <c r="C25" s="613"/>
      <c r="D25" s="613"/>
      <c r="E25" s="613"/>
      <c r="F25" s="613"/>
      <c r="G25" s="613"/>
      <c r="H25" s="613"/>
      <c r="I25" s="613"/>
      <c r="J25" s="613"/>
      <c r="K25" s="613"/>
      <c r="L25" s="614"/>
      <c r="M25" s="313"/>
      <c r="U25" s="326"/>
      <c r="AE25" s="321"/>
      <c r="AF25" s="327">
        <v>5</v>
      </c>
      <c r="AG25" s="335" t="s">
        <v>615</v>
      </c>
      <c r="AH25" s="336" t="s">
        <v>626</v>
      </c>
      <c r="AI25" s="336" t="s">
        <v>616</v>
      </c>
      <c r="AJ25" s="324">
        <v>6</v>
      </c>
      <c r="AK25" s="333" t="str">
        <f>B37</f>
        <v>6-RISCO DE NÃO ACONTECER</v>
      </c>
      <c r="AL25" s="334">
        <f>F37</f>
        <v>6</v>
      </c>
      <c r="AM25" s="327" t="str">
        <f t="shared" si="7"/>
        <v/>
      </c>
      <c r="AN25" s="327">
        <f t="shared" si="8"/>
        <v>6</v>
      </c>
      <c r="AO25" s="327" t="str">
        <f t="shared" si="0"/>
        <v/>
      </c>
      <c r="AP25" s="325"/>
      <c r="AQ25" s="333" t="str">
        <f t="shared" si="1"/>
        <v>6-RISCO DE NÃO ACONTECER</v>
      </c>
      <c r="AR25" s="327" t="str">
        <f t="shared" si="2"/>
        <v/>
      </c>
      <c r="AS25" s="325"/>
      <c r="AT25" s="333" t="str">
        <f t="shared" si="3"/>
        <v>6-RISCO DE NÃO ACONTECER</v>
      </c>
      <c r="AU25" s="327">
        <f t="shared" si="4"/>
        <v>6</v>
      </c>
      <c r="AV25" s="325"/>
      <c r="AW25" s="333" t="str">
        <f t="shared" si="5"/>
        <v>6-RISCO DE NÃO ACONTECER</v>
      </c>
      <c r="AX25" s="327" t="str">
        <f t="shared" si="6"/>
        <v/>
      </c>
      <c r="AY25" s="326"/>
    </row>
    <row r="26" spans="2:51" ht="42.6" customHeight="1" outlineLevel="1">
      <c r="B26" s="615" t="s">
        <v>627</v>
      </c>
      <c r="C26" s="616"/>
      <c r="D26" s="337" t="s">
        <v>628</v>
      </c>
      <c r="E26" s="617" t="s">
        <v>629</v>
      </c>
      <c r="F26" s="617"/>
      <c r="G26" s="617"/>
      <c r="H26" s="617"/>
      <c r="I26" s="618" t="s">
        <v>743</v>
      </c>
      <c r="J26" s="618"/>
      <c r="K26" s="618"/>
      <c r="L26" s="618"/>
      <c r="M26" s="338"/>
      <c r="N26" s="339"/>
      <c r="O26" s="339"/>
      <c r="P26" s="339"/>
      <c r="Q26" s="339"/>
      <c r="R26" s="339"/>
      <c r="S26" s="339"/>
      <c r="T26" s="339"/>
      <c r="U26" s="534"/>
      <c r="AE26" s="321"/>
      <c r="AF26" s="327">
        <v>6</v>
      </c>
      <c r="AG26" s="335" t="s">
        <v>615</v>
      </c>
      <c r="AH26" s="336" t="s">
        <v>626</v>
      </c>
      <c r="AI26" s="336" t="s">
        <v>616</v>
      </c>
      <c r="AJ26" s="324">
        <v>7</v>
      </c>
      <c r="AK26" s="333" t="str">
        <f>B39</f>
        <v>7-DISPONIBILIDADE DE RECURSOS (Mercado)</v>
      </c>
      <c r="AL26" s="334">
        <f>F39</f>
        <v>4</v>
      </c>
      <c r="AM26" s="327">
        <f t="shared" si="7"/>
        <v>4</v>
      </c>
      <c r="AN26" s="327" t="str">
        <f t="shared" si="8"/>
        <v/>
      </c>
      <c r="AO26" s="327" t="str">
        <f t="shared" si="0"/>
        <v/>
      </c>
      <c r="AP26" s="325"/>
      <c r="AQ26" s="333" t="str">
        <f t="shared" si="1"/>
        <v>7-DISPONIBILIDADE DE RECURSOS (Mercado)</v>
      </c>
      <c r="AR26" s="327">
        <f t="shared" si="2"/>
        <v>4</v>
      </c>
      <c r="AS26" s="325"/>
      <c r="AT26" s="333" t="str">
        <f t="shared" si="3"/>
        <v>7-DISPONIBILIDADE DE RECURSOS (Mercado)</v>
      </c>
      <c r="AU26" s="327" t="str">
        <f t="shared" si="4"/>
        <v/>
      </c>
      <c r="AV26" s="325"/>
      <c r="AW26" s="333" t="str">
        <f t="shared" si="5"/>
        <v>7-DISPONIBILIDADE DE RECURSOS (Mercado)</v>
      </c>
      <c r="AX26" s="327" t="str">
        <f t="shared" si="6"/>
        <v/>
      </c>
      <c r="AY26" s="326"/>
    </row>
    <row r="27" spans="2:51" ht="24.95" customHeight="1" outlineLevel="1">
      <c r="B27" s="581" t="s">
        <v>630</v>
      </c>
      <c r="C27" s="582"/>
      <c r="D27" s="535">
        <v>2.5</v>
      </c>
      <c r="E27" s="340"/>
      <c r="F27" s="536">
        <v>3</v>
      </c>
      <c r="H27" s="301" t="str">
        <f>VLOOKUP(F27,$AF$18:$AI$36,3,TRUE)</f>
        <v>Risco Alto</v>
      </c>
      <c r="I27" s="313"/>
      <c r="J27" s="341"/>
      <c r="K27" s="301"/>
      <c r="L27" s="314"/>
      <c r="M27" s="583" t="s">
        <v>631</v>
      </c>
      <c r="N27" s="584"/>
      <c r="O27" s="584"/>
      <c r="P27" s="584"/>
      <c r="Q27" s="584"/>
      <c r="R27" s="584"/>
      <c r="S27" s="584"/>
      <c r="T27" s="584"/>
      <c r="U27" s="585"/>
      <c r="AE27" s="321"/>
      <c r="AF27" s="327">
        <v>7</v>
      </c>
      <c r="AG27" s="335" t="s">
        <v>615</v>
      </c>
      <c r="AH27" s="336" t="s">
        <v>626</v>
      </c>
      <c r="AI27" s="336" t="s">
        <v>616</v>
      </c>
      <c r="AJ27" s="324">
        <v>8</v>
      </c>
      <c r="AK27" s="333" t="str">
        <f>B41</f>
        <v>8-COMPETITIVIDADE (Concorrentes)</v>
      </c>
      <c r="AL27" s="334">
        <f>F41</f>
        <v>2</v>
      </c>
      <c r="AM27" s="327">
        <f t="shared" si="7"/>
        <v>2</v>
      </c>
      <c r="AN27" s="327" t="str">
        <f t="shared" si="8"/>
        <v/>
      </c>
      <c r="AO27" s="327" t="str">
        <f t="shared" si="0"/>
        <v/>
      </c>
      <c r="AP27" s="325"/>
      <c r="AQ27" s="333" t="str">
        <f t="shared" si="1"/>
        <v>8-COMPETITIVIDADE (Concorrentes)</v>
      </c>
      <c r="AR27" s="327">
        <f t="shared" si="2"/>
        <v>2</v>
      </c>
      <c r="AS27" s="325"/>
      <c r="AT27" s="333" t="str">
        <f t="shared" si="3"/>
        <v>8-COMPETITIVIDADE (Concorrentes)</v>
      </c>
      <c r="AU27" s="327" t="str">
        <f t="shared" si="4"/>
        <v/>
      </c>
      <c r="AV27" s="325"/>
      <c r="AW27" s="333" t="str">
        <f t="shared" si="5"/>
        <v>8-COMPETITIVIDADE (Concorrentes)</v>
      </c>
      <c r="AX27" s="327" t="str">
        <f t="shared" si="6"/>
        <v/>
      </c>
      <c r="AY27" s="326"/>
    </row>
    <row r="28" spans="2:51" ht="9.9499999999999993" customHeight="1" outlineLevel="1">
      <c r="B28" s="537"/>
      <c r="C28" s="538"/>
      <c r="D28" s="535"/>
      <c r="E28" s="340"/>
      <c r="F28" s="539"/>
      <c r="H28" s="301"/>
      <c r="I28" s="313"/>
      <c r="J28" s="341"/>
      <c r="K28" s="301"/>
      <c r="L28" s="314"/>
      <c r="M28" s="586" t="s">
        <v>736</v>
      </c>
      <c r="N28" s="587"/>
      <c r="O28" s="587"/>
      <c r="P28" s="587"/>
      <c r="Q28" s="592"/>
      <c r="R28" s="587"/>
      <c r="S28" s="587"/>
      <c r="T28" s="587"/>
      <c r="U28" s="593"/>
      <c r="AE28" s="321"/>
      <c r="AF28" s="327">
        <v>7.4</v>
      </c>
      <c r="AG28" s="335" t="s">
        <v>615</v>
      </c>
      <c r="AH28" s="336" t="s">
        <v>626</v>
      </c>
      <c r="AI28" s="336" t="s">
        <v>616</v>
      </c>
      <c r="AJ28" s="324">
        <v>9</v>
      </c>
      <c r="AK28" s="333" t="str">
        <f>B43</f>
        <v>9-HH PARADO/EQUIPAMENTO</v>
      </c>
      <c r="AL28" s="334">
        <f>F43</f>
        <v>2</v>
      </c>
      <c r="AM28" s="327">
        <f t="shared" si="7"/>
        <v>2</v>
      </c>
      <c r="AN28" s="327" t="str">
        <f t="shared" si="8"/>
        <v/>
      </c>
      <c r="AO28" s="327" t="str">
        <f t="shared" si="0"/>
        <v/>
      </c>
      <c r="AP28" s="325"/>
      <c r="AQ28" s="333" t="str">
        <f t="shared" si="1"/>
        <v>9-HH PARADO/EQUIPAMENTO</v>
      </c>
      <c r="AR28" s="327">
        <f t="shared" si="2"/>
        <v>2</v>
      </c>
      <c r="AS28" s="325"/>
      <c r="AT28" s="333" t="str">
        <f t="shared" si="3"/>
        <v>9-HH PARADO/EQUIPAMENTO</v>
      </c>
      <c r="AU28" s="327" t="str">
        <f t="shared" si="4"/>
        <v/>
      </c>
      <c r="AV28" s="325"/>
      <c r="AW28" s="333" t="str">
        <f t="shared" si="5"/>
        <v>9-HH PARADO/EQUIPAMENTO</v>
      </c>
      <c r="AX28" s="327" t="str">
        <f t="shared" si="6"/>
        <v/>
      </c>
      <c r="AY28" s="326"/>
    </row>
    <row r="29" spans="2:51" ht="24.95" customHeight="1" outlineLevel="1">
      <c r="B29" s="572" t="s">
        <v>632</v>
      </c>
      <c r="C29" s="573"/>
      <c r="D29" s="535">
        <v>2</v>
      </c>
      <c r="E29" s="340"/>
      <c r="F29" s="536">
        <v>9</v>
      </c>
      <c r="H29" s="301" t="str">
        <f>VLOOKUP(F29,$AF$18:$AI$36,3,TRUE)</f>
        <v>Risco Baixo</v>
      </c>
      <c r="I29" s="598">
        <f>ROUND((D27*F27+D29*F29+D31*F31+D33*F33+D35*F35+D37*F37+D41*F41+D43*F43+D45*F45+D47*F47+D39*F39+D51*F51+D53*F53+D49*F49)/D56,1)</f>
        <v>4.7</v>
      </c>
      <c r="J29" s="599"/>
      <c r="K29" s="599"/>
      <c r="L29" s="600"/>
      <c r="M29" s="588"/>
      <c r="N29" s="589"/>
      <c r="O29" s="589"/>
      <c r="P29" s="589"/>
      <c r="Q29" s="594"/>
      <c r="R29" s="589"/>
      <c r="S29" s="589"/>
      <c r="T29" s="589"/>
      <c r="U29" s="595"/>
      <c r="AE29" s="321"/>
      <c r="AF29" s="327">
        <v>7.5</v>
      </c>
      <c r="AG29" s="335" t="s">
        <v>618</v>
      </c>
      <c r="AH29" s="336" t="s">
        <v>626</v>
      </c>
      <c r="AI29" s="336" t="s">
        <v>616</v>
      </c>
      <c r="AJ29" s="324">
        <v>10</v>
      </c>
      <c r="AK29" s="333" t="str">
        <f>B45</f>
        <v>10-LOGISTICA</v>
      </c>
      <c r="AL29" s="334">
        <f>F45</f>
        <v>1</v>
      </c>
      <c r="AM29" s="327">
        <f t="shared" si="7"/>
        <v>1</v>
      </c>
      <c r="AN29" s="327" t="str">
        <f t="shared" si="8"/>
        <v/>
      </c>
      <c r="AO29" s="327" t="str">
        <f t="shared" si="0"/>
        <v/>
      </c>
      <c r="AP29" s="325"/>
      <c r="AQ29" s="333" t="str">
        <f t="shared" si="1"/>
        <v>10-LOGISTICA</v>
      </c>
      <c r="AR29" s="327">
        <f t="shared" si="2"/>
        <v>1</v>
      </c>
      <c r="AS29" s="325"/>
      <c r="AT29" s="333" t="str">
        <f t="shared" si="3"/>
        <v>10-LOGISTICA</v>
      </c>
      <c r="AU29" s="327" t="str">
        <f t="shared" si="4"/>
        <v/>
      </c>
      <c r="AV29" s="325"/>
      <c r="AW29" s="333" t="str">
        <f t="shared" si="5"/>
        <v>10-LOGISTICA</v>
      </c>
      <c r="AX29" s="327" t="str">
        <f t="shared" si="6"/>
        <v/>
      </c>
      <c r="AY29" s="326"/>
    </row>
    <row r="30" spans="2:51" ht="9.9499999999999993" customHeight="1" outlineLevel="1">
      <c r="B30" s="537"/>
      <c r="C30" s="538"/>
      <c r="D30" s="535"/>
      <c r="E30" s="340"/>
      <c r="F30" s="539"/>
      <c r="H30" s="301"/>
      <c r="I30" s="598"/>
      <c r="J30" s="599"/>
      <c r="K30" s="599"/>
      <c r="L30" s="600"/>
      <c r="M30" s="588"/>
      <c r="N30" s="589"/>
      <c r="O30" s="589"/>
      <c r="P30" s="589"/>
      <c r="Q30" s="594"/>
      <c r="R30" s="589"/>
      <c r="S30" s="589"/>
      <c r="T30" s="589"/>
      <c r="U30" s="595"/>
      <c r="AE30" s="321"/>
      <c r="AF30" s="327">
        <v>8</v>
      </c>
      <c r="AG30" s="335" t="s">
        <v>618</v>
      </c>
      <c r="AH30" s="336" t="s">
        <v>626</v>
      </c>
      <c r="AI30" s="336" t="s">
        <v>616</v>
      </c>
      <c r="AJ30" s="324">
        <v>11</v>
      </c>
      <c r="AK30" s="333" t="str">
        <f>B47</f>
        <v>11-NOTIFICAÇÕES E MULTAS</v>
      </c>
      <c r="AL30" s="334">
        <f>F47</f>
        <v>8.6</v>
      </c>
      <c r="AM30" s="327" t="str">
        <f>IF(AL30&lt;=4.9,AL30,"")</f>
        <v/>
      </c>
      <c r="AN30" s="327" t="str">
        <f t="shared" si="8"/>
        <v/>
      </c>
      <c r="AO30" s="327">
        <f t="shared" si="0"/>
        <v>8.6</v>
      </c>
      <c r="AP30" s="325"/>
      <c r="AQ30" s="333" t="str">
        <f t="shared" si="1"/>
        <v>11-NOTIFICAÇÕES E MULTAS</v>
      </c>
      <c r="AR30" s="327" t="str">
        <f t="shared" si="2"/>
        <v/>
      </c>
      <c r="AS30" s="325"/>
      <c r="AT30" s="333" t="str">
        <f t="shared" si="3"/>
        <v>11-NOTIFICAÇÕES E MULTAS</v>
      </c>
      <c r="AU30" s="327" t="str">
        <f t="shared" si="4"/>
        <v/>
      </c>
      <c r="AV30" s="325"/>
      <c r="AW30" s="333" t="str">
        <f t="shared" si="5"/>
        <v>11-NOTIFICAÇÕES E MULTAS</v>
      </c>
      <c r="AX30" s="327">
        <f t="shared" si="6"/>
        <v>8.6</v>
      </c>
      <c r="AY30" s="326"/>
    </row>
    <row r="31" spans="2:51" ht="24.95" customHeight="1" outlineLevel="1">
      <c r="B31" s="572" t="s">
        <v>633</v>
      </c>
      <c r="C31" s="573"/>
      <c r="D31" s="535">
        <v>0.5</v>
      </c>
      <c r="E31" s="340"/>
      <c r="F31" s="536">
        <v>1</v>
      </c>
      <c r="H31" s="301" t="str">
        <f>VLOOKUP(F31,$AF$18:$AI$36,3,TRUE)</f>
        <v>Risco Alto</v>
      </c>
      <c r="I31" s="598"/>
      <c r="J31" s="599"/>
      <c r="K31" s="599"/>
      <c r="L31" s="600"/>
      <c r="M31" s="588"/>
      <c r="N31" s="589"/>
      <c r="O31" s="589"/>
      <c r="P31" s="589"/>
      <c r="Q31" s="594"/>
      <c r="R31" s="589"/>
      <c r="S31" s="589"/>
      <c r="T31" s="589"/>
      <c r="U31" s="595"/>
      <c r="AE31" s="321"/>
      <c r="AF31" s="327">
        <v>8.5</v>
      </c>
      <c r="AG31" s="335" t="s">
        <v>618</v>
      </c>
      <c r="AH31" s="336" t="s">
        <v>626</v>
      </c>
      <c r="AI31" s="336" t="s">
        <v>616</v>
      </c>
      <c r="AJ31" s="324">
        <v>12</v>
      </c>
      <c r="AK31" s="333" t="str">
        <f>B49</f>
        <v>12-PRAZO DE ELABORAÇÃO PROPOSTA</v>
      </c>
      <c r="AL31" s="334">
        <f>F49</f>
        <v>3</v>
      </c>
      <c r="AM31" s="327">
        <f>IF(AL31&lt;=4.9,AL31,"")</f>
        <v>3</v>
      </c>
      <c r="AN31" s="327" t="str">
        <f t="shared" si="8"/>
        <v/>
      </c>
      <c r="AO31" s="327" t="str">
        <f t="shared" si="0"/>
        <v/>
      </c>
      <c r="AP31" s="325"/>
      <c r="AQ31" s="333" t="str">
        <f t="shared" si="1"/>
        <v>12-PRAZO DE ELABORAÇÃO PROPOSTA</v>
      </c>
      <c r="AR31" s="327">
        <f t="shared" si="2"/>
        <v>3</v>
      </c>
      <c r="AS31" s="325"/>
      <c r="AT31" s="333" t="str">
        <f t="shared" si="3"/>
        <v>12-PRAZO DE ELABORAÇÃO PROPOSTA</v>
      </c>
      <c r="AU31" s="327" t="str">
        <f t="shared" si="4"/>
        <v/>
      </c>
      <c r="AV31" s="325"/>
      <c r="AW31" s="333" t="str">
        <f t="shared" si="5"/>
        <v>12-PRAZO DE ELABORAÇÃO PROPOSTA</v>
      </c>
      <c r="AX31" s="327" t="str">
        <f t="shared" si="6"/>
        <v/>
      </c>
      <c r="AY31" s="326"/>
    </row>
    <row r="32" spans="2:51" ht="9.9499999999999993" customHeight="1" outlineLevel="1">
      <c r="B32" s="537"/>
      <c r="C32" s="538"/>
      <c r="D32" s="535"/>
      <c r="E32" s="340"/>
      <c r="F32" s="539"/>
      <c r="H32" s="301"/>
      <c r="I32" s="598"/>
      <c r="J32" s="599"/>
      <c r="K32" s="599"/>
      <c r="L32" s="600"/>
      <c r="M32" s="588"/>
      <c r="N32" s="589"/>
      <c r="O32" s="589"/>
      <c r="P32" s="589"/>
      <c r="Q32" s="594"/>
      <c r="R32" s="589"/>
      <c r="S32" s="589"/>
      <c r="T32" s="589"/>
      <c r="U32" s="595"/>
      <c r="AE32" s="321"/>
      <c r="AF32" s="327">
        <v>8.6</v>
      </c>
      <c r="AG32" s="342" t="s">
        <v>620</v>
      </c>
      <c r="AH32" s="343" t="s">
        <v>634</v>
      </c>
      <c r="AI32" s="343" t="s">
        <v>621</v>
      </c>
      <c r="AJ32" s="324">
        <v>13</v>
      </c>
      <c r="AK32" s="333" t="str">
        <f>B51</f>
        <v>13-PRAZO DE EXECUÇÃO</v>
      </c>
      <c r="AL32" s="334">
        <f>F51</f>
        <v>7</v>
      </c>
      <c r="AM32" s="327" t="str">
        <f>IF(AL32&lt;=4.9,AL32,"")</f>
        <v/>
      </c>
      <c r="AN32" s="327">
        <f t="shared" si="8"/>
        <v>7</v>
      </c>
      <c r="AO32" s="327" t="str">
        <f t="shared" si="0"/>
        <v/>
      </c>
      <c r="AP32" s="325"/>
      <c r="AQ32" s="333" t="str">
        <f t="shared" si="1"/>
        <v>13-PRAZO DE EXECUÇÃO</v>
      </c>
      <c r="AR32" s="327" t="str">
        <f t="shared" si="2"/>
        <v/>
      </c>
      <c r="AS32" s="325"/>
      <c r="AT32" s="333" t="str">
        <f t="shared" si="3"/>
        <v>13-PRAZO DE EXECUÇÃO</v>
      </c>
      <c r="AU32" s="327">
        <f t="shared" si="4"/>
        <v>7</v>
      </c>
      <c r="AV32" s="325"/>
      <c r="AW32" s="333" t="str">
        <f t="shared" si="5"/>
        <v>13-PRAZO DE EXECUÇÃO</v>
      </c>
      <c r="AX32" s="327" t="str">
        <f t="shared" si="6"/>
        <v/>
      </c>
      <c r="AY32" s="326"/>
    </row>
    <row r="33" spans="1:51" ht="24.95" customHeight="1" outlineLevel="1">
      <c r="B33" s="572" t="s">
        <v>635</v>
      </c>
      <c r="C33" s="573"/>
      <c r="D33" s="535">
        <v>0.5</v>
      </c>
      <c r="E33" s="340"/>
      <c r="F33" s="536">
        <v>1</v>
      </c>
      <c r="H33" s="301" t="str">
        <f>VLOOKUP(F33,$AF$18:$AI$36,3,TRUE)</f>
        <v>Risco Alto</v>
      </c>
      <c r="I33" s="598"/>
      <c r="J33" s="599"/>
      <c r="K33" s="599"/>
      <c r="L33" s="600"/>
      <c r="M33" s="588"/>
      <c r="N33" s="589"/>
      <c r="O33" s="589"/>
      <c r="P33" s="589"/>
      <c r="Q33" s="594"/>
      <c r="R33" s="589"/>
      <c r="S33" s="589"/>
      <c r="T33" s="589"/>
      <c r="U33" s="595"/>
      <c r="AE33" s="321"/>
      <c r="AF33" s="327">
        <v>9</v>
      </c>
      <c r="AG33" s="342" t="s">
        <v>620</v>
      </c>
      <c r="AH33" s="343" t="s">
        <v>634</v>
      </c>
      <c r="AI33" s="343" t="s">
        <v>621</v>
      </c>
      <c r="AJ33" s="324">
        <v>14</v>
      </c>
      <c r="AK33" s="333" t="str">
        <f>B53</f>
        <v>14-LEILÃO</v>
      </c>
      <c r="AL33" s="334">
        <f>F53</f>
        <v>7</v>
      </c>
      <c r="AM33" s="327" t="str">
        <f>IF(AL33&lt;=4.9,AL33,"")</f>
        <v/>
      </c>
      <c r="AN33" s="327">
        <f t="shared" si="8"/>
        <v>7</v>
      </c>
      <c r="AO33" s="327" t="str">
        <f t="shared" si="0"/>
        <v/>
      </c>
      <c r="AP33" s="325"/>
      <c r="AQ33" s="333" t="str">
        <f t="shared" si="1"/>
        <v>14-LEILÃO</v>
      </c>
      <c r="AR33" s="327" t="str">
        <f t="shared" si="2"/>
        <v/>
      </c>
      <c r="AS33" s="325"/>
      <c r="AT33" s="333" t="str">
        <f t="shared" si="3"/>
        <v>14-LEILÃO</v>
      </c>
      <c r="AU33" s="327">
        <f t="shared" si="4"/>
        <v>7</v>
      </c>
      <c r="AV33" s="325"/>
      <c r="AW33" s="333" t="str">
        <f t="shared" si="5"/>
        <v>14-LEILÃO</v>
      </c>
      <c r="AX33" s="327" t="str">
        <f t="shared" si="6"/>
        <v/>
      </c>
      <c r="AY33" s="326"/>
    </row>
    <row r="34" spans="1:51" ht="9.9499999999999993" customHeight="1" outlineLevel="1">
      <c r="B34" s="537"/>
      <c r="C34" s="538"/>
      <c r="D34" s="535"/>
      <c r="E34" s="340"/>
      <c r="F34" s="539"/>
      <c r="H34" s="301"/>
      <c r="I34" s="598"/>
      <c r="J34" s="599"/>
      <c r="K34" s="599"/>
      <c r="L34" s="600"/>
      <c r="M34" s="588"/>
      <c r="N34" s="589"/>
      <c r="O34" s="589"/>
      <c r="P34" s="589"/>
      <c r="Q34" s="594"/>
      <c r="R34" s="589"/>
      <c r="S34" s="589"/>
      <c r="T34" s="589"/>
      <c r="U34" s="595"/>
      <c r="AE34" s="321"/>
      <c r="AF34" s="327">
        <v>9.3000000000000007</v>
      </c>
      <c r="AG34" s="342" t="s">
        <v>620</v>
      </c>
      <c r="AH34" s="343" t="s">
        <v>634</v>
      </c>
      <c r="AI34" s="343" t="s">
        <v>621</v>
      </c>
      <c r="AJ34" s="324"/>
      <c r="AK34" s="324"/>
      <c r="AL34" s="325"/>
      <c r="AM34" s="325"/>
      <c r="AN34" s="325"/>
      <c r="AO34" s="325"/>
      <c r="AP34" s="325"/>
      <c r="AQ34" s="324"/>
      <c r="AR34" s="325"/>
      <c r="AS34" s="325"/>
      <c r="AT34" s="324"/>
      <c r="AU34" s="325"/>
      <c r="AV34" s="325"/>
      <c r="AW34" s="324"/>
      <c r="AX34" s="325"/>
      <c r="AY34" s="326"/>
    </row>
    <row r="35" spans="1:51" ht="24.95" customHeight="1" outlineLevel="1">
      <c r="B35" s="572" t="s">
        <v>636</v>
      </c>
      <c r="C35" s="573"/>
      <c r="D35" s="535">
        <v>0.5</v>
      </c>
      <c r="E35" s="340"/>
      <c r="F35" s="536">
        <v>6</v>
      </c>
      <c r="H35" s="301" t="str">
        <f>VLOOKUP(F35,$AF$18:$AI$36,3,TRUE)</f>
        <v>Risco Médio</v>
      </c>
      <c r="I35" s="598"/>
      <c r="J35" s="599"/>
      <c r="K35" s="599"/>
      <c r="L35" s="600"/>
      <c r="M35" s="588"/>
      <c r="N35" s="589"/>
      <c r="O35" s="589"/>
      <c r="P35" s="589"/>
      <c r="Q35" s="594"/>
      <c r="R35" s="589"/>
      <c r="S35" s="589"/>
      <c r="T35" s="589"/>
      <c r="U35" s="595"/>
      <c r="AE35" s="321"/>
      <c r="AF35" s="327">
        <v>9.4</v>
      </c>
      <c r="AG35" s="342" t="s">
        <v>623</v>
      </c>
      <c r="AH35" s="343" t="s">
        <v>634</v>
      </c>
      <c r="AI35" s="343" t="s">
        <v>621</v>
      </c>
      <c r="AJ35" s="324"/>
      <c r="AK35" s="324"/>
      <c r="AL35" s="325"/>
      <c r="AM35" s="325"/>
      <c r="AN35" s="325"/>
      <c r="AO35" s="325"/>
      <c r="AP35" s="325"/>
      <c r="AQ35" s="324"/>
      <c r="AR35" s="325"/>
      <c r="AS35" s="325"/>
      <c r="AT35" s="324"/>
      <c r="AU35" s="325"/>
      <c r="AV35" s="325"/>
      <c r="AW35" s="324"/>
      <c r="AX35" s="325"/>
      <c r="AY35" s="326"/>
    </row>
    <row r="36" spans="1:51" ht="9.9499999999999993" customHeight="1" outlineLevel="1">
      <c r="B36" s="537"/>
      <c r="C36" s="538"/>
      <c r="D36" s="535"/>
      <c r="E36" s="340"/>
      <c r="F36" s="539"/>
      <c r="H36" s="301"/>
      <c r="I36" s="598"/>
      <c r="J36" s="599"/>
      <c r="K36" s="599"/>
      <c r="L36" s="600"/>
      <c r="M36" s="588"/>
      <c r="N36" s="589"/>
      <c r="O36" s="589"/>
      <c r="P36" s="589"/>
      <c r="Q36" s="594"/>
      <c r="R36" s="589"/>
      <c r="S36" s="589"/>
      <c r="T36" s="589"/>
      <c r="U36" s="595"/>
      <c r="AE36" s="321"/>
      <c r="AF36" s="327">
        <v>10</v>
      </c>
      <c r="AG36" s="342" t="s">
        <v>623</v>
      </c>
      <c r="AH36" s="343" t="s">
        <v>634</v>
      </c>
      <c r="AI36" s="343" t="s">
        <v>621</v>
      </c>
      <c r="AJ36" s="324"/>
      <c r="AK36" s="324"/>
      <c r="AL36" s="325"/>
      <c r="AM36" s="325"/>
      <c r="AN36" s="325"/>
      <c r="AO36" s="325"/>
      <c r="AP36" s="325"/>
      <c r="AQ36" s="324"/>
      <c r="AR36" s="325"/>
      <c r="AS36" s="325"/>
      <c r="AT36" s="324"/>
      <c r="AU36" s="325"/>
      <c r="AV36" s="325"/>
      <c r="AW36" s="324"/>
      <c r="AX36" s="325"/>
      <c r="AY36" s="326"/>
    </row>
    <row r="37" spans="1:51" ht="24.95" customHeight="1" outlineLevel="1" thickBot="1">
      <c r="B37" s="572" t="s">
        <v>637</v>
      </c>
      <c r="C37" s="573"/>
      <c r="D37" s="535">
        <v>0.3</v>
      </c>
      <c r="E37" s="340"/>
      <c r="F37" s="536">
        <v>6</v>
      </c>
      <c r="H37" s="301" t="str">
        <f>VLOOKUP(F37,$AF$18:$AI$36,3,TRUE)</f>
        <v>Risco Médio</v>
      </c>
      <c r="I37" s="598"/>
      <c r="J37" s="599"/>
      <c r="K37" s="599"/>
      <c r="L37" s="600"/>
      <c r="M37" s="588"/>
      <c r="N37" s="589"/>
      <c r="O37" s="589"/>
      <c r="P37" s="589"/>
      <c r="Q37" s="594"/>
      <c r="R37" s="589"/>
      <c r="S37" s="589"/>
      <c r="T37" s="589"/>
      <c r="U37" s="595"/>
      <c r="AE37" s="344"/>
      <c r="AF37" s="540"/>
      <c r="AG37" s="541"/>
      <c r="AH37" s="541"/>
      <c r="AI37" s="541"/>
      <c r="AJ37" s="324"/>
      <c r="AK37" s="324"/>
      <c r="AL37" s="325"/>
      <c r="AM37" s="325"/>
      <c r="AN37" s="325"/>
      <c r="AO37" s="325"/>
      <c r="AP37" s="325"/>
      <c r="AQ37" s="324"/>
      <c r="AR37" s="325"/>
      <c r="AS37" s="325"/>
      <c r="AT37" s="324"/>
      <c r="AU37" s="325"/>
      <c r="AV37" s="325"/>
      <c r="AW37" s="324"/>
      <c r="AX37" s="325"/>
      <c r="AY37" s="345"/>
    </row>
    <row r="38" spans="1:51" ht="9.9499999999999993" customHeight="1" outlineLevel="1" thickBot="1">
      <c r="B38" s="537"/>
      <c r="C38" s="538"/>
      <c r="D38" s="535"/>
      <c r="E38" s="340"/>
      <c r="F38" s="539"/>
      <c r="H38" s="301"/>
      <c r="I38" s="598"/>
      <c r="J38" s="599"/>
      <c r="K38" s="599"/>
      <c r="L38" s="600"/>
      <c r="M38" s="588"/>
      <c r="N38" s="589"/>
      <c r="O38" s="589"/>
      <c r="P38" s="589"/>
      <c r="Q38" s="594"/>
      <c r="R38" s="589"/>
      <c r="S38" s="589"/>
      <c r="T38" s="589"/>
      <c r="U38" s="595"/>
      <c r="AJ38" s="541"/>
      <c r="AK38" s="541"/>
      <c r="AL38" s="542"/>
      <c r="AM38" s="542"/>
      <c r="AN38" s="542"/>
      <c r="AO38" s="542"/>
      <c r="AP38" s="542"/>
      <c r="AQ38" s="541"/>
      <c r="AR38" s="542"/>
      <c r="AS38" s="542"/>
      <c r="AT38" s="541"/>
      <c r="AU38" s="542"/>
      <c r="AV38" s="542"/>
      <c r="AW38" s="541"/>
      <c r="AX38" s="542"/>
    </row>
    <row r="39" spans="1:51" ht="24.95" customHeight="1" outlineLevel="1">
      <c r="B39" s="572" t="s">
        <v>638</v>
      </c>
      <c r="C39" s="573"/>
      <c r="D39" s="535">
        <v>0.5</v>
      </c>
      <c r="E39" s="340"/>
      <c r="F39" s="536">
        <v>4</v>
      </c>
      <c r="H39" s="301" t="str">
        <f>VLOOKUP(F39,$AF$18:$AI$36,3,TRUE)</f>
        <v>Risco Alto</v>
      </c>
      <c r="I39" s="598"/>
      <c r="J39" s="599"/>
      <c r="K39" s="599"/>
      <c r="L39" s="600"/>
      <c r="M39" s="588"/>
      <c r="N39" s="589"/>
      <c r="O39" s="589"/>
      <c r="P39" s="589"/>
      <c r="Q39" s="594"/>
      <c r="R39" s="589"/>
      <c r="S39" s="589"/>
      <c r="T39" s="589"/>
      <c r="U39" s="595"/>
    </row>
    <row r="40" spans="1:51" ht="9.9499999999999993" customHeight="1" outlineLevel="1">
      <c r="B40" s="537"/>
      <c r="C40" s="538"/>
      <c r="D40" s="535"/>
      <c r="E40" s="340"/>
      <c r="F40" s="539"/>
      <c r="H40" s="301"/>
      <c r="I40" s="346"/>
      <c r="J40" s="347"/>
      <c r="K40" s="347"/>
      <c r="L40" s="348"/>
      <c r="M40" s="588"/>
      <c r="N40" s="589"/>
      <c r="O40" s="589"/>
      <c r="P40" s="589"/>
      <c r="Q40" s="594"/>
      <c r="R40" s="589"/>
      <c r="S40" s="589"/>
      <c r="T40" s="589"/>
      <c r="U40" s="595"/>
    </row>
    <row r="41" spans="1:51" ht="24.95" customHeight="1" outlineLevel="1">
      <c r="B41" s="572" t="s">
        <v>639</v>
      </c>
      <c r="C41" s="573"/>
      <c r="D41" s="535">
        <v>0.5</v>
      </c>
      <c r="E41" s="340"/>
      <c r="F41" s="536">
        <v>2</v>
      </c>
      <c r="H41" s="301" t="str">
        <f>VLOOKUP(F41,$AF$18:$AI$36,3,TRUE)</f>
        <v>Risco Alto</v>
      </c>
      <c r="I41" s="601" t="s">
        <v>640</v>
      </c>
      <c r="J41" s="602"/>
      <c r="K41" s="602"/>
      <c r="L41" s="603"/>
      <c r="M41" s="588"/>
      <c r="N41" s="589"/>
      <c r="O41" s="589"/>
      <c r="P41" s="589"/>
      <c r="Q41" s="594"/>
      <c r="R41" s="589"/>
      <c r="S41" s="589"/>
      <c r="T41" s="589"/>
      <c r="U41" s="595"/>
    </row>
    <row r="42" spans="1:51" ht="9.9499999999999993" customHeight="1" outlineLevel="1">
      <c r="B42" s="537"/>
      <c r="C42" s="538"/>
      <c r="D42" s="535"/>
      <c r="E42" s="340"/>
      <c r="F42" s="539"/>
      <c r="H42" s="301"/>
      <c r="I42" s="349"/>
      <c r="J42" s="350"/>
      <c r="K42" s="350"/>
      <c r="L42" s="351"/>
      <c r="M42" s="588"/>
      <c r="N42" s="589"/>
      <c r="O42" s="589"/>
      <c r="P42" s="589"/>
      <c r="Q42" s="594"/>
      <c r="R42" s="589"/>
      <c r="S42" s="589"/>
      <c r="T42" s="589"/>
      <c r="U42" s="595"/>
    </row>
    <row r="43" spans="1:51" ht="24.95" customHeight="1" outlineLevel="1">
      <c r="B43" s="572" t="s">
        <v>641</v>
      </c>
      <c r="C43" s="573"/>
      <c r="D43" s="535">
        <v>0.5</v>
      </c>
      <c r="E43" s="340"/>
      <c r="F43" s="536">
        <v>2</v>
      </c>
      <c r="H43" s="301" t="str">
        <f>VLOOKUP(F43,$AF$18:$AI$36,3,TRUE)</f>
        <v>Risco Alto</v>
      </c>
      <c r="I43" s="604" t="str">
        <f>VLOOKUP(I29,AF18:AI36,4,TRUE)</f>
        <v>Alto</v>
      </c>
      <c r="J43" s="605"/>
      <c r="K43" s="605"/>
      <c r="L43" s="606"/>
      <c r="M43" s="588"/>
      <c r="N43" s="589"/>
      <c r="O43" s="589"/>
      <c r="P43" s="589"/>
      <c r="Q43" s="594"/>
      <c r="R43" s="589"/>
      <c r="S43" s="589"/>
      <c r="T43" s="589"/>
      <c r="U43" s="595"/>
    </row>
    <row r="44" spans="1:51" ht="9.9499999999999993" customHeight="1" outlineLevel="1">
      <c r="B44" s="537"/>
      <c r="C44" s="538"/>
      <c r="D44" s="535"/>
      <c r="E44" s="340"/>
      <c r="F44" s="539"/>
      <c r="H44" s="301"/>
      <c r="I44" s="604"/>
      <c r="J44" s="605"/>
      <c r="K44" s="605"/>
      <c r="L44" s="606"/>
      <c r="M44" s="588"/>
      <c r="N44" s="589"/>
      <c r="O44" s="589"/>
      <c r="P44" s="589"/>
      <c r="Q44" s="594"/>
      <c r="R44" s="589"/>
      <c r="S44" s="589"/>
      <c r="T44" s="589"/>
      <c r="U44" s="595"/>
    </row>
    <row r="45" spans="1:51" ht="24.95" customHeight="1" outlineLevel="1">
      <c r="B45" s="572" t="s">
        <v>642</v>
      </c>
      <c r="C45" s="573"/>
      <c r="D45" s="535">
        <v>0.5</v>
      </c>
      <c r="E45" s="340"/>
      <c r="F45" s="536">
        <v>1</v>
      </c>
      <c r="H45" s="301" t="str">
        <f>VLOOKUP(F45,$AF$18:$AI$36,3,TRUE)</f>
        <v>Risco Alto</v>
      </c>
      <c r="I45" s="604"/>
      <c r="J45" s="605"/>
      <c r="K45" s="605"/>
      <c r="L45" s="606"/>
      <c r="M45" s="588"/>
      <c r="N45" s="589"/>
      <c r="O45" s="589"/>
      <c r="P45" s="589"/>
      <c r="Q45" s="594"/>
      <c r="R45" s="589"/>
      <c r="S45" s="589"/>
      <c r="T45" s="589"/>
      <c r="U45" s="595"/>
    </row>
    <row r="46" spans="1:51" s="301" customFormat="1" ht="9.9499999999999993" customHeight="1" outlineLevel="1">
      <c r="A46" s="300"/>
      <c r="B46" s="537"/>
      <c r="C46" s="538"/>
      <c r="D46" s="535"/>
      <c r="E46" s="340"/>
      <c r="F46" s="539"/>
      <c r="G46" s="300"/>
      <c r="I46" s="352"/>
      <c r="J46" s="353"/>
      <c r="K46" s="353"/>
      <c r="L46" s="354"/>
      <c r="M46" s="588"/>
      <c r="N46" s="589"/>
      <c r="O46" s="589"/>
      <c r="P46" s="589"/>
      <c r="Q46" s="594"/>
      <c r="R46" s="589"/>
      <c r="S46" s="589"/>
      <c r="T46" s="589"/>
      <c r="U46" s="595"/>
      <c r="V46" s="300"/>
      <c r="W46" s="300"/>
      <c r="X46" s="300"/>
      <c r="Y46" s="300"/>
      <c r="Z46" s="300"/>
      <c r="AA46" s="300"/>
      <c r="AB46" s="300"/>
      <c r="AC46" s="300"/>
      <c r="AD46" s="300"/>
      <c r="AE46" s="300"/>
      <c r="AG46" s="300"/>
      <c r="AH46" s="300"/>
      <c r="AI46" s="300"/>
      <c r="AJ46" s="300"/>
      <c r="AK46" s="300"/>
      <c r="AL46" s="302"/>
      <c r="AM46" s="302"/>
      <c r="AN46" s="302"/>
      <c r="AO46" s="302"/>
      <c r="AP46" s="302"/>
      <c r="AQ46" s="300"/>
      <c r="AR46" s="302"/>
      <c r="AS46" s="302"/>
      <c r="AT46" s="300"/>
      <c r="AU46" s="302"/>
      <c r="AV46" s="302"/>
      <c r="AW46" s="300"/>
      <c r="AX46" s="302"/>
      <c r="AY46" s="300"/>
    </row>
    <row r="47" spans="1:51" s="301" customFormat="1" ht="24.95" customHeight="1" outlineLevel="1">
      <c r="A47" s="300"/>
      <c r="B47" s="579" t="s">
        <v>643</v>
      </c>
      <c r="C47" s="580"/>
      <c r="D47" s="535">
        <v>0.5</v>
      </c>
      <c r="E47" s="340"/>
      <c r="F47" s="536">
        <v>8.6</v>
      </c>
      <c r="G47" s="300"/>
      <c r="H47" s="301" t="str">
        <f>VLOOKUP(F47,$AF$18:$AI$36,3,TRUE)</f>
        <v>Risco Baixo</v>
      </c>
      <c r="I47" s="574"/>
      <c r="J47" s="575"/>
      <c r="K47" s="575"/>
      <c r="L47" s="576"/>
      <c r="M47" s="588"/>
      <c r="N47" s="589"/>
      <c r="O47" s="589"/>
      <c r="P47" s="589"/>
      <c r="Q47" s="594"/>
      <c r="R47" s="589"/>
      <c r="S47" s="589"/>
      <c r="T47" s="589"/>
      <c r="U47" s="595"/>
      <c r="V47" s="355"/>
      <c r="W47" s="355"/>
      <c r="X47" s="355"/>
      <c r="Y47" s="355"/>
      <c r="Z47" s="355"/>
      <c r="AA47" s="355"/>
      <c r="AB47" s="355"/>
      <c r="AC47" s="355"/>
      <c r="AD47" s="355"/>
      <c r="AE47" s="355"/>
      <c r="AG47" s="300"/>
      <c r="AH47" s="300"/>
      <c r="AI47" s="300"/>
      <c r="AJ47" s="300"/>
      <c r="AK47" s="300"/>
      <c r="AL47" s="302"/>
      <c r="AM47" s="302"/>
      <c r="AN47" s="302"/>
      <c r="AO47" s="302"/>
      <c r="AP47" s="302"/>
      <c r="AQ47" s="300"/>
      <c r="AR47" s="302"/>
      <c r="AS47" s="302"/>
      <c r="AT47" s="300"/>
      <c r="AU47" s="302"/>
      <c r="AV47" s="302"/>
      <c r="AW47" s="300"/>
      <c r="AX47" s="302"/>
      <c r="AY47" s="300"/>
    </row>
    <row r="48" spans="1:51" s="301" customFormat="1" ht="10.9" customHeight="1" outlineLevel="1">
      <c r="A48" s="300"/>
      <c r="B48" s="537"/>
      <c r="C48" s="538"/>
      <c r="D48" s="535"/>
      <c r="E48" s="340"/>
      <c r="F48" s="539"/>
      <c r="G48" s="300"/>
      <c r="I48" s="352"/>
      <c r="J48" s="353"/>
      <c r="K48" s="353"/>
      <c r="L48" s="354"/>
      <c r="M48" s="588"/>
      <c r="N48" s="589"/>
      <c r="O48" s="589"/>
      <c r="P48" s="589"/>
      <c r="Q48" s="594"/>
      <c r="R48" s="589"/>
      <c r="S48" s="589"/>
      <c r="T48" s="589"/>
      <c r="U48" s="595"/>
      <c r="V48" s="355"/>
      <c r="W48" s="355"/>
      <c r="X48" s="355"/>
      <c r="Y48" s="355"/>
      <c r="Z48" s="355"/>
      <c r="AA48" s="355"/>
      <c r="AB48" s="355"/>
      <c r="AC48" s="355"/>
      <c r="AD48" s="355"/>
      <c r="AE48" s="355"/>
      <c r="AG48" s="300"/>
      <c r="AH48" s="300"/>
      <c r="AI48" s="300"/>
      <c r="AJ48" s="300"/>
      <c r="AK48" s="300"/>
      <c r="AL48" s="302"/>
      <c r="AM48" s="302"/>
      <c r="AN48" s="302"/>
      <c r="AO48" s="302"/>
      <c r="AP48" s="302"/>
      <c r="AQ48" s="300"/>
      <c r="AR48" s="302"/>
      <c r="AS48" s="302"/>
      <c r="AT48" s="300"/>
      <c r="AU48" s="302"/>
      <c r="AV48" s="302"/>
      <c r="AW48" s="300"/>
      <c r="AX48" s="302"/>
      <c r="AY48" s="300"/>
    </row>
    <row r="49" spans="1:51" s="301" customFormat="1" ht="24.95" customHeight="1" outlineLevel="1">
      <c r="A49" s="300"/>
      <c r="B49" s="572" t="s">
        <v>644</v>
      </c>
      <c r="C49" s="573"/>
      <c r="D49" s="535">
        <v>0.5</v>
      </c>
      <c r="E49" s="340"/>
      <c r="F49" s="536">
        <v>3</v>
      </c>
      <c r="G49" s="300"/>
      <c r="H49" s="301" t="str">
        <f>VLOOKUP(F49,$AF$18:$AI$36,3,TRUE)</f>
        <v>Risco Alto</v>
      </c>
      <c r="I49" s="574"/>
      <c r="J49" s="575"/>
      <c r="K49" s="575"/>
      <c r="L49" s="576"/>
      <c r="M49" s="588"/>
      <c r="N49" s="589"/>
      <c r="O49" s="589"/>
      <c r="P49" s="589"/>
      <c r="Q49" s="594"/>
      <c r="R49" s="589"/>
      <c r="S49" s="589"/>
      <c r="T49" s="589"/>
      <c r="U49" s="595"/>
      <c r="V49" s="355"/>
      <c r="W49" s="355"/>
      <c r="X49" s="355"/>
      <c r="Y49" s="355"/>
      <c r="Z49" s="355"/>
      <c r="AA49" s="355"/>
      <c r="AB49" s="355"/>
      <c r="AC49" s="355"/>
      <c r="AD49" s="355"/>
      <c r="AE49" s="355"/>
      <c r="AG49" s="300"/>
      <c r="AH49" s="300"/>
      <c r="AI49" s="300"/>
      <c r="AJ49" s="300"/>
      <c r="AK49" s="300"/>
      <c r="AL49" s="302"/>
      <c r="AM49" s="302"/>
      <c r="AN49" s="302"/>
      <c r="AO49" s="302"/>
      <c r="AP49" s="302"/>
      <c r="AQ49" s="300"/>
      <c r="AR49" s="302"/>
      <c r="AS49" s="302"/>
      <c r="AT49" s="300"/>
      <c r="AU49" s="302"/>
      <c r="AV49" s="302"/>
      <c r="AW49" s="300"/>
      <c r="AX49" s="302"/>
      <c r="AY49" s="300"/>
    </row>
    <row r="50" spans="1:51" s="301" customFormat="1" ht="9.9499999999999993" customHeight="1" outlineLevel="1">
      <c r="A50" s="300"/>
      <c r="B50" s="537"/>
      <c r="C50" s="538"/>
      <c r="D50" s="535"/>
      <c r="E50" s="340"/>
      <c r="F50" s="539"/>
      <c r="G50" s="300"/>
      <c r="I50" s="352"/>
      <c r="J50" s="353"/>
      <c r="K50" s="353"/>
      <c r="L50" s="354"/>
      <c r="M50" s="588"/>
      <c r="N50" s="589"/>
      <c r="O50" s="589"/>
      <c r="P50" s="589"/>
      <c r="Q50" s="594"/>
      <c r="R50" s="589"/>
      <c r="S50" s="589"/>
      <c r="T50" s="589"/>
      <c r="U50" s="595"/>
      <c r="V50" s="300"/>
      <c r="W50" s="300"/>
      <c r="X50" s="300"/>
      <c r="Y50" s="300"/>
      <c r="Z50" s="300"/>
      <c r="AA50" s="300"/>
      <c r="AB50" s="300"/>
      <c r="AC50" s="300"/>
      <c r="AD50" s="300"/>
      <c r="AE50" s="300"/>
      <c r="AG50" s="300"/>
      <c r="AH50" s="300"/>
      <c r="AI50" s="300"/>
      <c r="AJ50" s="300"/>
      <c r="AK50" s="300"/>
      <c r="AL50" s="302"/>
      <c r="AM50" s="302"/>
      <c r="AN50" s="302"/>
      <c r="AO50" s="302"/>
      <c r="AP50" s="302"/>
      <c r="AQ50" s="300"/>
      <c r="AR50" s="302"/>
      <c r="AS50" s="302"/>
      <c r="AT50" s="300"/>
      <c r="AU50" s="302"/>
      <c r="AV50" s="302"/>
      <c r="AW50" s="300"/>
      <c r="AX50" s="302"/>
      <c r="AY50" s="300"/>
    </row>
    <row r="51" spans="1:51" s="301" customFormat="1" ht="24.95" customHeight="1" outlineLevel="1">
      <c r="A51" s="300"/>
      <c r="B51" s="572" t="s">
        <v>645</v>
      </c>
      <c r="C51" s="573"/>
      <c r="D51" s="535">
        <v>0.5</v>
      </c>
      <c r="E51" s="340"/>
      <c r="F51" s="536">
        <v>7</v>
      </c>
      <c r="G51" s="300"/>
      <c r="H51" s="301" t="str">
        <f>VLOOKUP(F51,$AF$18:$AI$36,3,TRUE)</f>
        <v>Risco Médio</v>
      </c>
      <c r="I51" s="574"/>
      <c r="J51" s="575"/>
      <c r="K51" s="575"/>
      <c r="L51" s="576"/>
      <c r="M51" s="588"/>
      <c r="N51" s="589"/>
      <c r="O51" s="589"/>
      <c r="P51" s="589"/>
      <c r="Q51" s="594"/>
      <c r="R51" s="589"/>
      <c r="S51" s="589"/>
      <c r="T51" s="589"/>
      <c r="U51" s="595"/>
      <c r="V51" s="355"/>
      <c r="W51" s="355"/>
      <c r="X51" s="355"/>
      <c r="Y51" s="355"/>
      <c r="Z51" s="355"/>
      <c r="AA51" s="355"/>
      <c r="AB51" s="355"/>
      <c r="AC51" s="355"/>
      <c r="AD51" s="355"/>
      <c r="AE51" s="355"/>
      <c r="AG51" s="300"/>
      <c r="AH51" s="300"/>
      <c r="AI51" s="300"/>
      <c r="AJ51" s="300"/>
      <c r="AK51" s="300"/>
      <c r="AL51" s="302"/>
      <c r="AM51" s="302"/>
      <c r="AN51" s="302"/>
      <c r="AO51" s="302"/>
      <c r="AP51" s="302"/>
      <c r="AQ51" s="300"/>
      <c r="AR51" s="302"/>
      <c r="AS51" s="302"/>
      <c r="AT51" s="300"/>
      <c r="AU51" s="302"/>
      <c r="AV51" s="302"/>
      <c r="AW51" s="300"/>
      <c r="AX51" s="302"/>
      <c r="AY51" s="300"/>
    </row>
    <row r="52" spans="1:51" s="301" customFormat="1" ht="9.9499999999999993" customHeight="1" outlineLevel="1">
      <c r="A52" s="300"/>
      <c r="B52" s="537"/>
      <c r="C52" s="538"/>
      <c r="D52" s="535"/>
      <c r="E52" s="340"/>
      <c r="F52" s="539"/>
      <c r="G52" s="300"/>
      <c r="I52" s="352"/>
      <c r="J52" s="353"/>
      <c r="K52" s="353"/>
      <c r="L52" s="354"/>
      <c r="M52" s="588"/>
      <c r="N52" s="589"/>
      <c r="O52" s="589"/>
      <c r="P52" s="589"/>
      <c r="Q52" s="594"/>
      <c r="R52" s="589"/>
      <c r="S52" s="589"/>
      <c r="T52" s="589"/>
      <c r="U52" s="595"/>
      <c r="V52" s="300"/>
      <c r="W52" s="300"/>
      <c r="X52" s="300"/>
      <c r="Y52" s="300"/>
      <c r="Z52" s="300"/>
      <c r="AA52" s="300"/>
      <c r="AB52" s="300"/>
      <c r="AC52" s="300"/>
      <c r="AD52" s="300"/>
      <c r="AE52" s="300"/>
      <c r="AG52" s="300"/>
      <c r="AH52" s="300"/>
      <c r="AI52" s="300"/>
      <c r="AJ52" s="300"/>
      <c r="AK52" s="300"/>
      <c r="AL52" s="302"/>
      <c r="AM52" s="302"/>
      <c r="AN52" s="302"/>
      <c r="AO52" s="302"/>
      <c r="AP52" s="302"/>
      <c r="AQ52" s="300"/>
      <c r="AR52" s="302"/>
      <c r="AS52" s="302"/>
      <c r="AT52" s="300"/>
      <c r="AU52" s="302"/>
      <c r="AV52" s="302"/>
      <c r="AW52" s="300"/>
      <c r="AX52" s="302"/>
      <c r="AY52" s="300"/>
    </row>
    <row r="53" spans="1:51" s="301" customFormat="1" ht="24.95" customHeight="1" outlineLevel="1">
      <c r="A53" s="300"/>
      <c r="B53" s="572" t="s">
        <v>646</v>
      </c>
      <c r="C53" s="573"/>
      <c r="D53" s="535">
        <v>0.2</v>
      </c>
      <c r="E53" s="340"/>
      <c r="F53" s="536">
        <v>7</v>
      </c>
      <c r="G53" s="300"/>
      <c r="H53" s="301" t="str">
        <f>VLOOKUP(F53,$AF$18:$AI$36,3,TRUE)</f>
        <v>Risco Médio</v>
      </c>
      <c r="I53" s="574"/>
      <c r="J53" s="575"/>
      <c r="K53" s="575"/>
      <c r="L53" s="576"/>
      <c r="M53" s="588"/>
      <c r="N53" s="589"/>
      <c r="O53" s="589"/>
      <c r="P53" s="589"/>
      <c r="Q53" s="594"/>
      <c r="R53" s="589"/>
      <c r="S53" s="589"/>
      <c r="T53" s="589"/>
      <c r="U53" s="595"/>
      <c r="V53" s="355"/>
      <c r="W53" s="355"/>
      <c r="X53" s="355"/>
      <c r="Y53" s="355"/>
      <c r="Z53" s="355"/>
      <c r="AA53" s="355"/>
      <c r="AB53" s="355"/>
      <c r="AC53" s="355"/>
      <c r="AD53" s="355"/>
      <c r="AE53" s="355"/>
      <c r="AG53" s="300"/>
      <c r="AH53" s="300"/>
      <c r="AI53" s="300"/>
      <c r="AJ53" s="300"/>
      <c r="AK53" s="300"/>
      <c r="AL53" s="302"/>
      <c r="AM53" s="302"/>
      <c r="AN53" s="302"/>
      <c r="AO53" s="302"/>
      <c r="AP53" s="302"/>
      <c r="AQ53" s="300"/>
      <c r="AR53" s="302"/>
      <c r="AS53" s="302"/>
      <c r="AT53" s="300"/>
      <c r="AU53" s="302"/>
      <c r="AV53" s="302"/>
      <c r="AW53" s="300"/>
      <c r="AX53" s="302"/>
      <c r="AY53" s="300"/>
    </row>
    <row r="54" spans="1:51" s="301" customFormat="1" ht="10.9" customHeight="1" outlineLevel="1">
      <c r="A54" s="300"/>
      <c r="B54" s="537"/>
      <c r="C54" s="538"/>
      <c r="D54" s="535"/>
      <c r="E54" s="340"/>
      <c r="F54" s="356"/>
      <c r="G54" s="300"/>
      <c r="I54" s="352"/>
      <c r="J54" s="353"/>
      <c r="K54" s="353"/>
      <c r="L54" s="354"/>
      <c r="M54" s="588"/>
      <c r="N54" s="589"/>
      <c r="O54" s="589"/>
      <c r="P54" s="589"/>
      <c r="Q54" s="594"/>
      <c r="R54" s="589"/>
      <c r="S54" s="589"/>
      <c r="T54" s="589"/>
      <c r="U54" s="595"/>
      <c r="V54" s="355"/>
      <c r="W54" s="355"/>
      <c r="X54" s="355"/>
      <c r="Y54" s="355"/>
      <c r="Z54" s="355"/>
      <c r="AA54" s="355"/>
      <c r="AB54" s="355"/>
      <c r="AC54" s="355"/>
      <c r="AD54" s="355"/>
      <c r="AE54" s="355"/>
      <c r="AG54" s="300"/>
      <c r="AH54" s="300"/>
      <c r="AI54" s="300"/>
      <c r="AJ54" s="300"/>
      <c r="AK54" s="300"/>
      <c r="AL54" s="302"/>
      <c r="AM54" s="302"/>
      <c r="AN54" s="302"/>
      <c r="AO54" s="302"/>
      <c r="AP54" s="302"/>
      <c r="AQ54" s="300"/>
      <c r="AR54" s="302"/>
      <c r="AS54" s="302"/>
      <c r="AT54" s="300"/>
      <c r="AU54" s="302"/>
      <c r="AV54" s="302"/>
      <c r="AW54" s="300"/>
      <c r="AX54" s="302"/>
      <c r="AY54" s="300"/>
    </row>
    <row r="55" spans="1:51" s="301" customFormat="1" ht="19.149999999999999" customHeight="1" outlineLevel="1">
      <c r="A55" s="300"/>
      <c r="B55" s="543"/>
      <c r="C55" s="544"/>
      <c r="D55" s="535"/>
      <c r="E55" s="340"/>
      <c r="F55" s="357"/>
      <c r="I55" s="574"/>
      <c r="J55" s="575"/>
      <c r="K55" s="575"/>
      <c r="L55" s="576"/>
      <c r="M55" s="590"/>
      <c r="N55" s="591"/>
      <c r="O55" s="591"/>
      <c r="P55" s="591"/>
      <c r="Q55" s="596"/>
      <c r="R55" s="591"/>
      <c r="S55" s="591"/>
      <c r="T55" s="591"/>
      <c r="U55" s="597"/>
      <c r="V55" s="355"/>
      <c r="W55" s="355"/>
      <c r="X55" s="355"/>
      <c r="Y55" s="355"/>
      <c r="Z55" s="355"/>
      <c r="AA55" s="355"/>
      <c r="AB55" s="355"/>
      <c r="AC55" s="355"/>
      <c r="AD55" s="355"/>
      <c r="AE55" s="355"/>
      <c r="AG55" s="300"/>
      <c r="AH55" s="300"/>
      <c r="AI55" s="300"/>
      <c r="AJ55" s="300"/>
      <c r="AK55" s="300"/>
      <c r="AL55" s="302"/>
      <c r="AM55" s="302"/>
      <c r="AN55" s="302"/>
      <c r="AO55" s="302"/>
      <c r="AP55" s="302"/>
      <c r="AQ55" s="300"/>
      <c r="AR55" s="302"/>
      <c r="AS55" s="302"/>
      <c r="AT55" s="300"/>
      <c r="AU55" s="302"/>
      <c r="AV55" s="302"/>
      <c r="AW55" s="300"/>
      <c r="AX55" s="302"/>
      <c r="AY55" s="300"/>
    </row>
    <row r="56" spans="1:51" s="301" customFormat="1" ht="20.100000000000001" customHeight="1" outlineLevel="1">
      <c r="A56" s="300"/>
      <c r="B56" s="545"/>
      <c r="C56" s="358"/>
      <c r="D56" s="359">
        <f>SUM(D27:D55)</f>
        <v>10</v>
      </c>
      <c r="E56" s="360"/>
      <c r="F56" s="356"/>
      <c r="G56" s="312"/>
      <c r="H56" s="361"/>
      <c r="I56" s="362"/>
      <c r="J56" s="362"/>
      <c r="K56" s="362"/>
      <c r="L56" s="362"/>
      <c r="M56" s="363"/>
      <c r="N56" s="363"/>
      <c r="O56" s="363"/>
      <c r="P56" s="363"/>
      <c r="Q56" s="363"/>
      <c r="R56" s="363"/>
      <c r="S56" s="363"/>
      <c r="T56" s="363"/>
      <c r="U56" s="546"/>
      <c r="V56" s="355"/>
      <c r="W56" s="355"/>
      <c r="X56" s="355"/>
      <c r="Y56" s="355"/>
      <c r="Z56" s="355"/>
      <c r="AA56" s="355"/>
      <c r="AB56" s="355"/>
      <c r="AC56" s="355"/>
      <c r="AD56" s="355"/>
      <c r="AE56" s="355"/>
      <c r="AG56" s="300"/>
      <c r="AH56" s="300"/>
      <c r="AI56" s="300"/>
      <c r="AJ56" s="300"/>
      <c r="AK56" s="300"/>
      <c r="AL56" s="302"/>
      <c r="AM56" s="302"/>
      <c r="AN56" s="302"/>
      <c r="AO56" s="302"/>
      <c r="AP56" s="302"/>
      <c r="AQ56" s="300"/>
      <c r="AR56" s="302"/>
      <c r="AS56" s="302"/>
      <c r="AT56" s="300"/>
      <c r="AU56" s="302"/>
      <c r="AV56" s="302"/>
      <c r="AW56" s="300"/>
      <c r="AX56" s="302"/>
      <c r="AY56" s="300"/>
    </row>
    <row r="57" spans="1:51" s="301" customFormat="1" ht="20.100000000000001" customHeight="1" outlineLevel="1">
      <c r="A57" s="300"/>
      <c r="B57" s="577" t="s">
        <v>647</v>
      </c>
      <c r="C57" s="578"/>
      <c r="D57" s="578"/>
      <c r="E57" s="578"/>
      <c r="F57" s="578"/>
      <c r="G57" s="578"/>
      <c r="H57" s="578"/>
      <c r="I57" s="578"/>
      <c r="J57" s="578"/>
      <c r="K57" s="578"/>
      <c r="L57" s="578"/>
      <c r="M57" s="578"/>
      <c r="N57" s="578"/>
      <c r="O57" s="578"/>
      <c r="P57" s="300"/>
      <c r="Q57" s="300"/>
      <c r="R57" s="300"/>
      <c r="S57" s="364"/>
      <c r="T57" s="364"/>
      <c r="U57" s="547"/>
      <c r="V57" s="300"/>
      <c r="W57" s="300"/>
      <c r="X57" s="300"/>
      <c r="Y57" s="300"/>
      <c r="Z57" s="300"/>
      <c r="AA57" s="300"/>
      <c r="AB57" s="300"/>
      <c r="AC57" s="300"/>
      <c r="AD57" s="300"/>
      <c r="AE57" s="300"/>
      <c r="AG57" s="300"/>
      <c r="AH57" s="300"/>
      <c r="AI57" s="300"/>
      <c r="AJ57" s="300"/>
      <c r="AK57" s="300"/>
      <c r="AL57" s="302"/>
      <c r="AM57" s="302"/>
      <c r="AN57" s="302"/>
      <c r="AO57" s="302"/>
      <c r="AP57" s="302"/>
      <c r="AQ57" s="300"/>
      <c r="AR57" s="302"/>
      <c r="AS57" s="302"/>
      <c r="AT57" s="300"/>
      <c r="AU57" s="302"/>
      <c r="AV57" s="302"/>
      <c r="AW57" s="300"/>
      <c r="AX57" s="302"/>
      <c r="AY57" s="300"/>
    </row>
    <row r="58" spans="1:51" s="301" customFormat="1" ht="20.100000000000001" customHeight="1" outlineLevel="1">
      <c r="A58" s="300"/>
      <c r="B58" s="577" t="s">
        <v>648</v>
      </c>
      <c r="C58" s="578"/>
      <c r="D58" s="578"/>
      <c r="E58" s="578"/>
      <c r="F58" s="578"/>
      <c r="G58" s="578"/>
      <c r="H58" s="578"/>
      <c r="I58" s="578"/>
      <c r="J58" s="578"/>
      <c r="K58" s="578"/>
      <c r="L58" s="578"/>
      <c r="M58" s="578"/>
      <c r="N58" s="578"/>
      <c r="O58" s="578"/>
      <c r="P58" s="355"/>
      <c r="T58" s="355"/>
      <c r="U58" s="548"/>
      <c r="V58" s="355"/>
      <c r="W58" s="355"/>
      <c r="X58" s="355"/>
      <c r="Y58" s="355"/>
      <c r="Z58" s="355"/>
      <c r="AA58" s="355"/>
      <c r="AB58" s="355"/>
      <c r="AC58" s="355"/>
      <c r="AD58" s="355"/>
      <c r="AE58" s="355"/>
      <c r="AG58" s="300"/>
      <c r="AH58" s="300"/>
      <c r="AI58" s="300"/>
      <c r="AJ58" s="300"/>
      <c r="AK58" s="300"/>
      <c r="AL58" s="302"/>
      <c r="AM58" s="302"/>
      <c r="AN58" s="302"/>
      <c r="AO58" s="302"/>
      <c r="AP58" s="302"/>
      <c r="AQ58" s="300"/>
      <c r="AR58" s="302"/>
      <c r="AS58" s="302"/>
      <c r="AT58" s="300"/>
      <c r="AU58" s="302"/>
      <c r="AV58" s="302"/>
      <c r="AW58" s="300"/>
      <c r="AX58" s="302"/>
      <c r="AY58" s="300"/>
    </row>
    <row r="59" spans="1:51" s="301" customFormat="1" ht="20.100000000000001" customHeight="1" outlineLevel="1">
      <c r="A59" s="300"/>
      <c r="B59" s="577" t="s">
        <v>649</v>
      </c>
      <c r="C59" s="578"/>
      <c r="D59" s="578"/>
      <c r="E59" s="578"/>
      <c r="F59" s="578"/>
      <c r="G59" s="578"/>
      <c r="H59" s="578"/>
      <c r="I59" s="578"/>
      <c r="J59" s="578"/>
      <c r="K59" s="578"/>
      <c r="L59" s="578"/>
      <c r="M59" s="578"/>
      <c r="N59" s="578"/>
      <c r="O59" s="578"/>
      <c r="P59" s="355"/>
      <c r="Q59" s="567" t="s">
        <v>650</v>
      </c>
      <c r="R59" s="567"/>
      <c r="S59" s="365"/>
      <c r="T59" s="355"/>
      <c r="U59" s="548"/>
      <c r="V59" s="355"/>
      <c r="W59" s="355"/>
      <c r="X59" s="355"/>
      <c r="Y59" s="355"/>
      <c r="Z59" s="355"/>
      <c r="AA59" s="355"/>
      <c r="AB59" s="355"/>
      <c r="AC59" s="355"/>
      <c r="AD59" s="355"/>
      <c r="AE59" s="355"/>
      <c r="AG59" s="300"/>
      <c r="AH59" s="300"/>
      <c r="AI59" s="300"/>
      <c r="AJ59" s="300"/>
      <c r="AK59" s="300"/>
      <c r="AL59" s="302"/>
      <c r="AM59" s="302"/>
      <c r="AN59" s="302"/>
      <c r="AO59" s="302"/>
      <c r="AP59" s="302"/>
      <c r="AQ59" s="300"/>
      <c r="AR59" s="302"/>
      <c r="AS59" s="302"/>
      <c r="AT59" s="300"/>
      <c r="AU59" s="302"/>
      <c r="AV59" s="302"/>
      <c r="AW59" s="300"/>
      <c r="AX59" s="302"/>
      <c r="AY59" s="300"/>
    </row>
    <row r="60" spans="1:51" s="301" customFormat="1" ht="20.100000000000001" customHeight="1" outlineLevel="1">
      <c r="A60" s="300"/>
      <c r="B60" s="549"/>
      <c r="C60" s="366"/>
      <c r="D60" s="366"/>
      <c r="E60" s="366"/>
      <c r="F60" s="366"/>
      <c r="G60" s="366"/>
      <c r="H60" s="366"/>
      <c r="I60" s="367"/>
      <c r="J60" s="367"/>
      <c r="K60" s="368"/>
      <c r="L60" s="368"/>
      <c r="M60" s="300"/>
      <c r="N60" s="355"/>
      <c r="O60" s="355"/>
      <c r="P60" s="355"/>
      <c r="Q60" s="568" t="s">
        <v>651</v>
      </c>
      <c r="R60" s="568"/>
      <c r="S60" s="369"/>
      <c r="T60" s="355"/>
      <c r="U60" s="548"/>
      <c r="V60" s="355"/>
      <c r="W60" s="355"/>
      <c r="X60" s="355"/>
      <c r="Y60" s="355"/>
      <c r="Z60" s="355"/>
      <c r="AA60" s="355"/>
      <c r="AB60" s="355"/>
      <c r="AC60" s="355"/>
      <c r="AD60" s="355"/>
      <c r="AE60" s="355"/>
      <c r="AG60" s="300"/>
      <c r="AH60" s="300"/>
      <c r="AI60" s="300"/>
      <c r="AJ60" s="300"/>
      <c r="AK60" s="300"/>
      <c r="AL60" s="302"/>
      <c r="AM60" s="302"/>
      <c r="AN60" s="302"/>
      <c r="AO60" s="302"/>
      <c r="AP60" s="302"/>
      <c r="AQ60" s="300"/>
      <c r="AR60" s="302"/>
      <c r="AS60" s="302"/>
      <c r="AT60" s="300"/>
      <c r="AU60" s="302"/>
      <c r="AV60" s="302"/>
      <c r="AW60" s="300"/>
      <c r="AX60" s="302"/>
      <c r="AY60" s="300"/>
    </row>
    <row r="61" spans="1:51" s="301" customFormat="1" ht="30" customHeight="1" outlineLevel="1">
      <c r="A61" s="300"/>
      <c r="B61" s="321"/>
      <c r="C61" s="300"/>
      <c r="D61" s="300"/>
      <c r="E61" s="300"/>
      <c r="F61" s="300"/>
      <c r="G61" s="300"/>
      <c r="H61" s="300"/>
      <c r="I61" s="300"/>
      <c r="J61" s="300"/>
      <c r="K61" s="300"/>
      <c r="L61" s="300"/>
      <c r="M61" s="300"/>
      <c r="N61" s="355"/>
      <c r="O61" s="355"/>
      <c r="P61" s="355"/>
      <c r="Q61" s="569"/>
      <c r="R61" s="569"/>
      <c r="S61" s="369"/>
      <c r="T61" s="355"/>
      <c r="U61" s="548"/>
      <c r="V61" s="355"/>
      <c r="W61" s="355"/>
      <c r="X61" s="355"/>
      <c r="Y61" s="355"/>
      <c r="Z61" s="355"/>
      <c r="AA61" s="355"/>
      <c r="AB61" s="355"/>
      <c r="AC61" s="355"/>
      <c r="AD61" s="355"/>
      <c r="AE61" s="355"/>
      <c r="AG61" s="300"/>
      <c r="AH61" s="300"/>
      <c r="AI61" s="300"/>
      <c r="AJ61" s="300"/>
      <c r="AK61" s="300"/>
      <c r="AL61" s="302"/>
      <c r="AM61" s="302"/>
      <c r="AN61" s="302"/>
      <c r="AO61" s="302"/>
      <c r="AP61" s="302"/>
      <c r="AQ61" s="300"/>
      <c r="AR61" s="302"/>
      <c r="AS61" s="302"/>
      <c r="AT61" s="300"/>
      <c r="AU61" s="302"/>
      <c r="AV61" s="302"/>
      <c r="AW61" s="300"/>
      <c r="AX61" s="302"/>
      <c r="AY61" s="300"/>
    </row>
    <row r="62" spans="1:51" s="301" customFormat="1" ht="20.100000000000001" customHeight="1" outlineLevel="1">
      <c r="A62" s="300"/>
      <c r="B62" s="321"/>
      <c r="C62" s="300"/>
      <c r="D62" s="570" t="s">
        <v>652</v>
      </c>
      <c r="E62" s="570"/>
      <c r="F62" s="570"/>
      <c r="G62" s="570"/>
      <c r="H62" s="570"/>
      <c r="I62" s="370"/>
      <c r="J62" s="570" t="s">
        <v>653</v>
      </c>
      <c r="K62" s="570"/>
      <c r="L62" s="570"/>
      <c r="M62" s="570"/>
      <c r="N62" s="570"/>
      <c r="O62" s="355"/>
      <c r="P62" s="355"/>
      <c r="Q62" s="571" t="s">
        <v>654</v>
      </c>
      <c r="R62" s="571"/>
      <c r="S62" s="365" t="s">
        <v>737</v>
      </c>
      <c r="T62" s="355"/>
      <c r="U62" s="548"/>
      <c r="V62" s="355"/>
      <c r="W62" s="355"/>
      <c r="X62" s="355"/>
      <c r="Y62" s="355"/>
      <c r="Z62" s="355"/>
      <c r="AA62" s="355"/>
      <c r="AB62" s="355"/>
      <c r="AC62" s="355"/>
      <c r="AD62" s="355"/>
      <c r="AE62" s="355"/>
      <c r="AG62" s="300"/>
      <c r="AH62" s="300"/>
      <c r="AI62" s="300"/>
      <c r="AJ62" s="300"/>
      <c r="AK62" s="300"/>
      <c r="AL62" s="302"/>
      <c r="AM62" s="302"/>
      <c r="AN62" s="302"/>
      <c r="AO62" s="302"/>
      <c r="AP62" s="302"/>
      <c r="AQ62" s="300"/>
      <c r="AR62" s="302"/>
      <c r="AS62" s="302"/>
      <c r="AT62" s="300"/>
      <c r="AU62" s="302"/>
      <c r="AV62" s="302"/>
      <c r="AW62" s="300"/>
      <c r="AX62" s="302"/>
      <c r="AY62" s="300"/>
    </row>
    <row r="63" spans="1:51" s="301" customFormat="1" ht="20.100000000000001" customHeight="1" outlineLevel="1" thickBot="1">
      <c r="A63" s="300"/>
      <c r="B63" s="344" t="s">
        <v>655</v>
      </c>
      <c r="C63" s="541"/>
      <c r="D63" s="541"/>
      <c r="E63" s="541"/>
      <c r="F63" s="541"/>
      <c r="G63" s="541"/>
      <c r="H63" s="541"/>
      <c r="I63" s="541"/>
      <c r="J63" s="541"/>
      <c r="K63" s="541"/>
      <c r="L63" s="541"/>
      <c r="M63" s="541"/>
      <c r="N63" s="550"/>
      <c r="O63" s="550"/>
      <c r="P63" s="550"/>
      <c r="Q63" s="565" t="s">
        <v>656</v>
      </c>
      <c r="R63" s="565"/>
      <c r="S63" s="550"/>
      <c r="T63" s="550"/>
      <c r="U63" s="551"/>
      <c r="V63" s="355"/>
      <c r="W63" s="355"/>
      <c r="X63" s="355"/>
      <c r="Y63" s="355"/>
      <c r="Z63" s="355"/>
      <c r="AA63" s="355"/>
      <c r="AB63" s="355"/>
      <c r="AC63" s="355"/>
      <c r="AD63" s="355"/>
      <c r="AE63" s="355"/>
      <c r="AG63" s="300"/>
      <c r="AH63" s="300"/>
      <c r="AI63" s="300"/>
      <c r="AJ63" s="300"/>
      <c r="AK63" s="300"/>
      <c r="AL63" s="302"/>
      <c r="AM63" s="302"/>
      <c r="AN63" s="302"/>
      <c r="AO63" s="302"/>
      <c r="AP63" s="302"/>
      <c r="AQ63" s="300"/>
      <c r="AR63" s="302"/>
      <c r="AS63" s="302"/>
      <c r="AT63" s="300"/>
      <c r="AU63" s="302"/>
      <c r="AV63" s="302"/>
      <c r="AW63" s="300"/>
      <c r="AX63" s="302"/>
      <c r="AY63" s="300"/>
    </row>
    <row r="64" spans="1:51">
      <c r="B64" s="300" t="s">
        <v>657</v>
      </c>
      <c r="R64" s="300" t="s">
        <v>658</v>
      </c>
      <c r="S64" s="300">
        <v>14</v>
      </c>
      <c r="T64" s="300">
        <v>11</v>
      </c>
      <c r="U64" s="300">
        <v>23</v>
      </c>
    </row>
    <row r="65" spans="18:21">
      <c r="R65" s="566" t="s">
        <v>659</v>
      </c>
      <c r="S65" s="566"/>
      <c r="T65" s="566"/>
      <c r="U65" s="566"/>
    </row>
  </sheetData>
  <mergeCells count="90">
    <mergeCell ref="C5:L5"/>
    <mergeCell ref="M5:N5"/>
    <mergeCell ref="O5:P5"/>
    <mergeCell ref="R5:U5"/>
    <mergeCell ref="B9:U9"/>
    <mergeCell ref="B1:B2"/>
    <mergeCell ref="C1:Q2"/>
    <mergeCell ref="R1:U1"/>
    <mergeCell ref="S2:U2"/>
    <mergeCell ref="B4:U4"/>
    <mergeCell ref="B14:L15"/>
    <mergeCell ref="C6:L6"/>
    <mergeCell ref="R6:U6"/>
    <mergeCell ref="B7:U7"/>
    <mergeCell ref="G8:H8"/>
    <mergeCell ref="J8:L8"/>
    <mergeCell ref="T8:U8"/>
    <mergeCell ref="G11:H11"/>
    <mergeCell ref="J11:L11"/>
    <mergeCell ref="T11:U11"/>
    <mergeCell ref="B12:U12"/>
    <mergeCell ref="B13:U13"/>
    <mergeCell ref="B10:U10"/>
    <mergeCell ref="B16:L16"/>
    <mergeCell ref="C17:H17"/>
    <mergeCell ref="C18:D18"/>
    <mergeCell ref="E18:F18"/>
    <mergeCell ref="G18:H18"/>
    <mergeCell ref="AQ18:AR18"/>
    <mergeCell ref="AT18:AU18"/>
    <mergeCell ref="AW18:AX18"/>
    <mergeCell ref="C19:D19"/>
    <mergeCell ref="E19:F19"/>
    <mergeCell ref="G19:H19"/>
    <mergeCell ref="AK18:AO18"/>
    <mergeCell ref="C20:D20"/>
    <mergeCell ref="E20:F20"/>
    <mergeCell ref="G20:H20"/>
    <mergeCell ref="C21:D21"/>
    <mergeCell ref="E21:F21"/>
    <mergeCell ref="G21:H21"/>
    <mergeCell ref="C22:D22"/>
    <mergeCell ref="E22:F22"/>
    <mergeCell ref="G22:H22"/>
    <mergeCell ref="C23:D23"/>
    <mergeCell ref="E23:F23"/>
    <mergeCell ref="G23:H23"/>
    <mergeCell ref="C24:D24"/>
    <mergeCell ref="E24:F24"/>
    <mergeCell ref="G24:H24"/>
    <mergeCell ref="B25:L25"/>
    <mergeCell ref="B26:C26"/>
    <mergeCell ref="E26:H26"/>
    <mergeCell ref="I26:L26"/>
    <mergeCell ref="B27:C27"/>
    <mergeCell ref="M27:U27"/>
    <mergeCell ref="M28:P55"/>
    <mergeCell ref="Q28:U55"/>
    <mergeCell ref="B29:C29"/>
    <mergeCell ref="I29:L39"/>
    <mergeCell ref="B31:C31"/>
    <mergeCell ref="B33:C33"/>
    <mergeCell ref="B35:C35"/>
    <mergeCell ref="B37:C37"/>
    <mergeCell ref="B39:C39"/>
    <mergeCell ref="B41:C41"/>
    <mergeCell ref="I41:L41"/>
    <mergeCell ref="B43:C43"/>
    <mergeCell ref="I43:L45"/>
    <mergeCell ref="B45:C45"/>
    <mergeCell ref="B47:C47"/>
    <mergeCell ref="I47:L47"/>
    <mergeCell ref="B49:C49"/>
    <mergeCell ref="I49:L49"/>
    <mergeCell ref="B51:C51"/>
    <mergeCell ref="I51:L51"/>
    <mergeCell ref="D62:H62"/>
    <mergeCell ref="J62:N62"/>
    <mergeCell ref="Q62:R62"/>
    <mergeCell ref="B53:C53"/>
    <mergeCell ref="I53:L53"/>
    <mergeCell ref="I55:L55"/>
    <mergeCell ref="B57:O57"/>
    <mergeCell ref="B58:O58"/>
    <mergeCell ref="B59:O59"/>
    <mergeCell ref="Q63:R63"/>
    <mergeCell ref="R65:U65"/>
    <mergeCell ref="Q59:R59"/>
    <mergeCell ref="Q60:R60"/>
    <mergeCell ref="Q61:R61"/>
  </mergeCells>
  <conditionalFormatting sqref="H27:H29">
    <cfRule type="containsText" dxfId="93" priority="57" operator="containsText" text="Alto">
      <formula>NOT(ISERROR(SEARCH("Alto",H27)))</formula>
    </cfRule>
    <cfRule type="containsText" dxfId="92" priority="56" operator="containsText" text="Médio">
      <formula>NOT(ISERROR(SEARCH("Médio",H27)))</formula>
    </cfRule>
    <cfRule type="containsText" dxfId="91" priority="55" operator="containsText" text="Baixo">
      <formula>NOT(ISERROR(SEARCH("Baixo",H27)))</formula>
    </cfRule>
  </conditionalFormatting>
  <conditionalFormatting sqref="H30">
    <cfRule type="containsText" dxfId="90" priority="87" operator="containsText" text="Alto">
      <formula>NOT(ISERROR(SEARCH("Alto",H30)))</formula>
    </cfRule>
    <cfRule type="containsText" dxfId="89" priority="86" operator="containsText" text="Médio">
      <formula>NOT(ISERROR(SEARCH("Médio",H30)))</formula>
    </cfRule>
    <cfRule type="containsText" dxfId="88" priority="85" operator="containsText" text="Baixo">
      <formula>NOT(ISERROR(SEARCH("Baixo",H30)))</formula>
    </cfRule>
  </conditionalFormatting>
  <conditionalFormatting sqref="H31">
    <cfRule type="containsText" dxfId="87" priority="54" operator="containsText" text="Alto">
      <formula>NOT(ISERROR(SEARCH("Alto",H31)))</formula>
    </cfRule>
    <cfRule type="containsText" dxfId="86" priority="53" operator="containsText" text="Médio">
      <formula>NOT(ISERROR(SEARCH("Médio",H31)))</formula>
    </cfRule>
    <cfRule type="containsText" dxfId="85" priority="52" operator="containsText" text="Baixo">
      <formula>NOT(ISERROR(SEARCH("Baixo",H31)))</formula>
    </cfRule>
  </conditionalFormatting>
  <conditionalFormatting sqref="H32">
    <cfRule type="containsText" dxfId="84" priority="84" operator="containsText" text="Alto">
      <formula>NOT(ISERROR(SEARCH("Alto",H32)))</formula>
    </cfRule>
    <cfRule type="containsText" dxfId="83" priority="83" operator="containsText" text="Médio">
      <formula>NOT(ISERROR(SEARCH("Médio",H32)))</formula>
    </cfRule>
    <cfRule type="containsText" dxfId="82" priority="82" operator="containsText" text="Baixo">
      <formula>NOT(ISERROR(SEARCH("Baixo",H32)))</formula>
    </cfRule>
  </conditionalFormatting>
  <conditionalFormatting sqref="H33">
    <cfRule type="containsText" dxfId="81" priority="51" operator="containsText" text="Alto">
      <formula>NOT(ISERROR(SEARCH("Alto",H33)))</formula>
    </cfRule>
    <cfRule type="containsText" dxfId="80" priority="50" operator="containsText" text="Médio">
      <formula>NOT(ISERROR(SEARCH("Médio",H33)))</formula>
    </cfRule>
    <cfRule type="containsText" dxfId="79" priority="49" operator="containsText" text="Baixo">
      <formula>NOT(ISERROR(SEARCH("Baixo",H33)))</formula>
    </cfRule>
  </conditionalFormatting>
  <conditionalFormatting sqref="H34">
    <cfRule type="containsText" dxfId="78" priority="81" operator="containsText" text="Alto">
      <formula>NOT(ISERROR(SEARCH("Alto",H34)))</formula>
    </cfRule>
    <cfRule type="containsText" dxfId="77" priority="80" operator="containsText" text="Médio">
      <formula>NOT(ISERROR(SEARCH("Médio",H34)))</formula>
    </cfRule>
    <cfRule type="containsText" dxfId="76" priority="79" operator="containsText" text="Baixo">
      <formula>NOT(ISERROR(SEARCH("Baixo",H34)))</formula>
    </cfRule>
  </conditionalFormatting>
  <conditionalFormatting sqref="H35">
    <cfRule type="containsText" dxfId="75" priority="48" operator="containsText" text="Alto">
      <formula>NOT(ISERROR(SEARCH("Alto",H35)))</formula>
    </cfRule>
    <cfRule type="containsText" dxfId="74" priority="47" operator="containsText" text="Médio">
      <formula>NOT(ISERROR(SEARCH("Médio",H35)))</formula>
    </cfRule>
    <cfRule type="containsText" dxfId="73" priority="46" operator="containsText" text="Baixo">
      <formula>NOT(ISERROR(SEARCH("Baixo",H35)))</formula>
    </cfRule>
  </conditionalFormatting>
  <conditionalFormatting sqref="H36">
    <cfRule type="containsText" dxfId="72" priority="78" operator="containsText" text="Alto">
      <formula>NOT(ISERROR(SEARCH("Alto",H36)))</formula>
    </cfRule>
    <cfRule type="containsText" dxfId="71" priority="76" operator="containsText" text="Baixo">
      <formula>NOT(ISERROR(SEARCH("Baixo",H36)))</formula>
    </cfRule>
    <cfRule type="containsText" dxfId="70" priority="77" operator="containsText" text="Médio">
      <formula>NOT(ISERROR(SEARCH("Médio",H36)))</formula>
    </cfRule>
  </conditionalFormatting>
  <conditionalFormatting sqref="H37">
    <cfRule type="containsText" dxfId="69" priority="43" operator="containsText" text="Baixo">
      <formula>NOT(ISERROR(SEARCH("Baixo",H37)))</formula>
    </cfRule>
    <cfRule type="containsText" dxfId="68" priority="44" operator="containsText" text="Médio">
      <formula>NOT(ISERROR(SEARCH("Médio",H37)))</formula>
    </cfRule>
    <cfRule type="containsText" dxfId="67" priority="45" operator="containsText" text="Alto">
      <formula>NOT(ISERROR(SEARCH("Alto",H37)))</formula>
    </cfRule>
  </conditionalFormatting>
  <conditionalFormatting sqref="H38">
    <cfRule type="containsText" dxfId="66" priority="75" operator="containsText" text="Alto">
      <formula>NOT(ISERROR(SEARCH("Alto",H38)))</formula>
    </cfRule>
    <cfRule type="containsText" dxfId="65" priority="74" operator="containsText" text="Médio">
      <formula>NOT(ISERROR(SEARCH("Médio",H38)))</formula>
    </cfRule>
    <cfRule type="containsText" dxfId="64" priority="73" operator="containsText" text="Baixo">
      <formula>NOT(ISERROR(SEARCH("Baixo",H38)))</formula>
    </cfRule>
  </conditionalFormatting>
  <conditionalFormatting sqref="H39">
    <cfRule type="containsText" dxfId="63" priority="42" operator="containsText" text="Alto">
      <formula>NOT(ISERROR(SEARCH("Alto",H39)))</formula>
    </cfRule>
    <cfRule type="containsText" dxfId="62" priority="41" operator="containsText" text="Médio">
      <formula>NOT(ISERROR(SEARCH("Médio",H39)))</formula>
    </cfRule>
    <cfRule type="containsText" dxfId="61" priority="40" operator="containsText" text="Baixo">
      <formula>NOT(ISERROR(SEARCH("Baixo",H39)))</formula>
    </cfRule>
  </conditionalFormatting>
  <conditionalFormatting sqref="H40">
    <cfRule type="containsText" dxfId="60" priority="70" operator="containsText" text="Baixo">
      <formula>NOT(ISERROR(SEARCH("Baixo",H40)))</formula>
    </cfRule>
    <cfRule type="containsText" dxfId="59" priority="72" operator="containsText" text="Alto">
      <formula>NOT(ISERROR(SEARCH("Alto",H40)))</formula>
    </cfRule>
    <cfRule type="containsText" dxfId="58" priority="71" operator="containsText" text="Médio">
      <formula>NOT(ISERROR(SEARCH("Médio",H40)))</formula>
    </cfRule>
  </conditionalFormatting>
  <conditionalFormatting sqref="H41">
    <cfRule type="containsText" dxfId="57" priority="39" operator="containsText" text="Alto">
      <formula>NOT(ISERROR(SEARCH("Alto",H41)))</formula>
    </cfRule>
    <cfRule type="containsText" dxfId="56" priority="38" operator="containsText" text="Médio">
      <formula>NOT(ISERROR(SEARCH("Médio",H41)))</formula>
    </cfRule>
    <cfRule type="containsText" dxfId="55" priority="37" operator="containsText" text="Baixo">
      <formula>NOT(ISERROR(SEARCH("Baixo",H41)))</formula>
    </cfRule>
  </conditionalFormatting>
  <conditionalFormatting sqref="H42">
    <cfRule type="containsText" dxfId="54" priority="67" operator="containsText" text="Baixo">
      <formula>NOT(ISERROR(SEARCH("Baixo",H42)))</formula>
    </cfRule>
    <cfRule type="containsText" dxfId="53" priority="69" operator="containsText" text="Alto">
      <formula>NOT(ISERROR(SEARCH("Alto",H42)))</formula>
    </cfRule>
    <cfRule type="containsText" dxfId="52" priority="68" operator="containsText" text="Médio">
      <formula>NOT(ISERROR(SEARCH("Médio",H42)))</formula>
    </cfRule>
  </conditionalFormatting>
  <conditionalFormatting sqref="H43">
    <cfRule type="containsText" dxfId="51" priority="36" operator="containsText" text="Alto">
      <formula>NOT(ISERROR(SEARCH("Alto",H43)))</formula>
    </cfRule>
    <cfRule type="containsText" dxfId="50" priority="35" operator="containsText" text="Médio">
      <formula>NOT(ISERROR(SEARCH("Médio",H43)))</formula>
    </cfRule>
    <cfRule type="containsText" dxfId="49" priority="34" operator="containsText" text="Baixo">
      <formula>NOT(ISERROR(SEARCH("Baixo",H43)))</formula>
    </cfRule>
  </conditionalFormatting>
  <conditionalFormatting sqref="H44">
    <cfRule type="containsText" dxfId="48" priority="65" operator="containsText" text="Médio">
      <formula>NOT(ISERROR(SEARCH("Médio",H44)))</formula>
    </cfRule>
    <cfRule type="containsText" dxfId="47" priority="64" operator="containsText" text="Baixo">
      <formula>NOT(ISERROR(SEARCH("Baixo",H44)))</formula>
    </cfRule>
    <cfRule type="containsText" dxfId="46" priority="66" operator="containsText" text="Alto">
      <formula>NOT(ISERROR(SEARCH("Alto",H44)))</formula>
    </cfRule>
  </conditionalFormatting>
  <conditionalFormatting sqref="H45">
    <cfRule type="containsText" dxfId="45" priority="31" operator="containsText" text="Baixo">
      <formula>NOT(ISERROR(SEARCH("Baixo",H45)))</formula>
    </cfRule>
    <cfRule type="containsText" dxfId="44" priority="32" operator="containsText" text="Médio">
      <formula>NOT(ISERROR(SEARCH("Médio",H45)))</formula>
    </cfRule>
    <cfRule type="containsText" dxfId="43" priority="33" operator="containsText" text="Alto">
      <formula>NOT(ISERROR(SEARCH("Alto",H45)))</formula>
    </cfRule>
  </conditionalFormatting>
  <conditionalFormatting sqref="H46">
    <cfRule type="containsText" dxfId="42" priority="61" operator="containsText" text="Baixo">
      <formula>NOT(ISERROR(SEARCH("Baixo",H46)))</formula>
    </cfRule>
    <cfRule type="containsText" dxfId="41" priority="62" operator="containsText" text="Médio">
      <formula>NOT(ISERROR(SEARCH("Médio",H46)))</formula>
    </cfRule>
    <cfRule type="containsText" dxfId="40" priority="63" operator="containsText" text="Alto">
      <formula>NOT(ISERROR(SEARCH("Alto",H46)))</formula>
    </cfRule>
  </conditionalFormatting>
  <conditionalFormatting sqref="H47 H51 H53 F55:G55 H55:H56">
    <cfRule type="containsText" dxfId="39" priority="30" operator="containsText" text="Alto">
      <formula>NOT(ISERROR(SEARCH("Alto",F47)))</formula>
    </cfRule>
    <cfRule type="containsText" dxfId="38" priority="28" operator="containsText" text="Baixo">
      <formula>NOT(ISERROR(SEARCH("Baixo",F47)))</formula>
    </cfRule>
    <cfRule type="containsText" dxfId="37" priority="29" operator="containsText" text="Médio">
      <formula>NOT(ISERROR(SEARCH("Médio",F47)))</formula>
    </cfRule>
  </conditionalFormatting>
  <conditionalFormatting sqref="H48">
    <cfRule type="containsText" dxfId="36" priority="25" operator="containsText" text="Baixo">
      <formula>NOT(ISERROR(SEARCH("Baixo",H48)))</formula>
    </cfRule>
    <cfRule type="containsText" dxfId="35" priority="26" operator="containsText" text="Médio">
      <formula>NOT(ISERROR(SEARCH("Médio",H48)))</formula>
    </cfRule>
    <cfRule type="containsText" dxfId="34" priority="27" operator="containsText" text="Alto">
      <formula>NOT(ISERROR(SEARCH("Alto",H48)))</formula>
    </cfRule>
  </conditionalFormatting>
  <conditionalFormatting sqref="H49">
    <cfRule type="containsText" dxfId="33" priority="7" operator="containsText" text="Baixo">
      <formula>NOT(ISERROR(SEARCH("Baixo",H49)))</formula>
    </cfRule>
    <cfRule type="containsText" dxfId="32" priority="9" operator="containsText" text="Alto">
      <formula>NOT(ISERROR(SEARCH("Alto",H49)))</formula>
    </cfRule>
    <cfRule type="containsText" dxfId="31" priority="8" operator="containsText" text="Médio">
      <formula>NOT(ISERROR(SEARCH("Médio",H49)))</formula>
    </cfRule>
  </conditionalFormatting>
  <conditionalFormatting sqref="H50">
    <cfRule type="containsText" dxfId="30" priority="4" operator="containsText" text="Baixo">
      <formula>NOT(ISERROR(SEARCH("Baixo",H50)))</formula>
    </cfRule>
    <cfRule type="containsText" dxfId="29" priority="5" operator="containsText" text="Médio">
      <formula>NOT(ISERROR(SEARCH("Médio",H50)))</formula>
    </cfRule>
    <cfRule type="containsText" dxfId="28" priority="6" operator="containsText" text="Alto">
      <formula>NOT(ISERROR(SEARCH("Alto",H50)))</formula>
    </cfRule>
  </conditionalFormatting>
  <conditionalFormatting sqref="H52">
    <cfRule type="containsText" dxfId="27" priority="19" operator="containsText" text="Baixo">
      <formula>NOT(ISERROR(SEARCH("Baixo",H52)))</formula>
    </cfRule>
    <cfRule type="containsText" dxfId="26" priority="21" operator="containsText" text="Alto">
      <formula>NOT(ISERROR(SEARCH("Alto",H52)))</formula>
    </cfRule>
    <cfRule type="containsText" dxfId="25" priority="20" operator="containsText" text="Médio">
      <formula>NOT(ISERROR(SEARCH("Médio",H52)))</formula>
    </cfRule>
  </conditionalFormatting>
  <conditionalFormatting sqref="H54">
    <cfRule type="containsText" dxfId="24" priority="13" operator="containsText" text="Baixo">
      <formula>NOT(ISERROR(SEARCH("Baixo",H54)))</formula>
    </cfRule>
    <cfRule type="containsText" dxfId="23" priority="15" operator="containsText" text="Alto">
      <formula>NOT(ISERROR(SEARCH("Alto",H54)))</formula>
    </cfRule>
    <cfRule type="containsText" dxfId="22" priority="14" operator="containsText" text="Médio">
      <formula>NOT(ISERROR(SEARCH("Médio",H54)))</formula>
    </cfRule>
  </conditionalFormatting>
  <conditionalFormatting sqref="I43:L46">
    <cfRule type="containsText" dxfId="21" priority="59" operator="containsText" text="Médio">
      <formula>NOT(ISERROR(SEARCH("Médio",I43)))</formula>
    </cfRule>
    <cfRule type="containsText" dxfId="20" priority="60" operator="containsText" text="Baixo">
      <formula>NOT(ISERROR(SEARCH("Baixo",I43)))</formula>
    </cfRule>
    <cfRule type="containsText" dxfId="19" priority="58" operator="containsText" text="Alto">
      <formula>NOT(ISERROR(SEARCH("Alto",I43)))</formula>
    </cfRule>
  </conditionalFormatting>
  <conditionalFormatting sqref="I48:L48">
    <cfRule type="containsText" dxfId="18" priority="24" operator="containsText" text="Baixo">
      <formula>NOT(ISERROR(SEARCH("Baixo",I48)))</formula>
    </cfRule>
    <cfRule type="containsText" dxfId="17" priority="23" operator="containsText" text="Médio">
      <formula>NOT(ISERROR(SEARCH("Médio",I48)))</formula>
    </cfRule>
    <cfRule type="containsText" dxfId="16" priority="22" operator="containsText" text="Alto">
      <formula>NOT(ISERROR(SEARCH("Alto",I48)))</formula>
    </cfRule>
  </conditionalFormatting>
  <conditionalFormatting sqref="I50:L50">
    <cfRule type="containsText" dxfId="15" priority="2" operator="containsText" text="Médio">
      <formula>NOT(ISERROR(SEARCH("Médio",I50)))</formula>
    </cfRule>
    <cfRule type="containsText" dxfId="14" priority="3" operator="containsText" text="Baixo">
      <formula>NOT(ISERROR(SEARCH("Baixo",I50)))</formula>
    </cfRule>
    <cfRule type="containsText" dxfId="13" priority="1" operator="containsText" text="Alto">
      <formula>NOT(ISERROR(SEARCH("Alto",I50)))</formula>
    </cfRule>
  </conditionalFormatting>
  <conditionalFormatting sqref="I52:L52">
    <cfRule type="containsText" dxfId="12" priority="18" operator="containsText" text="Baixo">
      <formula>NOT(ISERROR(SEARCH("Baixo",I52)))</formula>
    </cfRule>
    <cfRule type="containsText" dxfId="11" priority="17" operator="containsText" text="Médio">
      <formula>NOT(ISERROR(SEARCH("Médio",I52)))</formula>
    </cfRule>
    <cfRule type="containsText" dxfId="10" priority="16" operator="containsText" text="Alto">
      <formula>NOT(ISERROR(SEARCH("Alto",I52)))</formula>
    </cfRule>
  </conditionalFormatting>
  <conditionalFormatting sqref="I54:L54">
    <cfRule type="containsText" dxfId="9" priority="10" operator="containsText" text="Alto">
      <formula>NOT(ISERROR(SEARCH("Alto",I54)))</formula>
    </cfRule>
    <cfRule type="containsText" dxfId="8" priority="12" operator="containsText" text="Baixo">
      <formula>NOT(ISERROR(SEARCH("Baixo",I54)))</formula>
    </cfRule>
    <cfRule type="containsText" dxfId="7" priority="11" operator="containsText" text="Médio">
      <formula>NOT(ISERROR(SEARCH("Médio",I54)))</formula>
    </cfRule>
  </conditionalFormatting>
  <printOptions horizontalCentered="1"/>
  <pageMargins left="0.19685039370078741" right="0.19685039370078741" top="0.19685039370078741" bottom="0.19685039370078741" header="0" footer="0"/>
  <pageSetup paperSize="9" scale="41" orientation="landscape" horizontalDpi="4294967292" verticalDpi="4294967292" r:id="rId1"/>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CBA5B-0FD4-43AB-85AB-99B62DFC533D}">
  <sheetPr>
    <tabColor rgb="FFFF0000"/>
    <pageSetUpPr fitToPage="1"/>
  </sheetPr>
  <dimension ref="B1:M188"/>
  <sheetViews>
    <sheetView showGridLines="0" zoomScale="80" zoomScaleNormal="80" zoomScaleSheetLayoutView="80" zoomScalePageLayoutView="125" workbookViewId="0">
      <pane xSplit="5" ySplit="4" topLeftCell="F5" activePane="bottomRight" state="frozen"/>
      <selection sqref="A1:A6"/>
      <selection pane="topRight" sqref="A1:A6"/>
      <selection pane="bottomLeft" sqref="A1:A6"/>
      <selection pane="bottomRight" activeCell="B2" sqref="B2:E2"/>
    </sheetView>
  </sheetViews>
  <sheetFormatPr defaultColWidth="8.7109375" defaultRowHeight="18" customHeight="1" outlineLevelRow="1"/>
  <cols>
    <col min="1" max="1" width="0.85546875" style="111" customWidth="1"/>
    <col min="2" max="2" width="8" style="111" bestFit="1" customWidth="1"/>
    <col min="3" max="3" width="44.28515625" style="111" customWidth="1"/>
    <col min="4" max="4" width="10.5703125" style="111" bestFit="1" customWidth="1"/>
    <col min="5" max="5" width="13.28515625" style="111" customWidth="1"/>
    <col min="6" max="6" width="0.7109375" style="111" customWidth="1"/>
    <col min="7" max="8" width="16.7109375" style="256" customWidth="1"/>
    <col min="9" max="9" width="21.42578125" style="256" customWidth="1"/>
    <col min="10" max="10" width="30.85546875" style="108" customWidth="1"/>
    <col min="11" max="12" width="8.7109375" style="111"/>
    <col min="13" max="13" width="14.7109375" style="111" customWidth="1"/>
    <col min="14" max="144" width="8.7109375" style="111"/>
    <col min="145" max="145" width="3.42578125" style="111" customWidth="1"/>
    <col min="146" max="146" width="7" style="111" customWidth="1"/>
    <col min="147" max="147" width="25.42578125" style="111" customWidth="1"/>
    <col min="148" max="148" width="12" style="111" customWidth="1"/>
    <col min="149" max="149" width="12.7109375" style="111" bestFit="1" customWidth="1"/>
    <col min="150" max="150" width="7.42578125" style="111" bestFit="1" customWidth="1"/>
    <col min="151" max="151" width="7.7109375" style="111" bestFit="1" customWidth="1"/>
    <col min="152" max="152" width="15" style="111" customWidth="1"/>
    <col min="153" max="153" width="7.42578125" style="111" bestFit="1" customWidth="1"/>
    <col min="154" max="154" width="7.7109375" style="111" bestFit="1" customWidth="1"/>
    <col min="155" max="155" width="15" style="111" bestFit="1" customWidth="1"/>
    <col min="156" max="156" width="7.42578125" style="111" bestFit="1" customWidth="1"/>
    <col min="157" max="157" width="7.7109375" style="111" bestFit="1" customWidth="1"/>
    <col min="158" max="158" width="9.42578125" style="111" bestFit="1" customWidth="1"/>
    <col min="159" max="159" width="8" style="111" bestFit="1" customWidth="1"/>
    <col min="160" max="160" width="7.7109375" style="111" bestFit="1" customWidth="1"/>
    <col min="161" max="161" width="10.42578125" style="111" bestFit="1" customWidth="1"/>
    <col min="162" max="162" width="8" style="111" bestFit="1" customWidth="1"/>
    <col min="163" max="163" width="7.7109375" style="111" bestFit="1" customWidth="1"/>
    <col min="164" max="164" width="10.42578125" style="111" bestFit="1" customWidth="1"/>
    <col min="165" max="165" width="7.42578125" style="111" bestFit="1" customWidth="1"/>
    <col min="166" max="166" width="7.7109375" style="111" bestFit="1" customWidth="1"/>
    <col min="167" max="167" width="10.42578125" style="111" bestFit="1" customWidth="1"/>
    <col min="168" max="168" width="8" style="111" bestFit="1" customWidth="1"/>
    <col min="169" max="169" width="7.7109375" style="111" bestFit="1" customWidth="1"/>
    <col min="170" max="170" width="10.42578125" style="111" bestFit="1" customWidth="1"/>
    <col min="171" max="171" width="7.42578125" style="111" bestFit="1" customWidth="1"/>
    <col min="172" max="172" width="7.7109375" style="111" bestFit="1" customWidth="1"/>
    <col min="173" max="173" width="10.42578125" style="111" bestFit="1" customWidth="1"/>
    <col min="174" max="174" width="7.42578125" style="111" bestFit="1" customWidth="1"/>
    <col min="175" max="175" width="7.7109375" style="111" bestFit="1" customWidth="1"/>
    <col min="176" max="176" width="10.42578125" style="111" bestFit="1" customWidth="1"/>
    <col min="177" max="177" width="5.140625" style="111" customWidth="1"/>
    <col min="178" max="400" width="8.7109375" style="111"/>
    <col min="401" max="401" width="3.42578125" style="111" customWidth="1"/>
    <col min="402" max="402" width="7" style="111" customWidth="1"/>
    <col min="403" max="403" width="25.42578125" style="111" customWidth="1"/>
    <col min="404" max="404" width="12" style="111" customWidth="1"/>
    <col min="405" max="405" width="12.7109375" style="111" bestFit="1" customWidth="1"/>
    <col min="406" max="406" width="7.42578125" style="111" bestFit="1" customWidth="1"/>
    <col min="407" max="407" width="7.7109375" style="111" bestFit="1" customWidth="1"/>
    <col min="408" max="408" width="15" style="111" customWidth="1"/>
    <col min="409" max="409" width="7.42578125" style="111" bestFit="1" customWidth="1"/>
    <col min="410" max="410" width="7.7109375" style="111" bestFit="1" customWidth="1"/>
    <col min="411" max="411" width="15" style="111" bestFit="1" customWidth="1"/>
    <col min="412" max="412" width="7.42578125" style="111" bestFit="1" customWidth="1"/>
    <col min="413" max="413" width="7.7109375" style="111" bestFit="1" customWidth="1"/>
    <col min="414" max="414" width="9.42578125" style="111" bestFit="1" customWidth="1"/>
    <col min="415" max="415" width="8" style="111" bestFit="1" customWidth="1"/>
    <col min="416" max="416" width="7.7109375" style="111" bestFit="1" customWidth="1"/>
    <col min="417" max="417" width="10.42578125" style="111" bestFit="1" customWidth="1"/>
    <col min="418" max="418" width="8" style="111" bestFit="1" customWidth="1"/>
    <col min="419" max="419" width="7.7109375" style="111" bestFit="1" customWidth="1"/>
    <col min="420" max="420" width="10.42578125" style="111" bestFit="1" customWidth="1"/>
    <col min="421" max="421" width="7.42578125" style="111" bestFit="1" customWidth="1"/>
    <col min="422" max="422" width="7.7109375" style="111" bestFit="1" customWidth="1"/>
    <col min="423" max="423" width="10.42578125" style="111" bestFit="1" customWidth="1"/>
    <col min="424" max="424" width="8" style="111" bestFit="1" customWidth="1"/>
    <col min="425" max="425" width="7.7109375" style="111" bestFit="1" customWidth="1"/>
    <col min="426" max="426" width="10.42578125" style="111" bestFit="1" customWidth="1"/>
    <col min="427" max="427" width="7.42578125" style="111" bestFit="1" customWidth="1"/>
    <col min="428" max="428" width="7.7109375" style="111" bestFit="1" customWidth="1"/>
    <col min="429" max="429" width="10.42578125" style="111" bestFit="1" customWidth="1"/>
    <col min="430" max="430" width="7.42578125" style="111" bestFit="1" customWidth="1"/>
    <col min="431" max="431" width="7.7109375" style="111" bestFit="1" customWidth="1"/>
    <col min="432" max="432" width="10.42578125" style="111" bestFit="1" customWidth="1"/>
    <col min="433" max="433" width="5.140625" style="111" customWidth="1"/>
    <col min="434" max="656" width="8.7109375" style="111"/>
    <col min="657" max="657" width="3.42578125" style="111" customWidth="1"/>
    <col min="658" max="658" width="7" style="111" customWidth="1"/>
    <col min="659" max="659" width="25.42578125" style="111" customWidth="1"/>
    <col min="660" max="660" width="12" style="111" customWidth="1"/>
    <col min="661" max="661" width="12.7109375" style="111" bestFit="1" customWidth="1"/>
    <col min="662" max="662" width="7.42578125" style="111" bestFit="1" customWidth="1"/>
    <col min="663" max="663" width="7.7109375" style="111" bestFit="1" customWidth="1"/>
    <col min="664" max="664" width="15" style="111" customWidth="1"/>
    <col min="665" max="665" width="7.42578125" style="111" bestFit="1" customWidth="1"/>
    <col min="666" max="666" width="7.7109375" style="111" bestFit="1" customWidth="1"/>
    <col min="667" max="667" width="15" style="111" bestFit="1" customWidth="1"/>
    <col min="668" max="668" width="7.42578125" style="111" bestFit="1" customWidth="1"/>
    <col min="669" max="669" width="7.7109375" style="111" bestFit="1" customWidth="1"/>
    <col min="670" max="670" width="9.42578125" style="111" bestFit="1" customWidth="1"/>
    <col min="671" max="671" width="8" style="111" bestFit="1" customWidth="1"/>
    <col min="672" max="672" width="7.7109375" style="111" bestFit="1" customWidth="1"/>
    <col min="673" max="673" width="10.42578125" style="111" bestFit="1" customWidth="1"/>
    <col min="674" max="674" width="8" style="111" bestFit="1" customWidth="1"/>
    <col min="675" max="675" width="7.7109375" style="111" bestFit="1" customWidth="1"/>
    <col min="676" max="676" width="10.42578125" style="111" bestFit="1" customWidth="1"/>
    <col min="677" max="677" width="7.42578125" style="111" bestFit="1" customWidth="1"/>
    <col min="678" max="678" width="7.7109375" style="111" bestFit="1" customWidth="1"/>
    <col min="679" max="679" width="10.42578125" style="111" bestFit="1" customWidth="1"/>
    <col min="680" max="680" width="8" style="111" bestFit="1" customWidth="1"/>
    <col min="681" max="681" width="7.7109375" style="111" bestFit="1" customWidth="1"/>
    <col min="682" max="682" width="10.42578125" style="111" bestFit="1" customWidth="1"/>
    <col min="683" max="683" width="7.42578125" style="111" bestFit="1" customWidth="1"/>
    <col min="684" max="684" width="7.7109375" style="111" bestFit="1" customWidth="1"/>
    <col min="685" max="685" width="10.42578125" style="111" bestFit="1" customWidth="1"/>
    <col min="686" max="686" width="7.42578125" style="111" bestFit="1" customWidth="1"/>
    <col min="687" max="687" width="7.7109375" style="111" bestFit="1" customWidth="1"/>
    <col min="688" max="688" width="10.42578125" style="111" bestFit="1" customWidth="1"/>
    <col min="689" max="689" width="5.140625" style="111" customWidth="1"/>
    <col min="690" max="912" width="8.7109375" style="111"/>
    <col min="913" max="913" width="3.42578125" style="111" customWidth="1"/>
    <col min="914" max="914" width="7" style="111" customWidth="1"/>
    <col min="915" max="915" width="25.42578125" style="111" customWidth="1"/>
    <col min="916" max="916" width="12" style="111" customWidth="1"/>
    <col min="917" max="917" width="12.7109375" style="111" bestFit="1" customWidth="1"/>
    <col min="918" max="918" width="7.42578125" style="111" bestFit="1" customWidth="1"/>
    <col min="919" max="919" width="7.7109375" style="111" bestFit="1" customWidth="1"/>
    <col min="920" max="920" width="15" style="111" customWidth="1"/>
    <col min="921" max="921" width="7.42578125" style="111" bestFit="1" customWidth="1"/>
    <col min="922" max="922" width="7.7109375" style="111" bestFit="1" customWidth="1"/>
    <col min="923" max="923" width="15" style="111" bestFit="1" customWidth="1"/>
    <col min="924" max="924" width="7.42578125" style="111" bestFit="1" customWidth="1"/>
    <col min="925" max="925" width="7.7109375" style="111" bestFit="1" customWidth="1"/>
    <col min="926" max="926" width="9.42578125" style="111" bestFit="1" customWidth="1"/>
    <col min="927" max="927" width="8" style="111" bestFit="1" customWidth="1"/>
    <col min="928" max="928" width="7.7109375" style="111" bestFit="1" customWidth="1"/>
    <col min="929" max="929" width="10.42578125" style="111" bestFit="1" customWidth="1"/>
    <col min="930" max="930" width="8" style="111" bestFit="1" customWidth="1"/>
    <col min="931" max="931" width="7.7109375" style="111" bestFit="1" customWidth="1"/>
    <col min="932" max="932" width="10.42578125" style="111" bestFit="1" customWidth="1"/>
    <col min="933" max="933" width="7.42578125" style="111" bestFit="1" customWidth="1"/>
    <col min="934" max="934" width="7.7109375" style="111" bestFit="1" customWidth="1"/>
    <col min="935" max="935" width="10.42578125" style="111" bestFit="1" customWidth="1"/>
    <col min="936" max="936" width="8" style="111" bestFit="1" customWidth="1"/>
    <col min="937" max="937" width="7.7109375" style="111" bestFit="1" customWidth="1"/>
    <col min="938" max="938" width="10.42578125" style="111" bestFit="1" customWidth="1"/>
    <col min="939" max="939" width="7.42578125" style="111" bestFit="1" customWidth="1"/>
    <col min="940" max="940" width="7.7109375" style="111" bestFit="1" customWidth="1"/>
    <col min="941" max="941" width="10.42578125" style="111" bestFit="1" customWidth="1"/>
    <col min="942" max="942" width="7.42578125" style="111" bestFit="1" customWidth="1"/>
    <col min="943" max="943" width="7.7109375" style="111" bestFit="1" customWidth="1"/>
    <col min="944" max="944" width="10.42578125" style="111" bestFit="1" customWidth="1"/>
    <col min="945" max="945" width="5.140625" style="111" customWidth="1"/>
    <col min="946" max="1168" width="8.7109375" style="111"/>
    <col min="1169" max="1169" width="3.42578125" style="111" customWidth="1"/>
    <col min="1170" max="1170" width="7" style="111" customWidth="1"/>
    <col min="1171" max="1171" width="25.42578125" style="111" customWidth="1"/>
    <col min="1172" max="1172" width="12" style="111" customWidth="1"/>
    <col min="1173" max="1173" width="12.7109375" style="111" bestFit="1" customWidth="1"/>
    <col min="1174" max="1174" width="7.42578125" style="111" bestFit="1" customWidth="1"/>
    <col min="1175" max="1175" width="7.7109375" style="111" bestFit="1" customWidth="1"/>
    <col min="1176" max="1176" width="15" style="111" customWidth="1"/>
    <col min="1177" max="1177" width="7.42578125" style="111" bestFit="1" customWidth="1"/>
    <col min="1178" max="1178" width="7.7109375" style="111" bestFit="1" customWidth="1"/>
    <col min="1179" max="1179" width="15" style="111" bestFit="1" customWidth="1"/>
    <col min="1180" max="1180" width="7.42578125" style="111" bestFit="1" customWidth="1"/>
    <col min="1181" max="1181" width="7.7109375" style="111" bestFit="1" customWidth="1"/>
    <col min="1182" max="1182" width="9.42578125" style="111" bestFit="1" customWidth="1"/>
    <col min="1183" max="1183" width="8" style="111" bestFit="1" customWidth="1"/>
    <col min="1184" max="1184" width="7.7109375" style="111" bestFit="1" customWidth="1"/>
    <col min="1185" max="1185" width="10.42578125" style="111" bestFit="1" customWidth="1"/>
    <col min="1186" max="1186" width="8" style="111" bestFit="1" customWidth="1"/>
    <col min="1187" max="1187" width="7.7109375" style="111" bestFit="1" customWidth="1"/>
    <col min="1188" max="1188" width="10.42578125" style="111" bestFit="1" customWidth="1"/>
    <col min="1189" max="1189" width="7.42578125" style="111" bestFit="1" customWidth="1"/>
    <col min="1190" max="1190" width="7.7109375" style="111" bestFit="1" customWidth="1"/>
    <col min="1191" max="1191" width="10.42578125" style="111" bestFit="1" customWidth="1"/>
    <col min="1192" max="1192" width="8" style="111" bestFit="1" customWidth="1"/>
    <col min="1193" max="1193" width="7.7109375" style="111" bestFit="1" customWidth="1"/>
    <col min="1194" max="1194" width="10.42578125" style="111" bestFit="1" customWidth="1"/>
    <col min="1195" max="1195" width="7.42578125" style="111" bestFit="1" customWidth="1"/>
    <col min="1196" max="1196" width="7.7109375" style="111" bestFit="1" customWidth="1"/>
    <col min="1197" max="1197" width="10.42578125" style="111" bestFit="1" customWidth="1"/>
    <col min="1198" max="1198" width="7.42578125" style="111" bestFit="1" customWidth="1"/>
    <col min="1199" max="1199" width="7.7109375" style="111" bestFit="1" customWidth="1"/>
    <col min="1200" max="1200" width="10.42578125" style="111" bestFit="1" customWidth="1"/>
    <col min="1201" max="1201" width="5.140625" style="111" customWidth="1"/>
    <col min="1202" max="1424" width="8.7109375" style="111"/>
    <col min="1425" max="1425" width="3.42578125" style="111" customWidth="1"/>
    <col min="1426" max="1426" width="7" style="111" customWidth="1"/>
    <col min="1427" max="1427" width="25.42578125" style="111" customWidth="1"/>
    <col min="1428" max="1428" width="12" style="111" customWidth="1"/>
    <col min="1429" max="1429" width="12.7109375" style="111" bestFit="1" customWidth="1"/>
    <col min="1430" max="1430" width="7.42578125" style="111" bestFit="1" customWidth="1"/>
    <col min="1431" max="1431" width="7.7109375" style="111" bestFit="1" customWidth="1"/>
    <col min="1432" max="1432" width="15" style="111" customWidth="1"/>
    <col min="1433" max="1433" width="7.42578125" style="111" bestFit="1" customWidth="1"/>
    <col min="1434" max="1434" width="7.7109375" style="111" bestFit="1" customWidth="1"/>
    <col min="1435" max="1435" width="15" style="111" bestFit="1" customWidth="1"/>
    <col min="1436" max="1436" width="7.42578125" style="111" bestFit="1" customWidth="1"/>
    <col min="1437" max="1437" width="7.7109375" style="111" bestFit="1" customWidth="1"/>
    <col min="1438" max="1438" width="9.42578125" style="111" bestFit="1" customWidth="1"/>
    <col min="1439" max="1439" width="8" style="111" bestFit="1" customWidth="1"/>
    <col min="1440" max="1440" width="7.7109375" style="111" bestFit="1" customWidth="1"/>
    <col min="1441" max="1441" width="10.42578125" style="111" bestFit="1" customWidth="1"/>
    <col min="1442" max="1442" width="8" style="111" bestFit="1" customWidth="1"/>
    <col min="1443" max="1443" width="7.7109375" style="111" bestFit="1" customWidth="1"/>
    <col min="1444" max="1444" width="10.42578125" style="111" bestFit="1" customWidth="1"/>
    <col min="1445" max="1445" width="7.42578125" style="111" bestFit="1" customWidth="1"/>
    <col min="1446" max="1446" width="7.7109375" style="111" bestFit="1" customWidth="1"/>
    <col min="1447" max="1447" width="10.42578125" style="111" bestFit="1" customWidth="1"/>
    <col min="1448" max="1448" width="8" style="111" bestFit="1" customWidth="1"/>
    <col min="1449" max="1449" width="7.7109375" style="111" bestFit="1" customWidth="1"/>
    <col min="1450" max="1450" width="10.42578125" style="111" bestFit="1" customWidth="1"/>
    <col min="1451" max="1451" width="7.42578125" style="111" bestFit="1" customWidth="1"/>
    <col min="1452" max="1452" width="7.7109375" style="111" bestFit="1" customWidth="1"/>
    <col min="1453" max="1453" width="10.42578125" style="111" bestFit="1" customWidth="1"/>
    <col min="1454" max="1454" width="7.42578125" style="111" bestFit="1" customWidth="1"/>
    <col min="1455" max="1455" width="7.7109375" style="111" bestFit="1" customWidth="1"/>
    <col min="1456" max="1456" width="10.42578125" style="111" bestFit="1" customWidth="1"/>
    <col min="1457" max="1457" width="5.140625" style="111" customWidth="1"/>
    <col min="1458" max="1680" width="8.7109375" style="111"/>
    <col min="1681" max="1681" width="3.42578125" style="111" customWidth="1"/>
    <col min="1682" max="1682" width="7" style="111" customWidth="1"/>
    <col min="1683" max="1683" width="25.42578125" style="111" customWidth="1"/>
    <col min="1684" max="1684" width="12" style="111" customWidth="1"/>
    <col min="1685" max="1685" width="12.7109375" style="111" bestFit="1" customWidth="1"/>
    <col min="1686" max="1686" width="7.42578125" style="111" bestFit="1" customWidth="1"/>
    <col min="1687" max="1687" width="7.7109375" style="111" bestFit="1" customWidth="1"/>
    <col min="1688" max="1688" width="15" style="111" customWidth="1"/>
    <col min="1689" max="1689" width="7.42578125" style="111" bestFit="1" customWidth="1"/>
    <col min="1690" max="1690" width="7.7109375" style="111" bestFit="1" customWidth="1"/>
    <col min="1691" max="1691" width="15" style="111" bestFit="1" customWidth="1"/>
    <col min="1692" max="1692" width="7.42578125" style="111" bestFit="1" customWidth="1"/>
    <col min="1693" max="1693" width="7.7109375" style="111" bestFit="1" customWidth="1"/>
    <col min="1694" max="1694" width="9.42578125" style="111" bestFit="1" customWidth="1"/>
    <col min="1695" max="1695" width="8" style="111" bestFit="1" customWidth="1"/>
    <col min="1696" max="1696" width="7.7109375" style="111" bestFit="1" customWidth="1"/>
    <col min="1697" max="1697" width="10.42578125" style="111" bestFit="1" customWidth="1"/>
    <col min="1698" max="1698" width="8" style="111" bestFit="1" customWidth="1"/>
    <col min="1699" max="1699" width="7.7109375" style="111" bestFit="1" customWidth="1"/>
    <col min="1700" max="1700" width="10.42578125" style="111" bestFit="1" customWidth="1"/>
    <col min="1701" max="1701" width="7.42578125" style="111" bestFit="1" customWidth="1"/>
    <col min="1702" max="1702" width="7.7109375" style="111" bestFit="1" customWidth="1"/>
    <col min="1703" max="1703" width="10.42578125" style="111" bestFit="1" customWidth="1"/>
    <col min="1704" max="1704" width="8" style="111" bestFit="1" customWidth="1"/>
    <col min="1705" max="1705" width="7.7109375" style="111" bestFit="1" customWidth="1"/>
    <col min="1706" max="1706" width="10.42578125" style="111" bestFit="1" customWidth="1"/>
    <col min="1707" max="1707" width="7.42578125" style="111" bestFit="1" customWidth="1"/>
    <col min="1708" max="1708" width="7.7109375" style="111" bestFit="1" customWidth="1"/>
    <col min="1709" max="1709" width="10.42578125" style="111" bestFit="1" customWidth="1"/>
    <col min="1710" max="1710" width="7.42578125" style="111" bestFit="1" customWidth="1"/>
    <col min="1711" max="1711" width="7.7109375" style="111" bestFit="1" customWidth="1"/>
    <col min="1712" max="1712" width="10.42578125" style="111" bestFit="1" customWidth="1"/>
    <col min="1713" max="1713" width="5.140625" style="111" customWidth="1"/>
    <col min="1714" max="1936" width="8.7109375" style="111"/>
    <col min="1937" max="1937" width="3.42578125" style="111" customWidth="1"/>
    <col min="1938" max="1938" width="7" style="111" customWidth="1"/>
    <col min="1939" max="1939" width="25.42578125" style="111" customWidth="1"/>
    <col min="1940" max="1940" width="12" style="111" customWidth="1"/>
    <col min="1941" max="1941" width="12.7109375" style="111" bestFit="1" customWidth="1"/>
    <col min="1942" max="1942" width="7.42578125" style="111" bestFit="1" customWidth="1"/>
    <col min="1943" max="1943" width="7.7109375" style="111" bestFit="1" customWidth="1"/>
    <col min="1944" max="1944" width="15" style="111" customWidth="1"/>
    <col min="1945" max="1945" width="7.42578125" style="111" bestFit="1" customWidth="1"/>
    <col min="1946" max="1946" width="7.7109375" style="111" bestFit="1" customWidth="1"/>
    <col min="1947" max="1947" width="15" style="111" bestFit="1" customWidth="1"/>
    <col min="1948" max="1948" width="7.42578125" style="111" bestFit="1" customWidth="1"/>
    <col min="1949" max="1949" width="7.7109375" style="111" bestFit="1" customWidth="1"/>
    <col min="1950" max="1950" width="9.42578125" style="111" bestFit="1" customWidth="1"/>
    <col min="1951" max="1951" width="8" style="111" bestFit="1" customWidth="1"/>
    <col min="1952" max="1952" width="7.7109375" style="111" bestFit="1" customWidth="1"/>
    <col min="1953" max="1953" width="10.42578125" style="111" bestFit="1" customWidth="1"/>
    <col min="1954" max="1954" width="8" style="111" bestFit="1" customWidth="1"/>
    <col min="1955" max="1955" width="7.7109375" style="111" bestFit="1" customWidth="1"/>
    <col min="1956" max="1956" width="10.42578125" style="111" bestFit="1" customWidth="1"/>
    <col min="1957" max="1957" width="7.42578125" style="111" bestFit="1" customWidth="1"/>
    <col min="1958" max="1958" width="7.7109375" style="111" bestFit="1" customWidth="1"/>
    <col min="1959" max="1959" width="10.42578125" style="111" bestFit="1" customWidth="1"/>
    <col min="1960" max="1960" width="8" style="111" bestFit="1" customWidth="1"/>
    <col min="1961" max="1961" width="7.7109375" style="111" bestFit="1" customWidth="1"/>
    <col min="1962" max="1962" width="10.42578125" style="111" bestFit="1" customWidth="1"/>
    <col min="1963" max="1963" width="7.42578125" style="111" bestFit="1" customWidth="1"/>
    <col min="1964" max="1964" width="7.7109375" style="111" bestFit="1" customWidth="1"/>
    <col min="1965" max="1965" width="10.42578125" style="111" bestFit="1" customWidth="1"/>
    <col min="1966" max="1966" width="7.42578125" style="111" bestFit="1" customWidth="1"/>
    <col min="1967" max="1967" width="7.7109375" style="111" bestFit="1" customWidth="1"/>
    <col min="1968" max="1968" width="10.42578125" style="111" bestFit="1" customWidth="1"/>
    <col min="1969" max="1969" width="5.140625" style="111" customWidth="1"/>
    <col min="1970" max="2192" width="8.7109375" style="111"/>
    <col min="2193" max="2193" width="3.42578125" style="111" customWidth="1"/>
    <col min="2194" max="2194" width="7" style="111" customWidth="1"/>
    <col min="2195" max="2195" width="25.42578125" style="111" customWidth="1"/>
    <col min="2196" max="2196" width="12" style="111" customWidth="1"/>
    <col min="2197" max="2197" width="12.7109375" style="111" bestFit="1" customWidth="1"/>
    <col min="2198" max="2198" width="7.42578125" style="111" bestFit="1" customWidth="1"/>
    <col min="2199" max="2199" width="7.7109375" style="111" bestFit="1" customWidth="1"/>
    <col min="2200" max="2200" width="15" style="111" customWidth="1"/>
    <col min="2201" max="2201" width="7.42578125" style="111" bestFit="1" customWidth="1"/>
    <col min="2202" max="2202" width="7.7109375" style="111" bestFit="1" customWidth="1"/>
    <col min="2203" max="2203" width="15" style="111" bestFit="1" customWidth="1"/>
    <col min="2204" max="2204" width="7.42578125" style="111" bestFit="1" customWidth="1"/>
    <col min="2205" max="2205" width="7.7109375" style="111" bestFit="1" customWidth="1"/>
    <col min="2206" max="2206" width="9.42578125" style="111" bestFit="1" customWidth="1"/>
    <col min="2207" max="2207" width="8" style="111" bestFit="1" customWidth="1"/>
    <col min="2208" max="2208" width="7.7109375" style="111" bestFit="1" customWidth="1"/>
    <col min="2209" max="2209" width="10.42578125" style="111" bestFit="1" customWidth="1"/>
    <col min="2210" max="2210" width="8" style="111" bestFit="1" customWidth="1"/>
    <col min="2211" max="2211" width="7.7109375" style="111" bestFit="1" customWidth="1"/>
    <col min="2212" max="2212" width="10.42578125" style="111" bestFit="1" customWidth="1"/>
    <col min="2213" max="2213" width="7.42578125" style="111" bestFit="1" customWidth="1"/>
    <col min="2214" max="2214" width="7.7109375" style="111" bestFit="1" customWidth="1"/>
    <col min="2215" max="2215" width="10.42578125" style="111" bestFit="1" customWidth="1"/>
    <col min="2216" max="2216" width="8" style="111" bestFit="1" customWidth="1"/>
    <col min="2217" max="2217" width="7.7109375" style="111" bestFit="1" customWidth="1"/>
    <col min="2218" max="2218" width="10.42578125" style="111" bestFit="1" customWidth="1"/>
    <col min="2219" max="2219" width="7.42578125" style="111" bestFit="1" customWidth="1"/>
    <col min="2220" max="2220" width="7.7109375" style="111" bestFit="1" customWidth="1"/>
    <col min="2221" max="2221" width="10.42578125" style="111" bestFit="1" customWidth="1"/>
    <col min="2222" max="2222" width="7.42578125" style="111" bestFit="1" customWidth="1"/>
    <col min="2223" max="2223" width="7.7109375" style="111" bestFit="1" customWidth="1"/>
    <col min="2224" max="2224" width="10.42578125" style="111" bestFit="1" customWidth="1"/>
    <col min="2225" max="2225" width="5.140625" style="111" customWidth="1"/>
    <col min="2226" max="2448" width="8.7109375" style="111"/>
    <col min="2449" max="2449" width="3.42578125" style="111" customWidth="1"/>
    <col min="2450" max="2450" width="7" style="111" customWidth="1"/>
    <col min="2451" max="2451" width="25.42578125" style="111" customWidth="1"/>
    <col min="2452" max="2452" width="12" style="111" customWidth="1"/>
    <col min="2453" max="2453" width="12.7109375" style="111" bestFit="1" customWidth="1"/>
    <col min="2454" max="2454" width="7.42578125" style="111" bestFit="1" customWidth="1"/>
    <col min="2455" max="2455" width="7.7109375" style="111" bestFit="1" customWidth="1"/>
    <col min="2456" max="2456" width="15" style="111" customWidth="1"/>
    <col min="2457" max="2457" width="7.42578125" style="111" bestFit="1" customWidth="1"/>
    <col min="2458" max="2458" width="7.7109375" style="111" bestFit="1" customWidth="1"/>
    <col min="2459" max="2459" width="15" style="111" bestFit="1" customWidth="1"/>
    <col min="2460" max="2460" width="7.42578125" style="111" bestFit="1" customWidth="1"/>
    <col min="2461" max="2461" width="7.7109375" style="111" bestFit="1" customWidth="1"/>
    <col min="2462" max="2462" width="9.42578125" style="111" bestFit="1" customWidth="1"/>
    <col min="2463" max="2463" width="8" style="111" bestFit="1" customWidth="1"/>
    <col min="2464" max="2464" width="7.7109375" style="111" bestFit="1" customWidth="1"/>
    <col min="2465" max="2465" width="10.42578125" style="111" bestFit="1" customWidth="1"/>
    <col min="2466" max="2466" width="8" style="111" bestFit="1" customWidth="1"/>
    <col min="2467" max="2467" width="7.7109375" style="111" bestFit="1" customWidth="1"/>
    <col min="2468" max="2468" width="10.42578125" style="111" bestFit="1" customWidth="1"/>
    <col min="2469" max="2469" width="7.42578125" style="111" bestFit="1" customWidth="1"/>
    <col min="2470" max="2470" width="7.7109375" style="111" bestFit="1" customWidth="1"/>
    <col min="2471" max="2471" width="10.42578125" style="111" bestFit="1" customWidth="1"/>
    <col min="2472" max="2472" width="8" style="111" bestFit="1" customWidth="1"/>
    <col min="2473" max="2473" width="7.7109375" style="111" bestFit="1" customWidth="1"/>
    <col min="2474" max="2474" width="10.42578125" style="111" bestFit="1" customWidth="1"/>
    <col min="2475" max="2475" width="7.42578125" style="111" bestFit="1" customWidth="1"/>
    <col min="2476" max="2476" width="7.7109375" style="111" bestFit="1" customWidth="1"/>
    <col min="2477" max="2477" width="10.42578125" style="111" bestFit="1" customWidth="1"/>
    <col min="2478" max="2478" width="7.42578125" style="111" bestFit="1" customWidth="1"/>
    <col min="2479" max="2479" width="7.7109375" style="111" bestFit="1" customWidth="1"/>
    <col min="2480" max="2480" width="10.42578125" style="111" bestFit="1" customWidth="1"/>
    <col min="2481" max="2481" width="5.140625" style="111" customWidth="1"/>
    <col min="2482" max="2704" width="8.7109375" style="111"/>
    <col min="2705" max="2705" width="3.42578125" style="111" customWidth="1"/>
    <col min="2706" max="2706" width="7" style="111" customWidth="1"/>
    <col min="2707" max="2707" width="25.42578125" style="111" customWidth="1"/>
    <col min="2708" max="2708" width="12" style="111" customWidth="1"/>
    <col min="2709" max="2709" width="12.7109375" style="111" bestFit="1" customWidth="1"/>
    <col min="2710" max="2710" width="7.42578125" style="111" bestFit="1" customWidth="1"/>
    <col min="2711" max="2711" width="7.7109375" style="111" bestFit="1" customWidth="1"/>
    <col min="2712" max="2712" width="15" style="111" customWidth="1"/>
    <col min="2713" max="2713" width="7.42578125" style="111" bestFit="1" customWidth="1"/>
    <col min="2714" max="2714" width="7.7109375" style="111" bestFit="1" customWidth="1"/>
    <col min="2715" max="2715" width="15" style="111" bestFit="1" customWidth="1"/>
    <col min="2716" max="2716" width="7.42578125" style="111" bestFit="1" customWidth="1"/>
    <col min="2717" max="2717" width="7.7109375" style="111" bestFit="1" customWidth="1"/>
    <col min="2718" max="2718" width="9.42578125" style="111" bestFit="1" customWidth="1"/>
    <col min="2719" max="2719" width="8" style="111" bestFit="1" customWidth="1"/>
    <col min="2720" max="2720" width="7.7109375" style="111" bestFit="1" customWidth="1"/>
    <col min="2721" max="2721" width="10.42578125" style="111" bestFit="1" customWidth="1"/>
    <col min="2722" max="2722" width="8" style="111" bestFit="1" customWidth="1"/>
    <col min="2723" max="2723" width="7.7109375" style="111" bestFit="1" customWidth="1"/>
    <col min="2724" max="2724" width="10.42578125" style="111" bestFit="1" customWidth="1"/>
    <col min="2725" max="2725" width="7.42578125" style="111" bestFit="1" customWidth="1"/>
    <col min="2726" max="2726" width="7.7109375" style="111" bestFit="1" customWidth="1"/>
    <col min="2727" max="2727" width="10.42578125" style="111" bestFit="1" customWidth="1"/>
    <col min="2728" max="2728" width="8" style="111" bestFit="1" customWidth="1"/>
    <col min="2729" max="2729" width="7.7109375" style="111" bestFit="1" customWidth="1"/>
    <col min="2730" max="2730" width="10.42578125" style="111" bestFit="1" customWidth="1"/>
    <col min="2731" max="2731" width="7.42578125" style="111" bestFit="1" customWidth="1"/>
    <col min="2732" max="2732" width="7.7109375" style="111" bestFit="1" customWidth="1"/>
    <col min="2733" max="2733" width="10.42578125" style="111" bestFit="1" customWidth="1"/>
    <col min="2734" max="2734" width="7.42578125" style="111" bestFit="1" customWidth="1"/>
    <col min="2735" max="2735" width="7.7109375" style="111" bestFit="1" customWidth="1"/>
    <col min="2736" max="2736" width="10.42578125" style="111" bestFit="1" customWidth="1"/>
    <col min="2737" max="2737" width="5.140625" style="111" customWidth="1"/>
    <col min="2738" max="2960" width="8.7109375" style="111"/>
    <col min="2961" max="2961" width="3.42578125" style="111" customWidth="1"/>
    <col min="2962" max="2962" width="7" style="111" customWidth="1"/>
    <col min="2963" max="2963" width="25.42578125" style="111" customWidth="1"/>
    <col min="2964" max="2964" width="12" style="111" customWidth="1"/>
    <col min="2965" max="2965" width="12.7109375" style="111" bestFit="1" customWidth="1"/>
    <col min="2966" max="2966" width="7.42578125" style="111" bestFit="1" customWidth="1"/>
    <col min="2967" max="2967" width="7.7109375" style="111" bestFit="1" customWidth="1"/>
    <col min="2968" max="2968" width="15" style="111" customWidth="1"/>
    <col min="2969" max="2969" width="7.42578125" style="111" bestFit="1" customWidth="1"/>
    <col min="2970" max="2970" width="7.7109375" style="111" bestFit="1" customWidth="1"/>
    <col min="2971" max="2971" width="15" style="111" bestFit="1" customWidth="1"/>
    <col min="2972" max="2972" width="7.42578125" style="111" bestFit="1" customWidth="1"/>
    <col min="2973" max="2973" width="7.7109375" style="111" bestFit="1" customWidth="1"/>
    <col min="2974" max="2974" width="9.42578125" style="111" bestFit="1" customWidth="1"/>
    <col min="2975" max="2975" width="8" style="111" bestFit="1" customWidth="1"/>
    <col min="2976" max="2976" width="7.7109375" style="111" bestFit="1" customWidth="1"/>
    <col min="2977" max="2977" width="10.42578125" style="111" bestFit="1" customWidth="1"/>
    <col min="2978" max="2978" width="8" style="111" bestFit="1" customWidth="1"/>
    <col min="2979" max="2979" width="7.7109375" style="111" bestFit="1" customWidth="1"/>
    <col min="2980" max="2980" width="10.42578125" style="111" bestFit="1" customWidth="1"/>
    <col min="2981" max="2981" width="7.42578125" style="111" bestFit="1" customWidth="1"/>
    <col min="2982" max="2982" width="7.7109375" style="111" bestFit="1" customWidth="1"/>
    <col min="2983" max="2983" width="10.42578125" style="111" bestFit="1" customWidth="1"/>
    <col min="2984" max="2984" width="8" style="111" bestFit="1" customWidth="1"/>
    <col min="2985" max="2985" width="7.7109375" style="111" bestFit="1" customWidth="1"/>
    <col min="2986" max="2986" width="10.42578125" style="111" bestFit="1" customWidth="1"/>
    <col min="2987" max="2987" width="7.42578125" style="111" bestFit="1" customWidth="1"/>
    <col min="2988" max="2988" width="7.7109375" style="111" bestFit="1" customWidth="1"/>
    <col min="2989" max="2989" width="10.42578125" style="111" bestFit="1" customWidth="1"/>
    <col min="2990" max="2990" width="7.42578125" style="111" bestFit="1" customWidth="1"/>
    <col min="2991" max="2991" width="7.7109375" style="111" bestFit="1" customWidth="1"/>
    <col min="2992" max="2992" width="10.42578125" style="111" bestFit="1" customWidth="1"/>
    <col min="2993" max="2993" width="5.140625" style="111" customWidth="1"/>
    <col min="2994" max="3216" width="8.7109375" style="111"/>
    <col min="3217" max="3217" width="3.42578125" style="111" customWidth="1"/>
    <col min="3218" max="3218" width="7" style="111" customWidth="1"/>
    <col min="3219" max="3219" width="25.42578125" style="111" customWidth="1"/>
    <col min="3220" max="3220" width="12" style="111" customWidth="1"/>
    <col min="3221" max="3221" width="12.7109375" style="111" bestFit="1" customWidth="1"/>
    <col min="3222" max="3222" width="7.42578125" style="111" bestFit="1" customWidth="1"/>
    <col min="3223" max="3223" width="7.7109375" style="111" bestFit="1" customWidth="1"/>
    <col min="3224" max="3224" width="15" style="111" customWidth="1"/>
    <col min="3225" max="3225" width="7.42578125" style="111" bestFit="1" customWidth="1"/>
    <col min="3226" max="3226" width="7.7109375" style="111" bestFit="1" customWidth="1"/>
    <col min="3227" max="3227" width="15" style="111" bestFit="1" customWidth="1"/>
    <col min="3228" max="3228" width="7.42578125" style="111" bestFit="1" customWidth="1"/>
    <col min="3229" max="3229" width="7.7109375" style="111" bestFit="1" customWidth="1"/>
    <col min="3230" max="3230" width="9.42578125" style="111" bestFit="1" customWidth="1"/>
    <col min="3231" max="3231" width="8" style="111" bestFit="1" customWidth="1"/>
    <col min="3232" max="3232" width="7.7109375" style="111" bestFit="1" customWidth="1"/>
    <col min="3233" max="3233" width="10.42578125" style="111" bestFit="1" customWidth="1"/>
    <col min="3234" max="3234" width="8" style="111" bestFit="1" customWidth="1"/>
    <col min="3235" max="3235" width="7.7109375" style="111" bestFit="1" customWidth="1"/>
    <col min="3236" max="3236" width="10.42578125" style="111" bestFit="1" customWidth="1"/>
    <col min="3237" max="3237" width="7.42578125" style="111" bestFit="1" customWidth="1"/>
    <col min="3238" max="3238" width="7.7109375" style="111" bestFit="1" customWidth="1"/>
    <col min="3239" max="3239" width="10.42578125" style="111" bestFit="1" customWidth="1"/>
    <col min="3240" max="3240" width="8" style="111" bestFit="1" customWidth="1"/>
    <col min="3241" max="3241" width="7.7109375" style="111" bestFit="1" customWidth="1"/>
    <col min="3242" max="3242" width="10.42578125" style="111" bestFit="1" customWidth="1"/>
    <col min="3243" max="3243" width="7.42578125" style="111" bestFit="1" customWidth="1"/>
    <col min="3244" max="3244" width="7.7109375" style="111" bestFit="1" customWidth="1"/>
    <col min="3245" max="3245" width="10.42578125" style="111" bestFit="1" customWidth="1"/>
    <col min="3246" max="3246" width="7.42578125" style="111" bestFit="1" customWidth="1"/>
    <col min="3247" max="3247" width="7.7109375" style="111" bestFit="1" customWidth="1"/>
    <col min="3248" max="3248" width="10.42578125" style="111" bestFit="1" customWidth="1"/>
    <col min="3249" max="3249" width="5.140625" style="111" customWidth="1"/>
    <col min="3250" max="3472" width="8.7109375" style="111"/>
    <col min="3473" max="3473" width="3.42578125" style="111" customWidth="1"/>
    <col min="3474" max="3474" width="7" style="111" customWidth="1"/>
    <col min="3475" max="3475" width="25.42578125" style="111" customWidth="1"/>
    <col min="3476" max="3476" width="12" style="111" customWidth="1"/>
    <col min="3477" max="3477" width="12.7109375" style="111" bestFit="1" customWidth="1"/>
    <col min="3478" max="3478" width="7.42578125" style="111" bestFit="1" customWidth="1"/>
    <col min="3479" max="3479" width="7.7109375" style="111" bestFit="1" customWidth="1"/>
    <col min="3480" max="3480" width="15" style="111" customWidth="1"/>
    <col min="3481" max="3481" width="7.42578125" style="111" bestFit="1" customWidth="1"/>
    <col min="3482" max="3482" width="7.7109375" style="111" bestFit="1" customWidth="1"/>
    <col min="3483" max="3483" width="15" style="111" bestFit="1" customWidth="1"/>
    <col min="3484" max="3484" width="7.42578125" style="111" bestFit="1" customWidth="1"/>
    <col min="3485" max="3485" width="7.7109375" style="111" bestFit="1" customWidth="1"/>
    <col min="3486" max="3486" width="9.42578125" style="111" bestFit="1" customWidth="1"/>
    <col min="3487" max="3487" width="8" style="111" bestFit="1" customWidth="1"/>
    <col min="3488" max="3488" width="7.7109375" style="111" bestFit="1" customWidth="1"/>
    <col min="3489" max="3489" width="10.42578125" style="111" bestFit="1" customWidth="1"/>
    <col min="3490" max="3490" width="8" style="111" bestFit="1" customWidth="1"/>
    <col min="3491" max="3491" width="7.7109375" style="111" bestFit="1" customWidth="1"/>
    <col min="3492" max="3492" width="10.42578125" style="111" bestFit="1" customWidth="1"/>
    <col min="3493" max="3493" width="7.42578125" style="111" bestFit="1" customWidth="1"/>
    <col min="3494" max="3494" width="7.7109375" style="111" bestFit="1" customWidth="1"/>
    <col min="3495" max="3495" width="10.42578125" style="111" bestFit="1" customWidth="1"/>
    <col min="3496" max="3496" width="8" style="111" bestFit="1" customWidth="1"/>
    <col min="3497" max="3497" width="7.7109375" style="111" bestFit="1" customWidth="1"/>
    <col min="3498" max="3498" width="10.42578125" style="111" bestFit="1" customWidth="1"/>
    <col min="3499" max="3499" width="7.42578125" style="111" bestFit="1" customWidth="1"/>
    <col min="3500" max="3500" width="7.7109375" style="111" bestFit="1" customWidth="1"/>
    <col min="3501" max="3501" width="10.42578125" style="111" bestFit="1" customWidth="1"/>
    <col min="3502" max="3502" width="7.42578125" style="111" bestFit="1" customWidth="1"/>
    <col min="3503" max="3503" width="7.7109375" style="111" bestFit="1" customWidth="1"/>
    <col min="3504" max="3504" width="10.42578125" style="111" bestFit="1" customWidth="1"/>
    <col min="3505" max="3505" width="5.140625" style="111" customWidth="1"/>
    <col min="3506" max="3728" width="8.7109375" style="111"/>
    <col min="3729" max="3729" width="3.42578125" style="111" customWidth="1"/>
    <col min="3730" max="3730" width="7" style="111" customWidth="1"/>
    <col min="3731" max="3731" width="25.42578125" style="111" customWidth="1"/>
    <col min="3732" max="3732" width="12" style="111" customWidth="1"/>
    <col min="3733" max="3733" width="12.7109375" style="111" bestFit="1" customWidth="1"/>
    <col min="3734" max="3734" width="7.42578125" style="111" bestFit="1" customWidth="1"/>
    <col min="3735" max="3735" width="7.7109375" style="111" bestFit="1" customWidth="1"/>
    <col min="3736" max="3736" width="15" style="111" customWidth="1"/>
    <col min="3737" max="3737" width="7.42578125" style="111" bestFit="1" customWidth="1"/>
    <col min="3738" max="3738" width="7.7109375" style="111" bestFit="1" customWidth="1"/>
    <col min="3739" max="3739" width="15" style="111" bestFit="1" customWidth="1"/>
    <col min="3740" max="3740" width="7.42578125" style="111" bestFit="1" customWidth="1"/>
    <col min="3741" max="3741" width="7.7109375" style="111" bestFit="1" customWidth="1"/>
    <col min="3742" max="3742" width="9.42578125" style="111" bestFit="1" customWidth="1"/>
    <col min="3743" max="3743" width="8" style="111" bestFit="1" customWidth="1"/>
    <col min="3744" max="3744" width="7.7109375" style="111" bestFit="1" customWidth="1"/>
    <col min="3745" max="3745" width="10.42578125" style="111" bestFit="1" customWidth="1"/>
    <col min="3746" max="3746" width="8" style="111" bestFit="1" customWidth="1"/>
    <col min="3747" max="3747" width="7.7109375" style="111" bestFit="1" customWidth="1"/>
    <col min="3748" max="3748" width="10.42578125" style="111" bestFit="1" customWidth="1"/>
    <col min="3749" max="3749" width="7.42578125" style="111" bestFit="1" customWidth="1"/>
    <col min="3750" max="3750" width="7.7109375" style="111" bestFit="1" customWidth="1"/>
    <col min="3751" max="3751" width="10.42578125" style="111" bestFit="1" customWidth="1"/>
    <col min="3752" max="3752" width="8" style="111" bestFit="1" customWidth="1"/>
    <col min="3753" max="3753" width="7.7109375" style="111" bestFit="1" customWidth="1"/>
    <col min="3754" max="3754" width="10.42578125" style="111" bestFit="1" customWidth="1"/>
    <col min="3755" max="3755" width="7.42578125" style="111" bestFit="1" customWidth="1"/>
    <col min="3756" max="3756" width="7.7109375" style="111" bestFit="1" customWidth="1"/>
    <col min="3757" max="3757" width="10.42578125" style="111" bestFit="1" customWidth="1"/>
    <col min="3758" max="3758" width="7.42578125" style="111" bestFit="1" customWidth="1"/>
    <col min="3759" max="3759" width="7.7109375" style="111" bestFit="1" customWidth="1"/>
    <col min="3760" max="3760" width="10.42578125" style="111" bestFit="1" customWidth="1"/>
    <col min="3761" max="3761" width="5.140625" style="111" customWidth="1"/>
    <col min="3762" max="3984" width="8.7109375" style="111"/>
    <col min="3985" max="3985" width="3.42578125" style="111" customWidth="1"/>
    <col min="3986" max="3986" width="7" style="111" customWidth="1"/>
    <col min="3987" max="3987" width="25.42578125" style="111" customWidth="1"/>
    <col min="3988" max="3988" width="12" style="111" customWidth="1"/>
    <col min="3989" max="3989" width="12.7109375" style="111" bestFit="1" customWidth="1"/>
    <col min="3990" max="3990" width="7.42578125" style="111" bestFit="1" customWidth="1"/>
    <col min="3991" max="3991" width="7.7109375" style="111" bestFit="1" customWidth="1"/>
    <col min="3992" max="3992" width="15" style="111" customWidth="1"/>
    <col min="3993" max="3993" width="7.42578125" style="111" bestFit="1" customWidth="1"/>
    <col min="3994" max="3994" width="7.7109375" style="111" bestFit="1" customWidth="1"/>
    <col min="3995" max="3995" width="15" style="111" bestFit="1" customWidth="1"/>
    <col min="3996" max="3996" width="7.42578125" style="111" bestFit="1" customWidth="1"/>
    <col min="3997" max="3997" width="7.7109375" style="111" bestFit="1" customWidth="1"/>
    <col min="3998" max="3998" width="9.42578125" style="111" bestFit="1" customWidth="1"/>
    <col min="3999" max="3999" width="8" style="111" bestFit="1" customWidth="1"/>
    <col min="4000" max="4000" width="7.7109375" style="111" bestFit="1" customWidth="1"/>
    <col min="4001" max="4001" width="10.42578125" style="111" bestFit="1" customWidth="1"/>
    <col min="4002" max="4002" width="8" style="111" bestFit="1" customWidth="1"/>
    <col min="4003" max="4003" width="7.7109375" style="111" bestFit="1" customWidth="1"/>
    <col min="4004" max="4004" width="10.42578125" style="111" bestFit="1" customWidth="1"/>
    <col min="4005" max="4005" width="7.42578125" style="111" bestFit="1" customWidth="1"/>
    <col min="4006" max="4006" width="7.7109375" style="111" bestFit="1" customWidth="1"/>
    <col min="4007" max="4007" width="10.42578125" style="111" bestFit="1" customWidth="1"/>
    <col min="4008" max="4008" width="8" style="111" bestFit="1" customWidth="1"/>
    <col min="4009" max="4009" width="7.7109375" style="111" bestFit="1" customWidth="1"/>
    <col min="4010" max="4010" width="10.42578125" style="111" bestFit="1" customWidth="1"/>
    <col min="4011" max="4011" width="7.42578125" style="111" bestFit="1" customWidth="1"/>
    <col min="4012" max="4012" width="7.7109375" style="111" bestFit="1" customWidth="1"/>
    <col min="4013" max="4013" width="10.42578125" style="111" bestFit="1" customWidth="1"/>
    <col min="4014" max="4014" width="7.42578125" style="111" bestFit="1" customWidth="1"/>
    <col min="4015" max="4015" width="7.7109375" style="111" bestFit="1" customWidth="1"/>
    <col min="4016" max="4016" width="10.42578125" style="111" bestFit="1" customWidth="1"/>
    <col min="4017" max="4017" width="5.140625" style="111" customWidth="1"/>
    <col min="4018" max="4240" width="8.7109375" style="111"/>
    <col min="4241" max="4241" width="3.42578125" style="111" customWidth="1"/>
    <col min="4242" max="4242" width="7" style="111" customWidth="1"/>
    <col min="4243" max="4243" width="25.42578125" style="111" customWidth="1"/>
    <col min="4244" max="4244" width="12" style="111" customWidth="1"/>
    <col min="4245" max="4245" width="12.7109375" style="111" bestFit="1" customWidth="1"/>
    <col min="4246" max="4246" width="7.42578125" style="111" bestFit="1" customWidth="1"/>
    <col min="4247" max="4247" width="7.7109375" style="111" bestFit="1" customWidth="1"/>
    <col min="4248" max="4248" width="15" style="111" customWidth="1"/>
    <col min="4249" max="4249" width="7.42578125" style="111" bestFit="1" customWidth="1"/>
    <col min="4250" max="4250" width="7.7109375" style="111" bestFit="1" customWidth="1"/>
    <col min="4251" max="4251" width="15" style="111" bestFit="1" customWidth="1"/>
    <col min="4252" max="4252" width="7.42578125" style="111" bestFit="1" customWidth="1"/>
    <col min="4253" max="4253" width="7.7109375" style="111" bestFit="1" customWidth="1"/>
    <col min="4254" max="4254" width="9.42578125" style="111" bestFit="1" customWidth="1"/>
    <col min="4255" max="4255" width="8" style="111" bestFit="1" customWidth="1"/>
    <col min="4256" max="4256" width="7.7109375" style="111" bestFit="1" customWidth="1"/>
    <col min="4257" max="4257" width="10.42578125" style="111" bestFit="1" customWidth="1"/>
    <col min="4258" max="4258" width="8" style="111" bestFit="1" customWidth="1"/>
    <col min="4259" max="4259" width="7.7109375" style="111" bestFit="1" customWidth="1"/>
    <col min="4260" max="4260" width="10.42578125" style="111" bestFit="1" customWidth="1"/>
    <col min="4261" max="4261" width="7.42578125" style="111" bestFit="1" customWidth="1"/>
    <col min="4262" max="4262" width="7.7109375" style="111" bestFit="1" customWidth="1"/>
    <col min="4263" max="4263" width="10.42578125" style="111" bestFit="1" customWidth="1"/>
    <col min="4264" max="4264" width="8" style="111" bestFit="1" customWidth="1"/>
    <col min="4265" max="4265" width="7.7109375" style="111" bestFit="1" customWidth="1"/>
    <col min="4266" max="4266" width="10.42578125" style="111" bestFit="1" customWidth="1"/>
    <col min="4267" max="4267" width="7.42578125" style="111" bestFit="1" customWidth="1"/>
    <col min="4268" max="4268" width="7.7109375" style="111" bestFit="1" customWidth="1"/>
    <col min="4269" max="4269" width="10.42578125" style="111" bestFit="1" customWidth="1"/>
    <col min="4270" max="4270" width="7.42578125" style="111" bestFit="1" customWidth="1"/>
    <col min="4271" max="4271" width="7.7109375" style="111" bestFit="1" customWidth="1"/>
    <col min="4272" max="4272" width="10.42578125" style="111" bestFit="1" customWidth="1"/>
    <col min="4273" max="4273" width="5.140625" style="111" customWidth="1"/>
    <col min="4274" max="4496" width="8.7109375" style="111"/>
    <col min="4497" max="4497" width="3.42578125" style="111" customWidth="1"/>
    <col min="4498" max="4498" width="7" style="111" customWidth="1"/>
    <col min="4499" max="4499" width="25.42578125" style="111" customWidth="1"/>
    <col min="4500" max="4500" width="12" style="111" customWidth="1"/>
    <col min="4501" max="4501" width="12.7109375" style="111" bestFit="1" customWidth="1"/>
    <col min="4502" max="4502" width="7.42578125" style="111" bestFit="1" customWidth="1"/>
    <col min="4503" max="4503" width="7.7109375" style="111" bestFit="1" customWidth="1"/>
    <col min="4504" max="4504" width="15" style="111" customWidth="1"/>
    <col min="4505" max="4505" width="7.42578125" style="111" bestFit="1" customWidth="1"/>
    <col min="4506" max="4506" width="7.7109375" style="111" bestFit="1" customWidth="1"/>
    <col min="4507" max="4507" width="15" style="111" bestFit="1" customWidth="1"/>
    <col min="4508" max="4508" width="7.42578125" style="111" bestFit="1" customWidth="1"/>
    <col min="4509" max="4509" width="7.7109375" style="111" bestFit="1" customWidth="1"/>
    <col min="4510" max="4510" width="9.42578125" style="111" bestFit="1" customWidth="1"/>
    <col min="4511" max="4511" width="8" style="111" bestFit="1" customWidth="1"/>
    <col min="4512" max="4512" width="7.7109375" style="111" bestFit="1" customWidth="1"/>
    <col min="4513" max="4513" width="10.42578125" style="111" bestFit="1" customWidth="1"/>
    <col min="4514" max="4514" width="8" style="111" bestFit="1" customWidth="1"/>
    <col min="4515" max="4515" width="7.7109375" style="111" bestFit="1" customWidth="1"/>
    <col min="4516" max="4516" width="10.42578125" style="111" bestFit="1" customWidth="1"/>
    <col min="4517" max="4517" width="7.42578125" style="111" bestFit="1" customWidth="1"/>
    <col min="4518" max="4518" width="7.7109375" style="111" bestFit="1" customWidth="1"/>
    <col min="4519" max="4519" width="10.42578125" style="111" bestFit="1" customWidth="1"/>
    <col min="4520" max="4520" width="8" style="111" bestFit="1" customWidth="1"/>
    <col min="4521" max="4521" width="7.7109375" style="111" bestFit="1" customWidth="1"/>
    <col min="4522" max="4522" width="10.42578125" style="111" bestFit="1" customWidth="1"/>
    <col min="4523" max="4523" width="7.42578125" style="111" bestFit="1" customWidth="1"/>
    <col min="4524" max="4524" width="7.7109375" style="111" bestFit="1" customWidth="1"/>
    <col min="4525" max="4525" width="10.42578125" style="111" bestFit="1" customWidth="1"/>
    <col min="4526" max="4526" width="7.42578125" style="111" bestFit="1" customWidth="1"/>
    <col min="4527" max="4527" width="7.7109375" style="111" bestFit="1" customWidth="1"/>
    <col min="4528" max="4528" width="10.42578125" style="111" bestFit="1" customWidth="1"/>
    <col min="4529" max="4529" width="5.140625" style="111" customWidth="1"/>
    <col min="4530" max="4752" width="8.7109375" style="111"/>
    <col min="4753" max="4753" width="3.42578125" style="111" customWidth="1"/>
    <col min="4754" max="4754" width="7" style="111" customWidth="1"/>
    <col min="4755" max="4755" width="25.42578125" style="111" customWidth="1"/>
    <col min="4756" max="4756" width="12" style="111" customWidth="1"/>
    <col min="4757" max="4757" width="12.7109375" style="111" bestFit="1" customWidth="1"/>
    <col min="4758" max="4758" width="7.42578125" style="111" bestFit="1" customWidth="1"/>
    <col min="4759" max="4759" width="7.7109375" style="111" bestFit="1" customWidth="1"/>
    <col min="4760" max="4760" width="15" style="111" customWidth="1"/>
    <col min="4761" max="4761" width="7.42578125" style="111" bestFit="1" customWidth="1"/>
    <col min="4762" max="4762" width="7.7109375" style="111" bestFit="1" customWidth="1"/>
    <col min="4763" max="4763" width="15" style="111" bestFit="1" customWidth="1"/>
    <col min="4764" max="4764" width="7.42578125" style="111" bestFit="1" customWidth="1"/>
    <col min="4765" max="4765" width="7.7109375" style="111" bestFit="1" customWidth="1"/>
    <col min="4766" max="4766" width="9.42578125" style="111" bestFit="1" customWidth="1"/>
    <col min="4767" max="4767" width="8" style="111" bestFit="1" customWidth="1"/>
    <col min="4768" max="4768" width="7.7109375" style="111" bestFit="1" customWidth="1"/>
    <col min="4769" max="4769" width="10.42578125" style="111" bestFit="1" customWidth="1"/>
    <col min="4770" max="4770" width="8" style="111" bestFit="1" customWidth="1"/>
    <col min="4771" max="4771" width="7.7109375" style="111" bestFit="1" customWidth="1"/>
    <col min="4772" max="4772" width="10.42578125" style="111" bestFit="1" customWidth="1"/>
    <col min="4773" max="4773" width="7.42578125" style="111" bestFit="1" customWidth="1"/>
    <col min="4774" max="4774" width="7.7109375" style="111" bestFit="1" customWidth="1"/>
    <col min="4775" max="4775" width="10.42578125" style="111" bestFit="1" customWidth="1"/>
    <col min="4776" max="4776" width="8" style="111" bestFit="1" customWidth="1"/>
    <col min="4777" max="4777" width="7.7109375" style="111" bestFit="1" customWidth="1"/>
    <col min="4778" max="4778" width="10.42578125" style="111" bestFit="1" customWidth="1"/>
    <col min="4779" max="4779" width="7.42578125" style="111" bestFit="1" customWidth="1"/>
    <col min="4780" max="4780" width="7.7109375" style="111" bestFit="1" customWidth="1"/>
    <col min="4781" max="4781" width="10.42578125" style="111" bestFit="1" customWidth="1"/>
    <col min="4782" max="4782" width="7.42578125" style="111" bestFit="1" customWidth="1"/>
    <col min="4783" max="4783" width="7.7109375" style="111" bestFit="1" customWidth="1"/>
    <col min="4784" max="4784" width="10.42578125" style="111" bestFit="1" customWidth="1"/>
    <col min="4785" max="4785" width="5.140625" style="111" customWidth="1"/>
    <col min="4786" max="5008" width="8.7109375" style="111"/>
    <col min="5009" max="5009" width="3.42578125" style="111" customWidth="1"/>
    <col min="5010" max="5010" width="7" style="111" customWidth="1"/>
    <col min="5011" max="5011" width="25.42578125" style="111" customWidth="1"/>
    <col min="5012" max="5012" width="12" style="111" customWidth="1"/>
    <col min="5013" max="5013" width="12.7109375" style="111" bestFit="1" customWidth="1"/>
    <col min="5014" max="5014" width="7.42578125" style="111" bestFit="1" customWidth="1"/>
    <col min="5015" max="5015" width="7.7109375" style="111" bestFit="1" customWidth="1"/>
    <col min="5016" max="5016" width="15" style="111" customWidth="1"/>
    <col min="5017" max="5017" width="7.42578125" style="111" bestFit="1" customWidth="1"/>
    <col min="5018" max="5018" width="7.7109375" style="111" bestFit="1" customWidth="1"/>
    <col min="5019" max="5019" width="15" style="111" bestFit="1" customWidth="1"/>
    <col min="5020" max="5020" width="7.42578125" style="111" bestFit="1" customWidth="1"/>
    <col min="5021" max="5021" width="7.7109375" style="111" bestFit="1" customWidth="1"/>
    <col min="5022" max="5022" width="9.42578125" style="111" bestFit="1" customWidth="1"/>
    <col min="5023" max="5023" width="8" style="111" bestFit="1" customWidth="1"/>
    <col min="5024" max="5024" width="7.7109375" style="111" bestFit="1" customWidth="1"/>
    <col min="5025" max="5025" width="10.42578125" style="111" bestFit="1" customWidth="1"/>
    <col min="5026" max="5026" width="8" style="111" bestFit="1" customWidth="1"/>
    <col min="5027" max="5027" width="7.7109375" style="111" bestFit="1" customWidth="1"/>
    <col min="5028" max="5028" width="10.42578125" style="111" bestFit="1" customWidth="1"/>
    <col min="5029" max="5029" width="7.42578125" style="111" bestFit="1" customWidth="1"/>
    <col min="5030" max="5030" width="7.7109375" style="111" bestFit="1" customWidth="1"/>
    <col min="5031" max="5031" width="10.42578125" style="111" bestFit="1" customWidth="1"/>
    <col min="5032" max="5032" width="8" style="111" bestFit="1" customWidth="1"/>
    <col min="5033" max="5033" width="7.7109375" style="111" bestFit="1" customWidth="1"/>
    <col min="5034" max="5034" width="10.42578125" style="111" bestFit="1" customWidth="1"/>
    <col min="5035" max="5035" width="7.42578125" style="111" bestFit="1" customWidth="1"/>
    <col min="5036" max="5036" width="7.7109375" style="111" bestFit="1" customWidth="1"/>
    <col min="5037" max="5037" width="10.42578125" style="111" bestFit="1" customWidth="1"/>
    <col min="5038" max="5038" width="7.42578125" style="111" bestFit="1" customWidth="1"/>
    <col min="5039" max="5039" width="7.7109375" style="111" bestFit="1" customWidth="1"/>
    <col min="5040" max="5040" width="10.42578125" style="111" bestFit="1" customWidth="1"/>
    <col min="5041" max="5041" width="5.140625" style="111" customWidth="1"/>
    <col min="5042" max="5264" width="8.7109375" style="111"/>
    <col min="5265" max="5265" width="3.42578125" style="111" customWidth="1"/>
    <col min="5266" max="5266" width="7" style="111" customWidth="1"/>
    <col min="5267" max="5267" width="25.42578125" style="111" customWidth="1"/>
    <col min="5268" max="5268" width="12" style="111" customWidth="1"/>
    <col min="5269" max="5269" width="12.7109375" style="111" bestFit="1" customWidth="1"/>
    <col min="5270" max="5270" width="7.42578125" style="111" bestFit="1" customWidth="1"/>
    <col min="5271" max="5271" width="7.7109375" style="111" bestFit="1" customWidth="1"/>
    <col min="5272" max="5272" width="15" style="111" customWidth="1"/>
    <col min="5273" max="5273" width="7.42578125" style="111" bestFit="1" customWidth="1"/>
    <col min="5274" max="5274" width="7.7109375" style="111" bestFit="1" customWidth="1"/>
    <col min="5275" max="5275" width="15" style="111" bestFit="1" customWidth="1"/>
    <col min="5276" max="5276" width="7.42578125" style="111" bestFit="1" customWidth="1"/>
    <col min="5277" max="5277" width="7.7109375" style="111" bestFit="1" customWidth="1"/>
    <col min="5278" max="5278" width="9.42578125" style="111" bestFit="1" customWidth="1"/>
    <col min="5279" max="5279" width="8" style="111" bestFit="1" customWidth="1"/>
    <col min="5280" max="5280" width="7.7109375" style="111" bestFit="1" customWidth="1"/>
    <col min="5281" max="5281" width="10.42578125" style="111" bestFit="1" customWidth="1"/>
    <col min="5282" max="5282" width="8" style="111" bestFit="1" customWidth="1"/>
    <col min="5283" max="5283" width="7.7109375" style="111" bestFit="1" customWidth="1"/>
    <col min="5284" max="5284" width="10.42578125" style="111" bestFit="1" customWidth="1"/>
    <col min="5285" max="5285" width="7.42578125" style="111" bestFit="1" customWidth="1"/>
    <col min="5286" max="5286" width="7.7109375" style="111" bestFit="1" customWidth="1"/>
    <col min="5287" max="5287" width="10.42578125" style="111" bestFit="1" customWidth="1"/>
    <col min="5288" max="5288" width="8" style="111" bestFit="1" customWidth="1"/>
    <col min="5289" max="5289" width="7.7109375" style="111" bestFit="1" customWidth="1"/>
    <col min="5290" max="5290" width="10.42578125" style="111" bestFit="1" customWidth="1"/>
    <col min="5291" max="5291" width="7.42578125" style="111" bestFit="1" customWidth="1"/>
    <col min="5292" max="5292" width="7.7109375" style="111" bestFit="1" customWidth="1"/>
    <col min="5293" max="5293" width="10.42578125" style="111" bestFit="1" customWidth="1"/>
    <col min="5294" max="5294" width="7.42578125" style="111" bestFit="1" customWidth="1"/>
    <col min="5295" max="5295" width="7.7109375" style="111" bestFit="1" customWidth="1"/>
    <col min="5296" max="5296" width="10.42578125" style="111" bestFit="1" customWidth="1"/>
    <col min="5297" max="5297" width="5.140625" style="111" customWidth="1"/>
    <col min="5298" max="5520" width="8.7109375" style="111"/>
    <col min="5521" max="5521" width="3.42578125" style="111" customWidth="1"/>
    <col min="5522" max="5522" width="7" style="111" customWidth="1"/>
    <col min="5523" max="5523" width="25.42578125" style="111" customWidth="1"/>
    <col min="5524" max="5524" width="12" style="111" customWidth="1"/>
    <col min="5525" max="5525" width="12.7109375" style="111" bestFit="1" customWidth="1"/>
    <col min="5526" max="5526" width="7.42578125" style="111" bestFit="1" customWidth="1"/>
    <col min="5527" max="5527" width="7.7109375" style="111" bestFit="1" customWidth="1"/>
    <col min="5528" max="5528" width="15" style="111" customWidth="1"/>
    <col min="5529" max="5529" width="7.42578125" style="111" bestFit="1" customWidth="1"/>
    <col min="5530" max="5530" width="7.7109375" style="111" bestFit="1" customWidth="1"/>
    <col min="5531" max="5531" width="15" style="111" bestFit="1" customWidth="1"/>
    <col min="5532" max="5532" width="7.42578125" style="111" bestFit="1" customWidth="1"/>
    <col min="5533" max="5533" width="7.7109375" style="111" bestFit="1" customWidth="1"/>
    <col min="5534" max="5534" width="9.42578125" style="111" bestFit="1" customWidth="1"/>
    <col min="5535" max="5535" width="8" style="111" bestFit="1" customWidth="1"/>
    <col min="5536" max="5536" width="7.7109375" style="111" bestFit="1" customWidth="1"/>
    <col min="5537" max="5537" width="10.42578125" style="111" bestFit="1" customWidth="1"/>
    <col min="5538" max="5538" width="8" style="111" bestFit="1" customWidth="1"/>
    <col min="5539" max="5539" width="7.7109375" style="111" bestFit="1" customWidth="1"/>
    <col min="5540" max="5540" width="10.42578125" style="111" bestFit="1" customWidth="1"/>
    <col min="5541" max="5541" width="7.42578125" style="111" bestFit="1" customWidth="1"/>
    <col min="5542" max="5542" width="7.7109375" style="111" bestFit="1" customWidth="1"/>
    <col min="5543" max="5543" width="10.42578125" style="111" bestFit="1" customWidth="1"/>
    <col min="5544" max="5544" width="8" style="111" bestFit="1" customWidth="1"/>
    <col min="5545" max="5545" width="7.7109375" style="111" bestFit="1" customWidth="1"/>
    <col min="5546" max="5546" width="10.42578125" style="111" bestFit="1" customWidth="1"/>
    <col min="5547" max="5547" width="7.42578125" style="111" bestFit="1" customWidth="1"/>
    <col min="5548" max="5548" width="7.7109375" style="111" bestFit="1" customWidth="1"/>
    <col min="5549" max="5549" width="10.42578125" style="111" bestFit="1" customWidth="1"/>
    <col min="5550" max="5550" width="7.42578125" style="111" bestFit="1" customWidth="1"/>
    <col min="5551" max="5551" width="7.7109375" style="111" bestFit="1" customWidth="1"/>
    <col min="5552" max="5552" width="10.42578125" style="111" bestFit="1" customWidth="1"/>
    <col min="5553" max="5553" width="5.140625" style="111" customWidth="1"/>
    <col min="5554" max="5776" width="8.7109375" style="111"/>
    <col min="5777" max="5777" width="3.42578125" style="111" customWidth="1"/>
    <col min="5778" max="5778" width="7" style="111" customWidth="1"/>
    <col min="5779" max="5779" width="25.42578125" style="111" customWidth="1"/>
    <col min="5780" max="5780" width="12" style="111" customWidth="1"/>
    <col min="5781" max="5781" width="12.7109375" style="111" bestFit="1" customWidth="1"/>
    <col min="5782" max="5782" width="7.42578125" style="111" bestFit="1" customWidth="1"/>
    <col min="5783" max="5783" width="7.7109375" style="111" bestFit="1" customWidth="1"/>
    <col min="5784" max="5784" width="15" style="111" customWidth="1"/>
    <col min="5785" max="5785" width="7.42578125" style="111" bestFit="1" customWidth="1"/>
    <col min="5786" max="5786" width="7.7109375" style="111" bestFit="1" customWidth="1"/>
    <col min="5787" max="5787" width="15" style="111" bestFit="1" customWidth="1"/>
    <col min="5788" max="5788" width="7.42578125" style="111" bestFit="1" customWidth="1"/>
    <col min="5789" max="5789" width="7.7109375" style="111" bestFit="1" customWidth="1"/>
    <col min="5790" max="5790" width="9.42578125" style="111" bestFit="1" customWidth="1"/>
    <col min="5791" max="5791" width="8" style="111" bestFit="1" customWidth="1"/>
    <col min="5792" max="5792" width="7.7109375" style="111" bestFit="1" customWidth="1"/>
    <col min="5793" max="5793" width="10.42578125" style="111" bestFit="1" customWidth="1"/>
    <col min="5794" max="5794" width="8" style="111" bestFit="1" customWidth="1"/>
    <col min="5795" max="5795" width="7.7109375" style="111" bestFit="1" customWidth="1"/>
    <col min="5796" max="5796" width="10.42578125" style="111" bestFit="1" customWidth="1"/>
    <col min="5797" max="5797" width="7.42578125" style="111" bestFit="1" customWidth="1"/>
    <col min="5798" max="5798" width="7.7109375" style="111" bestFit="1" customWidth="1"/>
    <col min="5799" max="5799" width="10.42578125" style="111" bestFit="1" customWidth="1"/>
    <col min="5800" max="5800" width="8" style="111" bestFit="1" customWidth="1"/>
    <col min="5801" max="5801" width="7.7109375" style="111" bestFit="1" customWidth="1"/>
    <col min="5802" max="5802" width="10.42578125" style="111" bestFit="1" customWidth="1"/>
    <col min="5803" max="5803" width="7.42578125" style="111" bestFit="1" customWidth="1"/>
    <col min="5804" max="5804" width="7.7109375" style="111" bestFit="1" customWidth="1"/>
    <col min="5805" max="5805" width="10.42578125" style="111" bestFit="1" customWidth="1"/>
    <col min="5806" max="5806" width="7.42578125" style="111" bestFit="1" customWidth="1"/>
    <col min="5807" max="5807" width="7.7109375" style="111" bestFit="1" customWidth="1"/>
    <col min="5808" max="5808" width="10.42578125" style="111" bestFit="1" customWidth="1"/>
    <col min="5809" max="5809" width="5.140625" style="111" customWidth="1"/>
    <col min="5810" max="6032" width="8.7109375" style="111"/>
    <col min="6033" max="6033" width="3.42578125" style="111" customWidth="1"/>
    <col min="6034" max="6034" width="7" style="111" customWidth="1"/>
    <col min="6035" max="6035" width="25.42578125" style="111" customWidth="1"/>
    <col min="6036" max="6036" width="12" style="111" customWidth="1"/>
    <col min="6037" max="6037" width="12.7109375" style="111" bestFit="1" customWidth="1"/>
    <col min="6038" max="6038" width="7.42578125" style="111" bestFit="1" customWidth="1"/>
    <col min="6039" max="6039" width="7.7109375" style="111" bestFit="1" customWidth="1"/>
    <col min="6040" max="6040" width="15" style="111" customWidth="1"/>
    <col min="6041" max="6041" width="7.42578125" style="111" bestFit="1" customWidth="1"/>
    <col min="6042" max="6042" width="7.7109375" style="111" bestFit="1" customWidth="1"/>
    <col min="6043" max="6043" width="15" style="111" bestFit="1" customWidth="1"/>
    <col min="6044" max="6044" width="7.42578125" style="111" bestFit="1" customWidth="1"/>
    <col min="6045" max="6045" width="7.7109375" style="111" bestFit="1" customWidth="1"/>
    <col min="6046" max="6046" width="9.42578125" style="111" bestFit="1" customWidth="1"/>
    <col min="6047" max="6047" width="8" style="111" bestFit="1" customWidth="1"/>
    <col min="6048" max="6048" width="7.7109375" style="111" bestFit="1" customWidth="1"/>
    <col min="6049" max="6049" width="10.42578125" style="111" bestFit="1" customWidth="1"/>
    <col min="6050" max="6050" width="8" style="111" bestFit="1" customWidth="1"/>
    <col min="6051" max="6051" width="7.7109375" style="111" bestFit="1" customWidth="1"/>
    <col min="6052" max="6052" width="10.42578125" style="111" bestFit="1" customWidth="1"/>
    <col min="6053" max="6053" width="7.42578125" style="111" bestFit="1" customWidth="1"/>
    <col min="6054" max="6054" width="7.7109375" style="111" bestFit="1" customWidth="1"/>
    <col min="6055" max="6055" width="10.42578125" style="111" bestFit="1" customWidth="1"/>
    <col min="6056" max="6056" width="8" style="111" bestFit="1" customWidth="1"/>
    <col min="6057" max="6057" width="7.7109375" style="111" bestFit="1" customWidth="1"/>
    <col min="6058" max="6058" width="10.42578125" style="111" bestFit="1" customWidth="1"/>
    <col min="6059" max="6059" width="7.42578125" style="111" bestFit="1" customWidth="1"/>
    <col min="6060" max="6060" width="7.7109375" style="111" bestFit="1" customWidth="1"/>
    <col min="6061" max="6061" width="10.42578125" style="111" bestFit="1" customWidth="1"/>
    <col min="6062" max="6062" width="7.42578125" style="111" bestFit="1" customWidth="1"/>
    <col min="6063" max="6063" width="7.7109375" style="111" bestFit="1" customWidth="1"/>
    <col min="6064" max="6064" width="10.42578125" style="111" bestFit="1" customWidth="1"/>
    <col min="6065" max="6065" width="5.140625" style="111" customWidth="1"/>
    <col min="6066" max="6288" width="8.7109375" style="111"/>
    <col min="6289" max="6289" width="3.42578125" style="111" customWidth="1"/>
    <col min="6290" max="6290" width="7" style="111" customWidth="1"/>
    <col min="6291" max="6291" width="25.42578125" style="111" customWidth="1"/>
    <col min="6292" max="6292" width="12" style="111" customWidth="1"/>
    <col min="6293" max="6293" width="12.7109375" style="111" bestFit="1" customWidth="1"/>
    <col min="6294" max="6294" width="7.42578125" style="111" bestFit="1" customWidth="1"/>
    <col min="6295" max="6295" width="7.7109375" style="111" bestFit="1" customWidth="1"/>
    <col min="6296" max="6296" width="15" style="111" customWidth="1"/>
    <col min="6297" max="6297" width="7.42578125" style="111" bestFit="1" customWidth="1"/>
    <col min="6298" max="6298" width="7.7109375" style="111" bestFit="1" customWidth="1"/>
    <col min="6299" max="6299" width="15" style="111" bestFit="1" customWidth="1"/>
    <col min="6300" max="6300" width="7.42578125" style="111" bestFit="1" customWidth="1"/>
    <col min="6301" max="6301" width="7.7109375" style="111" bestFit="1" customWidth="1"/>
    <col min="6302" max="6302" width="9.42578125" style="111" bestFit="1" customWidth="1"/>
    <col min="6303" max="6303" width="8" style="111" bestFit="1" customWidth="1"/>
    <col min="6304" max="6304" width="7.7109375" style="111" bestFit="1" customWidth="1"/>
    <col min="6305" max="6305" width="10.42578125" style="111" bestFit="1" customWidth="1"/>
    <col min="6306" max="6306" width="8" style="111" bestFit="1" customWidth="1"/>
    <col min="6307" max="6307" width="7.7109375" style="111" bestFit="1" customWidth="1"/>
    <col min="6308" max="6308" width="10.42578125" style="111" bestFit="1" customWidth="1"/>
    <col min="6309" max="6309" width="7.42578125" style="111" bestFit="1" customWidth="1"/>
    <col min="6310" max="6310" width="7.7109375" style="111" bestFit="1" customWidth="1"/>
    <col min="6311" max="6311" width="10.42578125" style="111" bestFit="1" customWidth="1"/>
    <col min="6312" max="6312" width="8" style="111" bestFit="1" customWidth="1"/>
    <col min="6313" max="6313" width="7.7109375" style="111" bestFit="1" customWidth="1"/>
    <col min="6314" max="6314" width="10.42578125" style="111" bestFit="1" customWidth="1"/>
    <col min="6315" max="6315" width="7.42578125" style="111" bestFit="1" customWidth="1"/>
    <col min="6316" max="6316" width="7.7109375" style="111" bestFit="1" customWidth="1"/>
    <col min="6317" max="6317" width="10.42578125" style="111" bestFit="1" customWidth="1"/>
    <col min="6318" max="6318" width="7.42578125" style="111" bestFit="1" customWidth="1"/>
    <col min="6319" max="6319" width="7.7109375" style="111" bestFit="1" customWidth="1"/>
    <col min="6320" max="6320" width="10.42578125" style="111" bestFit="1" customWidth="1"/>
    <col min="6321" max="6321" width="5.140625" style="111" customWidth="1"/>
    <col min="6322" max="6544" width="8.7109375" style="111"/>
    <col min="6545" max="6545" width="3.42578125" style="111" customWidth="1"/>
    <col min="6546" max="6546" width="7" style="111" customWidth="1"/>
    <col min="6547" max="6547" width="25.42578125" style="111" customWidth="1"/>
    <col min="6548" max="6548" width="12" style="111" customWidth="1"/>
    <col min="6549" max="6549" width="12.7109375" style="111" bestFit="1" customWidth="1"/>
    <col min="6550" max="6550" width="7.42578125" style="111" bestFit="1" customWidth="1"/>
    <col min="6551" max="6551" width="7.7109375" style="111" bestFit="1" customWidth="1"/>
    <col min="6552" max="6552" width="15" style="111" customWidth="1"/>
    <col min="6553" max="6553" width="7.42578125" style="111" bestFit="1" customWidth="1"/>
    <col min="6554" max="6554" width="7.7109375" style="111" bestFit="1" customWidth="1"/>
    <col min="6555" max="6555" width="15" style="111" bestFit="1" customWidth="1"/>
    <col min="6556" max="6556" width="7.42578125" style="111" bestFit="1" customWidth="1"/>
    <col min="6557" max="6557" width="7.7109375" style="111" bestFit="1" customWidth="1"/>
    <col min="6558" max="6558" width="9.42578125" style="111" bestFit="1" customWidth="1"/>
    <col min="6559" max="6559" width="8" style="111" bestFit="1" customWidth="1"/>
    <col min="6560" max="6560" width="7.7109375" style="111" bestFit="1" customWidth="1"/>
    <col min="6561" max="6561" width="10.42578125" style="111" bestFit="1" customWidth="1"/>
    <col min="6562" max="6562" width="8" style="111" bestFit="1" customWidth="1"/>
    <col min="6563" max="6563" width="7.7109375" style="111" bestFit="1" customWidth="1"/>
    <col min="6564" max="6564" width="10.42578125" style="111" bestFit="1" customWidth="1"/>
    <col min="6565" max="6565" width="7.42578125" style="111" bestFit="1" customWidth="1"/>
    <col min="6566" max="6566" width="7.7109375" style="111" bestFit="1" customWidth="1"/>
    <col min="6567" max="6567" width="10.42578125" style="111" bestFit="1" customWidth="1"/>
    <col min="6568" max="6568" width="8" style="111" bestFit="1" customWidth="1"/>
    <col min="6569" max="6569" width="7.7109375" style="111" bestFit="1" customWidth="1"/>
    <col min="6570" max="6570" width="10.42578125" style="111" bestFit="1" customWidth="1"/>
    <col min="6571" max="6571" width="7.42578125" style="111" bestFit="1" customWidth="1"/>
    <col min="6572" max="6572" width="7.7109375" style="111" bestFit="1" customWidth="1"/>
    <col min="6573" max="6573" width="10.42578125" style="111" bestFit="1" customWidth="1"/>
    <col min="6574" max="6574" width="7.42578125" style="111" bestFit="1" customWidth="1"/>
    <col min="6575" max="6575" width="7.7109375" style="111" bestFit="1" customWidth="1"/>
    <col min="6576" max="6576" width="10.42578125" style="111" bestFit="1" customWidth="1"/>
    <col min="6577" max="6577" width="5.140625" style="111" customWidth="1"/>
    <col min="6578" max="6800" width="8.7109375" style="111"/>
    <col min="6801" max="6801" width="3.42578125" style="111" customWidth="1"/>
    <col min="6802" max="6802" width="7" style="111" customWidth="1"/>
    <col min="6803" max="6803" width="25.42578125" style="111" customWidth="1"/>
    <col min="6804" max="6804" width="12" style="111" customWidth="1"/>
    <col min="6805" max="6805" width="12.7109375" style="111" bestFit="1" customWidth="1"/>
    <col min="6806" max="6806" width="7.42578125" style="111" bestFit="1" customWidth="1"/>
    <col min="6807" max="6807" width="7.7109375" style="111" bestFit="1" customWidth="1"/>
    <col min="6808" max="6808" width="15" style="111" customWidth="1"/>
    <col min="6809" max="6809" width="7.42578125" style="111" bestFit="1" customWidth="1"/>
    <col min="6810" max="6810" width="7.7109375" style="111" bestFit="1" customWidth="1"/>
    <col min="6811" max="6811" width="15" style="111" bestFit="1" customWidth="1"/>
    <col min="6812" max="6812" width="7.42578125" style="111" bestFit="1" customWidth="1"/>
    <col min="6813" max="6813" width="7.7109375" style="111" bestFit="1" customWidth="1"/>
    <col min="6814" max="6814" width="9.42578125" style="111" bestFit="1" customWidth="1"/>
    <col min="6815" max="6815" width="8" style="111" bestFit="1" customWidth="1"/>
    <col min="6816" max="6816" width="7.7109375" style="111" bestFit="1" customWidth="1"/>
    <col min="6817" max="6817" width="10.42578125" style="111" bestFit="1" customWidth="1"/>
    <col min="6818" max="6818" width="8" style="111" bestFit="1" customWidth="1"/>
    <col min="6819" max="6819" width="7.7109375" style="111" bestFit="1" customWidth="1"/>
    <col min="6820" max="6820" width="10.42578125" style="111" bestFit="1" customWidth="1"/>
    <col min="6821" max="6821" width="7.42578125" style="111" bestFit="1" customWidth="1"/>
    <col min="6822" max="6822" width="7.7109375" style="111" bestFit="1" customWidth="1"/>
    <col min="6823" max="6823" width="10.42578125" style="111" bestFit="1" customWidth="1"/>
    <col min="6824" max="6824" width="8" style="111" bestFit="1" customWidth="1"/>
    <col min="6825" max="6825" width="7.7109375" style="111" bestFit="1" customWidth="1"/>
    <col min="6826" max="6826" width="10.42578125" style="111" bestFit="1" customWidth="1"/>
    <col min="6827" max="6827" width="7.42578125" style="111" bestFit="1" customWidth="1"/>
    <col min="6828" max="6828" width="7.7109375" style="111" bestFit="1" customWidth="1"/>
    <col min="6829" max="6829" width="10.42578125" style="111" bestFit="1" customWidth="1"/>
    <col min="6830" max="6830" width="7.42578125" style="111" bestFit="1" customWidth="1"/>
    <col min="6831" max="6831" width="7.7109375" style="111" bestFit="1" customWidth="1"/>
    <col min="6832" max="6832" width="10.42578125" style="111" bestFit="1" customWidth="1"/>
    <col min="6833" max="6833" width="5.140625" style="111" customWidth="1"/>
    <col min="6834" max="7056" width="8.7109375" style="111"/>
    <col min="7057" max="7057" width="3.42578125" style="111" customWidth="1"/>
    <col min="7058" max="7058" width="7" style="111" customWidth="1"/>
    <col min="7059" max="7059" width="25.42578125" style="111" customWidth="1"/>
    <col min="7060" max="7060" width="12" style="111" customWidth="1"/>
    <col min="7061" max="7061" width="12.7109375" style="111" bestFit="1" customWidth="1"/>
    <col min="7062" max="7062" width="7.42578125" style="111" bestFit="1" customWidth="1"/>
    <col min="7063" max="7063" width="7.7109375" style="111" bestFit="1" customWidth="1"/>
    <col min="7064" max="7064" width="15" style="111" customWidth="1"/>
    <col min="7065" max="7065" width="7.42578125" style="111" bestFit="1" customWidth="1"/>
    <col min="7066" max="7066" width="7.7109375" style="111" bestFit="1" customWidth="1"/>
    <col min="7067" max="7067" width="15" style="111" bestFit="1" customWidth="1"/>
    <col min="7068" max="7068" width="7.42578125" style="111" bestFit="1" customWidth="1"/>
    <col min="7069" max="7069" width="7.7109375" style="111" bestFit="1" customWidth="1"/>
    <col min="7070" max="7070" width="9.42578125" style="111" bestFit="1" customWidth="1"/>
    <col min="7071" max="7071" width="8" style="111" bestFit="1" customWidth="1"/>
    <col min="7072" max="7072" width="7.7109375" style="111" bestFit="1" customWidth="1"/>
    <col min="7073" max="7073" width="10.42578125" style="111" bestFit="1" customWidth="1"/>
    <col min="7074" max="7074" width="8" style="111" bestFit="1" customWidth="1"/>
    <col min="7075" max="7075" width="7.7109375" style="111" bestFit="1" customWidth="1"/>
    <col min="7076" max="7076" width="10.42578125" style="111" bestFit="1" customWidth="1"/>
    <col min="7077" max="7077" width="7.42578125" style="111" bestFit="1" customWidth="1"/>
    <col min="7078" max="7078" width="7.7109375" style="111" bestFit="1" customWidth="1"/>
    <col min="7079" max="7079" width="10.42578125" style="111" bestFit="1" customWidth="1"/>
    <col min="7080" max="7080" width="8" style="111" bestFit="1" customWidth="1"/>
    <col min="7081" max="7081" width="7.7109375" style="111" bestFit="1" customWidth="1"/>
    <col min="7082" max="7082" width="10.42578125" style="111" bestFit="1" customWidth="1"/>
    <col min="7083" max="7083" width="7.42578125" style="111" bestFit="1" customWidth="1"/>
    <col min="7084" max="7084" width="7.7109375" style="111" bestFit="1" customWidth="1"/>
    <col min="7085" max="7085" width="10.42578125" style="111" bestFit="1" customWidth="1"/>
    <col min="7086" max="7086" width="7.42578125" style="111" bestFit="1" customWidth="1"/>
    <col min="7087" max="7087" width="7.7109375" style="111" bestFit="1" customWidth="1"/>
    <col min="7088" max="7088" width="10.42578125" style="111" bestFit="1" customWidth="1"/>
    <col min="7089" max="7089" width="5.140625" style="111" customWidth="1"/>
    <col min="7090" max="7312" width="8.7109375" style="111"/>
    <col min="7313" max="7313" width="3.42578125" style="111" customWidth="1"/>
    <col min="7314" max="7314" width="7" style="111" customWidth="1"/>
    <col min="7315" max="7315" width="25.42578125" style="111" customWidth="1"/>
    <col min="7316" max="7316" width="12" style="111" customWidth="1"/>
    <col min="7317" max="7317" width="12.7109375" style="111" bestFit="1" customWidth="1"/>
    <col min="7318" max="7318" width="7.42578125" style="111" bestFit="1" customWidth="1"/>
    <col min="7319" max="7319" width="7.7109375" style="111" bestFit="1" customWidth="1"/>
    <col min="7320" max="7320" width="15" style="111" customWidth="1"/>
    <col min="7321" max="7321" width="7.42578125" style="111" bestFit="1" customWidth="1"/>
    <col min="7322" max="7322" width="7.7109375" style="111" bestFit="1" customWidth="1"/>
    <col min="7323" max="7323" width="15" style="111" bestFit="1" customWidth="1"/>
    <col min="7324" max="7324" width="7.42578125" style="111" bestFit="1" customWidth="1"/>
    <col min="7325" max="7325" width="7.7109375" style="111" bestFit="1" customWidth="1"/>
    <col min="7326" max="7326" width="9.42578125" style="111" bestFit="1" customWidth="1"/>
    <col min="7327" max="7327" width="8" style="111" bestFit="1" customWidth="1"/>
    <col min="7328" max="7328" width="7.7109375" style="111" bestFit="1" customWidth="1"/>
    <col min="7329" max="7329" width="10.42578125" style="111" bestFit="1" customWidth="1"/>
    <col min="7330" max="7330" width="8" style="111" bestFit="1" customWidth="1"/>
    <col min="7331" max="7331" width="7.7109375" style="111" bestFit="1" customWidth="1"/>
    <col min="7332" max="7332" width="10.42578125" style="111" bestFit="1" customWidth="1"/>
    <col min="7333" max="7333" width="7.42578125" style="111" bestFit="1" customWidth="1"/>
    <col min="7334" max="7334" width="7.7109375" style="111" bestFit="1" customWidth="1"/>
    <col min="7335" max="7335" width="10.42578125" style="111" bestFit="1" customWidth="1"/>
    <col min="7336" max="7336" width="8" style="111" bestFit="1" customWidth="1"/>
    <col min="7337" max="7337" width="7.7109375" style="111" bestFit="1" customWidth="1"/>
    <col min="7338" max="7338" width="10.42578125" style="111" bestFit="1" customWidth="1"/>
    <col min="7339" max="7339" width="7.42578125" style="111" bestFit="1" customWidth="1"/>
    <col min="7340" max="7340" width="7.7109375" style="111" bestFit="1" customWidth="1"/>
    <col min="7341" max="7341" width="10.42578125" style="111" bestFit="1" customWidth="1"/>
    <col min="7342" max="7342" width="7.42578125" style="111" bestFit="1" customWidth="1"/>
    <col min="7343" max="7343" width="7.7109375" style="111" bestFit="1" customWidth="1"/>
    <col min="7344" max="7344" width="10.42578125" style="111" bestFit="1" customWidth="1"/>
    <col min="7345" max="7345" width="5.140625" style="111" customWidth="1"/>
    <col min="7346" max="7568" width="8.7109375" style="111"/>
    <col min="7569" max="7569" width="3.42578125" style="111" customWidth="1"/>
    <col min="7570" max="7570" width="7" style="111" customWidth="1"/>
    <col min="7571" max="7571" width="25.42578125" style="111" customWidth="1"/>
    <col min="7572" max="7572" width="12" style="111" customWidth="1"/>
    <col min="7573" max="7573" width="12.7109375" style="111" bestFit="1" customWidth="1"/>
    <col min="7574" max="7574" width="7.42578125" style="111" bestFit="1" customWidth="1"/>
    <col min="7575" max="7575" width="7.7109375" style="111" bestFit="1" customWidth="1"/>
    <col min="7576" max="7576" width="15" style="111" customWidth="1"/>
    <col min="7577" max="7577" width="7.42578125" style="111" bestFit="1" customWidth="1"/>
    <col min="7578" max="7578" width="7.7109375" style="111" bestFit="1" customWidth="1"/>
    <col min="7579" max="7579" width="15" style="111" bestFit="1" customWidth="1"/>
    <col min="7580" max="7580" width="7.42578125" style="111" bestFit="1" customWidth="1"/>
    <col min="7581" max="7581" width="7.7109375" style="111" bestFit="1" customWidth="1"/>
    <col min="7582" max="7582" width="9.42578125" style="111" bestFit="1" customWidth="1"/>
    <col min="7583" max="7583" width="8" style="111" bestFit="1" customWidth="1"/>
    <col min="7584" max="7584" width="7.7109375" style="111" bestFit="1" customWidth="1"/>
    <col min="7585" max="7585" width="10.42578125" style="111" bestFit="1" customWidth="1"/>
    <col min="7586" max="7586" width="8" style="111" bestFit="1" customWidth="1"/>
    <col min="7587" max="7587" width="7.7109375" style="111" bestFit="1" customWidth="1"/>
    <col min="7588" max="7588" width="10.42578125" style="111" bestFit="1" customWidth="1"/>
    <col min="7589" max="7589" width="7.42578125" style="111" bestFit="1" customWidth="1"/>
    <col min="7590" max="7590" width="7.7109375" style="111" bestFit="1" customWidth="1"/>
    <col min="7591" max="7591" width="10.42578125" style="111" bestFit="1" customWidth="1"/>
    <col min="7592" max="7592" width="8" style="111" bestFit="1" customWidth="1"/>
    <col min="7593" max="7593" width="7.7109375" style="111" bestFit="1" customWidth="1"/>
    <col min="7594" max="7594" width="10.42578125" style="111" bestFit="1" customWidth="1"/>
    <col min="7595" max="7595" width="7.42578125" style="111" bestFit="1" customWidth="1"/>
    <col min="7596" max="7596" width="7.7109375" style="111" bestFit="1" customWidth="1"/>
    <col min="7597" max="7597" width="10.42578125" style="111" bestFit="1" customWidth="1"/>
    <col min="7598" max="7598" width="7.42578125" style="111" bestFit="1" customWidth="1"/>
    <col min="7599" max="7599" width="7.7109375" style="111" bestFit="1" customWidth="1"/>
    <col min="7600" max="7600" width="10.42578125" style="111" bestFit="1" customWidth="1"/>
    <col min="7601" max="7601" width="5.140625" style="111" customWidth="1"/>
    <col min="7602" max="7824" width="8.7109375" style="111"/>
    <col min="7825" max="7825" width="3.42578125" style="111" customWidth="1"/>
    <col min="7826" max="7826" width="7" style="111" customWidth="1"/>
    <col min="7827" max="7827" width="25.42578125" style="111" customWidth="1"/>
    <col min="7828" max="7828" width="12" style="111" customWidth="1"/>
    <col min="7829" max="7829" width="12.7109375" style="111" bestFit="1" customWidth="1"/>
    <col min="7830" max="7830" width="7.42578125" style="111" bestFit="1" customWidth="1"/>
    <col min="7831" max="7831" width="7.7109375" style="111" bestFit="1" customWidth="1"/>
    <col min="7832" max="7832" width="15" style="111" customWidth="1"/>
    <col min="7833" max="7833" width="7.42578125" style="111" bestFit="1" customWidth="1"/>
    <col min="7834" max="7834" width="7.7109375" style="111" bestFit="1" customWidth="1"/>
    <col min="7835" max="7835" width="15" style="111" bestFit="1" customWidth="1"/>
    <col min="7836" max="7836" width="7.42578125" style="111" bestFit="1" customWidth="1"/>
    <col min="7837" max="7837" width="7.7109375" style="111" bestFit="1" customWidth="1"/>
    <col min="7838" max="7838" width="9.42578125" style="111" bestFit="1" customWidth="1"/>
    <col min="7839" max="7839" width="8" style="111" bestFit="1" customWidth="1"/>
    <col min="7840" max="7840" width="7.7109375" style="111" bestFit="1" customWidth="1"/>
    <col min="7841" max="7841" width="10.42578125" style="111" bestFit="1" customWidth="1"/>
    <col min="7842" max="7842" width="8" style="111" bestFit="1" customWidth="1"/>
    <col min="7843" max="7843" width="7.7109375" style="111" bestFit="1" customWidth="1"/>
    <col min="7844" max="7844" width="10.42578125" style="111" bestFit="1" customWidth="1"/>
    <col min="7845" max="7845" width="7.42578125" style="111" bestFit="1" customWidth="1"/>
    <col min="7846" max="7846" width="7.7109375" style="111" bestFit="1" customWidth="1"/>
    <col min="7847" max="7847" width="10.42578125" style="111" bestFit="1" customWidth="1"/>
    <col min="7848" max="7848" width="8" style="111" bestFit="1" customWidth="1"/>
    <col min="7849" max="7849" width="7.7109375" style="111" bestFit="1" customWidth="1"/>
    <col min="7850" max="7850" width="10.42578125" style="111" bestFit="1" customWidth="1"/>
    <col min="7851" max="7851" width="7.42578125" style="111" bestFit="1" customWidth="1"/>
    <col min="7852" max="7852" width="7.7109375" style="111" bestFit="1" customWidth="1"/>
    <col min="7853" max="7853" width="10.42578125" style="111" bestFit="1" customWidth="1"/>
    <col min="7854" max="7854" width="7.42578125" style="111" bestFit="1" customWidth="1"/>
    <col min="7855" max="7855" width="7.7109375" style="111" bestFit="1" customWidth="1"/>
    <col min="7856" max="7856" width="10.42578125" style="111" bestFit="1" customWidth="1"/>
    <col min="7857" max="7857" width="5.140625" style="111" customWidth="1"/>
    <col min="7858" max="8080" width="8.7109375" style="111"/>
    <col min="8081" max="8081" width="3.42578125" style="111" customWidth="1"/>
    <col min="8082" max="8082" width="7" style="111" customWidth="1"/>
    <col min="8083" max="8083" width="25.42578125" style="111" customWidth="1"/>
    <col min="8084" max="8084" width="12" style="111" customWidth="1"/>
    <col min="8085" max="8085" width="12.7109375" style="111" bestFit="1" customWidth="1"/>
    <col min="8086" max="8086" width="7.42578125" style="111" bestFit="1" customWidth="1"/>
    <col min="8087" max="8087" width="7.7109375" style="111" bestFit="1" customWidth="1"/>
    <col min="8088" max="8088" width="15" style="111" customWidth="1"/>
    <col min="8089" max="8089" width="7.42578125" style="111" bestFit="1" customWidth="1"/>
    <col min="8090" max="8090" width="7.7109375" style="111" bestFit="1" customWidth="1"/>
    <col min="8091" max="8091" width="15" style="111" bestFit="1" customWidth="1"/>
    <col min="8092" max="8092" width="7.42578125" style="111" bestFit="1" customWidth="1"/>
    <col min="8093" max="8093" width="7.7109375" style="111" bestFit="1" customWidth="1"/>
    <col min="8094" max="8094" width="9.42578125" style="111" bestFit="1" customWidth="1"/>
    <col min="8095" max="8095" width="8" style="111" bestFit="1" customWidth="1"/>
    <col min="8096" max="8096" width="7.7109375" style="111" bestFit="1" customWidth="1"/>
    <col min="8097" max="8097" width="10.42578125" style="111" bestFit="1" customWidth="1"/>
    <col min="8098" max="8098" width="8" style="111" bestFit="1" customWidth="1"/>
    <col min="8099" max="8099" width="7.7109375" style="111" bestFit="1" customWidth="1"/>
    <col min="8100" max="8100" width="10.42578125" style="111" bestFit="1" customWidth="1"/>
    <col min="8101" max="8101" width="7.42578125" style="111" bestFit="1" customWidth="1"/>
    <col min="8102" max="8102" width="7.7109375" style="111" bestFit="1" customWidth="1"/>
    <col min="8103" max="8103" width="10.42578125" style="111" bestFit="1" customWidth="1"/>
    <col min="8104" max="8104" width="8" style="111" bestFit="1" customWidth="1"/>
    <col min="8105" max="8105" width="7.7109375" style="111" bestFit="1" customWidth="1"/>
    <col min="8106" max="8106" width="10.42578125" style="111" bestFit="1" customWidth="1"/>
    <col min="8107" max="8107" width="7.42578125" style="111" bestFit="1" customWidth="1"/>
    <col min="8108" max="8108" width="7.7109375" style="111" bestFit="1" customWidth="1"/>
    <col min="8109" max="8109" width="10.42578125" style="111" bestFit="1" customWidth="1"/>
    <col min="8110" max="8110" width="7.42578125" style="111" bestFit="1" customWidth="1"/>
    <col min="8111" max="8111" width="7.7109375" style="111" bestFit="1" customWidth="1"/>
    <col min="8112" max="8112" width="10.42578125" style="111" bestFit="1" customWidth="1"/>
    <col min="8113" max="8113" width="5.140625" style="111" customWidth="1"/>
    <col min="8114" max="8336" width="8.7109375" style="111"/>
    <col min="8337" max="8337" width="3.42578125" style="111" customWidth="1"/>
    <col min="8338" max="8338" width="7" style="111" customWidth="1"/>
    <col min="8339" max="8339" width="25.42578125" style="111" customWidth="1"/>
    <col min="8340" max="8340" width="12" style="111" customWidth="1"/>
    <col min="8341" max="8341" width="12.7109375" style="111" bestFit="1" customWidth="1"/>
    <col min="8342" max="8342" width="7.42578125" style="111" bestFit="1" customWidth="1"/>
    <col min="8343" max="8343" width="7.7109375" style="111" bestFit="1" customWidth="1"/>
    <col min="8344" max="8344" width="15" style="111" customWidth="1"/>
    <col min="8345" max="8345" width="7.42578125" style="111" bestFit="1" customWidth="1"/>
    <col min="8346" max="8346" width="7.7109375" style="111" bestFit="1" customWidth="1"/>
    <col min="8347" max="8347" width="15" style="111" bestFit="1" customWidth="1"/>
    <col min="8348" max="8348" width="7.42578125" style="111" bestFit="1" customWidth="1"/>
    <col min="8349" max="8349" width="7.7109375" style="111" bestFit="1" customWidth="1"/>
    <col min="8350" max="8350" width="9.42578125" style="111" bestFit="1" customWidth="1"/>
    <col min="8351" max="8351" width="8" style="111" bestFit="1" customWidth="1"/>
    <col min="8352" max="8352" width="7.7109375" style="111" bestFit="1" customWidth="1"/>
    <col min="8353" max="8353" width="10.42578125" style="111" bestFit="1" customWidth="1"/>
    <col min="8354" max="8354" width="8" style="111" bestFit="1" customWidth="1"/>
    <col min="8355" max="8355" width="7.7109375" style="111" bestFit="1" customWidth="1"/>
    <col min="8356" max="8356" width="10.42578125" style="111" bestFit="1" customWidth="1"/>
    <col min="8357" max="8357" width="7.42578125" style="111" bestFit="1" customWidth="1"/>
    <col min="8358" max="8358" width="7.7109375" style="111" bestFit="1" customWidth="1"/>
    <col min="8359" max="8359" width="10.42578125" style="111" bestFit="1" customWidth="1"/>
    <col min="8360" max="8360" width="8" style="111" bestFit="1" customWidth="1"/>
    <col min="8361" max="8361" width="7.7109375" style="111" bestFit="1" customWidth="1"/>
    <col min="8362" max="8362" width="10.42578125" style="111" bestFit="1" customWidth="1"/>
    <col min="8363" max="8363" width="7.42578125" style="111" bestFit="1" customWidth="1"/>
    <col min="8364" max="8364" width="7.7109375" style="111" bestFit="1" customWidth="1"/>
    <col min="8365" max="8365" width="10.42578125" style="111" bestFit="1" customWidth="1"/>
    <col min="8366" max="8366" width="7.42578125" style="111" bestFit="1" customWidth="1"/>
    <col min="8367" max="8367" width="7.7109375" style="111" bestFit="1" customWidth="1"/>
    <col min="8368" max="8368" width="10.42578125" style="111" bestFit="1" customWidth="1"/>
    <col min="8369" max="8369" width="5.140625" style="111" customWidth="1"/>
    <col min="8370" max="8592" width="8.7109375" style="111"/>
    <col min="8593" max="8593" width="3.42578125" style="111" customWidth="1"/>
    <col min="8594" max="8594" width="7" style="111" customWidth="1"/>
    <col min="8595" max="8595" width="25.42578125" style="111" customWidth="1"/>
    <col min="8596" max="8596" width="12" style="111" customWidth="1"/>
    <col min="8597" max="8597" width="12.7109375" style="111" bestFit="1" customWidth="1"/>
    <col min="8598" max="8598" width="7.42578125" style="111" bestFit="1" customWidth="1"/>
    <col min="8599" max="8599" width="7.7109375" style="111" bestFit="1" customWidth="1"/>
    <col min="8600" max="8600" width="15" style="111" customWidth="1"/>
    <col min="8601" max="8601" width="7.42578125" style="111" bestFit="1" customWidth="1"/>
    <col min="8602" max="8602" width="7.7109375" style="111" bestFit="1" customWidth="1"/>
    <col min="8603" max="8603" width="15" style="111" bestFit="1" customWidth="1"/>
    <col min="8604" max="8604" width="7.42578125" style="111" bestFit="1" customWidth="1"/>
    <col min="8605" max="8605" width="7.7109375" style="111" bestFit="1" customWidth="1"/>
    <col min="8606" max="8606" width="9.42578125" style="111" bestFit="1" customWidth="1"/>
    <col min="8607" max="8607" width="8" style="111" bestFit="1" customWidth="1"/>
    <col min="8608" max="8608" width="7.7109375" style="111" bestFit="1" customWidth="1"/>
    <col min="8609" max="8609" width="10.42578125" style="111" bestFit="1" customWidth="1"/>
    <col min="8610" max="8610" width="8" style="111" bestFit="1" customWidth="1"/>
    <col min="8611" max="8611" width="7.7109375" style="111" bestFit="1" customWidth="1"/>
    <col min="8612" max="8612" width="10.42578125" style="111" bestFit="1" customWidth="1"/>
    <col min="8613" max="8613" width="7.42578125" style="111" bestFit="1" customWidth="1"/>
    <col min="8614" max="8614" width="7.7109375" style="111" bestFit="1" customWidth="1"/>
    <col min="8615" max="8615" width="10.42578125" style="111" bestFit="1" customWidth="1"/>
    <col min="8616" max="8616" width="8" style="111" bestFit="1" customWidth="1"/>
    <col min="8617" max="8617" width="7.7109375" style="111" bestFit="1" customWidth="1"/>
    <col min="8618" max="8618" width="10.42578125" style="111" bestFit="1" customWidth="1"/>
    <col min="8619" max="8619" width="7.42578125" style="111" bestFit="1" customWidth="1"/>
    <col min="8620" max="8620" width="7.7109375" style="111" bestFit="1" customWidth="1"/>
    <col min="8621" max="8621" width="10.42578125" style="111" bestFit="1" customWidth="1"/>
    <col min="8622" max="8622" width="7.42578125" style="111" bestFit="1" customWidth="1"/>
    <col min="8623" max="8623" width="7.7109375" style="111" bestFit="1" customWidth="1"/>
    <col min="8624" max="8624" width="10.42578125" style="111" bestFit="1" customWidth="1"/>
    <col min="8625" max="8625" width="5.140625" style="111" customWidth="1"/>
    <col min="8626" max="8848" width="8.7109375" style="111"/>
    <col min="8849" max="8849" width="3.42578125" style="111" customWidth="1"/>
    <col min="8850" max="8850" width="7" style="111" customWidth="1"/>
    <col min="8851" max="8851" width="25.42578125" style="111" customWidth="1"/>
    <col min="8852" max="8852" width="12" style="111" customWidth="1"/>
    <col min="8853" max="8853" width="12.7109375" style="111" bestFit="1" customWidth="1"/>
    <col min="8854" max="8854" width="7.42578125" style="111" bestFit="1" customWidth="1"/>
    <col min="8855" max="8855" width="7.7109375" style="111" bestFit="1" customWidth="1"/>
    <col min="8856" max="8856" width="15" style="111" customWidth="1"/>
    <col min="8857" max="8857" width="7.42578125" style="111" bestFit="1" customWidth="1"/>
    <col min="8858" max="8858" width="7.7109375" style="111" bestFit="1" customWidth="1"/>
    <col min="8859" max="8859" width="15" style="111" bestFit="1" customWidth="1"/>
    <col min="8860" max="8860" width="7.42578125" style="111" bestFit="1" customWidth="1"/>
    <col min="8861" max="8861" width="7.7109375" style="111" bestFit="1" customWidth="1"/>
    <col min="8862" max="8862" width="9.42578125" style="111" bestFit="1" customWidth="1"/>
    <col min="8863" max="8863" width="8" style="111" bestFit="1" customWidth="1"/>
    <col min="8864" max="8864" width="7.7109375" style="111" bestFit="1" customWidth="1"/>
    <col min="8865" max="8865" width="10.42578125" style="111" bestFit="1" customWidth="1"/>
    <col min="8866" max="8866" width="8" style="111" bestFit="1" customWidth="1"/>
    <col min="8867" max="8867" width="7.7109375" style="111" bestFit="1" customWidth="1"/>
    <col min="8868" max="8868" width="10.42578125" style="111" bestFit="1" customWidth="1"/>
    <col min="8869" max="8869" width="7.42578125" style="111" bestFit="1" customWidth="1"/>
    <col min="8870" max="8870" width="7.7109375" style="111" bestFit="1" customWidth="1"/>
    <col min="8871" max="8871" width="10.42578125" style="111" bestFit="1" customWidth="1"/>
    <col min="8872" max="8872" width="8" style="111" bestFit="1" customWidth="1"/>
    <col min="8873" max="8873" width="7.7109375" style="111" bestFit="1" customWidth="1"/>
    <col min="8874" max="8874" width="10.42578125" style="111" bestFit="1" customWidth="1"/>
    <col min="8875" max="8875" width="7.42578125" style="111" bestFit="1" customWidth="1"/>
    <col min="8876" max="8876" width="7.7109375" style="111" bestFit="1" customWidth="1"/>
    <col min="8877" max="8877" width="10.42578125" style="111" bestFit="1" customWidth="1"/>
    <col min="8878" max="8878" width="7.42578125" style="111" bestFit="1" customWidth="1"/>
    <col min="8879" max="8879" width="7.7109375" style="111" bestFit="1" customWidth="1"/>
    <col min="8880" max="8880" width="10.42578125" style="111" bestFit="1" customWidth="1"/>
    <col min="8881" max="8881" width="5.140625" style="111" customWidth="1"/>
    <col min="8882" max="9104" width="8.7109375" style="111"/>
    <col min="9105" max="9105" width="3.42578125" style="111" customWidth="1"/>
    <col min="9106" max="9106" width="7" style="111" customWidth="1"/>
    <col min="9107" max="9107" width="25.42578125" style="111" customWidth="1"/>
    <col min="9108" max="9108" width="12" style="111" customWidth="1"/>
    <col min="9109" max="9109" width="12.7109375" style="111" bestFit="1" customWidth="1"/>
    <col min="9110" max="9110" width="7.42578125" style="111" bestFit="1" customWidth="1"/>
    <col min="9111" max="9111" width="7.7109375" style="111" bestFit="1" customWidth="1"/>
    <col min="9112" max="9112" width="15" style="111" customWidth="1"/>
    <col min="9113" max="9113" width="7.42578125" style="111" bestFit="1" customWidth="1"/>
    <col min="9114" max="9114" width="7.7109375" style="111" bestFit="1" customWidth="1"/>
    <col min="9115" max="9115" width="15" style="111" bestFit="1" customWidth="1"/>
    <col min="9116" max="9116" width="7.42578125" style="111" bestFit="1" customWidth="1"/>
    <col min="9117" max="9117" width="7.7109375" style="111" bestFit="1" customWidth="1"/>
    <col min="9118" max="9118" width="9.42578125" style="111" bestFit="1" customWidth="1"/>
    <col min="9119" max="9119" width="8" style="111" bestFit="1" customWidth="1"/>
    <col min="9120" max="9120" width="7.7109375" style="111" bestFit="1" customWidth="1"/>
    <col min="9121" max="9121" width="10.42578125" style="111" bestFit="1" customWidth="1"/>
    <col min="9122" max="9122" width="8" style="111" bestFit="1" customWidth="1"/>
    <col min="9123" max="9123" width="7.7109375" style="111" bestFit="1" customWidth="1"/>
    <col min="9124" max="9124" width="10.42578125" style="111" bestFit="1" customWidth="1"/>
    <col min="9125" max="9125" width="7.42578125" style="111" bestFit="1" customWidth="1"/>
    <col min="9126" max="9126" width="7.7109375" style="111" bestFit="1" customWidth="1"/>
    <col min="9127" max="9127" width="10.42578125" style="111" bestFit="1" customWidth="1"/>
    <col min="9128" max="9128" width="8" style="111" bestFit="1" customWidth="1"/>
    <col min="9129" max="9129" width="7.7109375" style="111" bestFit="1" customWidth="1"/>
    <col min="9130" max="9130" width="10.42578125" style="111" bestFit="1" customWidth="1"/>
    <col min="9131" max="9131" width="7.42578125" style="111" bestFit="1" customWidth="1"/>
    <col min="9132" max="9132" width="7.7109375" style="111" bestFit="1" customWidth="1"/>
    <col min="9133" max="9133" width="10.42578125" style="111" bestFit="1" customWidth="1"/>
    <col min="9134" max="9134" width="7.42578125" style="111" bestFit="1" customWidth="1"/>
    <col min="9135" max="9135" width="7.7109375" style="111" bestFit="1" customWidth="1"/>
    <col min="9136" max="9136" width="10.42578125" style="111" bestFit="1" customWidth="1"/>
    <col min="9137" max="9137" width="5.140625" style="111" customWidth="1"/>
    <col min="9138" max="9360" width="8.7109375" style="111"/>
    <col min="9361" max="9361" width="3.42578125" style="111" customWidth="1"/>
    <col min="9362" max="9362" width="7" style="111" customWidth="1"/>
    <col min="9363" max="9363" width="25.42578125" style="111" customWidth="1"/>
    <col min="9364" max="9364" width="12" style="111" customWidth="1"/>
    <col min="9365" max="9365" width="12.7109375" style="111" bestFit="1" customWidth="1"/>
    <col min="9366" max="9366" width="7.42578125" style="111" bestFit="1" customWidth="1"/>
    <col min="9367" max="9367" width="7.7109375" style="111" bestFit="1" customWidth="1"/>
    <col min="9368" max="9368" width="15" style="111" customWidth="1"/>
    <col min="9369" max="9369" width="7.42578125" style="111" bestFit="1" customWidth="1"/>
    <col min="9370" max="9370" width="7.7109375" style="111" bestFit="1" customWidth="1"/>
    <col min="9371" max="9371" width="15" style="111" bestFit="1" customWidth="1"/>
    <col min="9372" max="9372" width="7.42578125" style="111" bestFit="1" customWidth="1"/>
    <col min="9373" max="9373" width="7.7109375" style="111" bestFit="1" customWidth="1"/>
    <col min="9374" max="9374" width="9.42578125" style="111" bestFit="1" customWidth="1"/>
    <col min="9375" max="9375" width="8" style="111" bestFit="1" customWidth="1"/>
    <col min="9376" max="9376" width="7.7109375" style="111" bestFit="1" customWidth="1"/>
    <col min="9377" max="9377" width="10.42578125" style="111" bestFit="1" customWidth="1"/>
    <col min="9378" max="9378" width="8" style="111" bestFit="1" customWidth="1"/>
    <col min="9379" max="9379" width="7.7109375" style="111" bestFit="1" customWidth="1"/>
    <col min="9380" max="9380" width="10.42578125" style="111" bestFit="1" customWidth="1"/>
    <col min="9381" max="9381" width="7.42578125" style="111" bestFit="1" customWidth="1"/>
    <col min="9382" max="9382" width="7.7109375" style="111" bestFit="1" customWidth="1"/>
    <col min="9383" max="9383" width="10.42578125" style="111" bestFit="1" customWidth="1"/>
    <col min="9384" max="9384" width="8" style="111" bestFit="1" customWidth="1"/>
    <col min="9385" max="9385" width="7.7109375" style="111" bestFit="1" customWidth="1"/>
    <col min="9386" max="9386" width="10.42578125" style="111" bestFit="1" customWidth="1"/>
    <col min="9387" max="9387" width="7.42578125" style="111" bestFit="1" customWidth="1"/>
    <col min="9388" max="9388" width="7.7109375" style="111" bestFit="1" customWidth="1"/>
    <col min="9389" max="9389" width="10.42578125" style="111" bestFit="1" customWidth="1"/>
    <col min="9390" max="9390" width="7.42578125" style="111" bestFit="1" customWidth="1"/>
    <col min="9391" max="9391" width="7.7109375" style="111" bestFit="1" customWidth="1"/>
    <col min="9392" max="9392" width="10.42578125" style="111" bestFit="1" customWidth="1"/>
    <col min="9393" max="9393" width="5.140625" style="111" customWidth="1"/>
    <col min="9394" max="9616" width="8.7109375" style="111"/>
    <col min="9617" max="9617" width="3.42578125" style="111" customWidth="1"/>
    <col min="9618" max="9618" width="7" style="111" customWidth="1"/>
    <col min="9619" max="9619" width="25.42578125" style="111" customWidth="1"/>
    <col min="9620" max="9620" width="12" style="111" customWidth="1"/>
    <col min="9621" max="9621" width="12.7109375" style="111" bestFit="1" customWidth="1"/>
    <col min="9622" max="9622" width="7.42578125" style="111" bestFit="1" customWidth="1"/>
    <col min="9623" max="9623" width="7.7109375" style="111" bestFit="1" customWidth="1"/>
    <col min="9624" max="9624" width="15" style="111" customWidth="1"/>
    <col min="9625" max="9625" width="7.42578125" style="111" bestFit="1" customWidth="1"/>
    <col min="9626" max="9626" width="7.7109375" style="111" bestFit="1" customWidth="1"/>
    <col min="9627" max="9627" width="15" style="111" bestFit="1" customWidth="1"/>
    <col min="9628" max="9628" width="7.42578125" style="111" bestFit="1" customWidth="1"/>
    <col min="9629" max="9629" width="7.7109375" style="111" bestFit="1" customWidth="1"/>
    <col min="9630" max="9630" width="9.42578125" style="111" bestFit="1" customWidth="1"/>
    <col min="9631" max="9631" width="8" style="111" bestFit="1" customWidth="1"/>
    <col min="9632" max="9632" width="7.7109375" style="111" bestFit="1" customWidth="1"/>
    <col min="9633" max="9633" width="10.42578125" style="111" bestFit="1" customWidth="1"/>
    <col min="9634" max="9634" width="8" style="111" bestFit="1" customWidth="1"/>
    <col min="9635" max="9635" width="7.7109375" style="111" bestFit="1" customWidth="1"/>
    <col min="9636" max="9636" width="10.42578125" style="111" bestFit="1" customWidth="1"/>
    <col min="9637" max="9637" width="7.42578125" style="111" bestFit="1" customWidth="1"/>
    <col min="9638" max="9638" width="7.7109375" style="111" bestFit="1" customWidth="1"/>
    <col min="9639" max="9639" width="10.42578125" style="111" bestFit="1" customWidth="1"/>
    <col min="9640" max="9640" width="8" style="111" bestFit="1" customWidth="1"/>
    <col min="9641" max="9641" width="7.7109375" style="111" bestFit="1" customWidth="1"/>
    <col min="9642" max="9642" width="10.42578125" style="111" bestFit="1" customWidth="1"/>
    <col min="9643" max="9643" width="7.42578125" style="111" bestFit="1" customWidth="1"/>
    <col min="9644" max="9644" width="7.7109375" style="111" bestFit="1" customWidth="1"/>
    <col min="9645" max="9645" width="10.42578125" style="111" bestFit="1" customWidth="1"/>
    <col min="9646" max="9646" width="7.42578125" style="111" bestFit="1" customWidth="1"/>
    <col min="9647" max="9647" width="7.7109375" style="111" bestFit="1" customWidth="1"/>
    <col min="9648" max="9648" width="10.42578125" style="111" bestFit="1" customWidth="1"/>
    <col min="9649" max="9649" width="5.140625" style="111" customWidth="1"/>
    <col min="9650" max="9872" width="8.7109375" style="111"/>
    <col min="9873" max="9873" width="3.42578125" style="111" customWidth="1"/>
    <col min="9874" max="9874" width="7" style="111" customWidth="1"/>
    <col min="9875" max="9875" width="25.42578125" style="111" customWidth="1"/>
    <col min="9876" max="9876" width="12" style="111" customWidth="1"/>
    <col min="9877" max="9877" width="12.7109375" style="111" bestFit="1" customWidth="1"/>
    <col min="9878" max="9878" width="7.42578125" style="111" bestFit="1" customWidth="1"/>
    <col min="9879" max="9879" width="7.7109375" style="111" bestFit="1" customWidth="1"/>
    <col min="9880" max="9880" width="15" style="111" customWidth="1"/>
    <col min="9881" max="9881" width="7.42578125" style="111" bestFit="1" customWidth="1"/>
    <col min="9882" max="9882" width="7.7109375" style="111" bestFit="1" customWidth="1"/>
    <col min="9883" max="9883" width="15" style="111" bestFit="1" customWidth="1"/>
    <col min="9884" max="9884" width="7.42578125" style="111" bestFit="1" customWidth="1"/>
    <col min="9885" max="9885" width="7.7109375" style="111" bestFit="1" customWidth="1"/>
    <col min="9886" max="9886" width="9.42578125" style="111" bestFit="1" customWidth="1"/>
    <col min="9887" max="9887" width="8" style="111" bestFit="1" customWidth="1"/>
    <col min="9888" max="9888" width="7.7109375" style="111" bestFit="1" customWidth="1"/>
    <col min="9889" max="9889" width="10.42578125" style="111" bestFit="1" customWidth="1"/>
    <col min="9890" max="9890" width="8" style="111" bestFit="1" customWidth="1"/>
    <col min="9891" max="9891" width="7.7109375" style="111" bestFit="1" customWidth="1"/>
    <col min="9892" max="9892" width="10.42578125" style="111" bestFit="1" customWidth="1"/>
    <col min="9893" max="9893" width="7.42578125" style="111" bestFit="1" customWidth="1"/>
    <col min="9894" max="9894" width="7.7109375" style="111" bestFit="1" customWidth="1"/>
    <col min="9895" max="9895" width="10.42578125" style="111" bestFit="1" customWidth="1"/>
    <col min="9896" max="9896" width="8" style="111" bestFit="1" customWidth="1"/>
    <col min="9897" max="9897" width="7.7109375" style="111" bestFit="1" customWidth="1"/>
    <col min="9898" max="9898" width="10.42578125" style="111" bestFit="1" customWidth="1"/>
    <col min="9899" max="9899" width="7.42578125" style="111" bestFit="1" customWidth="1"/>
    <col min="9900" max="9900" width="7.7109375" style="111" bestFit="1" customWidth="1"/>
    <col min="9901" max="9901" width="10.42578125" style="111" bestFit="1" customWidth="1"/>
    <col min="9902" max="9902" width="7.42578125" style="111" bestFit="1" customWidth="1"/>
    <col min="9903" max="9903" width="7.7109375" style="111" bestFit="1" customWidth="1"/>
    <col min="9904" max="9904" width="10.42578125" style="111" bestFit="1" customWidth="1"/>
    <col min="9905" max="9905" width="5.140625" style="111" customWidth="1"/>
    <col min="9906" max="10128" width="8.7109375" style="111"/>
    <col min="10129" max="10129" width="3.42578125" style="111" customWidth="1"/>
    <col min="10130" max="10130" width="7" style="111" customWidth="1"/>
    <col min="10131" max="10131" width="25.42578125" style="111" customWidth="1"/>
    <col min="10132" max="10132" width="12" style="111" customWidth="1"/>
    <col min="10133" max="10133" width="12.7109375" style="111" bestFit="1" customWidth="1"/>
    <col min="10134" max="10134" width="7.42578125" style="111" bestFit="1" customWidth="1"/>
    <col min="10135" max="10135" width="7.7109375" style="111" bestFit="1" customWidth="1"/>
    <col min="10136" max="10136" width="15" style="111" customWidth="1"/>
    <col min="10137" max="10137" width="7.42578125" style="111" bestFit="1" customWidth="1"/>
    <col min="10138" max="10138" width="7.7109375" style="111" bestFit="1" customWidth="1"/>
    <col min="10139" max="10139" width="15" style="111" bestFit="1" customWidth="1"/>
    <col min="10140" max="10140" width="7.42578125" style="111" bestFit="1" customWidth="1"/>
    <col min="10141" max="10141" width="7.7109375" style="111" bestFit="1" customWidth="1"/>
    <col min="10142" max="10142" width="9.42578125" style="111" bestFit="1" customWidth="1"/>
    <col min="10143" max="10143" width="8" style="111" bestFit="1" customWidth="1"/>
    <col min="10144" max="10144" width="7.7109375" style="111" bestFit="1" customWidth="1"/>
    <col min="10145" max="10145" width="10.42578125" style="111" bestFit="1" customWidth="1"/>
    <col min="10146" max="10146" width="8" style="111" bestFit="1" customWidth="1"/>
    <col min="10147" max="10147" width="7.7109375" style="111" bestFit="1" customWidth="1"/>
    <col min="10148" max="10148" width="10.42578125" style="111" bestFit="1" customWidth="1"/>
    <col min="10149" max="10149" width="7.42578125" style="111" bestFit="1" customWidth="1"/>
    <col min="10150" max="10150" width="7.7109375" style="111" bestFit="1" customWidth="1"/>
    <col min="10151" max="10151" width="10.42578125" style="111" bestFit="1" customWidth="1"/>
    <col min="10152" max="10152" width="8" style="111" bestFit="1" customWidth="1"/>
    <col min="10153" max="10153" width="7.7109375" style="111" bestFit="1" customWidth="1"/>
    <col min="10154" max="10154" width="10.42578125" style="111" bestFit="1" customWidth="1"/>
    <col min="10155" max="10155" width="7.42578125" style="111" bestFit="1" customWidth="1"/>
    <col min="10156" max="10156" width="7.7109375" style="111" bestFit="1" customWidth="1"/>
    <col min="10157" max="10157" width="10.42578125" style="111" bestFit="1" customWidth="1"/>
    <col min="10158" max="10158" width="7.42578125" style="111" bestFit="1" customWidth="1"/>
    <col min="10159" max="10159" width="7.7109375" style="111" bestFit="1" customWidth="1"/>
    <col min="10160" max="10160" width="10.42578125" style="111" bestFit="1" customWidth="1"/>
    <col min="10161" max="10161" width="5.140625" style="111" customWidth="1"/>
    <col min="10162" max="10384" width="8.7109375" style="111"/>
    <col min="10385" max="10385" width="3.42578125" style="111" customWidth="1"/>
    <col min="10386" max="10386" width="7" style="111" customWidth="1"/>
    <col min="10387" max="10387" width="25.42578125" style="111" customWidth="1"/>
    <col min="10388" max="10388" width="12" style="111" customWidth="1"/>
    <col min="10389" max="10389" width="12.7109375" style="111" bestFit="1" customWidth="1"/>
    <col min="10390" max="10390" width="7.42578125" style="111" bestFit="1" customWidth="1"/>
    <col min="10391" max="10391" width="7.7109375" style="111" bestFit="1" customWidth="1"/>
    <col min="10392" max="10392" width="15" style="111" customWidth="1"/>
    <col min="10393" max="10393" width="7.42578125" style="111" bestFit="1" customWidth="1"/>
    <col min="10394" max="10394" width="7.7109375" style="111" bestFit="1" customWidth="1"/>
    <col min="10395" max="10395" width="15" style="111" bestFit="1" customWidth="1"/>
    <col min="10396" max="10396" width="7.42578125" style="111" bestFit="1" customWidth="1"/>
    <col min="10397" max="10397" width="7.7109375" style="111" bestFit="1" customWidth="1"/>
    <col min="10398" max="10398" width="9.42578125" style="111" bestFit="1" customWidth="1"/>
    <col min="10399" max="10399" width="8" style="111" bestFit="1" customWidth="1"/>
    <col min="10400" max="10400" width="7.7109375" style="111" bestFit="1" customWidth="1"/>
    <col min="10401" max="10401" width="10.42578125" style="111" bestFit="1" customWidth="1"/>
    <col min="10402" max="10402" width="8" style="111" bestFit="1" customWidth="1"/>
    <col min="10403" max="10403" width="7.7109375" style="111" bestFit="1" customWidth="1"/>
    <col min="10404" max="10404" width="10.42578125" style="111" bestFit="1" customWidth="1"/>
    <col min="10405" max="10405" width="7.42578125" style="111" bestFit="1" customWidth="1"/>
    <col min="10406" max="10406" width="7.7109375" style="111" bestFit="1" customWidth="1"/>
    <col min="10407" max="10407" width="10.42578125" style="111" bestFit="1" customWidth="1"/>
    <col min="10408" max="10408" width="8" style="111" bestFit="1" customWidth="1"/>
    <col min="10409" max="10409" width="7.7109375" style="111" bestFit="1" customWidth="1"/>
    <col min="10410" max="10410" width="10.42578125" style="111" bestFit="1" customWidth="1"/>
    <col min="10411" max="10411" width="7.42578125" style="111" bestFit="1" customWidth="1"/>
    <col min="10412" max="10412" width="7.7109375" style="111" bestFit="1" customWidth="1"/>
    <col min="10413" max="10413" width="10.42578125" style="111" bestFit="1" customWidth="1"/>
    <col min="10414" max="10414" width="7.42578125" style="111" bestFit="1" customWidth="1"/>
    <col min="10415" max="10415" width="7.7109375" style="111" bestFit="1" customWidth="1"/>
    <col min="10416" max="10416" width="10.42578125" style="111" bestFit="1" customWidth="1"/>
    <col min="10417" max="10417" width="5.140625" style="111" customWidth="1"/>
    <col min="10418" max="10640" width="8.7109375" style="111"/>
    <col min="10641" max="10641" width="3.42578125" style="111" customWidth="1"/>
    <col min="10642" max="10642" width="7" style="111" customWidth="1"/>
    <col min="10643" max="10643" width="25.42578125" style="111" customWidth="1"/>
    <col min="10644" max="10644" width="12" style="111" customWidth="1"/>
    <col min="10645" max="10645" width="12.7109375" style="111" bestFit="1" customWidth="1"/>
    <col min="10646" max="10646" width="7.42578125" style="111" bestFit="1" customWidth="1"/>
    <col min="10647" max="10647" width="7.7109375" style="111" bestFit="1" customWidth="1"/>
    <col min="10648" max="10648" width="15" style="111" customWidth="1"/>
    <col min="10649" max="10649" width="7.42578125" style="111" bestFit="1" customWidth="1"/>
    <col min="10650" max="10650" width="7.7109375" style="111" bestFit="1" customWidth="1"/>
    <col min="10651" max="10651" width="15" style="111" bestFit="1" customWidth="1"/>
    <col min="10652" max="10652" width="7.42578125" style="111" bestFit="1" customWidth="1"/>
    <col min="10653" max="10653" width="7.7109375" style="111" bestFit="1" customWidth="1"/>
    <col min="10654" max="10654" width="9.42578125" style="111" bestFit="1" customWidth="1"/>
    <col min="10655" max="10655" width="8" style="111" bestFit="1" customWidth="1"/>
    <col min="10656" max="10656" width="7.7109375" style="111" bestFit="1" customWidth="1"/>
    <col min="10657" max="10657" width="10.42578125" style="111" bestFit="1" customWidth="1"/>
    <col min="10658" max="10658" width="8" style="111" bestFit="1" customWidth="1"/>
    <col min="10659" max="10659" width="7.7109375" style="111" bestFit="1" customWidth="1"/>
    <col min="10660" max="10660" width="10.42578125" style="111" bestFit="1" customWidth="1"/>
    <col min="10661" max="10661" width="7.42578125" style="111" bestFit="1" customWidth="1"/>
    <col min="10662" max="10662" width="7.7109375" style="111" bestFit="1" customWidth="1"/>
    <col min="10663" max="10663" width="10.42578125" style="111" bestFit="1" customWidth="1"/>
    <col min="10664" max="10664" width="8" style="111" bestFit="1" customWidth="1"/>
    <col min="10665" max="10665" width="7.7109375" style="111" bestFit="1" customWidth="1"/>
    <col min="10666" max="10666" width="10.42578125" style="111" bestFit="1" customWidth="1"/>
    <col min="10667" max="10667" width="7.42578125" style="111" bestFit="1" customWidth="1"/>
    <col min="10668" max="10668" width="7.7109375" style="111" bestFit="1" customWidth="1"/>
    <col min="10669" max="10669" width="10.42578125" style="111" bestFit="1" customWidth="1"/>
    <col min="10670" max="10670" width="7.42578125" style="111" bestFit="1" customWidth="1"/>
    <col min="10671" max="10671" width="7.7109375" style="111" bestFit="1" customWidth="1"/>
    <col min="10672" max="10672" width="10.42578125" style="111" bestFit="1" customWidth="1"/>
    <col min="10673" max="10673" width="5.140625" style="111" customWidth="1"/>
    <col min="10674" max="10896" width="8.7109375" style="111"/>
    <col min="10897" max="10897" width="3.42578125" style="111" customWidth="1"/>
    <col min="10898" max="10898" width="7" style="111" customWidth="1"/>
    <col min="10899" max="10899" width="25.42578125" style="111" customWidth="1"/>
    <col min="10900" max="10900" width="12" style="111" customWidth="1"/>
    <col min="10901" max="10901" width="12.7109375" style="111" bestFit="1" customWidth="1"/>
    <col min="10902" max="10902" width="7.42578125" style="111" bestFit="1" customWidth="1"/>
    <col min="10903" max="10903" width="7.7109375" style="111" bestFit="1" customWidth="1"/>
    <col min="10904" max="10904" width="15" style="111" customWidth="1"/>
    <col min="10905" max="10905" width="7.42578125" style="111" bestFit="1" customWidth="1"/>
    <col min="10906" max="10906" width="7.7109375" style="111" bestFit="1" customWidth="1"/>
    <col min="10907" max="10907" width="15" style="111" bestFit="1" customWidth="1"/>
    <col min="10908" max="10908" width="7.42578125" style="111" bestFit="1" customWidth="1"/>
    <col min="10909" max="10909" width="7.7109375" style="111" bestFit="1" customWidth="1"/>
    <col min="10910" max="10910" width="9.42578125" style="111" bestFit="1" customWidth="1"/>
    <col min="10911" max="10911" width="8" style="111" bestFit="1" customWidth="1"/>
    <col min="10912" max="10912" width="7.7109375" style="111" bestFit="1" customWidth="1"/>
    <col min="10913" max="10913" width="10.42578125" style="111" bestFit="1" customWidth="1"/>
    <col min="10914" max="10914" width="8" style="111" bestFit="1" customWidth="1"/>
    <col min="10915" max="10915" width="7.7109375" style="111" bestFit="1" customWidth="1"/>
    <col min="10916" max="10916" width="10.42578125" style="111" bestFit="1" customWidth="1"/>
    <col min="10917" max="10917" width="7.42578125" style="111" bestFit="1" customWidth="1"/>
    <col min="10918" max="10918" width="7.7109375" style="111" bestFit="1" customWidth="1"/>
    <col min="10919" max="10919" width="10.42578125" style="111" bestFit="1" customWidth="1"/>
    <col min="10920" max="10920" width="8" style="111" bestFit="1" customWidth="1"/>
    <col min="10921" max="10921" width="7.7109375" style="111" bestFit="1" customWidth="1"/>
    <col min="10922" max="10922" width="10.42578125" style="111" bestFit="1" customWidth="1"/>
    <col min="10923" max="10923" width="7.42578125" style="111" bestFit="1" customWidth="1"/>
    <col min="10924" max="10924" width="7.7109375" style="111" bestFit="1" customWidth="1"/>
    <col min="10925" max="10925" width="10.42578125" style="111" bestFit="1" customWidth="1"/>
    <col min="10926" max="10926" width="7.42578125" style="111" bestFit="1" customWidth="1"/>
    <col min="10927" max="10927" width="7.7109375" style="111" bestFit="1" customWidth="1"/>
    <col min="10928" max="10928" width="10.42578125" style="111" bestFit="1" customWidth="1"/>
    <col min="10929" max="10929" width="5.140625" style="111" customWidth="1"/>
    <col min="10930" max="11152" width="8.7109375" style="111"/>
    <col min="11153" max="11153" width="3.42578125" style="111" customWidth="1"/>
    <col min="11154" max="11154" width="7" style="111" customWidth="1"/>
    <col min="11155" max="11155" width="25.42578125" style="111" customWidth="1"/>
    <col min="11156" max="11156" width="12" style="111" customWidth="1"/>
    <col min="11157" max="11157" width="12.7109375" style="111" bestFit="1" customWidth="1"/>
    <col min="11158" max="11158" width="7.42578125" style="111" bestFit="1" customWidth="1"/>
    <col min="11159" max="11159" width="7.7109375" style="111" bestFit="1" customWidth="1"/>
    <col min="11160" max="11160" width="15" style="111" customWidth="1"/>
    <col min="11161" max="11161" width="7.42578125" style="111" bestFit="1" customWidth="1"/>
    <col min="11162" max="11162" width="7.7109375" style="111" bestFit="1" customWidth="1"/>
    <col min="11163" max="11163" width="15" style="111" bestFit="1" customWidth="1"/>
    <col min="11164" max="11164" width="7.42578125" style="111" bestFit="1" customWidth="1"/>
    <col min="11165" max="11165" width="7.7109375" style="111" bestFit="1" customWidth="1"/>
    <col min="11166" max="11166" width="9.42578125" style="111" bestFit="1" customWidth="1"/>
    <col min="11167" max="11167" width="8" style="111" bestFit="1" customWidth="1"/>
    <col min="11168" max="11168" width="7.7109375" style="111" bestFit="1" customWidth="1"/>
    <col min="11169" max="11169" width="10.42578125" style="111" bestFit="1" customWidth="1"/>
    <col min="11170" max="11170" width="8" style="111" bestFit="1" customWidth="1"/>
    <col min="11171" max="11171" width="7.7109375" style="111" bestFit="1" customWidth="1"/>
    <col min="11172" max="11172" width="10.42578125" style="111" bestFit="1" customWidth="1"/>
    <col min="11173" max="11173" width="7.42578125" style="111" bestFit="1" customWidth="1"/>
    <col min="11174" max="11174" width="7.7109375" style="111" bestFit="1" customWidth="1"/>
    <col min="11175" max="11175" width="10.42578125" style="111" bestFit="1" customWidth="1"/>
    <col min="11176" max="11176" width="8" style="111" bestFit="1" customWidth="1"/>
    <col min="11177" max="11177" width="7.7109375" style="111" bestFit="1" customWidth="1"/>
    <col min="11178" max="11178" width="10.42578125" style="111" bestFit="1" customWidth="1"/>
    <col min="11179" max="11179" width="7.42578125" style="111" bestFit="1" customWidth="1"/>
    <col min="11180" max="11180" width="7.7109375" style="111" bestFit="1" customWidth="1"/>
    <col min="11181" max="11181" width="10.42578125" style="111" bestFit="1" customWidth="1"/>
    <col min="11182" max="11182" width="7.42578125" style="111" bestFit="1" customWidth="1"/>
    <col min="11183" max="11183" width="7.7109375" style="111" bestFit="1" customWidth="1"/>
    <col min="11184" max="11184" width="10.42578125" style="111" bestFit="1" customWidth="1"/>
    <col min="11185" max="11185" width="5.140625" style="111" customWidth="1"/>
    <col min="11186" max="11408" width="8.7109375" style="111"/>
    <col min="11409" max="11409" width="3.42578125" style="111" customWidth="1"/>
    <col min="11410" max="11410" width="7" style="111" customWidth="1"/>
    <col min="11411" max="11411" width="25.42578125" style="111" customWidth="1"/>
    <col min="11412" max="11412" width="12" style="111" customWidth="1"/>
    <col min="11413" max="11413" width="12.7109375" style="111" bestFit="1" customWidth="1"/>
    <col min="11414" max="11414" width="7.42578125" style="111" bestFit="1" customWidth="1"/>
    <col min="11415" max="11415" width="7.7109375" style="111" bestFit="1" customWidth="1"/>
    <col min="11416" max="11416" width="15" style="111" customWidth="1"/>
    <col min="11417" max="11417" width="7.42578125" style="111" bestFit="1" customWidth="1"/>
    <col min="11418" max="11418" width="7.7109375" style="111" bestFit="1" customWidth="1"/>
    <col min="11419" max="11419" width="15" style="111" bestFit="1" customWidth="1"/>
    <col min="11420" max="11420" width="7.42578125" style="111" bestFit="1" customWidth="1"/>
    <col min="11421" max="11421" width="7.7109375" style="111" bestFit="1" customWidth="1"/>
    <col min="11422" max="11422" width="9.42578125" style="111" bestFit="1" customWidth="1"/>
    <col min="11423" max="11423" width="8" style="111" bestFit="1" customWidth="1"/>
    <col min="11424" max="11424" width="7.7109375" style="111" bestFit="1" customWidth="1"/>
    <col min="11425" max="11425" width="10.42578125" style="111" bestFit="1" customWidth="1"/>
    <col min="11426" max="11426" width="8" style="111" bestFit="1" customWidth="1"/>
    <col min="11427" max="11427" width="7.7109375" style="111" bestFit="1" customWidth="1"/>
    <col min="11428" max="11428" width="10.42578125" style="111" bestFit="1" customWidth="1"/>
    <col min="11429" max="11429" width="7.42578125" style="111" bestFit="1" customWidth="1"/>
    <col min="11430" max="11430" width="7.7109375" style="111" bestFit="1" customWidth="1"/>
    <col min="11431" max="11431" width="10.42578125" style="111" bestFit="1" customWidth="1"/>
    <col min="11432" max="11432" width="8" style="111" bestFit="1" customWidth="1"/>
    <col min="11433" max="11433" width="7.7109375" style="111" bestFit="1" customWidth="1"/>
    <col min="11434" max="11434" width="10.42578125" style="111" bestFit="1" customWidth="1"/>
    <col min="11435" max="11435" width="7.42578125" style="111" bestFit="1" customWidth="1"/>
    <col min="11436" max="11436" width="7.7109375" style="111" bestFit="1" customWidth="1"/>
    <col min="11437" max="11437" width="10.42578125" style="111" bestFit="1" customWidth="1"/>
    <col min="11438" max="11438" width="7.42578125" style="111" bestFit="1" customWidth="1"/>
    <col min="11439" max="11439" width="7.7109375" style="111" bestFit="1" customWidth="1"/>
    <col min="11440" max="11440" width="10.42578125" style="111" bestFit="1" customWidth="1"/>
    <col min="11441" max="11441" width="5.140625" style="111" customWidth="1"/>
    <col min="11442" max="11664" width="8.7109375" style="111"/>
    <col min="11665" max="11665" width="3.42578125" style="111" customWidth="1"/>
    <col min="11666" max="11666" width="7" style="111" customWidth="1"/>
    <col min="11667" max="11667" width="25.42578125" style="111" customWidth="1"/>
    <col min="11668" max="11668" width="12" style="111" customWidth="1"/>
    <col min="11669" max="11669" width="12.7109375" style="111" bestFit="1" customWidth="1"/>
    <col min="11670" max="11670" width="7.42578125" style="111" bestFit="1" customWidth="1"/>
    <col min="11671" max="11671" width="7.7109375" style="111" bestFit="1" customWidth="1"/>
    <col min="11672" max="11672" width="15" style="111" customWidth="1"/>
    <col min="11673" max="11673" width="7.42578125" style="111" bestFit="1" customWidth="1"/>
    <col min="11674" max="11674" width="7.7109375" style="111" bestFit="1" customWidth="1"/>
    <col min="11675" max="11675" width="15" style="111" bestFit="1" customWidth="1"/>
    <col min="11676" max="11676" width="7.42578125" style="111" bestFit="1" customWidth="1"/>
    <col min="11677" max="11677" width="7.7109375" style="111" bestFit="1" customWidth="1"/>
    <col min="11678" max="11678" width="9.42578125" style="111" bestFit="1" customWidth="1"/>
    <col min="11679" max="11679" width="8" style="111" bestFit="1" customWidth="1"/>
    <col min="11680" max="11680" width="7.7109375" style="111" bestFit="1" customWidth="1"/>
    <col min="11681" max="11681" width="10.42578125" style="111" bestFit="1" customWidth="1"/>
    <col min="11682" max="11682" width="8" style="111" bestFit="1" customWidth="1"/>
    <col min="11683" max="11683" width="7.7109375" style="111" bestFit="1" customWidth="1"/>
    <col min="11684" max="11684" width="10.42578125" style="111" bestFit="1" customWidth="1"/>
    <col min="11685" max="11685" width="7.42578125" style="111" bestFit="1" customWidth="1"/>
    <col min="11686" max="11686" width="7.7109375" style="111" bestFit="1" customWidth="1"/>
    <col min="11687" max="11687" width="10.42578125" style="111" bestFit="1" customWidth="1"/>
    <col min="11688" max="11688" width="8" style="111" bestFit="1" customWidth="1"/>
    <col min="11689" max="11689" width="7.7109375" style="111" bestFit="1" customWidth="1"/>
    <col min="11690" max="11690" width="10.42578125" style="111" bestFit="1" customWidth="1"/>
    <col min="11691" max="11691" width="7.42578125" style="111" bestFit="1" customWidth="1"/>
    <col min="11692" max="11692" width="7.7109375" style="111" bestFit="1" customWidth="1"/>
    <col min="11693" max="11693" width="10.42578125" style="111" bestFit="1" customWidth="1"/>
    <col min="11694" max="11694" width="7.42578125" style="111" bestFit="1" customWidth="1"/>
    <col min="11695" max="11695" width="7.7109375" style="111" bestFit="1" customWidth="1"/>
    <col min="11696" max="11696" width="10.42578125" style="111" bestFit="1" customWidth="1"/>
    <col min="11697" max="11697" width="5.140625" style="111" customWidth="1"/>
    <col min="11698" max="11920" width="8.7109375" style="111"/>
    <col min="11921" max="11921" width="3.42578125" style="111" customWidth="1"/>
    <col min="11922" max="11922" width="7" style="111" customWidth="1"/>
    <col min="11923" max="11923" width="25.42578125" style="111" customWidth="1"/>
    <col min="11924" max="11924" width="12" style="111" customWidth="1"/>
    <col min="11925" max="11925" width="12.7109375" style="111" bestFit="1" customWidth="1"/>
    <col min="11926" max="11926" width="7.42578125" style="111" bestFit="1" customWidth="1"/>
    <col min="11927" max="11927" width="7.7109375" style="111" bestFit="1" customWidth="1"/>
    <col min="11928" max="11928" width="15" style="111" customWidth="1"/>
    <col min="11929" max="11929" width="7.42578125" style="111" bestFit="1" customWidth="1"/>
    <col min="11930" max="11930" width="7.7109375" style="111" bestFit="1" customWidth="1"/>
    <col min="11931" max="11931" width="15" style="111" bestFit="1" customWidth="1"/>
    <col min="11932" max="11932" width="7.42578125" style="111" bestFit="1" customWidth="1"/>
    <col min="11933" max="11933" width="7.7109375" style="111" bestFit="1" customWidth="1"/>
    <col min="11934" max="11934" width="9.42578125" style="111" bestFit="1" customWidth="1"/>
    <col min="11935" max="11935" width="8" style="111" bestFit="1" customWidth="1"/>
    <col min="11936" max="11936" width="7.7109375" style="111" bestFit="1" customWidth="1"/>
    <col min="11937" max="11937" width="10.42578125" style="111" bestFit="1" customWidth="1"/>
    <col min="11938" max="11938" width="8" style="111" bestFit="1" customWidth="1"/>
    <col min="11939" max="11939" width="7.7109375" style="111" bestFit="1" customWidth="1"/>
    <col min="11940" max="11940" width="10.42578125" style="111" bestFit="1" customWidth="1"/>
    <col min="11941" max="11941" width="7.42578125" style="111" bestFit="1" customWidth="1"/>
    <col min="11942" max="11942" width="7.7109375" style="111" bestFit="1" customWidth="1"/>
    <col min="11943" max="11943" width="10.42578125" style="111" bestFit="1" customWidth="1"/>
    <col min="11944" max="11944" width="8" style="111" bestFit="1" customWidth="1"/>
    <col min="11945" max="11945" width="7.7109375" style="111" bestFit="1" customWidth="1"/>
    <col min="11946" max="11946" width="10.42578125" style="111" bestFit="1" customWidth="1"/>
    <col min="11947" max="11947" width="7.42578125" style="111" bestFit="1" customWidth="1"/>
    <col min="11948" max="11948" width="7.7109375" style="111" bestFit="1" customWidth="1"/>
    <col min="11949" max="11949" width="10.42578125" style="111" bestFit="1" customWidth="1"/>
    <col min="11950" max="11950" width="7.42578125" style="111" bestFit="1" customWidth="1"/>
    <col min="11951" max="11951" width="7.7109375" style="111" bestFit="1" customWidth="1"/>
    <col min="11952" max="11952" width="10.42578125" style="111" bestFit="1" customWidth="1"/>
    <col min="11953" max="11953" width="5.140625" style="111" customWidth="1"/>
    <col min="11954" max="12176" width="8.7109375" style="111"/>
    <col min="12177" max="12177" width="3.42578125" style="111" customWidth="1"/>
    <col min="12178" max="12178" width="7" style="111" customWidth="1"/>
    <col min="12179" max="12179" width="25.42578125" style="111" customWidth="1"/>
    <col min="12180" max="12180" width="12" style="111" customWidth="1"/>
    <col min="12181" max="12181" width="12.7109375" style="111" bestFit="1" customWidth="1"/>
    <col min="12182" max="12182" width="7.42578125" style="111" bestFit="1" customWidth="1"/>
    <col min="12183" max="12183" width="7.7109375" style="111" bestFit="1" customWidth="1"/>
    <col min="12184" max="12184" width="15" style="111" customWidth="1"/>
    <col min="12185" max="12185" width="7.42578125" style="111" bestFit="1" customWidth="1"/>
    <col min="12186" max="12186" width="7.7109375" style="111" bestFit="1" customWidth="1"/>
    <col min="12187" max="12187" width="15" style="111" bestFit="1" customWidth="1"/>
    <col min="12188" max="12188" width="7.42578125" style="111" bestFit="1" customWidth="1"/>
    <col min="12189" max="12189" width="7.7109375" style="111" bestFit="1" customWidth="1"/>
    <col min="12190" max="12190" width="9.42578125" style="111" bestFit="1" customWidth="1"/>
    <col min="12191" max="12191" width="8" style="111" bestFit="1" customWidth="1"/>
    <col min="12192" max="12192" width="7.7109375" style="111" bestFit="1" customWidth="1"/>
    <col min="12193" max="12193" width="10.42578125" style="111" bestFit="1" customWidth="1"/>
    <col min="12194" max="12194" width="8" style="111" bestFit="1" customWidth="1"/>
    <col min="12195" max="12195" width="7.7109375" style="111" bestFit="1" customWidth="1"/>
    <col min="12196" max="12196" width="10.42578125" style="111" bestFit="1" customWidth="1"/>
    <col min="12197" max="12197" width="7.42578125" style="111" bestFit="1" customWidth="1"/>
    <col min="12198" max="12198" width="7.7109375" style="111" bestFit="1" customWidth="1"/>
    <col min="12199" max="12199" width="10.42578125" style="111" bestFit="1" customWidth="1"/>
    <col min="12200" max="12200" width="8" style="111" bestFit="1" customWidth="1"/>
    <col min="12201" max="12201" width="7.7109375" style="111" bestFit="1" customWidth="1"/>
    <col min="12202" max="12202" width="10.42578125" style="111" bestFit="1" customWidth="1"/>
    <col min="12203" max="12203" width="7.42578125" style="111" bestFit="1" customWidth="1"/>
    <col min="12204" max="12204" width="7.7109375" style="111" bestFit="1" customWidth="1"/>
    <col min="12205" max="12205" width="10.42578125" style="111" bestFit="1" customWidth="1"/>
    <col min="12206" max="12206" width="7.42578125" style="111" bestFit="1" customWidth="1"/>
    <col min="12207" max="12207" width="7.7109375" style="111" bestFit="1" customWidth="1"/>
    <col min="12208" max="12208" width="10.42578125" style="111" bestFit="1" customWidth="1"/>
    <col min="12209" max="12209" width="5.140625" style="111" customWidth="1"/>
    <col min="12210" max="12432" width="8.7109375" style="111"/>
    <col min="12433" max="12433" width="3.42578125" style="111" customWidth="1"/>
    <col min="12434" max="12434" width="7" style="111" customWidth="1"/>
    <col min="12435" max="12435" width="25.42578125" style="111" customWidth="1"/>
    <col min="12436" max="12436" width="12" style="111" customWidth="1"/>
    <col min="12437" max="12437" width="12.7109375" style="111" bestFit="1" customWidth="1"/>
    <col min="12438" max="12438" width="7.42578125" style="111" bestFit="1" customWidth="1"/>
    <col min="12439" max="12439" width="7.7109375" style="111" bestFit="1" customWidth="1"/>
    <col min="12440" max="12440" width="15" style="111" customWidth="1"/>
    <col min="12441" max="12441" width="7.42578125" style="111" bestFit="1" customWidth="1"/>
    <col min="12442" max="12442" width="7.7109375" style="111" bestFit="1" customWidth="1"/>
    <col min="12443" max="12443" width="15" style="111" bestFit="1" customWidth="1"/>
    <col min="12444" max="12444" width="7.42578125" style="111" bestFit="1" customWidth="1"/>
    <col min="12445" max="12445" width="7.7109375" style="111" bestFit="1" customWidth="1"/>
    <col min="12446" max="12446" width="9.42578125" style="111" bestFit="1" customWidth="1"/>
    <col min="12447" max="12447" width="8" style="111" bestFit="1" customWidth="1"/>
    <col min="12448" max="12448" width="7.7109375" style="111" bestFit="1" customWidth="1"/>
    <col min="12449" max="12449" width="10.42578125" style="111" bestFit="1" customWidth="1"/>
    <col min="12450" max="12450" width="8" style="111" bestFit="1" customWidth="1"/>
    <col min="12451" max="12451" width="7.7109375" style="111" bestFit="1" customWidth="1"/>
    <col min="12452" max="12452" width="10.42578125" style="111" bestFit="1" customWidth="1"/>
    <col min="12453" max="12453" width="7.42578125" style="111" bestFit="1" customWidth="1"/>
    <col min="12454" max="12454" width="7.7109375" style="111" bestFit="1" customWidth="1"/>
    <col min="12455" max="12455" width="10.42578125" style="111" bestFit="1" customWidth="1"/>
    <col min="12456" max="12456" width="8" style="111" bestFit="1" customWidth="1"/>
    <col min="12457" max="12457" width="7.7109375" style="111" bestFit="1" customWidth="1"/>
    <col min="12458" max="12458" width="10.42578125" style="111" bestFit="1" customWidth="1"/>
    <col min="12459" max="12459" width="7.42578125" style="111" bestFit="1" customWidth="1"/>
    <col min="12460" max="12460" width="7.7109375" style="111" bestFit="1" customWidth="1"/>
    <col min="12461" max="12461" width="10.42578125" style="111" bestFit="1" customWidth="1"/>
    <col min="12462" max="12462" width="7.42578125" style="111" bestFit="1" customWidth="1"/>
    <col min="12463" max="12463" width="7.7109375" style="111" bestFit="1" customWidth="1"/>
    <col min="12464" max="12464" width="10.42578125" style="111" bestFit="1" customWidth="1"/>
    <col min="12465" max="12465" width="5.140625" style="111" customWidth="1"/>
    <col min="12466" max="12688" width="8.7109375" style="111"/>
    <col min="12689" max="12689" width="3.42578125" style="111" customWidth="1"/>
    <col min="12690" max="12690" width="7" style="111" customWidth="1"/>
    <col min="12691" max="12691" width="25.42578125" style="111" customWidth="1"/>
    <col min="12692" max="12692" width="12" style="111" customWidth="1"/>
    <col min="12693" max="12693" width="12.7109375" style="111" bestFit="1" customWidth="1"/>
    <col min="12694" max="12694" width="7.42578125" style="111" bestFit="1" customWidth="1"/>
    <col min="12695" max="12695" width="7.7109375" style="111" bestFit="1" customWidth="1"/>
    <col min="12696" max="12696" width="15" style="111" customWidth="1"/>
    <col min="12697" max="12697" width="7.42578125" style="111" bestFit="1" customWidth="1"/>
    <col min="12698" max="12698" width="7.7109375" style="111" bestFit="1" customWidth="1"/>
    <col min="12699" max="12699" width="15" style="111" bestFit="1" customWidth="1"/>
    <col min="12700" max="12700" width="7.42578125" style="111" bestFit="1" customWidth="1"/>
    <col min="12701" max="12701" width="7.7109375" style="111" bestFit="1" customWidth="1"/>
    <col min="12702" max="12702" width="9.42578125" style="111" bestFit="1" customWidth="1"/>
    <col min="12703" max="12703" width="8" style="111" bestFit="1" customWidth="1"/>
    <col min="12704" max="12704" width="7.7109375" style="111" bestFit="1" customWidth="1"/>
    <col min="12705" max="12705" width="10.42578125" style="111" bestFit="1" customWidth="1"/>
    <col min="12706" max="12706" width="8" style="111" bestFit="1" customWidth="1"/>
    <col min="12707" max="12707" width="7.7109375" style="111" bestFit="1" customWidth="1"/>
    <col min="12708" max="12708" width="10.42578125" style="111" bestFit="1" customWidth="1"/>
    <col min="12709" max="12709" width="7.42578125" style="111" bestFit="1" customWidth="1"/>
    <col min="12710" max="12710" width="7.7109375" style="111" bestFit="1" customWidth="1"/>
    <col min="12711" max="12711" width="10.42578125" style="111" bestFit="1" customWidth="1"/>
    <col min="12712" max="12712" width="8" style="111" bestFit="1" customWidth="1"/>
    <col min="12713" max="12713" width="7.7109375" style="111" bestFit="1" customWidth="1"/>
    <col min="12714" max="12714" width="10.42578125" style="111" bestFit="1" customWidth="1"/>
    <col min="12715" max="12715" width="7.42578125" style="111" bestFit="1" customWidth="1"/>
    <col min="12716" max="12716" width="7.7109375" style="111" bestFit="1" customWidth="1"/>
    <col min="12717" max="12717" width="10.42578125" style="111" bestFit="1" customWidth="1"/>
    <col min="12718" max="12718" width="7.42578125" style="111" bestFit="1" customWidth="1"/>
    <col min="12719" max="12719" width="7.7109375" style="111" bestFit="1" customWidth="1"/>
    <col min="12720" max="12720" width="10.42578125" style="111" bestFit="1" customWidth="1"/>
    <col min="12721" max="12721" width="5.140625" style="111" customWidth="1"/>
    <col min="12722" max="12944" width="8.7109375" style="111"/>
    <col min="12945" max="12945" width="3.42578125" style="111" customWidth="1"/>
    <col min="12946" max="12946" width="7" style="111" customWidth="1"/>
    <col min="12947" max="12947" width="25.42578125" style="111" customWidth="1"/>
    <col min="12948" max="12948" width="12" style="111" customWidth="1"/>
    <col min="12949" max="12949" width="12.7109375" style="111" bestFit="1" customWidth="1"/>
    <col min="12950" max="12950" width="7.42578125" style="111" bestFit="1" customWidth="1"/>
    <col min="12951" max="12951" width="7.7109375" style="111" bestFit="1" customWidth="1"/>
    <col min="12952" max="12952" width="15" style="111" customWidth="1"/>
    <col min="12953" max="12953" width="7.42578125" style="111" bestFit="1" customWidth="1"/>
    <col min="12954" max="12954" width="7.7109375" style="111" bestFit="1" customWidth="1"/>
    <col min="12955" max="12955" width="15" style="111" bestFit="1" customWidth="1"/>
    <col min="12956" max="12956" width="7.42578125" style="111" bestFit="1" customWidth="1"/>
    <col min="12957" max="12957" width="7.7109375" style="111" bestFit="1" customWidth="1"/>
    <col min="12958" max="12958" width="9.42578125" style="111" bestFit="1" customWidth="1"/>
    <col min="12959" max="12959" width="8" style="111" bestFit="1" customWidth="1"/>
    <col min="12960" max="12960" width="7.7109375" style="111" bestFit="1" customWidth="1"/>
    <col min="12961" max="12961" width="10.42578125" style="111" bestFit="1" customWidth="1"/>
    <col min="12962" max="12962" width="8" style="111" bestFit="1" customWidth="1"/>
    <col min="12963" max="12963" width="7.7109375" style="111" bestFit="1" customWidth="1"/>
    <col min="12964" max="12964" width="10.42578125" style="111" bestFit="1" customWidth="1"/>
    <col min="12965" max="12965" width="7.42578125" style="111" bestFit="1" customWidth="1"/>
    <col min="12966" max="12966" width="7.7109375" style="111" bestFit="1" customWidth="1"/>
    <col min="12967" max="12967" width="10.42578125" style="111" bestFit="1" customWidth="1"/>
    <col min="12968" max="12968" width="8" style="111" bestFit="1" customWidth="1"/>
    <col min="12969" max="12969" width="7.7109375" style="111" bestFit="1" customWidth="1"/>
    <col min="12970" max="12970" width="10.42578125" style="111" bestFit="1" customWidth="1"/>
    <col min="12971" max="12971" width="7.42578125" style="111" bestFit="1" customWidth="1"/>
    <col min="12972" max="12972" width="7.7109375" style="111" bestFit="1" customWidth="1"/>
    <col min="12973" max="12973" width="10.42578125" style="111" bestFit="1" customWidth="1"/>
    <col min="12974" max="12974" width="7.42578125" style="111" bestFit="1" customWidth="1"/>
    <col min="12975" max="12975" width="7.7109375" style="111" bestFit="1" customWidth="1"/>
    <col min="12976" max="12976" width="10.42578125" style="111" bestFit="1" customWidth="1"/>
    <col min="12977" max="12977" width="5.140625" style="111" customWidth="1"/>
    <col min="12978" max="13200" width="8.7109375" style="111"/>
    <col min="13201" max="13201" width="3.42578125" style="111" customWidth="1"/>
    <col min="13202" max="13202" width="7" style="111" customWidth="1"/>
    <col min="13203" max="13203" width="25.42578125" style="111" customWidth="1"/>
    <col min="13204" max="13204" width="12" style="111" customWidth="1"/>
    <col min="13205" max="13205" width="12.7109375" style="111" bestFit="1" customWidth="1"/>
    <col min="13206" max="13206" width="7.42578125" style="111" bestFit="1" customWidth="1"/>
    <col min="13207" max="13207" width="7.7109375" style="111" bestFit="1" customWidth="1"/>
    <col min="13208" max="13208" width="15" style="111" customWidth="1"/>
    <col min="13209" max="13209" width="7.42578125" style="111" bestFit="1" customWidth="1"/>
    <col min="13210" max="13210" width="7.7109375" style="111" bestFit="1" customWidth="1"/>
    <col min="13211" max="13211" width="15" style="111" bestFit="1" customWidth="1"/>
    <col min="13212" max="13212" width="7.42578125" style="111" bestFit="1" customWidth="1"/>
    <col min="13213" max="13213" width="7.7109375" style="111" bestFit="1" customWidth="1"/>
    <col min="13214" max="13214" width="9.42578125" style="111" bestFit="1" customWidth="1"/>
    <col min="13215" max="13215" width="8" style="111" bestFit="1" customWidth="1"/>
    <col min="13216" max="13216" width="7.7109375" style="111" bestFit="1" customWidth="1"/>
    <col min="13217" max="13217" width="10.42578125" style="111" bestFit="1" customWidth="1"/>
    <col min="13218" max="13218" width="8" style="111" bestFit="1" customWidth="1"/>
    <col min="13219" max="13219" width="7.7109375" style="111" bestFit="1" customWidth="1"/>
    <col min="13220" max="13220" width="10.42578125" style="111" bestFit="1" customWidth="1"/>
    <col min="13221" max="13221" width="7.42578125" style="111" bestFit="1" customWidth="1"/>
    <col min="13222" max="13222" width="7.7109375" style="111" bestFit="1" customWidth="1"/>
    <col min="13223" max="13223" width="10.42578125" style="111" bestFit="1" customWidth="1"/>
    <col min="13224" max="13224" width="8" style="111" bestFit="1" customWidth="1"/>
    <col min="13225" max="13225" width="7.7109375" style="111" bestFit="1" customWidth="1"/>
    <col min="13226" max="13226" width="10.42578125" style="111" bestFit="1" customWidth="1"/>
    <col min="13227" max="13227" width="7.42578125" style="111" bestFit="1" customWidth="1"/>
    <col min="13228" max="13228" width="7.7109375" style="111" bestFit="1" customWidth="1"/>
    <col min="13229" max="13229" width="10.42578125" style="111" bestFit="1" customWidth="1"/>
    <col min="13230" max="13230" width="7.42578125" style="111" bestFit="1" customWidth="1"/>
    <col min="13231" max="13231" width="7.7109375" style="111" bestFit="1" customWidth="1"/>
    <col min="13232" max="13232" width="10.42578125" style="111" bestFit="1" customWidth="1"/>
    <col min="13233" max="13233" width="5.140625" style="111" customWidth="1"/>
    <col min="13234" max="13456" width="8.7109375" style="111"/>
    <col min="13457" max="13457" width="3.42578125" style="111" customWidth="1"/>
    <col min="13458" max="13458" width="7" style="111" customWidth="1"/>
    <col min="13459" max="13459" width="25.42578125" style="111" customWidth="1"/>
    <col min="13460" max="13460" width="12" style="111" customWidth="1"/>
    <col min="13461" max="13461" width="12.7109375" style="111" bestFit="1" customWidth="1"/>
    <col min="13462" max="13462" width="7.42578125" style="111" bestFit="1" customWidth="1"/>
    <col min="13463" max="13463" width="7.7109375" style="111" bestFit="1" customWidth="1"/>
    <col min="13464" max="13464" width="15" style="111" customWidth="1"/>
    <col min="13465" max="13465" width="7.42578125" style="111" bestFit="1" customWidth="1"/>
    <col min="13466" max="13466" width="7.7109375" style="111" bestFit="1" customWidth="1"/>
    <col min="13467" max="13467" width="15" style="111" bestFit="1" customWidth="1"/>
    <col min="13468" max="13468" width="7.42578125" style="111" bestFit="1" customWidth="1"/>
    <col min="13469" max="13469" width="7.7109375" style="111" bestFit="1" customWidth="1"/>
    <col min="13470" max="13470" width="9.42578125" style="111" bestFit="1" customWidth="1"/>
    <col min="13471" max="13471" width="8" style="111" bestFit="1" customWidth="1"/>
    <col min="13472" max="13472" width="7.7109375" style="111" bestFit="1" customWidth="1"/>
    <col min="13473" max="13473" width="10.42578125" style="111" bestFit="1" customWidth="1"/>
    <col min="13474" max="13474" width="8" style="111" bestFit="1" customWidth="1"/>
    <col min="13475" max="13475" width="7.7109375" style="111" bestFit="1" customWidth="1"/>
    <col min="13476" max="13476" width="10.42578125" style="111" bestFit="1" customWidth="1"/>
    <col min="13477" max="13477" width="7.42578125" style="111" bestFit="1" customWidth="1"/>
    <col min="13478" max="13478" width="7.7109375" style="111" bestFit="1" customWidth="1"/>
    <col min="13479" max="13479" width="10.42578125" style="111" bestFit="1" customWidth="1"/>
    <col min="13480" max="13480" width="8" style="111" bestFit="1" customWidth="1"/>
    <col min="13481" max="13481" width="7.7109375" style="111" bestFit="1" customWidth="1"/>
    <col min="13482" max="13482" width="10.42578125" style="111" bestFit="1" customWidth="1"/>
    <col min="13483" max="13483" width="7.42578125" style="111" bestFit="1" customWidth="1"/>
    <col min="13484" max="13484" width="7.7109375" style="111" bestFit="1" customWidth="1"/>
    <col min="13485" max="13485" width="10.42578125" style="111" bestFit="1" customWidth="1"/>
    <col min="13486" max="13486" width="7.42578125" style="111" bestFit="1" customWidth="1"/>
    <col min="13487" max="13487" width="7.7109375" style="111" bestFit="1" customWidth="1"/>
    <col min="13488" max="13488" width="10.42578125" style="111" bestFit="1" customWidth="1"/>
    <col min="13489" max="13489" width="5.140625" style="111" customWidth="1"/>
    <col min="13490" max="13712" width="8.7109375" style="111"/>
    <col min="13713" max="13713" width="3.42578125" style="111" customWidth="1"/>
    <col min="13714" max="13714" width="7" style="111" customWidth="1"/>
    <col min="13715" max="13715" width="25.42578125" style="111" customWidth="1"/>
    <col min="13716" max="13716" width="12" style="111" customWidth="1"/>
    <col min="13717" max="13717" width="12.7109375" style="111" bestFit="1" customWidth="1"/>
    <col min="13718" max="13718" width="7.42578125" style="111" bestFit="1" customWidth="1"/>
    <col min="13719" max="13719" width="7.7109375" style="111" bestFit="1" customWidth="1"/>
    <col min="13720" max="13720" width="15" style="111" customWidth="1"/>
    <col min="13721" max="13721" width="7.42578125" style="111" bestFit="1" customWidth="1"/>
    <col min="13722" max="13722" width="7.7109375" style="111" bestFit="1" customWidth="1"/>
    <col min="13723" max="13723" width="15" style="111" bestFit="1" customWidth="1"/>
    <col min="13724" max="13724" width="7.42578125" style="111" bestFit="1" customWidth="1"/>
    <col min="13725" max="13725" width="7.7109375" style="111" bestFit="1" customWidth="1"/>
    <col min="13726" max="13726" width="9.42578125" style="111" bestFit="1" customWidth="1"/>
    <col min="13727" max="13727" width="8" style="111" bestFit="1" customWidth="1"/>
    <col min="13728" max="13728" width="7.7109375" style="111" bestFit="1" customWidth="1"/>
    <col min="13729" max="13729" width="10.42578125" style="111" bestFit="1" customWidth="1"/>
    <col min="13730" max="13730" width="8" style="111" bestFit="1" customWidth="1"/>
    <col min="13731" max="13731" width="7.7109375" style="111" bestFit="1" customWidth="1"/>
    <col min="13732" max="13732" width="10.42578125" style="111" bestFit="1" customWidth="1"/>
    <col min="13733" max="13733" width="7.42578125" style="111" bestFit="1" customWidth="1"/>
    <col min="13734" max="13734" width="7.7109375" style="111" bestFit="1" customWidth="1"/>
    <col min="13735" max="13735" width="10.42578125" style="111" bestFit="1" customWidth="1"/>
    <col min="13736" max="13736" width="8" style="111" bestFit="1" customWidth="1"/>
    <col min="13737" max="13737" width="7.7109375" style="111" bestFit="1" customWidth="1"/>
    <col min="13738" max="13738" width="10.42578125" style="111" bestFit="1" customWidth="1"/>
    <col min="13739" max="13739" width="7.42578125" style="111" bestFit="1" customWidth="1"/>
    <col min="13740" max="13740" width="7.7109375" style="111" bestFit="1" customWidth="1"/>
    <col min="13741" max="13741" width="10.42578125" style="111" bestFit="1" customWidth="1"/>
    <col min="13742" max="13742" width="7.42578125" style="111" bestFit="1" customWidth="1"/>
    <col min="13743" max="13743" width="7.7109375" style="111" bestFit="1" customWidth="1"/>
    <col min="13744" max="13744" width="10.42578125" style="111" bestFit="1" customWidth="1"/>
    <col min="13745" max="13745" width="5.140625" style="111" customWidth="1"/>
    <col min="13746" max="13968" width="8.7109375" style="111"/>
    <col min="13969" max="13969" width="3.42578125" style="111" customWidth="1"/>
    <col min="13970" max="13970" width="7" style="111" customWidth="1"/>
    <col min="13971" max="13971" width="25.42578125" style="111" customWidth="1"/>
    <col min="13972" max="13972" width="12" style="111" customWidth="1"/>
    <col min="13973" max="13973" width="12.7109375" style="111" bestFit="1" customWidth="1"/>
    <col min="13974" max="13974" width="7.42578125" style="111" bestFit="1" customWidth="1"/>
    <col min="13975" max="13975" width="7.7109375" style="111" bestFit="1" customWidth="1"/>
    <col min="13976" max="13976" width="15" style="111" customWidth="1"/>
    <col min="13977" max="13977" width="7.42578125" style="111" bestFit="1" customWidth="1"/>
    <col min="13978" max="13978" width="7.7109375" style="111" bestFit="1" customWidth="1"/>
    <col min="13979" max="13979" width="15" style="111" bestFit="1" customWidth="1"/>
    <col min="13980" max="13980" width="7.42578125" style="111" bestFit="1" customWidth="1"/>
    <col min="13981" max="13981" width="7.7109375" style="111" bestFit="1" customWidth="1"/>
    <col min="13982" max="13982" width="9.42578125" style="111" bestFit="1" customWidth="1"/>
    <col min="13983" max="13983" width="8" style="111" bestFit="1" customWidth="1"/>
    <col min="13984" max="13984" width="7.7109375" style="111" bestFit="1" customWidth="1"/>
    <col min="13985" max="13985" width="10.42578125" style="111" bestFit="1" customWidth="1"/>
    <col min="13986" max="13986" width="8" style="111" bestFit="1" customWidth="1"/>
    <col min="13987" max="13987" width="7.7109375" style="111" bestFit="1" customWidth="1"/>
    <col min="13988" max="13988" width="10.42578125" style="111" bestFit="1" customWidth="1"/>
    <col min="13989" max="13989" width="7.42578125" style="111" bestFit="1" customWidth="1"/>
    <col min="13990" max="13990" width="7.7109375" style="111" bestFit="1" customWidth="1"/>
    <col min="13991" max="13991" width="10.42578125" style="111" bestFit="1" customWidth="1"/>
    <col min="13992" max="13992" width="8" style="111" bestFit="1" customWidth="1"/>
    <col min="13993" max="13993" width="7.7109375" style="111" bestFit="1" customWidth="1"/>
    <col min="13994" max="13994" width="10.42578125" style="111" bestFit="1" customWidth="1"/>
    <col min="13995" max="13995" width="7.42578125" style="111" bestFit="1" customWidth="1"/>
    <col min="13996" max="13996" width="7.7109375" style="111" bestFit="1" customWidth="1"/>
    <col min="13997" max="13997" width="10.42578125" style="111" bestFit="1" customWidth="1"/>
    <col min="13998" max="13998" width="7.42578125" style="111" bestFit="1" customWidth="1"/>
    <col min="13999" max="13999" width="7.7109375" style="111" bestFit="1" customWidth="1"/>
    <col min="14000" max="14000" width="10.42578125" style="111" bestFit="1" customWidth="1"/>
    <col min="14001" max="14001" width="5.140625" style="111" customWidth="1"/>
    <col min="14002" max="14224" width="8.7109375" style="111"/>
    <col min="14225" max="14225" width="3.42578125" style="111" customWidth="1"/>
    <col min="14226" max="14226" width="7" style="111" customWidth="1"/>
    <col min="14227" max="14227" width="25.42578125" style="111" customWidth="1"/>
    <col min="14228" max="14228" width="12" style="111" customWidth="1"/>
    <col min="14229" max="14229" width="12.7109375" style="111" bestFit="1" customWidth="1"/>
    <col min="14230" max="14230" width="7.42578125" style="111" bestFit="1" customWidth="1"/>
    <col min="14231" max="14231" width="7.7109375" style="111" bestFit="1" customWidth="1"/>
    <col min="14232" max="14232" width="15" style="111" customWidth="1"/>
    <col min="14233" max="14233" width="7.42578125" style="111" bestFit="1" customWidth="1"/>
    <col min="14234" max="14234" width="7.7109375" style="111" bestFit="1" customWidth="1"/>
    <col min="14235" max="14235" width="15" style="111" bestFit="1" customWidth="1"/>
    <col min="14236" max="14236" width="7.42578125" style="111" bestFit="1" customWidth="1"/>
    <col min="14237" max="14237" width="7.7109375" style="111" bestFit="1" customWidth="1"/>
    <col min="14238" max="14238" width="9.42578125" style="111" bestFit="1" customWidth="1"/>
    <col min="14239" max="14239" width="8" style="111" bestFit="1" customWidth="1"/>
    <col min="14240" max="14240" width="7.7109375" style="111" bestFit="1" customWidth="1"/>
    <col min="14241" max="14241" width="10.42578125" style="111" bestFit="1" customWidth="1"/>
    <col min="14242" max="14242" width="8" style="111" bestFit="1" customWidth="1"/>
    <col min="14243" max="14243" width="7.7109375" style="111" bestFit="1" customWidth="1"/>
    <col min="14244" max="14244" width="10.42578125" style="111" bestFit="1" customWidth="1"/>
    <col min="14245" max="14245" width="7.42578125" style="111" bestFit="1" customWidth="1"/>
    <col min="14246" max="14246" width="7.7109375" style="111" bestFit="1" customWidth="1"/>
    <col min="14247" max="14247" width="10.42578125" style="111" bestFit="1" customWidth="1"/>
    <col min="14248" max="14248" width="8" style="111" bestFit="1" customWidth="1"/>
    <col min="14249" max="14249" width="7.7109375" style="111" bestFit="1" customWidth="1"/>
    <col min="14250" max="14250" width="10.42578125" style="111" bestFit="1" customWidth="1"/>
    <col min="14251" max="14251" width="7.42578125" style="111" bestFit="1" customWidth="1"/>
    <col min="14252" max="14252" width="7.7109375" style="111" bestFit="1" customWidth="1"/>
    <col min="14253" max="14253" width="10.42578125" style="111" bestFit="1" customWidth="1"/>
    <col min="14254" max="14254" width="7.42578125" style="111" bestFit="1" customWidth="1"/>
    <col min="14255" max="14255" width="7.7109375" style="111" bestFit="1" customWidth="1"/>
    <col min="14256" max="14256" width="10.42578125" style="111" bestFit="1" customWidth="1"/>
    <col min="14257" max="14257" width="5.140625" style="111" customWidth="1"/>
    <col min="14258" max="14480" width="8.7109375" style="111"/>
    <col min="14481" max="14481" width="3.42578125" style="111" customWidth="1"/>
    <col min="14482" max="14482" width="7" style="111" customWidth="1"/>
    <col min="14483" max="14483" width="25.42578125" style="111" customWidth="1"/>
    <col min="14484" max="14484" width="12" style="111" customWidth="1"/>
    <col min="14485" max="14485" width="12.7109375" style="111" bestFit="1" customWidth="1"/>
    <col min="14486" max="14486" width="7.42578125" style="111" bestFit="1" customWidth="1"/>
    <col min="14487" max="14487" width="7.7109375" style="111" bestFit="1" customWidth="1"/>
    <col min="14488" max="14488" width="15" style="111" customWidth="1"/>
    <col min="14489" max="14489" width="7.42578125" style="111" bestFit="1" customWidth="1"/>
    <col min="14490" max="14490" width="7.7109375" style="111" bestFit="1" customWidth="1"/>
    <col min="14491" max="14491" width="15" style="111" bestFit="1" customWidth="1"/>
    <col min="14492" max="14492" width="7.42578125" style="111" bestFit="1" customWidth="1"/>
    <col min="14493" max="14493" width="7.7109375" style="111" bestFit="1" customWidth="1"/>
    <col min="14494" max="14494" width="9.42578125" style="111" bestFit="1" customWidth="1"/>
    <col min="14495" max="14495" width="8" style="111" bestFit="1" customWidth="1"/>
    <col min="14496" max="14496" width="7.7109375" style="111" bestFit="1" customWidth="1"/>
    <col min="14497" max="14497" width="10.42578125" style="111" bestFit="1" customWidth="1"/>
    <col min="14498" max="14498" width="8" style="111" bestFit="1" customWidth="1"/>
    <col min="14499" max="14499" width="7.7109375" style="111" bestFit="1" customWidth="1"/>
    <col min="14500" max="14500" width="10.42578125" style="111" bestFit="1" customWidth="1"/>
    <col min="14501" max="14501" width="7.42578125" style="111" bestFit="1" customWidth="1"/>
    <col min="14502" max="14502" width="7.7109375" style="111" bestFit="1" customWidth="1"/>
    <col min="14503" max="14503" width="10.42578125" style="111" bestFit="1" customWidth="1"/>
    <col min="14504" max="14504" width="8" style="111" bestFit="1" customWidth="1"/>
    <col min="14505" max="14505" width="7.7109375" style="111" bestFit="1" customWidth="1"/>
    <col min="14506" max="14506" width="10.42578125" style="111" bestFit="1" customWidth="1"/>
    <col min="14507" max="14507" width="7.42578125" style="111" bestFit="1" customWidth="1"/>
    <col min="14508" max="14508" width="7.7109375" style="111" bestFit="1" customWidth="1"/>
    <col min="14509" max="14509" width="10.42578125" style="111" bestFit="1" customWidth="1"/>
    <col min="14510" max="14510" width="7.42578125" style="111" bestFit="1" customWidth="1"/>
    <col min="14511" max="14511" width="7.7109375" style="111" bestFit="1" customWidth="1"/>
    <col min="14512" max="14512" width="10.42578125" style="111" bestFit="1" customWidth="1"/>
    <col min="14513" max="14513" width="5.140625" style="111" customWidth="1"/>
    <col min="14514" max="14736" width="8.7109375" style="111"/>
    <col min="14737" max="14737" width="3.42578125" style="111" customWidth="1"/>
    <col min="14738" max="14738" width="7" style="111" customWidth="1"/>
    <col min="14739" max="14739" width="25.42578125" style="111" customWidth="1"/>
    <col min="14740" max="14740" width="12" style="111" customWidth="1"/>
    <col min="14741" max="14741" width="12.7109375" style="111" bestFit="1" customWidth="1"/>
    <col min="14742" max="14742" width="7.42578125" style="111" bestFit="1" customWidth="1"/>
    <col min="14743" max="14743" width="7.7109375" style="111" bestFit="1" customWidth="1"/>
    <col min="14744" max="14744" width="15" style="111" customWidth="1"/>
    <col min="14745" max="14745" width="7.42578125" style="111" bestFit="1" customWidth="1"/>
    <col min="14746" max="14746" width="7.7109375" style="111" bestFit="1" customWidth="1"/>
    <col min="14747" max="14747" width="15" style="111" bestFit="1" customWidth="1"/>
    <col min="14748" max="14748" width="7.42578125" style="111" bestFit="1" customWidth="1"/>
    <col min="14749" max="14749" width="7.7109375" style="111" bestFit="1" customWidth="1"/>
    <col min="14750" max="14750" width="9.42578125" style="111" bestFit="1" customWidth="1"/>
    <col min="14751" max="14751" width="8" style="111" bestFit="1" customWidth="1"/>
    <col min="14752" max="14752" width="7.7109375" style="111" bestFit="1" customWidth="1"/>
    <col min="14753" max="14753" width="10.42578125" style="111" bestFit="1" customWidth="1"/>
    <col min="14754" max="14754" width="8" style="111" bestFit="1" customWidth="1"/>
    <col min="14755" max="14755" width="7.7109375" style="111" bestFit="1" customWidth="1"/>
    <col min="14756" max="14756" width="10.42578125" style="111" bestFit="1" customWidth="1"/>
    <col min="14757" max="14757" width="7.42578125" style="111" bestFit="1" customWidth="1"/>
    <col min="14758" max="14758" width="7.7109375" style="111" bestFit="1" customWidth="1"/>
    <col min="14759" max="14759" width="10.42578125" style="111" bestFit="1" customWidth="1"/>
    <col min="14760" max="14760" width="8" style="111" bestFit="1" customWidth="1"/>
    <col min="14761" max="14761" width="7.7109375" style="111" bestFit="1" customWidth="1"/>
    <col min="14762" max="14762" width="10.42578125" style="111" bestFit="1" customWidth="1"/>
    <col min="14763" max="14763" width="7.42578125" style="111" bestFit="1" customWidth="1"/>
    <col min="14764" max="14764" width="7.7109375" style="111" bestFit="1" customWidth="1"/>
    <col min="14765" max="14765" width="10.42578125" style="111" bestFit="1" customWidth="1"/>
    <col min="14766" max="14766" width="7.42578125" style="111" bestFit="1" customWidth="1"/>
    <col min="14767" max="14767" width="7.7109375" style="111" bestFit="1" customWidth="1"/>
    <col min="14768" max="14768" width="10.42578125" style="111" bestFit="1" customWidth="1"/>
    <col min="14769" max="14769" width="5.140625" style="111" customWidth="1"/>
    <col min="14770" max="14992" width="8.7109375" style="111"/>
    <col min="14993" max="14993" width="3.42578125" style="111" customWidth="1"/>
    <col min="14994" max="14994" width="7" style="111" customWidth="1"/>
    <col min="14995" max="14995" width="25.42578125" style="111" customWidth="1"/>
    <col min="14996" max="14996" width="12" style="111" customWidth="1"/>
    <col min="14997" max="14997" width="12.7109375" style="111" bestFit="1" customWidth="1"/>
    <col min="14998" max="14998" width="7.42578125" style="111" bestFit="1" customWidth="1"/>
    <col min="14999" max="14999" width="7.7109375" style="111" bestFit="1" customWidth="1"/>
    <col min="15000" max="15000" width="15" style="111" customWidth="1"/>
    <col min="15001" max="15001" width="7.42578125" style="111" bestFit="1" customWidth="1"/>
    <col min="15002" max="15002" width="7.7109375" style="111" bestFit="1" customWidth="1"/>
    <col min="15003" max="15003" width="15" style="111" bestFit="1" customWidth="1"/>
    <col min="15004" max="15004" width="7.42578125" style="111" bestFit="1" customWidth="1"/>
    <col min="15005" max="15005" width="7.7109375" style="111" bestFit="1" customWidth="1"/>
    <col min="15006" max="15006" width="9.42578125" style="111" bestFit="1" customWidth="1"/>
    <col min="15007" max="15007" width="8" style="111" bestFit="1" customWidth="1"/>
    <col min="15008" max="15008" width="7.7109375" style="111" bestFit="1" customWidth="1"/>
    <col min="15009" max="15009" width="10.42578125" style="111" bestFit="1" customWidth="1"/>
    <col min="15010" max="15010" width="8" style="111" bestFit="1" customWidth="1"/>
    <col min="15011" max="15011" width="7.7109375" style="111" bestFit="1" customWidth="1"/>
    <col min="15012" max="15012" width="10.42578125" style="111" bestFit="1" customWidth="1"/>
    <col min="15013" max="15013" width="7.42578125" style="111" bestFit="1" customWidth="1"/>
    <col min="15014" max="15014" width="7.7109375" style="111" bestFit="1" customWidth="1"/>
    <col min="15015" max="15015" width="10.42578125" style="111" bestFit="1" customWidth="1"/>
    <col min="15016" max="15016" width="8" style="111" bestFit="1" customWidth="1"/>
    <col min="15017" max="15017" width="7.7109375" style="111" bestFit="1" customWidth="1"/>
    <col min="15018" max="15018" width="10.42578125" style="111" bestFit="1" customWidth="1"/>
    <col min="15019" max="15019" width="7.42578125" style="111" bestFit="1" customWidth="1"/>
    <col min="15020" max="15020" width="7.7109375" style="111" bestFit="1" customWidth="1"/>
    <col min="15021" max="15021" width="10.42578125" style="111" bestFit="1" customWidth="1"/>
    <col min="15022" max="15022" width="7.42578125" style="111" bestFit="1" customWidth="1"/>
    <col min="15023" max="15023" width="7.7109375" style="111" bestFit="1" customWidth="1"/>
    <col min="15024" max="15024" width="10.42578125" style="111" bestFit="1" customWidth="1"/>
    <col min="15025" max="15025" width="5.140625" style="111" customWidth="1"/>
    <col min="15026" max="15248" width="8.7109375" style="111"/>
    <col min="15249" max="15249" width="3.42578125" style="111" customWidth="1"/>
    <col min="15250" max="15250" width="7" style="111" customWidth="1"/>
    <col min="15251" max="15251" width="25.42578125" style="111" customWidth="1"/>
    <col min="15252" max="15252" width="12" style="111" customWidth="1"/>
    <col min="15253" max="15253" width="12.7109375" style="111" bestFit="1" customWidth="1"/>
    <col min="15254" max="15254" width="7.42578125" style="111" bestFit="1" customWidth="1"/>
    <col min="15255" max="15255" width="7.7109375" style="111" bestFit="1" customWidth="1"/>
    <col min="15256" max="15256" width="15" style="111" customWidth="1"/>
    <col min="15257" max="15257" width="7.42578125" style="111" bestFit="1" customWidth="1"/>
    <col min="15258" max="15258" width="7.7109375" style="111" bestFit="1" customWidth="1"/>
    <col min="15259" max="15259" width="15" style="111" bestFit="1" customWidth="1"/>
    <col min="15260" max="15260" width="7.42578125" style="111" bestFit="1" customWidth="1"/>
    <col min="15261" max="15261" width="7.7109375" style="111" bestFit="1" customWidth="1"/>
    <col min="15262" max="15262" width="9.42578125" style="111" bestFit="1" customWidth="1"/>
    <col min="15263" max="15263" width="8" style="111" bestFit="1" customWidth="1"/>
    <col min="15264" max="15264" width="7.7109375" style="111" bestFit="1" customWidth="1"/>
    <col min="15265" max="15265" width="10.42578125" style="111" bestFit="1" customWidth="1"/>
    <col min="15266" max="15266" width="8" style="111" bestFit="1" customWidth="1"/>
    <col min="15267" max="15267" width="7.7109375" style="111" bestFit="1" customWidth="1"/>
    <col min="15268" max="15268" width="10.42578125" style="111" bestFit="1" customWidth="1"/>
    <col min="15269" max="15269" width="7.42578125" style="111" bestFit="1" customWidth="1"/>
    <col min="15270" max="15270" width="7.7109375" style="111" bestFit="1" customWidth="1"/>
    <col min="15271" max="15271" width="10.42578125" style="111" bestFit="1" customWidth="1"/>
    <col min="15272" max="15272" width="8" style="111" bestFit="1" customWidth="1"/>
    <col min="15273" max="15273" width="7.7109375" style="111" bestFit="1" customWidth="1"/>
    <col min="15274" max="15274" width="10.42578125" style="111" bestFit="1" customWidth="1"/>
    <col min="15275" max="15275" width="7.42578125" style="111" bestFit="1" customWidth="1"/>
    <col min="15276" max="15276" width="7.7109375" style="111" bestFit="1" customWidth="1"/>
    <col min="15277" max="15277" width="10.42578125" style="111" bestFit="1" customWidth="1"/>
    <col min="15278" max="15278" width="7.42578125" style="111" bestFit="1" customWidth="1"/>
    <col min="15279" max="15279" width="7.7109375" style="111" bestFit="1" customWidth="1"/>
    <col min="15280" max="15280" width="10.42578125" style="111" bestFit="1" customWidth="1"/>
    <col min="15281" max="15281" width="5.140625" style="111" customWidth="1"/>
    <col min="15282" max="15504" width="8.7109375" style="111"/>
    <col min="15505" max="15505" width="3.42578125" style="111" customWidth="1"/>
    <col min="15506" max="15506" width="7" style="111" customWidth="1"/>
    <col min="15507" max="15507" width="25.42578125" style="111" customWidth="1"/>
    <col min="15508" max="15508" width="12" style="111" customWidth="1"/>
    <col min="15509" max="15509" width="12.7109375" style="111" bestFit="1" customWidth="1"/>
    <col min="15510" max="15510" width="7.42578125" style="111" bestFit="1" customWidth="1"/>
    <col min="15511" max="15511" width="7.7109375" style="111" bestFit="1" customWidth="1"/>
    <col min="15512" max="15512" width="15" style="111" customWidth="1"/>
    <col min="15513" max="15513" width="7.42578125" style="111" bestFit="1" customWidth="1"/>
    <col min="15514" max="15514" width="7.7109375" style="111" bestFit="1" customWidth="1"/>
    <col min="15515" max="15515" width="15" style="111" bestFit="1" customWidth="1"/>
    <col min="15516" max="15516" width="7.42578125" style="111" bestFit="1" customWidth="1"/>
    <col min="15517" max="15517" width="7.7109375" style="111" bestFit="1" customWidth="1"/>
    <col min="15518" max="15518" width="9.42578125" style="111" bestFit="1" customWidth="1"/>
    <col min="15519" max="15519" width="8" style="111" bestFit="1" customWidth="1"/>
    <col min="15520" max="15520" width="7.7109375" style="111" bestFit="1" customWidth="1"/>
    <col min="15521" max="15521" width="10.42578125" style="111" bestFit="1" customWidth="1"/>
    <col min="15522" max="15522" width="8" style="111" bestFit="1" customWidth="1"/>
    <col min="15523" max="15523" width="7.7109375" style="111" bestFit="1" customWidth="1"/>
    <col min="15524" max="15524" width="10.42578125" style="111" bestFit="1" customWidth="1"/>
    <col min="15525" max="15525" width="7.42578125" style="111" bestFit="1" customWidth="1"/>
    <col min="15526" max="15526" width="7.7109375" style="111" bestFit="1" customWidth="1"/>
    <col min="15527" max="15527" width="10.42578125" style="111" bestFit="1" customWidth="1"/>
    <col min="15528" max="15528" width="8" style="111" bestFit="1" customWidth="1"/>
    <col min="15529" max="15529" width="7.7109375" style="111" bestFit="1" customWidth="1"/>
    <col min="15530" max="15530" width="10.42578125" style="111" bestFit="1" customWidth="1"/>
    <col min="15531" max="15531" width="7.42578125" style="111" bestFit="1" customWidth="1"/>
    <col min="15532" max="15532" width="7.7109375" style="111" bestFit="1" customWidth="1"/>
    <col min="15533" max="15533" width="10.42578125" style="111" bestFit="1" customWidth="1"/>
    <col min="15534" max="15534" width="7.42578125" style="111" bestFit="1" customWidth="1"/>
    <col min="15535" max="15535" width="7.7109375" style="111" bestFit="1" customWidth="1"/>
    <col min="15536" max="15536" width="10.42578125" style="111" bestFit="1" customWidth="1"/>
    <col min="15537" max="15537" width="5.140625" style="111" customWidth="1"/>
    <col min="15538" max="15760" width="8.7109375" style="111"/>
    <col min="15761" max="15761" width="3.42578125" style="111" customWidth="1"/>
    <col min="15762" max="15762" width="7" style="111" customWidth="1"/>
    <col min="15763" max="15763" width="25.42578125" style="111" customWidth="1"/>
    <col min="15764" max="15764" width="12" style="111" customWidth="1"/>
    <col min="15765" max="15765" width="12.7109375" style="111" bestFit="1" customWidth="1"/>
    <col min="15766" max="15766" width="7.42578125" style="111" bestFit="1" customWidth="1"/>
    <col min="15767" max="15767" width="7.7109375" style="111" bestFit="1" customWidth="1"/>
    <col min="15768" max="15768" width="15" style="111" customWidth="1"/>
    <col min="15769" max="15769" width="7.42578125" style="111" bestFit="1" customWidth="1"/>
    <col min="15770" max="15770" width="7.7109375" style="111" bestFit="1" customWidth="1"/>
    <col min="15771" max="15771" width="15" style="111" bestFit="1" customWidth="1"/>
    <col min="15772" max="15772" width="7.42578125" style="111" bestFit="1" customWidth="1"/>
    <col min="15773" max="15773" width="7.7109375" style="111" bestFit="1" customWidth="1"/>
    <col min="15774" max="15774" width="9.42578125" style="111" bestFit="1" customWidth="1"/>
    <col min="15775" max="15775" width="8" style="111" bestFit="1" customWidth="1"/>
    <col min="15776" max="15776" width="7.7109375" style="111" bestFit="1" customWidth="1"/>
    <col min="15777" max="15777" width="10.42578125" style="111" bestFit="1" customWidth="1"/>
    <col min="15778" max="15778" width="8" style="111" bestFit="1" customWidth="1"/>
    <col min="15779" max="15779" width="7.7109375" style="111" bestFit="1" customWidth="1"/>
    <col min="15780" max="15780" width="10.42578125" style="111" bestFit="1" customWidth="1"/>
    <col min="15781" max="15781" width="7.42578125" style="111" bestFit="1" customWidth="1"/>
    <col min="15782" max="15782" width="7.7109375" style="111" bestFit="1" customWidth="1"/>
    <col min="15783" max="15783" width="10.42578125" style="111" bestFit="1" customWidth="1"/>
    <col min="15784" max="15784" width="8" style="111" bestFit="1" customWidth="1"/>
    <col min="15785" max="15785" width="7.7109375" style="111" bestFit="1" customWidth="1"/>
    <col min="15786" max="15786" width="10.42578125" style="111" bestFit="1" customWidth="1"/>
    <col min="15787" max="15787" width="7.42578125" style="111" bestFit="1" customWidth="1"/>
    <col min="15788" max="15788" width="7.7109375" style="111" bestFit="1" customWidth="1"/>
    <col min="15789" max="15789" width="10.42578125" style="111" bestFit="1" customWidth="1"/>
    <col min="15790" max="15790" width="7.42578125" style="111" bestFit="1" customWidth="1"/>
    <col min="15791" max="15791" width="7.7109375" style="111" bestFit="1" customWidth="1"/>
    <col min="15792" max="15792" width="10.42578125" style="111" bestFit="1" customWidth="1"/>
    <col min="15793" max="15793" width="5.140625" style="111" customWidth="1"/>
    <col min="15794" max="16016" width="8.7109375" style="111"/>
    <col min="16017" max="16017" width="3.42578125" style="111" customWidth="1"/>
    <col min="16018" max="16018" width="7" style="111" customWidth="1"/>
    <col min="16019" max="16019" width="25.42578125" style="111" customWidth="1"/>
    <col min="16020" max="16020" width="12" style="111" customWidth="1"/>
    <col min="16021" max="16021" width="12.7109375" style="111" bestFit="1" customWidth="1"/>
    <col min="16022" max="16022" width="7.42578125" style="111" bestFit="1" customWidth="1"/>
    <col min="16023" max="16023" width="7.7109375" style="111" bestFit="1" customWidth="1"/>
    <col min="16024" max="16024" width="15" style="111" customWidth="1"/>
    <col min="16025" max="16025" width="7.42578125" style="111" bestFit="1" customWidth="1"/>
    <col min="16026" max="16026" width="7.7109375" style="111" bestFit="1" customWidth="1"/>
    <col min="16027" max="16027" width="15" style="111" bestFit="1" customWidth="1"/>
    <col min="16028" max="16028" width="7.42578125" style="111" bestFit="1" customWidth="1"/>
    <col min="16029" max="16029" width="7.7109375" style="111" bestFit="1" customWidth="1"/>
    <col min="16030" max="16030" width="9.42578125" style="111" bestFit="1" customWidth="1"/>
    <col min="16031" max="16031" width="8" style="111" bestFit="1" customWidth="1"/>
    <col min="16032" max="16032" width="7.7109375" style="111" bestFit="1" customWidth="1"/>
    <col min="16033" max="16033" width="10.42578125" style="111" bestFit="1" customWidth="1"/>
    <col min="16034" max="16034" width="8" style="111" bestFit="1" customWidth="1"/>
    <col min="16035" max="16035" width="7.7109375" style="111" bestFit="1" customWidth="1"/>
    <col min="16036" max="16036" width="10.42578125" style="111" bestFit="1" customWidth="1"/>
    <col min="16037" max="16037" width="7.42578125" style="111" bestFit="1" customWidth="1"/>
    <col min="16038" max="16038" width="7.7109375" style="111" bestFit="1" customWidth="1"/>
    <col min="16039" max="16039" width="10.42578125" style="111" bestFit="1" customWidth="1"/>
    <col min="16040" max="16040" width="8" style="111" bestFit="1" customWidth="1"/>
    <col min="16041" max="16041" width="7.7109375" style="111" bestFit="1" customWidth="1"/>
    <col min="16042" max="16042" width="10.42578125" style="111" bestFit="1" customWidth="1"/>
    <col min="16043" max="16043" width="7.42578125" style="111" bestFit="1" customWidth="1"/>
    <col min="16044" max="16044" width="7.7109375" style="111" bestFit="1" customWidth="1"/>
    <col min="16045" max="16045" width="10.42578125" style="111" bestFit="1" customWidth="1"/>
    <col min="16046" max="16046" width="7.42578125" style="111" bestFit="1" customWidth="1"/>
    <col min="16047" max="16047" width="7.7109375" style="111" bestFit="1" customWidth="1"/>
    <col min="16048" max="16048" width="10.42578125" style="111" bestFit="1" customWidth="1"/>
    <col min="16049" max="16049" width="5.140625" style="111" customWidth="1"/>
    <col min="16050" max="16252" width="8.7109375" style="111"/>
    <col min="16253" max="16259" width="9.140625" style="111" customWidth="1"/>
    <col min="16260" max="16384" width="8.7109375" style="111"/>
  </cols>
  <sheetData>
    <row r="1" spans="2:13" s="109" customFormat="1" ht="16.5" thickBot="1">
      <c r="B1" s="702">
        <f>QQP!G44</f>
        <v>0</v>
      </c>
      <c r="C1" s="703"/>
      <c r="D1" s="296"/>
      <c r="E1" s="297"/>
      <c r="F1" s="107"/>
      <c r="G1" s="704"/>
      <c r="H1" s="704"/>
      <c r="I1" s="704"/>
      <c r="J1" s="108"/>
    </row>
    <row r="2" spans="2:13" ht="49.5" customHeight="1" thickBot="1">
      <c r="B2" s="705"/>
      <c r="C2" s="706"/>
      <c r="D2" s="706"/>
      <c r="E2" s="707"/>
      <c r="F2" s="110"/>
      <c r="G2" s="708" t="s">
        <v>200</v>
      </c>
      <c r="H2" s="709"/>
      <c r="I2" s="710"/>
    </row>
    <row r="3" spans="2:13" ht="8.25" customHeight="1">
      <c r="B3" s="712"/>
      <c r="C3" s="712"/>
      <c r="D3" s="712"/>
      <c r="E3" s="712"/>
      <c r="F3" s="115"/>
      <c r="G3" s="713"/>
      <c r="H3" s="714"/>
      <c r="I3" s="116"/>
    </row>
    <row r="4" spans="2:13" ht="8.25" customHeight="1" thickBot="1">
      <c r="B4" s="117"/>
      <c r="C4" s="117"/>
      <c r="D4" s="117"/>
      <c r="E4" s="117"/>
      <c r="F4" s="115"/>
      <c r="G4" s="121"/>
      <c r="H4" s="122"/>
      <c r="I4" s="116"/>
    </row>
    <row r="5" spans="2:13" ht="21.95" customHeight="1" thickBot="1">
      <c r="B5" s="699" t="s">
        <v>114</v>
      </c>
      <c r="C5" s="700"/>
      <c r="D5" s="700"/>
      <c r="E5" s="701"/>
      <c r="F5" s="123"/>
      <c r="G5" s="715"/>
      <c r="H5" s="715"/>
      <c r="I5" s="715"/>
    </row>
    <row r="6" spans="2:13" s="127" customFormat="1" ht="21.95" customHeight="1" thickBot="1">
      <c r="B6" s="258" t="s">
        <v>163</v>
      </c>
      <c r="C6" s="259" t="s">
        <v>169</v>
      </c>
      <c r="D6" s="260" t="s">
        <v>30</v>
      </c>
      <c r="E6" s="261" t="s">
        <v>31</v>
      </c>
      <c r="F6" s="124"/>
      <c r="G6" s="258" t="s">
        <v>6</v>
      </c>
      <c r="H6" s="261" t="s">
        <v>32</v>
      </c>
      <c r="I6" s="262" t="s">
        <v>5</v>
      </c>
      <c r="J6" s="125"/>
      <c r="K6" s="126"/>
    </row>
    <row r="7" spans="2:13" s="109" customFormat="1" ht="21.95" customHeight="1" outlineLevel="1">
      <c r="B7" s="128" t="str">
        <f>'CPU  1'!B7</f>
        <v>P01</v>
      </c>
      <c r="C7" s="129" t="str">
        <f>'CPU  1'!C7</f>
        <v>Supervisor</v>
      </c>
      <c r="D7" s="130" t="str">
        <f>'CPU  1'!D7</f>
        <v>hh</v>
      </c>
      <c r="E7" s="131">
        <f>'CPU  1'!E7</f>
        <v>75.068181818181813</v>
      </c>
      <c r="F7" s="124"/>
      <c r="G7" s="374"/>
      <c r="H7" s="375"/>
      <c r="I7" s="376">
        <f>'CPU  1'!AG7+'CPU  2'!O7+'CPU  3'!AA7+'CPU  4'!AA7+'CPU  5'!U7</f>
        <v>0</v>
      </c>
      <c r="J7" s="138" t="e">
        <f t="shared" ref="J7:J22" si="0">I7/$I$162</f>
        <v>#DIV/0!</v>
      </c>
      <c r="K7" s="139"/>
    </row>
    <row r="8" spans="2:13" s="109" customFormat="1" ht="21.95" customHeight="1" outlineLevel="1">
      <c r="B8" s="128" t="str">
        <f>'CPU  1'!B8</f>
        <v>P02</v>
      </c>
      <c r="C8" s="140" t="str">
        <f>'CPU  1'!C8</f>
        <v>Encarregado</v>
      </c>
      <c r="D8" s="141" t="str">
        <f>'CPU  1'!D8</f>
        <v>hh</v>
      </c>
      <c r="E8" s="131">
        <f>'CPU  1'!E8</f>
        <v>40.036363636363632</v>
      </c>
      <c r="F8" s="143"/>
      <c r="G8" s="374"/>
      <c r="H8" s="375"/>
      <c r="I8" s="376">
        <f>'CPU  1'!AG8+'CPU  2'!O8+'CPU  3'!AA8+'CPU  4'!AA8+'CPU  5'!U8</f>
        <v>0</v>
      </c>
      <c r="J8" s="138" t="e">
        <f t="shared" si="0"/>
        <v>#DIV/0!</v>
      </c>
    </row>
    <row r="9" spans="2:13" s="109" customFormat="1" ht="21.95" customHeight="1" outlineLevel="1">
      <c r="B9" s="128" t="str">
        <f>'CPU  1'!B9</f>
        <v>P03</v>
      </c>
      <c r="C9" s="140" t="str">
        <f>'CPU  1'!C9</f>
        <v>Técnico SSMA</v>
      </c>
      <c r="D9" s="141" t="str">
        <f>'CPU  1'!D9</f>
        <v>hh</v>
      </c>
      <c r="E9" s="131">
        <f>'CPU  1'!E9</f>
        <v>40.036363636363632</v>
      </c>
      <c r="F9" s="124"/>
      <c r="G9" s="374"/>
      <c r="H9" s="375"/>
      <c r="I9" s="376">
        <f>'CPU  1'!AG9+'CPU  2'!O9+'CPU  3'!AA9+'CPU  4'!AA9+'CPU  5'!U9</f>
        <v>0</v>
      </c>
      <c r="J9" s="138" t="e">
        <f t="shared" si="0"/>
        <v>#DIV/0!</v>
      </c>
      <c r="K9" s="139"/>
      <c r="M9" s="144"/>
    </row>
    <row r="10" spans="2:13" s="109" customFormat="1" ht="21.95" customHeight="1" outlineLevel="1">
      <c r="B10" s="128" t="str">
        <f>'CPU  1'!B10</f>
        <v>P04</v>
      </c>
      <c r="C10" s="140" t="str">
        <f>'CPU  1'!C10</f>
        <v>Pedreiro</v>
      </c>
      <c r="D10" s="141" t="str">
        <f>'CPU  1'!D10</f>
        <v>hh</v>
      </c>
      <c r="E10" s="131">
        <f>'CPU  1'!E10</f>
        <v>19.767954545454543</v>
      </c>
      <c r="F10" s="124"/>
      <c r="G10" s="374"/>
      <c r="H10" s="375"/>
      <c r="I10" s="376">
        <f>'CPU  1'!AG10+'CPU  2'!O10+'CPU  3'!AA10+'CPU  4'!AA10+'CPU  5'!U10</f>
        <v>0</v>
      </c>
      <c r="J10" s="138" t="e">
        <f t="shared" si="0"/>
        <v>#DIV/0!</v>
      </c>
    </row>
    <row r="11" spans="2:13" s="109" customFormat="1" ht="21.95" customHeight="1" outlineLevel="1">
      <c r="B11" s="128" t="str">
        <f>'CPU  1'!B11</f>
        <v>P05</v>
      </c>
      <c r="C11" s="140" t="str">
        <f>'CPU  1'!C11</f>
        <v>Carpinteiro</v>
      </c>
      <c r="D11" s="141" t="str">
        <f>'CPU  1'!D11</f>
        <v>hh</v>
      </c>
      <c r="E11" s="131">
        <f>'CPU  1'!E11</f>
        <v>19.767954545454543</v>
      </c>
      <c r="F11" s="143"/>
      <c r="G11" s="374"/>
      <c r="H11" s="375"/>
      <c r="I11" s="376">
        <f>'CPU  1'!AG11+'CPU  2'!O11+'CPU  3'!AA11+'CPU  4'!AA11+'CPU  5'!U11</f>
        <v>0</v>
      </c>
      <c r="J11" s="138" t="e">
        <f t="shared" si="0"/>
        <v>#DIV/0!</v>
      </c>
    </row>
    <row r="12" spans="2:13" s="109" customFormat="1" ht="21.95" customHeight="1" outlineLevel="1">
      <c r="B12" s="128" t="str">
        <f>'CPU  1'!B12</f>
        <v>P06</v>
      </c>
      <c r="C12" s="140" t="str">
        <f>'CPU  1'!C12</f>
        <v>Eletricista</v>
      </c>
      <c r="D12" s="141" t="str">
        <f>'CPU  1'!D12</f>
        <v>hh</v>
      </c>
      <c r="E12" s="131">
        <f>'CPU  1'!E12</f>
        <v>26.023636363636363</v>
      </c>
      <c r="F12" s="143"/>
      <c r="G12" s="374"/>
      <c r="H12" s="375"/>
      <c r="I12" s="376">
        <f>'CPU  1'!AG12+'CPU  2'!O12+'CPU  3'!AA12+'CPU  4'!AA12+'CPU  5'!U12</f>
        <v>0</v>
      </c>
      <c r="J12" s="138" t="e">
        <f t="shared" si="0"/>
        <v>#DIV/0!</v>
      </c>
    </row>
    <row r="13" spans="2:13" s="109" customFormat="1" ht="21.95" customHeight="1" outlineLevel="1">
      <c r="B13" s="128" t="str">
        <f>'CPU  1'!B13</f>
        <v>P07</v>
      </c>
      <c r="C13" s="140" t="str">
        <f>'CPU  1'!C13</f>
        <v>Ajudante</v>
      </c>
      <c r="D13" s="141" t="str">
        <f>'CPU  1'!D13</f>
        <v>hh</v>
      </c>
      <c r="E13" s="131">
        <f>'CPU  1'!E13</f>
        <v>13.962681818181817</v>
      </c>
      <c r="F13" s="143"/>
      <c r="G13" s="374"/>
      <c r="H13" s="375"/>
      <c r="I13" s="376">
        <f>'CPU  1'!AG13+'CPU  2'!O13+'CPU  3'!AA13+'CPU  4'!AA13+'CPU  5'!U13</f>
        <v>0</v>
      </c>
      <c r="J13" s="138" t="e">
        <f t="shared" si="0"/>
        <v>#DIV/0!</v>
      </c>
    </row>
    <row r="14" spans="2:13" s="109" customFormat="1" ht="21.95" customHeight="1" outlineLevel="1">
      <c r="B14" s="128" t="str">
        <f>'CPU  1'!B14</f>
        <v>P08</v>
      </c>
      <c r="C14" s="140" t="str">
        <f>'CPU  1'!C14</f>
        <v>Armador</v>
      </c>
      <c r="D14" s="141" t="str">
        <f>'CPU  1'!D14</f>
        <v>hh</v>
      </c>
      <c r="E14" s="131">
        <f>'CPU  1'!E14</f>
        <v>19.767954545454543</v>
      </c>
      <c r="F14" s="143"/>
      <c r="G14" s="374"/>
      <c r="H14" s="375"/>
      <c r="I14" s="376">
        <f>'CPU  1'!AG14+'CPU  2'!O14+'CPU  3'!AA14+'CPU  4'!AA14+'CPU  5'!U14</f>
        <v>0</v>
      </c>
      <c r="J14" s="138" t="e">
        <f t="shared" si="0"/>
        <v>#DIV/0!</v>
      </c>
    </row>
    <row r="15" spans="2:13" s="109" customFormat="1" ht="21.95" customHeight="1" outlineLevel="1">
      <c r="B15" s="128" t="str">
        <f>'CPU  1'!B15</f>
        <v>P09</v>
      </c>
      <c r="C15" s="140" t="str">
        <f>'CPU  1'!C15</f>
        <v>Engenheiro</v>
      </c>
      <c r="D15" s="141" t="str">
        <f>'CPU  1'!D15</f>
        <v>hh</v>
      </c>
      <c r="E15" s="131">
        <f>'CPU  1'!E15</f>
        <v>112.30200000000001</v>
      </c>
      <c r="F15" s="143"/>
      <c r="G15" s="374"/>
      <c r="H15" s="375"/>
      <c r="I15" s="376">
        <f>'CPU  1'!AG15+'CPU  2'!O15+'CPU  3'!AA15+'CPU  4'!AA15+'CPU  5'!U15</f>
        <v>0</v>
      </c>
      <c r="J15" s="138" t="e">
        <f t="shared" si="0"/>
        <v>#DIV/0!</v>
      </c>
    </row>
    <row r="16" spans="2:13" s="109" customFormat="1" ht="21.95" customHeight="1" outlineLevel="1">
      <c r="B16" s="128" t="str">
        <f>'CPU  1'!B16</f>
        <v>P10</v>
      </c>
      <c r="C16" s="140" t="str">
        <f>'CPU  1'!C16</f>
        <v>Planejador</v>
      </c>
      <c r="D16" s="141" t="str">
        <f>'CPU  1'!D16</f>
        <v>hh</v>
      </c>
      <c r="E16" s="131">
        <f>'CPU  1'!E16</f>
        <v>60.054545454545455</v>
      </c>
      <c r="F16" s="143"/>
      <c r="G16" s="374"/>
      <c r="H16" s="375"/>
      <c r="I16" s="376">
        <f>'CPU  1'!AG16+'CPU  2'!O16+'CPU  3'!AA16+'CPU  4'!AA16+'CPU  5'!U16</f>
        <v>0</v>
      </c>
      <c r="J16" s="138" t="e">
        <f t="shared" si="0"/>
        <v>#DIV/0!</v>
      </c>
    </row>
    <row r="17" spans="2:11" s="109" customFormat="1" ht="21.95" customHeight="1" outlineLevel="1">
      <c r="B17" s="128" t="str">
        <f>'CPU  1'!B17</f>
        <v>P11</v>
      </c>
      <c r="C17" s="140" t="str">
        <f>'CPU  1'!C17</f>
        <v>Tópografo</v>
      </c>
      <c r="D17" s="141" t="str">
        <f>'CPU  1'!D17</f>
        <v>hh</v>
      </c>
      <c r="E17" s="131">
        <f>'CPU  1'!E17</f>
        <v>38.034545454545452</v>
      </c>
      <c r="F17" s="143"/>
      <c r="G17" s="374"/>
      <c r="H17" s="375"/>
      <c r="I17" s="376">
        <f>'CPU  1'!AG17+'CPU  2'!O17+'CPU  3'!AA17+'CPU  4'!AA17+'CPU  5'!U17</f>
        <v>0</v>
      </c>
      <c r="J17" s="138" t="e">
        <f t="shared" si="0"/>
        <v>#DIV/0!</v>
      </c>
    </row>
    <row r="18" spans="2:11" s="109" customFormat="1" ht="21.95" customHeight="1" outlineLevel="1">
      <c r="B18" s="128" t="str">
        <f>'CPU  1'!B18</f>
        <v>P12</v>
      </c>
      <c r="C18" s="140" t="str">
        <f>'CPU  1'!C18</f>
        <v>Auxiliar de Topografia</v>
      </c>
      <c r="D18" s="141" t="str">
        <f>'CPU  1'!D18</f>
        <v>hh</v>
      </c>
      <c r="E18" s="131">
        <f>'CPU  1'!E18</f>
        <v>17.015454545454546</v>
      </c>
      <c r="F18" s="143"/>
      <c r="G18" s="374"/>
      <c r="H18" s="375"/>
      <c r="I18" s="376">
        <f>'CPU  1'!AG18+'CPU  2'!O18+'CPU  3'!AA18+'CPU  4'!AA18+'CPU  5'!U18</f>
        <v>0</v>
      </c>
      <c r="J18" s="138" t="e">
        <f t="shared" si="0"/>
        <v>#DIV/0!</v>
      </c>
    </row>
    <row r="19" spans="2:11" s="109" customFormat="1" ht="21.95" customHeight="1" outlineLevel="1">
      <c r="B19" s="128" t="str">
        <f>'CPU  1'!B19</f>
        <v>P13</v>
      </c>
      <c r="C19" s="140" t="str">
        <f>'CPU  1'!C19</f>
        <v>Projetista</v>
      </c>
      <c r="D19" s="141" t="str">
        <f>'CPU  1'!D19</f>
        <v>hh</v>
      </c>
      <c r="E19" s="131">
        <f>'CPU  1'!E19</f>
        <v>70.063636363636363</v>
      </c>
      <c r="F19" s="143"/>
      <c r="G19" s="374"/>
      <c r="H19" s="375"/>
      <c r="I19" s="376">
        <f>'CPU  1'!AG19+'CPU  2'!O19+'CPU  3'!AA19+'CPU  4'!AA19+'CPU  5'!U19</f>
        <v>0</v>
      </c>
      <c r="J19" s="138" t="e">
        <f t="shared" si="0"/>
        <v>#DIV/0!</v>
      </c>
    </row>
    <row r="20" spans="2:11" s="109" customFormat="1" ht="21.95" customHeight="1" outlineLevel="1">
      <c r="B20" s="128" t="str">
        <f>'CPU  1'!B20</f>
        <v>P14</v>
      </c>
      <c r="C20" s="140" t="str">
        <f>'CPU  1'!C20</f>
        <v>Operador/motorista</v>
      </c>
      <c r="D20" s="141" t="str">
        <f>'CPU  1'!D20</f>
        <v>hh</v>
      </c>
      <c r="E20" s="131">
        <f>'CPU  1'!E20</f>
        <v>25.022727272727273</v>
      </c>
      <c r="F20" s="143"/>
      <c r="G20" s="374"/>
      <c r="H20" s="375"/>
      <c r="I20" s="376">
        <f>'CPU  1'!AG20+'CPU  2'!O20+'CPU  3'!AA20+'CPU  4'!AA20+'CPU  5'!U20</f>
        <v>0</v>
      </c>
      <c r="J20" s="138" t="e">
        <f t="shared" si="0"/>
        <v>#DIV/0!</v>
      </c>
    </row>
    <row r="21" spans="2:11" s="109" customFormat="1" ht="21.95" customHeight="1" outlineLevel="1">
      <c r="B21" s="128" t="str">
        <f>'CPU  1'!B21</f>
        <v>P15</v>
      </c>
      <c r="C21" s="140">
        <f>'CPU  1'!C21</f>
        <v>0</v>
      </c>
      <c r="D21" s="141" t="str">
        <f>'CPU  1'!D21</f>
        <v>hh</v>
      </c>
      <c r="E21" s="131">
        <f>'CPU  1'!E21</f>
        <v>0</v>
      </c>
      <c r="F21" s="143"/>
      <c r="G21" s="374"/>
      <c r="H21" s="375"/>
      <c r="I21" s="376">
        <f>'CPU  1'!AG21+'CPU  2'!O21+'CPU  3'!AA21+'CPU  4'!AA21+'CPU  5'!U21</f>
        <v>0</v>
      </c>
      <c r="J21" s="138" t="e">
        <f t="shared" si="0"/>
        <v>#DIV/0!</v>
      </c>
    </row>
    <row r="22" spans="2:11" s="109" customFormat="1" ht="21.95" customHeight="1" outlineLevel="1" thickBot="1">
      <c r="B22" s="128" t="str">
        <f>'CPU  1'!B22</f>
        <v>P16</v>
      </c>
      <c r="C22" s="140">
        <f>'CPU  1'!C22</f>
        <v>0</v>
      </c>
      <c r="D22" s="141" t="str">
        <f>'CPU  1'!D22</f>
        <v>hh</v>
      </c>
      <c r="E22" s="131">
        <f>'CPU  1'!E22</f>
        <v>0</v>
      </c>
      <c r="F22" s="143"/>
      <c r="G22" s="374"/>
      <c r="H22" s="375"/>
      <c r="I22" s="376">
        <f>'CPU  1'!AG22+'CPU  2'!O22+'CPU  3'!AA22+'CPU  4'!AA22+'CPU  5'!U22</f>
        <v>0</v>
      </c>
      <c r="J22" s="138" t="e">
        <f t="shared" si="0"/>
        <v>#DIV/0!</v>
      </c>
    </row>
    <row r="23" spans="2:11" s="109" customFormat="1" ht="21.95" customHeight="1" thickBot="1">
      <c r="B23" s="694" t="s">
        <v>33</v>
      </c>
      <c r="C23" s="695"/>
      <c r="D23" s="695"/>
      <c r="E23" s="695"/>
      <c r="F23" s="143"/>
      <c r="G23" s="263">
        <f>SUM(G7:G22)</f>
        <v>0</v>
      </c>
      <c r="H23" s="264">
        <f>SUM(H7:H22)</f>
        <v>0</v>
      </c>
      <c r="I23" s="265">
        <f>SUM(I7:I22)</f>
        <v>0</v>
      </c>
      <c r="J23" s="138"/>
    </row>
    <row r="24" spans="2:11" s="109" customFormat="1" ht="21.95" customHeight="1" thickBot="1">
      <c r="B24" s="699" t="s">
        <v>124</v>
      </c>
      <c r="C24" s="700"/>
      <c r="D24" s="700"/>
      <c r="E24" s="701"/>
      <c r="F24" s="143"/>
      <c r="G24" s="147"/>
      <c r="H24" s="147"/>
      <c r="I24" s="147"/>
      <c r="J24" s="138"/>
    </row>
    <row r="25" spans="2:11" s="127" customFormat="1" ht="21.95" customHeight="1" thickBot="1">
      <c r="B25" s="258" t="s">
        <v>163</v>
      </c>
      <c r="C25" s="259" t="s">
        <v>169</v>
      </c>
      <c r="D25" s="260" t="s">
        <v>30</v>
      </c>
      <c r="E25" s="261" t="s">
        <v>31</v>
      </c>
      <c r="F25" s="124"/>
      <c r="G25" s="258" t="s">
        <v>6</v>
      </c>
      <c r="H25" s="261" t="s">
        <v>32</v>
      </c>
      <c r="I25" s="262" t="s">
        <v>5</v>
      </c>
      <c r="J25" s="125"/>
      <c r="K25" s="126"/>
    </row>
    <row r="26" spans="2:11" s="109" customFormat="1" ht="21.95" customHeight="1" outlineLevel="1">
      <c r="B26" s="148" t="str">
        <f>'CPU  1'!B26</f>
        <v>E01</v>
      </c>
      <c r="C26" s="149" t="str">
        <f>'CPU  1'!C26</f>
        <v>Alavanca, picareta, enxada, cavador, pá</v>
      </c>
      <c r="D26" s="150" t="str">
        <f>'CPU  1'!D26</f>
        <v>vb</v>
      </c>
      <c r="E26" s="151">
        <f>'CPU  1'!E26</f>
        <v>790</v>
      </c>
      <c r="F26" s="152"/>
      <c r="G26" s="377"/>
      <c r="H26" s="378"/>
      <c r="I26" s="376">
        <f>'CPU  1'!AG26+'CPU  2'!O26+'CPU  3'!AA26+'CPU  4'!AA26+'CPU  5'!U26</f>
        <v>0</v>
      </c>
      <c r="J26" s="138" t="e">
        <f t="shared" ref="J26:J57" si="1">I26/$I$162</f>
        <v>#DIV/0!</v>
      </c>
    </row>
    <row r="27" spans="2:11" s="109" customFormat="1" ht="21.95" customHeight="1" outlineLevel="1">
      <c r="B27" s="148" t="str">
        <f>'CPU  1'!B27</f>
        <v>E02</v>
      </c>
      <c r="C27" s="149" t="str">
        <f>'CPU  1'!C27</f>
        <v>Banheiro hidraulico - locação</v>
      </c>
      <c r="D27" s="150" t="str">
        <f>'CPU  1'!D27</f>
        <v>vb/mês</v>
      </c>
      <c r="E27" s="151">
        <f>'CPU  1'!E27</f>
        <v>4000</v>
      </c>
      <c r="F27" s="152"/>
      <c r="G27" s="377"/>
      <c r="H27" s="378"/>
      <c r="I27" s="376">
        <f>'CPU  1'!AG27+'CPU  2'!O27+'CPU  3'!AA27+'CPU  4'!AA27+'CPU  5'!U27</f>
        <v>0</v>
      </c>
      <c r="J27" s="138" t="e">
        <f t="shared" si="1"/>
        <v>#DIV/0!</v>
      </c>
    </row>
    <row r="28" spans="2:11" s="109" customFormat="1" ht="21.95" customHeight="1" outlineLevel="1">
      <c r="B28" s="148" t="str">
        <f>'CPU  1'!B28</f>
        <v>E03</v>
      </c>
      <c r="C28" s="149" t="str">
        <f>'CPU  1'!C28</f>
        <v>Barreira física metalica</v>
      </c>
      <c r="D28" s="150" t="str">
        <f>'CPU  1'!D28</f>
        <v>pç</v>
      </c>
      <c r="E28" s="151">
        <f>'CPU  1'!E28</f>
        <v>350</v>
      </c>
      <c r="F28" s="152"/>
      <c r="G28" s="377"/>
      <c r="H28" s="378"/>
      <c r="I28" s="376">
        <f>'CPU  1'!AG28+'CPU  2'!O28+'CPU  3'!AA28+'CPU  4'!AA28+'CPU  5'!U28</f>
        <v>0</v>
      </c>
      <c r="J28" s="138" t="e">
        <f t="shared" si="1"/>
        <v>#DIV/0!</v>
      </c>
    </row>
    <row r="29" spans="2:11" s="109" customFormat="1" ht="21.95" customHeight="1" outlineLevel="1">
      <c r="B29" s="148" t="str">
        <f>'CPU  1'!B29</f>
        <v>E04</v>
      </c>
      <c r="C29" s="149" t="str">
        <f>'CPU  1'!C29</f>
        <v>Bebedouro 4 torneiras 50L</v>
      </c>
      <c r="D29" s="150" t="str">
        <f>'CPU  1'!D29</f>
        <v>unid</v>
      </c>
      <c r="E29" s="151">
        <f>'CPU  1'!E29</f>
        <v>3500</v>
      </c>
      <c r="F29" s="152"/>
      <c r="G29" s="377"/>
      <c r="H29" s="378"/>
      <c r="I29" s="376">
        <f>'CPU  1'!AG29+'CPU  2'!O29+'CPU  3'!AA29+'CPU  4'!AA29+'CPU  5'!U29</f>
        <v>0</v>
      </c>
      <c r="J29" s="138" t="e">
        <f t="shared" si="1"/>
        <v>#DIV/0!</v>
      </c>
    </row>
    <row r="30" spans="2:11" s="109" customFormat="1" ht="21.95" customHeight="1" outlineLevel="1">
      <c r="B30" s="148" t="str">
        <f>'CPU  1'!B30</f>
        <v>E05</v>
      </c>
      <c r="C30" s="149" t="str">
        <f>'CPU  1'!C30</f>
        <v>Caçamba de entulho 4m³</v>
      </c>
      <c r="D30" s="150" t="str">
        <f>'CPU  1'!D30</f>
        <v>Vb/mês</v>
      </c>
      <c r="E30" s="151">
        <f>'CPU  1'!E30</f>
        <v>800</v>
      </c>
      <c r="F30" s="152"/>
      <c r="G30" s="377"/>
      <c r="H30" s="378"/>
      <c r="I30" s="376">
        <f>'CPU  1'!AG30+'CPU  2'!O30+'CPU  3'!AA30+'CPU  4'!AA30+'CPU  5'!U30</f>
        <v>0</v>
      </c>
      <c r="J30" s="138" t="e">
        <f t="shared" si="1"/>
        <v>#DIV/0!</v>
      </c>
    </row>
    <row r="31" spans="2:11" s="109" customFormat="1" ht="21.95" customHeight="1" outlineLevel="1">
      <c r="B31" s="148" t="str">
        <f>'CPU  1'!B31</f>
        <v>E06</v>
      </c>
      <c r="C31" s="149" t="str">
        <f>'CPU  1'!C31</f>
        <v>Cadinho solda exotermica</v>
      </c>
      <c r="D31" s="150" t="str">
        <f>'CPU  1'!D31</f>
        <v>pç</v>
      </c>
      <c r="E31" s="151">
        <f>'CPU  1'!E31</f>
        <v>420</v>
      </c>
      <c r="F31" s="152"/>
      <c r="G31" s="377"/>
      <c r="H31" s="378"/>
      <c r="I31" s="376">
        <f>'CPU  1'!AG31+'CPU  2'!O31+'CPU  3'!AA31+'CPU  4'!AA31+'CPU  5'!U31</f>
        <v>0</v>
      </c>
      <c r="J31" s="138" t="e">
        <f t="shared" si="1"/>
        <v>#DIV/0!</v>
      </c>
    </row>
    <row r="32" spans="2:11" s="109" customFormat="1" ht="21.95" customHeight="1" outlineLevel="1">
      <c r="B32" s="148" t="str">
        <f>'CPU  1'!B32</f>
        <v>E07</v>
      </c>
      <c r="C32" s="149" t="str">
        <f>'CPU  1'!C32</f>
        <v>Caixa dágua 1000L</v>
      </c>
      <c r="D32" s="150" t="str">
        <f>'CPU  1'!D32</f>
        <v>pç</v>
      </c>
      <c r="E32" s="151">
        <f>'CPU  1'!E32</f>
        <v>480</v>
      </c>
      <c r="F32" s="152"/>
      <c r="G32" s="377"/>
      <c r="H32" s="378"/>
      <c r="I32" s="376">
        <f>'CPU  1'!AG32+'CPU  2'!O32+'CPU  3'!AA32+'CPU  4'!AA32+'CPU  5'!U32</f>
        <v>0</v>
      </c>
      <c r="J32" s="138" t="e">
        <f t="shared" si="1"/>
        <v>#DIV/0!</v>
      </c>
    </row>
    <row r="33" spans="2:10" s="109" customFormat="1" ht="21.95" customHeight="1" outlineLevel="1">
      <c r="B33" s="148" t="str">
        <f>'CPU  1'!B33</f>
        <v>E08</v>
      </c>
      <c r="C33" s="149" t="str">
        <f>'CPU  1'!C33</f>
        <v>Caixa dágua 500L</v>
      </c>
      <c r="D33" s="155" t="str">
        <f>'CPU  1'!D33</f>
        <v>pç</v>
      </c>
      <c r="E33" s="151">
        <f>'CPU  1'!E33</f>
        <v>250</v>
      </c>
      <c r="F33" s="152"/>
      <c r="G33" s="377"/>
      <c r="H33" s="378"/>
      <c r="I33" s="376">
        <f>'CPU  1'!AG33+'CPU  2'!O33+'CPU  3'!AA33+'CPU  4'!AA33+'CPU  5'!U33</f>
        <v>0</v>
      </c>
      <c r="J33" s="138" t="e">
        <f t="shared" si="1"/>
        <v>#DIV/0!</v>
      </c>
    </row>
    <row r="34" spans="2:10" s="109" customFormat="1" ht="21.95" customHeight="1" outlineLevel="1">
      <c r="B34" s="148" t="str">
        <f>'CPU  1'!B34</f>
        <v>E09</v>
      </c>
      <c r="C34" s="149" t="str">
        <f>'CPU  1'!C34</f>
        <v>Caminhão munck</v>
      </c>
      <c r="D34" s="155" t="str">
        <f>'CPU  1'!D34</f>
        <v>vb/mês</v>
      </c>
      <c r="E34" s="151">
        <f>'CPU  1'!E34</f>
        <v>40000</v>
      </c>
      <c r="F34" s="152"/>
      <c r="G34" s="377"/>
      <c r="H34" s="378"/>
      <c r="I34" s="376">
        <f>'CPU  1'!AG34+'CPU  2'!O34+'CPU  3'!AA34+'CPU  4'!AA34+'CPU  5'!U34</f>
        <v>0</v>
      </c>
      <c r="J34" s="138" t="e">
        <f t="shared" si="1"/>
        <v>#DIV/0!</v>
      </c>
    </row>
    <row r="35" spans="2:10" s="109" customFormat="1" ht="21.95" customHeight="1" outlineLevel="1">
      <c r="B35" s="148" t="str">
        <f>'CPU  1'!B35</f>
        <v>E10</v>
      </c>
      <c r="C35" s="149" t="str">
        <f>'CPU  1'!C35</f>
        <v>Carro de mão</v>
      </c>
      <c r="D35" s="155" t="str">
        <f>'CPU  1'!D35</f>
        <v>pç</v>
      </c>
      <c r="E35" s="151">
        <f>'CPU  1'!E35</f>
        <v>450</v>
      </c>
      <c r="F35" s="152"/>
      <c r="G35" s="377"/>
      <c r="H35" s="378"/>
      <c r="I35" s="376">
        <f>'CPU  1'!AG35+'CPU  2'!O35+'CPU  3'!AA35+'CPU  4'!AA35+'CPU  5'!U35</f>
        <v>0</v>
      </c>
      <c r="J35" s="138" t="e">
        <f t="shared" si="1"/>
        <v>#DIV/0!</v>
      </c>
    </row>
    <row r="36" spans="2:10" s="109" customFormat="1" ht="21.95" customHeight="1" outlineLevel="1">
      <c r="B36" s="148" t="str">
        <f>'CPU  1'!B36</f>
        <v>E11</v>
      </c>
      <c r="C36" s="149" t="str">
        <f>'CPU  1'!C36</f>
        <v>Carro plataforma</v>
      </c>
      <c r="D36" s="155" t="str">
        <f>'CPU  1'!D36</f>
        <v>pç</v>
      </c>
      <c r="E36" s="151">
        <f>'CPU  1'!E36</f>
        <v>1200</v>
      </c>
      <c r="F36" s="152"/>
      <c r="G36" s="377"/>
      <c r="H36" s="378"/>
      <c r="I36" s="376">
        <f>'CPU  1'!AG36+'CPU  2'!O36+'CPU  3'!AA36+'CPU  4'!AA36+'CPU  5'!U36</f>
        <v>0</v>
      </c>
      <c r="J36" s="138" t="e">
        <f t="shared" si="1"/>
        <v>#DIV/0!</v>
      </c>
    </row>
    <row r="37" spans="2:10" s="109" customFormat="1" ht="36" customHeight="1" outlineLevel="1">
      <c r="B37" s="148" t="str">
        <f>'CPU  1'!B37</f>
        <v>E12</v>
      </c>
      <c r="C37" s="149" t="str">
        <f>'CPU  1'!C37</f>
        <v>Coletor de resíduo com pedal - 50L (V,V,A,A)</v>
      </c>
      <c r="D37" s="155" t="str">
        <f>'CPU  1'!D37</f>
        <v>kit</v>
      </c>
      <c r="E37" s="151">
        <f>'CPU  1'!E37</f>
        <v>1200</v>
      </c>
      <c r="F37" s="152"/>
      <c r="G37" s="377"/>
      <c r="H37" s="378"/>
      <c r="I37" s="376">
        <f>'CPU  1'!AG37+'CPU  2'!O37+'CPU  3'!AA37+'CPU  4'!AA37+'CPU  5'!U37</f>
        <v>0</v>
      </c>
      <c r="J37" s="138" t="e">
        <f t="shared" si="1"/>
        <v>#DIV/0!</v>
      </c>
    </row>
    <row r="38" spans="2:10" s="109" customFormat="1" ht="21.95" customHeight="1" outlineLevel="1">
      <c r="B38" s="148" t="str">
        <f>'CPU  1'!B38</f>
        <v>E13</v>
      </c>
      <c r="C38" s="149" t="str">
        <f>'CPU  1'!C38</f>
        <v>Compactador de solo manual</v>
      </c>
      <c r="D38" s="155" t="str">
        <f>'CPU  1'!D38</f>
        <v>vb</v>
      </c>
      <c r="E38" s="151">
        <f>'CPU  1'!E38</f>
        <v>180</v>
      </c>
      <c r="F38" s="152"/>
      <c r="G38" s="377"/>
      <c r="H38" s="378"/>
      <c r="I38" s="376">
        <f>'CPU  1'!AG38+'CPU  2'!O38+'CPU  3'!AA38+'CPU  4'!AA38+'CPU  5'!U38</f>
        <v>0</v>
      </c>
      <c r="J38" s="138" t="e">
        <f t="shared" si="1"/>
        <v>#DIV/0!</v>
      </c>
    </row>
    <row r="39" spans="2:10" s="109" customFormat="1" ht="21.95" customHeight="1" outlineLevel="1">
      <c r="B39" s="148" t="str">
        <f>'CPU  1'!B39</f>
        <v>E14</v>
      </c>
      <c r="C39" s="149" t="str">
        <f>'CPU  1'!C39</f>
        <v>Computador</v>
      </c>
      <c r="D39" s="155" t="str">
        <f>'CPU  1'!D39</f>
        <v>vb/mês</v>
      </c>
      <c r="E39" s="151">
        <f>'CPU  1'!E39</f>
        <v>350</v>
      </c>
      <c r="F39" s="152"/>
      <c r="G39" s="377"/>
      <c r="H39" s="378"/>
      <c r="I39" s="376">
        <f>'CPU  1'!AG39+'CPU  2'!O39+'CPU  3'!AA39+'CPU  4'!AA39+'CPU  5'!U39</f>
        <v>0</v>
      </c>
      <c r="J39" s="138" t="e">
        <f t="shared" si="1"/>
        <v>#DIV/0!</v>
      </c>
    </row>
    <row r="40" spans="2:10" s="109" customFormat="1" ht="21.95" customHeight="1" outlineLevel="1">
      <c r="B40" s="148" t="str">
        <f>'CPU  1'!B40</f>
        <v>E15</v>
      </c>
      <c r="C40" s="149" t="str">
        <f>'CPU  1'!C40</f>
        <v>Container Almoxarifado</v>
      </c>
      <c r="D40" s="155" t="str">
        <f>'CPU  1'!D40</f>
        <v>vb/mês</v>
      </c>
      <c r="E40" s="151">
        <f>'CPU  1'!E40</f>
        <v>1200</v>
      </c>
      <c r="F40" s="152"/>
      <c r="G40" s="377"/>
      <c r="H40" s="378"/>
      <c r="I40" s="376">
        <f>'CPU  1'!AG40+'CPU  2'!O40+'CPU  3'!AA40+'CPU  4'!AA40+'CPU  5'!U40</f>
        <v>0</v>
      </c>
      <c r="J40" s="138" t="e">
        <f t="shared" si="1"/>
        <v>#DIV/0!</v>
      </c>
    </row>
    <row r="41" spans="2:10" s="109" customFormat="1" ht="21.95" customHeight="1" outlineLevel="1">
      <c r="B41" s="148" t="str">
        <f>'CPU  1'!B41</f>
        <v>E16</v>
      </c>
      <c r="C41" s="149" t="str">
        <f>'CPU  1'!C41</f>
        <v>Container escritorio</v>
      </c>
      <c r="D41" s="155" t="str">
        <f>'CPU  1'!D41</f>
        <v>vb/mês</v>
      </c>
      <c r="E41" s="151">
        <f>'CPU  1'!E41</f>
        <v>900</v>
      </c>
      <c r="F41" s="152"/>
      <c r="G41" s="377"/>
      <c r="H41" s="378"/>
      <c r="I41" s="376">
        <f>'CPU  1'!AG41+'CPU  2'!O41+'CPU  3'!AA41+'CPU  4'!AA41+'CPU  5'!U41</f>
        <v>0</v>
      </c>
      <c r="J41" s="138" t="e">
        <f t="shared" si="1"/>
        <v>#DIV/0!</v>
      </c>
    </row>
    <row r="42" spans="2:10" s="109" customFormat="1" ht="21.95" customHeight="1" outlineLevel="1">
      <c r="B42" s="148" t="str">
        <f>'CPU  1'!B42</f>
        <v>E17</v>
      </c>
      <c r="C42" s="149" t="str">
        <f>'CPU  1'!C42</f>
        <v>EPIs</v>
      </c>
      <c r="D42" s="155" t="str">
        <f>'CPU  1'!D42</f>
        <v>vb/mês</v>
      </c>
      <c r="E42" s="151">
        <f>'CPU  1'!E42</f>
        <v>328.76666666666671</v>
      </c>
      <c r="F42" s="152"/>
      <c r="G42" s="377"/>
      <c r="H42" s="378"/>
      <c r="I42" s="376">
        <f>'CPU  1'!AG42+'CPU  2'!O42+'CPU  3'!AA42+'CPU  4'!AA42+'CPU  5'!U42</f>
        <v>0</v>
      </c>
      <c r="J42" s="138" t="e">
        <f t="shared" si="1"/>
        <v>#DIV/0!</v>
      </c>
    </row>
    <row r="43" spans="2:10" s="109" customFormat="1" ht="21.95" customHeight="1" outlineLevel="1">
      <c r="B43" s="148" t="str">
        <f>'CPU  1'!B43</f>
        <v>E18</v>
      </c>
      <c r="C43" s="149" t="str">
        <f>'CPU  1'!C43</f>
        <v>Esmerilhadeira 4-1/2"</v>
      </c>
      <c r="D43" s="155" t="str">
        <f>'CPU  1'!D43</f>
        <v>und</v>
      </c>
      <c r="E43" s="151">
        <f>'CPU  1'!E43</f>
        <v>2000</v>
      </c>
      <c r="F43" s="152"/>
      <c r="G43" s="377"/>
      <c r="H43" s="378"/>
      <c r="I43" s="376">
        <f>'CPU  1'!AG43+'CPU  2'!O43+'CPU  3'!AA43+'CPU  4'!AA43+'CPU  5'!U43</f>
        <v>0</v>
      </c>
      <c r="J43" s="138" t="e">
        <f t="shared" si="1"/>
        <v>#DIV/0!</v>
      </c>
    </row>
    <row r="44" spans="2:10" s="109" customFormat="1" ht="21.95" customHeight="1" outlineLevel="1">
      <c r="B44" s="148" t="str">
        <f>'CPU  1'!B44</f>
        <v>E19</v>
      </c>
      <c r="C44" s="149" t="str">
        <f>'CPU  1'!C44</f>
        <v>Estação total (com acessorios)</v>
      </c>
      <c r="D44" s="155" t="str">
        <f>'CPU  1'!D44</f>
        <v>vb/mês</v>
      </c>
      <c r="E44" s="151">
        <f>'CPU  1'!E44</f>
        <v>1350</v>
      </c>
      <c r="F44" s="152"/>
      <c r="G44" s="377"/>
      <c r="H44" s="378"/>
      <c r="I44" s="376">
        <f>'CPU  1'!AG44+'CPU  2'!O44+'CPU  3'!AA44+'CPU  4'!AA44+'CPU  5'!U44</f>
        <v>0</v>
      </c>
      <c r="J44" s="138" t="e">
        <f t="shared" si="1"/>
        <v>#DIV/0!</v>
      </c>
    </row>
    <row r="45" spans="2:10" s="109" customFormat="1" ht="36" customHeight="1" outlineLevel="1">
      <c r="B45" s="148" t="str">
        <f>'CPU  1'!B45</f>
        <v>E20</v>
      </c>
      <c r="C45" s="149" t="str">
        <f>'CPU  1'!C45</f>
        <v>Extensões eletricas (plug steck + DJ + DR) 40m</v>
      </c>
      <c r="D45" s="155" t="str">
        <f>'CPU  1'!D45</f>
        <v>vb</v>
      </c>
      <c r="E45" s="151">
        <f>'CPU  1'!E45</f>
        <v>1087.8</v>
      </c>
      <c r="F45" s="152"/>
      <c r="G45" s="377"/>
      <c r="H45" s="378"/>
      <c r="I45" s="376">
        <f>'CPU  1'!AG45+'CPU  2'!O45+'CPU  3'!AA45+'CPU  4'!AA45+'CPU  5'!U45</f>
        <v>0</v>
      </c>
      <c r="J45" s="138" t="e">
        <f t="shared" si="1"/>
        <v>#DIV/0!</v>
      </c>
    </row>
    <row r="46" spans="2:10" s="109" customFormat="1" ht="21.95" customHeight="1" outlineLevel="1">
      <c r="B46" s="148" t="str">
        <f>'CPU  1'!B46</f>
        <v>E21</v>
      </c>
      <c r="C46" s="149" t="str">
        <f>'CPU  1'!C46</f>
        <v>Ferramentas gerais para obra</v>
      </c>
      <c r="D46" s="155" t="str">
        <f>'CPU  1'!D46</f>
        <v>vb</v>
      </c>
      <c r="E46" s="151">
        <f>'CPU  1'!E46</f>
        <v>5000</v>
      </c>
      <c r="F46" s="152"/>
      <c r="G46" s="377"/>
      <c r="H46" s="378"/>
      <c r="I46" s="376">
        <f>'CPU  1'!AG46+'CPU  2'!O46+'CPU  3'!AA46+'CPU  4'!AA46+'CPU  5'!U46</f>
        <v>0</v>
      </c>
      <c r="J46" s="138" t="e">
        <f t="shared" si="1"/>
        <v>#DIV/0!</v>
      </c>
    </row>
    <row r="47" spans="2:10" s="109" customFormat="1" ht="21.95" customHeight="1" outlineLevel="1">
      <c r="B47" s="148" t="str">
        <f>'CPU  1'!B47</f>
        <v>E22</v>
      </c>
      <c r="C47" s="149" t="str">
        <f>'CPU  1'!C47</f>
        <v>Freezer 300L</v>
      </c>
      <c r="D47" s="155" t="str">
        <f>'CPU  1'!D47</f>
        <v>vb</v>
      </c>
      <c r="E47" s="151">
        <f>'CPU  1'!E47</f>
        <v>2500</v>
      </c>
      <c r="F47" s="152"/>
      <c r="G47" s="377"/>
      <c r="H47" s="378"/>
      <c r="I47" s="376">
        <f>'CPU  1'!AG47+'CPU  2'!O47+'CPU  3'!AA47+'CPU  4'!AA47+'CPU  5'!U47</f>
        <v>0</v>
      </c>
      <c r="J47" s="138" t="e">
        <f t="shared" si="1"/>
        <v>#DIV/0!</v>
      </c>
    </row>
    <row r="48" spans="2:10" s="109" customFormat="1" ht="21.95" customHeight="1" outlineLevel="1">
      <c r="B48" s="148" t="str">
        <f>'CPU  1'!B48</f>
        <v>E23</v>
      </c>
      <c r="C48" s="149" t="str">
        <f>'CPU  1'!C48</f>
        <v>Furadeira</v>
      </c>
      <c r="D48" s="155" t="str">
        <f>'CPU  1'!D48</f>
        <v>pç</v>
      </c>
      <c r="E48" s="151">
        <f>'CPU  1'!E48</f>
        <v>800</v>
      </c>
      <c r="F48" s="152"/>
      <c r="G48" s="377"/>
      <c r="H48" s="378"/>
      <c r="I48" s="376">
        <f>'CPU  1'!AG48+'CPU  2'!O48+'CPU  3'!AA48+'CPU  4'!AA48+'CPU  5'!U48</f>
        <v>0</v>
      </c>
      <c r="J48" s="138" t="e">
        <f t="shared" si="1"/>
        <v>#DIV/0!</v>
      </c>
    </row>
    <row r="49" spans="2:10" s="109" customFormat="1" ht="21.95" customHeight="1" outlineLevel="1">
      <c r="B49" s="148" t="str">
        <f>'CPU  1'!B49</f>
        <v>E24</v>
      </c>
      <c r="C49" s="149" t="str">
        <f>'CPU  1'!C49</f>
        <v>Garrafa térmica 12 L</v>
      </c>
      <c r="D49" s="155" t="str">
        <f>'CPU  1'!D49</f>
        <v>pç</v>
      </c>
      <c r="E49" s="151">
        <f>'CPU  1'!E49</f>
        <v>210</v>
      </c>
      <c r="F49" s="152"/>
      <c r="G49" s="377"/>
      <c r="H49" s="378"/>
      <c r="I49" s="376">
        <f>'CPU  1'!AG49+'CPU  2'!O49+'CPU  3'!AA49+'CPU  4'!AA49+'CPU  5'!U49</f>
        <v>0</v>
      </c>
      <c r="J49" s="138" t="e">
        <f t="shared" si="1"/>
        <v>#DIV/0!</v>
      </c>
    </row>
    <row r="50" spans="2:10" s="109" customFormat="1" ht="21.95" customHeight="1" outlineLevel="1">
      <c r="B50" s="148" t="str">
        <f>'CPU  1'!B50</f>
        <v>E25</v>
      </c>
      <c r="C50" s="149" t="str">
        <f>'CPU  1'!C50</f>
        <v>Gerador 40KVA</v>
      </c>
      <c r="D50" s="155" t="str">
        <f>'CPU  1'!D50</f>
        <v>vb/mês</v>
      </c>
      <c r="E50" s="151">
        <f>'CPU  1'!E50</f>
        <v>3200</v>
      </c>
      <c r="F50" s="152"/>
      <c r="G50" s="377"/>
      <c r="H50" s="378"/>
      <c r="I50" s="376">
        <f>'CPU  1'!AG50+'CPU  2'!O50+'CPU  3'!AA50+'CPU  4'!AA50+'CPU  5'!U50</f>
        <v>0</v>
      </c>
      <c r="J50" s="138" t="e">
        <f t="shared" si="1"/>
        <v>#DIV/0!</v>
      </c>
    </row>
    <row r="51" spans="2:10" s="109" customFormat="1" ht="21.95" customHeight="1" outlineLevel="1">
      <c r="B51" s="148" t="str">
        <f>'CPU  1'!B51</f>
        <v>E26</v>
      </c>
      <c r="C51" s="149" t="str">
        <f>'CPU  1'!C51</f>
        <v>Gerador 6KVA</v>
      </c>
      <c r="D51" s="155" t="str">
        <f>'CPU  1'!D51</f>
        <v>vb/mês</v>
      </c>
      <c r="E51" s="151">
        <f>'CPU  1'!E51</f>
        <v>1200</v>
      </c>
      <c r="F51" s="152"/>
      <c r="G51" s="377"/>
      <c r="H51" s="378"/>
      <c r="I51" s="376">
        <f>'CPU  1'!AG51+'CPU  2'!O51+'CPU  3'!AA51+'CPU  4'!AA51+'CPU  5'!U51</f>
        <v>0</v>
      </c>
      <c r="J51" s="138" t="e">
        <f t="shared" si="1"/>
        <v>#DIV/0!</v>
      </c>
    </row>
    <row r="52" spans="2:10" s="109" customFormat="1" ht="21.95" customHeight="1" outlineLevel="1">
      <c r="B52" s="148" t="str">
        <f>'CPU  1'!B52</f>
        <v>E27</v>
      </c>
      <c r="C52" s="149" t="str">
        <f>'CPU  1'!C52</f>
        <v>Impressora</v>
      </c>
      <c r="D52" s="155" t="str">
        <f>'CPU  1'!D52</f>
        <v>vb/mês</v>
      </c>
      <c r="E52" s="151">
        <f>'CPU  1'!E52</f>
        <v>350</v>
      </c>
      <c r="F52" s="152"/>
      <c r="G52" s="377"/>
      <c r="H52" s="378"/>
      <c r="I52" s="376">
        <f>'CPU  1'!AG52+'CPU  2'!O52+'CPU  3'!AA52+'CPU  4'!AA52+'CPU  5'!U52</f>
        <v>0</v>
      </c>
      <c r="J52" s="138" t="e">
        <f t="shared" si="1"/>
        <v>#DIV/0!</v>
      </c>
    </row>
    <row r="53" spans="2:10" s="109" customFormat="1" ht="21.95" customHeight="1" outlineLevel="1">
      <c r="B53" s="148" t="str">
        <f>'CPU  1'!B53</f>
        <v>E28</v>
      </c>
      <c r="C53" s="149" t="str">
        <f>'CPU  1'!C53</f>
        <v>Martelete demolição</v>
      </c>
      <c r="D53" s="155" t="str">
        <f>'CPU  1'!D53</f>
        <v>vb/mês</v>
      </c>
      <c r="E53" s="151">
        <f>'CPU  1'!E53</f>
        <v>900</v>
      </c>
      <c r="F53" s="152"/>
      <c r="G53" s="377"/>
      <c r="H53" s="378"/>
      <c r="I53" s="376">
        <f>'CPU  1'!AG53+'CPU  2'!O53+'CPU  3'!AA53+'CPU  4'!AA53+'CPU  5'!U53</f>
        <v>0</v>
      </c>
      <c r="J53" s="138" t="e">
        <f t="shared" si="1"/>
        <v>#DIV/0!</v>
      </c>
    </row>
    <row r="54" spans="2:10" s="109" customFormat="1" ht="21.95" customHeight="1" outlineLevel="1">
      <c r="B54" s="148" t="str">
        <f>'CPU  1'!B54</f>
        <v>E29</v>
      </c>
      <c r="C54" s="149" t="str">
        <f>'CPU  1'!C54</f>
        <v>Masseira 2x1m</v>
      </c>
      <c r="D54" s="155" t="str">
        <f>'CPU  1'!D54</f>
        <v>pç</v>
      </c>
      <c r="E54" s="151">
        <f>'CPU  1'!E54</f>
        <v>486.59</v>
      </c>
      <c r="F54" s="152"/>
      <c r="G54" s="377"/>
      <c r="H54" s="378"/>
      <c r="I54" s="376">
        <f>'CPU  1'!AG54+'CPU  2'!O54+'CPU  3'!AA54+'CPU  4'!AA54+'CPU  5'!U54</f>
        <v>0</v>
      </c>
      <c r="J54" s="138" t="e">
        <f t="shared" si="1"/>
        <v>#DIV/0!</v>
      </c>
    </row>
    <row r="55" spans="2:10" s="109" customFormat="1" ht="21.95" customHeight="1" outlineLevel="1">
      <c r="B55" s="148" t="str">
        <f>'CPU  1'!B55</f>
        <v>E30</v>
      </c>
      <c r="C55" s="149" t="str">
        <f>'CPU  1'!C55</f>
        <v>Misturador de argamassa</v>
      </c>
      <c r="D55" s="155" t="str">
        <f>'CPU  1'!D55</f>
        <v>pç</v>
      </c>
      <c r="E55" s="151">
        <f>'CPU  1'!E55</f>
        <v>600</v>
      </c>
      <c r="F55" s="152"/>
      <c r="G55" s="377"/>
      <c r="H55" s="378"/>
      <c r="I55" s="376">
        <f>'CPU  1'!AG55+'CPU  2'!O55+'CPU  3'!AA55+'CPU  4'!AA55+'CPU  5'!U55</f>
        <v>0</v>
      </c>
      <c r="J55" s="138" t="e">
        <f t="shared" si="1"/>
        <v>#DIV/0!</v>
      </c>
    </row>
    <row r="56" spans="2:10" s="109" customFormat="1" ht="21.95" customHeight="1" outlineLevel="1">
      <c r="B56" s="148" t="str">
        <f>'CPU  1'!B56</f>
        <v>E31</v>
      </c>
      <c r="C56" s="149" t="str">
        <f>'CPU  1'!C56</f>
        <v>Mobiliario (cadeira, mesa, etc.)</v>
      </c>
      <c r="D56" s="155" t="str">
        <f>'CPU  1'!D56</f>
        <v>vb/mês</v>
      </c>
      <c r="E56" s="151">
        <f>'CPU  1'!E56</f>
        <v>6000</v>
      </c>
      <c r="F56" s="152"/>
      <c r="G56" s="377"/>
      <c r="H56" s="378"/>
      <c r="I56" s="376">
        <f>'CPU  1'!AG56+'CPU  2'!O56+'CPU  3'!AA56+'CPU  4'!AA56+'CPU  5'!U56</f>
        <v>0</v>
      </c>
      <c r="J56" s="138" t="e">
        <f t="shared" si="1"/>
        <v>#DIV/0!</v>
      </c>
    </row>
    <row r="57" spans="2:10" s="109" customFormat="1" ht="21.95" customHeight="1" outlineLevel="1">
      <c r="B57" s="148" t="str">
        <f>'CPU  1'!B57</f>
        <v>E32</v>
      </c>
      <c r="C57" s="149" t="str">
        <f>'CPU  1'!C57</f>
        <v>Multimetro</v>
      </c>
      <c r="D57" s="155" t="str">
        <f>'CPU  1'!D57</f>
        <v>pç</v>
      </c>
      <c r="E57" s="151">
        <f>'CPU  1'!E57</f>
        <v>2100</v>
      </c>
      <c r="F57" s="152"/>
      <c r="G57" s="377"/>
      <c r="H57" s="378"/>
      <c r="I57" s="376">
        <f>'CPU  1'!AG57+'CPU  2'!O57+'CPU  3'!AA57+'CPU  4'!AA57+'CPU  5'!U57</f>
        <v>0</v>
      </c>
      <c r="J57" s="138" t="e">
        <f t="shared" si="1"/>
        <v>#DIV/0!</v>
      </c>
    </row>
    <row r="58" spans="2:10" s="109" customFormat="1" ht="21.95" customHeight="1" outlineLevel="1">
      <c r="B58" s="148" t="str">
        <f>'CPU  1'!B58</f>
        <v>E33</v>
      </c>
      <c r="C58" s="149" t="str">
        <f>'CPU  1'!C58</f>
        <v>Painel eletrico para canteiro</v>
      </c>
      <c r="D58" s="155" t="str">
        <f>'CPU  1'!D58</f>
        <v>vb</v>
      </c>
      <c r="E58" s="151">
        <f>'CPU  1'!E58</f>
        <v>6500</v>
      </c>
      <c r="F58" s="152"/>
      <c r="G58" s="377"/>
      <c r="H58" s="378"/>
      <c r="I58" s="376">
        <f>'CPU  1'!AG58+'CPU  2'!O58+'CPU  3'!AA58+'CPU  4'!AA58+'CPU  5'!U58</f>
        <v>0</v>
      </c>
      <c r="J58" s="138" t="e">
        <f t="shared" ref="J58:J79" si="2">I58/$I$162</f>
        <v>#DIV/0!</v>
      </c>
    </row>
    <row r="59" spans="2:10" s="109" customFormat="1" ht="21.95" customHeight="1" outlineLevel="1">
      <c r="B59" s="148" t="str">
        <f>'CPU  1'!B59</f>
        <v>E34</v>
      </c>
      <c r="C59" s="149" t="str">
        <f>'CPU  1'!C59</f>
        <v>Painel eletrico para frente de serviço</v>
      </c>
      <c r="D59" s="155" t="str">
        <f>'CPU  1'!D59</f>
        <v>vb</v>
      </c>
      <c r="E59" s="151">
        <f>'CPU  1'!E59</f>
        <v>3000</v>
      </c>
      <c r="F59" s="152"/>
      <c r="G59" s="377"/>
      <c r="H59" s="378"/>
      <c r="I59" s="376">
        <f>'CPU  1'!AG59+'CPU  2'!O59+'CPU  3'!AA59+'CPU  4'!AA59+'CPU  5'!U59</f>
        <v>0</v>
      </c>
      <c r="J59" s="138" t="e">
        <f t="shared" si="2"/>
        <v>#DIV/0!</v>
      </c>
    </row>
    <row r="60" spans="2:10" s="109" customFormat="1" ht="21.95" customHeight="1" outlineLevel="1">
      <c r="B60" s="148" t="str">
        <f>'CPU  1'!B60</f>
        <v>E35</v>
      </c>
      <c r="C60" s="149" t="str">
        <f>'CPU  1'!C60</f>
        <v>Pedestais para isolamento</v>
      </c>
      <c r="D60" s="155" t="str">
        <f>'CPU  1'!D60</f>
        <v>vb</v>
      </c>
      <c r="E60" s="151">
        <f>'CPU  1'!E60</f>
        <v>150</v>
      </c>
      <c r="F60" s="152"/>
      <c r="G60" s="377"/>
      <c r="H60" s="378"/>
      <c r="I60" s="376">
        <f>'CPU  1'!AG60+'CPU  2'!O60+'CPU  3'!AA60+'CPU  4'!AA60+'CPU  5'!U60</f>
        <v>0</v>
      </c>
      <c r="J60" s="138" t="e">
        <f t="shared" si="2"/>
        <v>#DIV/0!</v>
      </c>
    </row>
    <row r="61" spans="2:10" s="109" customFormat="1" ht="21.95" customHeight="1" outlineLevel="1">
      <c r="B61" s="148" t="str">
        <f>'CPU  1'!B61</f>
        <v>E36</v>
      </c>
      <c r="C61" s="149" t="str">
        <f>'CPU  1'!C61</f>
        <v>Serra circular</v>
      </c>
      <c r="D61" s="155" t="str">
        <f>'CPU  1'!D61</f>
        <v>pç</v>
      </c>
      <c r="E61" s="151">
        <f>'CPU  1'!E61</f>
        <v>850</v>
      </c>
      <c r="F61" s="152"/>
      <c r="G61" s="377"/>
      <c r="H61" s="378"/>
      <c r="I61" s="376">
        <f>'CPU  1'!AG61+'CPU  2'!O61+'CPU  3'!AA61+'CPU  4'!AA61+'CPU  5'!U61</f>
        <v>0</v>
      </c>
      <c r="J61" s="138" t="e">
        <f t="shared" si="2"/>
        <v>#DIV/0!</v>
      </c>
    </row>
    <row r="62" spans="2:10" s="109" customFormat="1" ht="21.95" customHeight="1" outlineLevel="1">
      <c r="B62" s="148" t="str">
        <f>'CPU  1'!B62</f>
        <v>E37</v>
      </c>
      <c r="C62" s="149" t="str">
        <f>'CPU  1'!C62</f>
        <v>Tela cerquite</v>
      </c>
      <c r="D62" s="155" t="str">
        <f>'CPU  1'!D62</f>
        <v>pç</v>
      </c>
      <c r="E62" s="151">
        <f>'CPU  1'!E62</f>
        <v>150</v>
      </c>
      <c r="F62" s="152"/>
      <c r="G62" s="377"/>
      <c r="H62" s="378"/>
      <c r="I62" s="376">
        <f>'CPU  1'!AG62+'CPU  2'!O62+'CPU  3'!AA62+'CPU  4'!AA62+'CPU  5'!U62</f>
        <v>0</v>
      </c>
      <c r="J62" s="138" t="e">
        <f t="shared" si="2"/>
        <v>#DIV/0!</v>
      </c>
    </row>
    <row r="63" spans="2:10" s="109" customFormat="1" ht="21.95" customHeight="1" outlineLevel="1">
      <c r="B63" s="148" t="str">
        <f>'CPU  1'!B63</f>
        <v>E38</v>
      </c>
      <c r="C63" s="149" t="str">
        <f>'CPU  1'!C63</f>
        <v>Tenda 10 x 10m</v>
      </c>
      <c r="D63" s="155" t="str">
        <f>'CPU  1'!D63</f>
        <v>vb/mês</v>
      </c>
      <c r="E63" s="151">
        <f>'CPU  1'!E63</f>
        <v>1800</v>
      </c>
      <c r="F63" s="152"/>
      <c r="G63" s="377"/>
      <c r="H63" s="378"/>
      <c r="I63" s="376">
        <f>'CPU  1'!AG63+'CPU  2'!O63+'CPU  3'!AA63+'CPU  4'!AA63+'CPU  5'!U63</f>
        <v>0</v>
      </c>
      <c r="J63" s="138" t="e">
        <f t="shared" si="2"/>
        <v>#DIV/0!</v>
      </c>
    </row>
    <row r="64" spans="2:10" s="109" customFormat="1" ht="21.95" customHeight="1" outlineLevel="1">
      <c r="B64" s="148" t="str">
        <f>'CPU  1'!B64</f>
        <v>E39</v>
      </c>
      <c r="C64" s="149" t="str">
        <f>'CPU  1'!C64</f>
        <v>Tenda 3 x 3m</v>
      </c>
      <c r="D64" s="155" t="str">
        <f>'CPU  1'!D64</f>
        <v>vb</v>
      </c>
      <c r="E64" s="151">
        <f>'CPU  1'!E64</f>
        <v>2000</v>
      </c>
      <c r="F64" s="152"/>
      <c r="G64" s="377"/>
      <c r="H64" s="378"/>
      <c r="I64" s="376">
        <f>'CPU  1'!AG64+'CPU  2'!O64+'CPU  3'!AA64+'CPU  4'!AA64+'CPU  5'!U64</f>
        <v>0</v>
      </c>
      <c r="J64" s="138" t="e">
        <f t="shared" si="2"/>
        <v>#DIV/0!</v>
      </c>
    </row>
    <row r="65" spans="2:10" s="109" customFormat="1" ht="21.95" customHeight="1" outlineLevel="1">
      <c r="B65" s="148" t="str">
        <f>'CPU  1'!B65</f>
        <v>E40</v>
      </c>
      <c r="C65" s="149" t="str">
        <f>'CPU  1'!C65</f>
        <v>Terrometro</v>
      </c>
      <c r="D65" s="155" t="str">
        <f>'CPU  1'!D65</f>
        <v>diária</v>
      </c>
      <c r="E65" s="151">
        <f>'CPU  1'!E65</f>
        <v>250</v>
      </c>
      <c r="F65" s="152"/>
      <c r="G65" s="377"/>
      <c r="H65" s="378"/>
      <c r="I65" s="376">
        <f>'CPU  1'!AG65+'CPU  2'!O65+'CPU  3'!AA65+'CPU  4'!AA65+'CPU  5'!U65</f>
        <v>0</v>
      </c>
      <c r="J65" s="138" t="e">
        <f t="shared" si="2"/>
        <v>#DIV/0!</v>
      </c>
    </row>
    <row r="66" spans="2:10" s="109" customFormat="1" ht="21.95" customHeight="1" outlineLevel="1">
      <c r="B66" s="148" t="str">
        <f>'CPU  1'!B66</f>
        <v>E41</v>
      </c>
      <c r="C66" s="149" t="str">
        <f>'CPU  1'!C66</f>
        <v>Torquesa SID13</v>
      </c>
      <c r="D66" s="155" t="str">
        <f>'CPU  1'!D66</f>
        <v>und</v>
      </c>
      <c r="E66" s="151">
        <f>'CPU  1'!E66</f>
        <v>350</v>
      </c>
      <c r="F66" s="152"/>
      <c r="G66" s="377"/>
      <c r="H66" s="378"/>
      <c r="I66" s="376">
        <f>'CPU  1'!AG66+'CPU  2'!O66+'CPU  3'!AA66+'CPU  4'!AA66+'CPU  5'!U66</f>
        <v>0</v>
      </c>
      <c r="J66" s="138" t="e">
        <f t="shared" si="2"/>
        <v>#DIV/0!</v>
      </c>
    </row>
    <row r="67" spans="2:10" s="109" customFormat="1" ht="21.95" customHeight="1" outlineLevel="1">
      <c r="B67" s="148" t="str">
        <f>'CPU  1'!B67</f>
        <v>E42</v>
      </c>
      <c r="C67" s="149" t="str">
        <f>'CPU  1'!C67</f>
        <v>Veiculo hatch</v>
      </c>
      <c r="D67" s="155" t="str">
        <f>'CPU  1'!D67</f>
        <v>vb/mês</v>
      </c>
      <c r="E67" s="151">
        <f>'CPU  1'!E67</f>
        <v>3300</v>
      </c>
      <c r="F67" s="152"/>
      <c r="G67" s="377"/>
      <c r="H67" s="378"/>
      <c r="I67" s="376">
        <f>'CPU  1'!AG67+'CPU  2'!O67+'CPU  3'!AA67+'CPU  4'!AA67+'CPU  5'!U67</f>
        <v>0</v>
      </c>
      <c r="J67" s="138" t="e">
        <f t="shared" si="2"/>
        <v>#DIV/0!</v>
      </c>
    </row>
    <row r="68" spans="2:10" s="109" customFormat="1" ht="21.95" customHeight="1" outlineLevel="1">
      <c r="B68" s="148" t="str">
        <f>'CPU  1'!B68</f>
        <v>E43</v>
      </c>
      <c r="C68" s="149" t="str">
        <f>'CPU  1'!C68</f>
        <v>Veiculo utilitario</v>
      </c>
      <c r="D68" s="155" t="str">
        <f>'CPU  1'!D68</f>
        <v>vb/mês</v>
      </c>
      <c r="E68" s="151">
        <f>'CPU  1'!E68</f>
        <v>3800</v>
      </c>
      <c r="F68" s="152"/>
      <c r="G68" s="377"/>
      <c r="H68" s="378"/>
      <c r="I68" s="376">
        <f>'CPU  1'!AG68+'CPU  2'!O68+'CPU  3'!AA68+'CPU  4'!AA68+'CPU  5'!U68</f>
        <v>0</v>
      </c>
      <c r="J68" s="138" t="e">
        <f t="shared" si="2"/>
        <v>#DIV/0!</v>
      </c>
    </row>
    <row r="69" spans="2:10" s="109" customFormat="1" ht="21.95" customHeight="1" outlineLevel="1">
      <c r="B69" s="148" t="str">
        <f>'CPU  1'!B69</f>
        <v>E44</v>
      </c>
      <c r="C69" s="149" t="str">
        <f>'CPU  1'!C69</f>
        <v>Vibrador de concreto</v>
      </c>
      <c r="D69" s="155" t="str">
        <f>'CPU  1'!D69</f>
        <v>vb</v>
      </c>
      <c r="E69" s="151">
        <f>'CPU  1'!E69</f>
        <v>500</v>
      </c>
      <c r="F69" s="152"/>
      <c r="G69" s="377"/>
      <c r="H69" s="378"/>
      <c r="I69" s="376">
        <f>'CPU  1'!AG69+'CPU  2'!O69+'CPU  3'!AA69+'CPU  4'!AA69+'CPU  5'!U69</f>
        <v>0</v>
      </c>
      <c r="J69" s="138" t="e">
        <f t="shared" si="2"/>
        <v>#DIV/0!</v>
      </c>
    </row>
    <row r="70" spans="2:10" s="109" customFormat="1" ht="21.95" customHeight="1" outlineLevel="1">
      <c r="B70" s="148" t="str">
        <f>'CPU  1'!B70</f>
        <v>E45</v>
      </c>
      <c r="C70" s="149" t="str">
        <f>'CPU  1'!C70</f>
        <v>Radio de comunicação (par)</v>
      </c>
      <c r="D70" s="155" t="str">
        <f>'CPU  1'!D70</f>
        <v>und</v>
      </c>
      <c r="E70" s="151">
        <f>'CPU  1'!E70</f>
        <v>200</v>
      </c>
      <c r="F70" s="152"/>
      <c r="G70" s="377"/>
      <c r="H70" s="378"/>
      <c r="I70" s="376">
        <f>'CPU  1'!AG70+'CPU  2'!O70+'CPU  3'!AA70+'CPU  4'!AA70+'CPU  5'!U70</f>
        <v>0</v>
      </c>
      <c r="J70" s="138" t="e">
        <f t="shared" si="2"/>
        <v>#DIV/0!</v>
      </c>
    </row>
    <row r="71" spans="2:10" s="109" customFormat="1" ht="21.95" customHeight="1" outlineLevel="1">
      <c r="B71" s="148" t="str">
        <f>'CPU  1'!B71</f>
        <v>E46</v>
      </c>
      <c r="C71" s="149" t="str">
        <f>'CPU  1'!C71</f>
        <v>Detector de raios</v>
      </c>
      <c r="D71" s="155" t="str">
        <f>'CPU  1'!D71</f>
        <v>und</v>
      </c>
      <c r="E71" s="151">
        <f>'CPU  1'!E71</f>
        <v>4200</v>
      </c>
      <c r="F71" s="152"/>
      <c r="G71" s="377"/>
      <c r="H71" s="378"/>
      <c r="I71" s="376">
        <f>'CPU  1'!AG71+'CPU  2'!O71+'CPU  3'!AA71+'CPU  4'!AA71+'CPU  5'!U71</f>
        <v>0</v>
      </c>
      <c r="J71" s="138" t="e">
        <f t="shared" si="2"/>
        <v>#DIV/0!</v>
      </c>
    </row>
    <row r="72" spans="2:10" s="109" customFormat="1" ht="21.95" customHeight="1" outlineLevel="1">
      <c r="B72" s="148" t="str">
        <f>'CPU  1'!B72</f>
        <v>E47</v>
      </c>
      <c r="C72" s="149" t="str">
        <f>'CPU  1'!C72</f>
        <v>Luminaria de fotovoltaica canteiro</v>
      </c>
      <c r="D72" s="155" t="str">
        <f>'CPU  1'!D72</f>
        <v>und</v>
      </c>
      <c r="E72" s="151">
        <f>'CPU  1'!E72</f>
        <v>510</v>
      </c>
      <c r="F72" s="152"/>
      <c r="G72" s="377"/>
      <c r="H72" s="378"/>
      <c r="I72" s="376">
        <f>'CPU  1'!AG72+'CPU  2'!O72+'CPU  3'!AA72+'CPU  4'!AA72+'CPU  5'!U72</f>
        <v>0</v>
      </c>
      <c r="J72" s="138" t="e">
        <f t="shared" si="2"/>
        <v>#DIV/0!</v>
      </c>
    </row>
    <row r="73" spans="2:10" s="109" customFormat="1" ht="21.95" customHeight="1" outlineLevel="1">
      <c r="B73" s="148" t="str">
        <f>'CPU  1'!B73</f>
        <v>E48</v>
      </c>
      <c r="C73" s="149" t="str">
        <f>'CPU  1'!C73</f>
        <v>Retroescavadeira</v>
      </c>
      <c r="D73" s="155" t="str">
        <f>'CPU  1'!D73</f>
        <v>vb/mês</v>
      </c>
      <c r="E73" s="151">
        <f>'CPU  1'!E73</f>
        <v>29000</v>
      </c>
      <c r="F73" s="152"/>
      <c r="G73" s="377"/>
      <c r="H73" s="378"/>
      <c r="I73" s="376">
        <f>'CPU  1'!AG73+'CPU  2'!O73+'CPU  3'!AA73+'CPU  4'!AA73+'CPU  5'!U73</f>
        <v>0</v>
      </c>
      <c r="J73" s="138" t="e">
        <f t="shared" si="2"/>
        <v>#DIV/0!</v>
      </c>
    </row>
    <row r="74" spans="2:10" s="109" customFormat="1" ht="21.95" customHeight="1" outlineLevel="1">
      <c r="B74" s="148" t="str">
        <f>'CPU  1'!B74</f>
        <v>E49</v>
      </c>
      <c r="C74" s="149" t="str">
        <f>'CPU  1'!C74</f>
        <v>Caminhão Basculante</v>
      </c>
      <c r="D74" s="155" t="str">
        <f>'CPU  1'!D74</f>
        <v>vb/mês</v>
      </c>
      <c r="E74" s="151">
        <f>'CPU  1'!E74</f>
        <v>37000</v>
      </c>
      <c r="F74" s="152"/>
      <c r="G74" s="377"/>
      <c r="H74" s="378"/>
      <c r="I74" s="376">
        <f>'CPU  1'!AG74+'CPU  2'!O74+'CPU  3'!AA74+'CPU  4'!AA74+'CPU  5'!U74</f>
        <v>0</v>
      </c>
      <c r="J74" s="138" t="e">
        <f t="shared" si="2"/>
        <v>#DIV/0!</v>
      </c>
    </row>
    <row r="75" spans="2:10" s="109" customFormat="1" ht="21.95" customHeight="1" outlineLevel="1">
      <c r="B75" s="148" t="str">
        <f>'CPU  1'!B75</f>
        <v>E50</v>
      </c>
      <c r="C75" s="149">
        <f>'CPU  1'!C75</f>
        <v>0</v>
      </c>
      <c r="D75" s="155">
        <f>'CPU  1'!D75</f>
        <v>0</v>
      </c>
      <c r="E75" s="151">
        <f>'CPU  1'!E75</f>
        <v>0</v>
      </c>
      <c r="F75" s="152"/>
      <c r="G75" s="377"/>
      <c r="H75" s="378"/>
      <c r="I75" s="376">
        <f>'CPU  1'!AG75+'CPU  2'!O75+'CPU  3'!AA75+'CPU  4'!AA75+'CPU  5'!U75</f>
        <v>0</v>
      </c>
      <c r="J75" s="138" t="e">
        <f t="shared" si="2"/>
        <v>#DIV/0!</v>
      </c>
    </row>
    <row r="76" spans="2:10" s="109" customFormat="1" ht="21.95" customHeight="1" outlineLevel="1">
      <c r="B76" s="148" t="str">
        <f>'CPU  1'!B76</f>
        <v>E51</v>
      </c>
      <c r="C76" s="149">
        <f>'CPU  1'!C76</f>
        <v>0</v>
      </c>
      <c r="D76" s="155">
        <f>'CPU  1'!D76</f>
        <v>0</v>
      </c>
      <c r="E76" s="151">
        <f>'CPU  1'!E76</f>
        <v>0</v>
      </c>
      <c r="F76" s="152"/>
      <c r="G76" s="377"/>
      <c r="H76" s="378"/>
      <c r="I76" s="376">
        <f>'CPU  1'!AG76+'CPU  2'!O76+'CPU  3'!AA76+'CPU  4'!AA76+'CPU  5'!U76</f>
        <v>0</v>
      </c>
      <c r="J76" s="138" t="e">
        <f t="shared" si="2"/>
        <v>#DIV/0!</v>
      </c>
    </row>
    <row r="77" spans="2:10" s="109" customFormat="1" ht="21.95" customHeight="1" outlineLevel="1">
      <c r="B77" s="148" t="str">
        <f>'CPU  1'!B77</f>
        <v>E52</v>
      </c>
      <c r="C77" s="149">
        <f>'CPU  1'!C77</f>
        <v>0</v>
      </c>
      <c r="D77" s="155">
        <f>'CPU  1'!D77</f>
        <v>0</v>
      </c>
      <c r="E77" s="151">
        <f>'CPU  1'!E77</f>
        <v>0</v>
      </c>
      <c r="F77" s="152"/>
      <c r="G77" s="377"/>
      <c r="H77" s="378"/>
      <c r="I77" s="376">
        <f>'CPU  1'!AG77+'CPU  2'!O77+'CPU  3'!AA77+'CPU  4'!AA77+'CPU  5'!U77</f>
        <v>0</v>
      </c>
      <c r="J77" s="138" t="e">
        <f t="shared" si="2"/>
        <v>#DIV/0!</v>
      </c>
    </row>
    <row r="78" spans="2:10" s="109" customFormat="1" ht="21.95" customHeight="1" outlineLevel="1">
      <c r="B78" s="148" t="str">
        <f>'CPU  1'!B78</f>
        <v>E53</v>
      </c>
      <c r="C78" s="149">
        <f>'CPU  1'!C78</f>
        <v>0</v>
      </c>
      <c r="D78" s="155">
        <f>'CPU  1'!D78</f>
        <v>0</v>
      </c>
      <c r="E78" s="151">
        <f>'CPU  1'!E78</f>
        <v>0</v>
      </c>
      <c r="F78" s="152"/>
      <c r="G78" s="377"/>
      <c r="H78" s="378"/>
      <c r="I78" s="376">
        <f>'CPU  1'!AG78+'CPU  2'!O78+'CPU  3'!AA78+'CPU  4'!AA78+'CPU  5'!U78</f>
        <v>0</v>
      </c>
      <c r="J78" s="138" t="e">
        <f t="shared" si="2"/>
        <v>#DIV/0!</v>
      </c>
    </row>
    <row r="79" spans="2:10" s="109" customFormat="1" ht="21.95" customHeight="1" outlineLevel="1" thickBot="1">
      <c r="B79" s="148" t="str">
        <f>'CPU  1'!B79</f>
        <v>E54</v>
      </c>
      <c r="C79" s="149">
        <f>'CPU  1'!C79</f>
        <v>0</v>
      </c>
      <c r="D79" s="155">
        <f>'CPU  1'!D79</f>
        <v>0</v>
      </c>
      <c r="E79" s="151">
        <f>'CPU  1'!E79</f>
        <v>0</v>
      </c>
      <c r="F79" s="152"/>
      <c r="G79" s="377"/>
      <c r="H79" s="378"/>
      <c r="I79" s="376">
        <f>'CPU  1'!AG79+'CPU  2'!O79+'CPU  3'!AA79+'CPU  4'!AA79+'CPU  5'!U79</f>
        <v>0</v>
      </c>
      <c r="J79" s="138" t="e">
        <f t="shared" si="2"/>
        <v>#DIV/0!</v>
      </c>
    </row>
    <row r="80" spans="2:10" s="109" customFormat="1" ht="21.95" customHeight="1" thickBot="1">
      <c r="B80" s="694" t="s">
        <v>136</v>
      </c>
      <c r="C80" s="695"/>
      <c r="D80" s="695"/>
      <c r="E80" s="695" t="e">
        <f>SUM(#REF!)</f>
        <v>#REF!</v>
      </c>
      <c r="F80" s="143"/>
      <c r="G80" s="263"/>
      <c r="H80" s="264"/>
      <c r="I80" s="265">
        <f>SUM(I26:I79)</f>
        <v>0</v>
      </c>
      <c r="J80" s="138"/>
    </row>
    <row r="81" spans="2:11" s="109" customFormat="1" ht="21.95" customHeight="1" thickBot="1">
      <c r="B81" s="699" t="s">
        <v>34</v>
      </c>
      <c r="C81" s="700"/>
      <c r="D81" s="700"/>
      <c r="E81" s="701"/>
      <c r="F81" s="143"/>
      <c r="G81" s="711"/>
      <c r="H81" s="711"/>
      <c r="I81" s="711"/>
      <c r="J81" s="138"/>
    </row>
    <row r="82" spans="2:11" s="127" customFormat="1" ht="21.95" customHeight="1" thickBot="1">
      <c r="B82" s="258" t="s">
        <v>163</v>
      </c>
      <c r="C82" s="259" t="s">
        <v>169</v>
      </c>
      <c r="D82" s="260" t="s">
        <v>30</v>
      </c>
      <c r="E82" s="261" t="s">
        <v>31</v>
      </c>
      <c r="F82" s="124"/>
      <c r="G82" s="258" t="s">
        <v>6</v>
      </c>
      <c r="H82" s="261" t="s">
        <v>32</v>
      </c>
      <c r="I82" s="262" t="s">
        <v>5</v>
      </c>
      <c r="J82" s="125"/>
      <c r="K82" s="126"/>
    </row>
    <row r="83" spans="2:11" s="109" customFormat="1" ht="21.95" customHeight="1" outlineLevel="1">
      <c r="B83" s="148" t="str">
        <f>'CPU  1'!B83</f>
        <v>M01</v>
      </c>
      <c r="C83" s="156" t="str">
        <f>'CPU  1'!C83</f>
        <v>Aço CA-50, (ferro 8.0)</v>
      </c>
      <c r="D83" s="157" t="str">
        <f>'CPU  1'!D83</f>
        <v>kg</v>
      </c>
      <c r="E83" s="158">
        <f>'CPU  1'!E83</f>
        <v>12.5</v>
      </c>
      <c r="F83" s="152"/>
      <c r="G83" s="379"/>
      <c r="H83" s="380"/>
      <c r="I83" s="376">
        <f>'CPU  1'!AG83+'CPU  2'!O83+'CPU  3'!AA83+'CPU  4'!AA83+'CPU  5'!U83</f>
        <v>0</v>
      </c>
      <c r="J83" s="138" t="e">
        <f t="shared" ref="J83:J114" si="3">I83/$I$162</f>
        <v>#DIV/0!</v>
      </c>
    </row>
    <row r="84" spans="2:11" s="109" customFormat="1" ht="21.95" customHeight="1" outlineLevel="1">
      <c r="B84" s="148" t="str">
        <f>'CPU  1'!B84</f>
        <v>M02</v>
      </c>
      <c r="C84" s="156" t="str">
        <f>'CPU  1'!C84</f>
        <v>Agua Mineral</v>
      </c>
      <c r="D84" s="157" t="str">
        <f>'CPU  1'!D84</f>
        <v>litro</v>
      </c>
      <c r="E84" s="158">
        <f>'CPU  1'!E84</f>
        <v>1</v>
      </c>
      <c r="F84" s="152"/>
      <c r="G84" s="379"/>
      <c r="H84" s="380"/>
      <c r="I84" s="376">
        <f>'CPU  1'!AG84+'CPU  2'!O84+'CPU  3'!AA84+'CPU  4'!AA84+'CPU  5'!U84</f>
        <v>0</v>
      </c>
      <c r="J84" s="138" t="e">
        <f t="shared" si="3"/>
        <v>#DIV/0!</v>
      </c>
    </row>
    <row r="85" spans="2:11" s="109" customFormat="1" ht="21.95" customHeight="1" outlineLevel="1">
      <c r="B85" s="148" t="str">
        <f>'CPU  1'!B85</f>
        <v>M03</v>
      </c>
      <c r="C85" s="156" t="str">
        <f>'CPU  1'!C85</f>
        <v>Arame ovalado zincado</v>
      </c>
      <c r="D85" s="157" t="str">
        <f>'CPU  1'!D85</f>
        <v>m</v>
      </c>
      <c r="E85" s="158">
        <f>'CPU  1'!E85</f>
        <v>1</v>
      </c>
      <c r="F85" s="152"/>
      <c r="G85" s="379"/>
      <c r="H85" s="380"/>
      <c r="I85" s="376">
        <f>'CPU  1'!AG85+'CPU  2'!O85+'CPU  3'!AA85+'CPU  4'!AA85+'CPU  5'!U85</f>
        <v>0</v>
      </c>
      <c r="J85" s="138" t="e">
        <f t="shared" si="3"/>
        <v>#DIV/0!</v>
      </c>
    </row>
    <row r="86" spans="2:11" s="109" customFormat="1" ht="21.95" customHeight="1" outlineLevel="1">
      <c r="B86" s="148" t="str">
        <f>'CPU  1'!B86</f>
        <v>M04</v>
      </c>
      <c r="C86" s="156" t="str">
        <f>'CPU  1'!C86</f>
        <v>Areia</v>
      </c>
      <c r="D86" s="157" t="str">
        <f>'CPU  1'!D86</f>
        <v>m³</v>
      </c>
      <c r="E86" s="158">
        <f>'CPU  1'!E86</f>
        <v>120</v>
      </c>
      <c r="F86" s="152"/>
      <c r="G86" s="379"/>
      <c r="H86" s="380"/>
      <c r="I86" s="376">
        <f>'CPU  1'!AG86+'CPU  2'!O86+'CPU  3'!AA86+'CPU  4'!AA86+'CPU  5'!U86</f>
        <v>0</v>
      </c>
      <c r="J86" s="138" t="e">
        <f t="shared" si="3"/>
        <v>#DIV/0!</v>
      </c>
    </row>
    <row r="87" spans="2:11" s="109" customFormat="1" ht="21.95" customHeight="1" outlineLevel="1">
      <c r="B87" s="148" t="str">
        <f>'CPU  1'!B87</f>
        <v>M05</v>
      </c>
      <c r="C87" s="156" t="str">
        <f>'CPU  1'!C87</f>
        <v>Arrame galganizado</v>
      </c>
      <c r="D87" s="157" t="str">
        <f>'CPU  1'!D87</f>
        <v>kg</v>
      </c>
      <c r="E87" s="158">
        <f>'CPU  1'!E87</f>
        <v>16.8</v>
      </c>
      <c r="F87" s="152"/>
      <c r="G87" s="379"/>
      <c r="H87" s="380"/>
      <c r="I87" s="376">
        <f>'CPU  1'!AG87+'CPU  2'!O87+'CPU  3'!AA87+'CPU  4'!AA87+'CPU  5'!U87</f>
        <v>0</v>
      </c>
      <c r="J87" s="138" t="e">
        <f t="shared" si="3"/>
        <v>#DIV/0!</v>
      </c>
    </row>
    <row r="88" spans="2:11" s="109" customFormat="1" ht="21.95" customHeight="1" outlineLevel="1">
      <c r="B88" s="148" t="str">
        <f>'CPU  1'!B88</f>
        <v>M06</v>
      </c>
      <c r="C88" s="156" t="str">
        <f>'CPU  1'!C88</f>
        <v>Arrame recozido</v>
      </c>
      <c r="D88" s="157" t="str">
        <f>'CPU  1'!D88</f>
        <v>kg</v>
      </c>
      <c r="E88" s="158">
        <f>'CPU  1'!E88</f>
        <v>12</v>
      </c>
      <c r="F88" s="152"/>
      <c r="G88" s="379"/>
      <c r="H88" s="380"/>
      <c r="I88" s="376">
        <f>'CPU  1'!AG88+'CPU  2'!O88+'CPU  3'!AA88+'CPU  4'!AA88+'CPU  5'!U88</f>
        <v>0</v>
      </c>
      <c r="J88" s="138" t="e">
        <f t="shared" si="3"/>
        <v>#DIV/0!</v>
      </c>
    </row>
    <row r="89" spans="2:11" s="109" customFormat="1" ht="21.95" customHeight="1" outlineLevel="1">
      <c r="B89" s="148" t="str">
        <f>'CPU  1'!B89</f>
        <v>M07</v>
      </c>
      <c r="C89" s="156" t="str">
        <f>'CPU  1'!C89</f>
        <v>Barrote de madeira 7x7cm</v>
      </c>
      <c r="D89" s="157" t="str">
        <f>'CPU  1'!D89</f>
        <v>m</v>
      </c>
      <c r="E89" s="158">
        <f>'CPU  1'!E89</f>
        <v>15</v>
      </c>
      <c r="F89" s="152"/>
      <c r="G89" s="379"/>
      <c r="H89" s="380"/>
      <c r="I89" s="376">
        <f>'CPU  1'!AG89+'CPU  2'!O89+'CPU  3'!AA89+'CPU  4'!AA89+'CPU  5'!U89</f>
        <v>0</v>
      </c>
      <c r="J89" s="138" t="e">
        <f t="shared" si="3"/>
        <v>#DIV/0!</v>
      </c>
    </row>
    <row r="90" spans="2:11" s="109" customFormat="1" ht="21.95" customHeight="1" outlineLevel="1">
      <c r="B90" s="148" t="str">
        <f>'CPU  1'!B90</f>
        <v>M08</v>
      </c>
      <c r="C90" s="149" t="str">
        <f>'CPU  1'!C90</f>
        <v>Bloco tipo canaleta (14x19x39cm)</v>
      </c>
      <c r="D90" s="150" t="str">
        <f>'CPU  1'!D90</f>
        <v>peça</v>
      </c>
      <c r="E90" s="151">
        <f>'CPU  1'!E90</f>
        <v>8.9</v>
      </c>
      <c r="F90" s="152"/>
      <c r="G90" s="379"/>
      <c r="H90" s="380"/>
      <c r="I90" s="376">
        <f>'CPU  1'!AG90+'CPU  2'!O90+'CPU  3'!AA90+'CPU  4'!AA90+'CPU  5'!U90</f>
        <v>0</v>
      </c>
      <c r="J90" s="138" t="e">
        <f t="shared" si="3"/>
        <v>#DIV/0!</v>
      </c>
    </row>
    <row r="91" spans="2:11" s="109" customFormat="1" ht="21.95" customHeight="1" outlineLevel="1">
      <c r="B91" s="148" t="str">
        <f>'CPU  1'!B91</f>
        <v>M09</v>
      </c>
      <c r="C91" s="161" t="str">
        <f>'CPU  1'!C91</f>
        <v>Brita 1</v>
      </c>
      <c r="D91" s="157" t="str">
        <f>'CPU  1'!D91</f>
        <v>m³</v>
      </c>
      <c r="E91" s="158">
        <f>'CPU  1'!E91</f>
        <v>220</v>
      </c>
      <c r="F91" s="152"/>
      <c r="G91" s="379"/>
      <c r="H91" s="380"/>
      <c r="I91" s="376">
        <f>'CPU  1'!AG91+'CPU  2'!O91+'CPU  3'!AA91+'CPU  4'!AA91+'CPU  5'!U91</f>
        <v>0</v>
      </c>
      <c r="J91" s="138" t="e">
        <f t="shared" si="3"/>
        <v>#DIV/0!</v>
      </c>
    </row>
    <row r="92" spans="2:11" s="109" customFormat="1" ht="21.95" customHeight="1" outlineLevel="1">
      <c r="B92" s="148" t="str">
        <f>'CPU  1'!B92</f>
        <v>M11</v>
      </c>
      <c r="C92" s="149" t="str">
        <f>'CPU  1'!C92</f>
        <v>Caixa de passagens para aterramento h600 diâmetro 30cm</v>
      </c>
      <c r="D92" s="150" t="str">
        <f>'CPU  1'!D92</f>
        <v>und</v>
      </c>
      <c r="E92" s="151">
        <f>'CPU  1'!E92</f>
        <v>590</v>
      </c>
      <c r="F92" s="152"/>
      <c r="G92" s="379"/>
      <c r="H92" s="380"/>
      <c r="I92" s="376">
        <f>'CPU  1'!AG92+'CPU  2'!O92+'CPU  3'!AA92+'CPU  4'!AA92+'CPU  5'!U92</f>
        <v>0</v>
      </c>
      <c r="J92" s="138" t="e">
        <f t="shared" si="3"/>
        <v>#DIV/0!</v>
      </c>
    </row>
    <row r="93" spans="2:11" s="109" customFormat="1" ht="21.95" customHeight="1" outlineLevel="1">
      <c r="B93" s="148" t="str">
        <f>'CPU  1'!B93</f>
        <v>M12</v>
      </c>
      <c r="C93" s="149" t="str">
        <f>'CPU  1'!C93</f>
        <v>Catoneira galvanizada 1"x1-1/4</v>
      </c>
      <c r="D93" s="150" t="str">
        <f>'CPU  1'!D93</f>
        <v>m</v>
      </c>
      <c r="E93" s="151">
        <f>'CPU  1'!E93</f>
        <v>24.999999999999996</v>
      </c>
      <c r="F93" s="152"/>
      <c r="G93" s="379"/>
      <c r="H93" s="380"/>
      <c r="I93" s="376">
        <f>'CPU  1'!AG93+'CPU  2'!O93+'CPU  3'!AA93+'CPU  4'!AA93+'CPU  5'!U93</f>
        <v>0</v>
      </c>
      <c r="J93" s="138" t="e">
        <f t="shared" si="3"/>
        <v>#DIV/0!</v>
      </c>
    </row>
    <row r="94" spans="2:11" s="109" customFormat="1" ht="36" customHeight="1" outlineLevel="1">
      <c r="B94" s="148" t="str">
        <f>'CPU  1'!B94</f>
        <v>M13</v>
      </c>
      <c r="C94" s="149" t="str">
        <f>'CPU  1'!C94</f>
        <v>Cercamento e delimitação de canteiro de obra (15x30m)</v>
      </c>
      <c r="D94" s="150" t="str">
        <f>'CPU  1'!D94</f>
        <v>vb</v>
      </c>
      <c r="E94" s="151">
        <f>'CPU  1'!E94</f>
        <v>10000</v>
      </c>
      <c r="F94" s="152"/>
      <c r="G94" s="379"/>
      <c r="H94" s="380"/>
      <c r="I94" s="376">
        <f>'CPU  1'!AG94+'CPU  2'!O94+'CPU  3'!AA94+'CPU  4'!AA94+'CPU  5'!U94</f>
        <v>0</v>
      </c>
      <c r="J94" s="138" t="e">
        <f t="shared" si="3"/>
        <v>#DIV/0!</v>
      </c>
    </row>
    <row r="95" spans="2:11" s="109" customFormat="1" ht="21.95" customHeight="1" outlineLevel="1">
      <c r="B95" s="148" t="str">
        <f>'CPU  1'!B95</f>
        <v>M14</v>
      </c>
      <c r="C95" s="149" t="str">
        <f>'CPU  1'!C95</f>
        <v>Cimento</v>
      </c>
      <c r="D95" s="150" t="str">
        <f>'CPU  1'!D95</f>
        <v>saco</v>
      </c>
      <c r="E95" s="151">
        <f>'CPU  1'!E95</f>
        <v>50</v>
      </c>
      <c r="F95" s="152"/>
      <c r="G95" s="379"/>
      <c r="H95" s="380"/>
      <c r="I95" s="376">
        <f>'CPU  1'!AG95+'CPU  2'!O95+'CPU  3'!AA95+'CPU  4'!AA95+'CPU  5'!U95</f>
        <v>0</v>
      </c>
      <c r="J95" s="138" t="e">
        <f t="shared" si="3"/>
        <v>#DIV/0!</v>
      </c>
    </row>
    <row r="96" spans="2:11" s="109" customFormat="1" ht="21.95" customHeight="1" outlineLevel="1">
      <c r="B96" s="148" t="str">
        <f>'CPU  1'!B96</f>
        <v>M15</v>
      </c>
      <c r="C96" s="149" t="str">
        <f>'CPU  1'!C96</f>
        <v>Combustivel - Gasolina</v>
      </c>
      <c r="D96" s="150" t="str">
        <f>'CPU  1'!D96</f>
        <v>litro</v>
      </c>
      <c r="E96" s="151">
        <f>'CPU  1'!E96</f>
        <v>6.5</v>
      </c>
      <c r="F96" s="152"/>
      <c r="G96" s="379"/>
      <c r="H96" s="380"/>
      <c r="I96" s="376">
        <f>'CPU  1'!AG96+'CPU  2'!O96+'CPU  3'!AA96+'CPU  4'!AA96+'CPU  5'!U96</f>
        <v>0</v>
      </c>
      <c r="J96" s="138" t="e">
        <f t="shared" si="3"/>
        <v>#DIV/0!</v>
      </c>
    </row>
    <row r="97" spans="2:10" s="109" customFormat="1" ht="21.95" customHeight="1" outlineLevel="1">
      <c r="B97" s="148" t="str">
        <f>'CPU  1'!B97</f>
        <v>M16</v>
      </c>
      <c r="C97" s="149" t="str">
        <f>'CPU  1'!C97</f>
        <v>Combustivel - Diesel</v>
      </c>
      <c r="D97" s="150" t="str">
        <f>'CPU  1'!D97</f>
        <v>litro</v>
      </c>
      <c r="E97" s="151">
        <f>'CPU  1'!E97</f>
        <v>7</v>
      </c>
      <c r="F97" s="152"/>
      <c r="G97" s="379"/>
      <c r="H97" s="380"/>
      <c r="I97" s="376">
        <f>'CPU  1'!AG97+'CPU  2'!O97+'CPU  3'!AA97+'CPU  4'!AA97+'CPU  5'!U97</f>
        <v>0</v>
      </c>
      <c r="J97" s="138" t="e">
        <f t="shared" si="3"/>
        <v>#DIV/0!</v>
      </c>
    </row>
    <row r="98" spans="2:10" s="109" customFormat="1" ht="36" customHeight="1" outlineLevel="1">
      <c r="B98" s="148" t="str">
        <f>'CPU  1'!B98</f>
        <v>M17</v>
      </c>
      <c r="C98" s="149" t="str">
        <f>'CPU  1'!C98</f>
        <v>Compensado resinado espessura mínima de 10mm</v>
      </c>
      <c r="D98" s="150" t="str">
        <f>'CPU  1'!D98</f>
        <v>m²</v>
      </c>
      <c r="E98" s="151">
        <f>'CPU  1'!E98</f>
        <v>49.586776859504127</v>
      </c>
      <c r="F98" s="152"/>
      <c r="G98" s="379"/>
      <c r="H98" s="380"/>
      <c r="I98" s="376">
        <f>'CPU  1'!AG98+'CPU  2'!O98+'CPU  3'!AA98+'CPU  4'!AA98+'CPU  5'!U98</f>
        <v>0</v>
      </c>
      <c r="J98" s="138" t="e">
        <f t="shared" si="3"/>
        <v>#DIV/0!</v>
      </c>
    </row>
    <row r="99" spans="2:10" s="109" customFormat="1" ht="36" customHeight="1" outlineLevel="1">
      <c r="B99" s="148" t="str">
        <f>'CPU  1'!B99</f>
        <v>M18</v>
      </c>
      <c r="C99" s="149" t="str">
        <f>'CPU  1'!C99</f>
        <v>Concertina dupla clipada 45cm perimetral galvanizada CBT 65 RL 10m com seus respectivos acessórios de fixação</v>
      </c>
      <c r="D99" s="150" t="str">
        <f>'CPU  1'!D99</f>
        <v>m</v>
      </c>
      <c r="E99" s="151">
        <f>'CPU  1'!E99</f>
        <v>42</v>
      </c>
      <c r="F99" s="152"/>
      <c r="G99" s="379"/>
      <c r="H99" s="380"/>
      <c r="I99" s="376">
        <f>'CPU  1'!AG99+'CPU  2'!O99+'CPU  3'!AA99+'CPU  4'!AA99+'CPU  5'!U99</f>
        <v>0</v>
      </c>
      <c r="J99" s="138" t="e">
        <f t="shared" si="3"/>
        <v>#DIV/0!</v>
      </c>
    </row>
    <row r="100" spans="2:10" s="109" customFormat="1" ht="21.95" customHeight="1" outlineLevel="1">
      <c r="B100" s="148" t="str">
        <f>'CPU  1'!B100</f>
        <v>M19</v>
      </c>
      <c r="C100" s="149" t="str">
        <f>'CPU  1'!C100</f>
        <v>Concreto usinado 30MPa</v>
      </c>
      <c r="D100" s="150" t="str">
        <f>'CPU  1'!D100</f>
        <v>m³</v>
      </c>
      <c r="E100" s="151">
        <f>'CPU  1'!E100</f>
        <v>650</v>
      </c>
      <c r="F100" s="152"/>
      <c r="G100" s="379"/>
      <c r="H100" s="380"/>
      <c r="I100" s="376">
        <f>'CPU  1'!AG100+'CPU  2'!O100+'CPU  3'!AA100+'CPU  4'!AA100+'CPU  5'!U100</f>
        <v>0</v>
      </c>
      <c r="J100" s="138" t="e">
        <f t="shared" si="3"/>
        <v>#DIV/0!</v>
      </c>
    </row>
    <row r="101" spans="2:10" s="109" customFormat="1" ht="21.95" customHeight="1" outlineLevel="1">
      <c r="B101" s="148" t="str">
        <f>'CPU  1'!B101</f>
        <v>M20</v>
      </c>
      <c r="C101" s="149" t="str">
        <f>'CPU  1'!C101</f>
        <v>Espaçadores de ferragem</v>
      </c>
      <c r="D101" s="150" t="str">
        <f>'CPU  1'!D101</f>
        <v>und</v>
      </c>
      <c r="E101" s="151">
        <f>'CPU  1'!E101</f>
        <v>2</v>
      </c>
      <c r="F101" s="152"/>
      <c r="G101" s="379"/>
      <c r="H101" s="380"/>
      <c r="I101" s="376">
        <f>'CPU  1'!AG101+'CPU  2'!O101+'CPU  3'!AA101+'CPU  4'!AA101+'CPU  5'!U101</f>
        <v>0</v>
      </c>
      <c r="J101" s="138" t="e">
        <f t="shared" si="3"/>
        <v>#DIV/0!</v>
      </c>
    </row>
    <row r="102" spans="2:10" s="109" customFormat="1" ht="21.95" customHeight="1" outlineLevel="1">
      <c r="B102" s="148" t="str">
        <f>'CPU  1'!B102</f>
        <v>M21</v>
      </c>
      <c r="C102" s="149" t="str">
        <f>'CPU  1'!C102</f>
        <v>Treliça - para viga baldrame</v>
      </c>
      <c r="D102" s="150" t="str">
        <f>'CPU  1'!D102</f>
        <v>m</v>
      </c>
      <c r="E102" s="151">
        <f>'CPU  1'!E102</f>
        <v>7.5</v>
      </c>
      <c r="F102" s="152"/>
      <c r="G102" s="379"/>
      <c r="H102" s="380"/>
      <c r="I102" s="376">
        <f>'CPU  1'!AG102+'CPU  2'!O102+'CPU  3'!AA102+'CPU  4'!AA102+'CPU  5'!U102</f>
        <v>0</v>
      </c>
      <c r="J102" s="138" t="e">
        <f t="shared" si="3"/>
        <v>#DIV/0!</v>
      </c>
    </row>
    <row r="103" spans="2:10" s="109" customFormat="1" ht="21.95" customHeight="1" outlineLevel="1">
      <c r="B103" s="148" t="str">
        <f>'CPU  1'!B103</f>
        <v>M22</v>
      </c>
      <c r="C103" s="149" t="str">
        <f>'CPU  1'!C103</f>
        <v>Gelo</v>
      </c>
      <c r="D103" s="150" t="str">
        <f>'CPU  1'!D103</f>
        <v>pacote</v>
      </c>
      <c r="E103" s="151">
        <f>'CPU  1'!E103</f>
        <v>5</v>
      </c>
      <c r="F103" s="152"/>
      <c r="G103" s="379"/>
      <c r="H103" s="380"/>
      <c r="I103" s="376">
        <f>'CPU  1'!AG103+'CPU  2'!O103+'CPU  3'!AA103+'CPU  4'!AA103+'CPU  5'!U103</f>
        <v>0</v>
      </c>
      <c r="J103" s="138" t="e">
        <f t="shared" si="3"/>
        <v>#DIV/0!</v>
      </c>
    </row>
    <row r="104" spans="2:10" s="109" customFormat="1" ht="21.95" customHeight="1" outlineLevel="1">
      <c r="B104" s="148" t="str">
        <f>'CPU  1'!B104</f>
        <v>M23</v>
      </c>
      <c r="C104" s="149" t="str">
        <f>'CPU  1'!C104</f>
        <v>Kit ambiental</v>
      </c>
      <c r="D104" s="150" t="str">
        <f>'CPU  1'!D104</f>
        <v>vb</v>
      </c>
      <c r="E104" s="151">
        <f>'CPU  1'!E104</f>
        <v>750</v>
      </c>
      <c r="F104" s="152"/>
      <c r="G104" s="379"/>
      <c r="H104" s="380"/>
      <c r="I104" s="376">
        <f>'CPU  1'!AG104+'CPU  2'!O104+'CPU  3'!AA104+'CPU  4'!AA104+'CPU  5'!U104</f>
        <v>0</v>
      </c>
      <c r="J104" s="138" t="e">
        <f t="shared" si="3"/>
        <v>#DIV/0!</v>
      </c>
    </row>
    <row r="105" spans="2:10" s="109" customFormat="1" ht="36" customHeight="1" outlineLevel="1">
      <c r="B105" s="148" t="str">
        <f>'CPU  1'!B105</f>
        <v>M24</v>
      </c>
      <c r="C105" s="149" t="str">
        <f>'CPU  1'!C105</f>
        <v>Material de escritório (papel, tinta, grampos, pastas, ...)</v>
      </c>
      <c r="D105" s="150" t="str">
        <f>'CPU  1'!D105</f>
        <v>vb/mês</v>
      </c>
      <c r="E105" s="151">
        <f>'CPU  1'!E105</f>
        <v>300</v>
      </c>
      <c r="F105" s="152"/>
      <c r="G105" s="379"/>
      <c r="H105" s="380"/>
      <c r="I105" s="376">
        <f>'CPU  1'!AG105+'CPU  2'!O105+'CPU  3'!AA105+'CPU  4'!AA105+'CPU  5'!U105</f>
        <v>0</v>
      </c>
      <c r="J105" s="138" t="e">
        <f t="shared" si="3"/>
        <v>#DIV/0!</v>
      </c>
    </row>
    <row r="106" spans="2:10" s="109" customFormat="1" ht="21.95" customHeight="1" outlineLevel="1">
      <c r="B106" s="148" t="str">
        <f>'CPU  1'!B106</f>
        <v>M25</v>
      </c>
      <c r="C106" s="149" t="str">
        <f>'CPU  1'!C106</f>
        <v>Material de sinalização</v>
      </c>
      <c r="D106" s="150" t="str">
        <f>'CPU  1'!D106</f>
        <v>und</v>
      </c>
      <c r="E106" s="151">
        <f>'CPU  1'!E106</f>
        <v>550</v>
      </c>
      <c r="F106" s="152"/>
      <c r="G106" s="379"/>
      <c r="H106" s="380"/>
      <c r="I106" s="376">
        <f>'CPU  1'!AG106+'CPU  2'!O106+'CPU  3'!AA106+'CPU  4'!AA106+'CPU  5'!U106</f>
        <v>0</v>
      </c>
      <c r="J106" s="138" t="e">
        <f t="shared" si="3"/>
        <v>#DIV/0!</v>
      </c>
    </row>
    <row r="107" spans="2:10" s="109" customFormat="1" ht="21.95" customHeight="1" outlineLevel="1">
      <c r="B107" s="148" t="str">
        <f>'CPU  1'!B107</f>
        <v>M26</v>
      </c>
      <c r="C107" s="149" t="str">
        <f>'CPU  1'!C107</f>
        <v>Mourão tipo Y, 13 x 13 x 313cm fck 30mpa</v>
      </c>
      <c r="D107" s="150" t="str">
        <f>'CPU  1'!D107</f>
        <v>peça</v>
      </c>
      <c r="E107" s="151">
        <f>'CPU  1'!E107</f>
        <v>248.39999999999998</v>
      </c>
      <c r="F107" s="152"/>
      <c r="G107" s="379"/>
      <c r="H107" s="380"/>
      <c r="I107" s="376">
        <f>'CPU  1'!AG107+'CPU  2'!O107+'CPU  3'!AA107+'CPU  4'!AA107+'CPU  5'!U107</f>
        <v>0</v>
      </c>
      <c r="J107" s="138" t="e">
        <f t="shared" si="3"/>
        <v>#DIV/0!</v>
      </c>
    </row>
    <row r="108" spans="2:10" s="109" customFormat="1" ht="21.95" customHeight="1" outlineLevel="1">
      <c r="B108" s="148" t="str">
        <f>'CPU  1'!B108</f>
        <v>M27</v>
      </c>
      <c r="C108" s="149" t="str">
        <f>'CPU  1'!C108</f>
        <v>Mourão em eucalipto 10cm x 273cm</v>
      </c>
      <c r="D108" s="150" t="str">
        <f>'CPU  1'!D108</f>
        <v>peça</v>
      </c>
      <c r="E108" s="151">
        <f>'CPU  1'!E108</f>
        <v>104.39999999999999</v>
      </c>
      <c r="F108" s="152"/>
      <c r="G108" s="379"/>
      <c r="H108" s="380"/>
      <c r="I108" s="376">
        <f>'CPU  1'!AG108+'CPU  2'!O108+'CPU  3'!AA108+'CPU  4'!AA108+'CPU  5'!U108</f>
        <v>0</v>
      </c>
      <c r="J108" s="138" t="e">
        <f t="shared" si="3"/>
        <v>#DIV/0!</v>
      </c>
    </row>
    <row r="109" spans="2:10" s="109" customFormat="1" ht="36" customHeight="1" outlineLevel="1">
      <c r="B109" s="148" t="str">
        <f>'CPU  1'!B109</f>
        <v>M28</v>
      </c>
      <c r="C109" s="149" t="str">
        <f>'CPU  1'!C109</f>
        <v>Painel tipo gradil morla 2,03 x 2,5m, fio 5,10mm revestido</v>
      </c>
      <c r="D109" s="150" t="str">
        <f>'CPU  1'!D109</f>
        <v>peça</v>
      </c>
      <c r="E109" s="151">
        <f>'CPU  1'!E109</f>
        <v>780</v>
      </c>
      <c r="F109" s="152"/>
      <c r="G109" s="379"/>
      <c r="H109" s="380"/>
      <c r="I109" s="376">
        <f>'CPU  1'!AG109+'CPU  2'!O109+'CPU  3'!AA109+'CPU  4'!AA109+'CPU  5'!U109</f>
        <v>0</v>
      </c>
      <c r="J109" s="138" t="e">
        <f t="shared" si="3"/>
        <v>#DIV/0!</v>
      </c>
    </row>
    <row r="110" spans="2:10" s="109" customFormat="1" ht="36" customHeight="1" outlineLevel="1">
      <c r="B110" s="148" t="str">
        <f>'CPU  1'!B110</f>
        <v>M29</v>
      </c>
      <c r="C110" s="149" t="str">
        <f>'CPU  1'!C110</f>
        <v>Painel, tomadas, lampadas, dijuntores, cabos</v>
      </c>
      <c r="D110" s="150" t="str">
        <f>'CPU  1'!D110</f>
        <v>vb</v>
      </c>
      <c r="E110" s="151">
        <f>'CPU  1'!E110</f>
        <v>5000</v>
      </c>
      <c r="F110" s="152"/>
      <c r="G110" s="379"/>
      <c r="H110" s="380"/>
      <c r="I110" s="376">
        <f>'CPU  1'!AG110+'CPU  2'!O110+'CPU  3'!AA110+'CPU  4'!AA110+'CPU  5'!U110</f>
        <v>0</v>
      </c>
      <c r="J110" s="138" t="e">
        <f t="shared" si="3"/>
        <v>#DIV/0!</v>
      </c>
    </row>
    <row r="111" spans="2:10" s="109" customFormat="1" ht="21.95" customHeight="1" outlineLevel="1">
      <c r="B111" s="148" t="str">
        <f>'CPU  1'!B111</f>
        <v>M30</v>
      </c>
      <c r="C111" s="149" t="str">
        <f>'CPU  1'!C111</f>
        <v>Placa de obra</v>
      </c>
      <c r="D111" s="150" t="str">
        <f>'CPU  1'!D111</f>
        <v>vb</v>
      </c>
      <c r="E111" s="151">
        <f>'CPU  1'!E111</f>
        <v>2000</v>
      </c>
      <c r="F111" s="152"/>
      <c r="G111" s="379"/>
      <c r="H111" s="380"/>
      <c r="I111" s="376">
        <f>'CPU  1'!AG111+'CPU  2'!O111+'CPU  3'!AA111+'CPU  4'!AA111+'CPU  5'!U111</f>
        <v>0</v>
      </c>
      <c r="J111" s="138" t="e">
        <f t="shared" si="3"/>
        <v>#DIV/0!</v>
      </c>
    </row>
    <row r="112" spans="2:10" s="109" customFormat="1" ht="21.95" customHeight="1" outlineLevel="1">
      <c r="B112" s="148" t="str">
        <f>'CPU  1'!B112</f>
        <v>M31</v>
      </c>
      <c r="C112" s="149" t="str">
        <f>'CPU  1'!C112</f>
        <v>Prego</v>
      </c>
      <c r="D112" s="150" t="str">
        <f>'CPU  1'!D112</f>
        <v>kg</v>
      </c>
      <c r="E112" s="151">
        <f>'CPU  1'!E112</f>
        <v>25</v>
      </c>
      <c r="F112" s="152"/>
      <c r="G112" s="379"/>
      <c r="H112" s="380"/>
      <c r="I112" s="376">
        <f>'CPU  1'!AG112+'CPU  2'!O112+'CPU  3'!AA112+'CPU  4'!AA112+'CPU  5'!U112</f>
        <v>0</v>
      </c>
      <c r="J112" s="138" t="e">
        <f t="shared" si="3"/>
        <v>#DIV/0!</v>
      </c>
    </row>
    <row r="113" spans="2:10" s="109" customFormat="1" ht="36" customHeight="1" outlineLevel="1">
      <c r="B113" s="148" t="str">
        <f>'CPU  1'!B113</f>
        <v>M32</v>
      </c>
      <c r="C113" s="149" t="str">
        <f>'CPU  1'!C113</f>
        <v>Sistema de fixação das telas (parafuso, porcas, arruelas, chapas), galvanizados</v>
      </c>
      <c r="D113" s="150" t="str">
        <f>'CPU  1'!D113</f>
        <v>conjunto</v>
      </c>
      <c r="E113" s="151">
        <f>'CPU  1'!E113</f>
        <v>65</v>
      </c>
      <c r="F113" s="152"/>
      <c r="G113" s="379"/>
      <c r="H113" s="380"/>
      <c r="I113" s="376">
        <f>'CPU  1'!AG113+'CPU  2'!O113+'CPU  3'!AA113+'CPU  4'!AA113+'CPU  5'!U113</f>
        <v>0</v>
      </c>
      <c r="J113" s="138" t="e">
        <f t="shared" si="3"/>
        <v>#DIV/0!</v>
      </c>
    </row>
    <row r="114" spans="2:10" s="109" customFormat="1" ht="21.95" customHeight="1" outlineLevel="1">
      <c r="B114" s="148" t="str">
        <f>'CPU  1'!B114</f>
        <v>M33</v>
      </c>
      <c r="C114" s="149" t="str">
        <f>'CPU  1'!C114</f>
        <v>Materiais topográficos</v>
      </c>
      <c r="D114" s="150" t="str">
        <f>'CPU  1'!D114</f>
        <v>vb/mês</v>
      </c>
      <c r="E114" s="151">
        <f>'CPU  1'!E114</f>
        <v>200</v>
      </c>
      <c r="F114" s="152"/>
      <c r="G114" s="379"/>
      <c r="H114" s="380"/>
      <c r="I114" s="376">
        <f>'CPU  1'!AG114+'CPU  2'!O114+'CPU  3'!AA114+'CPU  4'!AA114+'CPU  5'!U114</f>
        <v>0</v>
      </c>
      <c r="J114" s="138" t="e">
        <f t="shared" si="3"/>
        <v>#DIV/0!</v>
      </c>
    </row>
    <row r="115" spans="2:10" s="109" customFormat="1" ht="21.95" customHeight="1" outlineLevel="1">
      <c r="B115" s="148" t="str">
        <f>'CPU  1'!B115</f>
        <v>M34</v>
      </c>
      <c r="C115" s="149" t="str">
        <f>'CPU  1'!C115</f>
        <v>Tela ondulada em aço galvanizado 0,65mx1m</v>
      </c>
      <c r="D115" s="150" t="str">
        <f>'CPU  1'!D115</f>
        <v>m</v>
      </c>
      <c r="E115" s="151">
        <f>'CPU  1'!E115</f>
        <v>115.19999999999999</v>
      </c>
      <c r="F115" s="152"/>
      <c r="G115" s="379"/>
      <c r="H115" s="380"/>
      <c r="I115" s="376">
        <f>'CPU  1'!AG115+'CPU  2'!O115+'CPU  3'!AA115+'CPU  4'!AA115+'CPU  5'!U115</f>
        <v>0</v>
      </c>
      <c r="J115" s="138" t="e">
        <f t="shared" ref="J115:J131" si="4">I115/$I$162</f>
        <v>#DIV/0!</v>
      </c>
    </row>
    <row r="116" spans="2:10" s="109" customFormat="1" ht="21.95" customHeight="1" outlineLevel="1">
      <c r="B116" s="148" t="str">
        <f>'CPU  1'!B116</f>
        <v>M35</v>
      </c>
      <c r="C116" s="149" t="str">
        <f>'CPU  1'!C116</f>
        <v>Cabo 50mm²</v>
      </c>
      <c r="D116" s="150" t="str">
        <f>'CPU  1'!D116</f>
        <v>m</v>
      </c>
      <c r="E116" s="151">
        <f>'CPU  1'!E116</f>
        <v>42</v>
      </c>
      <c r="F116" s="152"/>
      <c r="G116" s="379"/>
      <c r="H116" s="380"/>
      <c r="I116" s="376">
        <f>'CPU  1'!AG116+'CPU  2'!O116+'CPU  3'!AA116+'CPU  4'!AA116+'CPU  5'!U116</f>
        <v>0</v>
      </c>
      <c r="J116" s="138" t="e">
        <f t="shared" si="4"/>
        <v>#DIV/0!</v>
      </c>
    </row>
    <row r="117" spans="2:10" s="109" customFormat="1" ht="21.95" customHeight="1" outlineLevel="1">
      <c r="B117" s="148" t="str">
        <f>'CPU  1'!B117</f>
        <v>M36</v>
      </c>
      <c r="C117" s="149" t="str">
        <f>'CPU  1'!C117</f>
        <v>Haste de aterramento</v>
      </c>
      <c r="D117" s="150" t="str">
        <f>'CPU  1'!D117</f>
        <v>pç</v>
      </c>
      <c r="E117" s="151">
        <f>'CPU  1'!E117</f>
        <v>192</v>
      </c>
      <c r="F117" s="152"/>
      <c r="G117" s="379"/>
      <c r="H117" s="380"/>
      <c r="I117" s="376">
        <f>'CPU  1'!AG117+'CPU  2'!O117+'CPU  3'!AA117+'CPU  4'!AA117+'CPU  5'!U117</f>
        <v>0</v>
      </c>
      <c r="J117" s="138" t="e">
        <f t="shared" si="4"/>
        <v>#DIV/0!</v>
      </c>
    </row>
    <row r="118" spans="2:10" s="109" customFormat="1" ht="21.95" customHeight="1" outlineLevel="1">
      <c r="B118" s="148" t="str">
        <f>'CPU  1'!B118</f>
        <v>M37</v>
      </c>
      <c r="C118" s="149" t="str">
        <f>'CPU  1'!C118</f>
        <v>Grampos de aterramento</v>
      </c>
      <c r="D118" s="150" t="str">
        <f>'CPU  1'!D118</f>
        <v>pç</v>
      </c>
      <c r="E118" s="151">
        <f>'CPU  1'!E118</f>
        <v>19.8</v>
      </c>
      <c r="F118" s="152"/>
      <c r="G118" s="379"/>
      <c r="H118" s="380"/>
      <c r="I118" s="376">
        <f>'CPU  1'!AG118+'CPU  2'!O118+'CPU  3'!AA118+'CPU  4'!AA118+'CPU  5'!U118</f>
        <v>0</v>
      </c>
      <c r="J118" s="138" t="e">
        <f t="shared" si="4"/>
        <v>#DIV/0!</v>
      </c>
    </row>
    <row r="119" spans="2:10" s="109" customFormat="1" ht="21.95" customHeight="1" outlineLevel="1">
      <c r="B119" s="148" t="str">
        <f>'CPU  1'!B119</f>
        <v>M38</v>
      </c>
      <c r="C119" s="149" t="str">
        <f>'CPU  1'!C119</f>
        <v>Conector split bolt 50mm</v>
      </c>
      <c r="D119" s="150" t="str">
        <f>'CPU  1'!D119</f>
        <v>pç</v>
      </c>
      <c r="E119" s="151">
        <f>'CPU  1'!E119</f>
        <v>14.399999999999999</v>
      </c>
      <c r="F119" s="152"/>
      <c r="G119" s="379"/>
      <c r="H119" s="380"/>
      <c r="I119" s="376">
        <f>'CPU  1'!AG119+'CPU  2'!O119+'CPU  3'!AA119+'CPU  4'!AA119+'CPU  5'!U119</f>
        <v>0</v>
      </c>
      <c r="J119" s="138" t="e">
        <f t="shared" si="4"/>
        <v>#DIV/0!</v>
      </c>
    </row>
    <row r="120" spans="2:10" s="109" customFormat="1" ht="21.95" customHeight="1" outlineLevel="1">
      <c r="B120" s="148" t="str">
        <f>'CPU  1'!B120</f>
        <v>M39</v>
      </c>
      <c r="C120" s="149" t="str">
        <f>'CPU  1'!C120</f>
        <v>Chapa de base da cantoneira 1/8"</v>
      </c>
      <c r="D120" s="150" t="str">
        <f>'CPU  1'!D120</f>
        <v>kg</v>
      </c>
      <c r="E120" s="151">
        <f>'CPU  1'!E120</f>
        <v>18</v>
      </c>
      <c r="F120" s="152"/>
      <c r="G120" s="379"/>
      <c r="H120" s="380"/>
      <c r="I120" s="376">
        <f>'CPU  1'!AG120+'CPU  2'!O120+'CPU  3'!AA120+'CPU  4'!AA120+'CPU  5'!U120</f>
        <v>0</v>
      </c>
      <c r="J120" s="138" t="e">
        <f t="shared" si="4"/>
        <v>#DIV/0!</v>
      </c>
    </row>
    <row r="121" spans="2:10" s="109" customFormat="1" ht="21.95" customHeight="1" outlineLevel="1">
      <c r="B121" s="148" t="str">
        <f>'CPU  1'!B121</f>
        <v>M40</v>
      </c>
      <c r="C121" s="149" t="str">
        <f>'CPU  1'!C121</f>
        <v>Parafuso 10mm</v>
      </c>
      <c r="D121" s="150" t="str">
        <f>'CPU  1'!D121</f>
        <v>pç</v>
      </c>
      <c r="E121" s="151">
        <f>'CPU  1'!E121</f>
        <v>1.7999999999999998</v>
      </c>
      <c r="F121" s="152"/>
      <c r="G121" s="379"/>
      <c r="H121" s="380"/>
      <c r="I121" s="376">
        <f>'CPU  1'!AG121+'CPU  2'!O121+'CPU  3'!AA121+'CPU  4'!AA121+'CPU  5'!U121</f>
        <v>0</v>
      </c>
      <c r="J121" s="138" t="e">
        <f t="shared" si="4"/>
        <v>#DIV/0!</v>
      </c>
    </row>
    <row r="122" spans="2:10" s="109" customFormat="1" ht="21.95" customHeight="1" outlineLevel="1">
      <c r="B122" s="148" t="str">
        <f>'CPU  1'!B122</f>
        <v>M41</v>
      </c>
      <c r="C122" s="149">
        <f>'CPU  1'!C122</f>
        <v>0</v>
      </c>
      <c r="D122" s="150">
        <f>'CPU  1'!D122</f>
        <v>0</v>
      </c>
      <c r="E122" s="151">
        <f>'CPU  1'!E122</f>
        <v>0</v>
      </c>
      <c r="F122" s="152"/>
      <c r="G122" s="379"/>
      <c r="H122" s="380"/>
      <c r="I122" s="376">
        <f>'CPU  1'!AG122+'CPU  2'!O122+'CPU  3'!AA122+'CPU  4'!AA122+'CPU  5'!U122</f>
        <v>0</v>
      </c>
      <c r="J122" s="138" t="e">
        <f t="shared" si="4"/>
        <v>#DIV/0!</v>
      </c>
    </row>
    <row r="123" spans="2:10" s="109" customFormat="1" ht="21.95" customHeight="1" outlineLevel="1">
      <c r="B123" s="148" t="str">
        <f>'CPU  1'!B123</f>
        <v>M42</v>
      </c>
      <c r="C123" s="149">
        <f>'CPU  1'!C123</f>
        <v>0</v>
      </c>
      <c r="D123" s="150">
        <f>'CPU  1'!D123</f>
        <v>0</v>
      </c>
      <c r="E123" s="151">
        <f>'CPU  1'!E123</f>
        <v>0</v>
      </c>
      <c r="F123" s="152"/>
      <c r="G123" s="379"/>
      <c r="H123" s="380"/>
      <c r="I123" s="376">
        <f>'CPU  1'!AG123+'CPU  2'!O123+'CPU  3'!AA123+'CPU  4'!AA123+'CPU  5'!U123</f>
        <v>0</v>
      </c>
      <c r="J123" s="138" t="e">
        <f t="shared" si="4"/>
        <v>#DIV/0!</v>
      </c>
    </row>
    <row r="124" spans="2:10" s="109" customFormat="1" ht="21.95" customHeight="1" outlineLevel="1">
      <c r="B124" s="148" t="str">
        <f>'CPU  1'!B124</f>
        <v>M43</v>
      </c>
      <c r="C124" s="149">
        <f>'CPU  1'!C124</f>
        <v>0</v>
      </c>
      <c r="D124" s="150">
        <f>'CPU  1'!D124</f>
        <v>0</v>
      </c>
      <c r="E124" s="151">
        <f>'CPU  1'!E124</f>
        <v>0</v>
      </c>
      <c r="F124" s="152"/>
      <c r="G124" s="379"/>
      <c r="H124" s="380"/>
      <c r="I124" s="376">
        <f>'CPU  1'!AG124+'CPU  2'!O124+'CPU  3'!AA124+'CPU  4'!AA124+'CPU  5'!U124</f>
        <v>0</v>
      </c>
      <c r="J124" s="138" t="e">
        <f t="shared" si="4"/>
        <v>#DIV/0!</v>
      </c>
    </row>
    <row r="125" spans="2:10" s="109" customFormat="1" ht="21.95" customHeight="1" outlineLevel="1">
      <c r="B125" s="148" t="str">
        <f>'CPU  1'!B125</f>
        <v>M44</v>
      </c>
      <c r="C125" s="149">
        <f>'CPU  1'!C125</f>
        <v>0</v>
      </c>
      <c r="D125" s="150">
        <f>'CPU  1'!D125</f>
        <v>0</v>
      </c>
      <c r="E125" s="151">
        <f>'CPU  1'!E125</f>
        <v>0</v>
      </c>
      <c r="F125" s="152"/>
      <c r="G125" s="379"/>
      <c r="H125" s="380"/>
      <c r="I125" s="376">
        <f>'CPU  1'!AG125+'CPU  2'!O125+'CPU  3'!AA125+'CPU  4'!AA125+'CPU  5'!U125</f>
        <v>0</v>
      </c>
      <c r="J125" s="138" t="e">
        <f t="shared" si="4"/>
        <v>#DIV/0!</v>
      </c>
    </row>
    <row r="126" spans="2:10" s="109" customFormat="1" ht="21.95" customHeight="1" outlineLevel="1">
      <c r="B126" s="148" t="str">
        <f>'CPU  1'!B126</f>
        <v>M45</v>
      </c>
      <c r="C126" s="149">
        <f>'CPU  1'!C126</f>
        <v>0</v>
      </c>
      <c r="D126" s="150">
        <f>'CPU  1'!D126</f>
        <v>0</v>
      </c>
      <c r="E126" s="151">
        <f>'CPU  1'!E126</f>
        <v>0</v>
      </c>
      <c r="F126" s="152"/>
      <c r="G126" s="379"/>
      <c r="H126" s="380"/>
      <c r="I126" s="376">
        <f>'CPU  1'!AG126+'CPU  2'!O126+'CPU  3'!AA126+'CPU  4'!AA126+'CPU  5'!U126</f>
        <v>0</v>
      </c>
      <c r="J126" s="138" t="e">
        <f t="shared" si="4"/>
        <v>#DIV/0!</v>
      </c>
    </row>
    <row r="127" spans="2:10" s="109" customFormat="1" ht="21.95" customHeight="1" outlineLevel="1">
      <c r="B127" s="148" t="str">
        <f>'CPU  1'!B127</f>
        <v>M46</v>
      </c>
      <c r="C127" s="149">
        <f>'CPU  1'!C127</f>
        <v>0</v>
      </c>
      <c r="D127" s="150">
        <f>'CPU  1'!D127</f>
        <v>0</v>
      </c>
      <c r="E127" s="151">
        <f>'CPU  1'!E127</f>
        <v>0</v>
      </c>
      <c r="F127" s="152"/>
      <c r="G127" s="379"/>
      <c r="H127" s="380"/>
      <c r="I127" s="376">
        <f>'CPU  1'!AG127+'CPU  2'!O127+'CPU  3'!AA127+'CPU  4'!AA127+'CPU  5'!U127</f>
        <v>0</v>
      </c>
      <c r="J127" s="138" t="e">
        <f t="shared" si="4"/>
        <v>#DIV/0!</v>
      </c>
    </row>
    <row r="128" spans="2:10" s="109" customFormat="1" ht="21.95" customHeight="1" outlineLevel="1">
      <c r="B128" s="148" t="str">
        <f>'CPU  1'!B128</f>
        <v>M47</v>
      </c>
      <c r="C128" s="149">
        <f>'CPU  1'!C128</f>
        <v>0</v>
      </c>
      <c r="D128" s="150">
        <f>'CPU  1'!D128</f>
        <v>0</v>
      </c>
      <c r="E128" s="151">
        <f>'CPU  1'!E128</f>
        <v>0</v>
      </c>
      <c r="F128" s="152"/>
      <c r="G128" s="379"/>
      <c r="H128" s="380"/>
      <c r="I128" s="376">
        <f>'CPU  1'!AG128+'CPU  2'!O128+'CPU  3'!AA128+'CPU  4'!AA128+'CPU  5'!U128</f>
        <v>0</v>
      </c>
      <c r="J128" s="138" t="e">
        <f t="shared" si="4"/>
        <v>#DIV/0!</v>
      </c>
    </row>
    <row r="129" spans="2:11" s="109" customFormat="1" ht="21.95" customHeight="1" outlineLevel="1">
      <c r="B129" s="148" t="str">
        <f>'CPU  1'!B129</f>
        <v>M48</v>
      </c>
      <c r="C129" s="149">
        <f>'CPU  1'!C129</f>
        <v>0</v>
      </c>
      <c r="D129" s="150">
        <f>'CPU  1'!D129</f>
        <v>0</v>
      </c>
      <c r="E129" s="151">
        <f>'CPU  1'!E129</f>
        <v>0</v>
      </c>
      <c r="F129" s="152"/>
      <c r="G129" s="379"/>
      <c r="H129" s="380"/>
      <c r="I129" s="376">
        <f>'CPU  1'!AG129+'CPU  2'!O129+'CPU  3'!AA129+'CPU  4'!AA129+'CPU  5'!U129</f>
        <v>0</v>
      </c>
      <c r="J129" s="138" t="e">
        <f t="shared" si="4"/>
        <v>#DIV/0!</v>
      </c>
    </row>
    <row r="130" spans="2:11" s="109" customFormat="1" ht="21.95" customHeight="1" outlineLevel="1">
      <c r="B130" s="148" t="str">
        <f>'CPU  1'!B130</f>
        <v>M49</v>
      </c>
      <c r="C130" s="149">
        <f>'CPU  1'!C130</f>
        <v>0</v>
      </c>
      <c r="D130" s="150">
        <f>'CPU  1'!D130</f>
        <v>0</v>
      </c>
      <c r="E130" s="151">
        <f>'CPU  1'!E130</f>
        <v>0</v>
      </c>
      <c r="F130" s="152"/>
      <c r="G130" s="379"/>
      <c r="H130" s="380"/>
      <c r="I130" s="376">
        <f>'CPU  1'!AG130+'CPU  2'!O130+'CPU  3'!AA130+'CPU  4'!AA130+'CPU  5'!U130</f>
        <v>0</v>
      </c>
      <c r="J130" s="138" t="e">
        <f t="shared" si="4"/>
        <v>#DIV/0!</v>
      </c>
    </row>
    <row r="131" spans="2:11" s="109" customFormat="1" ht="21.95" customHeight="1" outlineLevel="1" thickBot="1">
      <c r="B131" s="148" t="str">
        <f>'CPU  1'!B131</f>
        <v>M50</v>
      </c>
      <c r="C131" s="149">
        <f>'CPU  1'!C131</f>
        <v>0</v>
      </c>
      <c r="D131" s="150">
        <f>'CPU  1'!D131</f>
        <v>0</v>
      </c>
      <c r="E131" s="151">
        <f>'CPU  1'!E131</f>
        <v>0</v>
      </c>
      <c r="F131" s="152"/>
      <c r="G131" s="379"/>
      <c r="H131" s="380"/>
      <c r="I131" s="376">
        <f>'CPU  1'!AG131+'CPU  2'!O131+'CPU  3'!AA131+'CPU  4'!AA131+'CPU  5'!U131</f>
        <v>0</v>
      </c>
      <c r="J131" s="138" t="e">
        <f t="shared" si="4"/>
        <v>#DIV/0!</v>
      </c>
    </row>
    <row r="132" spans="2:11" s="109" customFormat="1" ht="21.95" customHeight="1" thickBot="1">
      <c r="B132" s="694" t="s">
        <v>35</v>
      </c>
      <c r="C132" s="695"/>
      <c r="D132" s="695"/>
      <c r="E132" s="695" t="e">
        <f>SUM(#REF!)</f>
        <v>#REF!</v>
      </c>
      <c r="F132" s="143"/>
      <c r="G132" s="263"/>
      <c r="H132" s="264"/>
      <c r="I132" s="265">
        <f>SUM(I83:I131)</f>
        <v>0</v>
      </c>
      <c r="J132" s="138"/>
    </row>
    <row r="133" spans="2:11" s="109" customFormat="1" ht="21.95" customHeight="1" thickBot="1">
      <c r="B133" s="699" t="s">
        <v>36</v>
      </c>
      <c r="C133" s="700"/>
      <c r="D133" s="700"/>
      <c r="E133" s="701"/>
      <c r="F133" s="124"/>
      <c r="G133" s="711"/>
      <c r="H133" s="711"/>
      <c r="I133" s="711"/>
      <c r="J133" s="138"/>
    </row>
    <row r="134" spans="2:11" s="127" customFormat="1" ht="21.95" customHeight="1" thickBot="1">
      <c r="B134" s="258" t="s">
        <v>163</v>
      </c>
      <c r="C134" s="259" t="s">
        <v>169</v>
      </c>
      <c r="D134" s="260" t="s">
        <v>30</v>
      </c>
      <c r="E134" s="261" t="s">
        <v>31</v>
      </c>
      <c r="F134" s="124"/>
      <c r="G134" s="258" t="s">
        <v>6</v>
      </c>
      <c r="H134" s="261" t="s">
        <v>32</v>
      </c>
      <c r="I134" s="262" t="s">
        <v>5</v>
      </c>
      <c r="J134" s="125"/>
      <c r="K134" s="126"/>
    </row>
    <row r="135" spans="2:11" s="109" customFormat="1" ht="21.95" customHeight="1" outlineLevel="1">
      <c r="B135" s="148" t="str">
        <f>'CPU  1'!B135</f>
        <v>O01</v>
      </c>
      <c r="C135" s="156" t="str">
        <f>'CPU  1'!C135</f>
        <v>ART</v>
      </c>
      <c r="D135" s="157" t="str">
        <f>'CPU  1'!D135</f>
        <v>Vb</v>
      </c>
      <c r="E135" s="158">
        <f>'CPU  1'!E135</f>
        <v>1000</v>
      </c>
      <c r="F135" s="152"/>
      <c r="G135" s="381"/>
      <c r="H135" s="382"/>
      <c r="I135" s="376">
        <f>'CPU  1'!AG135+'CPU  2'!O135+'CPU  3'!AA135+'CPU  4'!AA135+'CPU  5'!U135</f>
        <v>0</v>
      </c>
      <c r="J135" s="138" t="e">
        <f t="shared" ref="J135:J154" si="5">I135/$I$162</f>
        <v>#DIV/0!</v>
      </c>
    </row>
    <row r="136" spans="2:11" s="109" customFormat="1" ht="21.95" customHeight="1" outlineLevel="1">
      <c r="B136" s="148" t="str">
        <f>'CPU  1'!B136</f>
        <v>O02</v>
      </c>
      <c r="C136" s="156" t="str">
        <f>'CPU  1'!C136</f>
        <v>Exames medicos</v>
      </c>
      <c r="D136" s="157" t="str">
        <f>'CPU  1'!D136</f>
        <v>Vb</v>
      </c>
      <c r="E136" s="158">
        <f>'CPU  1'!E136</f>
        <v>600</v>
      </c>
      <c r="F136" s="152"/>
      <c r="G136" s="381"/>
      <c r="H136" s="382"/>
      <c r="I136" s="376">
        <f>'CPU  1'!AG136+'CPU  2'!O136+'CPU  3'!AA136+'CPU  4'!AA136+'CPU  5'!U136</f>
        <v>0</v>
      </c>
      <c r="J136" s="138" t="e">
        <f t="shared" si="5"/>
        <v>#DIV/0!</v>
      </c>
    </row>
    <row r="137" spans="2:11" s="109" customFormat="1" ht="21.95" customHeight="1" outlineLevel="1">
      <c r="B137" s="148" t="str">
        <f>'CPU  1'!B137</f>
        <v>O03</v>
      </c>
      <c r="C137" s="156" t="str">
        <f>'CPU  1'!C137</f>
        <v>Treinamentos</v>
      </c>
      <c r="D137" s="157" t="str">
        <f>'CPU  1'!D137</f>
        <v>Vb</v>
      </c>
      <c r="E137" s="158">
        <f>'CPU  1'!E137</f>
        <v>426</v>
      </c>
      <c r="F137" s="152"/>
      <c r="G137" s="381"/>
      <c r="H137" s="382"/>
      <c r="I137" s="376">
        <f>'CPU  1'!AG137+'CPU  2'!O137+'CPU  3'!AA137+'CPU  4'!AA137+'CPU  5'!U137</f>
        <v>0</v>
      </c>
      <c r="J137" s="138" t="e">
        <f t="shared" si="5"/>
        <v>#DIV/0!</v>
      </c>
    </row>
    <row r="138" spans="2:11" s="109" customFormat="1" ht="21.95" customHeight="1" outlineLevel="1">
      <c r="B138" s="148" t="str">
        <f>'CPU  1'!B138</f>
        <v>O04</v>
      </c>
      <c r="C138" s="156" t="str">
        <f>'CPU  1'!C138</f>
        <v>Plano de Saude</v>
      </c>
      <c r="D138" s="157" t="str">
        <f>'CPU  1'!D138</f>
        <v>Vb/mês</v>
      </c>
      <c r="E138" s="158">
        <f>'CPU  1'!E138</f>
        <v>280</v>
      </c>
      <c r="F138" s="152"/>
      <c r="G138" s="381"/>
      <c r="H138" s="382"/>
      <c r="I138" s="376">
        <f>'CPU  1'!AG138+'CPU  2'!O138+'CPU  3'!AA138+'CPU  4'!AA138+'CPU  5'!U138</f>
        <v>0</v>
      </c>
      <c r="J138" s="138" t="e">
        <f t="shared" si="5"/>
        <v>#DIV/0!</v>
      </c>
    </row>
    <row r="139" spans="2:11" s="109" customFormat="1" ht="21.95" customHeight="1" outlineLevel="1">
      <c r="B139" s="148" t="str">
        <f>'CPU  1'!B139</f>
        <v>O05</v>
      </c>
      <c r="C139" s="156" t="str">
        <f>'CPU  1'!C139</f>
        <v>Seguro de Vida</v>
      </c>
      <c r="D139" s="157" t="str">
        <f>'CPU  1'!D139</f>
        <v>Vb/mês</v>
      </c>
      <c r="E139" s="158">
        <f>'CPU  1'!E139</f>
        <v>25</v>
      </c>
      <c r="F139" s="152"/>
      <c r="G139" s="381"/>
      <c r="H139" s="382"/>
      <c r="I139" s="376">
        <f>'CPU  1'!AG139+'CPU  2'!O139+'CPU  3'!AA139+'CPU  4'!AA139+'CPU  5'!U139</f>
        <v>0</v>
      </c>
      <c r="J139" s="138" t="e">
        <f t="shared" si="5"/>
        <v>#DIV/0!</v>
      </c>
    </row>
    <row r="140" spans="2:11" s="109" customFormat="1" ht="21.95" customHeight="1" outlineLevel="1">
      <c r="B140" s="148" t="str">
        <f>'CPU  1'!B140</f>
        <v>O06</v>
      </c>
      <c r="C140" s="156" t="str">
        <f>'CPU  1'!C140</f>
        <v>Ticket Alimentação</v>
      </c>
      <c r="D140" s="157" t="str">
        <f>'CPU  1'!D140</f>
        <v>Vb/mês</v>
      </c>
      <c r="E140" s="158">
        <f>'CPU  1'!E140</f>
        <v>350</v>
      </c>
      <c r="F140" s="152"/>
      <c r="G140" s="381"/>
      <c r="H140" s="382"/>
      <c r="I140" s="376">
        <f>'CPU  1'!AG140+'CPU  2'!O140+'CPU  3'!AA140+'CPU  4'!AA140+'CPU  5'!U140</f>
        <v>0</v>
      </c>
      <c r="J140" s="138" t="e">
        <f t="shared" si="5"/>
        <v>#DIV/0!</v>
      </c>
    </row>
    <row r="141" spans="2:11" s="109" customFormat="1" ht="21.95" customHeight="1" outlineLevel="1">
      <c r="B141" s="148" t="str">
        <f>'CPU  1'!B141</f>
        <v>O07</v>
      </c>
      <c r="C141" s="156" t="str">
        <f>'CPU  1'!C141</f>
        <v>PCMSO / PGR / PCA / PPR</v>
      </c>
      <c r="D141" s="157" t="str">
        <f>'CPU  1'!D141</f>
        <v>Vb/ano</v>
      </c>
      <c r="E141" s="158">
        <f>'CPU  1'!E141</f>
        <v>2300</v>
      </c>
      <c r="F141" s="152"/>
      <c r="G141" s="381"/>
      <c r="H141" s="382"/>
      <c r="I141" s="376">
        <f>'CPU  1'!AG141+'CPU  2'!O141+'CPU  3'!AA141+'CPU  4'!AA141+'CPU  5'!U141</f>
        <v>0</v>
      </c>
      <c r="J141" s="138" t="e">
        <f t="shared" si="5"/>
        <v>#DIV/0!</v>
      </c>
    </row>
    <row r="142" spans="2:11" s="109" customFormat="1" ht="21.95" customHeight="1" outlineLevel="1">
      <c r="B142" s="148" t="str">
        <f>'CPU  1'!B142</f>
        <v>O08</v>
      </c>
      <c r="C142" s="156" t="str">
        <f>'CPU  1'!C142</f>
        <v>Quadros DDS e Gestão a vista</v>
      </c>
      <c r="D142" s="157" t="str">
        <f>'CPU  1'!D142</f>
        <v>Vb</v>
      </c>
      <c r="E142" s="158">
        <f>'CPU  1'!E142</f>
        <v>1200</v>
      </c>
      <c r="F142" s="152"/>
      <c r="G142" s="381"/>
      <c r="H142" s="382"/>
      <c r="I142" s="376">
        <f>'CPU  1'!AG142+'CPU  2'!O142+'CPU  3'!AA142+'CPU  4'!AA142+'CPU  5'!U142</f>
        <v>0</v>
      </c>
      <c r="J142" s="138" t="e">
        <f t="shared" si="5"/>
        <v>#DIV/0!</v>
      </c>
    </row>
    <row r="143" spans="2:11" s="109" customFormat="1" ht="21.95" customHeight="1" outlineLevel="1">
      <c r="B143" s="148" t="str">
        <f>'CPU  1'!B143</f>
        <v>O09</v>
      </c>
      <c r="C143" s="156" t="str">
        <f>'CPU  1'!C143</f>
        <v>Seguro Obra</v>
      </c>
      <c r="D143" s="157" t="str">
        <f>'CPU  1'!D143</f>
        <v>Vb</v>
      </c>
      <c r="E143" s="158">
        <f>'CPU  1'!E143</f>
        <v>5000</v>
      </c>
      <c r="F143" s="152"/>
      <c r="G143" s="381"/>
      <c r="H143" s="382"/>
      <c r="I143" s="376">
        <f>'CPU  1'!AG143+'CPU  2'!O143+'CPU  3'!AA143+'CPU  4'!AA143+'CPU  5'!U143</f>
        <v>0</v>
      </c>
      <c r="J143" s="138" t="e">
        <f t="shared" si="5"/>
        <v>#DIV/0!</v>
      </c>
    </row>
    <row r="144" spans="2:11" s="109" customFormat="1" ht="21.95" customHeight="1" outlineLevel="1">
      <c r="B144" s="148" t="str">
        <f>'CPU  1'!B144</f>
        <v>O10</v>
      </c>
      <c r="C144" s="156" t="str">
        <f>'CPU  1'!C144</f>
        <v>Fretes</v>
      </c>
      <c r="D144" s="157" t="str">
        <f>'CPU  1'!D144</f>
        <v>ud</v>
      </c>
      <c r="E144" s="158">
        <f>'CPU  1'!E144</f>
        <v>2800</v>
      </c>
      <c r="F144" s="152"/>
      <c r="G144" s="381"/>
      <c r="H144" s="382"/>
      <c r="I144" s="376">
        <f>'CPU  1'!AG144+'CPU  2'!O144+'CPU  3'!AA144+'CPU  4'!AA144+'CPU  5'!U144</f>
        <v>0</v>
      </c>
      <c r="J144" s="138" t="e">
        <f t="shared" si="5"/>
        <v>#DIV/0!</v>
      </c>
    </row>
    <row r="145" spans="2:10" s="109" customFormat="1" ht="21.95" customHeight="1" outlineLevel="1">
      <c r="B145" s="148" t="str">
        <f>'CPU  1'!B145</f>
        <v>O11</v>
      </c>
      <c r="C145" s="156" t="str">
        <f>'CPU  1'!C145</f>
        <v>Serviço de descarte de residuo</v>
      </c>
      <c r="D145" s="157" t="str">
        <f>'CPU  1'!D145</f>
        <v>coleta</v>
      </c>
      <c r="E145" s="158">
        <f>'CPU  1'!E145</f>
        <v>2000</v>
      </c>
      <c r="F145" s="152"/>
      <c r="G145" s="381"/>
      <c r="H145" s="382"/>
      <c r="I145" s="376">
        <f>'CPU  1'!AG145+'CPU  2'!O145+'CPU  3'!AA145+'CPU  4'!AA145+'CPU  5'!U145</f>
        <v>0</v>
      </c>
      <c r="J145" s="138" t="e">
        <f t="shared" si="5"/>
        <v>#DIV/0!</v>
      </c>
    </row>
    <row r="146" spans="2:10" s="109" customFormat="1" ht="36" customHeight="1" outlineLevel="1">
      <c r="B146" s="148" t="str">
        <f>'CPU  1'!B146</f>
        <v>O12</v>
      </c>
      <c r="C146" s="156" t="str">
        <f>'CPU  1'!C146</f>
        <v>Serviço de movimentação do Banheiro Hidráulico</v>
      </c>
      <c r="D146" s="157" t="str">
        <f>'CPU  1'!D146</f>
        <v>vb</v>
      </c>
      <c r="E146" s="158">
        <f>'CPU  1'!E146</f>
        <v>200</v>
      </c>
      <c r="F146" s="152"/>
      <c r="G146" s="381"/>
      <c r="H146" s="382"/>
      <c r="I146" s="376">
        <f>'CPU  1'!AG146+'CPU  2'!O146+'CPU  3'!AA146+'CPU  4'!AA146+'CPU  5'!U146</f>
        <v>0</v>
      </c>
      <c r="J146" s="138" t="e">
        <f t="shared" si="5"/>
        <v>#DIV/0!</v>
      </c>
    </row>
    <row r="147" spans="2:10" s="109" customFormat="1" ht="21.95" customHeight="1" outlineLevel="1">
      <c r="B147" s="148" t="str">
        <f>'CPU  1'!B147</f>
        <v>O13</v>
      </c>
      <c r="C147" s="156" t="str">
        <f>'CPU  1'!C147</f>
        <v>Segurança Patrimonial</v>
      </c>
      <c r="D147" s="157" t="str">
        <f>'CPU  1'!D147</f>
        <v>Vb/mês</v>
      </c>
      <c r="E147" s="158">
        <f>'CPU  1'!E147</f>
        <v>40000</v>
      </c>
      <c r="F147" s="152"/>
      <c r="G147" s="381"/>
      <c r="H147" s="382"/>
      <c r="I147" s="376">
        <f>'CPU  1'!AG147+'CPU  2'!O147+'CPU  3'!AA147+'CPU  4'!AA147+'CPU  5'!U147</f>
        <v>0</v>
      </c>
      <c r="J147" s="138" t="e">
        <f t="shared" si="5"/>
        <v>#DIV/0!</v>
      </c>
    </row>
    <row r="148" spans="2:10" s="109" customFormat="1" ht="21.95" customHeight="1" outlineLevel="1">
      <c r="B148" s="148" t="str">
        <f>'CPU  1'!B148</f>
        <v>O14</v>
      </c>
      <c r="C148" s="156" t="str">
        <f>'CPU  1'!C148</f>
        <v>Solda exortémica</v>
      </c>
      <c r="D148" s="157" t="str">
        <f>'CPU  1'!D148</f>
        <v>vb</v>
      </c>
      <c r="E148" s="158">
        <f>'CPU  1'!E148</f>
        <v>455</v>
      </c>
      <c r="F148" s="152"/>
      <c r="G148" s="381"/>
      <c r="H148" s="382"/>
      <c r="I148" s="376">
        <f>'CPU  1'!AG148+'CPU  2'!O148+'CPU  3'!AA148+'CPU  4'!AA148+'CPU  5'!U148</f>
        <v>0</v>
      </c>
      <c r="J148" s="138" t="e">
        <f t="shared" si="5"/>
        <v>#DIV/0!</v>
      </c>
    </row>
    <row r="149" spans="2:10" s="109" customFormat="1" ht="21.95" customHeight="1" outlineLevel="1">
      <c r="B149" s="148" t="str">
        <f>'CPU  1'!B149</f>
        <v>O15</v>
      </c>
      <c r="C149" s="156" t="str">
        <f>'CPU  1'!C149</f>
        <v>Material solda exotermica</v>
      </c>
      <c r="D149" s="157" t="str">
        <f>'CPU  1'!D149</f>
        <v>Unid</v>
      </c>
      <c r="E149" s="158">
        <f>'CPU  1'!E149</f>
        <v>60</v>
      </c>
      <c r="F149" s="152"/>
      <c r="G149" s="381"/>
      <c r="H149" s="382"/>
      <c r="I149" s="376">
        <f>'CPU  1'!AG149+'CPU  2'!O149+'CPU  3'!AA149+'CPU  4'!AA149+'CPU  5'!U149</f>
        <v>0</v>
      </c>
      <c r="J149" s="138" t="e">
        <f t="shared" si="5"/>
        <v>#DIV/0!</v>
      </c>
    </row>
    <row r="150" spans="2:10" s="109" customFormat="1" ht="21.95" customHeight="1" outlineLevel="1">
      <c r="B150" s="148" t="str">
        <f>'CPU  1'!B150</f>
        <v>O16</v>
      </c>
      <c r="C150" s="156">
        <f>'CPU  1'!C150</f>
        <v>0</v>
      </c>
      <c r="D150" s="157">
        <f>'CPU  1'!D150</f>
        <v>0</v>
      </c>
      <c r="E150" s="158">
        <f>'CPU  1'!E150</f>
        <v>0</v>
      </c>
      <c r="F150" s="152"/>
      <c r="G150" s="381"/>
      <c r="H150" s="382"/>
      <c r="I150" s="376">
        <f>'CPU  1'!AG150+'CPU  2'!O150+'CPU  3'!AA150+'CPU  4'!AA150+'CPU  5'!U150</f>
        <v>0</v>
      </c>
      <c r="J150" s="138" t="e">
        <f t="shared" si="5"/>
        <v>#DIV/0!</v>
      </c>
    </row>
    <row r="151" spans="2:10" s="109" customFormat="1" ht="21.95" customHeight="1" outlineLevel="1">
      <c r="B151" s="148" t="str">
        <f>'CPU  1'!B151</f>
        <v>O17</v>
      </c>
      <c r="C151" s="156">
        <f>'CPU  1'!C151</f>
        <v>0</v>
      </c>
      <c r="D151" s="157">
        <f>'CPU  1'!D151</f>
        <v>0</v>
      </c>
      <c r="E151" s="158">
        <f>'CPU  1'!E151</f>
        <v>0</v>
      </c>
      <c r="F151" s="152"/>
      <c r="G151" s="381"/>
      <c r="H151" s="382"/>
      <c r="I151" s="376">
        <f>'CPU  1'!AG151+'CPU  2'!O151+'CPU  3'!AA151+'CPU  4'!AA151+'CPU  5'!U151</f>
        <v>0</v>
      </c>
      <c r="J151" s="138" t="e">
        <f t="shared" si="5"/>
        <v>#DIV/0!</v>
      </c>
    </row>
    <row r="152" spans="2:10" s="109" customFormat="1" ht="21.95" customHeight="1" outlineLevel="1">
      <c r="B152" s="148" t="str">
        <f>'CPU  1'!B152</f>
        <v>O18</v>
      </c>
      <c r="C152" s="156">
        <f>'CPU  1'!C152</f>
        <v>0</v>
      </c>
      <c r="D152" s="157">
        <f>'CPU  1'!D152</f>
        <v>0</v>
      </c>
      <c r="E152" s="158">
        <f>'CPU  1'!E152</f>
        <v>0</v>
      </c>
      <c r="F152" s="152"/>
      <c r="G152" s="381"/>
      <c r="H152" s="382"/>
      <c r="I152" s="376">
        <f>'CPU  1'!AG152+'CPU  2'!O152+'CPU  3'!AA152+'CPU  4'!AA152+'CPU  5'!U152</f>
        <v>0</v>
      </c>
      <c r="J152" s="138" t="e">
        <f t="shared" si="5"/>
        <v>#DIV/0!</v>
      </c>
    </row>
    <row r="153" spans="2:10" s="109" customFormat="1" ht="21.95" customHeight="1" outlineLevel="1">
      <c r="B153" s="148" t="str">
        <f>'CPU  1'!B153</f>
        <v>O19</v>
      </c>
      <c r="C153" s="156">
        <f>'CPU  1'!C153</f>
        <v>0</v>
      </c>
      <c r="D153" s="157">
        <f>'CPU  1'!D153</f>
        <v>0</v>
      </c>
      <c r="E153" s="158">
        <f>'CPU  1'!E153</f>
        <v>0</v>
      </c>
      <c r="F153" s="152"/>
      <c r="G153" s="381"/>
      <c r="H153" s="382"/>
      <c r="I153" s="376">
        <f>'CPU  1'!AG153+'CPU  2'!O153+'CPU  3'!AA153+'CPU  4'!AA153+'CPU  5'!U153</f>
        <v>0</v>
      </c>
      <c r="J153" s="138" t="e">
        <f t="shared" si="5"/>
        <v>#DIV/0!</v>
      </c>
    </row>
    <row r="154" spans="2:10" s="109" customFormat="1" ht="21.95" customHeight="1" outlineLevel="1" thickBot="1">
      <c r="B154" s="148" t="str">
        <f>'CPU  1'!B154</f>
        <v>O20</v>
      </c>
      <c r="C154" s="156">
        <f>'CPU  1'!C154</f>
        <v>0</v>
      </c>
      <c r="D154" s="157">
        <f>'CPU  1'!D154</f>
        <v>0</v>
      </c>
      <c r="E154" s="158">
        <f>'CPU  1'!E154</f>
        <v>0</v>
      </c>
      <c r="F154" s="152"/>
      <c r="G154" s="381"/>
      <c r="H154" s="382"/>
      <c r="I154" s="376">
        <f>'CPU  1'!AG154+'CPU  2'!O154+'CPU  3'!AA154+'CPU  4'!AA154+'CPU  5'!U154</f>
        <v>0</v>
      </c>
      <c r="J154" s="138" t="e">
        <f t="shared" si="5"/>
        <v>#DIV/0!</v>
      </c>
    </row>
    <row r="155" spans="2:10" s="109" customFormat="1" ht="21.95" customHeight="1" thickBot="1">
      <c r="B155" s="694" t="s">
        <v>37</v>
      </c>
      <c r="C155" s="695"/>
      <c r="D155" s="695"/>
      <c r="E155" s="695" t="e">
        <f>SUM(#REF!)</f>
        <v>#REF!</v>
      </c>
      <c r="F155" s="143"/>
      <c r="G155" s="263"/>
      <c r="H155" s="264"/>
      <c r="I155" s="265">
        <f>SUM(I135:I154)</f>
        <v>0</v>
      </c>
      <c r="J155" s="138"/>
    </row>
    <row r="156" spans="2:10" ht="11.25" customHeight="1" thickBot="1">
      <c r="B156" s="165"/>
      <c r="C156" s="166"/>
      <c r="D156" s="166"/>
      <c r="E156" s="165"/>
      <c r="F156" s="115"/>
      <c r="G156" s="167"/>
      <c r="H156" s="167"/>
      <c r="I156" s="167"/>
    </row>
    <row r="157" spans="2:10" s="109" customFormat="1" ht="18" customHeight="1">
      <c r="B157" s="266" t="s">
        <v>4</v>
      </c>
      <c r="C157" s="696" t="s">
        <v>120</v>
      </c>
      <c r="D157" s="697"/>
      <c r="E157" s="267"/>
      <c r="F157" s="124"/>
      <c r="G157" s="266"/>
      <c r="H157" s="268" t="s">
        <v>57</v>
      </c>
      <c r="I157" s="269" t="s">
        <v>50</v>
      </c>
      <c r="J157" s="108"/>
    </row>
    <row r="158" spans="2:10" s="109" customFormat="1" ht="18" customHeight="1">
      <c r="B158" s="168" t="s">
        <v>2</v>
      </c>
      <c r="C158" s="169" t="s">
        <v>38</v>
      </c>
      <c r="D158" s="170"/>
      <c r="E158" s="171"/>
      <c r="F158" s="152"/>
      <c r="G158" s="175"/>
      <c r="H158" s="176" t="e">
        <f>I158/I162</f>
        <v>#DIV/0!</v>
      </c>
      <c r="I158" s="177">
        <f>I23</f>
        <v>0</v>
      </c>
      <c r="J158" s="108"/>
    </row>
    <row r="159" spans="2:10" s="109" customFormat="1" ht="18" customHeight="1">
      <c r="B159" s="145" t="s">
        <v>1</v>
      </c>
      <c r="C159" s="178" t="s">
        <v>39</v>
      </c>
      <c r="D159" s="179"/>
      <c r="E159" s="180"/>
      <c r="F159" s="152"/>
      <c r="G159" s="183"/>
      <c r="H159" s="184" t="e">
        <f>I159/I162</f>
        <v>#DIV/0!</v>
      </c>
      <c r="I159" s="185">
        <f>I80</f>
        <v>0</v>
      </c>
      <c r="J159" s="108"/>
    </row>
    <row r="160" spans="2:10" s="109" customFormat="1" ht="18" customHeight="1">
      <c r="B160" s="145" t="s">
        <v>0</v>
      </c>
      <c r="C160" s="178" t="s">
        <v>40</v>
      </c>
      <c r="D160" s="179"/>
      <c r="E160" s="180"/>
      <c r="F160" s="152"/>
      <c r="G160" s="183"/>
      <c r="H160" s="184" t="e">
        <f>I160/I162</f>
        <v>#DIV/0!</v>
      </c>
      <c r="I160" s="185">
        <f>I132</f>
        <v>0</v>
      </c>
      <c r="J160" s="108"/>
    </row>
    <row r="161" spans="2:10" s="109" customFormat="1" ht="18" customHeight="1">
      <c r="B161" s="186" t="s">
        <v>3</v>
      </c>
      <c r="C161" s="187" t="s">
        <v>41</v>
      </c>
      <c r="D161" s="188"/>
      <c r="E161" s="189"/>
      <c r="F161" s="152"/>
      <c r="G161" s="193"/>
      <c r="H161" s="194" t="e">
        <f>I161/I162</f>
        <v>#DIV/0!</v>
      </c>
      <c r="I161" s="195">
        <f>I155</f>
        <v>0</v>
      </c>
      <c r="J161" s="108"/>
    </row>
    <row r="162" spans="2:10" s="109" customFormat="1" ht="18" customHeight="1" thickBot="1">
      <c r="B162" s="270"/>
      <c r="C162" s="271" t="s">
        <v>42</v>
      </c>
      <c r="D162" s="272"/>
      <c r="E162" s="273">
        <f>SUM(E158:E161)</f>
        <v>0</v>
      </c>
      <c r="F162" s="124"/>
      <c r="G162" s="277"/>
      <c r="H162" s="278" t="e">
        <f>SUM(H158:H161)</f>
        <v>#DIV/0!</v>
      </c>
      <c r="I162" s="279">
        <f>SUM(I158:I161)</f>
        <v>0</v>
      </c>
      <c r="J162" s="108"/>
    </row>
    <row r="163" spans="2:10" s="109" customFormat="1" ht="18" customHeight="1" thickBot="1">
      <c r="B163" s="196"/>
      <c r="C163" s="698"/>
      <c r="D163" s="698"/>
      <c r="E163" s="698"/>
      <c r="F163" s="124"/>
      <c r="G163" s="692"/>
      <c r="H163" s="692"/>
      <c r="I163" s="692"/>
      <c r="J163" s="108"/>
    </row>
    <row r="164" spans="2:10" s="109" customFormat="1" ht="18" customHeight="1">
      <c r="B164" s="274" t="s">
        <v>4</v>
      </c>
      <c r="C164" s="688" t="s">
        <v>119</v>
      </c>
      <c r="D164" s="689"/>
      <c r="E164" s="273" t="s">
        <v>8</v>
      </c>
      <c r="F164" s="124"/>
      <c r="G164" s="266"/>
      <c r="H164" s="268"/>
      <c r="I164" s="269" t="s">
        <v>50</v>
      </c>
      <c r="J164" s="108"/>
    </row>
    <row r="165" spans="2:10" s="109" customFormat="1" ht="18" customHeight="1">
      <c r="B165" s="197">
        <v>1</v>
      </c>
      <c r="C165" s="198" t="s">
        <v>7</v>
      </c>
      <c r="D165" s="199"/>
      <c r="E165" s="200">
        <f>'BDI-TRIBUTOS'!D8</f>
        <v>0.09</v>
      </c>
      <c r="F165" s="143"/>
      <c r="G165" s="204"/>
      <c r="H165" s="205"/>
      <c r="I165" s="206">
        <f>I162*$E$165</f>
        <v>0</v>
      </c>
      <c r="J165" s="108"/>
    </row>
    <row r="166" spans="2:10" s="109" customFormat="1" ht="18" customHeight="1">
      <c r="B166" s="207">
        <v>2</v>
      </c>
      <c r="C166" s="208" t="s">
        <v>51</v>
      </c>
      <c r="D166" s="209"/>
      <c r="E166" s="210">
        <f>'BDI-TRIBUTOS'!D6</f>
        <v>0.06</v>
      </c>
      <c r="F166" s="143"/>
      <c r="G166" s="214"/>
      <c r="H166" s="215"/>
      <c r="I166" s="216">
        <f>I162*$E$166</f>
        <v>0</v>
      </c>
      <c r="J166" s="108"/>
    </row>
    <row r="167" spans="2:10" s="109" customFormat="1" ht="18" customHeight="1">
      <c r="B167" s="207">
        <v>3</v>
      </c>
      <c r="C167" s="208" t="s">
        <v>137</v>
      </c>
      <c r="D167" s="209"/>
      <c r="E167" s="210">
        <f>'BDI-TRIBUTOS'!D10</f>
        <v>3.5000000000000003E-2</v>
      </c>
      <c r="F167" s="143"/>
      <c r="G167" s="214"/>
      <c r="H167" s="215"/>
      <c r="I167" s="216">
        <f>I162*$E$167</f>
        <v>0</v>
      </c>
      <c r="J167" s="108"/>
    </row>
    <row r="168" spans="2:10" s="109" customFormat="1" ht="18" customHeight="1">
      <c r="B168" s="207">
        <v>4</v>
      </c>
      <c r="C168" s="208" t="s">
        <v>52</v>
      </c>
      <c r="D168" s="209"/>
      <c r="E168" s="210">
        <f>'BDI-TRIBUTOS'!D12</f>
        <v>0.02</v>
      </c>
      <c r="F168" s="143"/>
      <c r="G168" s="214"/>
      <c r="H168" s="215"/>
      <c r="I168" s="216">
        <f>I162*$E$168</f>
        <v>0</v>
      </c>
      <c r="J168" s="108"/>
    </row>
    <row r="169" spans="2:10" s="109" customFormat="1" ht="18" customHeight="1">
      <c r="B169" s="207">
        <v>5</v>
      </c>
      <c r="C169" s="217" t="s">
        <v>41</v>
      </c>
      <c r="D169" s="218"/>
      <c r="E169" s="210">
        <f>'BDI-TRIBUTOS'!D14</f>
        <v>0.01</v>
      </c>
      <c r="F169" s="143"/>
      <c r="G169" s="222"/>
      <c r="H169" s="223"/>
      <c r="I169" s="224">
        <f>I162*$E$169</f>
        <v>0</v>
      </c>
      <c r="J169" s="108"/>
    </row>
    <row r="170" spans="2:10" s="109" customFormat="1" ht="18" customHeight="1">
      <c r="B170" s="207">
        <v>6</v>
      </c>
      <c r="C170" s="225" t="s">
        <v>53</v>
      </c>
      <c r="D170" s="226"/>
      <c r="E170" s="227">
        <f>'BDI-TRIBUTOS'!D4</f>
        <v>0.1</v>
      </c>
      <c r="F170" s="143"/>
      <c r="G170" s="231"/>
      <c r="H170" s="232"/>
      <c r="I170" s="233">
        <f>I182*$E$170</f>
        <v>0</v>
      </c>
      <c r="J170" s="108"/>
    </row>
    <row r="171" spans="2:10" s="109" customFormat="1" ht="18" customHeight="1" thickBot="1">
      <c r="B171" s="270"/>
      <c r="C171" s="271" t="s">
        <v>43</v>
      </c>
      <c r="D171" s="272"/>
      <c r="E171" s="280">
        <f>SUM(E165:E170)</f>
        <v>0.315</v>
      </c>
      <c r="F171" s="124"/>
      <c r="G171" s="283"/>
      <c r="H171" s="284">
        <f>SUM(I165:I169)+I162</f>
        <v>0</v>
      </c>
      <c r="I171" s="279">
        <f>SUM(I165:I170)</f>
        <v>0</v>
      </c>
      <c r="J171" s="108"/>
    </row>
    <row r="172" spans="2:10" s="109" customFormat="1" ht="18" customHeight="1" thickBot="1">
      <c r="B172" s="196"/>
      <c r="C172" s="234"/>
      <c r="D172" s="235"/>
      <c r="E172" s="236"/>
      <c r="F172" s="237"/>
      <c r="G172" s="693" t="e">
        <f>I171/I162</f>
        <v>#DIV/0!</v>
      </c>
      <c r="H172" s="693"/>
      <c r="I172" s="693"/>
      <c r="J172" s="108"/>
    </row>
    <row r="173" spans="2:10" s="109" customFormat="1" ht="18" customHeight="1">
      <c r="B173" s="274" t="s">
        <v>4</v>
      </c>
      <c r="C173" s="688" t="s">
        <v>23</v>
      </c>
      <c r="D173" s="689"/>
      <c r="E173" s="273" t="s">
        <v>8</v>
      </c>
      <c r="F173" s="124"/>
      <c r="G173" s="266"/>
      <c r="H173" s="268"/>
      <c r="I173" s="269" t="s">
        <v>50</v>
      </c>
      <c r="J173" s="108"/>
    </row>
    <row r="174" spans="2:10" s="109" customFormat="1" ht="18" customHeight="1">
      <c r="B174" s="197">
        <v>1</v>
      </c>
      <c r="C174" s="198" t="s">
        <v>54</v>
      </c>
      <c r="D174" s="199"/>
      <c r="E174" s="200">
        <f>'BDI-TRIBUTOS'!D20</f>
        <v>0.05</v>
      </c>
      <c r="F174" s="143"/>
      <c r="G174" s="240"/>
      <c r="H174" s="241"/>
      <c r="I174" s="206">
        <f t="shared" ref="I174:I179" si="6">$I$182*E174</f>
        <v>0</v>
      </c>
      <c r="J174" s="108"/>
    </row>
    <row r="175" spans="2:10" s="109" customFormat="1" ht="18" customHeight="1">
      <c r="B175" s="207">
        <v>2</v>
      </c>
      <c r="C175" s="208" t="s">
        <v>24</v>
      </c>
      <c r="D175" s="209"/>
      <c r="E175" s="210">
        <f>'BDI-TRIBUTOS'!D21</f>
        <v>0.03</v>
      </c>
      <c r="F175" s="143"/>
      <c r="G175" s="244"/>
      <c r="H175" s="245"/>
      <c r="I175" s="216">
        <f t="shared" si="6"/>
        <v>0</v>
      </c>
      <c r="J175" s="108"/>
    </row>
    <row r="176" spans="2:10" s="109" customFormat="1" ht="18" customHeight="1">
      <c r="B176" s="207">
        <v>3</v>
      </c>
      <c r="C176" s="208" t="s">
        <v>25</v>
      </c>
      <c r="D176" s="209"/>
      <c r="E176" s="210">
        <f>'BDI-TRIBUTOS'!D22</f>
        <v>6.4999999999999997E-3</v>
      </c>
      <c r="F176" s="143"/>
      <c r="G176" s="244"/>
      <c r="H176" s="245"/>
      <c r="I176" s="216">
        <f t="shared" si="6"/>
        <v>0</v>
      </c>
      <c r="J176" s="108"/>
    </row>
    <row r="177" spans="2:10" s="109" customFormat="1" ht="18" customHeight="1">
      <c r="B177" s="207">
        <v>4</v>
      </c>
      <c r="C177" s="208" t="s">
        <v>26</v>
      </c>
      <c r="D177" s="209"/>
      <c r="E177" s="210">
        <f>'BDI-TRIBUTOS'!D23</f>
        <v>2.8799999999999999E-2</v>
      </c>
      <c r="F177" s="143"/>
      <c r="G177" s="244"/>
      <c r="H177" s="245"/>
      <c r="I177" s="216">
        <f t="shared" si="6"/>
        <v>0</v>
      </c>
      <c r="J177" s="108"/>
    </row>
    <row r="178" spans="2:10" s="109" customFormat="1" ht="18" customHeight="1">
      <c r="B178" s="207">
        <v>5</v>
      </c>
      <c r="C178" s="208" t="s">
        <v>27</v>
      </c>
      <c r="D178" s="209"/>
      <c r="E178" s="210">
        <f>'BDI-TRIBUTOS'!D24</f>
        <v>4.8000000000000001E-2</v>
      </c>
      <c r="F178" s="143"/>
      <c r="G178" s="244"/>
      <c r="H178" s="245"/>
      <c r="I178" s="224">
        <f t="shared" si="6"/>
        <v>0</v>
      </c>
      <c r="J178" s="108"/>
    </row>
    <row r="179" spans="2:10" s="109" customFormat="1" ht="18" customHeight="1">
      <c r="B179" s="207">
        <v>6</v>
      </c>
      <c r="C179" s="208" t="s">
        <v>138</v>
      </c>
      <c r="D179" s="209"/>
      <c r="E179" s="210">
        <f>'BDI-TRIBUTOS'!D25</f>
        <v>3.1800000000000002E-2</v>
      </c>
      <c r="F179" s="143"/>
      <c r="G179" s="244"/>
      <c r="H179" s="245"/>
      <c r="I179" s="224">
        <f t="shared" si="6"/>
        <v>0</v>
      </c>
      <c r="J179" s="108"/>
    </row>
    <row r="180" spans="2:10" s="109" customFormat="1" ht="18" customHeight="1">
      <c r="B180" s="246">
        <v>7</v>
      </c>
      <c r="C180" s="225" t="s">
        <v>56</v>
      </c>
      <c r="D180" s="226"/>
      <c r="E180" s="210">
        <f>'BDI-TRIBUTOS'!D26</f>
        <v>0</v>
      </c>
      <c r="F180" s="143"/>
      <c r="G180" s="249"/>
      <c r="H180" s="250"/>
      <c r="I180" s="224"/>
      <c r="J180" s="108"/>
    </row>
    <row r="181" spans="2:10" s="109" customFormat="1" ht="18" customHeight="1">
      <c r="B181" s="270"/>
      <c r="C181" s="271" t="s">
        <v>55</v>
      </c>
      <c r="D181" s="272"/>
      <c r="E181" s="280">
        <f>SUM(E174:E180)</f>
        <v>0.1951</v>
      </c>
      <c r="F181" s="124"/>
      <c r="G181" s="286"/>
      <c r="H181" s="287"/>
      <c r="I181" s="276">
        <f>I182*$E$181</f>
        <v>0</v>
      </c>
      <c r="J181" s="108"/>
    </row>
    <row r="182" spans="2:10" s="109" customFormat="1" ht="27" customHeight="1" thickBot="1">
      <c r="B182" s="288"/>
      <c r="C182" s="690" t="s">
        <v>121</v>
      </c>
      <c r="D182" s="690"/>
      <c r="E182" s="690"/>
      <c r="F182" s="292"/>
      <c r="G182" s="293"/>
      <c r="H182" s="294"/>
      <c r="I182" s="295">
        <f>H171/(1-$E$181-$E$170)</f>
        <v>0</v>
      </c>
      <c r="J182" s="108"/>
    </row>
    <row r="183" spans="2:10" ht="20.25" customHeight="1">
      <c r="C183" s="691"/>
      <c r="D183" s="691"/>
      <c r="E183" s="691"/>
      <c r="F183" s="373"/>
      <c r="G183" s="373"/>
      <c r="H183" s="373"/>
      <c r="I183" s="253" t="e">
        <f>I182/I162</f>
        <v>#DIV/0!</v>
      </c>
    </row>
    <row r="184" spans="2:10" s="255" customFormat="1" ht="18" customHeight="1">
      <c r="G184" s="256"/>
      <c r="H184" s="256"/>
      <c r="I184" s="256"/>
      <c r="J184" s="257"/>
    </row>
    <row r="185" spans="2:10" s="255" customFormat="1" ht="18" customHeight="1">
      <c r="G185" s="256"/>
      <c r="H185" s="256"/>
      <c r="I185" s="256"/>
      <c r="J185" s="257"/>
    </row>
    <row r="186" spans="2:10" s="255" customFormat="1" ht="18" customHeight="1">
      <c r="G186" s="256"/>
      <c r="H186" s="256"/>
      <c r="I186" s="256"/>
      <c r="J186" s="257"/>
    </row>
    <row r="187" spans="2:10" s="255" customFormat="1" ht="18" customHeight="1">
      <c r="G187" s="256"/>
      <c r="H187" s="256"/>
      <c r="I187" s="256"/>
      <c r="J187" s="257"/>
    </row>
    <row r="188" spans="2:10" s="255" customFormat="1" ht="18" customHeight="1">
      <c r="G188" s="256"/>
      <c r="H188" s="256"/>
      <c r="I188" s="256"/>
      <c r="J188" s="257"/>
    </row>
  </sheetData>
  <sheetProtection selectLockedCells="1" selectUnlockedCells="1"/>
  <mergeCells count="25">
    <mergeCell ref="B1:C1"/>
    <mergeCell ref="G1:I1"/>
    <mergeCell ref="B2:E2"/>
    <mergeCell ref="G2:I2"/>
    <mergeCell ref="G133:I133"/>
    <mergeCell ref="B80:E80"/>
    <mergeCell ref="B81:E81"/>
    <mergeCell ref="G81:I81"/>
    <mergeCell ref="B3:E3"/>
    <mergeCell ref="G3:H3"/>
    <mergeCell ref="B5:E5"/>
    <mergeCell ref="G5:I5"/>
    <mergeCell ref="B23:E23"/>
    <mergeCell ref="B24:E24"/>
    <mergeCell ref="B155:E155"/>
    <mergeCell ref="C157:D157"/>
    <mergeCell ref="C163:E163"/>
    <mergeCell ref="B132:E132"/>
    <mergeCell ref="B133:E133"/>
    <mergeCell ref="C173:D173"/>
    <mergeCell ref="C182:E182"/>
    <mergeCell ref="C183:E183"/>
    <mergeCell ref="G163:I163"/>
    <mergeCell ref="C164:D164"/>
    <mergeCell ref="G172:I172"/>
  </mergeCells>
  <conditionalFormatting sqref="H158:H161">
    <cfRule type="dataBar" priority="1">
      <dataBar>
        <cfvo type="min"/>
        <cfvo type="max"/>
        <color rgb="FF63C384"/>
      </dataBar>
      <extLst>
        <ext xmlns:x14="http://schemas.microsoft.com/office/spreadsheetml/2009/9/main" uri="{B025F937-C7B1-47D3-B67F-A62EFF666E3E}">
          <x14:id>{E58B69BB-1563-48EE-BE1B-B217E67BDA9C}</x14:id>
        </ext>
      </extLst>
    </cfRule>
  </conditionalFormatting>
  <conditionalFormatting sqref="J135:J155 J7:J24 J83:J133 J26:J81">
    <cfRule type="dataBar" priority="2">
      <dataBar>
        <cfvo type="min"/>
        <cfvo type="max"/>
        <color rgb="FFFF555A"/>
      </dataBar>
      <extLst>
        <ext xmlns:x14="http://schemas.microsoft.com/office/spreadsheetml/2009/9/main" uri="{B025F937-C7B1-47D3-B67F-A62EFF666E3E}">
          <x14:id>{6D0945BA-7303-464C-BEB7-8FFDA07AA7F1}</x14:id>
        </ext>
      </extLst>
    </cfRule>
  </conditionalFormatting>
  <printOptions horizontalCentered="1"/>
  <pageMargins left="0.39000000000000007" right="0.39000000000000007" top="0.39000000000000007" bottom="0.39000000000000007" header="0.51" footer="0.51"/>
  <pageSetup paperSize="9"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E58B69BB-1563-48EE-BE1B-B217E67BDA9C}">
            <x14:dataBar minLength="0" maxLength="100" border="1" negativeBarBorderColorSameAsPositive="0">
              <x14:cfvo type="autoMin"/>
              <x14:cfvo type="autoMax"/>
              <x14:borderColor rgb="FF63C384"/>
              <x14:negativeFillColor rgb="FFFF0000"/>
              <x14:negativeBorderColor rgb="FFFF0000"/>
              <x14:axisColor rgb="FF000000"/>
            </x14:dataBar>
          </x14:cfRule>
          <xm:sqref>H158:H161</xm:sqref>
        </x14:conditionalFormatting>
        <x14:conditionalFormatting xmlns:xm="http://schemas.microsoft.com/office/excel/2006/main">
          <x14:cfRule type="dataBar" id="{6D0945BA-7303-464C-BEB7-8FFDA07AA7F1}">
            <x14:dataBar minLength="0" maxLength="100" border="1" negativeBarBorderColorSameAsPositive="0">
              <x14:cfvo type="autoMin"/>
              <x14:cfvo type="autoMax"/>
              <x14:borderColor rgb="FFFF555A"/>
              <x14:negativeFillColor rgb="FFFF0000"/>
              <x14:negativeBorderColor rgb="FFFF0000"/>
              <x14:axisColor rgb="FF000000"/>
            </x14:dataBar>
          </x14:cfRule>
          <xm:sqref>J135:J155 J7:J24 J83:J133 J26:J81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003C-0D28-4A1C-B00C-DA6A4606F1C0}">
  <sheetPr>
    <tabColor rgb="FFAF1B1B"/>
    <pageSetUpPr fitToPage="1"/>
  </sheetPr>
  <dimension ref="A1:H62"/>
  <sheetViews>
    <sheetView showGridLines="0" zoomScale="90" zoomScaleNormal="90" zoomScaleSheetLayoutView="90" workbookViewId="0">
      <pane ySplit="6" topLeftCell="A25" activePane="bottomLeft" state="frozen"/>
      <selection pane="bottomLeft" sqref="A1:A6"/>
    </sheetView>
  </sheetViews>
  <sheetFormatPr defaultColWidth="8.7109375" defaultRowHeight="15.75" outlineLevelRow="1"/>
  <cols>
    <col min="1" max="1" width="7" style="298" customWidth="1"/>
    <col min="2" max="2" width="12.85546875" style="64" customWidth="1"/>
    <col min="3" max="3" width="109.85546875" style="64" customWidth="1"/>
    <col min="4" max="4" width="10.85546875" style="64" customWidth="1"/>
    <col min="5" max="5" width="12.5703125" style="64" bestFit="1" customWidth="1"/>
    <col min="6" max="6" width="18.5703125" style="64" customWidth="1"/>
    <col min="7" max="7" width="24.42578125" style="64" customWidth="1"/>
    <col min="8" max="8" width="30.28515625" style="63" customWidth="1"/>
    <col min="9" max="74" width="9.140625" style="64" customWidth="1"/>
    <col min="75" max="106" width="8.7109375" style="64"/>
    <col min="107" max="108" width="1.140625" style="64" customWidth="1"/>
    <col min="109" max="109" width="9.140625" style="64" customWidth="1"/>
    <col min="110" max="110" width="74.140625" style="64" customWidth="1"/>
    <col min="111" max="111" width="12.7109375" style="64" customWidth="1"/>
    <col min="112" max="112" width="14.7109375" style="64" customWidth="1"/>
    <col min="113" max="113" width="12.7109375" style="64" customWidth="1"/>
    <col min="114" max="114" width="18" style="64" customWidth="1"/>
    <col min="115" max="116" width="1.140625" style="64" customWidth="1"/>
    <col min="117" max="117" width="4" style="64" customWidth="1"/>
    <col min="118" max="118" width="10.140625" style="64" bestFit="1" customWidth="1"/>
    <col min="119" max="119" width="11.28515625" style="64" bestFit="1" customWidth="1"/>
    <col min="120" max="120" width="9.140625" style="64" customWidth="1"/>
    <col min="121" max="121" width="0" style="64" hidden="1" customWidth="1"/>
    <col min="122" max="330" width="9.140625" style="64" customWidth="1"/>
    <col min="331" max="362" width="8.7109375" style="64"/>
    <col min="363" max="364" width="1.140625" style="64" customWidth="1"/>
    <col min="365" max="365" width="9.140625" style="64" customWidth="1"/>
    <col min="366" max="366" width="74.140625" style="64" customWidth="1"/>
    <col min="367" max="367" width="12.7109375" style="64" customWidth="1"/>
    <col min="368" max="368" width="14.7109375" style="64" customWidth="1"/>
    <col min="369" max="369" width="12.7109375" style="64" customWidth="1"/>
    <col min="370" max="370" width="18" style="64" customWidth="1"/>
    <col min="371" max="372" width="1.140625" style="64" customWidth="1"/>
    <col min="373" max="373" width="4" style="64" customWidth="1"/>
    <col min="374" max="374" width="10.140625" style="64" bestFit="1" customWidth="1"/>
    <col min="375" max="375" width="11.28515625" style="64" bestFit="1" customWidth="1"/>
    <col min="376" max="376" width="9.140625" style="64" customWidth="1"/>
    <col min="377" max="377" width="0" style="64" hidden="1" customWidth="1"/>
    <col min="378" max="586" width="9.140625" style="64" customWidth="1"/>
    <col min="587" max="618" width="8.7109375" style="64"/>
    <col min="619" max="620" width="1.140625" style="64" customWidth="1"/>
    <col min="621" max="621" width="9.140625" style="64" customWidth="1"/>
    <col min="622" max="622" width="74.140625" style="64" customWidth="1"/>
    <col min="623" max="623" width="12.7109375" style="64" customWidth="1"/>
    <col min="624" max="624" width="14.7109375" style="64" customWidth="1"/>
    <col min="625" max="625" width="12.7109375" style="64" customWidth="1"/>
    <col min="626" max="626" width="18" style="64" customWidth="1"/>
    <col min="627" max="628" width="1.140625" style="64" customWidth="1"/>
    <col min="629" max="629" width="4" style="64" customWidth="1"/>
    <col min="630" max="630" width="10.140625" style="64" bestFit="1" customWidth="1"/>
    <col min="631" max="631" width="11.28515625" style="64" bestFit="1" customWidth="1"/>
    <col min="632" max="632" width="9.140625" style="64" customWidth="1"/>
    <col min="633" max="633" width="0" style="64" hidden="1" customWidth="1"/>
    <col min="634" max="842" width="9.140625" style="64" customWidth="1"/>
    <col min="843" max="874" width="8.7109375" style="64"/>
    <col min="875" max="876" width="1.140625" style="64" customWidth="1"/>
    <col min="877" max="877" width="9.140625" style="64" customWidth="1"/>
    <col min="878" max="878" width="74.140625" style="64" customWidth="1"/>
    <col min="879" max="879" width="12.7109375" style="64" customWidth="1"/>
    <col min="880" max="880" width="14.7109375" style="64" customWidth="1"/>
    <col min="881" max="881" width="12.7109375" style="64" customWidth="1"/>
    <col min="882" max="882" width="18" style="64" customWidth="1"/>
    <col min="883" max="884" width="1.140625" style="64" customWidth="1"/>
    <col min="885" max="885" width="4" style="64" customWidth="1"/>
    <col min="886" max="886" width="10.140625" style="64" bestFit="1" customWidth="1"/>
    <col min="887" max="887" width="11.28515625" style="64" bestFit="1" customWidth="1"/>
    <col min="888" max="888" width="9.140625" style="64" customWidth="1"/>
    <col min="889" max="889" width="0" style="64" hidden="1" customWidth="1"/>
    <col min="890" max="1098" width="9.140625" style="64" customWidth="1"/>
    <col min="1099" max="1130" width="8.7109375" style="64"/>
    <col min="1131" max="1132" width="1.140625" style="64" customWidth="1"/>
    <col min="1133" max="1133" width="9.140625" style="64" customWidth="1"/>
    <col min="1134" max="1134" width="74.140625" style="64" customWidth="1"/>
    <col min="1135" max="1135" width="12.7109375" style="64" customWidth="1"/>
    <col min="1136" max="1136" width="14.7109375" style="64" customWidth="1"/>
    <col min="1137" max="1137" width="12.7109375" style="64" customWidth="1"/>
    <col min="1138" max="1138" width="18" style="64" customWidth="1"/>
    <col min="1139" max="1140" width="1.140625" style="64" customWidth="1"/>
    <col min="1141" max="1141" width="4" style="64" customWidth="1"/>
    <col min="1142" max="1142" width="10.140625" style="64" bestFit="1" customWidth="1"/>
    <col min="1143" max="1143" width="11.28515625" style="64" bestFit="1" customWidth="1"/>
    <col min="1144" max="1144" width="9.140625" style="64" customWidth="1"/>
    <col min="1145" max="1145" width="0" style="64" hidden="1" customWidth="1"/>
    <col min="1146" max="1354" width="9.140625" style="64" customWidth="1"/>
    <col min="1355" max="1386" width="8.7109375" style="64"/>
    <col min="1387" max="1388" width="1.140625" style="64" customWidth="1"/>
    <col min="1389" max="1389" width="9.140625" style="64" customWidth="1"/>
    <col min="1390" max="1390" width="74.140625" style="64" customWidth="1"/>
    <col min="1391" max="1391" width="12.7109375" style="64" customWidth="1"/>
    <col min="1392" max="1392" width="14.7109375" style="64" customWidth="1"/>
    <col min="1393" max="1393" width="12.7109375" style="64" customWidth="1"/>
    <col min="1394" max="1394" width="18" style="64" customWidth="1"/>
    <col min="1395" max="1396" width="1.140625" style="64" customWidth="1"/>
    <col min="1397" max="1397" width="4" style="64" customWidth="1"/>
    <col min="1398" max="1398" width="10.140625" style="64" bestFit="1" customWidth="1"/>
    <col min="1399" max="1399" width="11.28515625" style="64" bestFit="1" customWidth="1"/>
    <col min="1400" max="1400" width="9.140625" style="64" customWidth="1"/>
    <col min="1401" max="1401" width="0" style="64" hidden="1" customWidth="1"/>
    <col min="1402" max="1610" width="9.140625" style="64" customWidth="1"/>
    <col min="1611" max="1642" width="8.7109375" style="64"/>
    <col min="1643" max="1644" width="1.140625" style="64" customWidth="1"/>
    <col min="1645" max="1645" width="9.140625" style="64" customWidth="1"/>
    <col min="1646" max="1646" width="74.140625" style="64" customWidth="1"/>
    <col min="1647" max="1647" width="12.7109375" style="64" customWidth="1"/>
    <col min="1648" max="1648" width="14.7109375" style="64" customWidth="1"/>
    <col min="1649" max="1649" width="12.7109375" style="64" customWidth="1"/>
    <col min="1650" max="1650" width="18" style="64" customWidth="1"/>
    <col min="1651" max="1652" width="1.140625" style="64" customWidth="1"/>
    <col min="1653" max="1653" width="4" style="64" customWidth="1"/>
    <col min="1654" max="1654" width="10.140625" style="64" bestFit="1" customWidth="1"/>
    <col min="1655" max="1655" width="11.28515625" style="64" bestFit="1" customWidth="1"/>
    <col min="1656" max="1656" width="9.140625" style="64" customWidth="1"/>
    <col min="1657" max="1657" width="0" style="64" hidden="1" customWidth="1"/>
    <col min="1658" max="1866" width="9.140625" style="64" customWidth="1"/>
    <col min="1867" max="1898" width="8.7109375" style="64"/>
    <col min="1899" max="1900" width="1.140625" style="64" customWidth="1"/>
    <col min="1901" max="1901" width="9.140625" style="64" customWidth="1"/>
    <col min="1902" max="1902" width="74.140625" style="64" customWidth="1"/>
    <col min="1903" max="1903" width="12.7109375" style="64" customWidth="1"/>
    <col min="1904" max="1904" width="14.7109375" style="64" customWidth="1"/>
    <col min="1905" max="1905" width="12.7109375" style="64" customWidth="1"/>
    <col min="1906" max="1906" width="18" style="64" customWidth="1"/>
    <col min="1907" max="1908" width="1.140625" style="64" customWidth="1"/>
    <col min="1909" max="1909" width="4" style="64" customWidth="1"/>
    <col min="1910" max="1910" width="10.140625" style="64" bestFit="1" customWidth="1"/>
    <col min="1911" max="1911" width="11.28515625" style="64" bestFit="1" customWidth="1"/>
    <col min="1912" max="1912" width="9.140625" style="64" customWidth="1"/>
    <col min="1913" max="1913" width="0" style="64" hidden="1" customWidth="1"/>
    <col min="1914" max="2122" width="9.140625" style="64" customWidth="1"/>
    <col min="2123" max="2154" width="8.7109375" style="64"/>
    <col min="2155" max="2156" width="1.140625" style="64" customWidth="1"/>
    <col min="2157" max="2157" width="9.140625" style="64" customWidth="1"/>
    <col min="2158" max="2158" width="74.140625" style="64" customWidth="1"/>
    <col min="2159" max="2159" width="12.7109375" style="64" customWidth="1"/>
    <col min="2160" max="2160" width="14.7109375" style="64" customWidth="1"/>
    <col min="2161" max="2161" width="12.7109375" style="64" customWidth="1"/>
    <col min="2162" max="2162" width="18" style="64" customWidth="1"/>
    <col min="2163" max="2164" width="1.140625" style="64" customWidth="1"/>
    <col min="2165" max="2165" width="4" style="64" customWidth="1"/>
    <col min="2166" max="2166" width="10.140625" style="64" bestFit="1" customWidth="1"/>
    <col min="2167" max="2167" width="11.28515625" style="64" bestFit="1" customWidth="1"/>
    <col min="2168" max="2168" width="9.140625" style="64" customWidth="1"/>
    <col min="2169" max="2169" width="0" style="64" hidden="1" customWidth="1"/>
    <col min="2170" max="2378" width="9.140625" style="64" customWidth="1"/>
    <col min="2379" max="2410" width="8.7109375" style="64"/>
    <col min="2411" max="2412" width="1.140625" style="64" customWidth="1"/>
    <col min="2413" max="2413" width="9.140625" style="64" customWidth="1"/>
    <col min="2414" max="2414" width="74.140625" style="64" customWidth="1"/>
    <col min="2415" max="2415" width="12.7109375" style="64" customWidth="1"/>
    <col min="2416" max="2416" width="14.7109375" style="64" customWidth="1"/>
    <col min="2417" max="2417" width="12.7109375" style="64" customWidth="1"/>
    <col min="2418" max="2418" width="18" style="64" customWidth="1"/>
    <col min="2419" max="2420" width="1.140625" style="64" customWidth="1"/>
    <col min="2421" max="2421" width="4" style="64" customWidth="1"/>
    <col min="2422" max="2422" width="10.140625" style="64" bestFit="1" customWidth="1"/>
    <col min="2423" max="2423" width="11.28515625" style="64" bestFit="1" customWidth="1"/>
    <col min="2424" max="2424" width="9.140625" style="64" customWidth="1"/>
    <col min="2425" max="2425" width="0" style="64" hidden="1" customWidth="1"/>
    <col min="2426" max="2634" width="9.140625" style="64" customWidth="1"/>
    <col min="2635" max="2666" width="8.7109375" style="64"/>
    <col min="2667" max="2668" width="1.140625" style="64" customWidth="1"/>
    <col min="2669" max="2669" width="9.140625" style="64" customWidth="1"/>
    <col min="2670" max="2670" width="74.140625" style="64" customWidth="1"/>
    <col min="2671" max="2671" width="12.7109375" style="64" customWidth="1"/>
    <col min="2672" max="2672" width="14.7109375" style="64" customWidth="1"/>
    <col min="2673" max="2673" width="12.7109375" style="64" customWidth="1"/>
    <col min="2674" max="2674" width="18" style="64" customWidth="1"/>
    <col min="2675" max="2676" width="1.140625" style="64" customWidth="1"/>
    <col min="2677" max="2677" width="4" style="64" customWidth="1"/>
    <col min="2678" max="2678" width="10.140625" style="64" bestFit="1" customWidth="1"/>
    <col min="2679" max="2679" width="11.28515625" style="64" bestFit="1" customWidth="1"/>
    <col min="2680" max="2680" width="9.140625" style="64" customWidth="1"/>
    <col min="2681" max="2681" width="0" style="64" hidden="1" customWidth="1"/>
    <col min="2682" max="2890" width="9.140625" style="64" customWidth="1"/>
    <col min="2891" max="2922" width="8.7109375" style="64"/>
    <col min="2923" max="2924" width="1.140625" style="64" customWidth="1"/>
    <col min="2925" max="2925" width="9.140625" style="64" customWidth="1"/>
    <col min="2926" max="2926" width="74.140625" style="64" customWidth="1"/>
    <col min="2927" max="2927" width="12.7109375" style="64" customWidth="1"/>
    <col min="2928" max="2928" width="14.7109375" style="64" customWidth="1"/>
    <col min="2929" max="2929" width="12.7109375" style="64" customWidth="1"/>
    <col min="2930" max="2930" width="18" style="64" customWidth="1"/>
    <col min="2931" max="2932" width="1.140625" style="64" customWidth="1"/>
    <col min="2933" max="2933" width="4" style="64" customWidth="1"/>
    <col min="2934" max="2934" width="10.140625" style="64" bestFit="1" customWidth="1"/>
    <col min="2935" max="2935" width="11.28515625" style="64" bestFit="1" customWidth="1"/>
    <col min="2936" max="2936" width="9.140625" style="64" customWidth="1"/>
    <col min="2937" max="2937" width="0" style="64" hidden="1" customWidth="1"/>
    <col min="2938" max="3146" width="9.140625" style="64" customWidth="1"/>
    <col min="3147" max="3178" width="8.7109375" style="64"/>
    <col min="3179" max="3180" width="1.140625" style="64" customWidth="1"/>
    <col min="3181" max="3181" width="9.140625" style="64" customWidth="1"/>
    <col min="3182" max="3182" width="74.140625" style="64" customWidth="1"/>
    <col min="3183" max="3183" width="12.7109375" style="64" customWidth="1"/>
    <col min="3184" max="3184" width="14.7109375" style="64" customWidth="1"/>
    <col min="3185" max="3185" width="12.7109375" style="64" customWidth="1"/>
    <col min="3186" max="3186" width="18" style="64" customWidth="1"/>
    <col min="3187" max="3188" width="1.140625" style="64" customWidth="1"/>
    <col min="3189" max="3189" width="4" style="64" customWidth="1"/>
    <col min="3190" max="3190" width="10.140625" style="64" bestFit="1" customWidth="1"/>
    <col min="3191" max="3191" width="11.28515625" style="64" bestFit="1" customWidth="1"/>
    <col min="3192" max="3192" width="9.140625" style="64" customWidth="1"/>
    <col min="3193" max="3193" width="0" style="64" hidden="1" customWidth="1"/>
    <col min="3194" max="3402" width="9.140625" style="64" customWidth="1"/>
    <col min="3403" max="3434" width="8.7109375" style="64"/>
    <col min="3435" max="3436" width="1.140625" style="64" customWidth="1"/>
    <col min="3437" max="3437" width="9.140625" style="64" customWidth="1"/>
    <col min="3438" max="3438" width="74.140625" style="64" customWidth="1"/>
    <col min="3439" max="3439" width="12.7109375" style="64" customWidth="1"/>
    <col min="3440" max="3440" width="14.7109375" style="64" customWidth="1"/>
    <col min="3441" max="3441" width="12.7109375" style="64" customWidth="1"/>
    <col min="3442" max="3442" width="18" style="64" customWidth="1"/>
    <col min="3443" max="3444" width="1.140625" style="64" customWidth="1"/>
    <col min="3445" max="3445" width="4" style="64" customWidth="1"/>
    <col min="3446" max="3446" width="10.140625" style="64" bestFit="1" customWidth="1"/>
    <col min="3447" max="3447" width="11.28515625" style="64" bestFit="1" customWidth="1"/>
    <col min="3448" max="3448" width="9.140625" style="64" customWidth="1"/>
    <col min="3449" max="3449" width="0" style="64" hidden="1" customWidth="1"/>
    <col min="3450" max="3658" width="9.140625" style="64" customWidth="1"/>
    <col min="3659" max="3690" width="8.7109375" style="64"/>
    <col min="3691" max="3692" width="1.140625" style="64" customWidth="1"/>
    <col min="3693" max="3693" width="9.140625" style="64" customWidth="1"/>
    <col min="3694" max="3694" width="74.140625" style="64" customWidth="1"/>
    <col min="3695" max="3695" width="12.7109375" style="64" customWidth="1"/>
    <col min="3696" max="3696" width="14.7109375" style="64" customWidth="1"/>
    <col min="3697" max="3697" width="12.7109375" style="64" customWidth="1"/>
    <col min="3698" max="3698" width="18" style="64" customWidth="1"/>
    <col min="3699" max="3700" width="1.140625" style="64" customWidth="1"/>
    <col min="3701" max="3701" width="4" style="64" customWidth="1"/>
    <col min="3702" max="3702" width="10.140625" style="64" bestFit="1" customWidth="1"/>
    <col min="3703" max="3703" width="11.28515625" style="64" bestFit="1" customWidth="1"/>
    <col min="3704" max="3704" width="9.140625" style="64" customWidth="1"/>
    <col min="3705" max="3705" width="0" style="64" hidden="1" customWidth="1"/>
    <col min="3706" max="3914" width="9.140625" style="64" customWidth="1"/>
    <col min="3915" max="3946" width="8.7109375" style="64"/>
    <col min="3947" max="3948" width="1.140625" style="64" customWidth="1"/>
    <col min="3949" max="3949" width="9.140625" style="64" customWidth="1"/>
    <col min="3950" max="3950" width="74.140625" style="64" customWidth="1"/>
    <col min="3951" max="3951" width="12.7109375" style="64" customWidth="1"/>
    <col min="3952" max="3952" width="14.7109375" style="64" customWidth="1"/>
    <col min="3953" max="3953" width="12.7109375" style="64" customWidth="1"/>
    <col min="3954" max="3954" width="18" style="64" customWidth="1"/>
    <col min="3955" max="3956" width="1.140625" style="64" customWidth="1"/>
    <col min="3957" max="3957" width="4" style="64" customWidth="1"/>
    <col min="3958" max="3958" width="10.140625" style="64" bestFit="1" customWidth="1"/>
    <col min="3959" max="3959" width="11.28515625" style="64" bestFit="1" customWidth="1"/>
    <col min="3960" max="3960" width="9.140625" style="64" customWidth="1"/>
    <col min="3961" max="3961" width="0" style="64" hidden="1" customWidth="1"/>
    <col min="3962" max="4170" width="9.140625" style="64" customWidth="1"/>
    <col min="4171" max="4202" width="8.7109375" style="64"/>
    <col min="4203" max="4204" width="1.140625" style="64" customWidth="1"/>
    <col min="4205" max="4205" width="9.140625" style="64" customWidth="1"/>
    <col min="4206" max="4206" width="74.140625" style="64" customWidth="1"/>
    <col min="4207" max="4207" width="12.7109375" style="64" customWidth="1"/>
    <col min="4208" max="4208" width="14.7109375" style="64" customWidth="1"/>
    <col min="4209" max="4209" width="12.7109375" style="64" customWidth="1"/>
    <col min="4210" max="4210" width="18" style="64" customWidth="1"/>
    <col min="4211" max="4212" width="1.140625" style="64" customWidth="1"/>
    <col min="4213" max="4213" width="4" style="64" customWidth="1"/>
    <col min="4214" max="4214" width="10.140625" style="64" bestFit="1" customWidth="1"/>
    <col min="4215" max="4215" width="11.28515625" style="64" bestFit="1" customWidth="1"/>
    <col min="4216" max="4216" width="9.140625" style="64" customWidth="1"/>
    <col min="4217" max="4217" width="0" style="64" hidden="1" customWidth="1"/>
    <col min="4218" max="4426" width="9.140625" style="64" customWidth="1"/>
    <col min="4427" max="4458" width="8.7109375" style="64"/>
    <col min="4459" max="4460" width="1.140625" style="64" customWidth="1"/>
    <col min="4461" max="4461" width="9.140625" style="64" customWidth="1"/>
    <col min="4462" max="4462" width="74.140625" style="64" customWidth="1"/>
    <col min="4463" max="4463" width="12.7109375" style="64" customWidth="1"/>
    <col min="4464" max="4464" width="14.7109375" style="64" customWidth="1"/>
    <col min="4465" max="4465" width="12.7109375" style="64" customWidth="1"/>
    <col min="4466" max="4466" width="18" style="64" customWidth="1"/>
    <col min="4467" max="4468" width="1.140625" style="64" customWidth="1"/>
    <col min="4469" max="4469" width="4" style="64" customWidth="1"/>
    <col min="4470" max="4470" width="10.140625" style="64" bestFit="1" customWidth="1"/>
    <col min="4471" max="4471" width="11.28515625" style="64" bestFit="1" customWidth="1"/>
    <col min="4472" max="4472" width="9.140625" style="64" customWidth="1"/>
    <col min="4473" max="4473" width="0" style="64" hidden="1" customWidth="1"/>
    <col min="4474" max="4682" width="9.140625" style="64" customWidth="1"/>
    <col min="4683" max="4714" width="8.7109375" style="64"/>
    <col min="4715" max="4716" width="1.140625" style="64" customWidth="1"/>
    <col min="4717" max="4717" width="9.140625" style="64" customWidth="1"/>
    <col min="4718" max="4718" width="74.140625" style="64" customWidth="1"/>
    <col min="4719" max="4719" width="12.7109375" style="64" customWidth="1"/>
    <col min="4720" max="4720" width="14.7109375" style="64" customWidth="1"/>
    <col min="4721" max="4721" width="12.7109375" style="64" customWidth="1"/>
    <col min="4722" max="4722" width="18" style="64" customWidth="1"/>
    <col min="4723" max="4724" width="1.140625" style="64" customWidth="1"/>
    <col min="4725" max="4725" width="4" style="64" customWidth="1"/>
    <col min="4726" max="4726" width="10.140625" style="64" bestFit="1" customWidth="1"/>
    <col min="4727" max="4727" width="11.28515625" style="64" bestFit="1" customWidth="1"/>
    <col min="4728" max="4728" width="9.140625" style="64" customWidth="1"/>
    <col min="4729" max="4729" width="0" style="64" hidden="1" customWidth="1"/>
    <col min="4730" max="4938" width="9.140625" style="64" customWidth="1"/>
    <col min="4939" max="4970" width="8.7109375" style="64"/>
    <col min="4971" max="4972" width="1.140625" style="64" customWidth="1"/>
    <col min="4973" max="4973" width="9.140625" style="64" customWidth="1"/>
    <col min="4974" max="4974" width="74.140625" style="64" customWidth="1"/>
    <col min="4975" max="4975" width="12.7109375" style="64" customWidth="1"/>
    <col min="4976" max="4976" width="14.7109375" style="64" customWidth="1"/>
    <col min="4977" max="4977" width="12.7109375" style="64" customWidth="1"/>
    <col min="4978" max="4978" width="18" style="64" customWidth="1"/>
    <col min="4979" max="4980" width="1.140625" style="64" customWidth="1"/>
    <col min="4981" max="4981" width="4" style="64" customWidth="1"/>
    <col min="4982" max="4982" width="10.140625" style="64" bestFit="1" customWidth="1"/>
    <col min="4983" max="4983" width="11.28515625" style="64" bestFit="1" customWidth="1"/>
    <col min="4984" max="4984" width="9.140625" style="64" customWidth="1"/>
    <col min="4985" max="4985" width="0" style="64" hidden="1" customWidth="1"/>
    <col min="4986" max="5194" width="9.140625" style="64" customWidth="1"/>
    <col min="5195" max="5226" width="8.7109375" style="64"/>
    <col min="5227" max="5228" width="1.140625" style="64" customWidth="1"/>
    <col min="5229" max="5229" width="9.140625" style="64" customWidth="1"/>
    <col min="5230" max="5230" width="74.140625" style="64" customWidth="1"/>
    <col min="5231" max="5231" width="12.7109375" style="64" customWidth="1"/>
    <col min="5232" max="5232" width="14.7109375" style="64" customWidth="1"/>
    <col min="5233" max="5233" width="12.7109375" style="64" customWidth="1"/>
    <col min="5234" max="5234" width="18" style="64" customWidth="1"/>
    <col min="5235" max="5236" width="1.140625" style="64" customWidth="1"/>
    <col min="5237" max="5237" width="4" style="64" customWidth="1"/>
    <col min="5238" max="5238" width="10.140625" style="64" bestFit="1" customWidth="1"/>
    <col min="5239" max="5239" width="11.28515625" style="64" bestFit="1" customWidth="1"/>
    <col min="5240" max="5240" width="9.140625" style="64" customWidth="1"/>
    <col min="5241" max="5241" width="0" style="64" hidden="1" customWidth="1"/>
    <col min="5242" max="5450" width="9.140625" style="64" customWidth="1"/>
    <col min="5451" max="5482" width="8.7109375" style="64"/>
    <col min="5483" max="5484" width="1.140625" style="64" customWidth="1"/>
    <col min="5485" max="5485" width="9.140625" style="64" customWidth="1"/>
    <col min="5486" max="5486" width="74.140625" style="64" customWidth="1"/>
    <col min="5487" max="5487" width="12.7109375" style="64" customWidth="1"/>
    <col min="5488" max="5488" width="14.7109375" style="64" customWidth="1"/>
    <col min="5489" max="5489" width="12.7109375" style="64" customWidth="1"/>
    <col min="5490" max="5490" width="18" style="64" customWidth="1"/>
    <col min="5491" max="5492" width="1.140625" style="64" customWidth="1"/>
    <col min="5493" max="5493" width="4" style="64" customWidth="1"/>
    <col min="5494" max="5494" width="10.140625" style="64" bestFit="1" customWidth="1"/>
    <col min="5495" max="5495" width="11.28515625" style="64" bestFit="1" customWidth="1"/>
    <col min="5496" max="5496" width="9.140625" style="64" customWidth="1"/>
    <col min="5497" max="5497" width="0" style="64" hidden="1" customWidth="1"/>
    <col min="5498" max="5706" width="9.140625" style="64" customWidth="1"/>
    <col min="5707" max="5738" width="8.7109375" style="64"/>
    <col min="5739" max="5740" width="1.140625" style="64" customWidth="1"/>
    <col min="5741" max="5741" width="9.140625" style="64" customWidth="1"/>
    <col min="5742" max="5742" width="74.140625" style="64" customWidth="1"/>
    <col min="5743" max="5743" width="12.7109375" style="64" customWidth="1"/>
    <col min="5744" max="5744" width="14.7109375" style="64" customWidth="1"/>
    <col min="5745" max="5745" width="12.7109375" style="64" customWidth="1"/>
    <col min="5746" max="5746" width="18" style="64" customWidth="1"/>
    <col min="5747" max="5748" width="1.140625" style="64" customWidth="1"/>
    <col min="5749" max="5749" width="4" style="64" customWidth="1"/>
    <col min="5750" max="5750" width="10.140625" style="64" bestFit="1" customWidth="1"/>
    <col min="5751" max="5751" width="11.28515625" style="64" bestFit="1" customWidth="1"/>
    <col min="5752" max="5752" width="9.140625" style="64" customWidth="1"/>
    <col min="5753" max="5753" width="0" style="64" hidden="1" customWidth="1"/>
    <col min="5754" max="5962" width="9.140625" style="64" customWidth="1"/>
    <col min="5963" max="5994" width="8.7109375" style="64"/>
    <col min="5995" max="5996" width="1.140625" style="64" customWidth="1"/>
    <col min="5997" max="5997" width="9.140625" style="64" customWidth="1"/>
    <col min="5998" max="5998" width="74.140625" style="64" customWidth="1"/>
    <col min="5999" max="5999" width="12.7109375" style="64" customWidth="1"/>
    <col min="6000" max="6000" width="14.7109375" style="64" customWidth="1"/>
    <col min="6001" max="6001" width="12.7109375" style="64" customWidth="1"/>
    <col min="6002" max="6002" width="18" style="64" customWidth="1"/>
    <col min="6003" max="6004" width="1.140625" style="64" customWidth="1"/>
    <col min="6005" max="6005" width="4" style="64" customWidth="1"/>
    <col min="6006" max="6006" width="10.140625" style="64" bestFit="1" customWidth="1"/>
    <col min="6007" max="6007" width="11.28515625" style="64" bestFit="1" customWidth="1"/>
    <col min="6008" max="6008" width="9.140625" style="64" customWidth="1"/>
    <col min="6009" max="6009" width="0" style="64" hidden="1" customWidth="1"/>
    <col min="6010" max="6218" width="9.140625" style="64" customWidth="1"/>
    <col min="6219" max="6250" width="8.7109375" style="64"/>
    <col min="6251" max="6252" width="1.140625" style="64" customWidth="1"/>
    <col min="6253" max="6253" width="9.140625" style="64" customWidth="1"/>
    <col min="6254" max="6254" width="74.140625" style="64" customWidth="1"/>
    <col min="6255" max="6255" width="12.7109375" style="64" customWidth="1"/>
    <col min="6256" max="6256" width="14.7109375" style="64" customWidth="1"/>
    <col min="6257" max="6257" width="12.7109375" style="64" customWidth="1"/>
    <col min="6258" max="6258" width="18" style="64" customWidth="1"/>
    <col min="6259" max="6260" width="1.140625" style="64" customWidth="1"/>
    <col min="6261" max="6261" width="4" style="64" customWidth="1"/>
    <col min="6262" max="6262" width="10.140625" style="64" bestFit="1" customWidth="1"/>
    <col min="6263" max="6263" width="11.28515625" style="64" bestFit="1" customWidth="1"/>
    <col min="6264" max="6264" width="9.140625" style="64" customWidth="1"/>
    <col min="6265" max="6265" width="0" style="64" hidden="1" customWidth="1"/>
    <col min="6266" max="6474" width="9.140625" style="64" customWidth="1"/>
    <col min="6475" max="6506" width="8.7109375" style="64"/>
    <col min="6507" max="6508" width="1.140625" style="64" customWidth="1"/>
    <col min="6509" max="6509" width="9.140625" style="64" customWidth="1"/>
    <col min="6510" max="6510" width="74.140625" style="64" customWidth="1"/>
    <col min="6511" max="6511" width="12.7109375" style="64" customWidth="1"/>
    <col min="6512" max="6512" width="14.7109375" style="64" customWidth="1"/>
    <col min="6513" max="6513" width="12.7109375" style="64" customWidth="1"/>
    <col min="6514" max="6514" width="18" style="64" customWidth="1"/>
    <col min="6515" max="6516" width="1.140625" style="64" customWidth="1"/>
    <col min="6517" max="6517" width="4" style="64" customWidth="1"/>
    <col min="6518" max="6518" width="10.140625" style="64" bestFit="1" customWidth="1"/>
    <col min="6519" max="6519" width="11.28515625" style="64" bestFit="1" customWidth="1"/>
    <col min="6520" max="6520" width="9.140625" style="64" customWidth="1"/>
    <col min="6521" max="6521" width="0" style="64" hidden="1" customWidth="1"/>
    <col min="6522" max="6730" width="9.140625" style="64" customWidth="1"/>
    <col min="6731" max="6762" width="8.7109375" style="64"/>
    <col min="6763" max="6764" width="1.140625" style="64" customWidth="1"/>
    <col min="6765" max="6765" width="9.140625" style="64" customWidth="1"/>
    <col min="6766" max="6766" width="74.140625" style="64" customWidth="1"/>
    <col min="6767" max="6767" width="12.7109375" style="64" customWidth="1"/>
    <col min="6768" max="6768" width="14.7109375" style="64" customWidth="1"/>
    <col min="6769" max="6769" width="12.7109375" style="64" customWidth="1"/>
    <col min="6770" max="6770" width="18" style="64" customWidth="1"/>
    <col min="6771" max="6772" width="1.140625" style="64" customWidth="1"/>
    <col min="6773" max="6773" width="4" style="64" customWidth="1"/>
    <col min="6774" max="6774" width="10.140625" style="64" bestFit="1" customWidth="1"/>
    <col min="6775" max="6775" width="11.28515625" style="64" bestFit="1" customWidth="1"/>
    <col min="6776" max="6776" width="9.140625" style="64" customWidth="1"/>
    <col min="6777" max="6777" width="0" style="64" hidden="1" customWidth="1"/>
    <col min="6778" max="6986" width="9.140625" style="64" customWidth="1"/>
    <col min="6987" max="7018" width="8.7109375" style="64"/>
    <col min="7019" max="7020" width="1.140625" style="64" customWidth="1"/>
    <col min="7021" max="7021" width="9.140625" style="64" customWidth="1"/>
    <col min="7022" max="7022" width="74.140625" style="64" customWidth="1"/>
    <col min="7023" max="7023" width="12.7109375" style="64" customWidth="1"/>
    <col min="7024" max="7024" width="14.7109375" style="64" customWidth="1"/>
    <col min="7025" max="7025" width="12.7109375" style="64" customWidth="1"/>
    <col min="7026" max="7026" width="18" style="64" customWidth="1"/>
    <col min="7027" max="7028" width="1.140625" style="64" customWidth="1"/>
    <col min="7029" max="7029" width="4" style="64" customWidth="1"/>
    <col min="7030" max="7030" width="10.140625" style="64" bestFit="1" customWidth="1"/>
    <col min="7031" max="7031" width="11.28515625" style="64" bestFit="1" customWidth="1"/>
    <col min="7032" max="7032" width="9.140625" style="64" customWidth="1"/>
    <col min="7033" max="7033" width="0" style="64" hidden="1" customWidth="1"/>
    <col min="7034" max="7242" width="9.140625" style="64" customWidth="1"/>
    <col min="7243" max="7274" width="8.7109375" style="64"/>
    <col min="7275" max="7276" width="1.140625" style="64" customWidth="1"/>
    <col min="7277" max="7277" width="9.140625" style="64" customWidth="1"/>
    <col min="7278" max="7278" width="74.140625" style="64" customWidth="1"/>
    <col min="7279" max="7279" width="12.7109375" style="64" customWidth="1"/>
    <col min="7280" max="7280" width="14.7109375" style="64" customWidth="1"/>
    <col min="7281" max="7281" width="12.7109375" style="64" customWidth="1"/>
    <col min="7282" max="7282" width="18" style="64" customWidth="1"/>
    <col min="7283" max="7284" width="1.140625" style="64" customWidth="1"/>
    <col min="7285" max="7285" width="4" style="64" customWidth="1"/>
    <col min="7286" max="7286" width="10.140625" style="64" bestFit="1" customWidth="1"/>
    <col min="7287" max="7287" width="11.28515625" style="64" bestFit="1" customWidth="1"/>
    <col min="7288" max="7288" width="9.140625" style="64" customWidth="1"/>
    <col min="7289" max="7289" width="0" style="64" hidden="1" customWidth="1"/>
    <col min="7290" max="7498" width="9.140625" style="64" customWidth="1"/>
    <col min="7499" max="7530" width="8.7109375" style="64"/>
    <col min="7531" max="7532" width="1.140625" style="64" customWidth="1"/>
    <col min="7533" max="7533" width="9.140625" style="64" customWidth="1"/>
    <col min="7534" max="7534" width="74.140625" style="64" customWidth="1"/>
    <col min="7535" max="7535" width="12.7109375" style="64" customWidth="1"/>
    <col min="7536" max="7536" width="14.7109375" style="64" customWidth="1"/>
    <col min="7537" max="7537" width="12.7109375" style="64" customWidth="1"/>
    <col min="7538" max="7538" width="18" style="64" customWidth="1"/>
    <col min="7539" max="7540" width="1.140625" style="64" customWidth="1"/>
    <col min="7541" max="7541" width="4" style="64" customWidth="1"/>
    <col min="7542" max="7542" width="10.140625" style="64" bestFit="1" customWidth="1"/>
    <col min="7543" max="7543" width="11.28515625" style="64" bestFit="1" customWidth="1"/>
    <col min="7544" max="7544" width="9.140625" style="64" customWidth="1"/>
    <col min="7545" max="7545" width="0" style="64" hidden="1" customWidth="1"/>
    <col min="7546" max="7754" width="9.140625" style="64" customWidth="1"/>
    <col min="7755" max="7786" width="8.7109375" style="64"/>
    <col min="7787" max="7788" width="1.140625" style="64" customWidth="1"/>
    <col min="7789" max="7789" width="9.140625" style="64" customWidth="1"/>
    <col min="7790" max="7790" width="74.140625" style="64" customWidth="1"/>
    <col min="7791" max="7791" width="12.7109375" style="64" customWidth="1"/>
    <col min="7792" max="7792" width="14.7109375" style="64" customWidth="1"/>
    <col min="7793" max="7793" width="12.7109375" style="64" customWidth="1"/>
    <col min="7794" max="7794" width="18" style="64" customWidth="1"/>
    <col min="7795" max="7796" width="1.140625" style="64" customWidth="1"/>
    <col min="7797" max="7797" width="4" style="64" customWidth="1"/>
    <col min="7798" max="7798" width="10.140625" style="64" bestFit="1" customWidth="1"/>
    <col min="7799" max="7799" width="11.28515625" style="64" bestFit="1" customWidth="1"/>
    <col min="7800" max="7800" width="9.140625" style="64" customWidth="1"/>
    <col min="7801" max="7801" width="0" style="64" hidden="1" customWidth="1"/>
    <col min="7802" max="8010" width="9.140625" style="64" customWidth="1"/>
    <col min="8011" max="16384" width="8.7109375" style="64"/>
  </cols>
  <sheetData>
    <row r="1" spans="1:8" ht="30" customHeight="1" thickBot="1">
      <c r="A1" s="734"/>
      <c r="B1" s="62"/>
      <c r="C1" s="727" t="s">
        <v>227</v>
      </c>
      <c r="D1" s="728"/>
      <c r="E1" s="729" t="s">
        <v>712</v>
      </c>
      <c r="F1" s="730"/>
      <c r="G1" s="730"/>
      <c r="H1" s="386">
        <f>G44</f>
        <v>0</v>
      </c>
    </row>
    <row r="2" spans="1:8" ht="30" customHeight="1" thickTop="1" thickBot="1">
      <c r="A2" s="734"/>
      <c r="B2" s="62"/>
      <c r="C2" s="727" t="s">
        <v>721</v>
      </c>
      <c r="D2" s="728"/>
      <c r="E2" s="65" t="s">
        <v>229</v>
      </c>
      <c r="F2" s="733" t="s">
        <v>711</v>
      </c>
      <c r="G2" s="733"/>
      <c r="H2" s="70"/>
    </row>
    <row r="3" spans="1:8" ht="30" customHeight="1" thickTop="1" thickBot="1">
      <c r="A3" s="734"/>
      <c r="B3" s="66"/>
      <c r="C3" s="731" t="s">
        <v>228</v>
      </c>
      <c r="D3" s="732"/>
      <c r="E3" s="67" t="s">
        <v>713</v>
      </c>
      <c r="F3" s="65" t="s">
        <v>179</v>
      </c>
      <c r="G3" s="68">
        <v>45292</v>
      </c>
      <c r="H3" s="70"/>
    </row>
    <row r="4" spans="1:8" s="71" customFormat="1" ht="34.5" customHeight="1" thickTop="1">
      <c r="A4" s="734"/>
      <c r="B4" s="69" t="s">
        <v>146</v>
      </c>
      <c r="C4" s="736" t="s">
        <v>714</v>
      </c>
      <c r="D4" s="737"/>
      <c r="E4" s="737"/>
      <c r="F4" s="737"/>
      <c r="G4" s="737"/>
      <c r="H4" s="70"/>
    </row>
    <row r="5" spans="1:8" s="71" customFormat="1" ht="4.1500000000000004" customHeight="1">
      <c r="A5" s="734"/>
      <c r="B5" s="72"/>
      <c r="C5" s="73"/>
      <c r="D5" s="73"/>
      <c r="E5" s="73"/>
      <c r="F5" s="73"/>
      <c r="G5" s="73"/>
      <c r="H5" s="63"/>
    </row>
    <row r="6" spans="1:8" s="81" customFormat="1" ht="28.5" customHeight="1">
      <c r="A6" s="735"/>
      <c r="B6" s="74" t="s">
        <v>9</v>
      </c>
      <c r="C6" s="75" t="s">
        <v>10</v>
      </c>
      <c r="D6" s="76" t="s">
        <v>11</v>
      </c>
      <c r="E6" s="77" t="s">
        <v>172</v>
      </c>
      <c r="F6" s="78" t="s">
        <v>147</v>
      </c>
      <c r="G6" s="79" t="s">
        <v>148</v>
      </c>
      <c r="H6" s="387"/>
    </row>
    <row r="7" spans="1:8" s="81" customFormat="1" ht="27.95" customHeight="1">
      <c r="A7" s="738" t="s">
        <v>391</v>
      </c>
      <c r="B7" s="93">
        <v>1</v>
      </c>
      <c r="C7" s="98" t="s">
        <v>715</v>
      </c>
      <c r="D7" s="94"/>
      <c r="E7" s="95"/>
      <c r="F7" s="96"/>
      <c r="G7" s="97"/>
      <c r="H7" s="80"/>
    </row>
    <row r="8" spans="1:8" s="81" customFormat="1" ht="24" customHeight="1" outlineLevel="1">
      <c r="A8" s="739"/>
      <c r="B8" s="82" t="s">
        <v>406</v>
      </c>
      <c r="C8" s="99" t="s">
        <v>716</v>
      </c>
      <c r="D8" s="83" t="s">
        <v>717</v>
      </c>
      <c r="E8" s="84">
        <v>1</v>
      </c>
      <c r="F8" s="85">
        <f>_xlfn.XLOOKUP(B8,'CPU  1'!$F$1:$CI$1,'CPU  1'!$F$182:$CI$182)</f>
        <v>0</v>
      </c>
      <c r="G8" s="86">
        <f t="shared" ref="G8:G15" si="0">F8*E8</f>
        <v>0</v>
      </c>
      <c r="H8" s="87" t="e">
        <f t="shared" ref="H8:H15" si="1">G8/$G$44</f>
        <v>#DIV/0!</v>
      </c>
    </row>
    <row r="9" spans="1:8" s="81" customFormat="1" ht="24" customHeight="1" outlineLevel="1">
      <c r="A9" s="739"/>
      <c r="B9" s="82" t="s">
        <v>407</v>
      </c>
      <c r="C9" s="99" t="s">
        <v>716</v>
      </c>
      <c r="D9" s="83" t="s">
        <v>717</v>
      </c>
      <c r="E9" s="84">
        <v>1</v>
      </c>
      <c r="F9" s="85">
        <f>_xlfn.XLOOKUP(B9,'CPU  1'!$F$1:$CI$1,'CPU  1'!$F$182:$CI$182)</f>
        <v>0</v>
      </c>
      <c r="G9" s="86">
        <f t="shared" si="0"/>
        <v>0</v>
      </c>
      <c r="H9" s="87" t="e">
        <f t="shared" si="1"/>
        <v>#DIV/0!</v>
      </c>
    </row>
    <row r="10" spans="1:8" s="81" customFormat="1" ht="24" customHeight="1" outlineLevel="1">
      <c r="A10" s="739"/>
      <c r="B10" s="82" t="s">
        <v>408</v>
      </c>
      <c r="C10" s="99" t="s">
        <v>716</v>
      </c>
      <c r="D10" s="83" t="s">
        <v>717</v>
      </c>
      <c r="E10" s="84">
        <v>1</v>
      </c>
      <c r="F10" s="85">
        <f>_xlfn.XLOOKUP(B10,'CPU  1'!$F$1:$CI$1,'CPU  1'!$F$182:$CI$182)</f>
        <v>0</v>
      </c>
      <c r="G10" s="86">
        <f t="shared" si="0"/>
        <v>0</v>
      </c>
      <c r="H10" s="87" t="e">
        <f t="shared" si="1"/>
        <v>#DIV/0!</v>
      </c>
    </row>
    <row r="11" spans="1:8" s="81" customFormat="1" ht="24" customHeight="1" outlineLevel="1">
      <c r="A11" s="739"/>
      <c r="B11" s="82" t="s">
        <v>409</v>
      </c>
      <c r="C11" s="99" t="s">
        <v>716</v>
      </c>
      <c r="D11" s="83" t="s">
        <v>717</v>
      </c>
      <c r="E11" s="84">
        <v>1</v>
      </c>
      <c r="F11" s="85">
        <f>_xlfn.XLOOKUP(B11,'CPU  1'!$F$1:$CI$1,'CPU  1'!$F$182:$CI$182)</f>
        <v>0</v>
      </c>
      <c r="G11" s="86">
        <f t="shared" si="0"/>
        <v>0</v>
      </c>
      <c r="H11" s="87" t="e">
        <f t="shared" si="1"/>
        <v>#DIV/0!</v>
      </c>
    </row>
    <row r="12" spans="1:8" s="81" customFormat="1" ht="24" customHeight="1" outlineLevel="1">
      <c r="A12" s="739"/>
      <c r="B12" s="82" t="s">
        <v>410</v>
      </c>
      <c r="C12" s="99" t="s">
        <v>716</v>
      </c>
      <c r="D12" s="83" t="s">
        <v>717</v>
      </c>
      <c r="E12" s="84">
        <v>1</v>
      </c>
      <c r="F12" s="85">
        <f>_xlfn.XLOOKUP(B12,'CPU  1'!$F$1:$CI$1,'CPU  1'!$F$182:$CI$182)</f>
        <v>0</v>
      </c>
      <c r="G12" s="86">
        <f t="shared" si="0"/>
        <v>0</v>
      </c>
      <c r="H12" s="87" t="e">
        <f t="shared" si="1"/>
        <v>#DIV/0!</v>
      </c>
    </row>
    <row r="13" spans="1:8" s="81" customFormat="1" ht="24" customHeight="1" outlineLevel="1">
      <c r="A13" s="739"/>
      <c r="B13" s="82" t="s">
        <v>411</v>
      </c>
      <c r="C13" s="99" t="s">
        <v>716</v>
      </c>
      <c r="D13" s="83" t="s">
        <v>717</v>
      </c>
      <c r="E13" s="84">
        <v>1</v>
      </c>
      <c r="F13" s="85">
        <f>_xlfn.XLOOKUP(B13,'CPU  1'!$F$1:$CI$1,'CPU  1'!$F$182:$CI$182)</f>
        <v>0</v>
      </c>
      <c r="G13" s="86">
        <f t="shared" si="0"/>
        <v>0</v>
      </c>
      <c r="H13" s="87" t="e">
        <f t="shared" si="1"/>
        <v>#DIV/0!</v>
      </c>
    </row>
    <row r="14" spans="1:8" s="81" customFormat="1" ht="24" customHeight="1" outlineLevel="1">
      <c r="A14" s="739"/>
      <c r="B14" s="82" t="s">
        <v>412</v>
      </c>
      <c r="C14" s="99" t="s">
        <v>716</v>
      </c>
      <c r="D14" s="83" t="s">
        <v>717</v>
      </c>
      <c r="E14" s="84">
        <v>1</v>
      </c>
      <c r="F14" s="85">
        <f>_xlfn.XLOOKUP(B14,'CPU  1'!$F$1:$CI$1,'CPU  1'!$F$182:$CI$182)</f>
        <v>0</v>
      </c>
      <c r="G14" s="86">
        <f t="shared" si="0"/>
        <v>0</v>
      </c>
      <c r="H14" s="87" t="e">
        <f t="shared" si="1"/>
        <v>#DIV/0!</v>
      </c>
    </row>
    <row r="15" spans="1:8" s="81" customFormat="1" ht="24" customHeight="1" outlineLevel="1">
      <c r="A15" s="740"/>
      <c r="B15" s="82" t="s">
        <v>413</v>
      </c>
      <c r="C15" s="99" t="s">
        <v>716</v>
      </c>
      <c r="D15" s="83" t="s">
        <v>717</v>
      </c>
      <c r="E15" s="84">
        <v>1</v>
      </c>
      <c r="F15" s="85">
        <f>_xlfn.XLOOKUP(B15,'CPU  1'!$F$1:$CI$1,'CPU  1'!$F$182:$CI$182)</f>
        <v>0</v>
      </c>
      <c r="G15" s="86">
        <f t="shared" si="0"/>
        <v>0</v>
      </c>
      <c r="H15" s="87" t="e">
        <f t="shared" si="1"/>
        <v>#DIV/0!</v>
      </c>
    </row>
    <row r="16" spans="1:8" s="81" customFormat="1" ht="27.95" customHeight="1">
      <c r="A16" s="738" t="s">
        <v>479</v>
      </c>
      <c r="B16" s="93">
        <v>2</v>
      </c>
      <c r="C16" s="98" t="s">
        <v>715</v>
      </c>
      <c r="D16" s="94"/>
      <c r="E16" s="95"/>
      <c r="F16" s="96"/>
      <c r="G16" s="97"/>
      <c r="H16" s="80"/>
    </row>
    <row r="17" spans="1:8" s="81" customFormat="1" ht="27.95" customHeight="1" outlineLevel="1">
      <c r="A17" s="741"/>
      <c r="B17" s="101" t="s">
        <v>12</v>
      </c>
      <c r="C17" s="100" t="s">
        <v>718</v>
      </c>
      <c r="D17" s="102"/>
      <c r="E17" s="103"/>
      <c r="F17" s="104"/>
      <c r="G17" s="105"/>
      <c r="H17" s="92" t="e">
        <f t="shared" ref="H17:H23" si="2">G17/$G$44</f>
        <v>#DIV/0!</v>
      </c>
    </row>
    <row r="18" spans="1:8" s="81" customFormat="1" ht="27.75" customHeight="1" outlineLevel="1">
      <c r="A18" s="741"/>
      <c r="B18" s="90" t="s">
        <v>416</v>
      </c>
      <c r="C18" s="99" t="s">
        <v>716</v>
      </c>
      <c r="D18" s="83" t="s">
        <v>717</v>
      </c>
      <c r="E18" s="84">
        <v>1</v>
      </c>
      <c r="F18" s="85">
        <f>_xlfn.XLOOKUP(B18,'CPU  2'!$F$1:$CF$1,'CPU  2'!$F$182:$CF$182)</f>
        <v>0</v>
      </c>
      <c r="G18" s="91">
        <f>F18*E18</f>
        <v>0</v>
      </c>
      <c r="H18" s="92" t="e">
        <f t="shared" si="2"/>
        <v>#DIV/0!</v>
      </c>
    </row>
    <row r="19" spans="1:8" s="81" customFormat="1" ht="27.95" customHeight="1" outlineLevel="1">
      <c r="A19" s="741"/>
      <c r="B19" s="90" t="s">
        <v>417</v>
      </c>
      <c r="C19" s="99" t="s">
        <v>716</v>
      </c>
      <c r="D19" s="83" t="s">
        <v>717</v>
      </c>
      <c r="E19" s="84">
        <v>1</v>
      </c>
      <c r="F19" s="85">
        <f>_xlfn.XLOOKUP(B19,'CPU  2'!$F$1:$CF$1,'CPU  2'!$F$182:$CF$182)</f>
        <v>0</v>
      </c>
      <c r="G19" s="91">
        <f>F19*E19</f>
        <v>0</v>
      </c>
      <c r="H19" s="92" t="e">
        <f t="shared" si="2"/>
        <v>#DIV/0!</v>
      </c>
    </row>
    <row r="20" spans="1:8" s="81" customFormat="1" ht="27.95" customHeight="1" outlineLevel="1">
      <c r="A20" s="742" t="s">
        <v>480</v>
      </c>
      <c r="B20" s="101" t="s">
        <v>13</v>
      </c>
      <c r="C20" s="100" t="s">
        <v>718</v>
      </c>
      <c r="D20" s="102"/>
      <c r="E20" s="103"/>
      <c r="F20" s="104"/>
      <c r="G20" s="105"/>
      <c r="H20" s="92" t="e">
        <f t="shared" si="2"/>
        <v>#DIV/0!</v>
      </c>
    </row>
    <row r="21" spans="1:8" s="81" customFormat="1" ht="27.95" customHeight="1" outlineLevel="1">
      <c r="A21" s="739"/>
      <c r="B21" s="90" t="s">
        <v>427</v>
      </c>
      <c r="C21" s="384" t="s">
        <v>716</v>
      </c>
      <c r="D21" s="83" t="s">
        <v>717</v>
      </c>
      <c r="E21" s="84">
        <v>1</v>
      </c>
      <c r="F21" s="85">
        <f>_xlfn.XLOOKUP(B21,'CPU  3'!$F$1:$CL$1,'CPU  3'!$F$182:$CL$182)</f>
        <v>0</v>
      </c>
      <c r="G21" s="91">
        <f>F21*E21</f>
        <v>0</v>
      </c>
      <c r="H21" s="92" t="e">
        <f t="shared" si="2"/>
        <v>#DIV/0!</v>
      </c>
    </row>
    <row r="22" spans="1:8" s="81" customFormat="1" ht="27.95" customHeight="1" outlineLevel="1">
      <c r="A22" s="739"/>
      <c r="B22" s="90" t="s">
        <v>428</v>
      </c>
      <c r="C22" s="384" t="s">
        <v>716</v>
      </c>
      <c r="D22" s="83" t="s">
        <v>717</v>
      </c>
      <c r="E22" s="84">
        <v>1</v>
      </c>
      <c r="F22" s="85">
        <f>_xlfn.XLOOKUP(B22,'CPU  3'!$F$1:$CL$1,'CPU  3'!$F$182:$CL$182)</f>
        <v>0</v>
      </c>
      <c r="G22" s="91">
        <f>F22*E22</f>
        <v>0</v>
      </c>
      <c r="H22" s="92" t="e">
        <f t="shared" si="2"/>
        <v>#DIV/0!</v>
      </c>
    </row>
    <row r="23" spans="1:8" s="81" customFormat="1" ht="27.95" customHeight="1" outlineLevel="1">
      <c r="A23" s="739"/>
      <c r="B23" s="90" t="s">
        <v>429</v>
      </c>
      <c r="C23" s="384" t="s">
        <v>716</v>
      </c>
      <c r="D23" s="83" t="s">
        <v>717</v>
      </c>
      <c r="E23" s="84">
        <v>1</v>
      </c>
      <c r="F23" s="85">
        <f>_xlfn.XLOOKUP(B23,'CPU  3'!$F$1:$CL$1,'CPU  3'!$F$182:$CL$182)</f>
        <v>0</v>
      </c>
      <c r="G23" s="91">
        <f>F23*E23</f>
        <v>0</v>
      </c>
      <c r="H23" s="92" t="e">
        <f t="shared" si="2"/>
        <v>#DIV/0!</v>
      </c>
    </row>
    <row r="24" spans="1:8" s="81" customFormat="1" ht="27.95" customHeight="1" outlineLevel="1">
      <c r="A24" s="739"/>
      <c r="B24" s="90" t="s">
        <v>430</v>
      </c>
      <c r="C24" s="384" t="s">
        <v>716</v>
      </c>
      <c r="D24" s="83" t="s">
        <v>717</v>
      </c>
      <c r="E24" s="84">
        <v>1</v>
      </c>
      <c r="F24" s="85">
        <f>_xlfn.XLOOKUP(B24,'CPU  3'!$F$1:$CL$1,'CPU  3'!$F$182:$CL$182)</f>
        <v>0</v>
      </c>
      <c r="G24" s="91">
        <f>F24*E24</f>
        <v>0</v>
      </c>
      <c r="H24" s="92" t="e">
        <f>G24/$G$44</f>
        <v>#DIV/0!</v>
      </c>
    </row>
    <row r="25" spans="1:8" s="81" customFormat="1" ht="27.95" customHeight="1" outlineLevel="1">
      <c r="A25" s="739"/>
      <c r="B25" s="101" t="s">
        <v>14</v>
      </c>
      <c r="C25" s="100" t="s">
        <v>718</v>
      </c>
      <c r="D25" s="102"/>
      <c r="E25" s="103"/>
      <c r="F25" s="104"/>
      <c r="G25" s="105"/>
      <c r="H25" s="92" t="e">
        <f t="shared" ref="H25:H31" si="3">G25/$G$44</f>
        <v>#DIV/0!</v>
      </c>
    </row>
    <row r="26" spans="1:8" s="81" customFormat="1" ht="27.95" customHeight="1" outlineLevel="1">
      <c r="A26" s="739"/>
      <c r="B26" s="90" t="s">
        <v>426</v>
      </c>
      <c r="C26" s="384" t="s">
        <v>716</v>
      </c>
      <c r="D26" s="83" t="s">
        <v>717</v>
      </c>
      <c r="E26" s="84">
        <v>1</v>
      </c>
      <c r="F26" s="85">
        <f>_xlfn.XLOOKUP(B26,'CPU  3'!$F$1:$CL$1,'CPU  3'!$F$182:$CL$182)</f>
        <v>0</v>
      </c>
      <c r="G26" s="91">
        <f>F26*E26</f>
        <v>0</v>
      </c>
      <c r="H26" s="92" t="e">
        <f t="shared" si="3"/>
        <v>#DIV/0!</v>
      </c>
    </row>
    <row r="27" spans="1:8" s="81" customFormat="1" ht="27.95" customHeight="1" outlineLevel="1">
      <c r="A27" s="740"/>
      <c r="B27" s="90" t="s">
        <v>707</v>
      </c>
      <c r="C27" s="384" t="s">
        <v>716</v>
      </c>
      <c r="D27" s="83" t="s">
        <v>717</v>
      </c>
      <c r="E27" s="84">
        <v>1</v>
      </c>
      <c r="F27" s="85">
        <f>_xlfn.XLOOKUP(B27,'CPU  3'!$F$1:$CL$1,'CPU  3'!$F$182:$CL$182)</f>
        <v>0</v>
      </c>
      <c r="G27" s="91">
        <f>F27*E27</f>
        <v>0</v>
      </c>
      <c r="H27" s="92" t="e">
        <f t="shared" si="3"/>
        <v>#DIV/0!</v>
      </c>
    </row>
    <row r="28" spans="1:8" s="81" customFormat="1" ht="27.95" customHeight="1" outlineLevel="1">
      <c r="A28" s="743" t="s">
        <v>481</v>
      </c>
      <c r="B28" s="101" t="s">
        <v>15</v>
      </c>
      <c r="C28" s="100" t="s">
        <v>718</v>
      </c>
      <c r="D28" s="102"/>
      <c r="E28" s="103"/>
      <c r="F28" s="104"/>
      <c r="G28" s="105"/>
      <c r="H28" s="92" t="e">
        <f t="shared" si="3"/>
        <v>#DIV/0!</v>
      </c>
    </row>
    <row r="29" spans="1:8" s="81" customFormat="1" ht="27.95" customHeight="1" outlineLevel="1">
      <c r="A29" s="744"/>
      <c r="B29" s="90" t="s">
        <v>425</v>
      </c>
      <c r="C29" s="384" t="s">
        <v>716</v>
      </c>
      <c r="D29" s="83" t="s">
        <v>717</v>
      </c>
      <c r="E29" s="84">
        <v>1</v>
      </c>
      <c r="F29" s="85">
        <f>_xlfn.XLOOKUP(B29,'CPU  4'!$F$1:$CL$1,'CPU  4'!$F$182:$CL$182)</f>
        <v>0</v>
      </c>
      <c r="G29" s="91">
        <f>F29*E29</f>
        <v>0</v>
      </c>
      <c r="H29" s="92" t="e">
        <f t="shared" si="3"/>
        <v>#DIV/0!</v>
      </c>
    </row>
    <row r="30" spans="1:8" s="81" customFormat="1" ht="27.95" customHeight="1" outlineLevel="1">
      <c r="A30" s="744"/>
      <c r="B30" s="90" t="s">
        <v>699</v>
      </c>
      <c r="C30" s="384" t="s">
        <v>716</v>
      </c>
      <c r="D30" s="83" t="s">
        <v>717</v>
      </c>
      <c r="E30" s="84">
        <v>1</v>
      </c>
      <c r="F30" s="85">
        <f>_xlfn.XLOOKUP(B30,'CPU  4'!$F$1:$CL$1,'CPU  4'!$F$182:$CL$182)</f>
        <v>0</v>
      </c>
      <c r="G30" s="91">
        <f>F30*E30</f>
        <v>0</v>
      </c>
      <c r="H30" s="92" t="e">
        <f t="shared" si="3"/>
        <v>#DIV/0!</v>
      </c>
    </row>
    <row r="31" spans="1:8" s="81" customFormat="1" ht="27.95" customHeight="1" outlineLevel="1">
      <c r="A31" s="744"/>
      <c r="B31" s="90" t="s">
        <v>700</v>
      </c>
      <c r="C31" s="384" t="s">
        <v>716</v>
      </c>
      <c r="D31" s="83" t="s">
        <v>717</v>
      </c>
      <c r="E31" s="84">
        <v>1</v>
      </c>
      <c r="F31" s="85">
        <f>_xlfn.XLOOKUP(B31,'CPU  4'!$F$1:$CL$1,'CPU  4'!$F$182:$CL$182)</f>
        <v>0</v>
      </c>
      <c r="G31" s="91">
        <f>F31*E31</f>
        <v>0</v>
      </c>
      <c r="H31" s="92" t="e">
        <f t="shared" si="3"/>
        <v>#DIV/0!</v>
      </c>
    </row>
    <row r="32" spans="1:8" s="81" customFormat="1" ht="27.95" customHeight="1" outlineLevel="1">
      <c r="A32" s="744"/>
      <c r="B32" s="90" t="s">
        <v>701</v>
      </c>
      <c r="C32" s="384" t="s">
        <v>716</v>
      </c>
      <c r="D32" s="83" t="s">
        <v>717</v>
      </c>
      <c r="E32" s="84">
        <v>1</v>
      </c>
      <c r="F32" s="85">
        <f>_xlfn.XLOOKUP(B32,'CPU  4'!$F$1:$CL$1,'CPU  4'!$F$182:$CL$182)</f>
        <v>0</v>
      </c>
      <c r="G32" s="91">
        <f>F32*E32</f>
        <v>0</v>
      </c>
      <c r="H32" s="92" t="e">
        <f>G32/$G$44</f>
        <v>#DIV/0!</v>
      </c>
    </row>
    <row r="33" spans="1:8" s="81" customFormat="1" ht="27.95" customHeight="1" outlineLevel="1">
      <c r="A33" s="744"/>
      <c r="B33" s="101" t="s">
        <v>16</v>
      </c>
      <c r="C33" s="100" t="s">
        <v>718</v>
      </c>
      <c r="D33" s="102"/>
      <c r="E33" s="103"/>
      <c r="F33" s="104"/>
      <c r="G33" s="105"/>
      <c r="H33" s="92" t="e">
        <f t="shared" ref="H33:H43" si="4">G33/$G$44</f>
        <v>#DIV/0!</v>
      </c>
    </row>
    <row r="34" spans="1:8" s="81" customFormat="1" ht="27.95" customHeight="1" outlineLevel="1">
      <c r="A34" s="744"/>
      <c r="B34" s="90" t="s">
        <v>424</v>
      </c>
      <c r="C34" s="384" t="s">
        <v>716</v>
      </c>
      <c r="D34" s="83" t="s">
        <v>717</v>
      </c>
      <c r="E34" s="84">
        <v>1</v>
      </c>
      <c r="F34" s="85">
        <f>_xlfn.XLOOKUP(B34,'CPU  4'!$F$1:$CL$1,'CPU  4'!$F$182:$CL$182)</f>
        <v>0</v>
      </c>
      <c r="G34" s="91">
        <f>F34*E34</f>
        <v>0</v>
      </c>
      <c r="H34" s="92" t="e">
        <f t="shared" si="4"/>
        <v>#DIV/0!</v>
      </c>
    </row>
    <row r="35" spans="1:8" s="81" customFormat="1" ht="27.95" customHeight="1" outlineLevel="1">
      <c r="A35" s="744"/>
      <c r="B35" s="90" t="s">
        <v>702</v>
      </c>
      <c r="C35" s="384" t="s">
        <v>716</v>
      </c>
      <c r="D35" s="83" t="s">
        <v>717</v>
      </c>
      <c r="E35" s="84">
        <v>1</v>
      </c>
      <c r="F35" s="85">
        <f>_xlfn.XLOOKUP(B35,'CPU  4'!$F$1:$CL$1,'CPU  4'!$F$182:$CL$182)</f>
        <v>0</v>
      </c>
      <c r="G35" s="91">
        <f>F35*E35</f>
        <v>0</v>
      </c>
      <c r="H35" s="92" t="e">
        <f t="shared" si="4"/>
        <v>#DIV/0!</v>
      </c>
    </row>
    <row r="36" spans="1:8" s="81" customFormat="1" ht="27.95" customHeight="1" outlineLevel="1">
      <c r="A36" s="742" t="s">
        <v>576</v>
      </c>
      <c r="B36" s="101" t="s">
        <v>418</v>
      </c>
      <c r="C36" s="100" t="s">
        <v>718</v>
      </c>
      <c r="D36" s="102"/>
      <c r="E36" s="103"/>
      <c r="F36" s="104"/>
      <c r="G36" s="105"/>
      <c r="H36" s="92" t="e">
        <f t="shared" si="4"/>
        <v>#DIV/0!</v>
      </c>
    </row>
    <row r="37" spans="1:8" s="81" customFormat="1" ht="27.95" customHeight="1" outlineLevel="1">
      <c r="A37" s="739"/>
      <c r="B37" s="90" t="s">
        <v>423</v>
      </c>
      <c r="C37" s="384" t="s">
        <v>716</v>
      </c>
      <c r="D37" s="83" t="s">
        <v>717</v>
      </c>
      <c r="E37" s="84">
        <v>1</v>
      </c>
      <c r="F37" s="85">
        <f>_xlfn.XLOOKUP(B37,'CPU  5'!$F$1:$CC$1,'CPU  5'!$F$182:$CC$182)</f>
        <v>0</v>
      </c>
      <c r="G37" s="91">
        <f>F37*E37</f>
        <v>0</v>
      </c>
      <c r="H37" s="92" t="e">
        <f t="shared" si="4"/>
        <v>#DIV/0!</v>
      </c>
    </row>
    <row r="38" spans="1:8" s="81" customFormat="1" ht="27.95" customHeight="1" outlineLevel="1">
      <c r="A38" s="739"/>
      <c r="B38" s="101" t="s">
        <v>419</v>
      </c>
      <c r="C38" s="100" t="s">
        <v>718</v>
      </c>
      <c r="D38" s="102"/>
      <c r="E38" s="103"/>
      <c r="F38" s="104"/>
      <c r="G38" s="105"/>
      <c r="H38" s="92" t="e">
        <f t="shared" si="4"/>
        <v>#DIV/0!</v>
      </c>
    </row>
    <row r="39" spans="1:8" s="81" customFormat="1" ht="27.95" customHeight="1" outlineLevel="1">
      <c r="A39" s="739"/>
      <c r="B39" s="90" t="s">
        <v>422</v>
      </c>
      <c r="C39" s="384" t="s">
        <v>716</v>
      </c>
      <c r="D39" s="83" t="s">
        <v>717</v>
      </c>
      <c r="E39" s="84">
        <v>1</v>
      </c>
      <c r="F39" s="85">
        <f>_xlfn.XLOOKUP(B39,'CPU  5'!$F$1:$CC$1,'CPU  5'!$F$182:$CC$182)</f>
        <v>0</v>
      </c>
      <c r="G39" s="91">
        <f>F39*E39</f>
        <v>0</v>
      </c>
      <c r="H39" s="92" t="e">
        <f t="shared" si="4"/>
        <v>#DIV/0!</v>
      </c>
    </row>
    <row r="40" spans="1:8" s="81" customFormat="1" ht="27.95" customHeight="1" outlineLevel="1">
      <c r="A40" s="739"/>
      <c r="B40" s="101" t="s">
        <v>420</v>
      </c>
      <c r="C40" s="100" t="s">
        <v>718</v>
      </c>
      <c r="D40" s="102"/>
      <c r="E40" s="103"/>
      <c r="F40" s="104"/>
      <c r="G40" s="105"/>
      <c r="H40" s="92" t="e">
        <f t="shared" si="4"/>
        <v>#DIV/0!</v>
      </c>
    </row>
    <row r="41" spans="1:8" s="81" customFormat="1" ht="27.95" customHeight="1" outlineLevel="1">
      <c r="A41" s="739"/>
      <c r="B41" s="90" t="s">
        <v>421</v>
      </c>
      <c r="C41" s="384" t="s">
        <v>716</v>
      </c>
      <c r="D41" s="83" t="s">
        <v>717</v>
      </c>
      <c r="E41" s="84">
        <v>1</v>
      </c>
      <c r="F41" s="85">
        <f>_xlfn.XLOOKUP(B41,'CPU  5'!$F$1:$CC$1,'CPU  5'!$F$182:$CC$182)</f>
        <v>0</v>
      </c>
      <c r="G41" s="91">
        <f>F41*E41</f>
        <v>0</v>
      </c>
      <c r="H41" s="92" t="e">
        <f t="shared" si="4"/>
        <v>#DIV/0!</v>
      </c>
    </row>
    <row r="42" spans="1:8" s="81" customFormat="1" ht="27.95" customHeight="1" outlineLevel="1">
      <c r="A42" s="739"/>
      <c r="B42" s="101" t="s">
        <v>703</v>
      </c>
      <c r="C42" s="100" t="s">
        <v>718</v>
      </c>
      <c r="D42" s="102"/>
      <c r="E42" s="103"/>
      <c r="F42" s="104"/>
      <c r="G42" s="105"/>
      <c r="H42" s="92" t="e">
        <f t="shared" si="4"/>
        <v>#DIV/0!</v>
      </c>
    </row>
    <row r="43" spans="1:8" s="81" customFormat="1" ht="27.95" customHeight="1" outlineLevel="1">
      <c r="A43" s="740"/>
      <c r="B43" s="90" t="s">
        <v>704</v>
      </c>
      <c r="C43" s="384" t="s">
        <v>716</v>
      </c>
      <c r="D43" s="83" t="s">
        <v>717</v>
      </c>
      <c r="E43" s="84">
        <v>1</v>
      </c>
      <c r="F43" s="85">
        <f>_xlfn.XLOOKUP(B43,'CPU  5'!$F$1:$CC$1,'CPU  5'!$F$182:$CC$182)</f>
        <v>0</v>
      </c>
      <c r="G43" s="91">
        <f>F43*E43</f>
        <v>0</v>
      </c>
      <c r="H43" s="92" t="e">
        <f t="shared" si="4"/>
        <v>#DIV/0!</v>
      </c>
    </row>
    <row r="44" spans="1:8" ht="36" customHeight="1">
      <c r="B44" s="726" t="s">
        <v>405</v>
      </c>
      <c r="C44" s="726"/>
      <c r="D44" s="726"/>
      <c r="E44" s="726"/>
      <c r="F44" s="726"/>
      <c r="G44" s="88">
        <f>SUM(G7:G43)</f>
        <v>0</v>
      </c>
    </row>
    <row r="45" spans="1:8" s="63" customFormat="1" ht="71.25" customHeight="1">
      <c r="A45" s="298"/>
      <c r="B45" s="724" t="s">
        <v>719</v>
      </c>
      <c r="C45" s="725"/>
      <c r="D45" s="725"/>
      <c r="E45" s="725"/>
      <c r="F45" s="725"/>
      <c r="G45" s="725"/>
    </row>
    <row r="46" spans="1:8">
      <c r="B46" s="721" t="s">
        <v>698</v>
      </c>
      <c r="C46" s="722"/>
      <c r="D46" s="722"/>
      <c r="E46" s="722"/>
      <c r="F46" s="722"/>
      <c r="G46" s="723"/>
      <c r="H46" s="89"/>
    </row>
    <row r="47" spans="1:8">
      <c r="B47" s="716"/>
      <c r="C47" s="717"/>
      <c r="D47" s="717"/>
      <c r="E47" s="717"/>
      <c r="F47" s="717"/>
      <c r="G47" s="718"/>
      <c r="H47" s="89"/>
    </row>
    <row r="48" spans="1:8">
      <c r="B48" s="716"/>
      <c r="C48" s="717"/>
      <c r="D48" s="717"/>
      <c r="E48" s="717"/>
      <c r="F48" s="717"/>
      <c r="G48" s="718"/>
      <c r="H48" s="89"/>
    </row>
    <row r="49" spans="2:8">
      <c r="B49" s="716"/>
      <c r="C49" s="717"/>
      <c r="D49" s="717"/>
      <c r="E49" s="717"/>
      <c r="F49" s="717"/>
      <c r="G49" s="718"/>
      <c r="H49" s="89"/>
    </row>
    <row r="50" spans="2:8">
      <c r="B50" s="716"/>
      <c r="C50" s="717"/>
      <c r="D50" s="717"/>
      <c r="E50" s="717"/>
      <c r="F50" s="717"/>
      <c r="G50" s="718"/>
      <c r="H50" s="89"/>
    </row>
    <row r="51" spans="2:8">
      <c r="B51" s="716"/>
      <c r="C51" s="717"/>
      <c r="D51" s="717"/>
      <c r="E51" s="717"/>
      <c r="F51" s="717"/>
      <c r="G51" s="718"/>
      <c r="H51" s="89"/>
    </row>
    <row r="52" spans="2:8">
      <c r="B52" s="716"/>
      <c r="C52" s="717"/>
      <c r="D52" s="717"/>
      <c r="E52" s="717"/>
      <c r="F52" s="717"/>
      <c r="G52" s="718"/>
      <c r="H52" s="89"/>
    </row>
    <row r="53" spans="2:8">
      <c r="B53" s="716"/>
      <c r="C53" s="717"/>
      <c r="D53" s="717"/>
      <c r="E53" s="717"/>
      <c r="F53" s="717"/>
      <c r="G53" s="718"/>
      <c r="H53" s="89"/>
    </row>
    <row r="54" spans="2:8">
      <c r="B54" s="721" t="s">
        <v>720</v>
      </c>
      <c r="C54" s="722"/>
      <c r="D54" s="722"/>
      <c r="E54" s="722"/>
      <c r="F54" s="722"/>
      <c r="G54" s="723"/>
      <c r="H54" s="89"/>
    </row>
    <row r="55" spans="2:8">
      <c r="B55" s="716"/>
      <c r="C55" s="717"/>
      <c r="D55" s="717"/>
      <c r="E55" s="717"/>
      <c r="F55" s="717"/>
      <c r="G55" s="718"/>
      <c r="H55" s="89"/>
    </row>
    <row r="56" spans="2:8">
      <c r="B56" s="716"/>
      <c r="C56" s="717"/>
      <c r="D56" s="717"/>
      <c r="E56" s="717"/>
      <c r="F56" s="717"/>
      <c r="G56" s="718"/>
      <c r="H56" s="89"/>
    </row>
    <row r="57" spans="2:8">
      <c r="B57" s="716"/>
      <c r="C57" s="717"/>
      <c r="D57" s="717"/>
      <c r="E57" s="717"/>
      <c r="F57" s="717"/>
      <c r="G57" s="718"/>
      <c r="H57" s="89"/>
    </row>
    <row r="58" spans="2:8">
      <c r="B58" s="716"/>
      <c r="C58" s="717"/>
      <c r="D58" s="717"/>
      <c r="E58" s="717"/>
      <c r="F58" s="717"/>
      <c r="G58" s="718"/>
      <c r="H58" s="89"/>
    </row>
    <row r="59" spans="2:8">
      <c r="B59" s="716"/>
      <c r="C59" s="717"/>
      <c r="D59" s="717"/>
      <c r="E59" s="717"/>
      <c r="F59" s="717"/>
      <c r="G59" s="718"/>
      <c r="H59" s="89"/>
    </row>
    <row r="60" spans="2:8">
      <c r="B60" s="716"/>
      <c r="C60" s="717"/>
      <c r="D60" s="717"/>
      <c r="E60" s="717"/>
      <c r="F60" s="717"/>
      <c r="G60" s="718"/>
      <c r="H60" s="89"/>
    </row>
    <row r="61" spans="2:8">
      <c r="B61" s="716"/>
      <c r="C61" s="717"/>
      <c r="D61" s="717"/>
      <c r="E61" s="717"/>
      <c r="F61" s="717"/>
      <c r="G61" s="718"/>
      <c r="H61" s="89"/>
    </row>
    <row r="62" spans="2:8">
      <c r="B62" s="719"/>
      <c r="C62" s="719"/>
      <c r="D62" s="719"/>
      <c r="E62" s="719"/>
      <c r="F62" s="719"/>
      <c r="G62" s="720"/>
    </row>
  </sheetData>
  <sheetProtection selectLockedCells="1" selectUnlockedCells="1"/>
  <mergeCells count="31">
    <mergeCell ref="A1:A6"/>
    <mergeCell ref="C4:G4"/>
    <mergeCell ref="A7:A15"/>
    <mergeCell ref="A16:A19"/>
    <mergeCell ref="A36:A43"/>
    <mergeCell ref="A28:A35"/>
    <mergeCell ref="A20:A27"/>
    <mergeCell ref="B45:G45"/>
    <mergeCell ref="B44:F44"/>
    <mergeCell ref="C1:D1"/>
    <mergeCell ref="E1:G1"/>
    <mergeCell ref="C2:D2"/>
    <mergeCell ref="C3:D3"/>
    <mergeCell ref="F2:G2"/>
    <mergeCell ref="B46:G46"/>
    <mergeCell ref="B47:G47"/>
    <mergeCell ref="B56:G56"/>
    <mergeCell ref="B55:G55"/>
    <mergeCell ref="B54:G54"/>
    <mergeCell ref="B61:G61"/>
    <mergeCell ref="B62:G62"/>
    <mergeCell ref="B48:G48"/>
    <mergeCell ref="B49:G49"/>
    <mergeCell ref="B50:G50"/>
    <mergeCell ref="B51:G51"/>
    <mergeCell ref="B52:G52"/>
    <mergeCell ref="B53:G53"/>
    <mergeCell ref="B59:G59"/>
    <mergeCell ref="B58:G58"/>
    <mergeCell ref="B57:G57"/>
    <mergeCell ref="B60:G60"/>
  </mergeCells>
  <phoneticPr fontId="90" type="noConversion"/>
  <conditionalFormatting sqref="H8:H15 H17:H43">
    <cfRule type="dataBar" priority="324">
      <dataBar>
        <cfvo type="min"/>
        <cfvo type="max"/>
        <color rgb="FFFF555A"/>
      </dataBar>
      <extLst>
        <ext xmlns:x14="http://schemas.microsoft.com/office/spreadsheetml/2009/9/main" uri="{B025F937-C7B1-47D3-B67F-A62EFF666E3E}">
          <x14:id>{9AE5D149-525A-49BD-9F2B-67D95256697D}</x14:id>
        </ext>
      </extLst>
    </cfRule>
  </conditionalFormatting>
  <hyperlinks>
    <hyperlink ref="A7:A10" location="'CPU  1'!A1" display="'CPU  1'!A1" xr:uid="{48CAF14B-D355-440B-B572-068E946B1C19}"/>
    <hyperlink ref="A16:A19" location="'CPU  2'!A1" display="'CPU  2'!A1" xr:uid="{096D96F3-A96F-4C9E-98E2-88DF93866EB3}"/>
    <hyperlink ref="A20:A23" location="'CPU  3'!A1" display="'CPU  3'!A1" xr:uid="{53EA7B54-F9F4-45CC-BA8C-B29251EB85EA}"/>
    <hyperlink ref="A28:A35" location="'CPU  4'!A1" display="'CPU  4'!A1" xr:uid="{E080EABE-8D43-4ABC-9F8B-DFF9297945CB}"/>
    <hyperlink ref="A36:A43" location="'CPU  5'!A1" display="'CPU  5'!A1" xr:uid="{79ACC828-40A2-4A3D-B339-F9EA292255D1}"/>
  </hyperlinks>
  <printOptions horizontalCentered="1"/>
  <pageMargins left="0.19685039370078741" right="0.19685039370078741" top="0.31496062992125984" bottom="0.19685039370078741" header="0" footer="0"/>
  <pageSetup paperSize="9" scale="56" fitToHeight="0" orientation="portrait"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9AE5D149-525A-49BD-9F2B-67D95256697D}">
            <x14:dataBar minLength="0" maxLength="100" border="1" negativeBarBorderColorSameAsPositive="0">
              <x14:cfvo type="autoMin"/>
              <x14:cfvo type="autoMax"/>
              <x14:borderColor rgb="FFFF555A"/>
              <x14:negativeFillColor rgb="FFFF0000"/>
              <x14:negativeBorderColor rgb="FFFF0000"/>
              <x14:axisColor rgb="FF000000"/>
            </x14:dataBar>
          </x14:cfRule>
          <xm:sqref>H8:H15 H17:H43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pageSetUpPr fitToPage="1"/>
  </sheetPr>
  <dimension ref="B1:AK188"/>
  <sheetViews>
    <sheetView showGridLines="0" tabSelected="1" zoomScale="80" zoomScaleNormal="80" zoomScaleSheetLayoutView="80" zoomScalePageLayoutView="125" workbookViewId="0">
      <pane xSplit="5" ySplit="4" topLeftCell="F5" activePane="bottomRight" state="frozen"/>
      <selection sqref="A1:A6"/>
      <selection pane="topRight" sqref="A1:A6"/>
      <selection pane="bottomLeft" sqref="A1:A6"/>
      <selection pane="bottomRight" activeCell="F2" sqref="F2:H2"/>
    </sheetView>
  </sheetViews>
  <sheetFormatPr defaultColWidth="8.7109375" defaultRowHeight="18" customHeight="1" outlineLevelRow="1"/>
  <cols>
    <col min="1" max="1" width="0.85546875" style="111" customWidth="1"/>
    <col min="2" max="2" width="8.140625" style="111" customWidth="1"/>
    <col min="3" max="3" width="42.28515625" style="111" customWidth="1"/>
    <col min="4" max="4" width="11" style="111" customWidth="1"/>
    <col min="5" max="5" width="13.85546875" style="111" customWidth="1"/>
    <col min="6" max="6" width="15.42578125" style="111" bestFit="1" customWidth="1"/>
    <col min="7" max="7" width="10.7109375" style="111" customWidth="1"/>
    <col min="8" max="8" width="8.5703125" style="111" bestFit="1" customWidth="1"/>
    <col min="9" max="10" width="10.7109375" style="111" customWidth="1"/>
    <col min="11" max="11" width="14" style="111" bestFit="1" customWidth="1"/>
    <col min="12" max="12" width="13" style="111" bestFit="1" customWidth="1"/>
    <col min="13" max="13" width="10.7109375" style="111" customWidth="1"/>
    <col min="14" max="14" width="15" style="111" bestFit="1" customWidth="1"/>
    <col min="15" max="15" width="12" style="111" customWidth="1"/>
    <col min="16" max="16" width="10.7109375" style="111" customWidth="1"/>
    <col min="17" max="17" width="15.7109375" style="111" bestFit="1" customWidth="1"/>
    <col min="18" max="18" width="12" style="111" customWidth="1"/>
    <col min="19" max="19" width="10.7109375" style="111" customWidth="1"/>
    <col min="20" max="20" width="16.140625" style="111" bestFit="1" customWidth="1"/>
    <col min="21" max="21" width="12" style="111" customWidth="1"/>
    <col min="22" max="22" width="10.7109375" style="111" customWidth="1"/>
    <col min="23" max="23" width="18.5703125" style="111" bestFit="1" customWidth="1"/>
    <col min="24" max="24" width="12" style="111" customWidth="1"/>
    <col min="25" max="25" width="10.7109375" style="111" customWidth="1"/>
    <col min="26" max="26" width="15.5703125" style="111" bestFit="1" customWidth="1"/>
    <col min="27" max="27" width="12" style="111" customWidth="1"/>
    <col min="28" max="28" width="10.7109375" style="111" customWidth="1"/>
    <col min="29" max="29" width="14.7109375" style="111" bestFit="1" customWidth="1"/>
    <col min="30" max="30" width="5.85546875" style="111" customWidth="1"/>
    <col min="31" max="32" width="10" style="256" customWidth="1"/>
    <col min="33" max="33" width="15" style="256" bestFit="1" customWidth="1"/>
    <col min="34" max="34" width="16" style="108" customWidth="1"/>
    <col min="35" max="36" width="8.7109375" style="111"/>
    <col min="37" max="37" width="14.7109375" style="111" customWidth="1"/>
    <col min="38" max="168" width="8.7109375" style="111"/>
    <col min="169" max="169" width="3.42578125" style="111" customWidth="1"/>
    <col min="170" max="170" width="7" style="111" customWidth="1"/>
    <col min="171" max="171" width="25.42578125" style="111" customWidth="1"/>
    <col min="172" max="172" width="12" style="111" customWidth="1"/>
    <col min="173" max="173" width="12.7109375" style="111" bestFit="1" customWidth="1"/>
    <col min="174" max="174" width="7.42578125" style="111" bestFit="1" customWidth="1"/>
    <col min="175" max="175" width="7.7109375" style="111" bestFit="1" customWidth="1"/>
    <col min="176" max="176" width="15" style="111" customWidth="1"/>
    <col min="177" max="177" width="7.42578125" style="111" bestFit="1" customWidth="1"/>
    <col min="178" max="178" width="7.7109375" style="111" bestFit="1" customWidth="1"/>
    <col min="179" max="179" width="15" style="111" bestFit="1" customWidth="1"/>
    <col min="180" max="180" width="7.42578125" style="111" bestFit="1" customWidth="1"/>
    <col min="181" max="181" width="7.7109375" style="111" bestFit="1" customWidth="1"/>
    <col min="182" max="182" width="9.42578125" style="111" bestFit="1" customWidth="1"/>
    <col min="183" max="183" width="8" style="111" bestFit="1" customWidth="1"/>
    <col min="184" max="184" width="7.7109375" style="111" bestFit="1" customWidth="1"/>
    <col min="185" max="185" width="10.42578125" style="111" bestFit="1" customWidth="1"/>
    <col min="186" max="186" width="8" style="111" bestFit="1" customWidth="1"/>
    <col min="187" max="187" width="7.7109375" style="111" bestFit="1" customWidth="1"/>
    <col min="188" max="188" width="10.42578125" style="111" bestFit="1" customWidth="1"/>
    <col min="189" max="189" width="7.42578125" style="111" bestFit="1" customWidth="1"/>
    <col min="190" max="190" width="7.7109375" style="111" bestFit="1" customWidth="1"/>
    <col min="191" max="191" width="10.42578125" style="111" bestFit="1" customWidth="1"/>
    <col min="192" max="192" width="8" style="111" bestFit="1" customWidth="1"/>
    <col min="193" max="193" width="7.7109375" style="111" bestFit="1" customWidth="1"/>
    <col min="194" max="194" width="10.42578125" style="111" bestFit="1" customWidth="1"/>
    <col min="195" max="195" width="7.42578125" style="111" bestFit="1" customWidth="1"/>
    <col min="196" max="196" width="7.7109375" style="111" bestFit="1" customWidth="1"/>
    <col min="197" max="197" width="10.42578125" style="111" bestFit="1" customWidth="1"/>
    <col min="198" max="198" width="7.42578125" style="111" bestFit="1" customWidth="1"/>
    <col min="199" max="199" width="7.7109375" style="111" bestFit="1" customWidth="1"/>
    <col min="200" max="200" width="10.42578125" style="111" bestFit="1" customWidth="1"/>
    <col min="201" max="201" width="5.140625" style="111" customWidth="1"/>
    <col min="202" max="424" width="8.7109375" style="111"/>
    <col min="425" max="425" width="3.42578125" style="111" customWidth="1"/>
    <col min="426" max="426" width="7" style="111" customWidth="1"/>
    <col min="427" max="427" width="25.42578125" style="111" customWidth="1"/>
    <col min="428" max="428" width="12" style="111" customWidth="1"/>
    <col min="429" max="429" width="12.7109375" style="111" bestFit="1" customWidth="1"/>
    <col min="430" max="430" width="7.42578125" style="111" bestFit="1" customWidth="1"/>
    <col min="431" max="431" width="7.7109375" style="111" bestFit="1" customWidth="1"/>
    <col min="432" max="432" width="15" style="111" customWidth="1"/>
    <col min="433" max="433" width="7.42578125" style="111" bestFit="1" customWidth="1"/>
    <col min="434" max="434" width="7.7109375" style="111" bestFit="1" customWidth="1"/>
    <col min="435" max="435" width="15" style="111" bestFit="1" customWidth="1"/>
    <col min="436" max="436" width="7.42578125" style="111" bestFit="1" customWidth="1"/>
    <col min="437" max="437" width="7.7109375" style="111" bestFit="1" customWidth="1"/>
    <col min="438" max="438" width="9.42578125" style="111" bestFit="1" customWidth="1"/>
    <col min="439" max="439" width="8" style="111" bestFit="1" customWidth="1"/>
    <col min="440" max="440" width="7.7109375" style="111" bestFit="1" customWidth="1"/>
    <col min="441" max="441" width="10.42578125" style="111" bestFit="1" customWidth="1"/>
    <col min="442" max="442" width="8" style="111" bestFit="1" customWidth="1"/>
    <col min="443" max="443" width="7.7109375" style="111" bestFit="1" customWidth="1"/>
    <col min="444" max="444" width="10.42578125" style="111" bestFit="1" customWidth="1"/>
    <col min="445" max="445" width="7.42578125" style="111" bestFit="1" customWidth="1"/>
    <col min="446" max="446" width="7.7109375" style="111" bestFit="1" customWidth="1"/>
    <col min="447" max="447" width="10.42578125" style="111" bestFit="1" customWidth="1"/>
    <col min="448" max="448" width="8" style="111" bestFit="1" customWidth="1"/>
    <col min="449" max="449" width="7.7109375" style="111" bestFit="1" customWidth="1"/>
    <col min="450" max="450" width="10.42578125" style="111" bestFit="1" customWidth="1"/>
    <col min="451" max="451" width="7.42578125" style="111" bestFit="1" customWidth="1"/>
    <col min="452" max="452" width="7.7109375" style="111" bestFit="1" customWidth="1"/>
    <col min="453" max="453" width="10.42578125" style="111" bestFit="1" customWidth="1"/>
    <col min="454" max="454" width="7.42578125" style="111" bestFit="1" customWidth="1"/>
    <col min="455" max="455" width="7.7109375" style="111" bestFit="1" customWidth="1"/>
    <col min="456" max="456" width="10.42578125" style="111" bestFit="1" customWidth="1"/>
    <col min="457" max="457" width="5.140625" style="111" customWidth="1"/>
    <col min="458" max="680" width="8.7109375" style="111"/>
    <col min="681" max="681" width="3.42578125" style="111" customWidth="1"/>
    <col min="682" max="682" width="7" style="111" customWidth="1"/>
    <col min="683" max="683" width="25.42578125" style="111" customWidth="1"/>
    <col min="684" max="684" width="12" style="111" customWidth="1"/>
    <col min="685" max="685" width="12.7109375" style="111" bestFit="1" customWidth="1"/>
    <col min="686" max="686" width="7.42578125" style="111" bestFit="1" customWidth="1"/>
    <col min="687" max="687" width="7.7109375" style="111" bestFit="1" customWidth="1"/>
    <col min="688" max="688" width="15" style="111" customWidth="1"/>
    <col min="689" max="689" width="7.42578125" style="111" bestFit="1" customWidth="1"/>
    <col min="690" max="690" width="7.7109375" style="111" bestFit="1" customWidth="1"/>
    <col min="691" max="691" width="15" style="111" bestFit="1" customWidth="1"/>
    <col min="692" max="692" width="7.42578125" style="111" bestFit="1" customWidth="1"/>
    <col min="693" max="693" width="7.7109375" style="111" bestFit="1" customWidth="1"/>
    <col min="694" max="694" width="9.42578125" style="111" bestFit="1" customWidth="1"/>
    <col min="695" max="695" width="8" style="111" bestFit="1" customWidth="1"/>
    <col min="696" max="696" width="7.7109375" style="111" bestFit="1" customWidth="1"/>
    <col min="697" max="697" width="10.42578125" style="111" bestFit="1" customWidth="1"/>
    <col min="698" max="698" width="8" style="111" bestFit="1" customWidth="1"/>
    <col min="699" max="699" width="7.7109375" style="111" bestFit="1" customWidth="1"/>
    <col min="700" max="700" width="10.42578125" style="111" bestFit="1" customWidth="1"/>
    <col min="701" max="701" width="7.42578125" style="111" bestFit="1" customWidth="1"/>
    <col min="702" max="702" width="7.7109375" style="111" bestFit="1" customWidth="1"/>
    <col min="703" max="703" width="10.42578125" style="111" bestFit="1" customWidth="1"/>
    <col min="704" max="704" width="8" style="111" bestFit="1" customWidth="1"/>
    <col min="705" max="705" width="7.7109375" style="111" bestFit="1" customWidth="1"/>
    <col min="706" max="706" width="10.42578125" style="111" bestFit="1" customWidth="1"/>
    <col min="707" max="707" width="7.42578125" style="111" bestFit="1" customWidth="1"/>
    <col min="708" max="708" width="7.7109375" style="111" bestFit="1" customWidth="1"/>
    <col min="709" max="709" width="10.42578125" style="111" bestFit="1" customWidth="1"/>
    <col min="710" max="710" width="7.42578125" style="111" bestFit="1" customWidth="1"/>
    <col min="711" max="711" width="7.7109375" style="111" bestFit="1" customWidth="1"/>
    <col min="712" max="712" width="10.42578125" style="111" bestFit="1" customWidth="1"/>
    <col min="713" max="713" width="5.140625" style="111" customWidth="1"/>
    <col min="714" max="936" width="8.7109375" style="111"/>
    <col min="937" max="937" width="3.42578125" style="111" customWidth="1"/>
    <col min="938" max="938" width="7" style="111" customWidth="1"/>
    <col min="939" max="939" width="25.42578125" style="111" customWidth="1"/>
    <col min="940" max="940" width="12" style="111" customWidth="1"/>
    <col min="941" max="941" width="12.7109375" style="111" bestFit="1" customWidth="1"/>
    <col min="942" max="942" width="7.42578125" style="111" bestFit="1" customWidth="1"/>
    <col min="943" max="943" width="7.7109375" style="111" bestFit="1" customWidth="1"/>
    <col min="944" max="944" width="15" style="111" customWidth="1"/>
    <col min="945" max="945" width="7.42578125" style="111" bestFit="1" customWidth="1"/>
    <col min="946" max="946" width="7.7109375" style="111" bestFit="1" customWidth="1"/>
    <col min="947" max="947" width="15" style="111" bestFit="1" customWidth="1"/>
    <col min="948" max="948" width="7.42578125" style="111" bestFit="1" customWidth="1"/>
    <col min="949" max="949" width="7.7109375" style="111" bestFit="1" customWidth="1"/>
    <col min="950" max="950" width="9.42578125" style="111" bestFit="1" customWidth="1"/>
    <col min="951" max="951" width="8" style="111" bestFit="1" customWidth="1"/>
    <col min="952" max="952" width="7.7109375" style="111" bestFit="1" customWidth="1"/>
    <col min="953" max="953" width="10.42578125" style="111" bestFit="1" customWidth="1"/>
    <col min="954" max="954" width="8" style="111" bestFit="1" customWidth="1"/>
    <col min="955" max="955" width="7.7109375" style="111" bestFit="1" customWidth="1"/>
    <col min="956" max="956" width="10.42578125" style="111" bestFit="1" customWidth="1"/>
    <col min="957" max="957" width="7.42578125" style="111" bestFit="1" customWidth="1"/>
    <col min="958" max="958" width="7.7109375" style="111" bestFit="1" customWidth="1"/>
    <col min="959" max="959" width="10.42578125" style="111" bestFit="1" customWidth="1"/>
    <col min="960" max="960" width="8" style="111" bestFit="1" customWidth="1"/>
    <col min="961" max="961" width="7.7109375" style="111" bestFit="1" customWidth="1"/>
    <col min="962" max="962" width="10.42578125" style="111" bestFit="1" customWidth="1"/>
    <col min="963" max="963" width="7.42578125" style="111" bestFit="1" customWidth="1"/>
    <col min="964" max="964" width="7.7109375" style="111" bestFit="1" customWidth="1"/>
    <col min="965" max="965" width="10.42578125" style="111" bestFit="1" customWidth="1"/>
    <col min="966" max="966" width="7.42578125" style="111" bestFit="1" customWidth="1"/>
    <col min="967" max="967" width="7.7109375" style="111" bestFit="1" customWidth="1"/>
    <col min="968" max="968" width="10.42578125" style="111" bestFit="1" customWidth="1"/>
    <col min="969" max="969" width="5.140625" style="111" customWidth="1"/>
    <col min="970" max="1192" width="8.7109375" style="111"/>
    <col min="1193" max="1193" width="3.42578125" style="111" customWidth="1"/>
    <col min="1194" max="1194" width="7" style="111" customWidth="1"/>
    <col min="1195" max="1195" width="25.42578125" style="111" customWidth="1"/>
    <col min="1196" max="1196" width="12" style="111" customWidth="1"/>
    <col min="1197" max="1197" width="12.7109375" style="111" bestFit="1" customWidth="1"/>
    <col min="1198" max="1198" width="7.42578125" style="111" bestFit="1" customWidth="1"/>
    <col min="1199" max="1199" width="7.7109375" style="111" bestFit="1" customWidth="1"/>
    <col min="1200" max="1200" width="15" style="111" customWidth="1"/>
    <col min="1201" max="1201" width="7.42578125" style="111" bestFit="1" customWidth="1"/>
    <col min="1202" max="1202" width="7.7109375" style="111" bestFit="1" customWidth="1"/>
    <col min="1203" max="1203" width="15" style="111" bestFit="1" customWidth="1"/>
    <col min="1204" max="1204" width="7.42578125" style="111" bestFit="1" customWidth="1"/>
    <col min="1205" max="1205" width="7.7109375" style="111" bestFit="1" customWidth="1"/>
    <col min="1206" max="1206" width="9.42578125" style="111" bestFit="1" customWidth="1"/>
    <col min="1207" max="1207" width="8" style="111" bestFit="1" customWidth="1"/>
    <col min="1208" max="1208" width="7.7109375" style="111" bestFit="1" customWidth="1"/>
    <col min="1209" max="1209" width="10.42578125" style="111" bestFit="1" customWidth="1"/>
    <col min="1210" max="1210" width="8" style="111" bestFit="1" customWidth="1"/>
    <col min="1211" max="1211" width="7.7109375" style="111" bestFit="1" customWidth="1"/>
    <col min="1212" max="1212" width="10.42578125" style="111" bestFit="1" customWidth="1"/>
    <col min="1213" max="1213" width="7.42578125" style="111" bestFit="1" customWidth="1"/>
    <col min="1214" max="1214" width="7.7109375" style="111" bestFit="1" customWidth="1"/>
    <col min="1215" max="1215" width="10.42578125" style="111" bestFit="1" customWidth="1"/>
    <col min="1216" max="1216" width="8" style="111" bestFit="1" customWidth="1"/>
    <col min="1217" max="1217" width="7.7109375" style="111" bestFit="1" customWidth="1"/>
    <col min="1218" max="1218" width="10.42578125" style="111" bestFit="1" customWidth="1"/>
    <col min="1219" max="1219" width="7.42578125" style="111" bestFit="1" customWidth="1"/>
    <col min="1220" max="1220" width="7.7109375" style="111" bestFit="1" customWidth="1"/>
    <col min="1221" max="1221" width="10.42578125" style="111" bestFit="1" customWidth="1"/>
    <col min="1222" max="1222" width="7.42578125" style="111" bestFit="1" customWidth="1"/>
    <col min="1223" max="1223" width="7.7109375" style="111" bestFit="1" customWidth="1"/>
    <col min="1224" max="1224" width="10.42578125" style="111" bestFit="1" customWidth="1"/>
    <col min="1225" max="1225" width="5.140625" style="111" customWidth="1"/>
    <col min="1226" max="1448" width="8.7109375" style="111"/>
    <col min="1449" max="1449" width="3.42578125" style="111" customWidth="1"/>
    <col min="1450" max="1450" width="7" style="111" customWidth="1"/>
    <col min="1451" max="1451" width="25.42578125" style="111" customWidth="1"/>
    <col min="1452" max="1452" width="12" style="111" customWidth="1"/>
    <col min="1453" max="1453" width="12.7109375" style="111" bestFit="1" customWidth="1"/>
    <col min="1454" max="1454" width="7.42578125" style="111" bestFit="1" customWidth="1"/>
    <col min="1455" max="1455" width="7.7109375" style="111" bestFit="1" customWidth="1"/>
    <col min="1456" max="1456" width="15" style="111" customWidth="1"/>
    <col min="1457" max="1457" width="7.42578125" style="111" bestFit="1" customWidth="1"/>
    <col min="1458" max="1458" width="7.7109375" style="111" bestFit="1" customWidth="1"/>
    <col min="1459" max="1459" width="15" style="111" bestFit="1" customWidth="1"/>
    <col min="1460" max="1460" width="7.42578125" style="111" bestFit="1" customWidth="1"/>
    <col min="1461" max="1461" width="7.7109375" style="111" bestFit="1" customWidth="1"/>
    <col min="1462" max="1462" width="9.42578125" style="111" bestFit="1" customWidth="1"/>
    <col min="1463" max="1463" width="8" style="111" bestFit="1" customWidth="1"/>
    <col min="1464" max="1464" width="7.7109375" style="111" bestFit="1" customWidth="1"/>
    <col min="1465" max="1465" width="10.42578125" style="111" bestFit="1" customWidth="1"/>
    <col min="1466" max="1466" width="8" style="111" bestFit="1" customWidth="1"/>
    <col min="1467" max="1467" width="7.7109375" style="111" bestFit="1" customWidth="1"/>
    <col min="1468" max="1468" width="10.42578125" style="111" bestFit="1" customWidth="1"/>
    <col min="1469" max="1469" width="7.42578125" style="111" bestFit="1" customWidth="1"/>
    <col min="1470" max="1470" width="7.7109375" style="111" bestFit="1" customWidth="1"/>
    <col min="1471" max="1471" width="10.42578125" style="111" bestFit="1" customWidth="1"/>
    <col min="1472" max="1472" width="8" style="111" bestFit="1" customWidth="1"/>
    <col min="1473" max="1473" width="7.7109375" style="111" bestFit="1" customWidth="1"/>
    <col min="1474" max="1474" width="10.42578125" style="111" bestFit="1" customWidth="1"/>
    <col min="1475" max="1475" width="7.42578125" style="111" bestFit="1" customWidth="1"/>
    <col min="1476" max="1476" width="7.7109375" style="111" bestFit="1" customWidth="1"/>
    <col min="1477" max="1477" width="10.42578125" style="111" bestFit="1" customWidth="1"/>
    <col min="1478" max="1478" width="7.42578125" style="111" bestFit="1" customWidth="1"/>
    <col min="1479" max="1479" width="7.7109375" style="111" bestFit="1" customWidth="1"/>
    <col min="1480" max="1480" width="10.42578125" style="111" bestFit="1" customWidth="1"/>
    <col min="1481" max="1481" width="5.140625" style="111" customWidth="1"/>
    <col min="1482" max="1704" width="8.7109375" style="111"/>
    <col min="1705" max="1705" width="3.42578125" style="111" customWidth="1"/>
    <col min="1706" max="1706" width="7" style="111" customWidth="1"/>
    <col min="1707" max="1707" width="25.42578125" style="111" customWidth="1"/>
    <col min="1708" max="1708" width="12" style="111" customWidth="1"/>
    <col min="1709" max="1709" width="12.7109375" style="111" bestFit="1" customWidth="1"/>
    <col min="1710" max="1710" width="7.42578125" style="111" bestFit="1" customWidth="1"/>
    <col min="1711" max="1711" width="7.7109375" style="111" bestFit="1" customWidth="1"/>
    <col min="1712" max="1712" width="15" style="111" customWidth="1"/>
    <col min="1713" max="1713" width="7.42578125" style="111" bestFit="1" customWidth="1"/>
    <col min="1714" max="1714" width="7.7109375" style="111" bestFit="1" customWidth="1"/>
    <col min="1715" max="1715" width="15" style="111" bestFit="1" customWidth="1"/>
    <col min="1716" max="1716" width="7.42578125" style="111" bestFit="1" customWidth="1"/>
    <col min="1717" max="1717" width="7.7109375" style="111" bestFit="1" customWidth="1"/>
    <col min="1718" max="1718" width="9.42578125" style="111" bestFit="1" customWidth="1"/>
    <col min="1719" max="1719" width="8" style="111" bestFit="1" customWidth="1"/>
    <col min="1720" max="1720" width="7.7109375" style="111" bestFit="1" customWidth="1"/>
    <col min="1721" max="1721" width="10.42578125" style="111" bestFit="1" customWidth="1"/>
    <col min="1722" max="1722" width="8" style="111" bestFit="1" customWidth="1"/>
    <col min="1723" max="1723" width="7.7109375" style="111" bestFit="1" customWidth="1"/>
    <col min="1724" max="1724" width="10.42578125" style="111" bestFit="1" customWidth="1"/>
    <col min="1725" max="1725" width="7.42578125" style="111" bestFit="1" customWidth="1"/>
    <col min="1726" max="1726" width="7.7109375" style="111" bestFit="1" customWidth="1"/>
    <col min="1727" max="1727" width="10.42578125" style="111" bestFit="1" customWidth="1"/>
    <col min="1728" max="1728" width="8" style="111" bestFit="1" customWidth="1"/>
    <col min="1729" max="1729" width="7.7109375" style="111" bestFit="1" customWidth="1"/>
    <col min="1730" max="1730" width="10.42578125" style="111" bestFit="1" customWidth="1"/>
    <col min="1731" max="1731" width="7.42578125" style="111" bestFit="1" customWidth="1"/>
    <col min="1732" max="1732" width="7.7109375" style="111" bestFit="1" customWidth="1"/>
    <col min="1733" max="1733" width="10.42578125" style="111" bestFit="1" customWidth="1"/>
    <col min="1734" max="1734" width="7.42578125" style="111" bestFit="1" customWidth="1"/>
    <col min="1735" max="1735" width="7.7109375" style="111" bestFit="1" customWidth="1"/>
    <col min="1736" max="1736" width="10.42578125" style="111" bestFit="1" customWidth="1"/>
    <col min="1737" max="1737" width="5.140625" style="111" customWidth="1"/>
    <col min="1738" max="1960" width="8.7109375" style="111"/>
    <col min="1961" max="1961" width="3.42578125" style="111" customWidth="1"/>
    <col min="1962" max="1962" width="7" style="111" customWidth="1"/>
    <col min="1963" max="1963" width="25.42578125" style="111" customWidth="1"/>
    <col min="1964" max="1964" width="12" style="111" customWidth="1"/>
    <col min="1965" max="1965" width="12.7109375" style="111" bestFit="1" customWidth="1"/>
    <col min="1966" max="1966" width="7.42578125" style="111" bestFit="1" customWidth="1"/>
    <col min="1967" max="1967" width="7.7109375" style="111" bestFit="1" customWidth="1"/>
    <col min="1968" max="1968" width="15" style="111" customWidth="1"/>
    <col min="1969" max="1969" width="7.42578125" style="111" bestFit="1" customWidth="1"/>
    <col min="1970" max="1970" width="7.7109375" style="111" bestFit="1" customWidth="1"/>
    <col min="1971" max="1971" width="15" style="111" bestFit="1" customWidth="1"/>
    <col min="1972" max="1972" width="7.42578125" style="111" bestFit="1" customWidth="1"/>
    <col min="1973" max="1973" width="7.7109375" style="111" bestFit="1" customWidth="1"/>
    <col min="1974" max="1974" width="9.42578125" style="111" bestFit="1" customWidth="1"/>
    <col min="1975" max="1975" width="8" style="111" bestFit="1" customWidth="1"/>
    <col min="1976" max="1976" width="7.7109375" style="111" bestFit="1" customWidth="1"/>
    <col min="1977" max="1977" width="10.42578125" style="111" bestFit="1" customWidth="1"/>
    <col min="1978" max="1978" width="8" style="111" bestFit="1" customWidth="1"/>
    <col min="1979" max="1979" width="7.7109375" style="111" bestFit="1" customWidth="1"/>
    <col min="1980" max="1980" width="10.42578125" style="111" bestFit="1" customWidth="1"/>
    <col min="1981" max="1981" width="7.42578125" style="111" bestFit="1" customWidth="1"/>
    <col min="1982" max="1982" width="7.7109375" style="111" bestFit="1" customWidth="1"/>
    <col min="1983" max="1983" width="10.42578125" style="111" bestFit="1" customWidth="1"/>
    <col min="1984" max="1984" width="8" style="111" bestFit="1" customWidth="1"/>
    <col min="1985" max="1985" width="7.7109375" style="111" bestFit="1" customWidth="1"/>
    <col min="1986" max="1986" width="10.42578125" style="111" bestFit="1" customWidth="1"/>
    <col min="1987" max="1987" width="7.42578125" style="111" bestFit="1" customWidth="1"/>
    <col min="1988" max="1988" width="7.7109375" style="111" bestFit="1" customWidth="1"/>
    <col min="1989" max="1989" width="10.42578125" style="111" bestFit="1" customWidth="1"/>
    <col min="1990" max="1990" width="7.42578125" style="111" bestFit="1" customWidth="1"/>
    <col min="1991" max="1991" width="7.7109375" style="111" bestFit="1" customWidth="1"/>
    <col min="1992" max="1992" width="10.42578125" style="111" bestFit="1" customWidth="1"/>
    <col min="1993" max="1993" width="5.140625" style="111" customWidth="1"/>
    <col min="1994" max="2216" width="8.7109375" style="111"/>
    <col min="2217" max="2217" width="3.42578125" style="111" customWidth="1"/>
    <col min="2218" max="2218" width="7" style="111" customWidth="1"/>
    <col min="2219" max="2219" width="25.42578125" style="111" customWidth="1"/>
    <col min="2220" max="2220" width="12" style="111" customWidth="1"/>
    <col min="2221" max="2221" width="12.7109375" style="111" bestFit="1" customWidth="1"/>
    <col min="2222" max="2222" width="7.42578125" style="111" bestFit="1" customWidth="1"/>
    <col min="2223" max="2223" width="7.7109375" style="111" bestFit="1" customWidth="1"/>
    <col min="2224" max="2224" width="15" style="111" customWidth="1"/>
    <col min="2225" max="2225" width="7.42578125" style="111" bestFit="1" customWidth="1"/>
    <col min="2226" max="2226" width="7.7109375" style="111" bestFit="1" customWidth="1"/>
    <col min="2227" max="2227" width="15" style="111" bestFit="1" customWidth="1"/>
    <col min="2228" max="2228" width="7.42578125" style="111" bestFit="1" customWidth="1"/>
    <col min="2229" max="2229" width="7.7109375" style="111" bestFit="1" customWidth="1"/>
    <col min="2230" max="2230" width="9.42578125" style="111" bestFit="1" customWidth="1"/>
    <col min="2231" max="2231" width="8" style="111" bestFit="1" customWidth="1"/>
    <col min="2232" max="2232" width="7.7109375" style="111" bestFit="1" customWidth="1"/>
    <col min="2233" max="2233" width="10.42578125" style="111" bestFit="1" customWidth="1"/>
    <col min="2234" max="2234" width="8" style="111" bestFit="1" customWidth="1"/>
    <col min="2235" max="2235" width="7.7109375" style="111" bestFit="1" customWidth="1"/>
    <col min="2236" max="2236" width="10.42578125" style="111" bestFit="1" customWidth="1"/>
    <col min="2237" max="2237" width="7.42578125" style="111" bestFit="1" customWidth="1"/>
    <col min="2238" max="2238" width="7.7109375" style="111" bestFit="1" customWidth="1"/>
    <col min="2239" max="2239" width="10.42578125" style="111" bestFit="1" customWidth="1"/>
    <col min="2240" max="2240" width="8" style="111" bestFit="1" customWidth="1"/>
    <col min="2241" max="2241" width="7.7109375" style="111" bestFit="1" customWidth="1"/>
    <col min="2242" max="2242" width="10.42578125" style="111" bestFit="1" customWidth="1"/>
    <col min="2243" max="2243" width="7.42578125" style="111" bestFit="1" customWidth="1"/>
    <col min="2244" max="2244" width="7.7109375" style="111" bestFit="1" customWidth="1"/>
    <col min="2245" max="2245" width="10.42578125" style="111" bestFit="1" customWidth="1"/>
    <col min="2246" max="2246" width="7.42578125" style="111" bestFit="1" customWidth="1"/>
    <col min="2247" max="2247" width="7.7109375" style="111" bestFit="1" customWidth="1"/>
    <col min="2248" max="2248" width="10.42578125" style="111" bestFit="1" customWidth="1"/>
    <col min="2249" max="2249" width="5.140625" style="111" customWidth="1"/>
    <col min="2250" max="2472" width="8.7109375" style="111"/>
    <col min="2473" max="2473" width="3.42578125" style="111" customWidth="1"/>
    <col min="2474" max="2474" width="7" style="111" customWidth="1"/>
    <col min="2475" max="2475" width="25.42578125" style="111" customWidth="1"/>
    <col min="2476" max="2476" width="12" style="111" customWidth="1"/>
    <col min="2477" max="2477" width="12.7109375" style="111" bestFit="1" customWidth="1"/>
    <col min="2478" max="2478" width="7.42578125" style="111" bestFit="1" customWidth="1"/>
    <col min="2479" max="2479" width="7.7109375" style="111" bestFit="1" customWidth="1"/>
    <col min="2480" max="2480" width="15" style="111" customWidth="1"/>
    <col min="2481" max="2481" width="7.42578125" style="111" bestFit="1" customWidth="1"/>
    <col min="2482" max="2482" width="7.7109375" style="111" bestFit="1" customWidth="1"/>
    <col min="2483" max="2483" width="15" style="111" bestFit="1" customWidth="1"/>
    <col min="2484" max="2484" width="7.42578125" style="111" bestFit="1" customWidth="1"/>
    <col min="2485" max="2485" width="7.7109375" style="111" bestFit="1" customWidth="1"/>
    <col min="2486" max="2486" width="9.42578125" style="111" bestFit="1" customWidth="1"/>
    <col min="2487" max="2487" width="8" style="111" bestFit="1" customWidth="1"/>
    <col min="2488" max="2488" width="7.7109375" style="111" bestFit="1" customWidth="1"/>
    <col min="2489" max="2489" width="10.42578125" style="111" bestFit="1" customWidth="1"/>
    <col min="2490" max="2490" width="8" style="111" bestFit="1" customWidth="1"/>
    <col min="2491" max="2491" width="7.7109375" style="111" bestFit="1" customWidth="1"/>
    <col min="2492" max="2492" width="10.42578125" style="111" bestFit="1" customWidth="1"/>
    <col min="2493" max="2493" width="7.42578125" style="111" bestFit="1" customWidth="1"/>
    <col min="2494" max="2494" width="7.7109375" style="111" bestFit="1" customWidth="1"/>
    <col min="2495" max="2495" width="10.42578125" style="111" bestFit="1" customWidth="1"/>
    <col min="2496" max="2496" width="8" style="111" bestFit="1" customWidth="1"/>
    <col min="2497" max="2497" width="7.7109375" style="111" bestFit="1" customWidth="1"/>
    <col min="2498" max="2498" width="10.42578125" style="111" bestFit="1" customWidth="1"/>
    <col min="2499" max="2499" width="7.42578125" style="111" bestFit="1" customWidth="1"/>
    <col min="2500" max="2500" width="7.7109375" style="111" bestFit="1" customWidth="1"/>
    <col min="2501" max="2501" width="10.42578125" style="111" bestFit="1" customWidth="1"/>
    <col min="2502" max="2502" width="7.42578125" style="111" bestFit="1" customWidth="1"/>
    <col min="2503" max="2503" width="7.7109375" style="111" bestFit="1" customWidth="1"/>
    <col min="2504" max="2504" width="10.42578125" style="111" bestFit="1" customWidth="1"/>
    <col min="2505" max="2505" width="5.140625" style="111" customWidth="1"/>
    <col min="2506" max="2728" width="8.7109375" style="111"/>
    <col min="2729" max="2729" width="3.42578125" style="111" customWidth="1"/>
    <col min="2730" max="2730" width="7" style="111" customWidth="1"/>
    <col min="2731" max="2731" width="25.42578125" style="111" customWidth="1"/>
    <col min="2732" max="2732" width="12" style="111" customWidth="1"/>
    <col min="2733" max="2733" width="12.7109375" style="111" bestFit="1" customWidth="1"/>
    <col min="2734" max="2734" width="7.42578125" style="111" bestFit="1" customWidth="1"/>
    <col min="2735" max="2735" width="7.7109375" style="111" bestFit="1" customWidth="1"/>
    <col min="2736" max="2736" width="15" style="111" customWidth="1"/>
    <col min="2737" max="2737" width="7.42578125" style="111" bestFit="1" customWidth="1"/>
    <col min="2738" max="2738" width="7.7109375" style="111" bestFit="1" customWidth="1"/>
    <col min="2739" max="2739" width="15" style="111" bestFit="1" customWidth="1"/>
    <col min="2740" max="2740" width="7.42578125" style="111" bestFit="1" customWidth="1"/>
    <col min="2741" max="2741" width="7.7109375" style="111" bestFit="1" customWidth="1"/>
    <col min="2742" max="2742" width="9.42578125" style="111" bestFit="1" customWidth="1"/>
    <col min="2743" max="2743" width="8" style="111" bestFit="1" customWidth="1"/>
    <col min="2744" max="2744" width="7.7109375" style="111" bestFit="1" customWidth="1"/>
    <col min="2745" max="2745" width="10.42578125" style="111" bestFit="1" customWidth="1"/>
    <col min="2746" max="2746" width="8" style="111" bestFit="1" customWidth="1"/>
    <col min="2747" max="2747" width="7.7109375" style="111" bestFit="1" customWidth="1"/>
    <col min="2748" max="2748" width="10.42578125" style="111" bestFit="1" customWidth="1"/>
    <col min="2749" max="2749" width="7.42578125" style="111" bestFit="1" customWidth="1"/>
    <col min="2750" max="2750" width="7.7109375" style="111" bestFit="1" customWidth="1"/>
    <col min="2751" max="2751" width="10.42578125" style="111" bestFit="1" customWidth="1"/>
    <col min="2752" max="2752" width="8" style="111" bestFit="1" customWidth="1"/>
    <col min="2753" max="2753" width="7.7109375" style="111" bestFit="1" customWidth="1"/>
    <col min="2754" max="2754" width="10.42578125" style="111" bestFit="1" customWidth="1"/>
    <col min="2755" max="2755" width="7.42578125" style="111" bestFit="1" customWidth="1"/>
    <col min="2756" max="2756" width="7.7109375" style="111" bestFit="1" customWidth="1"/>
    <col min="2757" max="2757" width="10.42578125" style="111" bestFit="1" customWidth="1"/>
    <col min="2758" max="2758" width="7.42578125" style="111" bestFit="1" customWidth="1"/>
    <col min="2759" max="2759" width="7.7109375" style="111" bestFit="1" customWidth="1"/>
    <col min="2760" max="2760" width="10.42578125" style="111" bestFit="1" customWidth="1"/>
    <col min="2761" max="2761" width="5.140625" style="111" customWidth="1"/>
    <col min="2762" max="2984" width="8.7109375" style="111"/>
    <col min="2985" max="2985" width="3.42578125" style="111" customWidth="1"/>
    <col min="2986" max="2986" width="7" style="111" customWidth="1"/>
    <col min="2987" max="2987" width="25.42578125" style="111" customWidth="1"/>
    <col min="2988" max="2988" width="12" style="111" customWidth="1"/>
    <col min="2989" max="2989" width="12.7109375" style="111" bestFit="1" customWidth="1"/>
    <col min="2990" max="2990" width="7.42578125" style="111" bestFit="1" customWidth="1"/>
    <col min="2991" max="2991" width="7.7109375" style="111" bestFit="1" customWidth="1"/>
    <col min="2992" max="2992" width="15" style="111" customWidth="1"/>
    <col min="2993" max="2993" width="7.42578125" style="111" bestFit="1" customWidth="1"/>
    <col min="2994" max="2994" width="7.7109375" style="111" bestFit="1" customWidth="1"/>
    <col min="2995" max="2995" width="15" style="111" bestFit="1" customWidth="1"/>
    <col min="2996" max="2996" width="7.42578125" style="111" bestFit="1" customWidth="1"/>
    <col min="2997" max="2997" width="7.7109375" style="111" bestFit="1" customWidth="1"/>
    <col min="2998" max="2998" width="9.42578125" style="111" bestFit="1" customWidth="1"/>
    <col min="2999" max="2999" width="8" style="111" bestFit="1" customWidth="1"/>
    <col min="3000" max="3000" width="7.7109375" style="111" bestFit="1" customWidth="1"/>
    <col min="3001" max="3001" width="10.42578125" style="111" bestFit="1" customWidth="1"/>
    <col min="3002" max="3002" width="8" style="111" bestFit="1" customWidth="1"/>
    <col min="3003" max="3003" width="7.7109375" style="111" bestFit="1" customWidth="1"/>
    <col min="3004" max="3004" width="10.42578125" style="111" bestFit="1" customWidth="1"/>
    <col min="3005" max="3005" width="7.42578125" style="111" bestFit="1" customWidth="1"/>
    <col min="3006" max="3006" width="7.7109375" style="111" bestFit="1" customWidth="1"/>
    <col min="3007" max="3007" width="10.42578125" style="111" bestFit="1" customWidth="1"/>
    <col min="3008" max="3008" width="8" style="111" bestFit="1" customWidth="1"/>
    <col min="3009" max="3009" width="7.7109375" style="111" bestFit="1" customWidth="1"/>
    <col min="3010" max="3010" width="10.42578125" style="111" bestFit="1" customWidth="1"/>
    <col min="3011" max="3011" width="7.42578125" style="111" bestFit="1" customWidth="1"/>
    <col min="3012" max="3012" width="7.7109375" style="111" bestFit="1" customWidth="1"/>
    <col min="3013" max="3013" width="10.42578125" style="111" bestFit="1" customWidth="1"/>
    <col min="3014" max="3014" width="7.42578125" style="111" bestFit="1" customWidth="1"/>
    <col min="3015" max="3015" width="7.7109375" style="111" bestFit="1" customWidth="1"/>
    <col min="3016" max="3016" width="10.42578125" style="111" bestFit="1" customWidth="1"/>
    <col min="3017" max="3017" width="5.140625" style="111" customWidth="1"/>
    <col min="3018" max="3240" width="8.7109375" style="111"/>
    <col min="3241" max="3241" width="3.42578125" style="111" customWidth="1"/>
    <col min="3242" max="3242" width="7" style="111" customWidth="1"/>
    <col min="3243" max="3243" width="25.42578125" style="111" customWidth="1"/>
    <col min="3244" max="3244" width="12" style="111" customWidth="1"/>
    <col min="3245" max="3245" width="12.7109375" style="111" bestFit="1" customWidth="1"/>
    <col min="3246" max="3246" width="7.42578125" style="111" bestFit="1" customWidth="1"/>
    <col min="3247" max="3247" width="7.7109375" style="111" bestFit="1" customWidth="1"/>
    <col min="3248" max="3248" width="15" style="111" customWidth="1"/>
    <col min="3249" max="3249" width="7.42578125" style="111" bestFit="1" customWidth="1"/>
    <col min="3250" max="3250" width="7.7109375" style="111" bestFit="1" customWidth="1"/>
    <col min="3251" max="3251" width="15" style="111" bestFit="1" customWidth="1"/>
    <col min="3252" max="3252" width="7.42578125" style="111" bestFit="1" customWidth="1"/>
    <col min="3253" max="3253" width="7.7109375" style="111" bestFit="1" customWidth="1"/>
    <col min="3254" max="3254" width="9.42578125" style="111" bestFit="1" customWidth="1"/>
    <col min="3255" max="3255" width="8" style="111" bestFit="1" customWidth="1"/>
    <col min="3256" max="3256" width="7.7109375" style="111" bestFit="1" customWidth="1"/>
    <col min="3257" max="3257" width="10.42578125" style="111" bestFit="1" customWidth="1"/>
    <col min="3258" max="3258" width="8" style="111" bestFit="1" customWidth="1"/>
    <col min="3259" max="3259" width="7.7109375" style="111" bestFit="1" customWidth="1"/>
    <col min="3260" max="3260" width="10.42578125" style="111" bestFit="1" customWidth="1"/>
    <col min="3261" max="3261" width="7.42578125" style="111" bestFit="1" customWidth="1"/>
    <col min="3262" max="3262" width="7.7109375" style="111" bestFit="1" customWidth="1"/>
    <col min="3263" max="3263" width="10.42578125" style="111" bestFit="1" customWidth="1"/>
    <col min="3264" max="3264" width="8" style="111" bestFit="1" customWidth="1"/>
    <col min="3265" max="3265" width="7.7109375" style="111" bestFit="1" customWidth="1"/>
    <col min="3266" max="3266" width="10.42578125" style="111" bestFit="1" customWidth="1"/>
    <col min="3267" max="3267" width="7.42578125" style="111" bestFit="1" customWidth="1"/>
    <col min="3268" max="3268" width="7.7109375" style="111" bestFit="1" customWidth="1"/>
    <col min="3269" max="3269" width="10.42578125" style="111" bestFit="1" customWidth="1"/>
    <col min="3270" max="3270" width="7.42578125" style="111" bestFit="1" customWidth="1"/>
    <col min="3271" max="3271" width="7.7109375" style="111" bestFit="1" customWidth="1"/>
    <col min="3272" max="3272" width="10.42578125" style="111" bestFit="1" customWidth="1"/>
    <col min="3273" max="3273" width="5.140625" style="111" customWidth="1"/>
    <col min="3274" max="3496" width="8.7109375" style="111"/>
    <col min="3497" max="3497" width="3.42578125" style="111" customWidth="1"/>
    <col min="3498" max="3498" width="7" style="111" customWidth="1"/>
    <col min="3499" max="3499" width="25.42578125" style="111" customWidth="1"/>
    <col min="3500" max="3500" width="12" style="111" customWidth="1"/>
    <col min="3501" max="3501" width="12.7109375" style="111" bestFit="1" customWidth="1"/>
    <col min="3502" max="3502" width="7.42578125" style="111" bestFit="1" customWidth="1"/>
    <col min="3503" max="3503" width="7.7109375" style="111" bestFit="1" customWidth="1"/>
    <col min="3504" max="3504" width="15" style="111" customWidth="1"/>
    <col min="3505" max="3505" width="7.42578125" style="111" bestFit="1" customWidth="1"/>
    <col min="3506" max="3506" width="7.7109375" style="111" bestFit="1" customWidth="1"/>
    <col min="3507" max="3507" width="15" style="111" bestFit="1" customWidth="1"/>
    <col min="3508" max="3508" width="7.42578125" style="111" bestFit="1" customWidth="1"/>
    <col min="3509" max="3509" width="7.7109375" style="111" bestFit="1" customWidth="1"/>
    <col min="3510" max="3510" width="9.42578125" style="111" bestFit="1" customWidth="1"/>
    <col min="3511" max="3511" width="8" style="111" bestFit="1" customWidth="1"/>
    <col min="3512" max="3512" width="7.7109375" style="111" bestFit="1" customWidth="1"/>
    <col min="3513" max="3513" width="10.42578125" style="111" bestFit="1" customWidth="1"/>
    <col min="3514" max="3514" width="8" style="111" bestFit="1" customWidth="1"/>
    <col min="3515" max="3515" width="7.7109375" style="111" bestFit="1" customWidth="1"/>
    <col min="3516" max="3516" width="10.42578125" style="111" bestFit="1" customWidth="1"/>
    <col min="3517" max="3517" width="7.42578125" style="111" bestFit="1" customWidth="1"/>
    <col min="3518" max="3518" width="7.7109375" style="111" bestFit="1" customWidth="1"/>
    <col min="3519" max="3519" width="10.42578125" style="111" bestFit="1" customWidth="1"/>
    <col min="3520" max="3520" width="8" style="111" bestFit="1" customWidth="1"/>
    <col min="3521" max="3521" width="7.7109375" style="111" bestFit="1" customWidth="1"/>
    <col min="3522" max="3522" width="10.42578125" style="111" bestFit="1" customWidth="1"/>
    <col min="3523" max="3523" width="7.42578125" style="111" bestFit="1" customWidth="1"/>
    <col min="3524" max="3524" width="7.7109375" style="111" bestFit="1" customWidth="1"/>
    <col min="3525" max="3525" width="10.42578125" style="111" bestFit="1" customWidth="1"/>
    <col min="3526" max="3526" width="7.42578125" style="111" bestFit="1" customWidth="1"/>
    <col min="3527" max="3527" width="7.7109375" style="111" bestFit="1" customWidth="1"/>
    <col min="3528" max="3528" width="10.42578125" style="111" bestFit="1" customWidth="1"/>
    <col min="3529" max="3529" width="5.140625" style="111" customWidth="1"/>
    <col min="3530" max="3752" width="8.7109375" style="111"/>
    <col min="3753" max="3753" width="3.42578125" style="111" customWidth="1"/>
    <col min="3754" max="3754" width="7" style="111" customWidth="1"/>
    <col min="3755" max="3755" width="25.42578125" style="111" customWidth="1"/>
    <col min="3756" max="3756" width="12" style="111" customWidth="1"/>
    <col min="3757" max="3757" width="12.7109375" style="111" bestFit="1" customWidth="1"/>
    <col min="3758" max="3758" width="7.42578125" style="111" bestFit="1" customWidth="1"/>
    <col min="3759" max="3759" width="7.7109375" style="111" bestFit="1" customWidth="1"/>
    <col min="3760" max="3760" width="15" style="111" customWidth="1"/>
    <col min="3761" max="3761" width="7.42578125" style="111" bestFit="1" customWidth="1"/>
    <col min="3762" max="3762" width="7.7109375" style="111" bestFit="1" customWidth="1"/>
    <col min="3763" max="3763" width="15" style="111" bestFit="1" customWidth="1"/>
    <col min="3764" max="3764" width="7.42578125" style="111" bestFit="1" customWidth="1"/>
    <col min="3765" max="3765" width="7.7109375" style="111" bestFit="1" customWidth="1"/>
    <col min="3766" max="3766" width="9.42578125" style="111" bestFit="1" customWidth="1"/>
    <col min="3767" max="3767" width="8" style="111" bestFit="1" customWidth="1"/>
    <col min="3768" max="3768" width="7.7109375" style="111" bestFit="1" customWidth="1"/>
    <col min="3769" max="3769" width="10.42578125" style="111" bestFit="1" customWidth="1"/>
    <col min="3770" max="3770" width="8" style="111" bestFit="1" customWidth="1"/>
    <col min="3771" max="3771" width="7.7109375" style="111" bestFit="1" customWidth="1"/>
    <col min="3772" max="3772" width="10.42578125" style="111" bestFit="1" customWidth="1"/>
    <col min="3773" max="3773" width="7.42578125" style="111" bestFit="1" customWidth="1"/>
    <col min="3774" max="3774" width="7.7109375" style="111" bestFit="1" customWidth="1"/>
    <col min="3775" max="3775" width="10.42578125" style="111" bestFit="1" customWidth="1"/>
    <col min="3776" max="3776" width="8" style="111" bestFit="1" customWidth="1"/>
    <col min="3777" max="3777" width="7.7109375" style="111" bestFit="1" customWidth="1"/>
    <col min="3778" max="3778" width="10.42578125" style="111" bestFit="1" customWidth="1"/>
    <col min="3779" max="3779" width="7.42578125" style="111" bestFit="1" customWidth="1"/>
    <col min="3780" max="3780" width="7.7109375" style="111" bestFit="1" customWidth="1"/>
    <col min="3781" max="3781" width="10.42578125" style="111" bestFit="1" customWidth="1"/>
    <col min="3782" max="3782" width="7.42578125" style="111" bestFit="1" customWidth="1"/>
    <col min="3783" max="3783" width="7.7109375" style="111" bestFit="1" customWidth="1"/>
    <col min="3784" max="3784" width="10.42578125" style="111" bestFit="1" customWidth="1"/>
    <col min="3785" max="3785" width="5.140625" style="111" customWidth="1"/>
    <col min="3786" max="4008" width="8.7109375" style="111"/>
    <col min="4009" max="4009" width="3.42578125" style="111" customWidth="1"/>
    <col min="4010" max="4010" width="7" style="111" customWidth="1"/>
    <col min="4011" max="4011" width="25.42578125" style="111" customWidth="1"/>
    <col min="4012" max="4012" width="12" style="111" customWidth="1"/>
    <col min="4013" max="4013" width="12.7109375" style="111" bestFit="1" customWidth="1"/>
    <col min="4014" max="4014" width="7.42578125" style="111" bestFit="1" customWidth="1"/>
    <col min="4015" max="4015" width="7.7109375" style="111" bestFit="1" customWidth="1"/>
    <col min="4016" max="4016" width="15" style="111" customWidth="1"/>
    <col min="4017" max="4017" width="7.42578125" style="111" bestFit="1" customWidth="1"/>
    <col min="4018" max="4018" width="7.7109375" style="111" bestFit="1" customWidth="1"/>
    <col min="4019" max="4019" width="15" style="111" bestFit="1" customWidth="1"/>
    <col min="4020" max="4020" width="7.42578125" style="111" bestFit="1" customWidth="1"/>
    <col min="4021" max="4021" width="7.7109375" style="111" bestFit="1" customWidth="1"/>
    <col min="4022" max="4022" width="9.42578125" style="111" bestFit="1" customWidth="1"/>
    <col min="4023" max="4023" width="8" style="111" bestFit="1" customWidth="1"/>
    <col min="4024" max="4024" width="7.7109375" style="111" bestFit="1" customWidth="1"/>
    <col min="4025" max="4025" width="10.42578125" style="111" bestFit="1" customWidth="1"/>
    <col min="4026" max="4026" width="8" style="111" bestFit="1" customWidth="1"/>
    <col min="4027" max="4027" width="7.7109375" style="111" bestFit="1" customWidth="1"/>
    <col min="4028" max="4028" width="10.42578125" style="111" bestFit="1" customWidth="1"/>
    <col min="4029" max="4029" width="7.42578125" style="111" bestFit="1" customWidth="1"/>
    <col min="4030" max="4030" width="7.7109375" style="111" bestFit="1" customWidth="1"/>
    <col min="4031" max="4031" width="10.42578125" style="111" bestFit="1" customWidth="1"/>
    <col min="4032" max="4032" width="8" style="111" bestFit="1" customWidth="1"/>
    <col min="4033" max="4033" width="7.7109375" style="111" bestFit="1" customWidth="1"/>
    <col min="4034" max="4034" width="10.42578125" style="111" bestFit="1" customWidth="1"/>
    <col min="4035" max="4035" width="7.42578125" style="111" bestFit="1" customWidth="1"/>
    <col min="4036" max="4036" width="7.7109375" style="111" bestFit="1" customWidth="1"/>
    <col min="4037" max="4037" width="10.42578125" style="111" bestFit="1" customWidth="1"/>
    <col min="4038" max="4038" width="7.42578125" style="111" bestFit="1" customWidth="1"/>
    <col min="4039" max="4039" width="7.7109375" style="111" bestFit="1" customWidth="1"/>
    <col min="4040" max="4040" width="10.42578125" style="111" bestFit="1" customWidth="1"/>
    <col min="4041" max="4041" width="5.140625" style="111" customWidth="1"/>
    <col min="4042" max="4264" width="8.7109375" style="111"/>
    <col min="4265" max="4265" width="3.42578125" style="111" customWidth="1"/>
    <col min="4266" max="4266" width="7" style="111" customWidth="1"/>
    <col min="4267" max="4267" width="25.42578125" style="111" customWidth="1"/>
    <col min="4268" max="4268" width="12" style="111" customWidth="1"/>
    <col min="4269" max="4269" width="12.7109375" style="111" bestFit="1" customWidth="1"/>
    <col min="4270" max="4270" width="7.42578125" style="111" bestFit="1" customWidth="1"/>
    <col min="4271" max="4271" width="7.7109375" style="111" bestFit="1" customWidth="1"/>
    <col min="4272" max="4272" width="15" style="111" customWidth="1"/>
    <col min="4273" max="4273" width="7.42578125" style="111" bestFit="1" customWidth="1"/>
    <col min="4274" max="4274" width="7.7109375" style="111" bestFit="1" customWidth="1"/>
    <col min="4275" max="4275" width="15" style="111" bestFit="1" customWidth="1"/>
    <col min="4276" max="4276" width="7.42578125" style="111" bestFit="1" customWidth="1"/>
    <col min="4277" max="4277" width="7.7109375" style="111" bestFit="1" customWidth="1"/>
    <col min="4278" max="4278" width="9.42578125" style="111" bestFit="1" customWidth="1"/>
    <col min="4279" max="4279" width="8" style="111" bestFit="1" customWidth="1"/>
    <col min="4280" max="4280" width="7.7109375" style="111" bestFit="1" customWidth="1"/>
    <col min="4281" max="4281" width="10.42578125" style="111" bestFit="1" customWidth="1"/>
    <col min="4282" max="4282" width="8" style="111" bestFit="1" customWidth="1"/>
    <col min="4283" max="4283" width="7.7109375" style="111" bestFit="1" customWidth="1"/>
    <col min="4284" max="4284" width="10.42578125" style="111" bestFit="1" customWidth="1"/>
    <col min="4285" max="4285" width="7.42578125" style="111" bestFit="1" customWidth="1"/>
    <col min="4286" max="4286" width="7.7109375" style="111" bestFit="1" customWidth="1"/>
    <col min="4287" max="4287" width="10.42578125" style="111" bestFit="1" customWidth="1"/>
    <col min="4288" max="4288" width="8" style="111" bestFit="1" customWidth="1"/>
    <col min="4289" max="4289" width="7.7109375" style="111" bestFit="1" customWidth="1"/>
    <col min="4290" max="4290" width="10.42578125" style="111" bestFit="1" customWidth="1"/>
    <col min="4291" max="4291" width="7.42578125" style="111" bestFit="1" customWidth="1"/>
    <col min="4292" max="4292" width="7.7109375" style="111" bestFit="1" customWidth="1"/>
    <col min="4293" max="4293" width="10.42578125" style="111" bestFit="1" customWidth="1"/>
    <col min="4294" max="4294" width="7.42578125" style="111" bestFit="1" customWidth="1"/>
    <col min="4295" max="4295" width="7.7109375" style="111" bestFit="1" customWidth="1"/>
    <col min="4296" max="4296" width="10.42578125" style="111" bestFit="1" customWidth="1"/>
    <col min="4297" max="4297" width="5.140625" style="111" customWidth="1"/>
    <col min="4298" max="4520" width="8.7109375" style="111"/>
    <col min="4521" max="4521" width="3.42578125" style="111" customWidth="1"/>
    <col min="4522" max="4522" width="7" style="111" customWidth="1"/>
    <col min="4523" max="4523" width="25.42578125" style="111" customWidth="1"/>
    <col min="4524" max="4524" width="12" style="111" customWidth="1"/>
    <col min="4525" max="4525" width="12.7109375" style="111" bestFit="1" customWidth="1"/>
    <col min="4526" max="4526" width="7.42578125" style="111" bestFit="1" customWidth="1"/>
    <col min="4527" max="4527" width="7.7109375" style="111" bestFit="1" customWidth="1"/>
    <col min="4528" max="4528" width="15" style="111" customWidth="1"/>
    <col min="4529" max="4529" width="7.42578125" style="111" bestFit="1" customWidth="1"/>
    <col min="4530" max="4530" width="7.7109375" style="111" bestFit="1" customWidth="1"/>
    <col min="4531" max="4531" width="15" style="111" bestFit="1" customWidth="1"/>
    <col min="4532" max="4532" width="7.42578125" style="111" bestFit="1" customWidth="1"/>
    <col min="4533" max="4533" width="7.7109375" style="111" bestFit="1" customWidth="1"/>
    <col min="4534" max="4534" width="9.42578125" style="111" bestFit="1" customWidth="1"/>
    <col min="4535" max="4535" width="8" style="111" bestFit="1" customWidth="1"/>
    <col min="4536" max="4536" width="7.7109375" style="111" bestFit="1" customWidth="1"/>
    <col min="4537" max="4537" width="10.42578125" style="111" bestFit="1" customWidth="1"/>
    <col min="4538" max="4538" width="8" style="111" bestFit="1" customWidth="1"/>
    <col min="4539" max="4539" width="7.7109375" style="111" bestFit="1" customWidth="1"/>
    <col min="4540" max="4540" width="10.42578125" style="111" bestFit="1" customWidth="1"/>
    <col min="4541" max="4541" width="7.42578125" style="111" bestFit="1" customWidth="1"/>
    <col min="4542" max="4542" width="7.7109375" style="111" bestFit="1" customWidth="1"/>
    <col min="4543" max="4543" width="10.42578125" style="111" bestFit="1" customWidth="1"/>
    <col min="4544" max="4544" width="8" style="111" bestFit="1" customWidth="1"/>
    <col min="4545" max="4545" width="7.7109375" style="111" bestFit="1" customWidth="1"/>
    <col min="4546" max="4546" width="10.42578125" style="111" bestFit="1" customWidth="1"/>
    <col min="4547" max="4547" width="7.42578125" style="111" bestFit="1" customWidth="1"/>
    <col min="4548" max="4548" width="7.7109375" style="111" bestFit="1" customWidth="1"/>
    <col min="4549" max="4549" width="10.42578125" style="111" bestFit="1" customWidth="1"/>
    <col min="4550" max="4550" width="7.42578125" style="111" bestFit="1" customWidth="1"/>
    <col min="4551" max="4551" width="7.7109375" style="111" bestFit="1" customWidth="1"/>
    <col min="4552" max="4552" width="10.42578125" style="111" bestFit="1" customWidth="1"/>
    <col min="4553" max="4553" width="5.140625" style="111" customWidth="1"/>
    <col min="4554" max="4776" width="8.7109375" style="111"/>
    <col min="4777" max="4777" width="3.42578125" style="111" customWidth="1"/>
    <col min="4778" max="4778" width="7" style="111" customWidth="1"/>
    <col min="4779" max="4779" width="25.42578125" style="111" customWidth="1"/>
    <col min="4780" max="4780" width="12" style="111" customWidth="1"/>
    <col min="4781" max="4781" width="12.7109375" style="111" bestFit="1" customWidth="1"/>
    <col min="4782" max="4782" width="7.42578125" style="111" bestFit="1" customWidth="1"/>
    <col min="4783" max="4783" width="7.7109375" style="111" bestFit="1" customWidth="1"/>
    <col min="4784" max="4784" width="15" style="111" customWidth="1"/>
    <col min="4785" max="4785" width="7.42578125" style="111" bestFit="1" customWidth="1"/>
    <col min="4786" max="4786" width="7.7109375" style="111" bestFit="1" customWidth="1"/>
    <col min="4787" max="4787" width="15" style="111" bestFit="1" customWidth="1"/>
    <col min="4788" max="4788" width="7.42578125" style="111" bestFit="1" customWidth="1"/>
    <col min="4789" max="4789" width="7.7109375" style="111" bestFit="1" customWidth="1"/>
    <col min="4790" max="4790" width="9.42578125" style="111" bestFit="1" customWidth="1"/>
    <col min="4791" max="4791" width="8" style="111" bestFit="1" customWidth="1"/>
    <col min="4792" max="4792" width="7.7109375" style="111" bestFit="1" customWidth="1"/>
    <col min="4793" max="4793" width="10.42578125" style="111" bestFit="1" customWidth="1"/>
    <col min="4794" max="4794" width="8" style="111" bestFit="1" customWidth="1"/>
    <col min="4795" max="4795" width="7.7109375" style="111" bestFit="1" customWidth="1"/>
    <col min="4796" max="4796" width="10.42578125" style="111" bestFit="1" customWidth="1"/>
    <col min="4797" max="4797" width="7.42578125" style="111" bestFit="1" customWidth="1"/>
    <col min="4798" max="4798" width="7.7109375" style="111" bestFit="1" customWidth="1"/>
    <col min="4799" max="4799" width="10.42578125" style="111" bestFit="1" customWidth="1"/>
    <col min="4800" max="4800" width="8" style="111" bestFit="1" customWidth="1"/>
    <col min="4801" max="4801" width="7.7109375" style="111" bestFit="1" customWidth="1"/>
    <col min="4802" max="4802" width="10.42578125" style="111" bestFit="1" customWidth="1"/>
    <col min="4803" max="4803" width="7.42578125" style="111" bestFit="1" customWidth="1"/>
    <col min="4804" max="4804" width="7.7109375" style="111" bestFit="1" customWidth="1"/>
    <col min="4805" max="4805" width="10.42578125" style="111" bestFit="1" customWidth="1"/>
    <col min="4806" max="4806" width="7.42578125" style="111" bestFit="1" customWidth="1"/>
    <col min="4807" max="4807" width="7.7109375" style="111" bestFit="1" customWidth="1"/>
    <col min="4808" max="4808" width="10.42578125" style="111" bestFit="1" customWidth="1"/>
    <col min="4809" max="4809" width="5.140625" style="111" customWidth="1"/>
    <col min="4810" max="5032" width="8.7109375" style="111"/>
    <col min="5033" max="5033" width="3.42578125" style="111" customWidth="1"/>
    <col min="5034" max="5034" width="7" style="111" customWidth="1"/>
    <col min="5035" max="5035" width="25.42578125" style="111" customWidth="1"/>
    <col min="5036" max="5036" width="12" style="111" customWidth="1"/>
    <col min="5037" max="5037" width="12.7109375" style="111" bestFit="1" customWidth="1"/>
    <col min="5038" max="5038" width="7.42578125" style="111" bestFit="1" customWidth="1"/>
    <col min="5039" max="5039" width="7.7109375" style="111" bestFit="1" customWidth="1"/>
    <col min="5040" max="5040" width="15" style="111" customWidth="1"/>
    <col min="5041" max="5041" width="7.42578125" style="111" bestFit="1" customWidth="1"/>
    <col min="5042" max="5042" width="7.7109375" style="111" bestFit="1" customWidth="1"/>
    <col min="5043" max="5043" width="15" style="111" bestFit="1" customWidth="1"/>
    <col min="5044" max="5044" width="7.42578125" style="111" bestFit="1" customWidth="1"/>
    <col min="5045" max="5045" width="7.7109375" style="111" bestFit="1" customWidth="1"/>
    <col min="5046" max="5046" width="9.42578125" style="111" bestFit="1" customWidth="1"/>
    <col min="5047" max="5047" width="8" style="111" bestFit="1" customWidth="1"/>
    <col min="5048" max="5048" width="7.7109375" style="111" bestFit="1" customWidth="1"/>
    <col min="5049" max="5049" width="10.42578125" style="111" bestFit="1" customWidth="1"/>
    <col min="5050" max="5050" width="8" style="111" bestFit="1" customWidth="1"/>
    <col min="5051" max="5051" width="7.7109375" style="111" bestFit="1" customWidth="1"/>
    <col min="5052" max="5052" width="10.42578125" style="111" bestFit="1" customWidth="1"/>
    <col min="5053" max="5053" width="7.42578125" style="111" bestFit="1" customWidth="1"/>
    <col min="5054" max="5054" width="7.7109375" style="111" bestFit="1" customWidth="1"/>
    <col min="5055" max="5055" width="10.42578125" style="111" bestFit="1" customWidth="1"/>
    <col min="5056" max="5056" width="8" style="111" bestFit="1" customWidth="1"/>
    <col min="5057" max="5057" width="7.7109375" style="111" bestFit="1" customWidth="1"/>
    <col min="5058" max="5058" width="10.42578125" style="111" bestFit="1" customWidth="1"/>
    <col min="5059" max="5059" width="7.42578125" style="111" bestFit="1" customWidth="1"/>
    <col min="5060" max="5060" width="7.7109375" style="111" bestFit="1" customWidth="1"/>
    <col min="5061" max="5061" width="10.42578125" style="111" bestFit="1" customWidth="1"/>
    <col min="5062" max="5062" width="7.42578125" style="111" bestFit="1" customWidth="1"/>
    <col min="5063" max="5063" width="7.7109375" style="111" bestFit="1" customWidth="1"/>
    <col min="5064" max="5064" width="10.42578125" style="111" bestFit="1" customWidth="1"/>
    <col min="5065" max="5065" width="5.140625" style="111" customWidth="1"/>
    <col min="5066" max="5288" width="8.7109375" style="111"/>
    <col min="5289" max="5289" width="3.42578125" style="111" customWidth="1"/>
    <col min="5290" max="5290" width="7" style="111" customWidth="1"/>
    <col min="5291" max="5291" width="25.42578125" style="111" customWidth="1"/>
    <col min="5292" max="5292" width="12" style="111" customWidth="1"/>
    <col min="5293" max="5293" width="12.7109375" style="111" bestFit="1" customWidth="1"/>
    <col min="5294" max="5294" width="7.42578125" style="111" bestFit="1" customWidth="1"/>
    <col min="5295" max="5295" width="7.7109375" style="111" bestFit="1" customWidth="1"/>
    <col min="5296" max="5296" width="15" style="111" customWidth="1"/>
    <col min="5297" max="5297" width="7.42578125" style="111" bestFit="1" customWidth="1"/>
    <col min="5298" max="5298" width="7.7109375" style="111" bestFit="1" customWidth="1"/>
    <col min="5299" max="5299" width="15" style="111" bestFit="1" customWidth="1"/>
    <col min="5300" max="5300" width="7.42578125" style="111" bestFit="1" customWidth="1"/>
    <col min="5301" max="5301" width="7.7109375" style="111" bestFit="1" customWidth="1"/>
    <col min="5302" max="5302" width="9.42578125" style="111" bestFit="1" customWidth="1"/>
    <col min="5303" max="5303" width="8" style="111" bestFit="1" customWidth="1"/>
    <col min="5304" max="5304" width="7.7109375" style="111" bestFit="1" customWidth="1"/>
    <col min="5305" max="5305" width="10.42578125" style="111" bestFit="1" customWidth="1"/>
    <col min="5306" max="5306" width="8" style="111" bestFit="1" customWidth="1"/>
    <col min="5307" max="5307" width="7.7109375" style="111" bestFit="1" customWidth="1"/>
    <col min="5308" max="5308" width="10.42578125" style="111" bestFit="1" customWidth="1"/>
    <col min="5309" max="5309" width="7.42578125" style="111" bestFit="1" customWidth="1"/>
    <col min="5310" max="5310" width="7.7109375" style="111" bestFit="1" customWidth="1"/>
    <col min="5311" max="5311" width="10.42578125" style="111" bestFit="1" customWidth="1"/>
    <col min="5312" max="5312" width="8" style="111" bestFit="1" customWidth="1"/>
    <col min="5313" max="5313" width="7.7109375" style="111" bestFit="1" customWidth="1"/>
    <col min="5314" max="5314" width="10.42578125" style="111" bestFit="1" customWidth="1"/>
    <col min="5315" max="5315" width="7.42578125" style="111" bestFit="1" customWidth="1"/>
    <col min="5316" max="5316" width="7.7109375" style="111" bestFit="1" customWidth="1"/>
    <col min="5317" max="5317" width="10.42578125" style="111" bestFit="1" customWidth="1"/>
    <col min="5318" max="5318" width="7.42578125" style="111" bestFit="1" customWidth="1"/>
    <col min="5319" max="5319" width="7.7109375" style="111" bestFit="1" customWidth="1"/>
    <col min="5320" max="5320" width="10.42578125" style="111" bestFit="1" customWidth="1"/>
    <col min="5321" max="5321" width="5.140625" style="111" customWidth="1"/>
    <col min="5322" max="5544" width="8.7109375" style="111"/>
    <col min="5545" max="5545" width="3.42578125" style="111" customWidth="1"/>
    <col min="5546" max="5546" width="7" style="111" customWidth="1"/>
    <col min="5547" max="5547" width="25.42578125" style="111" customWidth="1"/>
    <col min="5548" max="5548" width="12" style="111" customWidth="1"/>
    <col min="5549" max="5549" width="12.7109375" style="111" bestFit="1" customWidth="1"/>
    <col min="5550" max="5550" width="7.42578125" style="111" bestFit="1" customWidth="1"/>
    <col min="5551" max="5551" width="7.7109375" style="111" bestFit="1" customWidth="1"/>
    <col min="5552" max="5552" width="15" style="111" customWidth="1"/>
    <col min="5553" max="5553" width="7.42578125" style="111" bestFit="1" customWidth="1"/>
    <col min="5554" max="5554" width="7.7109375" style="111" bestFit="1" customWidth="1"/>
    <col min="5555" max="5555" width="15" style="111" bestFit="1" customWidth="1"/>
    <col min="5556" max="5556" width="7.42578125" style="111" bestFit="1" customWidth="1"/>
    <col min="5557" max="5557" width="7.7109375" style="111" bestFit="1" customWidth="1"/>
    <col min="5558" max="5558" width="9.42578125" style="111" bestFit="1" customWidth="1"/>
    <col min="5559" max="5559" width="8" style="111" bestFit="1" customWidth="1"/>
    <col min="5560" max="5560" width="7.7109375" style="111" bestFit="1" customWidth="1"/>
    <col min="5561" max="5561" width="10.42578125" style="111" bestFit="1" customWidth="1"/>
    <col min="5562" max="5562" width="8" style="111" bestFit="1" customWidth="1"/>
    <col min="5563" max="5563" width="7.7109375" style="111" bestFit="1" customWidth="1"/>
    <col min="5564" max="5564" width="10.42578125" style="111" bestFit="1" customWidth="1"/>
    <col min="5565" max="5565" width="7.42578125" style="111" bestFit="1" customWidth="1"/>
    <col min="5566" max="5566" width="7.7109375" style="111" bestFit="1" customWidth="1"/>
    <col min="5567" max="5567" width="10.42578125" style="111" bestFit="1" customWidth="1"/>
    <col min="5568" max="5568" width="8" style="111" bestFit="1" customWidth="1"/>
    <col min="5569" max="5569" width="7.7109375" style="111" bestFit="1" customWidth="1"/>
    <col min="5570" max="5570" width="10.42578125" style="111" bestFit="1" customWidth="1"/>
    <col min="5571" max="5571" width="7.42578125" style="111" bestFit="1" customWidth="1"/>
    <col min="5572" max="5572" width="7.7109375" style="111" bestFit="1" customWidth="1"/>
    <col min="5573" max="5573" width="10.42578125" style="111" bestFit="1" customWidth="1"/>
    <col min="5574" max="5574" width="7.42578125" style="111" bestFit="1" customWidth="1"/>
    <col min="5575" max="5575" width="7.7109375" style="111" bestFit="1" customWidth="1"/>
    <col min="5576" max="5576" width="10.42578125" style="111" bestFit="1" customWidth="1"/>
    <col min="5577" max="5577" width="5.140625" style="111" customWidth="1"/>
    <col min="5578" max="5800" width="8.7109375" style="111"/>
    <col min="5801" max="5801" width="3.42578125" style="111" customWidth="1"/>
    <col min="5802" max="5802" width="7" style="111" customWidth="1"/>
    <col min="5803" max="5803" width="25.42578125" style="111" customWidth="1"/>
    <col min="5804" max="5804" width="12" style="111" customWidth="1"/>
    <col min="5805" max="5805" width="12.7109375" style="111" bestFit="1" customWidth="1"/>
    <col min="5806" max="5806" width="7.42578125" style="111" bestFit="1" customWidth="1"/>
    <col min="5807" max="5807" width="7.7109375" style="111" bestFit="1" customWidth="1"/>
    <col min="5808" max="5808" width="15" style="111" customWidth="1"/>
    <col min="5809" max="5809" width="7.42578125" style="111" bestFit="1" customWidth="1"/>
    <col min="5810" max="5810" width="7.7109375" style="111" bestFit="1" customWidth="1"/>
    <col min="5811" max="5811" width="15" style="111" bestFit="1" customWidth="1"/>
    <col min="5812" max="5812" width="7.42578125" style="111" bestFit="1" customWidth="1"/>
    <col min="5813" max="5813" width="7.7109375" style="111" bestFit="1" customWidth="1"/>
    <col min="5814" max="5814" width="9.42578125" style="111" bestFit="1" customWidth="1"/>
    <col min="5815" max="5815" width="8" style="111" bestFit="1" customWidth="1"/>
    <col min="5816" max="5816" width="7.7109375" style="111" bestFit="1" customWidth="1"/>
    <col min="5817" max="5817" width="10.42578125" style="111" bestFit="1" customWidth="1"/>
    <col min="5818" max="5818" width="8" style="111" bestFit="1" customWidth="1"/>
    <col min="5819" max="5819" width="7.7109375" style="111" bestFit="1" customWidth="1"/>
    <col min="5820" max="5820" width="10.42578125" style="111" bestFit="1" customWidth="1"/>
    <col min="5821" max="5821" width="7.42578125" style="111" bestFit="1" customWidth="1"/>
    <col min="5822" max="5822" width="7.7109375" style="111" bestFit="1" customWidth="1"/>
    <col min="5823" max="5823" width="10.42578125" style="111" bestFit="1" customWidth="1"/>
    <col min="5824" max="5824" width="8" style="111" bestFit="1" customWidth="1"/>
    <col min="5825" max="5825" width="7.7109375" style="111" bestFit="1" customWidth="1"/>
    <col min="5826" max="5826" width="10.42578125" style="111" bestFit="1" customWidth="1"/>
    <col min="5827" max="5827" width="7.42578125" style="111" bestFit="1" customWidth="1"/>
    <col min="5828" max="5828" width="7.7109375" style="111" bestFit="1" customWidth="1"/>
    <col min="5829" max="5829" width="10.42578125" style="111" bestFit="1" customWidth="1"/>
    <col min="5830" max="5830" width="7.42578125" style="111" bestFit="1" customWidth="1"/>
    <col min="5831" max="5831" width="7.7109375" style="111" bestFit="1" customWidth="1"/>
    <col min="5832" max="5832" width="10.42578125" style="111" bestFit="1" customWidth="1"/>
    <col min="5833" max="5833" width="5.140625" style="111" customWidth="1"/>
    <col min="5834" max="6056" width="8.7109375" style="111"/>
    <col min="6057" max="6057" width="3.42578125" style="111" customWidth="1"/>
    <col min="6058" max="6058" width="7" style="111" customWidth="1"/>
    <col min="6059" max="6059" width="25.42578125" style="111" customWidth="1"/>
    <col min="6060" max="6060" width="12" style="111" customWidth="1"/>
    <col min="6061" max="6061" width="12.7109375" style="111" bestFit="1" customWidth="1"/>
    <col min="6062" max="6062" width="7.42578125" style="111" bestFit="1" customWidth="1"/>
    <col min="6063" max="6063" width="7.7109375" style="111" bestFit="1" customWidth="1"/>
    <col min="6064" max="6064" width="15" style="111" customWidth="1"/>
    <col min="6065" max="6065" width="7.42578125" style="111" bestFit="1" customWidth="1"/>
    <col min="6066" max="6066" width="7.7109375" style="111" bestFit="1" customWidth="1"/>
    <col min="6067" max="6067" width="15" style="111" bestFit="1" customWidth="1"/>
    <col min="6068" max="6068" width="7.42578125" style="111" bestFit="1" customWidth="1"/>
    <col min="6069" max="6069" width="7.7109375" style="111" bestFit="1" customWidth="1"/>
    <col min="6070" max="6070" width="9.42578125" style="111" bestFit="1" customWidth="1"/>
    <col min="6071" max="6071" width="8" style="111" bestFit="1" customWidth="1"/>
    <col min="6072" max="6072" width="7.7109375" style="111" bestFit="1" customWidth="1"/>
    <col min="6073" max="6073" width="10.42578125" style="111" bestFit="1" customWidth="1"/>
    <col min="6074" max="6074" width="8" style="111" bestFit="1" customWidth="1"/>
    <col min="6075" max="6075" width="7.7109375" style="111" bestFit="1" customWidth="1"/>
    <col min="6076" max="6076" width="10.42578125" style="111" bestFit="1" customWidth="1"/>
    <col min="6077" max="6077" width="7.42578125" style="111" bestFit="1" customWidth="1"/>
    <col min="6078" max="6078" width="7.7109375" style="111" bestFit="1" customWidth="1"/>
    <col min="6079" max="6079" width="10.42578125" style="111" bestFit="1" customWidth="1"/>
    <col min="6080" max="6080" width="8" style="111" bestFit="1" customWidth="1"/>
    <col min="6081" max="6081" width="7.7109375" style="111" bestFit="1" customWidth="1"/>
    <col min="6082" max="6082" width="10.42578125" style="111" bestFit="1" customWidth="1"/>
    <col min="6083" max="6083" width="7.42578125" style="111" bestFit="1" customWidth="1"/>
    <col min="6084" max="6084" width="7.7109375" style="111" bestFit="1" customWidth="1"/>
    <col min="6085" max="6085" width="10.42578125" style="111" bestFit="1" customWidth="1"/>
    <col min="6086" max="6086" width="7.42578125" style="111" bestFit="1" customWidth="1"/>
    <col min="6087" max="6087" width="7.7109375" style="111" bestFit="1" customWidth="1"/>
    <col min="6088" max="6088" width="10.42578125" style="111" bestFit="1" customWidth="1"/>
    <col min="6089" max="6089" width="5.140625" style="111" customWidth="1"/>
    <col min="6090" max="6312" width="8.7109375" style="111"/>
    <col min="6313" max="6313" width="3.42578125" style="111" customWidth="1"/>
    <col min="6314" max="6314" width="7" style="111" customWidth="1"/>
    <col min="6315" max="6315" width="25.42578125" style="111" customWidth="1"/>
    <col min="6316" max="6316" width="12" style="111" customWidth="1"/>
    <col min="6317" max="6317" width="12.7109375" style="111" bestFit="1" customWidth="1"/>
    <col min="6318" max="6318" width="7.42578125" style="111" bestFit="1" customWidth="1"/>
    <col min="6319" max="6319" width="7.7109375" style="111" bestFit="1" customWidth="1"/>
    <col min="6320" max="6320" width="15" style="111" customWidth="1"/>
    <col min="6321" max="6321" width="7.42578125" style="111" bestFit="1" customWidth="1"/>
    <col min="6322" max="6322" width="7.7109375" style="111" bestFit="1" customWidth="1"/>
    <col min="6323" max="6323" width="15" style="111" bestFit="1" customWidth="1"/>
    <col min="6324" max="6324" width="7.42578125" style="111" bestFit="1" customWidth="1"/>
    <col min="6325" max="6325" width="7.7109375" style="111" bestFit="1" customWidth="1"/>
    <col min="6326" max="6326" width="9.42578125" style="111" bestFit="1" customWidth="1"/>
    <col min="6327" max="6327" width="8" style="111" bestFit="1" customWidth="1"/>
    <col min="6328" max="6328" width="7.7109375" style="111" bestFit="1" customWidth="1"/>
    <col min="6329" max="6329" width="10.42578125" style="111" bestFit="1" customWidth="1"/>
    <col min="6330" max="6330" width="8" style="111" bestFit="1" customWidth="1"/>
    <col min="6331" max="6331" width="7.7109375" style="111" bestFit="1" customWidth="1"/>
    <col min="6332" max="6332" width="10.42578125" style="111" bestFit="1" customWidth="1"/>
    <col min="6333" max="6333" width="7.42578125" style="111" bestFit="1" customWidth="1"/>
    <col min="6334" max="6334" width="7.7109375" style="111" bestFit="1" customWidth="1"/>
    <col min="6335" max="6335" width="10.42578125" style="111" bestFit="1" customWidth="1"/>
    <col min="6336" max="6336" width="8" style="111" bestFit="1" customWidth="1"/>
    <col min="6337" max="6337" width="7.7109375" style="111" bestFit="1" customWidth="1"/>
    <col min="6338" max="6338" width="10.42578125" style="111" bestFit="1" customWidth="1"/>
    <col min="6339" max="6339" width="7.42578125" style="111" bestFit="1" customWidth="1"/>
    <col min="6340" max="6340" width="7.7109375" style="111" bestFit="1" customWidth="1"/>
    <col min="6341" max="6341" width="10.42578125" style="111" bestFit="1" customWidth="1"/>
    <col min="6342" max="6342" width="7.42578125" style="111" bestFit="1" customWidth="1"/>
    <col min="6343" max="6343" width="7.7109375" style="111" bestFit="1" customWidth="1"/>
    <col min="6344" max="6344" width="10.42578125" style="111" bestFit="1" customWidth="1"/>
    <col min="6345" max="6345" width="5.140625" style="111" customWidth="1"/>
    <col min="6346" max="6568" width="8.7109375" style="111"/>
    <col min="6569" max="6569" width="3.42578125" style="111" customWidth="1"/>
    <col min="6570" max="6570" width="7" style="111" customWidth="1"/>
    <col min="6571" max="6571" width="25.42578125" style="111" customWidth="1"/>
    <col min="6572" max="6572" width="12" style="111" customWidth="1"/>
    <col min="6573" max="6573" width="12.7109375" style="111" bestFit="1" customWidth="1"/>
    <col min="6574" max="6574" width="7.42578125" style="111" bestFit="1" customWidth="1"/>
    <col min="6575" max="6575" width="7.7109375" style="111" bestFit="1" customWidth="1"/>
    <col min="6576" max="6576" width="15" style="111" customWidth="1"/>
    <col min="6577" max="6577" width="7.42578125" style="111" bestFit="1" customWidth="1"/>
    <col min="6578" max="6578" width="7.7109375" style="111" bestFit="1" customWidth="1"/>
    <col min="6579" max="6579" width="15" style="111" bestFit="1" customWidth="1"/>
    <col min="6580" max="6580" width="7.42578125" style="111" bestFit="1" customWidth="1"/>
    <col min="6581" max="6581" width="7.7109375" style="111" bestFit="1" customWidth="1"/>
    <col min="6582" max="6582" width="9.42578125" style="111" bestFit="1" customWidth="1"/>
    <col min="6583" max="6583" width="8" style="111" bestFit="1" customWidth="1"/>
    <col min="6584" max="6584" width="7.7109375" style="111" bestFit="1" customWidth="1"/>
    <col min="6585" max="6585" width="10.42578125" style="111" bestFit="1" customWidth="1"/>
    <col min="6586" max="6586" width="8" style="111" bestFit="1" customWidth="1"/>
    <col min="6587" max="6587" width="7.7109375" style="111" bestFit="1" customWidth="1"/>
    <col min="6588" max="6588" width="10.42578125" style="111" bestFit="1" customWidth="1"/>
    <col min="6589" max="6589" width="7.42578125" style="111" bestFit="1" customWidth="1"/>
    <col min="6590" max="6590" width="7.7109375" style="111" bestFit="1" customWidth="1"/>
    <col min="6591" max="6591" width="10.42578125" style="111" bestFit="1" customWidth="1"/>
    <col min="6592" max="6592" width="8" style="111" bestFit="1" customWidth="1"/>
    <col min="6593" max="6593" width="7.7109375" style="111" bestFit="1" customWidth="1"/>
    <col min="6594" max="6594" width="10.42578125" style="111" bestFit="1" customWidth="1"/>
    <col min="6595" max="6595" width="7.42578125" style="111" bestFit="1" customWidth="1"/>
    <col min="6596" max="6596" width="7.7109375" style="111" bestFit="1" customWidth="1"/>
    <col min="6597" max="6597" width="10.42578125" style="111" bestFit="1" customWidth="1"/>
    <col min="6598" max="6598" width="7.42578125" style="111" bestFit="1" customWidth="1"/>
    <col min="6599" max="6599" width="7.7109375" style="111" bestFit="1" customWidth="1"/>
    <col min="6600" max="6600" width="10.42578125" style="111" bestFit="1" customWidth="1"/>
    <col min="6601" max="6601" width="5.140625" style="111" customWidth="1"/>
    <col min="6602" max="6824" width="8.7109375" style="111"/>
    <col min="6825" max="6825" width="3.42578125" style="111" customWidth="1"/>
    <col min="6826" max="6826" width="7" style="111" customWidth="1"/>
    <col min="6827" max="6827" width="25.42578125" style="111" customWidth="1"/>
    <col min="6828" max="6828" width="12" style="111" customWidth="1"/>
    <col min="6829" max="6829" width="12.7109375" style="111" bestFit="1" customWidth="1"/>
    <col min="6830" max="6830" width="7.42578125" style="111" bestFit="1" customWidth="1"/>
    <col min="6831" max="6831" width="7.7109375" style="111" bestFit="1" customWidth="1"/>
    <col min="6832" max="6832" width="15" style="111" customWidth="1"/>
    <col min="6833" max="6833" width="7.42578125" style="111" bestFit="1" customWidth="1"/>
    <col min="6834" max="6834" width="7.7109375" style="111" bestFit="1" customWidth="1"/>
    <col min="6835" max="6835" width="15" style="111" bestFit="1" customWidth="1"/>
    <col min="6836" max="6836" width="7.42578125" style="111" bestFit="1" customWidth="1"/>
    <col min="6837" max="6837" width="7.7109375" style="111" bestFit="1" customWidth="1"/>
    <col min="6838" max="6838" width="9.42578125" style="111" bestFit="1" customWidth="1"/>
    <col min="6839" max="6839" width="8" style="111" bestFit="1" customWidth="1"/>
    <col min="6840" max="6840" width="7.7109375" style="111" bestFit="1" customWidth="1"/>
    <col min="6841" max="6841" width="10.42578125" style="111" bestFit="1" customWidth="1"/>
    <col min="6842" max="6842" width="8" style="111" bestFit="1" customWidth="1"/>
    <col min="6843" max="6843" width="7.7109375" style="111" bestFit="1" customWidth="1"/>
    <col min="6844" max="6844" width="10.42578125" style="111" bestFit="1" customWidth="1"/>
    <col min="6845" max="6845" width="7.42578125" style="111" bestFit="1" customWidth="1"/>
    <col min="6846" max="6846" width="7.7109375" style="111" bestFit="1" customWidth="1"/>
    <col min="6847" max="6847" width="10.42578125" style="111" bestFit="1" customWidth="1"/>
    <col min="6848" max="6848" width="8" style="111" bestFit="1" customWidth="1"/>
    <col min="6849" max="6849" width="7.7109375" style="111" bestFit="1" customWidth="1"/>
    <col min="6850" max="6850" width="10.42578125" style="111" bestFit="1" customWidth="1"/>
    <col min="6851" max="6851" width="7.42578125" style="111" bestFit="1" customWidth="1"/>
    <col min="6852" max="6852" width="7.7109375" style="111" bestFit="1" customWidth="1"/>
    <col min="6853" max="6853" width="10.42578125" style="111" bestFit="1" customWidth="1"/>
    <col min="6854" max="6854" width="7.42578125" style="111" bestFit="1" customWidth="1"/>
    <col min="6855" max="6855" width="7.7109375" style="111" bestFit="1" customWidth="1"/>
    <col min="6856" max="6856" width="10.42578125" style="111" bestFit="1" customWidth="1"/>
    <col min="6857" max="6857" width="5.140625" style="111" customWidth="1"/>
    <col min="6858" max="7080" width="8.7109375" style="111"/>
    <col min="7081" max="7081" width="3.42578125" style="111" customWidth="1"/>
    <col min="7082" max="7082" width="7" style="111" customWidth="1"/>
    <col min="7083" max="7083" width="25.42578125" style="111" customWidth="1"/>
    <col min="7084" max="7084" width="12" style="111" customWidth="1"/>
    <col min="7085" max="7085" width="12.7109375" style="111" bestFit="1" customWidth="1"/>
    <col min="7086" max="7086" width="7.42578125" style="111" bestFit="1" customWidth="1"/>
    <col min="7087" max="7087" width="7.7109375" style="111" bestFit="1" customWidth="1"/>
    <col min="7088" max="7088" width="15" style="111" customWidth="1"/>
    <col min="7089" max="7089" width="7.42578125" style="111" bestFit="1" customWidth="1"/>
    <col min="7090" max="7090" width="7.7109375" style="111" bestFit="1" customWidth="1"/>
    <col min="7091" max="7091" width="15" style="111" bestFit="1" customWidth="1"/>
    <col min="7092" max="7092" width="7.42578125" style="111" bestFit="1" customWidth="1"/>
    <col min="7093" max="7093" width="7.7109375" style="111" bestFit="1" customWidth="1"/>
    <col min="7094" max="7094" width="9.42578125" style="111" bestFit="1" customWidth="1"/>
    <col min="7095" max="7095" width="8" style="111" bestFit="1" customWidth="1"/>
    <col min="7096" max="7096" width="7.7109375" style="111" bestFit="1" customWidth="1"/>
    <col min="7097" max="7097" width="10.42578125" style="111" bestFit="1" customWidth="1"/>
    <col min="7098" max="7098" width="8" style="111" bestFit="1" customWidth="1"/>
    <col min="7099" max="7099" width="7.7109375" style="111" bestFit="1" customWidth="1"/>
    <col min="7100" max="7100" width="10.42578125" style="111" bestFit="1" customWidth="1"/>
    <col min="7101" max="7101" width="7.42578125" style="111" bestFit="1" customWidth="1"/>
    <col min="7102" max="7102" width="7.7109375" style="111" bestFit="1" customWidth="1"/>
    <col min="7103" max="7103" width="10.42578125" style="111" bestFit="1" customWidth="1"/>
    <col min="7104" max="7104" width="8" style="111" bestFit="1" customWidth="1"/>
    <col min="7105" max="7105" width="7.7109375" style="111" bestFit="1" customWidth="1"/>
    <col min="7106" max="7106" width="10.42578125" style="111" bestFit="1" customWidth="1"/>
    <col min="7107" max="7107" width="7.42578125" style="111" bestFit="1" customWidth="1"/>
    <col min="7108" max="7108" width="7.7109375" style="111" bestFit="1" customWidth="1"/>
    <col min="7109" max="7109" width="10.42578125" style="111" bestFit="1" customWidth="1"/>
    <col min="7110" max="7110" width="7.42578125" style="111" bestFit="1" customWidth="1"/>
    <col min="7111" max="7111" width="7.7109375" style="111" bestFit="1" customWidth="1"/>
    <col min="7112" max="7112" width="10.42578125" style="111" bestFit="1" customWidth="1"/>
    <col min="7113" max="7113" width="5.140625" style="111" customWidth="1"/>
    <col min="7114" max="7336" width="8.7109375" style="111"/>
    <col min="7337" max="7337" width="3.42578125" style="111" customWidth="1"/>
    <col min="7338" max="7338" width="7" style="111" customWidth="1"/>
    <col min="7339" max="7339" width="25.42578125" style="111" customWidth="1"/>
    <col min="7340" max="7340" width="12" style="111" customWidth="1"/>
    <col min="7341" max="7341" width="12.7109375" style="111" bestFit="1" customWidth="1"/>
    <col min="7342" max="7342" width="7.42578125" style="111" bestFit="1" customWidth="1"/>
    <col min="7343" max="7343" width="7.7109375" style="111" bestFit="1" customWidth="1"/>
    <col min="7344" max="7344" width="15" style="111" customWidth="1"/>
    <col min="7345" max="7345" width="7.42578125" style="111" bestFit="1" customWidth="1"/>
    <col min="7346" max="7346" width="7.7109375" style="111" bestFit="1" customWidth="1"/>
    <col min="7347" max="7347" width="15" style="111" bestFit="1" customWidth="1"/>
    <col min="7348" max="7348" width="7.42578125" style="111" bestFit="1" customWidth="1"/>
    <col min="7349" max="7349" width="7.7109375" style="111" bestFit="1" customWidth="1"/>
    <col min="7350" max="7350" width="9.42578125" style="111" bestFit="1" customWidth="1"/>
    <col min="7351" max="7351" width="8" style="111" bestFit="1" customWidth="1"/>
    <col min="7352" max="7352" width="7.7109375" style="111" bestFit="1" customWidth="1"/>
    <col min="7353" max="7353" width="10.42578125" style="111" bestFit="1" customWidth="1"/>
    <col min="7354" max="7354" width="8" style="111" bestFit="1" customWidth="1"/>
    <col min="7355" max="7355" width="7.7109375" style="111" bestFit="1" customWidth="1"/>
    <col min="7356" max="7356" width="10.42578125" style="111" bestFit="1" customWidth="1"/>
    <col min="7357" max="7357" width="7.42578125" style="111" bestFit="1" customWidth="1"/>
    <col min="7358" max="7358" width="7.7109375" style="111" bestFit="1" customWidth="1"/>
    <col min="7359" max="7359" width="10.42578125" style="111" bestFit="1" customWidth="1"/>
    <col min="7360" max="7360" width="8" style="111" bestFit="1" customWidth="1"/>
    <col min="7361" max="7361" width="7.7109375" style="111" bestFit="1" customWidth="1"/>
    <col min="7362" max="7362" width="10.42578125" style="111" bestFit="1" customWidth="1"/>
    <col min="7363" max="7363" width="7.42578125" style="111" bestFit="1" customWidth="1"/>
    <col min="7364" max="7364" width="7.7109375" style="111" bestFit="1" customWidth="1"/>
    <col min="7365" max="7365" width="10.42578125" style="111" bestFit="1" customWidth="1"/>
    <col min="7366" max="7366" width="7.42578125" style="111" bestFit="1" customWidth="1"/>
    <col min="7367" max="7367" width="7.7109375" style="111" bestFit="1" customWidth="1"/>
    <col min="7368" max="7368" width="10.42578125" style="111" bestFit="1" customWidth="1"/>
    <col min="7369" max="7369" width="5.140625" style="111" customWidth="1"/>
    <col min="7370" max="7592" width="8.7109375" style="111"/>
    <col min="7593" max="7593" width="3.42578125" style="111" customWidth="1"/>
    <col min="7594" max="7594" width="7" style="111" customWidth="1"/>
    <col min="7595" max="7595" width="25.42578125" style="111" customWidth="1"/>
    <col min="7596" max="7596" width="12" style="111" customWidth="1"/>
    <col min="7597" max="7597" width="12.7109375" style="111" bestFit="1" customWidth="1"/>
    <col min="7598" max="7598" width="7.42578125" style="111" bestFit="1" customWidth="1"/>
    <col min="7599" max="7599" width="7.7109375" style="111" bestFit="1" customWidth="1"/>
    <col min="7600" max="7600" width="15" style="111" customWidth="1"/>
    <col min="7601" max="7601" width="7.42578125" style="111" bestFit="1" customWidth="1"/>
    <col min="7602" max="7602" width="7.7109375" style="111" bestFit="1" customWidth="1"/>
    <col min="7603" max="7603" width="15" style="111" bestFit="1" customWidth="1"/>
    <col min="7604" max="7604" width="7.42578125" style="111" bestFit="1" customWidth="1"/>
    <col min="7605" max="7605" width="7.7109375" style="111" bestFit="1" customWidth="1"/>
    <col min="7606" max="7606" width="9.42578125" style="111" bestFit="1" customWidth="1"/>
    <col min="7607" max="7607" width="8" style="111" bestFit="1" customWidth="1"/>
    <col min="7608" max="7608" width="7.7109375" style="111" bestFit="1" customWidth="1"/>
    <col min="7609" max="7609" width="10.42578125" style="111" bestFit="1" customWidth="1"/>
    <col min="7610" max="7610" width="8" style="111" bestFit="1" customWidth="1"/>
    <col min="7611" max="7611" width="7.7109375" style="111" bestFit="1" customWidth="1"/>
    <col min="7612" max="7612" width="10.42578125" style="111" bestFit="1" customWidth="1"/>
    <col min="7613" max="7613" width="7.42578125" style="111" bestFit="1" customWidth="1"/>
    <col min="7614" max="7614" width="7.7109375" style="111" bestFit="1" customWidth="1"/>
    <col min="7615" max="7615" width="10.42578125" style="111" bestFit="1" customWidth="1"/>
    <col min="7616" max="7616" width="8" style="111" bestFit="1" customWidth="1"/>
    <col min="7617" max="7617" width="7.7109375" style="111" bestFit="1" customWidth="1"/>
    <col min="7618" max="7618" width="10.42578125" style="111" bestFit="1" customWidth="1"/>
    <col min="7619" max="7619" width="7.42578125" style="111" bestFit="1" customWidth="1"/>
    <col min="7620" max="7620" width="7.7109375" style="111" bestFit="1" customWidth="1"/>
    <col min="7621" max="7621" width="10.42578125" style="111" bestFit="1" customWidth="1"/>
    <col min="7622" max="7622" width="7.42578125" style="111" bestFit="1" customWidth="1"/>
    <col min="7623" max="7623" width="7.7109375" style="111" bestFit="1" customWidth="1"/>
    <col min="7624" max="7624" width="10.42578125" style="111" bestFit="1" customWidth="1"/>
    <col min="7625" max="7625" width="5.140625" style="111" customWidth="1"/>
    <col min="7626" max="7848" width="8.7109375" style="111"/>
    <col min="7849" max="7849" width="3.42578125" style="111" customWidth="1"/>
    <col min="7850" max="7850" width="7" style="111" customWidth="1"/>
    <col min="7851" max="7851" width="25.42578125" style="111" customWidth="1"/>
    <col min="7852" max="7852" width="12" style="111" customWidth="1"/>
    <col min="7853" max="7853" width="12.7109375" style="111" bestFit="1" customWidth="1"/>
    <col min="7854" max="7854" width="7.42578125" style="111" bestFit="1" customWidth="1"/>
    <col min="7855" max="7855" width="7.7109375" style="111" bestFit="1" customWidth="1"/>
    <col min="7856" max="7856" width="15" style="111" customWidth="1"/>
    <col min="7857" max="7857" width="7.42578125" style="111" bestFit="1" customWidth="1"/>
    <col min="7858" max="7858" width="7.7109375" style="111" bestFit="1" customWidth="1"/>
    <col min="7859" max="7859" width="15" style="111" bestFit="1" customWidth="1"/>
    <col min="7860" max="7860" width="7.42578125" style="111" bestFit="1" customWidth="1"/>
    <col min="7861" max="7861" width="7.7109375" style="111" bestFit="1" customWidth="1"/>
    <col min="7862" max="7862" width="9.42578125" style="111" bestFit="1" customWidth="1"/>
    <col min="7863" max="7863" width="8" style="111" bestFit="1" customWidth="1"/>
    <col min="7864" max="7864" width="7.7109375" style="111" bestFit="1" customWidth="1"/>
    <col min="7865" max="7865" width="10.42578125" style="111" bestFit="1" customWidth="1"/>
    <col min="7866" max="7866" width="8" style="111" bestFit="1" customWidth="1"/>
    <col min="7867" max="7867" width="7.7109375" style="111" bestFit="1" customWidth="1"/>
    <col min="7868" max="7868" width="10.42578125" style="111" bestFit="1" customWidth="1"/>
    <col min="7869" max="7869" width="7.42578125" style="111" bestFit="1" customWidth="1"/>
    <col min="7870" max="7870" width="7.7109375" style="111" bestFit="1" customWidth="1"/>
    <col min="7871" max="7871" width="10.42578125" style="111" bestFit="1" customWidth="1"/>
    <col min="7872" max="7872" width="8" style="111" bestFit="1" customWidth="1"/>
    <col min="7873" max="7873" width="7.7109375" style="111" bestFit="1" customWidth="1"/>
    <col min="7874" max="7874" width="10.42578125" style="111" bestFit="1" customWidth="1"/>
    <col min="7875" max="7875" width="7.42578125" style="111" bestFit="1" customWidth="1"/>
    <col min="7876" max="7876" width="7.7109375" style="111" bestFit="1" customWidth="1"/>
    <col min="7877" max="7877" width="10.42578125" style="111" bestFit="1" customWidth="1"/>
    <col min="7878" max="7878" width="7.42578125" style="111" bestFit="1" customWidth="1"/>
    <col min="7879" max="7879" width="7.7109375" style="111" bestFit="1" customWidth="1"/>
    <col min="7880" max="7880" width="10.42578125" style="111" bestFit="1" customWidth="1"/>
    <col min="7881" max="7881" width="5.140625" style="111" customWidth="1"/>
    <col min="7882" max="8104" width="8.7109375" style="111"/>
    <col min="8105" max="8105" width="3.42578125" style="111" customWidth="1"/>
    <col min="8106" max="8106" width="7" style="111" customWidth="1"/>
    <col min="8107" max="8107" width="25.42578125" style="111" customWidth="1"/>
    <col min="8108" max="8108" width="12" style="111" customWidth="1"/>
    <col min="8109" max="8109" width="12.7109375" style="111" bestFit="1" customWidth="1"/>
    <col min="8110" max="8110" width="7.42578125" style="111" bestFit="1" customWidth="1"/>
    <col min="8111" max="8111" width="7.7109375" style="111" bestFit="1" customWidth="1"/>
    <col min="8112" max="8112" width="15" style="111" customWidth="1"/>
    <col min="8113" max="8113" width="7.42578125" style="111" bestFit="1" customWidth="1"/>
    <col min="8114" max="8114" width="7.7109375" style="111" bestFit="1" customWidth="1"/>
    <col min="8115" max="8115" width="15" style="111" bestFit="1" customWidth="1"/>
    <col min="8116" max="8116" width="7.42578125" style="111" bestFit="1" customWidth="1"/>
    <col min="8117" max="8117" width="7.7109375" style="111" bestFit="1" customWidth="1"/>
    <col min="8118" max="8118" width="9.42578125" style="111" bestFit="1" customWidth="1"/>
    <col min="8119" max="8119" width="8" style="111" bestFit="1" customWidth="1"/>
    <col min="8120" max="8120" width="7.7109375" style="111" bestFit="1" customWidth="1"/>
    <col min="8121" max="8121" width="10.42578125" style="111" bestFit="1" customWidth="1"/>
    <col min="8122" max="8122" width="8" style="111" bestFit="1" customWidth="1"/>
    <col min="8123" max="8123" width="7.7109375" style="111" bestFit="1" customWidth="1"/>
    <col min="8124" max="8124" width="10.42578125" style="111" bestFit="1" customWidth="1"/>
    <col min="8125" max="8125" width="7.42578125" style="111" bestFit="1" customWidth="1"/>
    <col min="8126" max="8126" width="7.7109375" style="111" bestFit="1" customWidth="1"/>
    <col min="8127" max="8127" width="10.42578125" style="111" bestFit="1" customWidth="1"/>
    <col min="8128" max="8128" width="8" style="111" bestFit="1" customWidth="1"/>
    <col min="8129" max="8129" width="7.7109375" style="111" bestFit="1" customWidth="1"/>
    <col min="8130" max="8130" width="10.42578125" style="111" bestFit="1" customWidth="1"/>
    <col min="8131" max="8131" width="7.42578125" style="111" bestFit="1" customWidth="1"/>
    <col min="8132" max="8132" width="7.7109375" style="111" bestFit="1" customWidth="1"/>
    <col min="8133" max="8133" width="10.42578125" style="111" bestFit="1" customWidth="1"/>
    <col min="8134" max="8134" width="7.42578125" style="111" bestFit="1" customWidth="1"/>
    <col min="8135" max="8135" width="7.7109375" style="111" bestFit="1" customWidth="1"/>
    <col min="8136" max="8136" width="10.42578125" style="111" bestFit="1" customWidth="1"/>
    <col min="8137" max="8137" width="5.140625" style="111" customWidth="1"/>
    <col min="8138" max="8360" width="8.7109375" style="111"/>
    <col min="8361" max="8361" width="3.42578125" style="111" customWidth="1"/>
    <col min="8362" max="8362" width="7" style="111" customWidth="1"/>
    <col min="8363" max="8363" width="25.42578125" style="111" customWidth="1"/>
    <col min="8364" max="8364" width="12" style="111" customWidth="1"/>
    <col min="8365" max="8365" width="12.7109375" style="111" bestFit="1" customWidth="1"/>
    <col min="8366" max="8366" width="7.42578125" style="111" bestFit="1" customWidth="1"/>
    <col min="8367" max="8367" width="7.7109375" style="111" bestFit="1" customWidth="1"/>
    <col min="8368" max="8368" width="15" style="111" customWidth="1"/>
    <col min="8369" max="8369" width="7.42578125" style="111" bestFit="1" customWidth="1"/>
    <col min="8370" max="8370" width="7.7109375" style="111" bestFit="1" customWidth="1"/>
    <col min="8371" max="8371" width="15" style="111" bestFit="1" customWidth="1"/>
    <col min="8372" max="8372" width="7.42578125" style="111" bestFit="1" customWidth="1"/>
    <col min="8373" max="8373" width="7.7109375" style="111" bestFit="1" customWidth="1"/>
    <col min="8374" max="8374" width="9.42578125" style="111" bestFit="1" customWidth="1"/>
    <col min="8375" max="8375" width="8" style="111" bestFit="1" customWidth="1"/>
    <col min="8376" max="8376" width="7.7109375" style="111" bestFit="1" customWidth="1"/>
    <col min="8377" max="8377" width="10.42578125" style="111" bestFit="1" customWidth="1"/>
    <col min="8378" max="8378" width="8" style="111" bestFit="1" customWidth="1"/>
    <col min="8379" max="8379" width="7.7109375" style="111" bestFit="1" customWidth="1"/>
    <col min="8380" max="8380" width="10.42578125" style="111" bestFit="1" customWidth="1"/>
    <col min="8381" max="8381" width="7.42578125" style="111" bestFit="1" customWidth="1"/>
    <col min="8382" max="8382" width="7.7109375" style="111" bestFit="1" customWidth="1"/>
    <col min="8383" max="8383" width="10.42578125" style="111" bestFit="1" customWidth="1"/>
    <col min="8384" max="8384" width="8" style="111" bestFit="1" customWidth="1"/>
    <col min="8385" max="8385" width="7.7109375" style="111" bestFit="1" customWidth="1"/>
    <col min="8386" max="8386" width="10.42578125" style="111" bestFit="1" customWidth="1"/>
    <col min="8387" max="8387" width="7.42578125" style="111" bestFit="1" customWidth="1"/>
    <col min="8388" max="8388" width="7.7109375" style="111" bestFit="1" customWidth="1"/>
    <col min="8389" max="8389" width="10.42578125" style="111" bestFit="1" customWidth="1"/>
    <col min="8390" max="8390" width="7.42578125" style="111" bestFit="1" customWidth="1"/>
    <col min="8391" max="8391" width="7.7109375" style="111" bestFit="1" customWidth="1"/>
    <col min="8392" max="8392" width="10.42578125" style="111" bestFit="1" customWidth="1"/>
    <col min="8393" max="8393" width="5.140625" style="111" customWidth="1"/>
    <col min="8394" max="8616" width="8.7109375" style="111"/>
    <col min="8617" max="8617" width="3.42578125" style="111" customWidth="1"/>
    <col min="8618" max="8618" width="7" style="111" customWidth="1"/>
    <col min="8619" max="8619" width="25.42578125" style="111" customWidth="1"/>
    <col min="8620" max="8620" width="12" style="111" customWidth="1"/>
    <col min="8621" max="8621" width="12.7109375" style="111" bestFit="1" customWidth="1"/>
    <col min="8622" max="8622" width="7.42578125" style="111" bestFit="1" customWidth="1"/>
    <col min="8623" max="8623" width="7.7109375" style="111" bestFit="1" customWidth="1"/>
    <col min="8624" max="8624" width="15" style="111" customWidth="1"/>
    <col min="8625" max="8625" width="7.42578125" style="111" bestFit="1" customWidth="1"/>
    <col min="8626" max="8626" width="7.7109375" style="111" bestFit="1" customWidth="1"/>
    <col min="8627" max="8627" width="15" style="111" bestFit="1" customWidth="1"/>
    <col min="8628" max="8628" width="7.42578125" style="111" bestFit="1" customWidth="1"/>
    <col min="8629" max="8629" width="7.7109375" style="111" bestFit="1" customWidth="1"/>
    <col min="8630" max="8630" width="9.42578125" style="111" bestFit="1" customWidth="1"/>
    <col min="8631" max="8631" width="8" style="111" bestFit="1" customWidth="1"/>
    <col min="8632" max="8632" width="7.7109375" style="111" bestFit="1" customWidth="1"/>
    <col min="8633" max="8633" width="10.42578125" style="111" bestFit="1" customWidth="1"/>
    <col min="8634" max="8634" width="8" style="111" bestFit="1" customWidth="1"/>
    <col min="8635" max="8635" width="7.7109375" style="111" bestFit="1" customWidth="1"/>
    <col min="8636" max="8636" width="10.42578125" style="111" bestFit="1" customWidth="1"/>
    <col min="8637" max="8637" width="7.42578125" style="111" bestFit="1" customWidth="1"/>
    <col min="8638" max="8638" width="7.7109375" style="111" bestFit="1" customWidth="1"/>
    <col min="8639" max="8639" width="10.42578125" style="111" bestFit="1" customWidth="1"/>
    <col min="8640" max="8640" width="8" style="111" bestFit="1" customWidth="1"/>
    <col min="8641" max="8641" width="7.7109375" style="111" bestFit="1" customWidth="1"/>
    <col min="8642" max="8642" width="10.42578125" style="111" bestFit="1" customWidth="1"/>
    <col min="8643" max="8643" width="7.42578125" style="111" bestFit="1" customWidth="1"/>
    <col min="8644" max="8644" width="7.7109375" style="111" bestFit="1" customWidth="1"/>
    <col min="8645" max="8645" width="10.42578125" style="111" bestFit="1" customWidth="1"/>
    <col min="8646" max="8646" width="7.42578125" style="111" bestFit="1" customWidth="1"/>
    <col min="8647" max="8647" width="7.7109375" style="111" bestFit="1" customWidth="1"/>
    <col min="8648" max="8648" width="10.42578125" style="111" bestFit="1" customWidth="1"/>
    <col min="8649" max="8649" width="5.140625" style="111" customWidth="1"/>
    <col min="8650" max="8872" width="8.7109375" style="111"/>
    <col min="8873" max="8873" width="3.42578125" style="111" customWidth="1"/>
    <col min="8874" max="8874" width="7" style="111" customWidth="1"/>
    <col min="8875" max="8875" width="25.42578125" style="111" customWidth="1"/>
    <col min="8876" max="8876" width="12" style="111" customWidth="1"/>
    <col min="8877" max="8877" width="12.7109375" style="111" bestFit="1" customWidth="1"/>
    <col min="8878" max="8878" width="7.42578125" style="111" bestFit="1" customWidth="1"/>
    <col min="8879" max="8879" width="7.7109375" style="111" bestFit="1" customWidth="1"/>
    <col min="8880" max="8880" width="15" style="111" customWidth="1"/>
    <col min="8881" max="8881" width="7.42578125" style="111" bestFit="1" customWidth="1"/>
    <col min="8882" max="8882" width="7.7109375" style="111" bestFit="1" customWidth="1"/>
    <col min="8883" max="8883" width="15" style="111" bestFit="1" customWidth="1"/>
    <col min="8884" max="8884" width="7.42578125" style="111" bestFit="1" customWidth="1"/>
    <col min="8885" max="8885" width="7.7109375" style="111" bestFit="1" customWidth="1"/>
    <col min="8886" max="8886" width="9.42578125" style="111" bestFit="1" customWidth="1"/>
    <col min="8887" max="8887" width="8" style="111" bestFit="1" customWidth="1"/>
    <col min="8888" max="8888" width="7.7109375" style="111" bestFit="1" customWidth="1"/>
    <col min="8889" max="8889" width="10.42578125" style="111" bestFit="1" customWidth="1"/>
    <col min="8890" max="8890" width="8" style="111" bestFit="1" customWidth="1"/>
    <col min="8891" max="8891" width="7.7109375" style="111" bestFit="1" customWidth="1"/>
    <col min="8892" max="8892" width="10.42578125" style="111" bestFit="1" customWidth="1"/>
    <col min="8893" max="8893" width="7.42578125" style="111" bestFit="1" customWidth="1"/>
    <col min="8894" max="8894" width="7.7109375" style="111" bestFit="1" customWidth="1"/>
    <col min="8895" max="8895" width="10.42578125" style="111" bestFit="1" customWidth="1"/>
    <col min="8896" max="8896" width="8" style="111" bestFit="1" customWidth="1"/>
    <col min="8897" max="8897" width="7.7109375" style="111" bestFit="1" customWidth="1"/>
    <col min="8898" max="8898" width="10.42578125" style="111" bestFit="1" customWidth="1"/>
    <col min="8899" max="8899" width="7.42578125" style="111" bestFit="1" customWidth="1"/>
    <col min="8900" max="8900" width="7.7109375" style="111" bestFit="1" customWidth="1"/>
    <col min="8901" max="8901" width="10.42578125" style="111" bestFit="1" customWidth="1"/>
    <col min="8902" max="8902" width="7.42578125" style="111" bestFit="1" customWidth="1"/>
    <col min="8903" max="8903" width="7.7109375" style="111" bestFit="1" customWidth="1"/>
    <col min="8904" max="8904" width="10.42578125" style="111" bestFit="1" customWidth="1"/>
    <col min="8905" max="8905" width="5.140625" style="111" customWidth="1"/>
    <col min="8906" max="9128" width="8.7109375" style="111"/>
    <col min="9129" max="9129" width="3.42578125" style="111" customWidth="1"/>
    <col min="9130" max="9130" width="7" style="111" customWidth="1"/>
    <col min="9131" max="9131" width="25.42578125" style="111" customWidth="1"/>
    <col min="9132" max="9132" width="12" style="111" customWidth="1"/>
    <col min="9133" max="9133" width="12.7109375" style="111" bestFit="1" customWidth="1"/>
    <col min="9134" max="9134" width="7.42578125" style="111" bestFit="1" customWidth="1"/>
    <col min="9135" max="9135" width="7.7109375" style="111" bestFit="1" customWidth="1"/>
    <col min="9136" max="9136" width="15" style="111" customWidth="1"/>
    <col min="9137" max="9137" width="7.42578125" style="111" bestFit="1" customWidth="1"/>
    <col min="9138" max="9138" width="7.7109375" style="111" bestFit="1" customWidth="1"/>
    <col min="9139" max="9139" width="15" style="111" bestFit="1" customWidth="1"/>
    <col min="9140" max="9140" width="7.42578125" style="111" bestFit="1" customWidth="1"/>
    <col min="9141" max="9141" width="7.7109375" style="111" bestFit="1" customWidth="1"/>
    <col min="9142" max="9142" width="9.42578125" style="111" bestFit="1" customWidth="1"/>
    <col min="9143" max="9143" width="8" style="111" bestFit="1" customWidth="1"/>
    <col min="9144" max="9144" width="7.7109375" style="111" bestFit="1" customWidth="1"/>
    <col min="9145" max="9145" width="10.42578125" style="111" bestFit="1" customWidth="1"/>
    <col min="9146" max="9146" width="8" style="111" bestFit="1" customWidth="1"/>
    <col min="9147" max="9147" width="7.7109375" style="111" bestFit="1" customWidth="1"/>
    <col min="9148" max="9148" width="10.42578125" style="111" bestFit="1" customWidth="1"/>
    <col min="9149" max="9149" width="7.42578125" style="111" bestFit="1" customWidth="1"/>
    <col min="9150" max="9150" width="7.7109375" style="111" bestFit="1" customWidth="1"/>
    <col min="9151" max="9151" width="10.42578125" style="111" bestFit="1" customWidth="1"/>
    <col min="9152" max="9152" width="8" style="111" bestFit="1" customWidth="1"/>
    <col min="9153" max="9153" width="7.7109375" style="111" bestFit="1" customWidth="1"/>
    <col min="9154" max="9154" width="10.42578125" style="111" bestFit="1" customWidth="1"/>
    <col min="9155" max="9155" width="7.42578125" style="111" bestFit="1" customWidth="1"/>
    <col min="9156" max="9156" width="7.7109375" style="111" bestFit="1" customWidth="1"/>
    <col min="9157" max="9157" width="10.42578125" style="111" bestFit="1" customWidth="1"/>
    <col min="9158" max="9158" width="7.42578125" style="111" bestFit="1" customWidth="1"/>
    <col min="9159" max="9159" width="7.7109375" style="111" bestFit="1" customWidth="1"/>
    <col min="9160" max="9160" width="10.42578125" style="111" bestFit="1" customWidth="1"/>
    <col min="9161" max="9161" width="5.140625" style="111" customWidth="1"/>
    <col min="9162" max="9384" width="8.7109375" style="111"/>
    <col min="9385" max="9385" width="3.42578125" style="111" customWidth="1"/>
    <col min="9386" max="9386" width="7" style="111" customWidth="1"/>
    <col min="9387" max="9387" width="25.42578125" style="111" customWidth="1"/>
    <col min="9388" max="9388" width="12" style="111" customWidth="1"/>
    <col min="9389" max="9389" width="12.7109375" style="111" bestFit="1" customWidth="1"/>
    <col min="9390" max="9390" width="7.42578125" style="111" bestFit="1" customWidth="1"/>
    <col min="9391" max="9391" width="7.7109375" style="111" bestFit="1" customWidth="1"/>
    <col min="9392" max="9392" width="15" style="111" customWidth="1"/>
    <col min="9393" max="9393" width="7.42578125" style="111" bestFit="1" customWidth="1"/>
    <col min="9394" max="9394" width="7.7109375" style="111" bestFit="1" customWidth="1"/>
    <col min="9395" max="9395" width="15" style="111" bestFit="1" customWidth="1"/>
    <col min="9396" max="9396" width="7.42578125" style="111" bestFit="1" customWidth="1"/>
    <col min="9397" max="9397" width="7.7109375" style="111" bestFit="1" customWidth="1"/>
    <col min="9398" max="9398" width="9.42578125" style="111" bestFit="1" customWidth="1"/>
    <col min="9399" max="9399" width="8" style="111" bestFit="1" customWidth="1"/>
    <col min="9400" max="9400" width="7.7109375" style="111" bestFit="1" customWidth="1"/>
    <col min="9401" max="9401" width="10.42578125" style="111" bestFit="1" customWidth="1"/>
    <col min="9402" max="9402" width="8" style="111" bestFit="1" customWidth="1"/>
    <col min="9403" max="9403" width="7.7109375" style="111" bestFit="1" customWidth="1"/>
    <col min="9404" max="9404" width="10.42578125" style="111" bestFit="1" customWidth="1"/>
    <col min="9405" max="9405" width="7.42578125" style="111" bestFit="1" customWidth="1"/>
    <col min="9406" max="9406" width="7.7109375" style="111" bestFit="1" customWidth="1"/>
    <col min="9407" max="9407" width="10.42578125" style="111" bestFit="1" customWidth="1"/>
    <col min="9408" max="9408" width="8" style="111" bestFit="1" customWidth="1"/>
    <col min="9409" max="9409" width="7.7109375" style="111" bestFit="1" customWidth="1"/>
    <col min="9410" max="9410" width="10.42578125" style="111" bestFit="1" customWidth="1"/>
    <col min="9411" max="9411" width="7.42578125" style="111" bestFit="1" customWidth="1"/>
    <col min="9412" max="9412" width="7.7109375" style="111" bestFit="1" customWidth="1"/>
    <col min="9413" max="9413" width="10.42578125" style="111" bestFit="1" customWidth="1"/>
    <col min="9414" max="9414" width="7.42578125" style="111" bestFit="1" customWidth="1"/>
    <col min="9415" max="9415" width="7.7109375" style="111" bestFit="1" customWidth="1"/>
    <col min="9416" max="9416" width="10.42578125" style="111" bestFit="1" customWidth="1"/>
    <col min="9417" max="9417" width="5.140625" style="111" customWidth="1"/>
    <col min="9418" max="9640" width="8.7109375" style="111"/>
    <col min="9641" max="9641" width="3.42578125" style="111" customWidth="1"/>
    <col min="9642" max="9642" width="7" style="111" customWidth="1"/>
    <col min="9643" max="9643" width="25.42578125" style="111" customWidth="1"/>
    <col min="9644" max="9644" width="12" style="111" customWidth="1"/>
    <col min="9645" max="9645" width="12.7109375" style="111" bestFit="1" customWidth="1"/>
    <col min="9646" max="9646" width="7.42578125" style="111" bestFit="1" customWidth="1"/>
    <col min="9647" max="9647" width="7.7109375" style="111" bestFit="1" customWidth="1"/>
    <col min="9648" max="9648" width="15" style="111" customWidth="1"/>
    <col min="9649" max="9649" width="7.42578125" style="111" bestFit="1" customWidth="1"/>
    <col min="9650" max="9650" width="7.7109375" style="111" bestFit="1" customWidth="1"/>
    <col min="9651" max="9651" width="15" style="111" bestFit="1" customWidth="1"/>
    <col min="9652" max="9652" width="7.42578125" style="111" bestFit="1" customWidth="1"/>
    <col min="9653" max="9653" width="7.7109375" style="111" bestFit="1" customWidth="1"/>
    <col min="9654" max="9654" width="9.42578125" style="111" bestFit="1" customWidth="1"/>
    <col min="9655" max="9655" width="8" style="111" bestFit="1" customWidth="1"/>
    <col min="9656" max="9656" width="7.7109375" style="111" bestFit="1" customWidth="1"/>
    <col min="9657" max="9657" width="10.42578125" style="111" bestFit="1" customWidth="1"/>
    <col min="9658" max="9658" width="8" style="111" bestFit="1" customWidth="1"/>
    <col min="9659" max="9659" width="7.7109375" style="111" bestFit="1" customWidth="1"/>
    <col min="9660" max="9660" width="10.42578125" style="111" bestFit="1" customWidth="1"/>
    <col min="9661" max="9661" width="7.42578125" style="111" bestFit="1" customWidth="1"/>
    <col min="9662" max="9662" width="7.7109375" style="111" bestFit="1" customWidth="1"/>
    <col min="9663" max="9663" width="10.42578125" style="111" bestFit="1" customWidth="1"/>
    <col min="9664" max="9664" width="8" style="111" bestFit="1" customWidth="1"/>
    <col min="9665" max="9665" width="7.7109375" style="111" bestFit="1" customWidth="1"/>
    <col min="9666" max="9666" width="10.42578125" style="111" bestFit="1" customWidth="1"/>
    <col min="9667" max="9667" width="7.42578125" style="111" bestFit="1" customWidth="1"/>
    <col min="9668" max="9668" width="7.7109375" style="111" bestFit="1" customWidth="1"/>
    <col min="9669" max="9669" width="10.42578125" style="111" bestFit="1" customWidth="1"/>
    <col min="9670" max="9670" width="7.42578125" style="111" bestFit="1" customWidth="1"/>
    <col min="9671" max="9671" width="7.7109375" style="111" bestFit="1" customWidth="1"/>
    <col min="9672" max="9672" width="10.42578125" style="111" bestFit="1" customWidth="1"/>
    <col min="9673" max="9673" width="5.140625" style="111" customWidth="1"/>
    <col min="9674" max="9896" width="8.7109375" style="111"/>
    <col min="9897" max="9897" width="3.42578125" style="111" customWidth="1"/>
    <col min="9898" max="9898" width="7" style="111" customWidth="1"/>
    <col min="9899" max="9899" width="25.42578125" style="111" customWidth="1"/>
    <col min="9900" max="9900" width="12" style="111" customWidth="1"/>
    <col min="9901" max="9901" width="12.7109375" style="111" bestFit="1" customWidth="1"/>
    <col min="9902" max="9902" width="7.42578125" style="111" bestFit="1" customWidth="1"/>
    <col min="9903" max="9903" width="7.7109375" style="111" bestFit="1" customWidth="1"/>
    <col min="9904" max="9904" width="15" style="111" customWidth="1"/>
    <col min="9905" max="9905" width="7.42578125" style="111" bestFit="1" customWidth="1"/>
    <col min="9906" max="9906" width="7.7109375" style="111" bestFit="1" customWidth="1"/>
    <col min="9907" max="9907" width="15" style="111" bestFit="1" customWidth="1"/>
    <col min="9908" max="9908" width="7.42578125" style="111" bestFit="1" customWidth="1"/>
    <col min="9909" max="9909" width="7.7109375" style="111" bestFit="1" customWidth="1"/>
    <col min="9910" max="9910" width="9.42578125" style="111" bestFit="1" customWidth="1"/>
    <col min="9911" max="9911" width="8" style="111" bestFit="1" customWidth="1"/>
    <col min="9912" max="9912" width="7.7109375" style="111" bestFit="1" customWidth="1"/>
    <col min="9913" max="9913" width="10.42578125" style="111" bestFit="1" customWidth="1"/>
    <col min="9914" max="9914" width="8" style="111" bestFit="1" customWidth="1"/>
    <col min="9915" max="9915" width="7.7109375" style="111" bestFit="1" customWidth="1"/>
    <col min="9916" max="9916" width="10.42578125" style="111" bestFit="1" customWidth="1"/>
    <col min="9917" max="9917" width="7.42578125" style="111" bestFit="1" customWidth="1"/>
    <col min="9918" max="9918" width="7.7109375" style="111" bestFit="1" customWidth="1"/>
    <col min="9919" max="9919" width="10.42578125" style="111" bestFit="1" customWidth="1"/>
    <col min="9920" max="9920" width="8" style="111" bestFit="1" customWidth="1"/>
    <col min="9921" max="9921" width="7.7109375" style="111" bestFit="1" customWidth="1"/>
    <col min="9922" max="9922" width="10.42578125" style="111" bestFit="1" customWidth="1"/>
    <col min="9923" max="9923" width="7.42578125" style="111" bestFit="1" customWidth="1"/>
    <col min="9924" max="9924" width="7.7109375" style="111" bestFit="1" customWidth="1"/>
    <col min="9925" max="9925" width="10.42578125" style="111" bestFit="1" customWidth="1"/>
    <col min="9926" max="9926" width="7.42578125" style="111" bestFit="1" customWidth="1"/>
    <col min="9927" max="9927" width="7.7109375" style="111" bestFit="1" customWidth="1"/>
    <col min="9928" max="9928" width="10.42578125" style="111" bestFit="1" customWidth="1"/>
    <col min="9929" max="9929" width="5.140625" style="111" customWidth="1"/>
    <col min="9930" max="10152" width="8.7109375" style="111"/>
    <col min="10153" max="10153" width="3.42578125" style="111" customWidth="1"/>
    <col min="10154" max="10154" width="7" style="111" customWidth="1"/>
    <col min="10155" max="10155" width="25.42578125" style="111" customWidth="1"/>
    <col min="10156" max="10156" width="12" style="111" customWidth="1"/>
    <col min="10157" max="10157" width="12.7109375" style="111" bestFit="1" customWidth="1"/>
    <col min="10158" max="10158" width="7.42578125" style="111" bestFit="1" customWidth="1"/>
    <col min="10159" max="10159" width="7.7109375" style="111" bestFit="1" customWidth="1"/>
    <col min="10160" max="10160" width="15" style="111" customWidth="1"/>
    <col min="10161" max="10161" width="7.42578125" style="111" bestFit="1" customWidth="1"/>
    <col min="10162" max="10162" width="7.7109375" style="111" bestFit="1" customWidth="1"/>
    <col min="10163" max="10163" width="15" style="111" bestFit="1" customWidth="1"/>
    <col min="10164" max="10164" width="7.42578125" style="111" bestFit="1" customWidth="1"/>
    <col min="10165" max="10165" width="7.7109375" style="111" bestFit="1" customWidth="1"/>
    <col min="10166" max="10166" width="9.42578125" style="111" bestFit="1" customWidth="1"/>
    <col min="10167" max="10167" width="8" style="111" bestFit="1" customWidth="1"/>
    <col min="10168" max="10168" width="7.7109375" style="111" bestFit="1" customWidth="1"/>
    <col min="10169" max="10169" width="10.42578125" style="111" bestFit="1" customWidth="1"/>
    <col min="10170" max="10170" width="8" style="111" bestFit="1" customWidth="1"/>
    <col min="10171" max="10171" width="7.7109375" style="111" bestFit="1" customWidth="1"/>
    <col min="10172" max="10172" width="10.42578125" style="111" bestFit="1" customWidth="1"/>
    <col min="10173" max="10173" width="7.42578125" style="111" bestFit="1" customWidth="1"/>
    <col min="10174" max="10174" width="7.7109375" style="111" bestFit="1" customWidth="1"/>
    <col min="10175" max="10175" width="10.42578125" style="111" bestFit="1" customWidth="1"/>
    <col min="10176" max="10176" width="8" style="111" bestFit="1" customWidth="1"/>
    <col min="10177" max="10177" width="7.7109375" style="111" bestFit="1" customWidth="1"/>
    <col min="10178" max="10178" width="10.42578125" style="111" bestFit="1" customWidth="1"/>
    <col min="10179" max="10179" width="7.42578125" style="111" bestFit="1" customWidth="1"/>
    <col min="10180" max="10180" width="7.7109375" style="111" bestFit="1" customWidth="1"/>
    <col min="10181" max="10181" width="10.42578125" style="111" bestFit="1" customWidth="1"/>
    <col min="10182" max="10182" width="7.42578125" style="111" bestFit="1" customWidth="1"/>
    <col min="10183" max="10183" width="7.7109375" style="111" bestFit="1" customWidth="1"/>
    <col min="10184" max="10184" width="10.42578125" style="111" bestFit="1" customWidth="1"/>
    <col min="10185" max="10185" width="5.140625" style="111" customWidth="1"/>
    <col min="10186" max="10408" width="8.7109375" style="111"/>
    <col min="10409" max="10409" width="3.42578125" style="111" customWidth="1"/>
    <col min="10410" max="10410" width="7" style="111" customWidth="1"/>
    <col min="10411" max="10411" width="25.42578125" style="111" customWidth="1"/>
    <col min="10412" max="10412" width="12" style="111" customWidth="1"/>
    <col min="10413" max="10413" width="12.7109375" style="111" bestFit="1" customWidth="1"/>
    <col min="10414" max="10414" width="7.42578125" style="111" bestFit="1" customWidth="1"/>
    <col min="10415" max="10415" width="7.7109375" style="111" bestFit="1" customWidth="1"/>
    <col min="10416" max="10416" width="15" style="111" customWidth="1"/>
    <col min="10417" max="10417" width="7.42578125" style="111" bestFit="1" customWidth="1"/>
    <col min="10418" max="10418" width="7.7109375" style="111" bestFit="1" customWidth="1"/>
    <col min="10419" max="10419" width="15" style="111" bestFit="1" customWidth="1"/>
    <col min="10420" max="10420" width="7.42578125" style="111" bestFit="1" customWidth="1"/>
    <col min="10421" max="10421" width="7.7109375" style="111" bestFit="1" customWidth="1"/>
    <col min="10422" max="10422" width="9.42578125" style="111" bestFit="1" customWidth="1"/>
    <col min="10423" max="10423" width="8" style="111" bestFit="1" customWidth="1"/>
    <col min="10424" max="10424" width="7.7109375" style="111" bestFit="1" customWidth="1"/>
    <col min="10425" max="10425" width="10.42578125" style="111" bestFit="1" customWidth="1"/>
    <col min="10426" max="10426" width="8" style="111" bestFit="1" customWidth="1"/>
    <col min="10427" max="10427" width="7.7109375" style="111" bestFit="1" customWidth="1"/>
    <col min="10428" max="10428" width="10.42578125" style="111" bestFit="1" customWidth="1"/>
    <col min="10429" max="10429" width="7.42578125" style="111" bestFit="1" customWidth="1"/>
    <col min="10430" max="10430" width="7.7109375" style="111" bestFit="1" customWidth="1"/>
    <col min="10431" max="10431" width="10.42578125" style="111" bestFit="1" customWidth="1"/>
    <col min="10432" max="10432" width="8" style="111" bestFit="1" customWidth="1"/>
    <col min="10433" max="10433" width="7.7109375" style="111" bestFit="1" customWidth="1"/>
    <col min="10434" max="10434" width="10.42578125" style="111" bestFit="1" customWidth="1"/>
    <col min="10435" max="10435" width="7.42578125" style="111" bestFit="1" customWidth="1"/>
    <col min="10436" max="10436" width="7.7109375" style="111" bestFit="1" customWidth="1"/>
    <col min="10437" max="10437" width="10.42578125" style="111" bestFit="1" customWidth="1"/>
    <col min="10438" max="10438" width="7.42578125" style="111" bestFit="1" customWidth="1"/>
    <col min="10439" max="10439" width="7.7109375" style="111" bestFit="1" customWidth="1"/>
    <col min="10440" max="10440" width="10.42578125" style="111" bestFit="1" customWidth="1"/>
    <col min="10441" max="10441" width="5.140625" style="111" customWidth="1"/>
    <col min="10442" max="10664" width="8.7109375" style="111"/>
    <col min="10665" max="10665" width="3.42578125" style="111" customWidth="1"/>
    <col min="10666" max="10666" width="7" style="111" customWidth="1"/>
    <col min="10667" max="10667" width="25.42578125" style="111" customWidth="1"/>
    <col min="10668" max="10668" width="12" style="111" customWidth="1"/>
    <col min="10669" max="10669" width="12.7109375" style="111" bestFit="1" customWidth="1"/>
    <col min="10670" max="10670" width="7.42578125" style="111" bestFit="1" customWidth="1"/>
    <col min="10671" max="10671" width="7.7109375" style="111" bestFit="1" customWidth="1"/>
    <col min="10672" max="10672" width="15" style="111" customWidth="1"/>
    <col min="10673" max="10673" width="7.42578125" style="111" bestFit="1" customWidth="1"/>
    <col min="10674" max="10674" width="7.7109375" style="111" bestFit="1" customWidth="1"/>
    <col min="10675" max="10675" width="15" style="111" bestFit="1" customWidth="1"/>
    <col min="10676" max="10676" width="7.42578125" style="111" bestFit="1" customWidth="1"/>
    <col min="10677" max="10677" width="7.7109375" style="111" bestFit="1" customWidth="1"/>
    <col min="10678" max="10678" width="9.42578125" style="111" bestFit="1" customWidth="1"/>
    <col min="10679" max="10679" width="8" style="111" bestFit="1" customWidth="1"/>
    <col min="10680" max="10680" width="7.7109375" style="111" bestFit="1" customWidth="1"/>
    <col min="10681" max="10681" width="10.42578125" style="111" bestFit="1" customWidth="1"/>
    <col min="10682" max="10682" width="8" style="111" bestFit="1" customWidth="1"/>
    <col min="10683" max="10683" width="7.7109375" style="111" bestFit="1" customWidth="1"/>
    <col min="10684" max="10684" width="10.42578125" style="111" bestFit="1" customWidth="1"/>
    <col min="10685" max="10685" width="7.42578125" style="111" bestFit="1" customWidth="1"/>
    <col min="10686" max="10686" width="7.7109375" style="111" bestFit="1" customWidth="1"/>
    <col min="10687" max="10687" width="10.42578125" style="111" bestFit="1" customWidth="1"/>
    <col min="10688" max="10688" width="8" style="111" bestFit="1" customWidth="1"/>
    <col min="10689" max="10689" width="7.7109375" style="111" bestFit="1" customWidth="1"/>
    <col min="10690" max="10690" width="10.42578125" style="111" bestFit="1" customWidth="1"/>
    <col min="10691" max="10691" width="7.42578125" style="111" bestFit="1" customWidth="1"/>
    <col min="10692" max="10692" width="7.7109375" style="111" bestFit="1" customWidth="1"/>
    <col min="10693" max="10693" width="10.42578125" style="111" bestFit="1" customWidth="1"/>
    <col min="10694" max="10694" width="7.42578125" style="111" bestFit="1" customWidth="1"/>
    <col min="10695" max="10695" width="7.7109375" style="111" bestFit="1" customWidth="1"/>
    <col min="10696" max="10696" width="10.42578125" style="111" bestFit="1" customWidth="1"/>
    <col min="10697" max="10697" width="5.140625" style="111" customWidth="1"/>
    <col min="10698" max="10920" width="8.7109375" style="111"/>
    <col min="10921" max="10921" width="3.42578125" style="111" customWidth="1"/>
    <col min="10922" max="10922" width="7" style="111" customWidth="1"/>
    <col min="10923" max="10923" width="25.42578125" style="111" customWidth="1"/>
    <col min="10924" max="10924" width="12" style="111" customWidth="1"/>
    <col min="10925" max="10925" width="12.7109375" style="111" bestFit="1" customWidth="1"/>
    <col min="10926" max="10926" width="7.42578125" style="111" bestFit="1" customWidth="1"/>
    <col min="10927" max="10927" width="7.7109375" style="111" bestFit="1" customWidth="1"/>
    <col min="10928" max="10928" width="15" style="111" customWidth="1"/>
    <col min="10929" max="10929" width="7.42578125" style="111" bestFit="1" customWidth="1"/>
    <col min="10930" max="10930" width="7.7109375" style="111" bestFit="1" customWidth="1"/>
    <col min="10931" max="10931" width="15" style="111" bestFit="1" customWidth="1"/>
    <col min="10932" max="10932" width="7.42578125" style="111" bestFit="1" customWidth="1"/>
    <col min="10933" max="10933" width="7.7109375" style="111" bestFit="1" customWidth="1"/>
    <col min="10934" max="10934" width="9.42578125" style="111" bestFit="1" customWidth="1"/>
    <col min="10935" max="10935" width="8" style="111" bestFit="1" customWidth="1"/>
    <col min="10936" max="10936" width="7.7109375" style="111" bestFit="1" customWidth="1"/>
    <col min="10937" max="10937" width="10.42578125" style="111" bestFit="1" customWidth="1"/>
    <col min="10938" max="10938" width="8" style="111" bestFit="1" customWidth="1"/>
    <col min="10939" max="10939" width="7.7109375" style="111" bestFit="1" customWidth="1"/>
    <col min="10940" max="10940" width="10.42578125" style="111" bestFit="1" customWidth="1"/>
    <col min="10941" max="10941" width="7.42578125" style="111" bestFit="1" customWidth="1"/>
    <col min="10942" max="10942" width="7.7109375" style="111" bestFit="1" customWidth="1"/>
    <col min="10943" max="10943" width="10.42578125" style="111" bestFit="1" customWidth="1"/>
    <col min="10944" max="10944" width="8" style="111" bestFit="1" customWidth="1"/>
    <col min="10945" max="10945" width="7.7109375" style="111" bestFit="1" customWidth="1"/>
    <col min="10946" max="10946" width="10.42578125" style="111" bestFit="1" customWidth="1"/>
    <col min="10947" max="10947" width="7.42578125" style="111" bestFit="1" customWidth="1"/>
    <col min="10948" max="10948" width="7.7109375" style="111" bestFit="1" customWidth="1"/>
    <col min="10949" max="10949" width="10.42578125" style="111" bestFit="1" customWidth="1"/>
    <col min="10950" max="10950" width="7.42578125" style="111" bestFit="1" customWidth="1"/>
    <col min="10951" max="10951" width="7.7109375" style="111" bestFit="1" customWidth="1"/>
    <col min="10952" max="10952" width="10.42578125" style="111" bestFit="1" customWidth="1"/>
    <col min="10953" max="10953" width="5.140625" style="111" customWidth="1"/>
    <col min="10954" max="11176" width="8.7109375" style="111"/>
    <col min="11177" max="11177" width="3.42578125" style="111" customWidth="1"/>
    <col min="11178" max="11178" width="7" style="111" customWidth="1"/>
    <col min="11179" max="11179" width="25.42578125" style="111" customWidth="1"/>
    <col min="11180" max="11180" width="12" style="111" customWidth="1"/>
    <col min="11181" max="11181" width="12.7109375" style="111" bestFit="1" customWidth="1"/>
    <col min="11182" max="11182" width="7.42578125" style="111" bestFit="1" customWidth="1"/>
    <col min="11183" max="11183" width="7.7109375" style="111" bestFit="1" customWidth="1"/>
    <col min="11184" max="11184" width="15" style="111" customWidth="1"/>
    <col min="11185" max="11185" width="7.42578125" style="111" bestFit="1" customWidth="1"/>
    <col min="11186" max="11186" width="7.7109375" style="111" bestFit="1" customWidth="1"/>
    <col min="11187" max="11187" width="15" style="111" bestFit="1" customWidth="1"/>
    <col min="11188" max="11188" width="7.42578125" style="111" bestFit="1" customWidth="1"/>
    <col min="11189" max="11189" width="7.7109375" style="111" bestFit="1" customWidth="1"/>
    <col min="11190" max="11190" width="9.42578125" style="111" bestFit="1" customWidth="1"/>
    <col min="11191" max="11191" width="8" style="111" bestFit="1" customWidth="1"/>
    <col min="11192" max="11192" width="7.7109375" style="111" bestFit="1" customWidth="1"/>
    <col min="11193" max="11193" width="10.42578125" style="111" bestFit="1" customWidth="1"/>
    <col min="11194" max="11194" width="8" style="111" bestFit="1" customWidth="1"/>
    <col min="11195" max="11195" width="7.7109375" style="111" bestFit="1" customWidth="1"/>
    <col min="11196" max="11196" width="10.42578125" style="111" bestFit="1" customWidth="1"/>
    <col min="11197" max="11197" width="7.42578125" style="111" bestFit="1" customWidth="1"/>
    <col min="11198" max="11198" width="7.7109375" style="111" bestFit="1" customWidth="1"/>
    <col min="11199" max="11199" width="10.42578125" style="111" bestFit="1" customWidth="1"/>
    <col min="11200" max="11200" width="8" style="111" bestFit="1" customWidth="1"/>
    <col min="11201" max="11201" width="7.7109375" style="111" bestFit="1" customWidth="1"/>
    <col min="11202" max="11202" width="10.42578125" style="111" bestFit="1" customWidth="1"/>
    <col min="11203" max="11203" width="7.42578125" style="111" bestFit="1" customWidth="1"/>
    <col min="11204" max="11204" width="7.7109375" style="111" bestFit="1" customWidth="1"/>
    <col min="11205" max="11205" width="10.42578125" style="111" bestFit="1" customWidth="1"/>
    <col min="11206" max="11206" width="7.42578125" style="111" bestFit="1" customWidth="1"/>
    <col min="11207" max="11207" width="7.7109375" style="111" bestFit="1" customWidth="1"/>
    <col min="11208" max="11208" width="10.42578125" style="111" bestFit="1" customWidth="1"/>
    <col min="11209" max="11209" width="5.140625" style="111" customWidth="1"/>
    <col min="11210" max="11432" width="8.7109375" style="111"/>
    <col min="11433" max="11433" width="3.42578125" style="111" customWidth="1"/>
    <col min="11434" max="11434" width="7" style="111" customWidth="1"/>
    <col min="11435" max="11435" width="25.42578125" style="111" customWidth="1"/>
    <col min="11436" max="11436" width="12" style="111" customWidth="1"/>
    <col min="11437" max="11437" width="12.7109375" style="111" bestFit="1" customWidth="1"/>
    <col min="11438" max="11438" width="7.42578125" style="111" bestFit="1" customWidth="1"/>
    <col min="11439" max="11439" width="7.7109375" style="111" bestFit="1" customWidth="1"/>
    <col min="11440" max="11440" width="15" style="111" customWidth="1"/>
    <col min="11441" max="11441" width="7.42578125" style="111" bestFit="1" customWidth="1"/>
    <col min="11442" max="11442" width="7.7109375" style="111" bestFit="1" customWidth="1"/>
    <col min="11443" max="11443" width="15" style="111" bestFit="1" customWidth="1"/>
    <col min="11444" max="11444" width="7.42578125" style="111" bestFit="1" customWidth="1"/>
    <col min="11445" max="11445" width="7.7109375" style="111" bestFit="1" customWidth="1"/>
    <col min="11446" max="11446" width="9.42578125" style="111" bestFit="1" customWidth="1"/>
    <col min="11447" max="11447" width="8" style="111" bestFit="1" customWidth="1"/>
    <col min="11448" max="11448" width="7.7109375" style="111" bestFit="1" customWidth="1"/>
    <col min="11449" max="11449" width="10.42578125" style="111" bestFit="1" customWidth="1"/>
    <col min="11450" max="11450" width="8" style="111" bestFit="1" customWidth="1"/>
    <col min="11451" max="11451" width="7.7109375" style="111" bestFit="1" customWidth="1"/>
    <col min="11452" max="11452" width="10.42578125" style="111" bestFit="1" customWidth="1"/>
    <col min="11453" max="11453" width="7.42578125" style="111" bestFit="1" customWidth="1"/>
    <col min="11454" max="11454" width="7.7109375" style="111" bestFit="1" customWidth="1"/>
    <col min="11455" max="11455" width="10.42578125" style="111" bestFit="1" customWidth="1"/>
    <col min="11456" max="11456" width="8" style="111" bestFit="1" customWidth="1"/>
    <col min="11457" max="11457" width="7.7109375" style="111" bestFit="1" customWidth="1"/>
    <col min="11458" max="11458" width="10.42578125" style="111" bestFit="1" customWidth="1"/>
    <col min="11459" max="11459" width="7.42578125" style="111" bestFit="1" customWidth="1"/>
    <col min="11460" max="11460" width="7.7109375" style="111" bestFit="1" customWidth="1"/>
    <col min="11461" max="11461" width="10.42578125" style="111" bestFit="1" customWidth="1"/>
    <col min="11462" max="11462" width="7.42578125" style="111" bestFit="1" customWidth="1"/>
    <col min="11463" max="11463" width="7.7109375" style="111" bestFit="1" customWidth="1"/>
    <col min="11464" max="11464" width="10.42578125" style="111" bestFit="1" customWidth="1"/>
    <col min="11465" max="11465" width="5.140625" style="111" customWidth="1"/>
    <col min="11466" max="11688" width="8.7109375" style="111"/>
    <col min="11689" max="11689" width="3.42578125" style="111" customWidth="1"/>
    <col min="11690" max="11690" width="7" style="111" customWidth="1"/>
    <col min="11691" max="11691" width="25.42578125" style="111" customWidth="1"/>
    <col min="11692" max="11692" width="12" style="111" customWidth="1"/>
    <col min="11693" max="11693" width="12.7109375" style="111" bestFit="1" customWidth="1"/>
    <col min="11694" max="11694" width="7.42578125" style="111" bestFit="1" customWidth="1"/>
    <col min="11695" max="11695" width="7.7109375" style="111" bestFit="1" customWidth="1"/>
    <col min="11696" max="11696" width="15" style="111" customWidth="1"/>
    <col min="11697" max="11697" width="7.42578125" style="111" bestFit="1" customWidth="1"/>
    <col min="11698" max="11698" width="7.7109375" style="111" bestFit="1" customWidth="1"/>
    <col min="11699" max="11699" width="15" style="111" bestFit="1" customWidth="1"/>
    <col min="11700" max="11700" width="7.42578125" style="111" bestFit="1" customWidth="1"/>
    <col min="11701" max="11701" width="7.7109375" style="111" bestFit="1" customWidth="1"/>
    <col min="11702" max="11702" width="9.42578125" style="111" bestFit="1" customWidth="1"/>
    <col min="11703" max="11703" width="8" style="111" bestFit="1" customWidth="1"/>
    <col min="11704" max="11704" width="7.7109375" style="111" bestFit="1" customWidth="1"/>
    <col min="11705" max="11705" width="10.42578125" style="111" bestFit="1" customWidth="1"/>
    <col min="11706" max="11706" width="8" style="111" bestFit="1" customWidth="1"/>
    <col min="11707" max="11707" width="7.7109375" style="111" bestFit="1" customWidth="1"/>
    <col min="11708" max="11708" width="10.42578125" style="111" bestFit="1" customWidth="1"/>
    <col min="11709" max="11709" width="7.42578125" style="111" bestFit="1" customWidth="1"/>
    <col min="11710" max="11710" width="7.7109375" style="111" bestFit="1" customWidth="1"/>
    <col min="11711" max="11711" width="10.42578125" style="111" bestFit="1" customWidth="1"/>
    <col min="11712" max="11712" width="8" style="111" bestFit="1" customWidth="1"/>
    <col min="11713" max="11713" width="7.7109375" style="111" bestFit="1" customWidth="1"/>
    <col min="11714" max="11714" width="10.42578125" style="111" bestFit="1" customWidth="1"/>
    <col min="11715" max="11715" width="7.42578125" style="111" bestFit="1" customWidth="1"/>
    <col min="11716" max="11716" width="7.7109375" style="111" bestFit="1" customWidth="1"/>
    <col min="11717" max="11717" width="10.42578125" style="111" bestFit="1" customWidth="1"/>
    <col min="11718" max="11718" width="7.42578125" style="111" bestFit="1" customWidth="1"/>
    <col min="11719" max="11719" width="7.7109375" style="111" bestFit="1" customWidth="1"/>
    <col min="11720" max="11720" width="10.42578125" style="111" bestFit="1" customWidth="1"/>
    <col min="11721" max="11721" width="5.140625" style="111" customWidth="1"/>
    <col min="11722" max="11944" width="8.7109375" style="111"/>
    <col min="11945" max="11945" width="3.42578125" style="111" customWidth="1"/>
    <col min="11946" max="11946" width="7" style="111" customWidth="1"/>
    <col min="11947" max="11947" width="25.42578125" style="111" customWidth="1"/>
    <col min="11948" max="11948" width="12" style="111" customWidth="1"/>
    <col min="11949" max="11949" width="12.7109375" style="111" bestFit="1" customWidth="1"/>
    <col min="11950" max="11950" width="7.42578125" style="111" bestFit="1" customWidth="1"/>
    <col min="11951" max="11951" width="7.7109375" style="111" bestFit="1" customWidth="1"/>
    <col min="11952" max="11952" width="15" style="111" customWidth="1"/>
    <col min="11953" max="11953" width="7.42578125" style="111" bestFit="1" customWidth="1"/>
    <col min="11954" max="11954" width="7.7109375" style="111" bestFit="1" customWidth="1"/>
    <col min="11955" max="11955" width="15" style="111" bestFit="1" customWidth="1"/>
    <col min="11956" max="11956" width="7.42578125" style="111" bestFit="1" customWidth="1"/>
    <col min="11957" max="11957" width="7.7109375" style="111" bestFit="1" customWidth="1"/>
    <col min="11958" max="11958" width="9.42578125" style="111" bestFit="1" customWidth="1"/>
    <col min="11959" max="11959" width="8" style="111" bestFit="1" customWidth="1"/>
    <col min="11960" max="11960" width="7.7109375" style="111" bestFit="1" customWidth="1"/>
    <col min="11961" max="11961" width="10.42578125" style="111" bestFit="1" customWidth="1"/>
    <col min="11962" max="11962" width="8" style="111" bestFit="1" customWidth="1"/>
    <col min="11963" max="11963" width="7.7109375" style="111" bestFit="1" customWidth="1"/>
    <col min="11964" max="11964" width="10.42578125" style="111" bestFit="1" customWidth="1"/>
    <col min="11965" max="11965" width="7.42578125" style="111" bestFit="1" customWidth="1"/>
    <col min="11966" max="11966" width="7.7109375" style="111" bestFit="1" customWidth="1"/>
    <col min="11967" max="11967" width="10.42578125" style="111" bestFit="1" customWidth="1"/>
    <col min="11968" max="11968" width="8" style="111" bestFit="1" customWidth="1"/>
    <col min="11969" max="11969" width="7.7109375" style="111" bestFit="1" customWidth="1"/>
    <col min="11970" max="11970" width="10.42578125" style="111" bestFit="1" customWidth="1"/>
    <col min="11971" max="11971" width="7.42578125" style="111" bestFit="1" customWidth="1"/>
    <col min="11972" max="11972" width="7.7109375" style="111" bestFit="1" customWidth="1"/>
    <col min="11973" max="11973" width="10.42578125" style="111" bestFit="1" customWidth="1"/>
    <col min="11974" max="11974" width="7.42578125" style="111" bestFit="1" customWidth="1"/>
    <col min="11975" max="11975" width="7.7109375" style="111" bestFit="1" customWidth="1"/>
    <col min="11976" max="11976" width="10.42578125" style="111" bestFit="1" customWidth="1"/>
    <col min="11977" max="11977" width="5.140625" style="111" customWidth="1"/>
    <col min="11978" max="12200" width="8.7109375" style="111"/>
    <col min="12201" max="12201" width="3.42578125" style="111" customWidth="1"/>
    <col min="12202" max="12202" width="7" style="111" customWidth="1"/>
    <col min="12203" max="12203" width="25.42578125" style="111" customWidth="1"/>
    <col min="12204" max="12204" width="12" style="111" customWidth="1"/>
    <col min="12205" max="12205" width="12.7109375" style="111" bestFit="1" customWidth="1"/>
    <col min="12206" max="12206" width="7.42578125" style="111" bestFit="1" customWidth="1"/>
    <col min="12207" max="12207" width="7.7109375" style="111" bestFit="1" customWidth="1"/>
    <col min="12208" max="12208" width="15" style="111" customWidth="1"/>
    <col min="12209" max="12209" width="7.42578125" style="111" bestFit="1" customWidth="1"/>
    <col min="12210" max="12210" width="7.7109375" style="111" bestFit="1" customWidth="1"/>
    <col min="12211" max="12211" width="15" style="111" bestFit="1" customWidth="1"/>
    <col min="12212" max="12212" width="7.42578125" style="111" bestFit="1" customWidth="1"/>
    <col min="12213" max="12213" width="7.7109375" style="111" bestFit="1" customWidth="1"/>
    <col min="12214" max="12214" width="9.42578125" style="111" bestFit="1" customWidth="1"/>
    <col min="12215" max="12215" width="8" style="111" bestFit="1" customWidth="1"/>
    <col min="12216" max="12216" width="7.7109375" style="111" bestFit="1" customWidth="1"/>
    <col min="12217" max="12217" width="10.42578125" style="111" bestFit="1" customWidth="1"/>
    <col min="12218" max="12218" width="8" style="111" bestFit="1" customWidth="1"/>
    <col min="12219" max="12219" width="7.7109375" style="111" bestFit="1" customWidth="1"/>
    <col min="12220" max="12220" width="10.42578125" style="111" bestFit="1" customWidth="1"/>
    <col min="12221" max="12221" width="7.42578125" style="111" bestFit="1" customWidth="1"/>
    <col min="12222" max="12222" width="7.7109375" style="111" bestFit="1" customWidth="1"/>
    <col min="12223" max="12223" width="10.42578125" style="111" bestFit="1" customWidth="1"/>
    <col min="12224" max="12224" width="8" style="111" bestFit="1" customWidth="1"/>
    <col min="12225" max="12225" width="7.7109375" style="111" bestFit="1" customWidth="1"/>
    <col min="12226" max="12226" width="10.42578125" style="111" bestFit="1" customWidth="1"/>
    <col min="12227" max="12227" width="7.42578125" style="111" bestFit="1" customWidth="1"/>
    <col min="12228" max="12228" width="7.7109375" style="111" bestFit="1" customWidth="1"/>
    <col min="12229" max="12229" width="10.42578125" style="111" bestFit="1" customWidth="1"/>
    <col min="12230" max="12230" width="7.42578125" style="111" bestFit="1" customWidth="1"/>
    <col min="12231" max="12231" width="7.7109375" style="111" bestFit="1" customWidth="1"/>
    <col min="12232" max="12232" width="10.42578125" style="111" bestFit="1" customWidth="1"/>
    <col min="12233" max="12233" width="5.140625" style="111" customWidth="1"/>
    <col min="12234" max="12456" width="8.7109375" style="111"/>
    <col min="12457" max="12457" width="3.42578125" style="111" customWidth="1"/>
    <col min="12458" max="12458" width="7" style="111" customWidth="1"/>
    <col min="12459" max="12459" width="25.42578125" style="111" customWidth="1"/>
    <col min="12460" max="12460" width="12" style="111" customWidth="1"/>
    <col min="12461" max="12461" width="12.7109375" style="111" bestFit="1" customWidth="1"/>
    <col min="12462" max="12462" width="7.42578125" style="111" bestFit="1" customWidth="1"/>
    <col min="12463" max="12463" width="7.7109375" style="111" bestFit="1" customWidth="1"/>
    <col min="12464" max="12464" width="15" style="111" customWidth="1"/>
    <col min="12465" max="12465" width="7.42578125" style="111" bestFit="1" customWidth="1"/>
    <col min="12466" max="12466" width="7.7109375" style="111" bestFit="1" customWidth="1"/>
    <col min="12467" max="12467" width="15" style="111" bestFit="1" customWidth="1"/>
    <col min="12468" max="12468" width="7.42578125" style="111" bestFit="1" customWidth="1"/>
    <col min="12469" max="12469" width="7.7109375" style="111" bestFit="1" customWidth="1"/>
    <col min="12470" max="12470" width="9.42578125" style="111" bestFit="1" customWidth="1"/>
    <col min="12471" max="12471" width="8" style="111" bestFit="1" customWidth="1"/>
    <col min="12472" max="12472" width="7.7109375" style="111" bestFit="1" customWidth="1"/>
    <col min="12473" max="12473" width="10.42578125" style="111" bestFit="1" customWidth="1"/>
    <col min="12474" max="12474" width="8" style="111" bestFit="1" customWidth="1"/>
    <col min="12475" max="12475" width="7.7109375" style="111" bestFit="1" customWidth="1"/>
    <col min="12476" max="12476" width="10.42578125" style="111" bestFit="1" customWidth="1"/>
    <col min="12477" max="12477" width="7.42578125" style="111" bestFit="1" customWidth="1"/>
    <col min="12478" max="12478" width="7.7109375" style="111" bestFit="1" customWidth="1"/>
    <col min="12479" max="12479" width="10.42578125" style="111" bestFit="1" customWidth="1"/>
    <col min="12480" max="12480" width="8" style="111" bestFit="1" customWidth="1"/>
    <col min="12481" max="12481" width="7.7109375" style="111" bestFit="1" customWidth="1"/>
    <col min="12482" max="12482" width="10.42578125" style="111" bestFit="1" customWidth="1"/>
    <col min="12483" max="12483" width="7.42578125" style="111" bestFit="1" customWidth="1"/>
    <col min="12484" max="12484" width="7.7109375" style="111" bestFit="1" customWidth="1"/>
    <col min="12485" max="12485" width="10.42578125" style="111" bestFit="1" customWidth="1"/>
    <col min="12486" max="12486" width="7.42578125" style="111" bestFit="1" customWidth="1"/>
    <col min="12487" max="12487" width="7.7109375" style="111" bestFit="1" customWidth="1"/>
    <col min="12488" max="12488" width="10.42578125" style="111" bestFit="1" customWidth="1"/>
    <col min="12489" max="12489" width="5.140625" style="111" customWidth="1"/>
    <col min="12490" max="12712" width="8.7109375" style="111"/>
    <col min="12713" max="12713" width="3.42578125" style="111" customWidth="1"/>
    <col min="12714" max="12714" width="7" style="111" customWidth="1"/>
    <col min="12715" max="12715" width="25.42578125" style="111" customWidth="1"/>
    <col min="12716" max="12716" width="12" style="111" customWidth="1"/>
    <col min="12717" max="12717" width="12.7109375" style="111" bestFit="1" customWidth="1"/>
    <col min="12718" max="12718" width="7.42578125" style="111" bestFit="1" customWidth="1"/>
    <col min="12719" max="12719" width="7.7109375" style="111" bestFit="1" customWidth="1"/>
    <col min="12720" max="12720" width="15" style="111" customWidth="1"/>
    <col min="12721" max="12721" width="7.42578125" style="111" bestFit="1" customWidth="1"/>
    <col min="12722" max="12722" width="7.7109375" style="111" bestFit="1" customWidth="1"/>
    <col min="12723" max="12723" width="15" style="111" bestFit="1" customWidth="1"/>
    <col min="12724" max="12724" width="7.42578125" style="111" bestFit="1" customWidth="1"/>
    <col min="12725" max="12725" width="7.7109375" style="111" bestFit="1" customWidth="1"/>
    <col min="12726" max="12726" width="9.42578125" style="111" bestFit="1" customWidth="1"/>
    <col min="12727" max="12727" width="8" style="111" bestFit="1" customWidth="1"/>
    <col min="12728" max="12728" width="7.7109375" style="111" bestFit="1" customWidth="1"/>
    <col min="12729" max="12729" width="10.42578125" style="111" bestFit="1" customWidth="1"/>
    <col min="12730" max="12730" width="8" style="111" bestFit="1" customWidth="1"/>
    <col min="12731" max="12731" width="7.7109375" style="111" bestFit="1" customWidth="1"/>
    <col min="12732" max="12732" width="10.42578125" style="111" bestFit="1" customWidth="1"/>
    <col min="12733" max="12733" width="7.42578125" style="111" bestFit="1" customWidth="1"/>
    <col min="12734" max="12734" width="7.7109375" style="111" bestFit="1" customWidth="1"/>
    <col min="12735" max="12735" width="10.42578125" style="111" bestFit="1" customWidth="1"/>
    <col min="12736" max="12736" width="8" style="111" bestFit="1" customWidth="1"/>
    <col min="12737" max="12737" width="7.7109375" style="111" bestFit="1" customWidth="1"/>
    <col min="12738" max="12738" width="10.42578125" style="111" bestFit="1" customWidth="1"/>
    <col min="12739" max="12739" width="7.42578125" style="111" bestFit="1" customWidth="1"/>
    <col min="12740" max="12740" width="7.7109375" style="111" bestFit="1" customWidth="1"/>
    <col min="12741" max="12741" width="10.42578125" style="111" bestFit="1" customWidth="1"/>
    <col min="12742" max="12742" width="7.42578125" style="111" bestFit="1" customWidth="1"/>
    <col min="12743" max="12743" width="7.7109375" style="111" bestFit="1" customWidth="1"/>
    <col min="12744" max="12744" width="10.42578125" style="111" bestFit="1" customWidth="1"/>
    <col min="12745" max="12745" width="5.140625" style="111" customWidth="1"/>
    <col min="12746" max="12968" width="8.7109375" style="111"/>
    <col min="12969" max="12969" width="3.42578125" style="111" customWidth="1"/>
    <col min="12970" max="12970" width="7" style="111" customWidth="1"/>
    <col min="12971" max="12971" width="25.42578125" style="111" customWidth="1"/>
    <col min="12972" max="12972" width="12" style="111" customWidth="1"/>
    <col min="12973" max="12973" width="12.7109375" style="111" bestFit="1" customWidth="1"/>
    <col min="12974" max="12974" width="7.42578125" style="111" bestFit="1" customWidth="1"/>
    <col min="12975" max="12975" width="7.7109375" style="111" bestFit="1" customWidth="1"/>
    <col min="12976" max="12976" width="15" style="111" customWidth="1"/>
    <col min="12977" max="12977" width="7.42578125" style="111" bestFit="1" customWidth="1"/>
    <col min="12978" max="12978" width="7.7109375" style="111" bestFit="1" customWidth="1"/>
    <col min="12979" max="12979" width="15" style="111" bestFit="1" customWidth="1"/>
    <col min="12980" max="12980" width="7.42578125" style="111" bestFit="1" customWidth="1"/>
    <col min="12981" max="12981" width="7.7109375" style="111" bestFit="1" customWidth="1"/>
    <col min="12982" max="12982" width="9.42578125" style="111" bestFit="1" customWidth="1"/>
    <col min="12983" max="12983" width="8" style="111" bestFit="1" customWidth="1"/>
    <col min="12984" max="12984" width="7.7109375" style="111" bestFit="1" customWidth="1"/>
    <col min="12985" max="12985" width="10.42578125" style="111" bestFit="1" customWidth="1"/>
    <col min="12986" max="12986" width="8" style="111" bestFit="1" customWidth="1"/>
    <col min="12987" max="12987" width="7.7109375" style="111" bestFit="1" customWidth="1"/>
    <col min="12988" max="12988" width="10.42578125" style="111" bestFit="1" customWidth="1"/>
    <col min="12989" max="12989" width="7.42578125" style="111" bestFit="1" customWidth="1"/>
    <col min="12990" max="12990" width="7.7109375" style="111" bestFit="1" customWidth="1"/>
    <col min="12991" max="12991" width="10.42578125" style="111" bestFit="1" customWidth="1"/>
    <col min="12992" max="12992" width="8" style="111" bestFit="1" customWidth="1"/>
    <col min="12993" max="12993" width="7.7109375" style="111" bestFit="1" customWidth="1"/>
    <col min="12994" max="12994" width="10.42578125" style="111" bestFit="1" customWidth="1"/>
    <col min="12995" max="12995" width="7.42578125" style="111" bestFit="1" customWidth="1"/>
    <col min="12996" max="12996" width="7.7109375" style="111" bestFit="1" customWidth="1"/>
    <col min="12997" max="12997" width="10.42578125" style="111" bestFit="1" customWidth="1"/>
    <col min="12998" max="12998" width="7.42578125" style="111" bestFit="1" customWidth="1"/>
    <col min="12999" max="12999" width="7.7109375" style="111" bestFit="1" customWidth="1"/>
    <col min="13000" max="13000" width="10.42578125" style="111" bestFit="1" customWidth="1"/>
    <col min="13001" max="13001" width="5.140625" style="111" customWidth="1"/>
    <col min="13002" max="13224" width="8.7109375" style="111"/>
    <col min="13225" max="13225" width="3.42578125" style="111" customWidth="1"/>
    <col min="13226" max="13226" width="7" style="111" customWidth="1"/>
    <col min="13227" max="13227" width="25.42578125" style="111" customWidth="1"/>
    <col min="13228" max="13228" width="12" style="111" customWidth="1"/>
    <col min="13229" max="13229" width="12.7109375" style="111" bestFit="1" customWidth="1"/>
    <col min="13230" max="13230" width="7.42578125" style="111" bestFit="1" customWidth="1"/>
    <col min="13231" max="13231" width="7.7109375" style="111" bestFit="1" customWidth="1"/>
    <col min="13232" max="13232" width="15" style="111" customWidth="1"/>
    <col min="13233" max="13233" width="7.42578125" style="111" bestFit="1" customWidth="1"/>
    <col min="13234" max="13234" width="7.7109375" style="111" bestFit="1" customWidth="1"/>
    <col min="13235" max="13235" width="15" style="111" bestFit="1" customWidth="1"/>
    <col min="13236" max="13236" width="7.42578125" style="111" bestFit="1" customWidth="1"/>
    <col min="13237" max="13237" width="7.7109375" style="111" bestFit="1" customWidth="1"/>
    <col min="13238" max="13238" width="9.42578125" style="111" bestFit="1" customWidth="1"/>
    <col min="13239" max="13239" width="8" style="111" bestFit="1" customWidth="1"/>
    <col min="13240" max="13240" width="7.7109375" style="111" bestFit="1" customWidth="1"/>
    <col min="13241" max="13241" width="10.42578125" style="111" bestFit="1" customWidth="1"/>
    <col min="13242" max="13242" width="8" style="111" bestFit="1" customWidth="1"/>
    <col min="13243" max="13243" width="7.7109375" style="111" bestFit="1" customWidth="1"/>
    <col min="13244" max="13244" width="10.42578125" style="111" bestFit="1" customWidth="1"/>
    <col min="13245" max="13245" width="7.42578125" style="111" bestFit="1" customWidth="1"/>
    <col min="13246" max="13246" width="7.7109375" style="111" bestFit="1" customWidth="1"/>
    <col min="13247" max="13247" width="10.42578125" style="111" bestFit="1" customWidth="1"/>
    <col min="13248" max="13248" width="8" style="111" bestFit="1" customWidth="1"/>
    <col min="13249" max="13249" width="7.7109375" style="111" bestFit="1" customWidth="1"/>
    <col min="13250" max="13250" width="10.42578125" style="111" bestFit="1" customWidth="1"/>
    <col min="13251" max="13251" width="7.42578125" style="111" bestFit="1" customWidth="1"/>
    <col min="13252" max="13252" width="7.7109375" style="111" bestFit="1" customWidth="1"/>
    <col min="13253" max="13253" width="10.42578125" style="111" bestFit="1" customWidth="1"/>
    <col min="13254" max="13254" width="7.42578125" style="111" bestFit="1" customWidth="1"/>
    <col min="13255" max="13255" width="7.7109375" style="111" bestFit="1" customWidth="1"/>
    <col min="13256" max="13256" width="10.42578125" style="111" bestFit="1" customWidth="1"/>
    <col min="13257" max="13257" width="5.140625" style="111" customWidth="1"/>
    <col min="13258" max="13480" width="8.7109375" style="111"/>
    <col min="13481" max="13481" width="3.42578125" style="111" customWidth="1"/>
    <col min="13482" max="13482" width="7" style="111" customWidth="1"/>
    <col min="13483" max="13483" width="25.42578125" style="111" customWidth="1"/>
    <col min="13484" max="13484" width="12" style="111" customWidth="1"/>
    <col min="13485" max="13485" width="12.7109375" style="111" bestFit="1" customWidth="1"/>
    <col min="13486" max="13486" width="7.42578125" style="111" bestFit="1" customWidth="1"/>
    <col min="13487" max="13487" width="7.7109375" style="111" bestFit="1" customWidth="1"/>
    <col min="13488" max="13488" width="15" style="111" customWidth="1"/>
    <col min="13489" max="13489" width="7.42578125" style="111" bestFit="1" customWidth="1"/>
    <col min="13490" max="13490" width="7.7109375" style="111" bestFit="1" customWidth="1"/>
    <col min="13491" max="13491" width="15" style="111" bestFit="1" customWidth="1"/>
    <col min="13492" max="13492" width="7.42578125" style="111" bestFit="1" customWidth="1"/>
    <col min="13493" max="13493" width="7.7109375" style="111" bestFit="1" customWidth="1"/>
    <col min="13494" max="13494" width="9.42578125" style="111" bestFit="1" customWidth="1"/>
    <col min="13495" max="13495" width="8" style="111" bestFit="1" customWidth="1"/>
    <col min="13496" max="13496" width="7.7109375" style="111" bestFit="1" customWidth="1"/>
    <col min="13497" max="13497" width="10.42578125" style="111" bestFit="1" customWidth="1"/>
    <col min="13498" max="13498" width="8" style="111" bestFit="1" customWidth="1"/>
    <col min="13499" max="13499" width="7.7109375" style="111" bestFit="1" customWidth="1"/>
    <col min="13500" max="13500" width="10.42578125" style="111" bestFit="1" customWidth="1"/>
    <col min="13501" max="13501" width="7.42578125" style="111" bestFit="1" customWidth="1"/>
    <col min="13502" max="13502" width="7.7109375" style="111" bestFit="1" customWidth="1"/>
    <col min="13503" max="13503" width="10.42578125" style="111" bestFit="1" customWidth="1"/>
    <col min="13504" max="13504" width="8" style="111" bestFit="1" customWidth="1"/>
    <col min="13505" max="13505" width="7.7109375" style="111" bestFit="1" customWidth="1"/>
    <col min="13506" max="13506" width="10.42578125" style="111" bestFit="1" customWidth="1"/>
    <col min="13507" max="13507" width="7.42578125" style="111" bestFit="1" customWidth="1"/>
    <col min="13508" max="13508" width="7.7109375" style="111" bestFit="1" customWidth="1"/>
    <col min="13509" max="13509" width="10.42578125" style="111" bestFit="1" customWidth="1"/>
    <col min="13510" max="13510" width="7.42578125" style="111" bestFit="1" customWidth="1"/>
    <col min="13511" max="13511" width="7.7109375" style="111" bestFit="1" customWidth="1"/>
    <col min="13512" max="13512" width="10.42578125" style="111" bestFit="1" customWidth="1"/>
    <col min="13513" max="13513" width="5.140625" style="111" customWidth="1"/>
    <col min="13514" max="13736" width="8.7109375" style="111"/>
    <col min="13737" max="13737" width="3.42578125" style="111" customWidth="1"/>
    <col min="13738" max="13738" width="7" style="111" customWidth="1"/>
    <col min="13739" max="13739" width="25.42578125" style="111" customWidth="1"/>
    <col min="13740" max="13740" width="12" style="111" customWidth="1"/>
    <col min="13741" max="13741" width="12.7109375" style="111" bestFit="1" customWidth="1"/>
    <col min="13742" max="13742" width="7.42578125" style="111" bestFit="1" customWidth="1"/>
    <col min="13743" max="13743" width="7.7109375" style="111" bestFit="1" customWidth="1"/>
    <col min="13744" max="13744" width="15" style="111" customWidth="1"/>
    <col min="13745" max="13745" width="7.42578125" style="111" bestFit="1" customWidth="1"/>
    <col min="13746" max="13746" width="7.7109375" style="111" bestFit="1" customWidth="1"/>
    <col min="13747" max="13747" width="15" style="111" bestFit="1" customWidth="1"/>
    <col min="13748" max="13748" width="7.42578125" style="111" bestFit="1" customWidth="1"/>
    <col min="13749" max="13749" width="7.7109375" style="111" bestFit="1" customWidth="1"/>
    <col min="13750" max="13750" width="9.42578125" style="111" bestFit="1" customWidth="1"/>
    <col min="13751" max="13751" width="8" style="111" bestFit="1" customWidth="1"/>
    <col min="13752" max="13752" width="7.7109375" style="111" bestFit="1" customWidth="1"/>
    <col min="13753" max="13753" width="10.42578125" style="111" bestFit="1" customWidth="1"/>
    <col min="13754" max="13754" width="8" style="111" bestFit="1" customWidth="1"/>
    <col min="13755" max="13755" width="7.7109375" style="111" bestFit="1" customWidth="1"/>
    <col min="13756" max="13756" width="10.42578125" style="111" bestFit="1" customWidth="1"/>
    <col min="13757" max="13757" width="7.42578125" style="111" bestFit="1" customWidth="1"/>
    <col min="13758" max="13758" width="7.7109375" style="111" bestFit="1" customWidth="1"/>
    <col min="13759" max="13759" width="10.42578125" style="111" bestFit="1" customWidth="1"/>
    <col min="13760" max="13760" width="8" style="111" bestFit="1" customWidth="1"/>
    <col min="13761" max="13761" width="7.7109375" style="111" bestFit="1" customWidth="1"/>
    <col min="13762" max="13762" width="10.42578125" style="111" bestFit="1" customWidth="1"/>
    <col min="13763" max="13763" width="7.42578125" style="111" bestFit="1" customWidth="1"/>
    <col min="13764" max="13764" width="7.7109375" style="111" bestFit="1" customWidth="1"/>
    <col min="13765" max="13765" width="10.42578125" style="111" bestFit="1" customWidth="1"/>
    <col min="13766" max="13766" width="7.42578125" style="111" bestFit="1" customWidth="1"/>
    <col min="13767" max="13767" width="7.7109375" style="111" bestFit="1" customWidth="1"/>
    <col min="13768" max="13768" width="10.42578125" style="111" bestFit="1" customWidth="1"/>
    <col min="13769" max="13769" width="5.140625" style="111" customWidth="1"/>
    <col min="13770" max="13992" width="8.7109375" style="111"/>
    <col min="13993" max="13993" width="3.42578125" style="111" customWidth="1"/>
    <col min="13994" max="13994" width="7" style="111" customWidth="1"/>
    <col min="13995" max="13995" width="25.42578125" style="111" customWidth="1"/>
    <col min="13996" max="13996" width="12" style="111" customWidth="1"/>
    <col min="13997" max="13997" width="12.7109375" style="111" bestFit="1" customWidth="1"/>
    <col min="13998" max="13998" width="7.42578125" style="111" bestFit="1" customWidth="1"/>
    <col min="13999" max="13999" width="7.7109375" style="111" bestFit="1" customWidth="1"/>
    <col min="14000" max="14000" width="15" style="111" customWidth="1"/>
    <col min="14001" max="14001" width="7.42578125" style="111" bestFit="1" customWidth="1"/>
    <col min="14002" max="14002" width="7.7109375" style="111" bestFit="1" customWidth="1"/>
    <col min="14003" max="14003" width="15" style="111" bestFit="1" customWidth="1"/>
    <col min="14004" max="14004" width="7.42578125" style="111" bestFit="1" customWidth="1"/>
    <col min="14005" max="14005" width="7.7109375" style="111" bestFit="1" customWidth="1"/>
    <col min="14006" max="14006" width="9.42578125" style="111" bestFit="1" customWidth="1"/>
    <col min="14007" max="14007" width="8" style="111" bestFit="1" customWidth="1"/>
    <col min="14008" max="14008" width="7.7109375" style="111" bestFit="1" customWidth="1"/>
    <col min="14009" max="14009" width="10.42578125" style="111" bestFit="1" customWidth="1"/>
    <col min="14010" max="14010" width="8" style="111" bestFit="1" customWidth="1"/>
    <col min="14011" max="14011" width="7.7109375" style="111" bestFit="1" customWidth="1"/>
    <col min="14012" max="14012" width="10.42578125" style="111" bestFit="1" customWidth="1"/>
    <col min="14013" max="14013" width="7.42578125" style="111" bestFit="1" customWidth="1"/>
    <col min="14014" max="14014" width="7.7109375" style="111" bestFit="1" customWidth="1"/>
    <col min="14015" max="14015" width="10.42578125" style="111" bestFit="1" customWidth="1"/>
    <col min="14016" max="14016" width="8" style="111" bestFit="1" customWidth="1"/>
    <col min="14017" max="14017" width="7.7109375" style="111" bestFit="1" customWidth="1"/>
    <col min="14018" max="14018" width="10.42578125" style="111" bestFit="1" customWidth="1"/>
    <col min="14019" max="14019" width="7.42578125" style="111" bestFit="1" customWidth="1"/>
    <col min="14020" max="14020" width="7.7109375" style="111" bestFit="1" customWidth="1"/>
    <col min="14021" max="14021" width="10.42578125" style="111" bestFit="1" customWidth="1"/>
    <col min="14022" max="14022" width="7.42578125" style="111" bestFit="1" customWidth="1"/>
    <col min="14023" max="14023" width="7.7109375" style="111" bestFit="1" customWidth="1"/>
    <col min="14024" max="14024" width="10.42578125" style="111" bestFit="1" customWidth="1"/>
    <col min="14025" max="14025" width="5.140625" style="111" customWidth="1"/>
    <col min="14026" max="14248" width="8.7109375" style="111"/>
    <col min="14249" max="14249" width="3.42578125" style="111" customWidth="1"/>
    <col min="14250" max="14250" width="7" style="111" customWidth="1"/>
    <col min="14251" max="14251" width="25.42578125" style="111" customWidth="1"/>
    <col min="14252" max="14252" width="12" style="111" customWidth="1"/>
    <col min="14253" max="14253" width="12.7109375" style="111" bestFit="1" customWidth="1"/>
    <col min="14254" max="14254" width="7.42578125" style="111" bestFit="1" customWidth="1"/>
    <col min="14255" max="14255" width="7.7109375" style="111" bestFit="1" customWidth="1"/>
    <col min="14256" max="14256" width="15" style="111" customWidth="1"/>
    <col min="14257" max="14257" width="7.42578125" style="111" bestFit="1" customWidth="1"/>
    <col min="14258" max="14258" width="7.7109375" style="111" bestFit="1" customWidth="1"/>
    <col min="14259" max="14259" width="15" style="111" bestFit="1" customWidth="1"/>
    <col min="14260" max="14260" width="7.42578125" style="111" bestFit="1" customWidth="1"/>
    <col min="14261" max="14261" width="7.7109375" style="111" bestFit="1" customWidth="1"/>
    <col min="14262" max="14262" width="9.42578125" style="111" bestFit="1" customWidth="1"/>
    <col min="14263" max="14263" width="8" style="111" bestFit="1" customWidth="1"/>
    <col min="14264" max="14264" width="7.7109375" style="111" bestFit="1" customWidth="1"/>
    <col min="14265" max="14265" width="10.42578125" style="111" bestFit="1" customWidth="1"/>
    <col min="14266" max="14266" width="8" style="111" bestFit="1" customWidth="1"/>
    <col min="14267" max="14267" width="7.7109375" style="111" bestFit="1" customWidth="1"/>
    <col min="14268" max="14268" width="10.42578125" style="111" bestFit="1" customWidth="1"/>
    <col min="14269" max="14269" width="7.42578125" style="111" bestFit="1" customWidth="1"/>
    <col min="14270" max="14270" width="7.7109375" style="111" bestFit="1" customWidth="1"/>
    <col min="14271" max="14271" width="10.42578125" style="111" bestFit="1" customWidth="1"/>
    <col min="14272" max="14272" width="8" style="111" bestFit="1" customWidth="1"/>
    <col min="14273" max="14273" width="7.7109375" style="111" bestFit="1" customWidth="1"/>
    <col min="14274" max="14274" width="10.42578125" style="111" bestFit="1" customWidth="1"/>
    <col min="14275" max="14275" width="7.42578125" style="111" bestFit="1" customWidth="1"/>
    <col min="14276" max="14276" width="7.7109375" style="111" bestFit="1" customWidth="1"/>
    <col min="14277" max="14277" width="10.42578125" style="111" bestFit="1" customWidth="1"/>
    <col min="14278" max="14278" width="7.42578125" style="111" bestFit="1" customWidth="1"/>
    <col min="14279" max="14279" width="7.7109375" style="111" bestFit="1" customWidth="1"/>
    <col min="14280" max="14280" width="10.42578125" style="111" bestFit="1" customWidth="1"/>
    <col min="14281" max="14281" width="5.140625" style="111" customWidth="1"/>
    <col min="14282" max="14504" width="8.7109375" style="111"/>
    <col min="14505" max="14505" width="3.42578125" style="111" customWidth="1"/>
    <col min="14506" max="14506" width="7" style="111" customWidth="1"/>
    <col min="14507" max="14507" width="25.42578125" style="111" customWidth="1"/>
    <col min="14508" max="14508" width="12" style="111" customWidth="1"/>
    <col min="14509" max="14509" width="12.7109375" style="111" bestFit="1" customWidth="1"/>
    <col min="14510" max="14510" width="7.42578125" style="111" bestFit="1" customWidth="1"/>
    <col min="14511" max="14511" width="7.7109375" style="111" bestFit="1" customWidth="1"/>
    <col min="14512" max="14512" width="15" style="111" customWidth="1"/>
    <col min="14513" max="14513" width="7.42578125" style="111" bestFit="1" customWidth="1"/>
    <col min="14514" max="14514" width="7.7109375" style="111" bestFit="1" customWidth="1"/>
    <col min="14515" max="14515" width="15" style="111" bestFit="1" customWidth="1"/>
    <col min="14516" max="14516" width="7.42578125" style="111" bestFit="1" customWidth="1"/>
    <col min="14517" max="14517" width="7.7109375" style="111" bestFit="1" customWidth="1"/>
    <col min="14518" max="14518" width="9.42578125" style="111" bestFit="1" customWidth="1"/>
    <col min="14519" max="14519" width="8" style="111" bestFit="1" customWidth="1"/>
    <col min="14520" max="14520" width="7.7109375" style="111" bestFit="1" customWidth="1"/>
    <col min="14521" max="14521" width="10.42578125" style="111" bestFit="1" customWidth="1"/>
    <col min="14522" max="14522" width="8" style="111" bestFit="1" customWidth="1"/>
    <col min="14523" max="14523" width="7.7109375" style="111" bestFit="1" customWidth="1"/>
    <col min="14524" max="14524" width="10.42578125" style="111" bestFit="1" customWidth="1"/>
    <col min="14525" max="14525" width="7.42578125" style="111" bestFit="1" customWidth="1"/>
    <col min="14526" max="14526" width="7.7109375" style="111" bestFit="1" customWidth="1"/>
    <col min="14527" max="14527" width="10.42578125" style="111" bestFit="1" customWidth="1"/>
    <col min="14528" max="14528" width="8" style="111" bestFit="1" customWidth="1"/>
    <col min="14529" max="14529" width="7.7109375" style="111" bestFit="1" customWidth="1"/>
    <col min="14530" max="14530" width="10.42578125" style="111" bestFit="1" customWidth="1"/>
    <col min="14531" max="14531" width="7.42578125" style="111" bestFit="1" customWidth="1"/>
    <col min="14532" max="14532" width="7.7109375" style="111" bestFit="1" customWidth="1"/>
    <col min="14533" max="14533" width="10.42578125" style="111" bestFit="1" customWidth="1"/>
    <col min="14534" max="14534" width="7.42578125" style="111" bestFit="1" customWidth="1"/>
    <col min="14535" max="14535" width="7.7109375" style="111" bestFit="1" customWidth="1"/>
    <col min="14536" max="14536" width="10.42578125" style="111" bestFit="1" customWidth="1"/>
    <col min="14537" max="14537" width="5.140625" style="111" customWidth="1"/>
    <col min="14538" max="14760" width="8.7109375" style="111"/>
    <col min="14761" max="14761" width="3.42578125" style="111" customWidth="1"/>
    <col min="14762" max="14762" width="7" style="111" customWidth="1"/>
    <col min="14763" max="14763" width="25.42578125" style="111" customWidth="1"/>
    <col min="14764" max="14764" width="12" style="111" customWidth="1"/>
    <col min="14765" max="14765" width="12.7109375" style="111" bestFit="1" customWidth="1"/>
    <col min="14766" max="14766" width="7.42578125" style="111" bestFit="1" customWidth="1"/>
    <col min="14767" max="14767" width="7.7109375" style="111" bestFit="1" customWidth="1"/>
    <col min="14768" max="14768" width="15" style="111" customWidth="1"/>
    <col min="14769" max="14769" width="7.42578125" style="111" bestFit="1" customWidth="1"/>
    <col min="14770" max="14770" width="7.7109375" style="111" bestFit="1" customWidth="1"/>
    <col min="14771" max="14771" width="15" style="111" bestFit="1" customWidth="1"/>
    <col min="14772" max="14772" width="7.42578125" style="111" bestFit="1" customWidth="1"/>
    <col min="14773" max="14773" width="7.7109375" style="111" bestFit="1" customWidth="1"/>
    <col min="14774" max="14774" width="9.42578125" style="111" bestFit="1" customWidth="1"/>
    <col min="14775" max="14775" width="8" style="111" bestFit="1" customWidth="1"/>
    <col min="14776" max="14776" width="7.7109375" style="111" bestFit="1" customWidth="1"/>
    <col min="14777" max="14777" width="10.42578125" style="111" bestFit="1" customWidth="1"/>
    <col min="14778" max="14778" width="8" style="111" bestFit="1" customWidth="1"/>
    <col min="14779" max="14779" width="7.7109375" style="111" bestFit="1" customWidth="1"/>
    <col min="14780" max="14780" width="10.42578125" style="111" bestFit="1" customWidth="1"/>
    <col min="14781" max="14781" width="7.42578125" style="111" bestFit="1" customWidth="1"/>
    <col min="14782" max="14782" width="7.7109375" style="111" bestFit="1" customWidth="1"/>
    <col min="14783" max="14783" width="10.42578125" style="111" bestFit="1" customWidth="1"/>
    <col min="14784" max="14784" width="8" style="111" bestFit="1" customWidth="1"/>
    <col min="14785" max="14785" width="7.7109375" style="111" bestFit="1" customWidth="1"/>
    <col min="14786" max="14786" width="10.42578125" style="111" bestFit="1" customWidth="1"/>
    <col min="14787" max="14787" width="7.42578125" style="111" bestFit="1" customWidth="1"/>
    <col min="14788" max="14788" width="7.7109375" style="111" bestFit="1" customWidth="1"/>
    <col min="14789" max="14789" width="10.42578125" style="111" bestFit="1" customWidth="1"/>
    <col min="14790" max="14790" width="7.42578125" style="111" bestFit="1" customWidth="1"/>
    <col min="14791" max="14791" width="7.7109375" style="111" bestFit="1" customWidth="1"/>
    <col min="14792" max="14792" width="10.42578125" style="111" bestFit="1" customWidth="1"/>
    <col min="14793" max="14793" width="5.140625" style="111" customWidth="1"/>
    <col min="14794" max="15016" width="8.7109375" style="111"/>
    <col min="15017" max="15017" width="3.42578125" style="111" customWidth="1"/>
    <col min="15018" max="15018" width="7" style="111" customWidth="1"/>
    <col min="15019" max="15019" width="25.42578125" style="111" customWidth="1"/>
    <col min="15020" max="15020" width="12" style="111" customWidth="1"/>
    <col min="15021" max="15021" width="12.7109375" style="111" bestFit="1" customWidth="1"/>
    <col min="15022" max="15022" width="7.42578125" style="111" bestFit="1" customWidth="1"/>
    <col min="15023" max="15023" width="7.7109375" style="111" bestFit="1" customWidth="1"/>
    <col min="15024" max="15024" width="15" style="111" customWidth="1"/>
    <col min="15025" max="15025" width="7.42578125" style="111" bestFit="1" customWidth="1"/>
    <col min="15026" max="15026" width="7.7109375" style="111" bestFit="1" customWidth="1"/>
    <col min="15027" max="15027" width="15" style="111" bestFit="1" customWidth="1"/>
    <col min="15028" max="15028" width="7.42578125" style="111" bestFit="1" customWidth="1"/>
    <col min="15029" max="15029" width="7.7109375" style="111" bestFit="1" customWidth="1"/>
    <col min="15030" max="15030" width="9.42578125" style="111" bestFit="1" customWidth="1"/>
    <col min="15031" max="15031" width="8" style="111" bestFit="1" customWidth="1"/>
    <col min="15032" max="15032" width="7.7109375" style="111" bestFit="1" customWidth="1"/>
    <col min="15033" max="15033" width="10.42578125" style="111" bestFit="1" customWidth="1"/>
    <col min="15034" max="15034" width="8" style="111" bestFit="1" customWidth="1"/>
    <col min="15035" max="15035" width="7.7109375" style="111" bestFit="1" customWidth="1"/>
    <col min="15036" max="15036" width="10.42578125" style="111" bestFit="1" customWidth="1"/>
    <col min="15037" max="15037" width="7.42578125" style="111" bestFit="1" customWidth="1"/>
    <col min="15038" max="15038" width="7.7109375" style="111" bestFit="1" customWidth="1"/>
    <col min="15039" max="15039" width="10.42578125" style="111" bestFit="1" customWidth="1"/>
    <col min="15040" max="15040" width="8" style="111" bestFit="1" customWidth="1"/>
    <col min="15041" max="15041" width="7.7109375" style="111" bestFit="1" customWidth="1"/>
    <col min="15042" max="15042" width="10.42578125" style="111" bestFit="1" customWidth="1"/>
    <col min="15043" max="15043" width="7.42578125" style="111" bestFit="1" customWidth="1"/>
    <col min="15044" max="15044" width="7.7109375" style="111" bestFit="1" customWidth="1"/>
    <col min="15045" max="15045" width="10.42578125" style="111" bestFit="1" customWidth="1"/>
    <col min="15046" max="15046" width="7.42578125" style="111" bestFit="1" customWidth="1"/>
    <col min="15047" max="15047" width="7.7109375" style="111" bestFit="1" customWidth="1"/>
    <col min="15048" max="15048" width="10.42578125" style="111" bestFit="1" customWidth="1"/>
    <col min="15049" max="15049" width="5.140625" style="111" customWidth="1"/>
    <col min="15050" max="15272" width="8.7109375" style="111"/>
    <col min="15273" max="15273" width="3.42578125" style="111" customWidth="1"/>
    <col min="15274" max="15274" width="7" style="111" customWidth="1"/>
    <col min="15275" max="15275" width="25.42578125" style="111" customWidth="1"/>
    <col min="15276" max="15276" width="12" style="111" customWidth="1"/>
    <col min="15277" max="15277" width="12.7109375" style="111" bestFit="1" customWidth="1"/>
    <col min="15278" max="15278" width="7.42578125" style="111" bestFit="1" customWidth="1"/>
    <col min="15279" max="15279" width="7.7109375" style="111" bestFit="1" customWidth="1"/>
    <col min="15280" max="15280" width="15" style="111" customWidth="1"/>
    <col min="15281" max="15281" width="7.42578125" style="111" bestFit="1" customWidth="1"/>
    <col min="15282" max="15282" width="7.7109375" style="111" bestFit="1" customWidth="1"/>
    <col min="15283" max="15283" width="15" style="111" bestFit="1" customWidth="1"/>
    <col min="15284" max="15284" width="7.42578125" style="111" bestFit="1" customWidth="1"/>
    <col min="15285" max="15285" width="7.7109375" style="111" bestFit="1" customWidth="1"/>
    <col min="15286" max="15286" width="9.42578125" style="111" bestFit="1" customWidth="1"/>
    <col min="15287" max="15287" width="8" style="111" bestFit="1" customWidth="1"/>
    <col min="15288" max="15288" width="7.7109375" style="111" bestFit="1" customWidth="1"/>
    <col min="15289" max="15289" width="10.42578125" style="111" bestFit="1" customWidth="1"/>
    <col min="15290" max="15290" width="8" style="111" bestFit="1" customWidth="1"/>
    <col min="15291" max="15291" width="7.7109375" style="111" bestFit="1" customWidth="1"/>
    <col min="15292" max="15292" width="10.42578125" style="111" bestFit="1" customWidth="1"/>
    <col min="15293" max="15293" width="7.42578125" style="111" bestFit="1" customWidth="1"/>
    <col min="15294" max="15294" width="7.7109375" style="111" bestFit="1" customWidth="1"/>
    <col min="15295" max="15295" width="10.42578125" style="111" bestFit="1" customWidth="1"/>
    <col min="15296" max="15296" width="8" style="111" bestFit="1" customWidth="1"/>
    <col min="15297" max="15297" width="7.7109375" style="111" bestFit="1" customWidth="1"/>
    <col min="15298" max="15298" width="10.42578125" style="111" bestFit="1" customWidth="1"/>
    <col min="15299" max="15299" width="7.42578125" style="111" bestFit="1" customWidth="1"/>
    <col min="15300" max="15300" width="7.7109375" style="111" bestFit="1" customWidth="1"/>
    <col min="15301" max="15301" width="10.42578125" style="111" bestFit="1" customWidth="1"/>
    <col min="15302" max="15302" width="7.42578125" style="111" bestFit="1" customWidth="1"/>
    <col min="15303" max="15303" width="7.7109375" style="111" bestFit="1" customWidth="1"/>
    <col min="15304" max="15304" width="10.42578125" style="111" bestFit="1" customWidth="1"/>
    <col min="15305" max="15305" width="5.140625" style="111" customWidth="1"/>
    <col min="15306" max="15528" width="8.7109375" style="111"/>
    <col min="15529" max="15529" width="3.42578125" style="111" customWidth="1"/>
    <col min="15530" max="15530" width="7" style="111" customWidth="1"/>
    <col min="15531" max="15531" width="25.42578125" style="111" customWidth="1"/>
    <col min="15532" max="15532" width="12" style="111" customWidth="1"/>
    <col min="15533" max="15533" width="12.7109375" style="111" bestFit="1" customWidth="1"/>
    <col min="15534" max="15534" width="7.42578125" style="111" bestFit="1" customWidth="1"/>
    <col min="15535" max="15535" width="7.7109375" style="111" bestFit="1" customWidth="1"/>
    <col min="15536" max="15536" width="15" style="111" customWidth="1"/>
    <col min="15537" max="15537" width="7.42578125" style="111" bestFit="1" customWidth="1"/>
    <col min="15538" max="15538" width="7.7109375" style="111" bestFit="1" customWidth="1"/>
    <col min="15539" max="15539" width="15" style="111" bestFit="1" customWidth="1"/>
    <col min="15540" max="15540" width="7.42578125" style="111" bestFit="1" customWidth="1"/>
    <col min="15541" max="15541" width="7.7109375" style="111" bestFit="1" customWidth="1"/>
    <col min="15542" max="15542" width="9.42578125" style="111" bestFit="1" customWidth="1"/>
    <col min="15543" max="15543" width="8" style="111" bestFit="1" customWidth="1"/>
    <col min="15544" max="15544" width="7.7109375" style="111" bestFit="1" customWidth="1"/>
    <col min="15545" max="15545" width="10.42578125" style="111" bestFit="1" customWidth="1"/>
    <col min="15546" max="15546" width="8" style="111" bestFit="1" customWidth="1"/>
    <col min="15547" max="15547" width="7.7109375" style="111" bestFit="1" customWidth="1"/>
    <col min="15548" max="15548" width="10.42578125" style="111" bestFit="1" customWidth="1"/>
    <col min="15549" max="15549" width="7.42578125" style="111" bestFit="1" customWidth="1"/>
    <col min="15550" max="15550" width="7.7109375" style="111" bestFit="1" customWidth="1"/>
    <col min="15551" max="15551" width="10.42578125" style="111" bestFit="1" customWidth="1"/>
    <col min="15552" max="15552" width="8" style="111" bestFit="1" customWidth="1"/>
    <col min="15553" max="15553" width="7.7109375" style="111" bestFit="1" customWidth="1"/>
    <col min="15554" max="15554" width="10.42578125" style="111" bestFit="1" customWidth="1"/>
    <col min="15555" max="15555" width="7.42578125" style="111" bestFit="1" customWidth="1"/>
    <col min="15556" max="15556" width="7.7109375" style="111" bestFit="1" customWidth="1"/>
    <col min="15557" max="15557" width="10.42578125" style="111" bestFit="1" customWidth="1"/>
    <col min="15558" max="15558" width="7.42578125" style="111" bestFit="1" customWidth="1"/>
    <col min="15559" max="15559" width="7.7109375" style="111" bestFit="1" customWidth="1"/>
    <col min="15560" max="15560" width="10.42578125" style="111" bestFit="1" customWidth="1"/>
    <col min="15561" max="15561" width="5.140625" style="111" customWidth="1"/>
    <col min="15562" max="15784" width="8.7109375" style="111"/>
    <col min="15785" max="15785" width="3.42578125" style="111" customWidth="1"/>
    <col min="15786" max="15786" width="7" style="111" customWidth="1"/>
    <col min="15787" max="15787" width="25.42578125" style="111" customWidth="1"/>
    <col min="15788" max="15788" width="12" style="111" customWidth="1"/>
    <col min="15789" max="15789" width="12.7109375" style="111" bestFit="1" customWidth="1"/>
    <col min="15790" max="15790" width="7.42578125" style="111" bestFit="1" customWidth="1"/>
    <col min="15791" max="15791" width="7.7109375" style="111" bestFit="1" customWidth="1"/>
    <col min="15792" max="15792" width="15" style="111" customWidth="1"/>
    <col min="15793" max="15793" width="7.42578125" style="111" bestFit="1" customWidth="1"/>
    <col min="15794" max="15794" width="7.7109375" style="111" bestFit="1" customWidth="1"/>
    <col min="15795" max="15795" width="15" style="111" bestFit="1" customWidth="1"/>
    <col min="15796" max="15796" width="7.42578125" style="111" bestFit="1" customWidth="1"/>
    <col min="15797" max="15797" width="7.7109375" style="111" bestFit="1" customWidth="1"/>
    <col min="15798" max="15798" width="9.42578125" style="111" bestFit="1" customWidth="1"/>
    <col min="15799" max="15799" width="8" style="111" bestFit="1" customWidth="1"/>
    <col min="15800" max="15800" width="7.7109375" style="111" bestFit="1" customWidth="1"/>
    <col min="15801" max="15801" width="10.42578125" style="111" bestFit="1" customWidth="1"/>
    <col min="15802" max="15802" width="8" style="111" bestFit="1" customWidth="1"/>
    <col min="15803" max="15803" width="7.7109375" style="111" bestFit="1" customWidth="1"/>
    <col min="15804" max="15804" width="10.42578125" style="111" bestFit="1" customWidth="1"/>
    <col min="15805" max="15805" width="7.42578125" style="111" bestFit="1" customWidth="1"/>
    <col min="15806" max="15806" width="7.7109375" style="111" bestFit="1" customWidth="1"/>
    <col min="15807" max="15807" width="10.42578125" style="111" bestFit="1" customWidth="1"/>
    <col min="15808" max="15808" width="8" style="111" bestFit="1" customWidth="1"/>
    <col min="15809" max="15809" width="7.7109375" style="111" bestFit="1" customWidth="1"/>
    <col min="15810" max="15810" width="10.42578125" style="111" bestFit="1" customWidth="1"/>
    <col min="15811" max="15811" width="7.42578125" style="111" bestFit="1" customWidth="1"/>
    <col min="15812" max="15812" width="7.7109375" style="111" bestFit="1" customWidth="1"/>
    <col min="15813" max="15813" width="10.42578125" style="111" bestFit="1" customWidth="1"/>
    <col min="15814" max="15814" width="7.42578125" style="111" bestFit="1" customWidth="1"/>
    <col min="15815" max="15815" width="7.7109375" style="111" bestFit="1" customWidth="1"/>
    <col min="15816" max="15816" width="10.42578125" style="111" bestFit="1" customWidth="1"/>
    <col min="15817" max="15817" width="5.140625" style="111" customWidth="1"/>
    <col min="15818" max="16040" width="8.7109375" style="111"/>
    <col min="16041" max="16041" width="3.42578125" style="111" customWidth="1"/>
    <col min="16042" max="16042" width="7" style="111" customWidth="1"/>
    <col min="16043" max="16043" width="25.42578125" style="111" customWidth="1"/>
    <col min="16044" max="16044" width="12" style="111" customWidth="1"/>
    <col min="16045" max="16045" width="12.7109375" style="111" bestFit="1" customWidth="1"/>
    <col min="16046" max="16046" width="7.42578125" style="111" bestFit="1" customWidth="1"/>
    <col min="16047" max="16047" width="7.7109375" style="111" bestFit="1" customWidth="1"/>
    <col min="16048" max="16048" width="15" style="111" customWidth="1"/>
    <col min="16049" max="16049" width="7.42578125" style="111" bestFit="1" customWidth="1"/>
    <col min="16050" max="16050" width="7.7109375" style="111" bestFit="1" customWidth="1"/>
    <col min="16051" max="16051" width="15" style="111" bestFit="1" customWidth="1"/>
    <col min="16052" max="16052" width="7.42578125" style="111" bestFit="1" customWidth="1"/>
    <col min="16053" max="16053" width="7.7109375" style="111" bestFit="1" customWidth="1"/>
    <col min="16054" max="16054" width="9.42578125" style="111" bestFit="1" customWidth="1"/>
    <col min="16055" max="16055" width="8" style="111" bestFit="1" customWidth="1"/>
    <col min="16056" max="16056" width="7.7109375" style="111" bestFit="1" customWidth="1"/>
    <col min="16057" max="16057" width="10.42578125" style="111" bestFit="1" customWidth="1"/>
    <col min="16058" max="16058" width="8" style="111" bestFit="1" customWidth="1"/>
    <col min="16059" max="16059" width="7.7109375" style="111" bestFit="1" customWidth="1"/>
    <col min="16060" max="16060" width="10.42578125" style="111" bestFit="1" customWidth="1"/>
    <col min="16061" max="16061" width="7.42578125" style="111" bestFit="1" customWidth="1"/>
    <col min="16062" max="16062" width="7.7109375" style="111" bestFit="1" customWidth="1"/>
    <col min="16063" max="16063" width="10.42578125" style="111" bestFit="1" customWidth="1"/>
    <col min="16064" max="16064" width="8" style="111" bestFit="1" customWidth="1"/>
    <col min="16065" max="16065" width="7.7109375" style="111" bestFit="1" customWidth="1"/>
    <col min="16066" max="16066" width="10.42578125" style="111" bestFit="1" customWidth="1"/>
    <col min="16067" max="16067" width="7.42578125" style="111" bestFit="1" customWidth="1"/>
    <col min="16068" max="16068" width="7.7109375" style="111" bestFit="1" customWidth="1"/>
    <col min="16069" max="16069" width="10.42578125" style="111" bestFit="1" customWidth="1"/>
    <col min="16070" max="16070" width="7.42578125" style="111" bestFit="1" customWidth="1"/>
    <col min="16071" max="16071" width="7.7109375" style="111" bestFit="1" customWidth="1"/>
    <col min="16072" max="16072" width="10.42578125" style="111" bestFit="1" customWidth="1"/>
    <col min="16073" max="16073" width="5.140625" style="111" customWidth="1"/>
    <col min="16074" max="16276" width="8.7109375" style="111"/>
    <col min="16277" max="16283" width="9.140625" style="111" customWidth="1"/>
    <col min="16284" max="16384" width="8.7109375" style="111"/>
  </cols>
  <sheetData>
    <row r="1" spans="2:37" s="109" customFormat="1" ht="21.95" customHeight="1" thickBot="1">
      <c r="B1" s="702">
        <f>QQP!G44</f>
        <v>0</v>
      </c>
      <c r="C1" s="703"/>
      <c r="D1" s="296" t="s">
        <v>225</v>
      </c>
      <c r="E1" s="297">
        <v>1</v>
      </c>
      <c r="F1" s="106" t="str">
        <f>QQP!B8</f>
        <v>1.1</v>
      </c>
      <c r="G1" s="748">
        <f>H182</f>
        <v>0</v>
      </c>
      <c r="H1" s="748"/>
      <c r="I1" s="106" t="str">
        <f>QQP!B9</f>
        <v>1.2</v>
      </c>
      <c r="J1" s="748">
        <f>K182</f>
        <v>0</v>
      </c>
      <c r="K1" s="748"/>
      <c r="L1" s="106" t="str">
        <f>QQP!B10</f>
        <v>1.3</v>
      </c>
      <c r="M1" s="748">
        <f>N182</f>
        <v>0</v>
      </c>
      <c r="N1" s="748"/>
      <c r="O1" s="106" t="str">
        <f>QQP!B11</f>
        <v>1.4</v>
      </c>
      <c r="P1" s="748">
        <f>Q182</f>
        <v>0</v>
      </c>
      <c r="Q1" s="748"/>
      <c r="R1" s="106" t="str">
        <f>QQP!B12</f>
        <v>1.5</v>
      </c>
      <c r="S1" s="748">
        <f>T182</f>
        <v>0</v>
      </c>
      <c r="T1" s="748"/>
      <c r="U1" s="106" t="str">
        <f>QQP!B13</f>
        <v>1.6</v>
      </c>
      <c r="V1" s="748">
        <f>W182</f>
        <v>0</v>
      </c>
      <c r="W1" s="748"/>
      <c r="X1" s="106" t="str">
        <f>QQP!B14</f>
        <v>1.7</v>
      </c>
      <c r="Y1" s="748">
        <f>Z182</f>
        <v>0</v>
      </c>
      <c r="Z1" s="748"/>
      <c r="AA1" s="106" t="str">
        <f>QQP!B15</f>
        <v>1.8</v>
      </c>
      <c r="AB1" s="748">
        <f>AC182</f>
        <v>0</v>
      </c>
      <c r="AC1" s="748"/>
      <c r="AD1" s="107"/>
      <c r="AE1" s="704"/>
      <c r="AF1" s="704"/>
      <c r="AG1" s="704"/>
      <c r="AH1" s="108"/>
    </row>
    <row r="2" spans="2:37" ht="75.75" customHeight="1" thickBot="1">
      <c r="B2" s="705" t="s">
        <v>122</v>
      </c>
      <c r="C2" s="706"/>
      <c r="D2" s="706"/>
      <c r="E2" s="707"/>
      <c r="F2" s="749" t="str">
        <f>_xlfn.XLOOKUP(F1,QQP!$B$8:$B$43,QQP!$C$8:$C$43)</f>
        <v>XXXXXXXXXXXXXXXXXXXXXXXXXXXXXXXXXXXXXXXXXX</v>
      </c>
      <c r="G2" s="750"/>
      <c r="H2" s="751"/>
      <c r="I2" s="749" t="str">
        <f>_xlfn.XLOOKUP(I1,QQP!$B$8:$B$43,QQP!$C$8:$C$43)</f>
        <v>XXXXXXXXXXXXXXXXXXXXXXXXXXXXXXXXXXXXXXXXXX</v>
      </c>
      <c r="J2" s="750"/>
      <c r="K2" s="751"/>
      <c r="L2" s="749" t="str">
        <f>_xlfn.XLOOKUP(L1,QQP!$B$8:$B$43,QQP!$C$8:$C$43)</f>
        <v>XXXXXXXXXXXXXXXXXXXXXXXXXXXXXXXXXXXXXXXXXX</v>
      </c>
      <c r="M2" s="750"/>
      <c r="N2" s="751"/>
      <c r="O2" s="749" t="str">
        <f>_xlfn.XLOOKUP(O1,QQP!$B$8:$B$43,QQP!$C$8:$C$43)</f>
        <v>XXXXXXXXXXXXXXXXXXXXXXXXXXXXXXXXXXXXXXXXXX</v>
      </c>
      <c r="P2" s="750"/>
      <c r="Q2" s="751"/>
      <c r="R2" s="749" t="str">
        <f>_xlfn.XLOOKUP(R1,QQP!$B$8:$B$43,QQP!$C$8:$C$43)</f>
        <v>XXXXXXXXXXXXXXXXXXXXXXXXXXXXXXXXXXXXXXXXXX</v>
      </c>
      <c r="S2" s="750"/>
      <c r="T2" s="751"/>
      <c r="U2" s="749" t="str">
        <f>_xlfn.XLOOKUP(U1,QQP!$B$8:$B$43,QQP!$C$8:$C$43)</f>
        <v>XXXXXXXXXXXXXXXXXXXXXXXXXXXXXXXXXXXXXXXXXX</v>
      </c>
      <c r="V2" s="750"/>
      <c r="W2" s="751"/>
      <c r="X2" s="749" t="str">
        <f>_xlfn.XLOOKUP(X1,QQP!$B$8:$B$43,QQP!$C$8:$C$43)</f>
        <v>XXXXXXXXXXXXXXXXXXXXXXXXXXXXXXXXXXXXXXXXXX</v>
      </c>
      <c r="Y2" s="750"/>
      <c r="Z2" s="751"/>
      <c r="AA2" s="749" t="str">
        <f>_xlfn.XLOOKUP(AA1,QQP!$B$8:$B$43,QQP!$C$8:$C$43)</f>
        <v>XXXXXXXXXXXXXXXXXXXXXXXXXXXXXXXXXXXXXXXXXX</v>
      </c>
      <c r="AB2" s="750"/>
      <c r="AC2" s="751"/>
      <c r="AD2" s="110"/>
      <c r="AE2" s="752" t="s">
        <v>200</v>
      </c>
      <c r="AF2" s="753"/>
      <c r="AG2" s="754"/>
    </row>
    <row r="3" spans="2:37" ht="20.25" customHeight="1">
      <c r="B3" s="712"/>
      <c r="C3" s="712"/>
      <c r="D3" s="712"/>
      <c r="E3" s="712"/>
      <c r="F3" s="112"/>
      <c r="G3" s="113" t="str">
        <f>_xlfn.XLOOKUP(F1,QQP!$B$8:$B$43,QQP!$D$8:$D$43)</f>
        <v>xx</v>
      </c>
      <c r="H3" s="114">
        <f>_xlfn.XLOOKUP(F1,QQP!$B$8:$B$43,QQP!$E$8:$E$43)</f>
        <v>1</v>
      </c>
      <c r="I3" s="112"/>
      <c r="J3" s="113" t="str">
        <f>_xlfn.XLOOKUP(I1,QQP!$B$8:$B$43,QQP!$D$8:$D$43)</f>
        <v>xx</v>
      </c>
      <c r="K3" s="114">
        <f>_xlfn.XLOOKUP(I1,QQP!$B$8:$B$43,QQP!$E$8:$E$43)</f>
        <v>1</v>
      </c>
      <c r="L3" s="112"/>
      <c r="M3" s="113" t="str">
        <f>_xlfn.XLOOKUP(L1,QQP!$B$8:$B$43,QQP!$D$8:$D$43)</f>
        <v>xx</v>
      </c>
      <c r="N3" s="114">
        <f>_xlfn.XLOOKUP(L1,QQP!$B$8:$B$43,QQP!$E$8:$E$43)</f>
        <v>1</v>
      </c>
      <c r="O3" s="112"/>
      <c r="P3" s="113" t="str">
        <f>_xlfn.XLOOKUP(O1,QQP!$B$8:$B$43,QQP!$D$8:$D$43)</f>
        <v>xx</v>
      </c>
      <c r="Q3" s="114">
        <f>_xlfn.XLOOKUP(O1,QQP!$B$8:$B$43,QQP!$E$8:$E$43)</f>
        <v>1</v>
      </c>
      <c r="R3" s="112"/>
      <c r="S3" s="113" t="str">
        <f>_xlfn.XLOOKUP(R1,QQP!$B$8:$B$43,QQP!$D$8:$D$43)</f>
        <v>xx</v>
      </c>
      <c r="T3" s="114">
        <f>_xlfn.XLOOKUP(R1,QQP!$B$8:$B$43,QQP!$E$8:$E$43)</f>
        <v>1</v>
      </c>
      <c r="U3" s="112"/>
      <c r="V3" s="113" t="str">
        <f>_xlfn.XLOOKUP(U1,QQP!$B$8:$B$43,QQP!$D$8:$D$43)</f>
        <v>xx</v>
      </c>
      <c r="W3" s="114">
        <f>_xlfn.XLOOKUP(U1,QQP!$B$8:$B$43,QQP!$E$8:$E$43)</f>
        <v>1</v>
      </c>
      <c r="X3" s="112"/>
      <c r="Y3" s="113" t="str">
        <f>_xlfn.XLOOKUP(X1,QQP!$B$8:$B$43,QQP!$D$8:$D$43)</f>
        <v>xx</v>
      </c>
      <c r="Z3" s="114">
        <f>_xlfn.XLOOKUP(X1,QQP!$B$8:$B$43,QQP!$E$8:$E$43)</f>
        <v>1</v>
      </c>
      <c r="AA3" s="112"/>
      <c r="AB3" s="113" t="str">
        <f>_xlfn.XLOOKUP(AA1,QQP!$B$8:$B$43,QQP!$D$8:$D$43)</f>
        <v>xx</v>
      </c>
      <c r="AC3" s="114">
        <f>_xlfn.XLOOKUP(AA1,QQP!$B$8:$B$43,QQP!$E$8:$E$43)</f>
        <v>1</v>
      </c>
      <c r="AD3" s="115"/>
      <c r="AE3" s="713"/>
      <c r="AF3" s="714"/>
      <c r="AG3" s="116"/>
    </row>
    <row r="4" spans="2:37" ht="15.75" customHeight="1" thickBot="1">
      <c r="B4" s="117"/>
      <c r="C4" s="117"/>
      <c r="D4" s="117"/>
      <c r="E4" s="117"/>
      <c r="F4" s="118"/>
      <c r="G4" s="119"/>
      <c r="H4" s="119"/>
      <c r="I4" s="120"/>
      <c r="J4" s="119"/>
      <c r="K4" s="119"/>
      <c r="L4" s="120"/>
      <c r="M4" s="119"/>
      <c r="N4" s="119"/>
      <c r="O4" s="120"/>
      <c r="P4" s="119"/>
      <c r="Q4" s="119"/>
      <c r="R4" s="120"/>
      <c r="S4" s="119"/>
      <c r="T4" s="119"/>
      <c r="U4" s="120"/>
      <c r="V4" s="385"/>
      <c r="W4" s="119"/>
      <c r="X4" s="120"/>
      <c r="Y4" s="119"/>
      <c r="Z4" s="119"/>
      <c r="AA4" s="120"/>
      <c r="AB4" s="119"/>
      <c r="AC4" s="119"/>
      <c r="AD4" s="115"/>
      <c r="AE4" s="121"/>
      <c r="AF4" s="122"/>
      <c r="AG4" s="116"/>
    </row>
    <row r="5" spans="2:37" ht="21.95" customHeight="1" thickBot="1">
      <c r="B5" s="699" t="s">
        <v>114</v>
      </c>
      <c r="C5" s="700"/>
      <c r="D5" s="700"/>
      <c r="E5" s="701"/>
      <c r="F5" s="120"/>
      <c r="G5" s="120"/>
      <c r="H5" s="120"/>
      <c r="I5" s="120"/>
      <c r="J5" s="120"/>
      <c r="K5" s="120"/>
      <c r="L5" s="120"/>
      <c r="M5" s="120"/>
      <c r="N5" s="120"/>
      <c r="O5" s="120"/>
      <c r="P5" s="120"/>
      <c r="Q5" s="120"/>
      <c r="R5" s="120"/>
      <c r="S5" s="120"/>
      <c r="T5" s="120"/>
      <c r="U5" s="120"/>
      <c r="V5" s="120"/>
      <c r="W5" s="120"/>
      <c r="X5" s="120"/>
      <c r="Y5" s="120"/>
      <c r="Z5" s="120"/>
      <c r="AA5" s="120"/>
      <c r="AB5" s="120"/>
      <c r="AC5" s="120"/>
      <c r="AD5" s="123"/>
      <c r="AE5" s="715"/>
      <c r="AF5" s="715"/>
      <c r="AG5" s="715"/>
    </row>
    <row r="6" spans="2:37" s="127" customFormat="1" ht="21.95" customHeight="1" thickBot="1">
      <c r="B6" s="258" t="s">
        <v>163</v>
      </c>
      <c r="C6" s="259" t="s">
        <v>169</v>
      </c>
      <c r="D6" s="260" t="s">
        <v>30</v>
      </c>
      <c r="E6" s="261" t="s">
        <v>31</v>
      </c>
      <c r="F6" s="258" t="s">
        <v>6</v>
      </c>
      <c r="G6" s="261" t="s">
        <v>32</v>
      </c>
      <c r="H6" s="262" t="s">
        <v>5</v>
      </c>
      <c r="I6" s="258" t="s">
        <v>6</v>
      </c>
      <c r="J6" s="261" t="s">
        <v>32</v>
      </c>
      <c r="K6" s="262" t="s">
        <v>5</v>
      </c>
      <c r="L6" s="258" t="s">
        <v>6</v>
      </c>
      <c r="M6" s="261" t="s">
        <v>32</v>
      </c>
      <c r="N6" s="262" t="s">
        <v>5</v>
      </c>
      <c r="O6" s="258" t="s">
        <v>6</v>
      </c>
      <c r="P6" s="261" t="s">
        <v>32</v>
      </c>
      <c r="Q6" s="262" t="s">
        <v>5</v>
      </c>
      <c r="R6" s="258" t="s">
        <v>6</v>
      </c>
      <c r="S6" s="261" t="s">
        <v>32</v>
      </c>
      <c r="T6" s="262" t="s">
        <v>5</v>
      </c>
      <c r="U6" s="258" t="s">
        <v>6</v>
      </c>
      <c r="V6" s="261" t="s">
        <v>32</v>
      </c>
      <c r="W6" s="262" t="s">
        <v>5</v>
      </c>
      <c r="X6" s="258" t="s">
        <v>6</v>
      </c>
      <c r="Y6" s="261" t="s">
        <v>32</v>
      </c>
      <c r="Z6" s="262" t="s">
        <v>5</v>
      </c>
      <c r="AA6" s="258" t="s">
        <v>6</v>
      </c>
      <c r="AB6" s="261" t="s">
        <v>32</v>
      </c>
      <c r="AC6" s="262" t="s">
        <v>5</v>
      </c>
      <c r="AD6" s="124"/>
      <c r="AE6" s="258" t="s">
        <v>6</v>
      </c>
      <c r="AF6" s="261" t="s">
        <v>32</v>
      </c>
      <c r="AG6" s="262" t="s">
        <v>5</v>
      </c>
      <c r="AH6" s="125"/>
      <c r="AI6" s="126"/>
    </row>
    <row r="7" spans="2:37" s="109" customFormat="1" ht="21.95" customHeight="1" outlineLevel="1">
      <c r="B7" s="128" t="str">
        <f>MO!B3</f>
        <v>P01</v>
      </c>
      <c r="C7" s="129" t="str">
        <f>MO!C3</f>
        <v>Supervisor</v>
      </c>
      <c r="D7" s="130" t="s">
        <v>123</v>
      </c>
      <c r="E7" s="131">
        <f>MO!K3</f>
        <v>75.068181818181813</v>
      </c>
      <c r="F7" s="132"/>
      <c r="G7" s="133"/>
      <c r="H7" s="134">
        <f t="shared" ref="H7:H22" si="0">G7*F7*$E7</f>
        <v>0</v>
      </c>
      <c r="I7" s="132"/>
      <c r="J7" s="133"/>
      <c r="K7" s="134">
        <f t="shared" ref="K7:K22" si="1">J7*I7*$E7</f>
        <v>0</v>
      </c>
      <c r="L7" s="132"/>
      <c r="M7" s="133"/>
      <c r="N7" s="134">
        <f t="shared" ref="N7:N21" si="2">M7*L7*$E7</f>
        <v>0</v>
      </c>
      <c r="O7" s="132"/>
      <c r="P7" s="133"/>
      <c r="Q7" s="134">
        <f t="shared" ref="Q7:Q22" si="3">P7*O7*$E7</f>
        <v>0</v>
      </c>
      <c r="R7" s="132"/>
      <c r="S7" s="133"/>
      <c r="T7" s="134">
        <f t="shared" ref="T7:T22" si="4">S7*R7*$E7</f>
        <v>0</v>
      </c>
      <c r="U7" s="132"/>
      <c r="V7" s="133"/>
      <c r="W7" s="134">
        <f t="shared" ref="W7:W22" si="5">V7*U7*$E7</f>
        <v>0</v>
      </c>
      <c r="X7" s="132"/>
      <c r="Y7" s="133"/>
      <c r="Z7" s="134">
        <f t="shared" ref="Z7:Z22" si="6">Y7*X7*$E7</f>
        <v>0</v>
      </c>
      <c r="AA7" s="132"/>
      <c r="AB7" s="133"/>
      <c r="AC7" s="134">
        <f t="shared" ref="AC7:AC22" si="7">AB7*AA7*$E7</f>
        <v>0</v>
      </c>
      <c r="AD7" s="124"/>
      <c r="AE7" s="135"/>
      <c r="AF7" s="136"/>
      <c r="AG7" s="137">
        <f>K7*$K$3+Z7*$Z$3+H7*$H$3+N7*$N$3+Q7*$Q$3+T7*$T$3+W7*$W$3+AC7*$AC$3</f>
        <v>0</v>
      </c>
      <c r="AH7" s="138" t="e">
        <f t="shared" ref="AH7:AH22" si="8">AG7/$AG$162</f>
        <v>#DIV/0!</v>
      </c>
      <c r="AI7" s="139"/>
    </row>
    <row r="8" spans="2:37" s="109" customFormat="1" ht="21.95" customHeight="1" outlineLevel="1">
      <c r="B8" s="128" t="str">
        <f>MO!B4</f>
        <v>P02</v>
      </c>
      <c r="C8" s="140" t="str">
        <f>MO!C4</f>
        <v>Encarregado</v>
      </c>
      <c r="D8" s="141" t="s">
        <v>123</v>
      </c>
      <c r="E8" s="131">
        <f>MO!K4</f>
        <v>40.036363636363632</v>
      </c>
      <c r="F8" s="132"/>
      <c r="G8" s="142"/>
      <c r="H8" s="134">
        <f t="shared" si="0"/>
        <v>0</v>
      </c>
      <c r="I8" s="132"/>
      <c r="J8" s="142"/>
      <c r="K8" s="134">
        <f t="shared" si="1"/>
        <v>0</v>
      </c>
      <c r="L8" s="132"/>
      <c r="M8" s="142"/>
      <c r="N8" s="134">
        <f t="shared" si="2"/>
        <v>0</v>
      </c>
      <c r="O8" s="132"/>
      <c r="P8" s="142"/>
      <c r="Q8" s="134">
        <f t="shared" si="3"/>
        <v>0</v>
      </c>
      <c r="R8" s="132"/>
      <c r="S8" s="142"/>
      <c r="T8" s="134">
        <f t="shared" si="4"/>
        <v>0</v>
      </c>
      <c r="U8" s="132"/>
      <c r="V8" s="142"/>
      <c r="W8" s="134">
        <f t="shared" si="5"/>
        <v>0</v>
      </c>
      <c r="X8" s="132"/>
      <c r="Y8" s="142"/>
      <c r="Z8" s="134">
        <f t="shared" si="6"/>
        <v>0</v>
      </c>
      <c r="AA8" s="132"/>
      <c r="AB8" s="142"/>
      <c r="AC8" s="134">
        <f t="shared" si="7"/>
        <v>0</v>
      </c>
      <c r="AD8" s="143"/>
      <c r="AE8" s="135"/>
      <c r="AF8" s="136"/>
      <c r="AG8" s="137">
        <f t="shared" ref="AG8:AG22" si="9">K8*$K$3+Z8*$Z$3+H8*$H$3+N8*$N$3+Q8*$Q$3+T8*$T$3+W8*$W$3+AC8*$AC$3</f>
        <v>0</v>
      </c>
      <c r="AH8" s="138" t="e">
        <f t="shared" si="8"/>
        <v>#DIV/0!</v>
      </c>
    </row>
    <row r="9" spans="2:37" s="109" customFormat="1" ht="21.95" customHeight="1" outlineLevel="1">
      <c r="B9" s="128" t="str">
        <f>MO!B5</f>
        <v>P03</v>
      </c>
      <c r="C9" s="140" t="str">
        <f>MO!C5</f>
        <v>Técnico SSMA</v>
      </c>
      <c r="D9" s="141" t="s">
        <v>123</v>
      </c>
      <c r="E9" s="131">
        <f>MO!K5</f>
        <v>40.036363636363632</v>
      </c>
      <c r="F9" s="132"/>
      <c r="G9" s="133"/>
      <c r="H9" s="134">
        <f t="shared" si="0"/>
        <v>0</v>
      </c>
      <c r="I9" s="132"/>
      <c r="J9" s="133"/>
      <c r="K9" s="134">
        <f t="shared" si="1"/>
        <v>0</v>
      </c>
      <c r="L9" s="132"/>
      <c r="M9" s="133"/>
      <c r="N9" s="134">
        <f t="shared" si="2"/>
        <v>0</v>
      </c>
      <c r="O9" s="132"/>
      <c r="P9" s="133"/>
      <c r="Q9" s="134">
        <f t="shared" si="3"/>
        <v>0</v>
      </c>
      <c r="R9" s="132"/>
      <c r="S9" s="133"/>
      <c r="T9" s="134">
        <f t="shared" si="4"/>
        <v>0</v>
      </c>
      <c r="U9" s="132"/>
      <c r="V9" s="133"/>
      <c r="W9" s="134">
        <f t="shared" si="5"/>
        <v>0</v>
      </c>
      <c r="X9" s="132"/>
      <c r="Y9" s="133"/>
      <c r="Z9" s="134">
        <f t="shared" si="6"/>
        <v>0</v>
      </c>
      <c r="AA9" s="132"/>
      <c r="AB9" s="133"/>
      <c r="AC9" s="134">
        <f t="shared" si="7"/>
        <v>0</v>
      </c>
      <c r="AD9" s="124"/>
      <c r="AE9" s="135"/>
      <c r="AF9" s="136"/>
      <c r="AG9" s="137">
        <f t="shared" si="9"/>
        <v>0</v>
      </c>
      <c r="AH9" s="138" t="e">
        <f t="shared" si="8"/>
        <v>#DIV/0!</v>
      </c>
      <c r="AI9" s="139"/>
      <c r="AK9" s="144"/>
    </row>
    <row r="10" spans="2:37" s="109" customFormat="1" ht="21.95" customHeight="1" outlineLevel="1">
      <c r="B10" s="128" t="str">
        <f>MO!B6</f>
        <v>P04</v>
      </c>
      <c r="C10" s="140" t="str">
        <f>MO!C6</f>
        <v>Pedreiro</v>
      </c>
      <c r="D10" s="141" t="s">
        <v>123</v>
      </c>
      <c r="E10" s="131">
        <f>MO!K6</f>
        <v>19.767954545454543</v>
      </c>
      <c r="F10" s="132"/>
      <c r="G10" s="133"/>
      <c r="H10" s="134">
        <f t="shared" si="0"/>
        <v>0</v>
      </c>
      <c r="I10" s="132"/>
      <c r="J10" s="133"/>
      <c r="K10" s="134">
        <f t="shared" si="1"/>
        <v>0</v>
      </c>
      <c r="L10" s="132"/>
      <c r="M10" s="142"/>
      <c r="N10" s="134">
        <f t="shared" si="2"/>
        <v>0</v>
      </c>
      <c r="O10" s="132"/>
      <c r="P10" s="133"/>
      <c r="Q10" s="134">
        <f t="shared" si="3"/>
        <v>0</v>
      </c>
      <c r="R10" s="132"/>
      <c r="S10" s="133"/>
      <c r="T10" s="134">
        <f t="shared" si="4"/>
        <v>0</v>
      </c>
      <c r="U10" s="132"/>
      <c r="V10" s="133"/>
      <c r="W10" s="134">
        <f t="shared" si="5"/>
        <v>0</v>
      </c>
      <c r="X10" s="132"/>
      <c r="Y10" s="133"/>
      <c r="Z10" s="134">
        <f t="shared" si="6"/>
        <v>0</v>
      </c>
      <c r="AA10" s="132"/>
      <c r="AB10" s="133"/>
      <c r="AC10" s="134">
        <f t="shared" si="7"/>
        <v>0</v>
      </c>
      <c r="AD10" s="124"/>
      <c r="AE10" s="135"/>
      <c r="AF10" s="136"/>
      <c r="AG10" s="137">
        <f t="shared" si="9"/>
        <v>0</v>
      </c>
      <c r="AH10" s="138" t="e">
        <f t="shared" si="8"/>
        <v>#DIV/0!</v>
      </c>
    </row>
    <row r="11" spans="2:37" s="109" customFormat="1" ht="21.95" customHeight="1" outlineLevel="1">
      <c r="B11" s="128" t="str">
        <f>MO!B7</f>
        <v>P05</v>
      </c>
      <c r="C11" s="140" t="str">
        <f>MO!C7</f>
        <v>Carpinteiro</v>
      </c>
      <c r="D11" s="141" t="s">
        <v>123</v>
      </c>
      <c r="E11" s="131">
        <f>MO!K7</f>
        <v>19.767954545454543</v>
      </c>
      <c r="F11" s="132"/>
      <c r="G11" s="133"/>
      <c r="H11" s="134">
        <f t="shared" si="0"/>
        <v>0</v>
      </c>
      <c r="I11" s="132"/>
      <c r="J11" s="142"/>
      <c r="K11" s="134">
        <f t="shared" si="1"/>
        <v>0</v>
      </c>
      <c r="L11" s="132"/>
      <c r="M11" s="142"/>
      <c r="N11" s="134">
        <f t="shared" si="2"/>
        <v>0</v>
      </c>
      <c r="O11" s="132"/>
      <c r="P11" s="142"/>
      <c r="Q11" s="134">
        <f t="shared" si="3"/>
        <v>0</v>
      </c>
      <c r="R11" s="132"/>
      <c r="S11" s="142"/>
      <c r="T11" s="134">
        <f t="shared" si="4"/>
        <v>0</v>
      </c>
      <c r="U11" s="132"/>
      <c r="V11" s="142"/>
      <c r="W11" s="134">
        <f t="shared" si="5"/>
        <v>0</v>
      </c>
      <c r="X11" s="132"/>
      <c r="Y11" s="142"/>
      <c r="Z11" s="134">
        <f t="shared" si="6"/>
        <v>0</v>
      </c>
      <c r="AA11" s="132"/>
      <c r="AB11" s="142"/>
      <c r="AC11" s="134">
        <f t="shared" si="7"/>
        <v>0</v>
      </c>
      <c r="AD11" s="143"/>
      <c r="AE11" s="135"/>
      <c r="AF11" s="136"/>
      <c r="AG11" s="137">
        <f t="shared" si="9"/>
        <v>0</v>
      </c>
      <c r="AH11" s="138" t="e">
        <f t="shared" si="8"/>
        <v>#DIV/0!</v>
      </c>
    </row>
    <row r="12" spans="2:37" s="109" customFormat="1" ht="21.95" customHeight="1" outlineLevel="1">
      <c r="B12" s="128" t="str">
        <f>MO!B8</f>
        <v>P06</v>
      </c>
      <c r="C12" s="140" t="str">
        <f>MO!C8</f>
        <v>Eletricista</v>
      </c>
      <c r="D12" s="141" t="s">
        <v>123</v>
      </c>
      <c r="E12" s="131">
        <f>MO!K8</f>
        <v>26.023636363636363</v>
      </c>
      <c r="F12" s="132"/>
      <c r="G12" s="133"/>
      <c r="H12" s="134">
        <f t="shared" si="0"/>
        <v>0</v>
      </c>
      <c r="I12" s="132"/>
      <c r="J12" s="142"/>
      <c r="K12" s="134">
        <f t="shared" si="1"/>
        <v>0</v>
      </c>
      <c r="L12" s="132"/>
      <c r="M12" s="142"/>
      <c r="N12" s="134">
        <f t="shared" si="2"/>
        <v>0</v>
      </c>
      <c r="O12" s="132"/>
      <c r="P12" s="142"/>
      <c r="Q12" s="134">
        <f t="shared" si="3"/>
        <v>0</v>
      </c>
      <c r="R12" s="132"/>
      <c r="S12" s="142"/>
      <c r="T12" s="134">
        <f t="shared" si="4"/>
        <v>0</v>
      </c>
      <c r="U12" s="132"/>
      <c r="V12" s="133"/>
      <c r="W12" s="134">
        <f t="shared" si="5"/>
        <v>0</v>
      </c>
      <c r="X12" s="132"/>
      <c r="Y12" s="142"/>
      <c r="Z12" s="134">
        <f t="shared" si="6"/>
        <v>0</v>
      </c>
      <c r="AA12" s="132"/>
      <c r="AB12" s="142"/>
      <c r="AC12" s="134">
        <f t="shared" si="7"/>
        <v>0</v>
      </c>
      <c r="AD12" s="143"/>
      <c r="AE12" s="135"/>
      <c r="AF12" s="136"/>
      <c r="AG12" s="137">
        <f t="shared" si="9"/>
        <v>0</v>
      </c>
      <c r="AH12" s="138" t="e">
        <f t="shared" si="8"/>
        <v>#DIV/0!</v>
      </c>
    </row>
    <row r="13" spans="2:37" s="109" customFormat="1" ht="21.95" customHeight="1" outlineLevel="1">
      <c r="B13" s="128" t="str">
        <f>MO!B9</f>
        <v>P07</v>
      </c>
      <c r="C13" s="140" t="str">
        <f>MO!C9</f>
        <v>Ajudante</v>
      </c>
      <c r="D13" s="141" t="s">
        <v>123</v>
      </c>
      <c r="E13" s="131">
        <f>MO!K9</f>
        <v>13.962681818181817</v>
      </c>
      <c r="F13" s="132"/>
      <c r="G13" s="133"/>
      <c r="H13" s="134">
        <f t="shared" si="0"/>
        <v>0</v>
      </c>
      <c r="I13" s="132"/>
      <c r="J13" s="133"/>
      <c r="K13" s="134">
        <f t="shared" si="1"/>
        <v>0</v>
      </c>
      <c r="L13" s="132"/>
      <c r="M13" s="133"/>
      <c r="N13" s="134">
        <f t="shared" si="2"/>
        <v>0</v>
      </c>
      <c r="O13" s="132"/>
      <c r="P13" s="133"/>
      <c r="Q13" s="134">
        <f t="shared" si="3"/>
        <v>0</v>
      </c>
      <c r="R13" s="132"/>
      <c r="S13" s="133"/>
      <c r="T13" s="134">
        <f t="shared" si="4"/>
        <v>0</v>
      </c>
      <c r="U13" s="132"/>
      <c r="V13" s="133"/>
      <c r="W13" s="134">
        <f t="shared" si="5"/>
        <v>0</v>
      </c>
      <c r="X13" s="132"/>
      <c r="Y13" s="133"/>
      <c r="Z13" s="134">
        <f t="shared" si="6"/>
        <v>0</v>
      </c>
      <c r="AA13" s="132"/>
      <c r="AB13" s="133"/>
      <c r="AC13" s="134">
        <f t="shared" si="7"/>
        <v>0</v>
      </c>
      <c r="AD13" s="143"/>
      <c r="AE13" s="135"/>
      <c r="AF13" s="136"/>
      <c r="AG13" s="137">
        <f t="shared" si="9"/>
        <v>0</v>
      </c>
      <c r="AH13" s="138" t="e">
        <f t="shared" si="8"/>
        <v>#DIV/0!</v>
      </c>
    </row>
    <row r="14" spans="2:37" s="109" customFormat="1" ht="21.95" customHeight="1" outlineLevel="1">
      <c r="B14" s="128" t="str">
        <f>MO!B10</f>
        <v>P08</v>
      </c>
      <c r="C14" s="140" t="str">
        <f>MO!C10</f>
        <v>Armador</v>
      </c>
      <c r="D14" s="141" t="s">
        <v>123</v>
      </c>
      <c r="E14" s="131">
        <f>MO!K10</f>
        <v>19.767954545454543</v>
      </c>
      <c r="F14" s="132"/>
      <c r="G14" s="133"/>
      <c r="H14" s="134">
        <f t="shared" si="0"/>
        <v>0</v>
      </c>
      <c r="I14" s="145"/>
      <c r="J14" s="133"/>
      <c r="K14" s="134">
        <f t="shared" si="1"/>
        <v>0</v>
      </c>
      <c r="L14" s="132"/>
      <c r="M14" s="133"/>
      <c r="N14" s="134">
        <f>M14*L14*$E14</f>
        <v>0</v>
      </c>
      <c r="O14" s="145"/>
      <c r="P14" s="133"/>
      <c r="Q14" s="134">
        <f t="shared" si="3"/>
        <v>0</v>
      </c>
      <c r="R14" s="132"/>
      <c r="S14" s="133"/>
      <c r="T14" s="134">
        <f t="shared" si="4"/>
        <v>0</v>
      </c>
      <c r="U14" s="145"/>
      <c r="V14" s="133"/>
      <c r="W14" s="134">
        <f t="shared" si="5"/>
        <v>0</v>
      </c>
      <c r="X14" s="145"/>
      <c r="Y14" s="133"/>
      <c r="Z14" s="134">
        <f t="shared" si="6"/>
        <v>0</v>
      </c>
      <c r="AA14" s="145"/>
      <c r="AB14" s="133"/>
      <c r="AC14" s="134">
        <f t="shared" si="7"/>
        <v>0</v>
      </c>
      <c r="AD14" s="143"/>
      <c r="AE14" s="135"/>
      <c r="AF14" s="136"/>
      <c r="AG14" s="137">
        <f t="shared" si="9"/>
        <v>0</v>
      </c>
      <c r="AH14" s="138" t="e">
        <f t="shared" si="8"/>
        <v>#DIV/0!</v>
      </c>
    </row>
    <row r="15" spans="2:37" s="109" customFormat="1" ht="21.95" customHeight="1" outlineLevel="1">
      <c r="B15" s="128" t="str">
        <f>MO!B11</f>
        <v>P09</v>
      </c>
      <c r="C15" s="140" t="str">
        <f>MO!C11</f>
        <v>Engenheiro</v>
      </c>
      <c r="D15" s="141" t="s">
        <v>123</v>
      </c>
      <c r="E15" s="131">
        <f>MO!K11</f>
        <v>112.30200000000001</v>
      </c>
      <c r="F15" s="132"/>
      <c r="G15" s="133"/>
      <c r="H15" s="134">
        <f t="shared" si="0"/>
        <v>0</v>
      </c>
      <c r="I15" s="145"/>
      <c r="J15" s="133"/>
      <c r="K15" s="134">
        <f t="shared" si="1"/>
        <v>0</v>
      </c>
      <c r="L15" s="132"/>
      <c r="M15" s="133"/>
      <c r="N15" s="134">
        <f t="shared" si="2"/>
        <v>0</v>
      </c>
      <c r="O15" s="145"/>
      <c r="P15" s="133"/>
      <c r="Q15" s="134">
        <f t="shared" si="3"/>
        <v>0</v>
      </c>
      <c r="R15" s="132"/>
      <c r="S15" s="133"/>
      <c r="T15" s="134">
        <f t="shared" si="4"/>
        <v>0</v>
      </c>
      <c r="U15" s="132"/>
      <c r="V15" s="133"/>
      <c r="W15" s="134">
        <f t="shared" si="5"/>
        <v>0</v>
      </c>
      <c r="X15" s="145"/>
      <c r="Y15" s="133"/>
      <c r="Z15" s="134">
        <f>Y15*X15*$E15</f>
        <v>0</v>
      </c>
      <c r="AA15" s="145"/>
      <c r="AB15" s="133"/>
      <c r="AC15" s="134">
        <f t="shared" si="7"/>
        <v>0</v>
      </c>
      <c r="AD15" s="143"/>
      <c r="AE15" s="135"/>
      <c r="AF15" s="136"/>
      <c r="AG15" s="137">
        <f t="shared" si="9"/>
        <v>0</v>
      </c>
      <c r="AH15" s="138" t="e">
        <f t="shared" si="8"/>
        <v>#DIV/0!</v>
      </c>
    </row>
    <row r="16" spans="2:37" s="109" customFormat="1" ht="21.95" customHeight="1" outlineLevel="1">
      <c r="B16" s="128" t="str">
        <f>MO!B12</f>
        <v>P10</v>
      </c>
      <c r="C16" s="140" t="str">
        <f>MO!C12</f>
        <v>Planejador</v>
      </c>
      <c r="D16" s="141" t="s">
        <v>123</v>
      </c>
      <c r="E16" s="131">
        <f>MO!K12</f>
        <v>60.054545454545455</v>
      </c>
      <c r="F16" s="132"/>
      <c r="G16" s="133"/>
      <c r="H16" s="134">
        <f t="shared" si="0"/>
        <v>0</v>
      </c>
      <c r="I16" s="145"/>
      <c r="J16" s="133"/>
      <c r="K16" s="134">
        <f t="shared" si="1"/>
        <v>0</v>
      </c>
      <c r="L16" s="132"/>
      <c r="M16" s="133"/>
      <c r="N16" s="134">
        <f>M16*L16*$E16</f>
        <v>0</v>
      </c>
      <c r="O16" s="145"/>
      <c r="P16" s="133"/>
      <c r="Q16" s="134">
        <f t="shared" si="3"/>
        <v>0</v>
      </c>
      <c r="R16" s="132"/>
      <c r="S16" s="133"/>
      <c r="T16" s="134">
        <f t="shared" si="4"/>
        <v>0</v>
      </c>
      <c r="U16" s="132"/>
      <c r="V16" s="133"/>
      <c r="W16" s="134">
        <f t="shared" si="5"/>
        <v>0</v>
      </c>
      <c r="X16" s="145"/>
      <c r="Y16" s="133"/>
      <c r="Z16" s="134">
        <f t="shared" si="6"/>
        <v>0</v>
      </c>
      <c r="AA16" s="145"/>
      <c r="AB16" s="133"/>
      <c r="AC16" s="134">
        <f t="shared" si="7"/>
        <v>0</v>
      </c>
      <c r="AD16" s="143"/>
      <c r="AE16" s="135"/>
      <c r="AF16" s="136"/>
      <c r="AG16" s="137">
        <f t="shared" si="9"/>
        <v>0</v>
      </c>
      <c r="AH16" s="138" t="e">
        <f t="shared" si="8"/>
        <v>#DIV/0!</v>
      </c>
    </row>
    <row r="17" spans="2:35" s="109" customFormat="1" ht="21.95" customHeight="1" outlineLevel="1">
      <c r="B17" s="128" t="str">
        <f>MO!B13</f>
        <v>P11</v>
      </c>
      <c r="C17" s="140" t="str">
        <f>MO!C13</f>
        <v>Tópografo</v>
      </c>
      <c r="D17" s="141" t="s">
        <v>123</v>
      </c>
      <c r="E17" s="131">
        <f>MO!K13</f>
        <v>38.034545454545452</v>
      </c>
      <c r="F17" s="132"/>
      <c r="G17" s="133"/>
      <c r="H17" s="134">
        <f t="shared" si="0"/>
        <v>0</v>
      </c>
      <c r="I17" s="145"/>
      <c r="J17" s="133"/>
      <c r="K17" s="134">
        <f t="shared" si="1"/>
        <v>0</v>
      </c>
      <c r="L17" s="132"/>
      <c r="M17" s="133"/>
      <c r="N17" s="134">
        <f>M17*L17*$E17</f>
        <v>0</v>
      </c>
      <c r="O17" s="145"/>
      <c r="P17" s="133"/>
      <c r="Q17" s="134">
        <f>P17*O17*$E17</f>
        <v>0</v>
      </c>
      <c r="R17" s="132"/>
      <c r="S17" s="133"/>
      <c r="T17" s="134">
        <f>S17*R17*$E17</f>
        <v>0</v>
      </c>
      <c r="U17" s="145"/>
      <c r="V17" s="133"/>
      <c r="W17" s="134">
        <f>V17*U17*$E17</f>
        <v>0</v>
      </c>
      <c r="X17" s="145"/>
      <c r="Y17" s="133"/>
      <c r="Z17" s="134">
        <f t="shared" si="6"/>
        <v>0</v>
      </c>
      <c r="AA17" s="145"/>
      <c r="AB17" s="133"/>
      <c r="AC17" s="134">
        <f>AB17*AA17*$E17</f>
        <v>0</v>
      </c>
      <c r="AD17" s="143"/>
      <c r="AE17" s="135"/>
      <c r="AF17" s="136"/>
      <c r="AG17" s="137">
        <f>K17*$K$3+Z17*$Z$3+H17*$H$3+N17*$N$3+Q17*$Q$3+T17*$T$3+W17*$W$3+AC17*$AC$3</f>
        <v>0</v>
      </c>
      <c r="AH17" s="138" t="e">
        <f t="shared" si="8"/>
        <v>#DIV/0!</v>
      </c>
    </row>
    <row r="18" spans="2:35" s="109" customFormat="1" ht="21.95" customHeight="1" outlineLevel="1">
      <c r="B18" s="128" t="str">
        <f>MO!B14</f>
        <v>P12</v>
      </c>
      <c r="C18" s="140" t="str">
        <f>MO!C14</f>
        <v>Auxiliar de Topografia</v>
      </c>
      <c r="D18" s="141" t="s">
        <v>123</v>
      </c>
      <c r="E18" s="131">
        <f>MO!K14</f>
        <v>17.015454545454546</v>
      </c>
      <c r="F18" s="132"/>
      <c r="G18" s="133"/>
      <c r="H18" s="134">
        <f t="shared" si="0"/>
        <v>0</v>
      </c>
      <c r="I18" s="145"/>
      <c r="J18" s="133"/>
      <c r="K18" s="134">
        <f t="shared" si="1"/>
        <v>0</v>
      </c>
      <c r="L18" s="132"/>
      <c r="M18" s="133"/>
      <c r="N18" s="134">
        <f>M18*L18*$E18</f>
        <v>0</v>
      </c>
      <c r="O18" s="145"/>
      <c r="P18" s="133"/>
      <c r="Q18" s="134">
        <f t="shared" si="3"/>
        <v>0</v>
      </c>
      <c r="R18" s="132"/>
      <c r="S18" s="133"/>
      <c r="T18" s="134">
        <f t="shared" si="4"/>
        <v>0</v>
      </c>
      <c r="U18" s="145"/>
      <c r="V18" s="133"/>
      <c r="W18" s="134">
        <f t="shared" si="5"/>
        <v>0</v>
      </c>
      <c r="X18" s="145"/>
      <c r="Y18" s="133"/>
      <c r="Z18" s="134">
        <f>Y18*X18*$E18</f>
        <v>0</v>
      </c>
      <c r="AA18" s="145"/>
      <c r="AB18" s="133"/>
      <c r="AC18" s="134">
        <f t="shared" si="7"/>
        <v>0</v>
      </c>
      <c r="AD18" s="143"/>
      <c r="AE18" s="135"/>
      <c r="AF18" s="136"/>
      <c r="AG18" s="137">
        <f t="shared" si="9"/>
        <v>0</v>
      </c>
      <c r="AH18" s="138" t="e">
        <f t="shared" si="8"/>
        <v>#DIV/0!</v>
      </c>
    </row>
    <row r="19" spans="2:35" s="109" customFormat="1" ht="21.95" customHeight="1" outlineLevel="1">
      <c r="B19" s="128" t="str">
        <f>MO!B15</f>
        <v>P13</v>
      </c>
      <c r="C19" s="140" t="str">
        <f>MO!C15</f>
        <v>Projetista</v>
      </c>
      <c r="D19" s="141" t="s">
        <v>123</v>
      </c>
      <c r="E19" s="131">
        <f>MO!K15</f>
        <v>70.063636363636363</v>
      </c>
      <c r="F19" s="132"/>
      <c r="G19" s="133"/>
      <c r="H19" s="134">
        <f t="shared" si="0"/>
        <v>0</v>
      </c>
      <c r="I19" s="145"/>
      <c r="J19" s="133"/>
      <c r="K19" s="134">
        <f t="shared" si="1"/>
        <v>0</v>
      </c>
      <c r="L19" s="132"/>
      <c r="M19" s="133"/>
      <c r="N19" s="134">
        <f>M19*L19*$E19</f>
        <v>0</v>
      </c>
      <c r="O19" s="145"/>
      <c r="P19" s="133"/>
      <c r="Q19" s="134">
        <f t="shared" si="3"/>
        <v>0</v>
      </c>
      <c r="R19" s="132"/>
      <c r="S19" s="133"/>
      <c r="T19" s="134">
        <f t="shared" si="4"/>
        <v>0</v>
      </c>
      <c r="U19" s="145"/>
      <c r="V19" s="133"/>
      <c r="W19" s="134">
        <f t="shared" si="5"/>
        <v>0</v>
      </c>
      <c r="X19" s="145"/>
      <c r="Y19" s="133"/>
      <c r="Z19" s="134">
        <f>Y19*X19*$E19</f>
        <v>0</v>
      </c>
      <c r="AA19" s="145"/>
      <c r="AB19" s="133"/>
      <c r="AC19" s="134">
        <f t="shared" si="7"/>
        <v>0</v>
      </c>
      <c r="AD19" s="143"/>
      <c r="AE19" s="135"/>
      <c r="AF19" s="136"/>
      <c r="AG19" s="137">
        <f t="shared" si="9"/>
        <v>0</v>
      </c>
      <c r="AH19" s="138" t="e">
        <f t="shared" si="8"/>
        <v>#DIV/0!</v>
      </c>
    </row>
    <row r="20" spans="2:35" s="109" customFormat="1" ht="21.95" customHeight="1" outlineLevel="1">
      <c r="B20" s="128" t="str">
        <f>MO!B16</f>
        <v>P14</v>
      </c>
      <c r="C20" s="140" t="str">
        <f>MO!C16</f>
        <v>Operador/motorista</v>
      </c>
      <c r="D20" s="141" t="s">
        <v>123</v>
      </c>
      <c r="E20" s="131">
        <f>MO!K16</f>
        <v>25.022727272727273</v>
      </c>
      <c r="F20" s="132"/>
      <c r="G20" s="133"/>
      <c r="H20" s="134">
        <f t="shared" si="0"/>
        <v>0</v>
      </c>
      <c r="I20" s="145"/>
      <c r="J20" s="133"/>
      <c r="K20" s="134">
        <f t="shared" si="1"/>
        <v>0</v>
      </c>
      <c r="L20" s="132"/>
      <c r="M20" s="133"/>
      <c r="N20" s="134">
        <f>M20*L20*$E20</f>
        <v>0</v>
      </c>
      <c r="O20" s="145"/>
      <c r="P20" s="133"/>
      <c r="Q20" s="134">
        <f>P20*O20*$E20</f>
        <v>0</v>
      </c>
      <c r="R20" s="132"/>
      <c r="S20" s="133"/>
      <c r="T20" s="134">
        <f>S20*R20*$E20</f>
        <v>0</v>
      </c>
      <c r="U20" s="145"/>
      <c r="V20" s="133"/>
      <c r="W20" s="134">
        <f>V20*U20*$E20</f>
        <v>0</v>
      </c>
      <c r="X20" s="145"/>
      <c r="Y20" s="133"/>
      <c r="Z20" s="134">
        <f t="shared" si="6"/>
        <v>0</v>
      </c>
      <c r="AA20" s="145"/>
      <c r="AB20" s="133"/>
      <c r="AC20" s="134">
        <f>AB20*AA20*$E20</f>
        <v>0</v>
      </c>
      <c r="AD20" s="143"/>
      <c r="AE20" s="135"/>
      <c r="AF20" s="136"/>
      <c r="AG20" s="137">
        <f>K20*$K$3+Z20*$Z$3+H20*$H$3+N20*$N$3+Q20*$Q$3+T20*$T$3+W20*$W$3+AC20*$AC$3</f>
        <v>0</v>
      </c>
      <c r="AH20" s="138" t="e">
        <f t="shared" si="8"/>
        <v>#DIV/0!</v>
      </c>
    </row>
    <row r="21" spans="2:35" s="109" customFormat="1" ht="21.95" customHeight="1" outlineLevel="1">
      <c r="B21" s="128" t="str">
        <f>MO!B17</f>
        <v>P15</v>
      </c>
      <c r="C21" s="140">
        <f>MO!C17</f>
        <v>0</v>
      </c>
      <c r="D21" s="141" t="s">
        <v>123</v>
      </c>
      <c r="E21" s="131">
        <f>MO!K17</f>
        <v>0</v>
      </c>
      <c r="F21" s="132"/>
      <c r="G21" s="133"/>
      <c r="H21" s="134">
        <f t="shared" si="0"/>
        <v>0</v>
      </c>
      <c r="I21" s="145"/>
      <c r="J21" s="133"/>
      <c r="K21" s="134">
        <f t="shared" si="1"/>
        <v>0</v>
      </c>
      <c r="L21" s="132"/>
      <c r="M21" s="133"/>
      <c r="N21" s="134">
        <f t="shared" si="2"/>
        <v>0</v>
      </c>
      <c r="O21" s="145"/>
      <c r="P21" s="133"/>
      <c r="Q21" s="134">
        <f t="shared" si="3"/>
        <v>0</v>
      </c>
      <c r="R21" s="145"/>
      <c r="S21" s="133"/>
      <c r="T21" s="134">
        <f t="shared" si="4"/>
        <v>0</v>
      </c>
      <c r="U21" s="145"/>
      <c r="V21" s="133"/>
      <c r="W21" s="134">
        <f t="shared" si="5"/>
        <v>0</v>
      </c>
      <c r="X21" s="145"/>
      <c r="Y21" s="133"/>
      <c r="Z21" s="134">
        <f>Y21*X21*$E21</f>
        <v>0</v>
      </c>
      <c r="AA21" s="145"/>
      <c r="AB21" s="133"/>
      <c r="AC21" s="134">
        <f t="shared" si="7"/>
        <v>0</v>
      </c>
      <c r="AD21" s="143"/>
      <c r="AE21" s="135"/>
      <c r="AF21" s="136"/>
      <c r="AG21" s="137">
        <f t="shared" si="9"/>
        <v>0</v>
      </c>
      <c r="AH21" s="138" t="e">
        <f t="shared" si="8"/>
        <v>#DIV/0!</v>
      </c>
    </row>
    <row r="22" spans="2:35" s="109" customFormat="1" ht="21.95" customHeight="1" outlineLevel="1" thickBot="1">
      <c r="B22" s="128" t="str">
        <f>MO!B18</f>
        <v>P16</v>
      </c>
      <c r="C22" s="140">
        <f>MO!C18</f>
        <v>0</v>
      </c>
      <c r="D22" s="141" t="s">
        <v>123</v>
      </c>
      <c r="E22" s="131">
        <f>MO!K18</f>
        <v>0</v>
      </c>
      <c r="F22" s="132"/>
      <c r="G22" s="133"/>
      <c r="H22" s="134">
        <f t="shared" si="0"/>
        <v>0</v>
      </c>
      <c r="I22" s="145"/>
      <c r="J22" s="133"/>
      <c r="K22" s="134">
        <f t="shared" si="1"/>
        <v>0</v>
      </c>
      <c r="L22" s="132"/>
      <c r="M22" s="133"/>
      <c r="N22" s="134">
        <f>M22*L22*$E22</f>
        <v>0</v>
      </c>
      <c r="O22" s="145"/>
      <c r="P22" s="133"/>
      <c r="Q22" s="134">
        <f t="shared" si="3"/>
        <v>0</v>
      </c>
      <c r="R22" s="145"/>
      <c r="S22" s="133"/>
      <c r="T22" s="134">
        <f t="shared" si="4"/>
        <v>0</v>
      </c>
      <c r="U22" s="145"/>
      <c r="V22" s="133"/>
      <c r="W22" s="134">
        <f t="shared" si="5"/>
        <v>0</v>
      </c>
      <c r="X22" s="145"/>
      <c r="Y22" s="133"/>
      <c r="Z22" s="134">
        <f t="shared" si="6"/>
        <v>0</v>
      </c>
      <c r="AA22" s="145"/>
      <c r="AB22" s="133"/>
      <c r="AC22" s="134">
        <f t="shared" si="7"/>
        <v>0</v>
      </c>
      <c r="AD22" s="143"/>
      <c r="AE22" s="135"/>
      <c r="AF22" s="136"/>
      <c r="AG22" s="137">
        <f t="shared" si="9"/>
        <v>0</v>
      </c>
      <c r="AH22" s="138" t="e">
        <f t="shared" si="8"/>
        <v>#DIV/0!</v>
      </c>
    </row>
    <row r="23" spans="2:35" s="109" customFormat="1" ht="21.95" customHeight="1" thickBot="1">
      <c r="B23" s="694" t="s">
        <v>33</v>
      </c>
      <c r="C23" s="695"/>
      <c r="D23" s="695"/>
      <c r="E23" s="695"/>
      <c r="F23" s="263">
        <f t="shared" ref="F23:AC23" si="10">SUM(F7:F22)</f>
        <v>0</v>
      </c>
      <c r="G23" s="264">
        <f>SUM(G7:G22)</f>
        <v>0</v>
      </c>
      <c r="H23" s="265">
        <f t="shared" si="10"/>
        <v>0</v>
      </c>
      <c r="I23" s="263">
        <f t="shared" si="10"/>
        <v>0</v>
      </c>
      <c r="J23" s="264">
        <f t="shared" si="10"/>
        <v>0</v>
      </c>
      <c r="K23" s="265">
        <f t="shared" si="10"/>
        <v>0</v>
      </c>
      <c r="L23" s="263">
        <f t="shared" si="10"/>
        <v>0</v>
      </c>
      <c r="M23" s="264">
        <f t="shared" si="10"/>
        <v>0</v>
      </c>
      <c r="N23" s="265">
        <f t="shared" si="10"/>
        <v>0</v>
      </c>
      <c r="O23" s="263">
        <f t="shared" si="10"/>
        <v>0</v>
      </c>
      <c r="P23" s="264">
        <f t="shared" si="10"/>
        <v>0</v>
      </c>
      <c r="Q23" s="265">
        <f t="shared" si="10"/>
        <v>0</v>
      </c>
      <c r="R23" s="263">
        <f t="shared" si="10"/>
        <v>0</v>
      </c>
      <c r="S23" s="264">
        <f t="shared" si="10"/>
        <v>0</v>
      </c>
      <c r="T23" s="265">
        <f t="shared" si="10"/>
        <v>0</v>
      </c>
      <c r="U23" s="263">
        <f t="shared" si="10"/>
        <v>0</v>
      </c>
      <c r="V23" s="264">
        <f t="shared" si="10"/>
        <v>0</v>
      </c>
      <c r="W23" s="265">
        <f t="shared" si="10"/>
        <v>0</v>
      </c>
      <c r="X23" s="263">
        <f t="shared" si="10"/>
        <v>0</v>
      </c>
      <c r="Y23" s="264">
        <f t="shared" si="10"/>
        <v>0</v>
      </c>
      <c r="Z23" s="265">
        <f t="shared" si="10"/>
        <v>0</v>
      </c>
      <c r="AA23" s="263">
        <f t="shared" si="10"/>
        <v>0</v>
      </c>
      <c r="AB23" s="264">
        <f t="shared" si="10"/>
        <v>0</v>
      </c>
      <c r="AC23" s="265">
        <f t="shared" si="10"/>
        <v>0</v>
      </c>
      <c r="AD23" s="143"/>
      <c r="AE23" s="263">
        <f>SUM(AE7:AE22)</f>
        <v>0</v>
      </c>
      <c r="AF23" s="264">
        <f>SUM(AF7:AF22)</f>
        <v>0</v>
      </c>
      <c r="AG23" s="265">
        <f>SUM(AG7:AG22)</f>
        <v>0</v>
      </c>
      <c r="AH23" s="138"/>
    </row>
    <row r="24" spans="2:35" s="109" customFormat="1" ht="21.95" customHeight="1" thickBot="1">
      <c r="B24" s="699" t="s">
        <v>124</v>
      </c>
      <c r="C24" s="700"/>
      <c r="D24" s="700"/>
      <c r="E24" s="701"/>
      <c r="F24" s="146"/>
      <c r="G24" s="146"/>
      <c r="H24" s="146"/>
      <c r="I24" s="146"/>
      <c r="J24" s="146"/>
      <c r="K24" s="146"/>
      <c r="L24" s="146"/>
      <c r="M24" s="146"/>
      <c r="N24" s="146"/>
      <c r="P24" s="146"/>
      <c r="Q24" s="146"/>
      <c r="S24" s="146"/>
      <c r="T24" s="146"/>
      <c r="V24" s="146"/>
      <c r="W24" s="146"/>
      <c r="Y24" s="146"/>
      <c r="Z24" s="146"/>
      <c r="AB24" s="146"/>
      <c r="AC24" s="146"/>
      <c r="AD24" s="143"/>
      <c r="AE24" s="147"/>
      <c r="AF24" s="147"/>
      <c r="AG24" s="147"/>
      <c r="AH24" s="138"/>
    </row>
    <row r="25" spans="2:35" s="127" customFormat="1" ht="21.95" customHeight="1" thickBot="1">
      <c r="B25" s="258" t="s">
        <v>163</v>
      </c>
      <c r="C25" s="259" t="s">
        <v>169</v>
      </c>
      <c r="D25" s="260" t="s">
        <v>30</v>
      </c>
      <c r="E25" s="261" t="s">
        <v>31</v>
      </c>
      <c r="F25" s="258" t="s">
        <v>6</v>
      </c>
      <c r="G25" s="261" t="s">
        <v>32</v>
      </c>
      <c r="H25" s="262" t="s">
        <v>5</v>
      </c>
      <c r="I25" s="258" t="s">
        <v>6</v>
      </c>
      <c r="J25" s="261" t="s">
        <v>32</v>
      </c>
      <c r="K25" s="262" t="s">
        <v>5</v>
      </c>
      <c r="L25" s="258" t="s">
        <v>6</v>
      </c>
      <c r="M25" s="261" t="s">
        <v>32</v>
      </c>
      <c r="N25" s="262" t="s">
        <v>5</v>
      </c>
      <c r="O25" s="258" t="s">
        <v>6</v>
      </c>
      <c r="P25" s="261" t="s">
        <v>32</v>
      </c>
      <c r="Q25" s="262" t="s">
        <v>5</v>
      </c>
      <c r="R25" s="258" t="s">
        <v>6</v>
      </c>
      <c r="S25" s="261" t="s">
        <v>32</v>
      </c>
      <c r="T25" s="262" t="s">
        <v>5</v>
      </c>
      <c r="U25" s="258" t="s">
        <v>6</v>
      </c>
      <c r="V25" s="261" t="s">
        <v>32</v>
      </c>
      <c r="W25" s="262" t="s">
        <v>5</v>
      </c>
      <c r="X25" s="258" t="s">
        <v>6</v>
      </c>
      <c r="Y25" s="261" t="s">
        <v>32</v>
      </c>
      <c r="Z25" s="262" t="s">
        <v>5</v>
      </c>
      <c r="AA25" s="258" t="s">
        <v>6</v>
      </c>
      <c r="AB25" s="261" t="s">
        <v>32</v>
      </c>
      <c r="AC25" s="262" t="s">
        <v>5</v>
      </c>
      <c r="AD25" s="124"/>
      <c r="AE25" s="258" t="s">
        <v>6</v>
      </c>
      <c r="AF25" s="261" t="s">
        <v>32</v>
      </c>
      <c r="AG25" s="262" t="s">
        <v>5</v>
      </c>
      <c r="AH25" s="125"/>
      <c r="AI25" s="126"/>
    </row>
    <row r="26" spans="2:35" s="109" customFormat="1" ht="21.95" customHeight="1" outlineLevel="1">
      <c r="B26" s="148" t="s">
        <v>431</v>
      </c>
      <c r="C26" s="156" t="s">
        <v>660</v>
      </c>
      <c r="D26" s="155" t="s">
        <v>177</v>
      </c>
      <c r="E26" s="158">
        <f>250+110+60+120+250</f>
        <v>790</v>
      </c>
      <c r="F26" s="145"/>
      <c r="G26" s="142"/>
      <c r="H26" s="134">
        <f t="shared" ref="H26:H32" si="11">G26*F26*$E26</f>
        <v>0</v>
      </c>
      <c r="I26" s="145"/>
      <c r="J26" s="142"/>
      <c r="K26" s="134">
        <f t="shared" ref="K26:K32" si="12">J26*I26*$E26</f>
        <v>0</v>
      </c>
      <c r="L26" s="145"/>
      <c r="M26" s="142"/>
      <c r="N26" s="134">
        <f t="shared" ref="N26:N32" si="13">M26*L26*$E26</f>
        <v>0</v>
      </c>
      <c r="O26" s="145"/>
      <c r="P26" s="142"/>
      <c r="Q26" s="134">
        <f t="shared" ref="Q26:Q79" si="14">P26*O26*$E26</f>
        <v>0</v>
      </c>
      <c r="R26" s="145"/>
      <c r="S26" s="142"/>
      <c r="T26" s="134">
        <f t="shared" ref="T26:T79" si="15">S26*R26*$E26</f>
        <v>0</v>
      </c>
      <c r="U26" s="145"/>
      <c r="V26" s="142"/>
      <c r="W26" s="134">
        <f t="shared" ref="W26:W79" si="16">V26*U26*$E26</f>
        <v>0</v>
      </c>
      <c r="X26" s="145"/>
      <c r="Y26" s="142"/>
      <c r="Z26" s="134">
        <f t="shared" ref="Z26:Z50" si="17">Y26*X26*$E26</f>
        <v>0</v>
      </c>
      <c r="AA26" s="145"/>
      <c r="AB26" s="142"/>
      <c r="AC26" s="134">
        <f t="shared" ref="AC26:AC79" si="18">AB26*AA26*$E26</f>
        <v>0</v>
      </c>
      <c r="AD26" s="152"/>
      <c r="AE26" s="153"/>
      <c r="AF26" s="154"/>
      <c r="AG26" s="137">
        <f t="shared" ref="AG26:AG79" si="19">K26*$K$3+Z26*$Z$3+H26*$H$3+N26*$N$3+Q26*$Q$3+T26*$T$3+W26*$W$3+AC26*$AC$3</f>
        <v>0</v>
      </c>
      <c r="AH26" s="138" t="e">
        <f t="shared" ref="AH26:AH57" si="20">AG26/$AG$162</f>
        <v>#DIV/0!</v>
      </c>
    </row>
    <row r="27" spans="2:35" s="109" customFormat="1" ht="21.95" customHeight="1" outlineLevel="1">
      <c r="B27" s="148" t="s">
        <v>432</v>
      </c>
      <c r="C27" s="156" t="s">
        <v>520</v>
      </c>
      <c r="D27" s="150" t="s">
        <v>498</v>
      </c>
      <c r="E27" s="158">
        <v>4000</v>
      </c>
      <c r="F27" s="145"/>
      <c r="G27" s="142"/>
      <c r="H27" s="134">
        <f t="shared" si="11"/>
        <v>0</v>
      </c>
      <c r="I27" s="145"/>
      <c r="J27" s="142"/>
      <c r="K27" s="134">
        <f t="shared" si="12"/>
        <v>0</v>
      </c>
      <c r="L27" s="145"/>
      <c r="M27" s="142"/>
      <c r="N27" s="134">
        <f t="shared" si="13"/>
        <v>0</v>
      </c>
      <c r="O27" s="145"/>
      <c r="P27" s="142"/>
      <c r="Q27" s="134">
        <f t="shared" si="14"/>
        <v>0</v>
      </c>
      <c r="R27" s="145"/>
      <c r="S27" s="142"/>
      <c r="T27" s="134">
        <f t="shared" si="15"/>
        <v>0</v>
      </c>
      <c r="U27" s="145"/>
      <c r="V27" s="142"/>
      <c r="W27" s="134">
        <f t="shared" si="16"/>
        <v>0</v>
      </c>
      <c r="X27" s="145"/>
      <c r="Y27" s="142"/>
      <c r="Z27" s="134">
        <f t="shared" si="17"/>
        <v>0</v>
      </c>
      <c r="AA27" s="145"/>
      <c r="AB27" s="142"/>
      <c r="AC27" s="134">
        <f t="shared" si="18"/>
        <v>0</v>
      </c>
      <c r="AD27" s="152"/>
      <c r="AE27" s="153"/>
      <c r="AF27" s="154"/>
      <c r="AG27" s="137">
        <f t="shared" si="19"/>
        <v>0</v>
      </c>
      <c r="AH27" s="138" t="e">
        <f t="shared" si="20"/>
        <v>#DIV/0!</v>
      </c>
    </row>
    <row r="28" spans="2:35" s="109" customFormat="1" ht="21.95" customHeight="1" outlineLevel="1">
      <c r="B28" s="148" t="s">
        <v>433</v>
      </c>
      <c r="C28" s="149" t="s">
        <v>535</v>
      </c>
      <c r="D28" s="155" t="s">
        <v>390</v>
      </c>
      <c r="E28" s="151">
        <v>350</v>
      </c>
      <c r="F28" s="145"/>
      <c r="G28" s="142"/>
      <c r="H28" s="134">
        <f t="shared" si="11"/>
        <v>0</v>
      </c>
      <c r="I28" s="145"/>
      <c r="J28" s="142"/>
      <c r="K28" s="134">
        <f t="shared" si="12"/>
        <v>0</v>
      </c>
      <c r="L28" s="145"/>
      <c r="M28" s="142"/>
      <c r="N28" s="134">
        <f t="shared" si="13"/>
        <v>0</v>
      </c>
      <c r="O28" s="145"/>
      <c r="P28" s="142"/>
      <c r="Q28" s="134">
        <f t="shared" si="14"/>
        <v>0</v>
      </c>
      <c r="R28" s="145"/>
      <c r="S28" s="142"/>
      <c r="T28" s="134">
        <f t="shared" si="15"/>
        <v>0</v>
      </c>
      <c r="U28" s="145"/>
      <c r="V28" s="142"/>
      <c r="W28" s="134">
        <f t="shared" si="16"/>
        <v>0</v>
      </c>
      <c r="X28" s="145"/>
      <c r="Y28" s="142"/>
      <c r="Z28" s="134">
        <f t="shared" si="17"/>
        <v>0</v>
      </c>
      <c r="AA28" s="145"/>
      <c r="AB28" s="142"/>
      <c r="AC28" s="134">
        <f t="shared" si="18"/>
        <v>0</v>
      </c>
      <c r="AD28" s="152"/>
      <c r="AE28" s="153"/>
      <c r="AF28" s="154"/>
      <c r="AG28" s="137">
        <f t="shared" si="19"/>
        <v>0</v>
      </c>
      <c r="AH28" s="138" t="e">
        <f t="shared" si="20"/>
        <v>#DIV/0!</v>
      </c>
    </row>
    <row r="29" spans="2:35" s="109" customFormat="1" ht="21.95" customHeight="1" outlineLevel="1">
      <c r="B29" s="148" t="s">
        <v>235</v>
      </c>
      <c r="C29" s="149" t="s">
        <v>679</v>
      </c>
      <c r="D29" s="155" t="s">
        <v>495</v>
      </c>
      <c r="E29" s="151">
        <v>3500</v>
      </c>
      <c r="F29" s="145"/>
      <c r="G29" s="142"/>
      <c r="H29" s="134">
        <f t="shared" si="11"/>
        <v>0</v>
      </c>
      <c r="I29" s="145"/>
      <c r="J29" s="142"/>
      <c r="K29" s="134">
        <f t="shared" si="12"/>
        <v>0</v>
      </c>
      <c r="L29" s="145"/>
      <c r="M29" s="142"/>
      <c r="N29" s="134">
        <f t="shared" si="13"/>
        <v>0</v>
      </c>
      <c r="O29" s="145"/>
      <c r="P29" s="142"/>
      <c r="Q29" s="134">
        <f t="shared" si="14"/>
        <v>0</v>
      </c>
      <c r="R29" s="145"/>
      <c r="S29" s="142"/>
      <c r="T29" s="134">
        <f t="shared" si="15"/>
        <v>0</v>
      </c>
      <c r="U29" s="145"/>
      <c r="V29" s="142"/>
      <c r="W29" s="134">
        <f t="shared" si="16"/>
        <v>0</v>
      </c>
      <c r="X29" s="145"/>
      <c r="Y29" s="142"/>
      <c r="Z29" s="134">
        <f t="shared" si="17"/>
        <v>0</v>
      </c>
      <c r="AA29" s="145"/>
      <c r="AB29" s="142"/>
      <c r="AC29" s="134">
        <f t="shared" si="18"/>
        <v>0</v>
      </c>
      <c r="AD29" s="152"/>
      <c r="AE29" s="153"/>
      <c r="AF29" s="154"/>
      <c r="AG29" s="137">
        <f t="shared" si="19"/>
        <v>0</v>
      </c>
      <c r="AH29" s="138" t="e">
        <f t="shared" si="20"/>
        <v>#DIV/0!</v>
      </c>
    </row>
    <row r="30" spans="2:35" s="109" customFormat="1" ht="21.95" customHeight="1" outlineLevel="1">
      <c r="B30" s="148" t="s">
        <v>434</v>
      </c>
      <c r="C30" s="156" t="s">
        <v>505</v>
      </c>
      <c r="D30" s="155" t="s">
        <v>196</v>
      </c>
      <c r="E30" s="158">
        <v>800</v>
      </c>
      <c r="F30" s="145"/>
      <c r="G30" s="142"/>
      <c r="H30" s="134">
        <f t="shared" si="11"/>
        <v>0</v>
      </c>
      <c r="I30" s="145"/>
      <c r="J30" s="142"/>
      <c r="K30" s="134">
        <f t="shared" si="12"/>
        <v>0</v>
      </c>
      <c r="L30" s="145"/>
      <c r="M30" s="142"/>
      <c r="N30" s="134">
        <f t="shared" si="13"/>
        <v>0</v>
      </c>
      <c r="O30" s="145"/>
      <c r="P30" s="142"/>
      <c r="Q30" s="134">
        <f t="shared" si="14"/>
        <v>0</v>
      </c>
      <c r="R30" s="145"/>
      <c r="S30" s="142"/>
      <c r="T30" s="134">
        <f t="shared" si="15"/>
        <v>0</v>
      </c>
      <c r="U30" s="145"/>
      <c r="V30" s="142"/>
      <c r="W30" s="134">
        <f t="shared" si="16"/>
        <v>0</v>
      </c>
      <c r="X30" s="145"/>
      <c r="Y30" s="142"/>
      <c r="Z30" s="134">
        <f t="shared" si="17"/>
        <v>0</v>
      </c>
      <c r="AA30" s="145"/>
      <c r="AB30" s="142"/>
      <c r="AC30" s="134">
        <f t="shared" si="18"/>
        <v>0</v>
      </c>
      <c r="AD30" s="152"/>
      <c r="AE30" s="153"/>
      <c r="AF30" s="154"/>
      <c r="AG30" s="137">
        <f t="shared" si="19"/>
        <v>0</v>
      </c>
      <c r="AH30" s="138" t="e">
        <f t="shared" si="20"/>
        <v>#DIV/0!</v>
      </c>
    </row>
    <row r="31" spans="2:35" s="109" customFormat="1" ht="21.95" customHeight="1" outlineLevel="1">
      <c r="B31" s="148" t="s">
        <v>435</v>
      </c>
      <c r="C31" s="149" t="s">
        <v>689</v>
      </c>
      <c r="D31" s="150" t="s">
        <v>390</v>
      </c>
      <c r="E31" s="151">
        <v>420</v>
      </c>
      <c r="F31" s="145"/>
      <c r="G31" s="142"/>
      <c r="H31" s="134">
        <f t="shared" si="11"/>
        <v>0</v>
      </c>
      <c r="I31" s="145"/>
      <c r="J31" s="142"/>
      <c r="K31" s="134">
        <f t="shared" si="12"/>
        <v>0</v>
      </c>
      <c r="L31" s="145"/>
      <c r="M31" s="142"/>
      <c r="N31" s="134">
        <f t="shared" si="13"/>
        <v>0</v>
      </c>
      <c r="O31" s="145"/>
      <c r="P31" s="142"/>
      <c r="Q31" s="134">
        <f t="shared" si="14"/>
        <v>0</v>
      </c>
      <c r="R31" s="145"/>
      <c r="S31" s="142"/>
      <c r="T31" s="134">
        <f t="shared" si="15"/>
        <v>0</v>
      </c>
      <c r="U31" s="145"/>
      <c r="V31" s="142"/>
      <c r="W31" s="134">
        <f t="shared" si="16"/>
        <v>0</v>
      </c>
      <c r="X31" s="145"/>
      <c r="Y31" s="142"/>
      <c r="Z31" s="134">
        <f t="shared" si="17"/>
        <v>0</v>
      </c>
      <c r="AA31" s="145"/>
      <c r="AB31" s="142"/>
      <c r="AC31" s="134">
        <f t="shared" si="18"/>
        <v>0</v>
      </c>
      <c r="AD31" s="152"/>
      <c r="AE31" s="153"/>
      <c r="AF31" s="154"/>
      <c r="AG31" s="137">
        <f t="shared" si="19"/>
        <v>0</v>
      </c>
      <c r="AH31" s="138" t="e">
        <f t="shared" si="20"/>
        <v>#DIV/0!</v>
      </c>
    </row>
    <row r="32" spans="2:35" s="109" customFormat="1" ht="21.95" customHeight="1" outlineLevel="1">
      <c r="B32" s="148" t="s">
        <v>236</v>
      </c>
      <c r="C32" s="149" t="s">
        <v>490</v>
      </c>
      <c r="D32" s="155" t="s">
        <v>390</v>
      </c>
      <c r="E32" s="151">
        <v>480</v>
      </c>
      <c r="F32" s="145"/>
      <c r="G32" s="142"/>
      <c r="H32" s="134">
        <f t="shared" si="11"/>
        <v>0</v>
      </c>
      <c r="I32" s="145"/>
      <c r="J32" s="142"/>
      <c r="K32" s="134">
        <f t="shared" si="12"/>
        <v>0</v>
      </c>
      <c r="L32" s="145"/>
      <c r="M32" s="142"/>
      <c r="N32" s="134">
        <f t="shared" si="13"/>
        <v>0</v>
      </c>
      <c r="O32" s="145"/>
      <c r="P32" s="142"/>
      <c r="Q32" s="134">
        <f t="shared" si="14"/>
        <v>0</v>
      </c>
      <c r="R32" s="145"/>
      <c r="S32" s="142"/>
      <c r="T32" s="134">
        <f t="shared" si="15"/>
        <v>0</v>
      </c>
      <c r="U32" s="145"/>
      <c r="V32" s="142"/>
      <c r="W32" s="134">
        <f t="shared" si="16"/>
        <v>0</v>
      </c>
      <c r="X32" s="145"/>
      <c r="Y32" s="142"/>
      <c r="Z32" s="134">
        <f t="shared" si="17"/>
        <v>0</v>
      </c>
      <c r="AA32" s="145"/>
      <c r="AB32" s="142"/>
      <c r="AC32" s="134">
        <f t="shared" si="18"/>
        <v>0</v>
      </c>
      <c r="AD32" s="152"/>
      <c r="AE32" s="153"/>
      <c r="AF32" s="154"/>
      <c r="AG32" s="137">
        <f t="shared" si="19"/>
        <v>0</v>
      </c>
      <c r="AH32" s="138" t="e">
        <f t="shared" si="20"/>
        <v>#DIV/0!</v>
      </c>
    </row>
    <row r="33" spans="2:34" s="109" customFormat="1" ht="21.95" customHeight="1" outlineLevel="1">
      <c r="B33" s="148" t="s">
        <v>436</v>
      </c>
      <c r="C33" s="149" t="s">
        <v>400</v>
      </c>
      <c r="D33" s="150" t="s">
        <v>390</v>
      </c>
      <c r="E33" s="151">
        <v>250</v>
      </c>
      <c r="F33" s="145"/>
      <c r="G33" s="142"/>
      <c r="H33" s="134">
        <f t="shared" ref="H33:H42" si="21">G33*F33*$E33</f>
        <v>0</v>
      </c>
      <c r="I33" s="145"/>
      <c r="J33" s="142"/>
      <c r="K33" s="134">
        <f t="shared" ref="K33:K42" si="22">J33*I33*$E33</f>
        <v>0</v>
      </c>
      <c r="L33" s="145"/>
      <c r="M33" s="142"/>
      <c r="N33" s="134">
        <f t="shared" ref="N33:N42" si="23">M33*L33*$E33</f>
        <v>0</v>
      </c>
      <c r="O33" s="145"/>
      <c r="P33" s="142"/>
      <c r="Q33" s="134">
        <f t="shared" si="14"/>
        <v>0</v>
      </c>
      <c r="R33" s="145"/>
      <c r="S33" s="142"/>
      <c r="T33" s="134">
        <f t="shared" si="15"/>
        <v>0</v>
      </c>
      <c r="U33" s="145"/>
      <c r="V33" s="142"/>
      <c r="W33" s="134">
        <f t="shared" si="16"/>
        <v>0</v>
      </c>
      <c r="X33" s="145"/>
      <c r="Y33" s="142"/>
      <c r="Z33" s="134">
        <f t="shared" si="17"/>
        <v>0</v>
      </c>
      <c r="AA33" s="145"/>
      <c r="AB33" s="142"/>
      <c r="AC33" s="134">
        <f t="shared" si="18"/>
        <v>0</v>
      </c>
      <c r="AD33" s="152"/>
      <c r="AE33" s="153"/>
      <c r="AF33" s="154"/>
      <c r="AG33" s="137">
        <f t="shared" si="19"/>
        <v>0</v>
      </c>
      <c r="AH33" s="138" t="e">
        <f t="shared" si="20"/>
        <v>#DIV/0!</v>
      </c>
    </row>
    <row r="34" spans="2:34" s="109" customFormat="1" ht="21.95" customHeight="1" outlineLevel="1">
      <c r="B34" s="148" t="s">
        <v>437</v>
      </c>
      <c r="C34" s="149" t="s">
        <v>493</v>
      </c>
      <c r="D34" s="150" t="s">
        <v>498</v>
      </c>
      <c r="E34" s="151">
        <v>40000</v>
      </c>
      <c r="F34" s="145"/>
      <c r="G34" s="142"/>
      <c r="H34" s="134">
        <f t="shared" si="21"/>
        <v>0</v>
      </c>
      <c r="I34" s="145"/>
      <c r="J34" s="142"/>
      <c r="K34" s="134">
        <f t="shared" si="22"/>
        <v>0</v>
      </c>
      <c r="L34" s="145"/>
      <c r="M34" s="142"/>
      <c r="N34" s="134">
        <f t="shared" si="23"/>
        <v>0</v>
      </c>
      <c r="O34" s="145"/>
      <c r="P34" s="142"/>
      <c r="Q34" s="134">
        <f t="shared" si="14"/>
        <v>0</v>
      </c>
      <c r="R34" s="145"/>
      <c r="S34" s="142"/>
      <c r="T34" s="134">
        <f t="shared" si="15"/>
        <v>0</v>
      </c>
      <c r="U34" s="145"/>
      <c r="V34" s="142"/>
      <c r="W34" s="134">
        <f t="shared" si="16"/>
        <v>0</v>
      </c>
      <c r="X34" s="145"/>
      <c r="Y34" s="142"/>
      <c r="Z34" s="134">
        <f t="shared" si="17"/>
        <v>0</v>
      </c>
      <c r="AA34" s="145"/>
      <c r="AB34" s="142"/>
      <c r="AC34" s="134">
        <f t="shared" si="18"/>
        <v>0</v>
      </c>
      <c r="AD34" s="152"/>
      <c r="AE34" s="153"/>
      <c r="AF34" s="154"/>
      <c r="AG34" s="137">
        <f t="shared" si="19"/>
        <v>0</v>
      </c>
      <c r="AH34" s="138" t="e">
        <f t="shared" si="20"/>
        <v>#DIV/0!</v>
      </c>
    </row>
    <row r="35" spans="2:34" s="109" customFormat="1" ht="21.95" customHeight="1" outlineLevel="1">
      <c r="B35" s="148" t="s">
        <v>180</v>
      </c>
      <c r="C35" s="149" t="s">
        <v>403</v>
      </c>
      <c r="D35" s="155" t="s">
        <v>390</v>
      </c>
      <c r="E35" s="151">
        <v>450</v>
      </c>
      <c r="F35" s="145"/>
      <c r="G35" s="142"/>
      <c r="H35" s="134">
        <f t="shared" si="21"/>
        <v>0</v>
      </c>
      <c r="I35" s="145"/>
      <c r="J35" s="142"/>
      <c r="K35" s="134">
        <f t="shared" si="22"/>
        <v>0</v>
      </c>
      <c r="L35" s="145"/>
      <c r="M35" s="142"/>
      <c r="N35" s="134">
        <f t="shared" si="23"/>
        <v>0</v>
      </c>
      <c r="O35" s="145"/>
      <c r="P35" s="142"/>
      <c r="Q35" s="134">
        <f t="shared" si="14"/>
        <v>0</v>
      </c>
      <c r="R35" s="145"/>
      <c r="S35" s="142"/>
      <c r="T35" s="134">
        <f t="shared" si="15"/>
        <v>0</v>
      </c>
      <c r="U35" s="145"/>
      <c r="V35" s="142"/>
      <c r="W35" s="134">
        <f t="shared" si="16"/>
        <v>0</v>
      </c>
      <c r="X35" s="145"/>
      <c r="Y35" s="142"/>
      <c r="Z35" s="134">
        <f t="shared" si="17"/>
        <v>0</v>
      </c>
      <c r="AA35" s="145"/>
      <c r="AB35" s="142"/>
      <c r="AC35" s="134">
        <f t="shared" si="18"/>
        <v>0</v>
      </c>
      <c r="AD35" s="152"/>
      <c r="AE35" s="153"/>
      <c r="AF35" s="154"/>
      <c r="AG35" s="137">
        <f t="shared" si="19"/>
        <v>0</v>
      </c>
      <c r="AH35" s="138" t="e">
        <f t="shared" si="20"/>
        <v>#DIV/0!</v>
      </c>
    </row>
    <row r="36" spans="2:34" s="109" customFormat="1" ht="21.95" customHeight="1" outlineLevel="1">
      <c r="B36" s="148" t="s">
        <v>181</v>
      </c>
      <c r="C36" s="149" t="s">
        <v>487</v>
      </c>
      <c r="D36" s="150" t="s">
        <v>390</v>
      </c>
      <c r="E36" s="151">
        <v>1200</v>
      </c>
      <c r="F36" s="145"/>
      <c r="G36" s="142"/>
      <c r="H36" s="134">
        <f t="shared" si="21"/>
        <v>0</v>
      </c>
      <c r="I36" s="145"/>
      <c r="J36" s="142"/>
      <c r="K36" s="134">
        <f t="shared" si="22"/>
        <v>0</v>
      </c>
      <c r="L36" s="145"/>
      <c r="M36" s="142"/>
      <c r="N36" s="134">
        <f t="shared" si="23"/>
        <v>0</v>
      </c>
      <c r="O36" s="145"/>
      <c r="P36" s="142"/>
      <c r="Q36" s="134">
        <f t="shared" si="14"/>
        <v>0</v>
      </c>
      <c r="R36" s="145"/>
      <c r="S36" s="142"/>
      <c r="T36" s="134">
        <f t="shared" si="15"/>
        <v>0</v>
      </c>
      <c r="U36" s="145"/>
      <c r="V36" s="142"/>
      <c r="W36" s="134">
        <f t="shared" si="16"/>
        <v>0</v>
      </c>
      <c r="X36" s="145"/>
      <c r="Y36" s="142"/>
      <c r="Z36" s="134">
        <f>Y36*X36*$E36</f>
        <v>0</v>
      </c>
      <c r="AA36" s="145"/>
      <c r="AB36" s="142"/>
      <c r="AC36" s="134">
        <f t="shared" si="18"/>
        <v>0</v>
      </c>
      <c r="AD36" s="152"/>
      <c r="AE36" s="153"/>
      <c r="AF36" s="154"/>
      <c r="AG36" s="137">
        <f t="shared" si="19"/>
        <v>0</v>
      </c>
      <c r="AH36" s="138" t="e">
        <f t="shared" si="20"/>
        <v>#DIV/0!</v>
      </c>
    </row>
    <row r="37" spans="2:34" s="109" customFormat="1" ht="36" customHeight="1" outlineLevel="1">
      <c r="B37" s="148" t="s">
        <v>237</v>
      </c>
      <c r="C37" s="149" t="s">
        <v>497</v>
      </c>
      <c r="D37" s="150" t="s">
        <v>496</v>
      </c>
      <c r="E37" s="151">
        <v>1200</v>
      </c>
      <c r="F37" s="145"/>
      <c r="G37" s="142"/>
      <c r="H37" s="134">
        <f t="shared" si="21"/>
        <v>0</v>
      </c>
      <c r="I37" s="145"/>
      <c r="J37" s="142"/>
      <c r="K37" s="134">
        <f t="shared" si="22"/>
        <v>0</v>
      </c>
      <c r="L37" s="145"/>
      <c r="M37" s="142"/>
      <c r="N37" s="134">
        <f t="shared" si="23"/>
        <v>0</v>
      </c>
      <c r="O37" s="145"/>
      <c r="P37" s="142"/>
      <c r="Q37" s="134">
        <f t="shared" si="14"/>
        <v>0</v>
      </c>
      <c r="R37" s="145"/>
      <c r="S37" s="142"/>
      <c r="T37" s="134">
        <f t="shared" si="15"/>
        <v>0</v>
      </c>
      <c r="U37" s="145"/>
      <c r="V37" s="142"/>
      <c r="W37" s="134">
        <f t="shared" si="16"/>
        <v>0</v>
      </c>
      <c r="X37" s="145"/>
      <c r="Y37" s="142"/>
      <c r="Z37" s="134">
        <f t="shared" si="17"/>
        <v>0</v>
      </c>
      <c r="AA37" s="145"/>
      <c r="AB37" s="142"/>
      <c r="AC37" s="134">
        <f t="shared" si="18"/>
        <v>0</v>
      </c>
      <c r="AD37" s="152"/>
      <c r="AE37" s="153"/>
      <c r="AF37" s="154"/>
      <c r="AG37" s="137">
        <f t="shared" si="19"/>
        <v>0</v>
      </c>
      <c r="AH37" s="138" t="e">
        <f t="shared" si="20"/>
        <v>#DIV/0!</v>
      </c>
    </row>
    <row r="38" spans="2:34" s="109" customFormat="1" ht="21.95" customHeight="1" outlineLevel="1">
      <c r="B38" s="148" t="s">
        <v>438</v>
      </c>
      <c r="C38" s="156" t="s">
        <v>536</v>
      </c>
      <c r="D38" s="155" t="s">
        <v>177</v>
      </c>
      <c r="E38" s="158">
        <v>180</v>
      </c>
      <c r="F38" s="145"/>
      <c r="G38" s="142"/>
      <c r="H38" s="134">
        <f t="shared" si="21"/>
        <v>0</v>
      </c>
      <c r="I38" s="145"/>
      <c r="J38" s="142"/>
      <c r="K38" s="134">
        <f t="shared" si="22"/>
        <v>0</v>
      </c>
      <c r="L38" s="145"/>
      <c r="M38" s="142"/>
      <c r="N38" s="134">
        <f t="shared" si="23"/>
        <v>0</v>
      </c>
      <c r="O38" s="145"/>
      <c r="P38" s="142"/>
      <c r="Q38" s="134">
        <f t="shared" si="14"/>
        <v>0</v>
      </c>
      <c r="R38" s="145"/>
      <c r="S38" s="142"/>
      <c r="T38" s="134">
        <f t="shared" si="15"/>
        <v>0</v>
      </c>
      <c r="U38" s="145"/>
      <c r="V38" s="142"/>
      <c r="W38" s="134">
        <f t="shared" si="16"/>
        <v>0</v>
      </c>
      <c r="X38" s="145"/>
      <c r="Y38" s="142"/>
      <c r="Z38" s="134">
        <f>Y38*X38*$E38</f>
        <v>0</v>
      </c>
      <c r="AA38" s="145"/>
      <c r="AB38" s="142"/>
      <c r="AC38" s="134">
        <f t="shared" si="18"/>
        <v>0</v>
      </c>
      <c r="AD38" s="152"/>
      <c r="AE38" s="153"/>
      <c r="AF38" s="154"/>
      <c r="AG38" s="137">
        <f t="shared" si="19"/>
        <v>0</v>
      </c>
      <c r="AH38" s="138" t="e">
        <f t="shared" si="20"/>
        <v>#DIV/0!</v>
      </c>
    </row>
    <row r="39" spans="2:34" s="109" customFormat="1" ht="21.95" customHeight="1" outlineLevel="1">
      <c r="B39" s="148" t="s">
        <v>388</v>
      </c>
      <c r="C39" s="156" t="s">
        <v>517</v>
      </c>
      <c r="D39" s="150" t="s">
        <v>498</v>
      </c>
      <c r="E39" s="158">
        <v>350</v>
      </c>
      <c r="F39" s="145"/>
      <c r="G39" s="142"/>
      <c r="H39" s="134">
        <f t="shared" si="21"/>
        <v>0</v>
      </c>
      <c r="I39" s="145"/>
      <c r="J39" s="142"/>
      <c r="K39" s="134">
        <f t="shared" si="22"/>
        <v>0</v>
      </c>
      <c r="L39" s="145"/>
      <c r="M39" s="142"/>
      <c r="N39" s="134">
        <f t="shared" si="23"/>
        <v>0</v>
      </c>
      <c r="O39" s="145"/>
      <c r="P39" s="142"/>
      <c r="Q39" s="134">
        <f t="shared" si="14"/>
        <v>0</v>
      </c>
      <c r="R39" s="145"/>
      <c r="S39" s="142"/>
      <c r="T39" s="134">
        <f t="shared" si="15"/>
        <v>0</v>
      </c>
      <c r="U39" s="145"/>
      <c r="V39" s="142"/>
      <c r="W39" s="134">
        <f t="shared" si="16"/>
        <v>0</v>
      </c>
      <c r="X39" s="145"/>
      <c r="Y39" s="142"/>
      <c r="Z39" s="134">
        <f t="shared" si="17"/>
        <v>0</v>
      </c>
      <c r="AA39" s="145"/>
      <c r="AB39" s="142"/>
      <c r="AC39" s="134">
        <f t="shared" si="18"/>
        <v>0</v>
      </c>
      <c r="AD39" s="152"/>
      <c r="AE39" s="153"/>
      <c r="AF39" s="154"/>
      <c r="AG39" s="137">
        <f t="shared" si="19"/>
        <v>0</v>
      </c>
      <c r="AH39" s="138" t="e">
        <f t="shared" si="20"/>
        <v>#DIV/0!</v>
      </c>
    </row>
    <row r="40" spans="2:34" s="109" customFormat="1" ht="21.95" customHeight="1" outlineLevel="1">
      <c r="B40" s="148" t="s">
        <v>439</v>
      </c>
      <c r="C40" s="149" t="s">
        <v>183</v>
      </c>
      <c r="D40" s="150" t="s">
        <v>498</v>
      </c>
      <c r="E40" s="151">
        <v>1200</v>
      </c>
      <c r="F40" s="145"/>
      <c r="G40" s="142"/>
      <c r="H40" s="134">
        <f t="shared" si="21"/>
        <v>0</v>
      </c>
      <c r="I40" s="145"/>
      <c r="J40" s="142"/>
      <c r="K40" s="134">
        <f t="shared" si="22"/>
        <v>0</v>
      </c>
      <c r="L40" s="145"/>
      <c r="M40" s="142"/>
      <c r="N40" s="134">
        <f t="shared" si="23"/>
        <v>0</v>
      </c>
      <c r="O40" s="145"/>
      <c r="P40" s="142"/>
      <c r="Q40" s="134">
        <f t="shared" si="14"/>
        <v>0</v>
      </c>
      <c r="R40" s="145"/>
      <c r="S40" s="142"/>
      <c r="T40" s="134">
        <f t="shared" si="15"/>
        <v>0</v>
      </c>
      <c r="U40" s="145"/>
      <c r="V40" s="142"/>
      <c r="W40" s="134">
        <f t="shared" si="16"/>
        <v>0</v>
      </c>
      <c r="X40" s="145"/>
      <c r="Y40" s="142"/>
      <c r="Z40" s="134">
        <f>Y40*X40*$E40</f>
        <v>0</v>
      </c>
      <c r="AA40" s="145"/>
      <c r="AB40" s="142"/>
      <c r="AC40" s="134">
        <f t="shared" si="18"/>
        <v>0</v>
      </c>
      <c r="AD40" s="152"/>
      <c r="AE40" s="153"/>
      <c r="AF40" s="154"/>
      <c r="AG40" s="137">
        <f t="shared" si="19"/>
        <v>0</v>
      </c>
      <c r="AH40" s="138" t="e">
        <f t="shared" si="20"/>
        <v>#DIV/0!</v>
      </c>
    </row>
    <row r="41" spans="2:34" s="109" customFormat="1" ht="21.95" customHeight="1" outlineLevel="1">
      <c r="B41" s="148" t="s">
        <v>238</v>
      </c>
      <c r="C41" s="149" t="s">
        <v>482</v>
      </c>
      <c r="D41" s="150" t="s">
        <v>498</v>
      </c>
      <c r="E41" s="151">
        <v>900</v>
      </c>
      <c r="F41" s="145"/>
      <c r="G41" s="142"/>
      <c r="H41" s="134">
        <f t="shared" si="21"/>
        <v>0</v>
      </c>
      <c r="I41" s="145"/>
      <c r="J41" s="142"/>
      <c r="K41" s="134">
        <f t="shared" si="22"/>
        <v>0</v>
      </c>
      <c r="L41" s="145"/>
      <c r="M41" s="142"/>
      <c r="N41" s="134">
        <f t="shared" si="23"/>
        <v>0</v>
      </c>
      <c r="O41" s="145"/>
      <c r="P41" s="142"/>
      <c r="Q41" s="134">
        <f t="shared" si="14"/>
        <v>0</v>
      </c>
      <c r="R41" s="145"/>
      <c r="S41" s="142"/>
      <c r="T41" s="134">
        <f t="shared" si="15"/>
        <v>0</v>
      </c>
      <c r="U41" s="145"/>
      <c r="V41" s="142"/>
      <c r="W41" s="134">
        <f t="shared" si="16"/>
        <v>0</v>
      </c>
      <c r="X41" s="145"/>
      <c r="Y41" s="142"/>
      <c r="Z41" s="134">
        <f t="shared" si="17"/>
        <v>0</v>
      </c>
      <c r="AA41" s="145"/>
      <c r="AB41" s="142"/>
      <c r="AC41" s="134">
        <f t="shared" si="18"/>
        <v>0</v>
      </c>
      <c r="AD41" s="152"/>
      <c r="AE41" s="153"/>
      <c r="AF41" s="154"/>
      <c r="AG41" s="137">
        <f t="shared" si="19"/>
        <v>0</v>
      </c>
      <c r="AH41" s="138" t="e">
        <f t="shared" si="20"/>
        <v>#DIV/0!</v>
      </c>
    </row>
    <row r="42" spans="2:34" s="109" customFormat="1" ht="21.95" customHeight="1" outlineLevel="1">
      <c r="B42" s="148" t="s">
        <v>440</v>
      </c>
      <c r="C42" s="149" t="s">
        <v>232</v>
      </c>
      <c r="D42" s="150" t="s">
        <v>498</v>
      </c>
      <c r="E42" s="151">
        <f>EPIs!F22</f>
        <v>328.76666666666671</v>
      </c>
      <c r="F42" s="145"/>
      <c r="G42" s="142"/>
      <c r="H42" s="134">
        <f t="shared" si="21"/>
        <v>0</v>
      </c>
      <c r="I42" s="145"/>
      <c r="J42" s="142"/>
      <c r="K42" s="134">
        <f t="shared" si="22"/>
        <v>0</v>
      </c>
      <c r="L42" s="145"/>
      <c r="M42" s="142"/>
      <c r="N42" s="134">
        <f t="shared" si="23"/>
        <v>0</v>
      </c>
      <c r="O42" s="145"/>
      <c r="P42" s="142"/>
      <c r="Q42" s="134">
        <f t="shared" si="14"/>
        <v>0</v>
      </c>
      <c r="R42" s="145"/>
      <c r="S42" s="142"/>
      <c r="T42" s="134">
        <f t="shared" si="15"/>
        <v>0</v>
      </c>
      <c r="U42" s="145"/>
      <c r="V42" s="142"/>
      <c r="W42" s="134">
        <f t="shared" si="16"/>
        <v>0</v>
      </c>
      <c r="X42" s="145"/>
      <c r="Y42" s="142"/>
      <c r="Z42" s="134">
        <f>Y42*X42*$E42</f>
        <v>0</v>
      </c>
      <c r="AA42" s="145"/>
      <c r="AB42" s="142"/>
      <c r="AC42" s="134">
        <f t="shared" si="18"/>
        <v>0</v>
      </c>
      <c r="AD42" s="152"/>
      <c r="AE42" s="153"/>
      <c r="AF42" s="154"/>
      <c r="AG42" s="137">
        <f t="shared" si="19"/>
        <v>0</v>
      </c>
      <c r="AH42" s="138" t="e">
        <f t="shared" si="20"/>
        <v>#DIV/0!</v>
      </c>
    </row>
    <row r="43" spans="2:34" s="109" customFormat="1" ht="21.95" customHeight="1" outlineLevel="1">
      <c r="B43" s="148" t="s">
        <v>441</v>
      </c>
      <c r="C43" s="156" t="s">
        <v>534</v>
      </c>
      <c r="D43" s="155" t="s">
        <v>193</v>
      </c>
      <c r="E43" s="158">
        <v>2000</v>
      </c>
      <c r="F43" s="145"/>
      <c r="G43" s="142"/>
      <c r="H43" s="134">
        <f t="shared" ref="H43:H52" si="24">G43*F43*$E43</f>
        <v>0</v>
      </c>
      <c r="I43" s="145"/>
      <c r="J43" s="142"/>
      <c r="K43" s="134">
        <f t="shared" ref="K43:K52" si="25">J43*I43*$E43</f>
        <v>0</v>
      </c>
      <c r="L43" s="145"/>
      <c r="M43" s="142"/>
      <c r="N43" s="134">
        <f t="shared" ref="N43:N52" si="26">M43*L43*$E43</f>
        <v>0</v>
      </c>
      <c r="O43" s="145"/>
      <c r="P43" s="142"/>
      <c r="Q43" s="134">
        <f t="shared" si="14"/>
        <v>0</v>
      </c>
      <c r="R43" s="145"/>
      <c r="S43" s="142"/>
      <c r="T43" s="134">
        <f t="shared" si="15"/>
        <v>0</v>
      </c>
      <c r="U43" s="145"/>
      <c r="V43" s="142"/>
      <c r="W43" s="134">
        <f t="shared" si="16"/>
        <v>0</v>
      </c>
      <c r="X43" s="145"/>
      <c r="Y43" s="142"/>
      <c r="Z43" s="134">
        <f t="shared" si="17"/>
        <v>0</v>
      </c>
      <c r="AA43" s="145"/>
      <c r="AB43" s="142"/>
      <c r="AC43" s="134">
        <f t="shared" si="18"/>
        <v>0</v>
      </c>
      <c r="AD43" s="152"/>
      <c r="AE43" s="153"/>
      <c r="AF43" s="154"/>
      <c r="AG43" s="137">
        <f t="shared" si="19"/>
        <v>0</v>
      </c>
      <c r="AH43" s="138" t="e">
        <f t="shared" si="20"/>
        <v>#DIV/0!</v>
      </c>
    </row>
    <row r="44" spans="2:34" s="109" customFormat="1" ht="21.95" customHeight="1" outlineLevel="1">
      <c r="B44" s="148" t="s">
        <v>442</v>
      </c>
      <c r="C44" s="156" t="s">
        <v>531</v>
      </c>
      <c r="D44" s="150" t="s">
        <v>498</v>
      </c>
      <c r="E44" s="158">
        <v>1350</v>
      </c>
      <c r="F44" s="145"/>
      <c r="G44" s="142"/>
      <c r="H44" s="134">
        <f t="shared" si="24"/>
        <v>0</v>
      </c>
      <c r="I44" s="145"/>
      <c r="J44" s="142"/>
      <c r="K44" s="134">
        <f t="shared" si="25"/>
        <v>0</v>
      </c>
      <c r="L44" s="145"/>
      <c r="M44" s="142"/>
      <c r="N44" s="134">
        <f t="shared" si="26"/>
        <v>0</v>
      </c>
      <c r="O44" s="145"/>
      <c r="P44" s="142"/>
      <c r="Q44" s="134">
        <f t="shared" si="14"/>
        <v>0</v>
      </c>
      <c r="R44" s="145"/>
      <c r="S44" s="142"/>
      <c r="T44" s="134">
        <f t="shared" si="15"/>
        <v>0</v>
      </c>
      <c r="U44" s="145"/>
      <c r="V44" s="142"/>
      <c r="W44" s="134">
        <f t="shared" si="16"/>
        <v>0</v>
      </c>
      <c r="X44" s="145"/>
      <c r="Y44" s="142"/>
      <c r="Z44" s="134">
        <f t="shared" si="17"/>
        <v>0</v>
      </c>
      <c r="AA44" s="145"/>
      <c r="AB44" s="142"/>
      <c r="AC44" s="134">
        <f t="shared" si="18"/>
        <v>0</v>
      </c>
      <c r="AD44" s="152"/>
      <c r="AE44" s="153"/>
      <c r="AF44" s="154"/>
      <c r="AG44" s="137">
        <f t="shared" si="19"/>
        <v>0</v>
      </c>
      <c r="AH44" s="138" t="e">
        <f t="shared" si="20"/>
        <v>#DIV/0!</v>
      </c>
    </row>
    <row r="45" spans="2:34" s="109" customFormat="1" ht="36" customHeight="1" outlineLevel="1">
      <c r="B45" s="148" t="s">
        <v>218</v>
      </c>
      <c r="C45" s="156" t="s">
        <v>661</v>
      </c>
      <c r="D45" s="155" t="s">
        <v>177</v>
      </c>
      <c r="E45" s="158">
        <f>(40*12.5)+327.8+150+50+60</f>
        <v>1087.8</v>
      </c>
      <c r="F45" s="145"/>
      <c r="G45" s="142"/>
      <c r="H45" s="134">
        <f t="shared" si="24"/>
        <v>0</v>
      </c>
      <c r="I45" s="145"/>
      <c r="J45" s="142"/>
      <c r="K45" s="134">
        <f t="shared" si="25"/>
        <v>0</v>
      </c>
      <c r="L45" s="145"/>
      <c r="M45" s="142"/>
      <c r="N45" s="134">
        <f t="shared" si="26"/>
        <v>0</v>
      </c>
      <c r="O45" s="145"/>
      <c r="P45" s="142"/>
      <c r="Q45" s="134">
        <f t="shared" si="14"/>
        <v>0</v>
      </c>
      <c r="R45" s="145"/>
      <c r="S45" s="142"/>
      <c r="T45" s="134">
        <f t="shared" si="15"/>
        <v>0</v>
      </c>
      <c r="U45" s="145"/>
      <c r="V45" s="142"/>
      <c r="W45" s="134">
        <f t="shared" si="16"/>
        <v>0</v>
      </c>
      <c r="X45" s="145"/>
      <c r="Y45" s="142"/>
      <c r="Z45" s="134">
        <f t="shared" si="17"/>
        <v>0</v>
      </c>
      <c r="AA45" s="145"/>
      <c r="AB45" s="142"/>
      <c r="AC45" s="134">
        <f t="shared" si="18"/>
        <v>0</v>
      </c>
      <c r="AD45" s="152"/>
      <c r="AE45" s="153"/>
      <c r="AF45" s="154"/>
      <c r="AG45" s="137">
        <f t="shared" si="19"/>
        <v>0</v>
      </c>
      <c r="AH45" s="138" t="e">
        <f t="shared" si="20"/>
        <v>#DIV/0!</v>
      </c>
    </row>
    <row r="46" spans="2:34" s="109" customFormat="1" ht="21.95" customHeight="1" outlineLevel="1">
      <c r="B46" s="148" t="s">
        <v>443</v>
      </c>
      <c r="C46" s="149" t="s">
        <v>537</v>
      </c>
      <c r="D46" s="150" t="s">
        <v>177</v>
      </c>
      <c r="E46" s="151">
        <v>5000</v>
      </c>
      <c r="F46" s="145"/>
      <c r="G46" s="142"/>
      <c r="H46" s="134">
        <f t="shared" si="24"/>
        <v>0</v>
      </c>
      <c r="I46" s="145"/>
      <c r="J46" s="142"/>
      <c r="K46" s="134">
        <f t="shared" si="25"/>
        <v>0</v>
      </c>
      <c r="L46" s="145"/>
      <c r="M46" s="142"/>
      <c r="N46" s="134">
        <f t="shared" si="26"/>
        <v>0</v>
      </c>
      <c r="O46" s="145"/>
      <c r="P46" s="142"/>
      <c r="Q46" s="134">
        <f t="shared" si="14"/>
        <v>0</v>
      </c>
      <c r="R46" s="145"/>
      <c r="S46" s="142"/>
      <c r="T46" s="134">
        <f t="shared" si="15"/>
        <v>0</v>
      </c>
      <c r="U46" s="145"/>
      <c r="V46" s="142"/>
      <c r="W46" s="134">
        <f t="shared" si="16"/>
        <v>0</v>
      </c>
      <c r="X46" s="145"/>
      <c r="Y46" s="142"/>
      <c r="Z46" s="134">
        <f t="shared" si="17"/>
        <v>0</v>
      </c>
      <c r="AA46" s="145"/>
      <c r="AB46" s="142"/>
      <c r="AC46" s="134">
        <f t="shared" si="18"/>
        <v>0</v>
      </c>
      <c r="AD46" s="152"/>
      <c r="AE46" s="153"/>
      <c r="AF46" s="154"/>
      <c r="AG46" s="137">
        <f t="shared" si="19"/>
        <v>0</v>
      </c>
      <c r="AH46" s="138" t="e">
        <f t="shared" si="20"/>
        <v>#DIV/0!</v>
      </c>
    </row>
    <row r="47" spans="2:34" s="109" customFormat="1" ht="21.95" customHeight="1" outlineLevel="1">
      <c r="B47" s="148" t="s">
        <v>444</v>
      </c>
      <c r="C47" s="156" t="s">
        <v>662</v>
      </c>
      <c r="D47" s="150" t="s">
        <v>177</v>
      </c>
      <c r="E47" s="158">
        <v>2500</v>
      </c>
      <c r="F47" s="145"/>
      <c r="G47" s="142"/>
      <c r="H47" s="134">
        <f>G47*F47*$E47</f>
        <v>0</v>
      </c>
      <c r="I47" s="145"/>
      <c r="J47" s="142"/>
      <c r="K47" s="134">
        <f>J47*I47*$E47</f>
        <v>0</v>
      </c>
      <c r="L47" s="145"/>
      <c r="M47" s="142"/>
      <c r="N47" s="134">
        <f>M47*L47*$E47</f>
        <v>0</v>
      </c>
      <c r="O47" s="145"/>
      <c r="P47" s="142"/>
      <c r="Q47" s="134">
        <f t="shared" si="14"/>
        <v>0</v>
      </c>
      <c r="R47" s="145"/>
      <c r="S47" s="142"/>
      <c r="T47" s="134">
        <f t="shared" si="15"/>
        <v>0</v>
      </c>
      <c r="U47" s="145"/>
      <c r="V47" s="142"/>
      <c r="W47" s="134">
        <f t="shared" si="16"/>
        <v>0</v>
      </c>
      <c r="X47" s="145"/>
      <c r="Y47" s="142"/>
      <c r="Z47" s="134">
        <f>Y47*X47*$E47</f>
        <v>0</v>
      </c>
      <c r="AA47" s="145"/>
      <c r="AB47" s="142"/>
      <c r="AC47" s="134">
        <f t="shared" si="18"/>
        <v>0</v>
      </c>
      <c r="AD47" s="152"/>
      <c r="AE47" s="153"/>
      <c r="AF47" s="154"/>
      <c r="AG47" s="137">
        <f t="shared" si="19"/>
        <v>0</v>
      </c>
      <c r="AH47" s="138" t="e">
        <f t="shared" si="20"/>
        <v>#DIV/0!</v>
      </c>
    </row>
    <row r="48" spans="2:34" s="109" customFormat="1" ht="21.95" customHeight="1" outlineLevel="1">
      <c r="B48" s="148" t="s">
        <v>445</v>
      </c>
      <c r="C48" s="149" t="s">
        <v>488</v>
      </c>
      <c r="D48" s="150" t="s">
        <v>390</v>
      </c>
      <c r="E48" s="151">
        <v>800</v>
      </c>
      <c r="F48" s="145"/>
      <c r="G48" s="142"/>
      <c r="H48" s="134">
        <f>G48*F48*$E48</f>
        <v>0</v>
      </c>
      <c r="I48" s="145"/>
      <c r="J48" s="142"/>
      <c r="K48" s="134">
        <f>J48*I48*$E48</f>
        <v>0</v>
      </c>
      <c r="L48" s="145"/>
      <c r="M48" s="142"/>
      <c r="N48" s="134">
        <f>M48*L48*$E48</f>
        <v>0</v>
      </c>
      <c r="O48" s="145"/>
      <c r="P48" s="142"/>
      <c r="Q48" s="134">
        <f t="shared" si="14"/>
        <v>0</v>
      </c>
      <c r="R48" s="145"/>
      <c r="S48" s="142"/>
      <c r="T48" s="134">
        <f t="shared" si="15"/>
        <v>0</v>
      </c>
      <c r="U48" s="145"/>
      <c r="V48" s="142"/>
      <c r="W48" s="134">
        <f t="shared" si="16"/>
        <v>0</v>
      </c>
      <c r="X48" s="145"/>
      <c r="Y48" s="142"/>
      <c r="Z48" s="134">
        <f>Y48*X48*$E48</f>
        <v>0</v>
      </c>
      <c r="AA48" s="145"/>
      <c r="AB48" s="142"/>
      <c r="AC48" s="134">
        <f t="shared" si="18"/>
        <v>0</v>
      </c>
      <c r="AD48" s="152"/>
      <c r="AE48" s="153"/>
      <c r="AF48" s="154"/>
      <c r="AG48" s="137">
        <f t="shared" si="19"/>
        <v>0</v>
      </c>
      <c r="AH48" s="138" t="e">
        <f t="shared" si="20"/>
        <v>#DIV/0!</v>
      </c>
    </row>
    <row r="49" spans="2:34" s="109" customFormat="1" ht="21.95" customHeight="1" outlineLevel="1">
      <c r="B49" s="148" t="s">
        <v>239</v>
      </c>
      <c r="C49" s="149" t="s">
        <v>492</v>
      </c>
      <c r="D49" s="150" t="s">
        <v>390</v>
      </c>
      <c r="E49" s="151">
        <v>210</v>
      </c>
      <c r="F49" s="145"/>
      <c r="G49" s="142"/>
      <c r="H49" s="134">
        <f>G49*F49*$E49</f>
        <v>0</v>
      </c>
      <c r="I49" s="145"/>
      <c r="J49" s="142"/>
      <c r="K49" s="134">
        <f>J49*I49*$E49</f>
        <v>0</v>
      </c>
      <c r="L49" s="145"/>
      <c r="M49" s="142"/>
      <c r="N49" s="134">
        <f>M49*L49*$E49</f>
        <v>0</v>
      </c>
      <c r="O49" s="145"/>
      <c r="P49" s="142"/>
      <c r="Q49" s="134">
        <f t="shared" si="14"/>
        <v>0</v>
      </c>
      <c r="R49" s="145"/>
      <c r="S49" s="142"/>
      <c r="T49" s="134">
        <f t="shared" si="15"/>
        <v>0</v>
      </c>
      <c r="U49" s="145"/>
      <c r="V49" s="142"/>
      <c r="W49" s="134">
        <f t="shared" si="16"/>
        <v>0</v>
      </c>
      <c r="X49" s="145"/>
      <c r="Y49" s="142"/>
      <c r="Z49" s="134">
        <f>Y49*X49*$E49</f>
        <v>0</v>
      </c>
      <c r="AA49" s="145"/>
      <c r="AB49" s="142"/>
      <c r="AC49" s="134">
        <f t="shared" si="18"/>
        <v>0</v>
      </c>
      <c r="AD49" s="152"/>
      <c r="AE49" s="153"/>
      <c r="AF49" s="154"/>
      <c r="AG49" s="137">
        <f t="shared" si="19"/>
        <v>0</v>
      </c>
      <c r="AH49" s="138" t="e">
        <f t="shared" si="20"/>
        <v>#DIV/0!</v>
      </c>
    </row>
    <row r="50" spans="2:34" s="109" customFormat="1" ht="21.95" customHeight="1" outlineLevel="1">
      <c r="B50" s="148" t="s">
        <v>446</v>
      </c>
      <c r="C50" s="149" t="s">
        <v>491</v>
      </c>
      <c r="D50" s="150" t="s">
        <v>498</v>
      </c>
      <c r="E50" s="151">
        <v>3200</v>
      </c>
      <c r="F50" s="145"/>
      <c r="G50" s="142"/>
      <c r="H50" s="134">
        <f t="shared" si="24"/>
        <v>0</v>
      </c>
      <c r="I50" s="145"/>
      <c r="J50" s="142"/>
      <c r="K50" s="134">
        <f t="shared" si="25"/>
        <v>0</v>
      </c>
      <c r="L50" s="145"/>
      <c r="M50" s="142"/>
      <c r="N50" s="134">
        <f t="shared" si="26"/>
        <v>0</v>
      </c>
      <c r="O50" s="145"/>
      <c r="P50" s="142"/>
      <c r="Q50" s="134">
        <f t="shared" si="14"/>
        <v>0</v>
      </c>
      <c r="R50" s="145"/>
      <c r="S50" s="142"/>
      <c r="T50" s="134">
        <f t="shared" si="15"/>
        <v>0</v>
      </c>
      <c r="U50" s="145"/>
      <c r="V50" s="142"/>
      <c r="W50" s="134">
        <f t="shared" si="16"/>
        <v>0</v>
      </c>
      <c r="X50" s="145"/>
      <c r="Y50" s="142"/>
      <c r="Z50" s="134">
        <f t="shared" si="17"/>
        <v>0</v>
      </c>
      <c r="AA50" s="145"/>
      <c r="AB50" s="142"/>
      <c r="AC50" s="134">
        <f t="shared" si="18"/>
        <v>0</v>
      </c>
      <c r="AD50" s="152"/>
      <c r="AE50" s="153"/>
      <c r="AF50" s="154"/>
      <c r="AG50" s="137">
        <f t="shared" si="19"/>
        <v>0</v>
      </c>
      <c r="AH50" s="138" t="e">
        <f t="shared" si="20"/>
        <v>#DIV/0!</v>
      </c>
    </row>
    <row r="51" spans="2:34" s="109" customFormat="1" ht="21.95" customHeight="1" outlineLevel="1">
      <c r="B51" s="148" t="s">
        <v>447</v>
      </c>
      <c r="C51" s="149" t="s">
        <v>483</v>
      </c>
      <c r="D51" s="150" t="s">
        <v>498</v>
      </c>
      <c r="E51" s="151">
        <v>1200</v>
      </c>
      <c r="F51" s="145"/>
      <c r="G51" s="142"/>
      <c r="H51" s="134">
        <f t="shared" si="24"/>
        <v>0</v>
      </c>
      <c r="I51" s="145"/>
      <c r="J51" s="142"/>
      <c r="K51" s="134">
        <f t="shared" si="25"/>
        <v>0</v>
      </c>
      <c r="L51" s="145"/>
      <c r="M51" s="142"/>
      <c r="N51" s="134">
        <f t="shared" si="26"/>
        <v>0</v>
      </c>
      <c r="O51" s="145"/>
      <c r="P51" s="142"/>
      <c r="Q51" s="134">
        <f t="shared" si="14"/>
        <v>0</v>
      </c>
      <c r="R51" s="145"/>
      <c r="S51" s="142"/>
      <c r="T51" s="134">
        <f t="shared" si="15"/>
        <v>0</v>
      </c>
      <c r="U51" s="145"/>
      <c r="V51" s="142"/>
      <c r="W51" s="134">
        <f t="shared" si="16"/>
        <v>0</v>
      </c>
      <c r="X51" s="145"/>
      <c r="Y51" s="142"/>
      <c r="Z51" s="134">
        <f t="shared" ref="Z51:Z58" si="27">Y51*X51*$E51</f>
        <v>0</v>
      </c>
      <c r="AA51" s="145"/>
      <c r="AB51" s="142"/>
      <c r="AC51" s="134">
        <f t="shared" si="18"/>
        <v>0</v>
      </c>
      <c r="AD51" s="152"/>
      <c r="AE51" s="153"/>
      <c r="AF51" s="154"/>
      <c r="AG51" s="137">
        <f t="shared" si="19"/>
        <v>0</v>
      </c>
      <c r="AH51" s="138" t="e">
        <f t="shared" si="20"/>
        <v>#DIV/0!</v>
      </c>
    </row>
    <row r="52" spans="2:34" s="109" customFormat="1" ht="21.95" customHeight="1" outlineLevel="1">
      <c r="B52" s="148" t="s">
        <v>448</v>
      </c>
      <c r="C52" s="156" t="s">
        <v>518</v>
      </c>
      <c r="D52" s="150" t="s">
        <v>498</v>
      </c>
      <c r="E52" s="158">
        <v>350</v>
      </c>
      <c r="F52" s="145"/>
      <c r="G52" s="142"/>
      <c r="H52" s="134">
        <f t="shared" si="24"/>
        <v>0</v>
      </c>
      <c r="I52" s="145"/>
      <c r="J52" s="142"/>
      <c r="K52" s="134">
        <f t="shared" si="25"/>
        <v>0</v>
      </c>
      <c r="L52" s="145"/>
      <c r="M52" s="142"/>
      <c r="N52" s="134">
        <f t="shared" si="26"/>
        <v>0</v>
      </c>
      <c r="O52" s="145"/>
      <c r="P52" s="142"/>
      <c r="Q52" s="134">
        <f t="shared" si="14"/>
        <v>0</v>
      </c>
      <c r="R52" s="145"/>
      <c r="S52" s="142"/>
      <c r="T52" s="134">
        <f t="shared" si="15"/>
        <v>0</v>
      </c>
      <c r="U52" s="145"/>
      <c r="V52" s="142"/>
      <c r="W52" s="134">
        <f t="shared" si="16"/>
        <v>0</v>
      </c>
      <c r="X52" s="145"/>
      <c r="Y52" s="142"/>
      <c r="Z52" s="134">
        <f t="shared" si="27"/>
        <v>0</v>
      </c>
      <c r="AA52" s="145"/>
      <c r="AB52" s="142"/>
      <c r="AC52" s="134">
        <f t="shared" si="18"/>
        <v>0</v>
      </c>
      <c r="AD52" s="152"/>
      <c r="AE52" s="153"/>
      <c r="AF52" s="154"/>
      <c r="AG52" s="137">
        <f t="shared" si="19"/>
        <v>0</v>
      </c>
      <c r="AH52" s="138" t="e">
        <f t="shared" si="20"/>
        <v>#DIV/0!</v>
      </c>
    </row>
    <row r="53" spans="2:34" s="109" customFormat="1" ht="21.95" customHeight="1" outlineLevel="1">
      <c r="B53" s="148" t="s">
        <v>449</v>
      </c>
      <c r="C53" s="149" t="s">
        <v>401</v>
      </c>
      <c r="D53" s="141" t="s">
        <v>498</v>
      </c>
      <c r="E53" s="151">
        <v>900</v>
      </c>
      <c r="F53" s="145"/>
      <c r="G53" s="142"/>
      <c r="H53" s="134">
        <f t="shared" ref="H53:H58" si="28">G53*F53*$E53</f>
        <v>0</v>
      </c>
      <c r="I53" s="145"/>
      <c r="J53" s="142"/>
      <c r="K53" s="134">
        <f t="shared" ref="K53:K58" si="29">J53*I53*$E53</f>
        <v>0</v>
      </c>
      <c r="L53" s="145"/>
      <c r="M53" s="142"/>
      <c r="N53" s="134">
        <f t="shared" ref="N53:N58" si="30">M53*L53*$E53</f>
        <v>0</v>
      </c>
      <c r="O53" s="145"/>
      <c r="P53" s="142"/>
      <c r="Q53" s="134">
        <f t="shared" si="14"/>
        <v>0</v>
      </c>
      <c r="R53" s="145"/>
      <c r="S53" s="142"/>
      <c r="T53" s="134">
        <f t="shared" si="15"/>
        <v>0</v>
      </c>
      <c r="U53" s="145"/>
      <c r="V53" s="142"/>
      <c r="W53" s="134">
        <f t="shared" si="16"/>
        <v>0</v>
      </c>
      <c r="X53" s="145"/>
      <c r="Y53" s="142"/>
      <c r="Z53" s="134">
        <f t="shared" si="27"/>
        <v>0</v>
      </c>
      <c r="AA53" s="145"/>
      <c r="AB53" s="142"/>
      <c r="AC53" s="134">
        <f t="shared" si="18"/>
        <v>0</v>
      </c>
      <c r="AD53" s="152"/>
      <c r="AE53" s="153"/>
      <c r="AF53" s="154"/>
      <c r="AG53" s="137">
        <f t="shared" si="19"/>
        <v>0</v>
      </c>
      <c r="AH53" s="138" t="e">
        <f t="shared" si="20"/>
        <v>#DIV/0!</v>
      </c>
    </row>
    <row r="54" spans="2:34" s="109" customFormat="1" ht="21.95" customHeight="1" outlineLevel="1">
      <c r="B54" s="148" t="s">
        <v>398</v>
      </c>
      <c r="C54" s="149" t="s">
        <v>507</v>
      </c>
      <c r="D54" s="141" t="s">
        <v>390</v>
      </c>
      <c r="E54" s="151">
        <f>486.59</f>
        <v>486.59</v>
      </c>
      <c r="F54" s="145"/>
      <c r="G54" s="142"/>
      <c r="H54" s="134">
        <f t="shared" si="28"/>
        <v>0</v>
      </c>
      <c r="I54" s="145"/>
      <c r="J54" s="142"/>
      <c r="K54" s="134">
        <f t="shared" si="29"/>
        <v>0</v>
      </c>
      <c r="L54" s="145"/>
      <c r="M54" s="142"/>
      <c r="N54" s="134">
        <f t="shared" si="30"/>
        <v>0</v>
      </c>
      <c r="O54" s="145"/>
      <c r="P54" s="142"/>
      <c r="Q54" s="134">
        <f>P54*O54*$E54</f>
        <v>0</v>
      </c>
      <c r="R54" s="145"/>
      <c r="S54" s="142"/>
      <c r="T54" s="134">
        <f>S54*R54*$E54</f>
        <v>0</v>
      </c>
      <c r="U54" s="145"/>
      <c r="V54" s="142"/>
      <c r="W54" s="134">
        <f>V54*U54*$E54</f>
        <v>0</v>
      </c>
      <c r="X54" s="145"/>
      <c r="Y54" s="142"/>
      <c r="Z54" s="134">
        <f t="shared" si="27"/>
        <v>0</v>
      </c>
      <c r="AA54" s="145"/>
      <c r="AB54" s="142"/>
      <c r="AC54" s="134">
        <f>AB54*AA54*$E54</f>
        <v>0</v>
      </c>
      <c r="AD54" s="152"/>
      <c r="AE54" s="153"/>
      <c r="AF54" s="154"/>
      <c r="AG54" s="137">
        <f t="shared" si="19"/>
        <v>0</v>
      </c>
      <c r="AH54" s="138" t="e">
        <f t="shared" si="20"/>
        <v>#DIV/0!</v>
      </c>
    </row>
    <row r="55" spans="2:34" s="109" customFormat="1" ht="21.95" customHeight="1" outlineLevel="1">
      <c r="B55" s="148" t="s">
        <v>399</v>
      </c>
      <c r="C55" s="149" t="s">
        <v>402</v>
      </c>
      <c r="D55" s="141" t="s">
        <v>390</v>
      </c>
      <c r="E55" s="151">
        <v>600</v>
      </c>
      <c r="F55" s="145"/>
      <c r="G55" s="142"/>
      <c r="H55" s="134">
        <f t="shared" si="28"/>
        <v>0</v>
      </c>
      <c r="I55" s="145"/>
      <c r="J55" s="142"/>
      <c r="K55" s="134">
        <f t="shared" si="29"/>
        <v>0</v>
      </c>
      <c r="L55" s="145"/>
      <c r="M55" s="142"/>
      <c r="N55" s="134">
        <f t="shared" si="30"/>
        <v>0</v>
      </c>
      <c r="O55" s="145"/>
      <c r="P55" s="142"/>
      <c r="Q55" s="134">
        <f>P55*O55*$E55</f>
        <v>0</v>
      </c>
      <c r="R55" s="145"/>
      <c r="S55" s="142"/>
      <c r="T55" s="134">
        <f>S55*R55*$E55</f>
        <v>0</v>
      </c>
      <c r="U55" s="145"/>
      <c r="V55" s="142"/>
      <c r="W55" s="134">
        <f>V55*U55*$E55</f>
        <v>0</v>
      </c>
      <c r="X55" s="145"/>
      <c r="Y55" s="142"/>
      <c r="Z55" s="134">
        <f t="shared" si="27"/>
        <v>0</v>
      </c>
      <c r="AA55" s="145"/>
      <c r="AB55" s="142"/>
      <c r="AC55" s="134">
        <f>AB55*AA55*$E55</f>
        <v>0</v>
      </c>
      <c r="AD55" s="152"/>
      <c r="AE55" s="153"/>
      <c r="AF55" s="154"/>
      <c r="AG55" s="137">
        <f t="shared" si="19"/>
        <v>0</v>
      </c>
      <c r="AH55" s="138" t="e">
        <f t="shared" si="20"/>
        <v>#DIV/0!</v>
      </c>
    </row>
    <row r="56" spans="2:34" s="109" customFormat="1" ht="21.95" customHeight="1" outlineLevel="1">
      <c r="B56" s="148" t="s">
        <v>499</v>
      </c>
      <c r="C56" s="149" t="s">
        <v>233</v>
      </c>
      <c r="D56" s="141" t="s">
        <v>498</v>
      </c>
      <c r="E56" s="151">
        <v>6000</v>
      </c>
      <c r="F56" s="145"/>
      <c r="G56" s="142"/>
      <c r="H56" s="134">
        <f t="shared" si="28"/>
        <v>0</v>
      </c>
      <c r="I56" s="145"/>
      <c r="J56" s="142"/>
      <c r="K56" s="134">
        <f t="shared" si="29"/>
        <v>0</v>
      </c>
      <c r="L56" s="145"/>
      <c r="M56" s="142"/>
      <c r="N56" s="134">
        <f t="shared" si="30"/>
        <v>0</v>
      </c>
      <c r="O56" s="145"/>
      <c r="P56" s="142"/>
      <c r="Q56" s="134">
        <f>P56*O56*$E56</f>
        <v>0</v>
      </c>
      <c r="R56" s="145"/>
      <c r="S56" s="142"/>
      <c r="T56" s="134">
        <f>S56*R56*$E56</f>
        <v>0</v>
      </c>
      <c r="U56" s="145"/>
      <c r="V56" s="142"/>
      <c r="W56" s="134">
        <f>V56*U56*$E56</f>
        <v>0</v>
      </c>
      <c r="X56" s="145"/>
      <c r="Y56" s="142"/>
      <c r="Z56" s="134">
        <f t="shared" si="27"/>
        <v>0</v>
      </c>
      <c r="AA56" s="145"/>
      <c r="AB56" s="142"/>
      <c r="AC56" s="134">
        <f>AB56*AA56*$E56</f>
        <v>0</v>
      </c>
      <c r="AD56" s="152"/>
      <c r="AE56" s="153"/>
      <c r="AF56" s="154"/>
      <c r="AG56" s="137">
        <f t="shared" si="19"/>
        <v>0</v>
      </c>
      <c r="AH56" s="138" t="e">
        <f t="shared" si="20"/>
        <v>#DIV/0!</v>
      </c>
    </row>
    <row r="57" spans="2:34" s="109" customFormat="1" ht="21.95" customHeight="1" outlineLevel="1">
      <c r="B57" s="148" t="s">
        <v>500</v>
      </c>
      <c r="C57" s="149" t="s">
        <v>510</v>
      </c>
      <c r="D57" s="157" t="s">
        <v>390</v>
      </c>
      <c r="E57" s="158">
        <v>2100</v>
      </c>
      <c r="F57" s="145"/>
      <c r="G57" s="142"/>
      <c r="H57" s="134">
        <f t="shared" si="28"/>
        <v>0</v>
      </c>
      <c r="I57" s="145"/>
      <c r="J57" s="142"/>
      <c r="K57" s="134">
        <f t="shared" si="29"/>
        <v>0</v>
      </c>
      <c r="L57" s="145"/>
      <c r="M57" s="142"/>
      <c r="N57" s="134">
        <f t="shared" si="30"/>
        <v>0</v>
      </c>
      <c r="O57" s="145"/>
      <c r="P57" s="142"/>
      <c r="Q57" s="134">
        <f>P57*O57*$E57</f>
        <v>0</v>
      </c>
      <c r="R57" s="145"/>
      <c r="S57" s="142"/>
      <c r="T57" s="134">
        <f>S57*R57*$E57</f>
        <v>0</v>
      </c>
      <c r="U57" s="145"/>
      <c r="V57" s="142"/>
      <c r="W57" s="134">
        <f>V57*U57*$E57</f>
        <v>0</v>
      </c>
      <c r="X57" s="145"/>
      <c r="Y57" s="142"/>
      <c r="Z57" s="134">
        <f t="shared" si="27"/>
        <v>0</v>
      </c>
      <c r="AA57" s="145"/>
      <c r="AB57" s="142"/>
      <c r="AC57" s="134">
        <f>AB57*AA57*$E57</f>
        <v>0</v>
      </c>
      <c r="AD57" s="152"/>
      <c r="AE57" s="153"/>
      <c r="AF57" s="154"/>
      <c r="AG57" s="137">
        <f t="shared" si="19"/>
        <v>0</v>
      </c>
      <c r="AH57" s="138" t="e">
        <f t="shared" si="20"/>
        <v>#DIV/0!</v>
      </c>
    </row>
    <row r="58" spans="2:34" s="109" customFormat="1" ht="21.95" customHeight="1" outlineLevel="1">
      <c r="B58" s="148" t="s">
        <v>501</v>
      </c>
      <c r="C58" s="299" t="s">
        <v>532</v>
      </c>
      <c r="D58" s="157" t="s">
        <v>177</v>
      </c>
      <c r="E58" s="158">
        <v>6500</v>
      </c>
      <c r="F58" s="145"/>
      <c r="G58" s="142"/>
      <c r="H58" s="134">
        <f t="shared" si="28"/>
        <v>0</v>
      </c>
      <c r="I58" s="145"/>
      <c r="J58" s="142"/>
      <c r="K58" s="134">
        <f t="shared" si="29"/>
        <v>0</v>
      </c>
      <c r="L58" s="145"/>
      <c r="M58" s="142"/>
      <c r="N58" s="134">
        <f t="shared" si="30"/>
        <v>0</v>
      </c>
      <c r="O58" s="145"/>
      <c r="P58" s="142"/>
      <c r="Q58" s="134">
        <f>P58*O58*$E58</f>
        <v>0</v>
      </c>
      <c r="R58" s="145"/>
      <c r="S58" s="142"/>
      <c r="T58" s="134">
        <f>S58*R58*$E58</f>
        <v>0</v>
      </c>
      <c r="U58" s="145"/>
      <c r="V58" s="142"/>
      <c r="W58" s="134">
        <f>V58*U58*$E58</f>
        <v>0</v>
      </c>
      <c r="X58" s="145"/>
      <c r="Y58" s="142"/>
      <c r="Z58" s="134">
        <f t="shared" si="27"/>
        <v>0</v>
      </c>
      <c r="AA58" s="145"/>
      <c r="AB58" s="142"/>
      <c r="AC58" s="134">
        <f>AB58*AA58*$E58</f>
        <v>0</v>
      </c>
      <c r="AD58" s="152"/>
      <c r="AE58" s="153"/>
      <c r="AF58" s="154"/>
      <c r="AG58" s="137">
        <f t="shared" si="19"/>
        <v>0</v>
      </c>
      <c r="AH58" s="138" t="e">
        <f t="shared" ref="AH58:AH79" si="31">AG58/$AG$162</f>
        <v>#DIV/0!</v>
      </c>
    </row>
    <row r="59" spans="2:34" s="109" customFormat="1" ht="21.95" customHeight="1" outlineLevel="1">
      <c r="B59" s="148" t="s">
        <v>502</v>
      </c>
      <c r="C59" s="156" t="s">
        <v>533</v>
      </c>
      <c r="D59" s="157" t="s">
        <v>177</v>
      </c>
      <c r="E59" s="158">
        <v>3000</v>
      </c>
      <c r="F59" s="145"/>
      <c r="G59" s="142"/>
      <c r="H59" s="134">
        <f t="shared" ref="H59:H78" si="32">G59*F59*$E59</f>
        <v>0</v>
      </c>
      <c r="I59" s="145"/>
      <c r="J59" s="142"/>
      <c r="K59" s="134">
        <f t="shared" ref="K59:K78" si="33">J59*I59*$E59</f>
        <v>0</v>
      </c>
      <c r="L59" s="145"/>
      <c r="M59" s="142"/>
      <c r="N59" s="134">
        <f t="shared" ref="N59:N78" si="34">M59*L59*$E59</f>
        <v>0</v>
      </c>
      <c r="O59" s="145"/>
      <c r="P59" s="142"/>
      <c r="Q59" s="134">
        <f t="shared" ref="Q59:Q78" si="35">P59*O59*$E59</f>
        <v>0</v>
      </c>
      <c r="R59" s="145"/>
      <c r="S59" s="142"/>
      <c r="T59" s="134">
        <f t="shared" ref="T59:T78" si="36">S59*R59*$E59</f>
        <v>0</v>
      </c>
      <c r="U59" s="145"/>
      <c r="V59" s="142"/>
      <c r="W59" s="134">
        <f t="shared" ref="W59:W78" si="37">V59*U59*$E59</f>
        <v>0</v>
      </c>
      <c r="X59" s="145"/>
      <c r="Y59" s="142"/>
      <c r="Z59" s="134">
        <f t="shared" ref="Z59:Z78" si="38">Y59*X59*$E59</f>
        <v>0</v>
      </c>
      <c r="AA59" s="145"/>
      <c r="AB59" s="142"/>
      <c r="AC59" s="134">
        <f t="shared" ref="AC59:AC78" si="39">AB59*AA59*$E59</f>
        <v>0</v>
      </c>
      <c r="AD59" s="152"/>
      <c r="AE59" s="153"/>
      <c r="AF59" s="154"/>
      <c r="AG59" s="137">
        <f t="shared" si="19"/>
        <v>0</v>
      </c>
      <c r="AH59" s="138" t="e">
        <f t="shared" si="31"/>
        <v>#DIV/0!</v>
      </c>
    </row>
    <row r="60" spans="2:34" s="109" customFormat="1" ht="21.95" customHeight="1" outlineLevel="1">
      <c r="B60" s="148" t="s">
        <v>503</v>
      </c>
      <c r="C60" s="156" t="s">
        <v>538</v>
      </c>
      <c r="D60" s="157" t="s">
        <v>177</v>
      </c>
      <c r="E60" s="158">
        <v>150</v>
      </c>
      <c r="F60" s="145"/>
      <c r="G60" s="142"/>
      <c r="H60" s="134">
        <f t="shared" si="32"/>
        <v>0</v>
      </c>
      <c r="I60" s="145"/>
      <c r="J60" s="142"/>
      <c r="K60" s="134">
        <f t="shared" si="33"/>
        <v>0</v>
      </c>
      <c r="L60" s="145"/>
      <c r="M60" s="142"/>
      <c r="N60" s="134">
        <f t="shared" si="34"/>
        <v>0</v>
      </c>
      <c r="O60" s="145"/>
      <c r="P60" s="142"/>
      <c r="Q60" s="134">
        <f t="shared" si="35"/>
        <v>0</v>
      </c>
      <c r="R60" s="145"/>
      <c r="S60" s="142"/>
      <c r="T60" s="134">
        <f t="shared" si="36"/>
        <v>0</v>
      </c>
      <c r="U60" s="145"/>
      <c r="V60" s="142"/>
      <c r="W60" s="134">
        <f t="shared" si="37"/>
        <v>0</v>
      </c>
      <c r="X60" s="145"/>
      <c r="Y60" s="142"/>
      <c r="Z60" s="134">
        <f t="shared" si="38"/>
        <v>0</v>
      </c>
      <c r="AA60" s="145"/>
      <c r="AB60" s="142"/>
      <c r="AC60" s="134">
        <f t="shared" si="39"/>
        <v>0</v>
      </c>
      <c r="AD60" s="152"/>
      <c r="AE60" s="153"/>
      <c r="AF60" s="154"/>
      <c r="AG60" s="137">
        <f t="shared" si="19"/>
        <v>0</v>
      </c>
      <c r="AH60" s="138" t="e">
        <f t="shared" si="31"/>
        <v>#DIV/0!</v>
      </c>
    </row>
    <row r="61" spans="2:34" s="109" customFormat="1" ht="21.95" customHeight="1" outlineLevel="1">
      <c r="B61" s="148" t="s">
        <v>504</v>
      </c>
      <c r="C61" s="149" t="s">
        <v>489</v>
      </c>
      <c r="D61" s="141" t="s">
        <v>390</v>
      </c>
      <c r="E61" s="151">
        <v>850</v>
      </c>
      <c r="F61" s="145"/>
      <c r="G61" s="142"/>
      <c r="H61" s="134">
        <f t="shared" si="32"/>
        <v>0</v>
      </c>
      <c r="I61" s="145"/>
      <c r="J61" s="142"/>
      <c r="K61" s="134">
        <f t="shared" si="33"/>
        <v>0</v>
      </c>
      <c r="L61" s="145"/>
      <c r="M61" s="142"/>
      <c r="N61" s="134">
        <f t="shared" si="34"/>
        <v>0</v>
      </c>
      <c r="O61" s="145"/>
      <c r="P61" s="142"/>
      <c r="Q61" s="134">
        <f t="shared" si="35"/>
        <v>0</v>
      </c>
      <c r="R61" s="145"/>
      <c r="S61" s="142"/>
      <c r="T61" s="134">
        <f t="shared" si="36"/>
        <v>0</v>
      </c>
      <c r="U61" s="145"/>
      <c r="V61" s="142"/>
      <c r="W61" s="134">
        <f t="shared" si="37"/>
        <v>0</v>
      </c>
      <c r="X61" s="145"/>
      <c r="Y61" s="142"/>
      <c r="Z61" s="134">
        <f t="shared" si="38"/>
        <v>0</v>
      </c>
      <c r="AA61" s="145"/>
      <c r="AB61" s="142"/>
      <c r="AC61" s="134">
        <f t="shared" si="39"/>
        <v>0</v>
      </c>
      <c r="AD61" s="152"/>
      <c r="AE61" s="153"/>
      <c r="AF61" s="154"/>
      <c r="AG61" s="137">
        <f t="shared" si="19"/>
        <v>0</v>
      </c>
      <c r="AH61" s="138" t="e">
        <f t="shared" si="31"/>
        <v>#DIV/0!</v>
      </c>
    </row>
    <row r="62" spans="2:34" s="109" customFormat="1" ht="21.95" customHeight="1" outlineLevel="1">
      <c r="B62" s="148" t="s">
        <v>511</v>
      </c>
      <c r="C62" s="149" t="s">
        <v>486</v>
      </c>
      <c r="D62" s="141" t="s">
        <v>390</v>
      </c>
      <c r="E62" s="151">
        <v>150</v>
      </c>
      <c r="F62" s="145"/>
      <c r="G62" s="142"/>
      <c r="H62" s="134">
        <f t="shared" si="32"/>
        <v>0</v>
      </c>
      <c r="I62" s="145"/>
      <c r="J62" s="142"/>
      <c r="K62" s="134">
        <f t="shared" si="33"/>
        <v>0</v>
      </c>
      <c r="L62" s="145"/>
      <c r="M62" s="142"/>
      <c r="N62" s="134">
        <f t="shared" si="34"/>
        <v>0</v>
      </c>
      <c r="O62" s="145"/>
      <c r="P62" s="142"/>
      <c r="Q62" s="134">
        <f t="shared" si="35"/>
        <v>0</v>
      </c>
      <c r="R62" s="145"/>
      <c r="S62" s="142"/>
      <c r="T62" s="134">
        <f t="shared" si="36"/>
        <v>0</v>
      </c>
      <c r="U62" s="145"/>
      <c r="V62" s="142"/>
      <c r="W62" s="134">
        <f t="shared" si="37"/>
        <v>0</v>
      </c>
      <c r="X62" s="145"/>
      <c r="Y62" s="142"/>
      <c r="Z62" s="134">
        <f t="shared" si="38"/>
        <v>0</v>
      </c>
      <c r="AA62" s="145"/>
      <c r="AB62" s="142"/>
      <c r="AC62" s="134">
        <f t="shared" si="39"/>
        <v>0</v>
      </c>
      <c r="AD62" s="152"/>
      <c r="AE62" s="153"/>
      <c r="AF62" s="154"/>
      <c r="AG62" s="137">
        <f t="shared" si="19"/>
        <v>0</v>
      </c>
      <c r="AH62" s="138" t="e">
        <f t="shared" si="31"/>
        <v>#DIV/0!</v>
      </c>
    </row>
    <row r="63" spans="2:34" s="109" customFormat="1" ht="21.95" customHeight="1" outlineLevel="1">
      <c r="B63" s="148" t="s">
        <v>512</v>
      </c>
      <c r="C63" s="149" t="s">
        <v>508</v>
      </c>
      <c r="D63" s="141" t="s">
        <v>498</v>
      </c>
      <c r="E63" s="151">
        <v>1800</v>
      </c>
      <c r="F63" s="145"/>
      <c r="G63" s="142"/>
      <c r="H63" s="134">
        <f t="shared" si="32"/>
        <v>0</v>
      </c>
      <c r="I63" s="145"/>
      <c r="J63" s="142"/>
      <c r="K63" s="134">
        <f t="shared" si="33"/>
        <v>0</v>
      </c>
      <c r="L63" s="145"/>
      <c r="M63" s="142"/>
      <c r="N63" s="134">
        <f t="shared" si="34"/>
        <v>0</v>
      </c>
      <c r="O63" s="145"/>
      <c r="P63" s="142"/>
      <c r="Q63" s="134">
        <f t="shared" si="35"/>
        <v>0</v>
      </c>
      <c r="R63" s="145"/>
      <c r="S63" s="142"/>
      <c r="T63" s="134">
        <f t="shared" si="36"/>
        <v>0</v>
      </c>
      <c r="U63" s="145"/>
      <c r="V63" s="142"/>
      <c r="W63" s="134">
        <f t="shared" si="37"/>
        <v>0</v>
      </c>
      <c r="X63" s="145"/>
      <c r="Y63" s="142"/>
      <c r="Z63" s="134">
        <f t="shared" si="38"/>
        <v>0</v>
      </c>
      <c r="AA63" s="145"/>
      <c r="AB63" s="142"/>
      <c r="AC63" s="134">
        <f t="shared" si="39"/>
        <v>0</v>
      </c>
      <c r="AD63" s="152"/>
      <c r="AE63" s="153"/>
      <c r="AF63" s="154"/>
      <c r="AG63" s="137">
        <f t="shared" si="19"/>
        <v>0</v>
      </c>
      <c r="AH63" s="138" t="e">
        <f t="shared" si="31"/>
        <v>#DIV/0!</v>
      </c>
    </row>
    <row r="64" spans="2:34" s="109" customFormat="1" ht="21.95" customHeight="1" outlineLevel="1">
      <c r="B64" s="148" t="s">
        <v>513</v>
      </c>
      <c r="C64" s="149" t="s">
        <v>484</v>
      </c>
      <c r="D64" s="141" t="s">
        <v>177</v>
      </c>
      <c r="E64" s="151">
        <v>2000</v>
      </c>
      <c r="F64" s="145"/>
      <c r="G64" s="142"/>
      <c r="H64" s="134">
        <f t="shared" si="32"/>
        <v>0</v>
      </c>
      <c r="I64" s="145"/>
      <c r="J64" s="142"/>
      <c r="K64" s="134">
        <f t="shared" si="33"/>
        <v>0</v>
      </c>
      <c r="L64" s="145"/>
      <c r="M64" s="142"/>
      <c r="N64" s="134">
        <f t="shared" si="34"/>
        <v>0</v>
      </c>
      <c r="O64" s="145"/>
      <c r="P64" s="142"/>
      <c r="Q64" s="134">
        <f t="shared" si="35"/>
        <v>0</v>
      </c>
      <c r="R64" s="145"/>
      <c r="S64" s="142"/>
      <c r="T64" s="134">
        <f t="shared" si="36"/>
        <v>0</v>
      </c>
      <c r="U64" s="145"/>
      <c r="V64" s="142"/>
      <c r="W64" s="134">
        <f t="shared" si="37"/>
        <v>0</v>
      </c>
      <c r="X64" s="145"/>
      <c r="Y64" s="142"/>
      <c r="Z64" s="134">
        <f t="shared" si="38"/>
        <v>0</v>
      </c>
      <c r="AA64" s="145"/>
      <c r="AB64" s="142"/>
      <c r="AC64" s="134">
        <f t="shared" si="39"/>
        <v>0</v>
      </c>
      <c r="AD64" s="152"/>
      <c r="AE64" s="153"/>
      <c r="AF64" s="154"/>
      <c r="AG64" s="137">
        <f t="shared" si="19"/>
        <v>0</v>
      </c>
      <c r="AH64" s="138" t="e">
        <f t="shared" si="31"/>
        <v>#DIV/0!</v>
      </c>
    </row>
    <row r="65" spans="2:34" s="109" customFormat="1" ht="21.95" customHeight="1" outlineLevel="1">
      <c r="B65" s="148" t="s">
        <v>514</v>
      </c>
      <c r="C65" s="156" t="s">
        <v>509</v>
      </c>
      <c r="D65" s="157" t="s">
        <v>663</v>
      </c>
      <c r="E65" s="158">
        <v>250</v>
      </c>
      <c r="F65" s="145"/>
      <c r="G65" s="142"/>
      <c r="H65" s="134">
        <f t="shared" si="32"/>
        <v>0</v>
      </c>
      <c r="I65" s="145"/>
      <c r="J65" s="142"/>
      <c r="K65" s="134">
        <f t="shared" si="33"/>
        <v>0</v>
      </c>
      <c r="L65" s="145"/>
      <c r="M65" s="142"/>
      <c r="N65" s="134">
        <f t="shared" si="34"/>
        <v>0</v>
      </c>
      <c r="O65" s="145"/>
      <c r="P65" s="142"/>
      <c r="Q65" s="134">
        <f t="shared" si="35"/>
        <v>0</v>
      </c>
      <c r="R65" s="145"/>
      <c r="S65" s="142"/>
      <c r="T65" s="134">
        <f t="shared" si="36"/>
        <v>0</v>
      </c>
      <c r="U65" s="145"/>
      <c r="V65" s="142"/>
      <c r="W65" s="134">
        <f t="shared" si="37"/>
        <v>0</v>
      </c>
      <c r="X65" s="145"/>
      <c r="Y65" s="142"/>
      <c r="Z65" s="134">
        <f t="shared" si="38"/>
        <v>0</v>
      </c>
      <c r="AA65" s="145"/>
      <c r="AB65" s="142"/>
      <c r="AC65" s="134">
        <f t="shared" si="39"/>
        <v>0</v>
      </c>
      <c r="AD65" s="152"/>
      <c r="AE65" s="153"/>
      <c r="AF65" s="154"/>
      <c r="AG65" s="137">
        <f t="shared" si="19"/>
        <v>0</v>
      </c>
      <c r="AH65" s="138" t="e">
        <f t="shared" si="31"/>
        <v>#DIV/0!</v>
      </c>
    </row>
    <row r="66" spans="2:34" s="109" customFormat="1" ht="21.95" customHeight="1" outlineLevel="1">
      <c r="B66" s="148" t="s">
        <v>515</v>
      </c>
      <c r="C66" s="156" t="s">
        <v>521</v>
      </c>
      <c r="D66" s="157" t="s">
        <v>193</v>
      </c>
      <c r="E66" s="158">
        <v>350</v>
      </c>
      <c r="F66" s="145"/>
      <c r="G66" s="142"/>
      <c r="H66" s="134">
        <f t="shared" si="32"/>
        <v>0</v>
      </c>
      <c r="I66" s="145"/>
      <c r="J66" s="142"/>
      <c r="K66" s="134">
        <f t="shared" si="33"/>
        <v>0</v>
      </c>
      <c r="L66" s="145"/>
      <c r="M66" s="142"/>
      <c r="N66" s="134">
        <f t="shared" si="34"/>
        <v>0</v>
      </c>
      <c r="O66" s="145"/>
      <c r="P66" s="142"/>
      <c r="Q66" s="134">
        <f t="shared" si="35"/>
        <v>0</v>
      </c>
      <c r="R66" s="145"/>
      <c r="S66" s="142"/>
      <c r="T66" s="134">
        <f t="shared" si="36"/>
        <v>0</v>
      </c>
      <c r="U66" s="145"/>
      <c r="V66" s="142"/>
      <c r="W66" s="134">
        <f t="shared" si="37"/>
        <v>0</v>
      </c>
      <c r="X66" s="145"/>
      <c r="Y66" s="142"/>
      <c r="Z66" s="134">
        <f t="shared" si="38"/>
        <v>0</v>
      </c>
      <c r="AA66" s="145"/>
      <c r="AB66" s="142"/>
      <c r="AC66" s="134">
        <f t="shared" si="39"/>
        <v>0</v>
      </c>
      <c r="AD66" s="152"/>
      <c r="AE66" s="153"/>
      <c r="AF66" s="154"/>
      <c r="AG66" s="137">
        <f t="shared" si="19"/>
        <v>0</v>
      </c>
      <c r="AH66" s="138" t="e">
        <f t="shared" si="31"/>
        <v>#DIV/0!</v>
      </c>
    </row>
    <row r="67" spans="2:34" s="109" customFormat="1" ht="21.95" customHeight="1" outlineLevel="1">
      <c r="B67" s="148" t="s">
        <v>516</v>
      </c>
      <c r="C67" s="149" t="s">
        <v>485</v>
      </c>
      <c r="D67" s="141" t="s">
        <v>498</v>
      </c>
      <c r="E67" s="151">
        <v>3300</v>
      </c>
      <c r="F67" s="145"/>
      <c r="G67" s="142"/>
      <c r="H67" s="134">
        <f t="shared" si="32"/>
        <v>0</v>
      </c>
      <c r="I67" s="145"/>
      <c r="J67" s="142"/>
      <c r="K67" s="134">
        <f t="shared" si="33"/>
        <v>0</v>
      </c>
      <c r="L67" s="145"/>
      <c r="M67" s="142"/>
      <c r="N67" s="134">
        <f t="shared" si="34"/>
        <v>0</v>
      </c>
      <c r="O67" s="145"/>
      <c r="P67" s="142"/>
      <c r="Q67" s="134">
        <f t="shared" si="35"/>
        <v>0</v>
      </c>
      <c r="R67" s="145"/>
      <c r="S67" s="142"/>
      <c r="T67" s="134">
        <f t="shared" si="36"/>
        <v>0</v>
      </c>
      <c r="U67" s="145"/>
      <c r="V67" s="142"/>
      <c r="W67" s="134">
        <f t="shared" si="37"/>
        <v>0</v>
      </c>
      <c r="X67" s="145"/>
      <c r="Y67" s="142"/>
      <c r="Z67" s="134">
        <f t="shared" si="38"/>
        <v>0</v>
      </c>
      <c r="AA67" s="145"/>
      <c r="AB67" s="142"/>
      <c r="AC67" s="134">
        <f t="shared" si="39"/>
        <v>0</v>
      </c>
      <c r="AD67" s="152"/>
      <c r="AE67" s="153"/>
      <c r="AF67" s="154"/>
      <c r="AG67" s="137">
        <f t="shared" si="19"/>
        <v>0</v>
      </c>
      <c r="AH67" s="138" t="e">
        <f t="shared" si="31"/>
        <v>#DIV/0!</v>
      </c>
    </row>
    <row r="68" spans="2:34" s="109" customFormat="1" ht="21.95" customHeight="1" outlineLevel="1">
      <c r="B68" s="148" t="s">
        <v>522</v>
      </c>
      <c r="C68" s="149" t="s">
        <v>252</v>
      </c>
      <c r="D68" s="141" t="s">
        <v>498</v>
      </c>
      <c r="E68" s="151">
        <v>3800</v>
      </c>
      <c r="F68" s="145"/>
      <c r="G68" s="142"/>
      <c r="H68" s="134">
        <f t="shared" si="32"/>
        <v>0</v>
      </c>
      <c r="I68" s="145"/>
      <c r="J68" s="142"/>
      <c r="K68" s="134">
        <f t="shared" si="33"/>
        <v>0</v>
      </c>
      <c r="L68" s="145"/>
      <c r="M68" s="142"/>
      <c r="N68" s="134">
        <f t="shared" si="34"/>
        <v>0</v>
      </c>
      <c r="O68" s="145"/>
      <c r="P68" s="142"/>
      <c r="Q68" s="134">
        <f t="shared" si="35"/>
        <v>0</v>
      </c>
      <c r="R68" s="145"/>
      <c r="S68" s="142"/>
      <c r="T68" s="134">
        <f t="shared" si="36"/>
        <v>0</v>
      </c>
      <c r="U68" s="145"/>
      <c r="V68" s="142"/>
      <c r="W68" s="134">
        <f t="shared" si="37"/>
        <v>0</v>
      </c>
      <c r="X68" s="145"/>
      <c r="Y68" s="142"/>
      <c r="Z68" s="134">
        <f t="shared" si="38"/>
        <v>0</v>
      </c>
      <c r="AA68" s="145"/>
      <c r="AB68" s="142"/>
      <c r="AC68" s="134">
        <f t="shared" si="39"/>
        <v>0</v>
      </c>
      <c r="AD68" s="152"/>
      <c r="AE68" s="153"/>
      <c r="AF68" s="154"/>
      <c r="AG68" s="137">
        <f t="shared" si="19"/>
        <v>0</v>
      </c>
      <c r="AH68" s="138" t="e">
        <f t="shared" si="31"/>
        <v>#DIV/0!</v>
      </c>
    </row>
    <row r="69" spans="2:34" s="109" customFormat="1" ht="21.95" customHeight="1" outlineLevel="1">
      <c r="B69" s="148" t="s">
        <v>523</v>
      </c>
      <c r="C69" s="156" t="s">
        <v>530</v>
      </c>
      <c r="D69" s="141" t="s">
        <v>177</v>
      </c>
      <c r="E69" s="158">
        <v>500</v>
      </c>
      <c r="F69" s="145"/>
      <c r="G69" s="142"/>
      <c r="H69" s="134">
        <f t="shared" si="32"/>
        <v>0</v>
      </c>
      <c r="I69" s="145"/>
      <c r="J69" s="142"/>
      <c r="K69" s="134">
        <f t="shared" si="33"/>
        <v>0</v>
      </c>
      <c r="L69" s="145"/>
      <c r="M69" s="142"/>
      <c r="N69" s="134">
        <f t="shared" si="34"/>
        <v>0</v>
      </c>
      <c r="O69" s="145"/>
      <c r="P69" s="142"/>
      <c r="Q69" s="134">
        <f t="shared" si="35"/>
        <v>0</v>
      </c>
      <c r="R69" s="145"/>
      <c r="S69" s="142"/>
      <c r="T69" s="134">
        <f t="shared" si="36"/>
        <v>0</v>
      </c>
      <c r="U69" s="145"/>
      <c r="V69" s="142"/>
      <c r="W69" s="134">
        <f t="shared" si="37"/>
        <v>0</v>
      </c>
      <c r="X69" s="145"/>
      <c r="Y69" s="142"/>
      <c r="Z69" s="134">
        <f t="shared" si="38"/>
        <v>0</v>
      </c>
      <c r="AA69" s="145"/>
      <c r="AB69" s="142"/>
      <c r="AC69" s="134">
        <f t="shared" si="39"/>
        <v>0</v>
      </c>
      <c r="AD69" s="152"/>
      <c r="AE69" s="153"/>
      <c r="AF69" s="154"/>
      <c r="AG69" s="137">
        <f t="shared" si="19"/>
        <v>0</v>
      </c>
      <c r="AH69" s="138" t="e">
        <f t="shared" si="31"/>
        <v>#DIV/0!</v>
      </c>
    </row>
    <row r="70" spans="2:34" s="109" customFormat="1" ht="21.95" customHeight="1" outlineLevel="1">
      <c r="B70" s="148" t="s">
        <v>524</v>
      </c>
      <c r="C70" s="156" t="s">
        <v>540</v>
      </c>
      <c r="D70" s="157" t="s">
        <v>193</v>
      </c>
      <c r="E70" s="158">
        <v>200</v>
      </c>
      <c r="F70" s="145"/>
      <c r="G70" s="142"/>
      <c r="H70" s="134">
        <f t="shared" si="32"/>
        <v>0</v>
      </c>
      <c r="I70" s="145"/>
      <c r="J70" s="142"/>
      <c r="K70" s="134">
        <f t="shared" si="33"/>
        <v>0</v>
      </c>
      <c r="L70" s="145"/>
      <c r="M70" s="142"/>
      <c r="N70" s="134">
        <f t="shared" si="34"/>
        <v>0</v>
      </c>
      <c r="O70" s="145"/>
      <c r="P70" s="142"/>
      <c r="Q70" s="134">
        <f t="shared" si="35"/>
        <v>0</v>
      </c>
      <c r="R70" s="145"/>
      <c r="S70" s="142"/>
      <c r="T70" s="134">
        <f t="shared" si="36"/>
        <v>0</v>
      </c>
      <c r="U70" s="145"/>
      <c r="V70" s="142"/>
      <c r="W70" s="134">
        <f t="shared" si="37"/>
        <v>0</v>
      </c>
      <c r="X70" s="145"/>
      <c r="Y70" s="142"/>
      <c r="Z70" s="134">
        <f t="shared" si="38"/>
        <v>0</v>
      </c>
      <c r="AA70" s="145"/>
      <c r="AB70" s="142"/>
      <c r="AC70" s="134">
        <f t="shared" si="39"/>
        <v>0</v>
      </c>
      <c r="AD70" s="152"/>
      <c r="AE70" s="153"/>
      <c r="AF70" s="154"/>
      <c r="AG70" s="137">
        <f t="shared" si="19"/>
        <v>0</v>
      </c>
      <c r="AH70" s="138" t="e">
        <f t="shared" si="31"/>
        <v>#DIV/0!</v>
      </c>
    </row>
    <row r="71" spans="2:34" s="109" customFormat="1" ht="21.95" customHeight="1" outlineLevel="1">
      <c r="B71" s="148" t="s">
        <v>525</v>
      </c>
      <c r="C71" s="156" t="s">
        <v>539</v>
      </c>
      <c r="D71" s="157" t="s">
        <v>193</v>
      </c>
      <c r="E71" s="158">
        <v>4200</v>
      </c>
      <c r="F71" s="145"/>
      <c r="G71" s="142"/>
      <c r="H71" s="134">
        <f t="shared" si="32"/>
        <v>0</v>
      </c>
      <c r="I71" s="145"/>
      <c r="J71" s="142"/>
      <c r="K71" s="134">
        <f t="shared" si="33"/>
        <v>0</v>
      </c>
      <c r="L71" s="145"/>
      <c r="M71" s="142"/>
      <c r="N71" s="134">
        <f t="shared" si="34"/>
        <v>0</v>
      </c>
      <c r="O71" s="145"/>
      <c r="P71" s="142"/>
      <c r="Q71" s="134">
        <f t="shared" si="35"/>
        <v>0</v>
      </c>
      <c r="R71" s="145"/>
      <c r="S71" s="142"/>
      <c r="T71" s="134">
        <f t="shared" si="36"/>
        <v>0</v>
      </c>
      <c r="U71" s="145"/>
      <c r="V71" s="142"/>
      <c r="W71" s="134">
        <f t="shared" si="37"/>
        <v>0</v>
      </c>
      <c r="X71" s="145"/>
      <c r="Y71" s="142"/>
      <c r="Z71" s="134">
        <f t="shared" si="38"/>
        <v>0</v>
      </c>
      <c r="AA71" s="145"/>
      <c r="AB71" s="142"/>
      <c r="AC71" s="134">
        <f t="shared" si="39"/>
        <v>0</v>
      </c>
      <c r="AD71" s="152"/>
      <c r="AE71" s="153"/>
      <c r="AF71" s="154"/>
      <c r="AG71" s="137">
        <f t="shared" si="19"/>
        <v>0</v>
      </c>
      <c r="AH71" s="138" t="e">
        <f t="shared" si="31"/>
        <v>#DIV/0!</v>
      </c>
    </row>
    <row r="72" spans="2:34" s="109" customFormat="1" ht="21.95" customHeight="1" outlineLevel="1">
      <c r="B72" s="148" t="s">
        <v>526</v>
      </c>
      <c r="C72" s="156" t="s">
        <v>541</v>
      </c>
      <c r="D72" s="157" t="s">
        <v>193</v>
      </c>
      <c r="E72" s="158">
        <v>510</v>
      </c>
      <c r="F72" s="145"/>
      <c r="G72" s="142"/>
      <c r="H72" s="134">
        <f t="shared" si="32"/>
        <v>0</v>
      </c>
      <c r="I72" s="145"/>
      <c r="J72" s="142"/>
      <c r="K72" s="134">
        <f t="shared" si="33"/>
        <v>0</v>
      </c>
      <c r="L72" s="145"/>
      <c r="M72" s="142"/>
      <c r="N72" s="134">
        <f t="shared" si="34"/>
        <v>0</v>
      </c>
      <c r="O72" s="145"/>
      <c r="P72" s="142"/>
      <c r="Q72" s="134">
        <f t="shared" si="35"/>
        <v>0</v>
      </c>
      <c r="R72" s="145"/>
      <c r="S72" s="142"/>
      <c r="T72" s="134">
        <f t="shared" si="36"/>
        <v>0</v>
      </c>
      <c r="U72" s="145"/>
      <c r="V72" s="142"/>
      <c r="W72" s="134">
        <f t="shared" si="37"/>
        <v>0</v>
      </c>
      <c r="X72" s="145"/>
      <c r="Y72" s="142"/>
      <c r="Z72" s="134">
        <f t="shared" si="38"/>
        <v>0</v>
      </c>
      <c r="AA72" s="145"/>
      <c r="AB72" s="142"/>
      <c r="AC72" s="134">
        <f t="shared" si="39"/>
        <v>0</v>
      </c>
      <c r="AD72" s="152"/>
      <c r="AE72" s="153"/>
      <c r="AF72" s="154"/>
      <c r="AG72" s="137">
        <f t="shared" si="19"/>
        <v>0</v>
      </c>
      <c r="AH72" s="138" t="e">
        <f t="shared" si="31"/>
        <v>#DIV/0!</v>
      </c>
    </row>
    <row r="73" spans="2:34" s="109" customFormat="1" ht="21.95" customHeight="1" outlineLevel="1">
      <c r="B73" s="148" t="s">
        <v>527</v>
      </c>
      <c r="C73" s="156" t="s">
        <v>686</v>
      </c>
      <c r="D73" s="157" t="s">
        <v>498</v>
      </c>
      <c r="E73" s="158">
        <v>29000</v>
      </c>
      <c r="F73" s="145"/>
      <c r="G73" s="142"/>
      <c r="H73" s="134">
        <f t="shared" si="32"/>
        <v>0</v>
      </c>
      <c r="I73" s="145"/>
      <c r="J73" s="142"/>
      <c r="K73" s="134">
        <f t="shared" si="33"/>
        <v>0</v>
      </c>
      <c r="L73" s="145"/>
      <c r="M73" s="142"/>
      <c r="N73" s="134">
        <f t="shared" si="34"/>
        <v>0</v>
      </c>
      <c r="O73" s="145"/>
      <c r="P73" s="142"/>
      <c r="Q73" s="134">
        <f t="shared" si="35"/>
        <v>0</v>
      </c>
      <c r="R73" s="145"/>
      <c r="S73" s="142"/>
      <c r="T73" s="134">
        <f t="shared" si="36"/>
        <v>0</v>
      </c>
      <c r="U73" s="145"/>
      <c r="V73" s="142"/>
      <c r="W73" s="134">
        <f t="shared" si="37"/>
        <v>0</v>
      </c>
      <c r="X73" s="145"/>
      <c r="Y73" s="142"/>
      <c r="Z73" s="134">
        <f t="shared" si="38"/>
        <v>0</v>
      </c>
      <c r="AA73" s="145"/>
      <c r="AB73" s="142"/>
      <c r="AC73" s="134">
        <f t="shared" si="39"/>
        <v>0</v>
      </c>
      <c r="AD73" s="152"/>
      <c r="AE73" s="153"/>
      <c r="AF73" s="154"/>
      <c r="AG73" s="137">
        <f t="shared" si="19"/>
        <v>0</v>
      </c>
      <c r="AH73" s="138" t="e">
        <f t="shared" si="31"/>
        <v>#DIV/0!</v>
      </c>
    </row>
    <row r="74" spans="2:34" s="109" customFormat="1" ht="21.95" customHeight="1" outlineLevel="1">
      <c r="B74" s="148" t="s">
        <v>528</v>
      </c>
      <c r="C74" s="156" t="s">
        <v>687</v>
      </c>
      <c r="D74" s="157" t="s">
        <v>498</v>
      </c>
      <c r="E74" s="158">
        <v>37000</v>
      </c>
      <c r="F74" s="145"/>
      <c r="G74" s="142"/>
      <c r="H74" s="134">
        <f t="shared" si="32"/>
        <v>0</v>
      </c>
      <c r="I74" s="145"/>
      <c r="J74" s="142"/>
      <c r="K74" s="134">
        <f t="shared" si="33"/>
        <v>0</v>
      </c>
      <c r="L74" s="145"/>
      <c r="M74" s="142"/>
      <c r="N74" s="134">
        <f t="shared" si="34"/>
        <v>0</v>
      </c>
      <c r="O74" s="145"/>
      <c r="P74" s="142"/>
      <c r="Q74" s="134">
        <f t="shared" si="35"/>
        <v>0</v>
      </c>
      <c r="R74" s="145"/>
      <c r="S74" s="142"/>
      <c r="T74" s="134">
        <f t="shared" si="36"/>
        <v>0</v>
      </c>
      <c r="U74" s="145"/>
      <c r="V74" s="142"/>
      <c r="W74" s="134">
        <f t="shared" si="37"/>
        <v>0</v>
      </c>
      <c r="X74" s="145"/>
      <c r="Y74" s="142"/>
      <c r="Z74" s="134">
        <f t="shared" si="38"/>
        <v>0</v>
      </c>
      <c r="AA74" s="145"/>
      <c r="AB74" s="142"/>
      <c r="AC74" s="134">
        <f t="shared" si="39"/>
        <v>0</v>
      </c>
      <c r="AD74" s="152"/>
      <c r="AE74" s="153"/>
      <c r="AF74" s="154"/>
      <c r="AG74" s="137">
        <f t="shared" si="19"/>
        <v>0</v>
      </c>
      <c r="AH74" s="138" t="e">
        <f t="shared" si="31"/>
        <v>#DIV/0!</v>
      </c>
    </row>
    <row r="75" spans="2:34" s="109" customFormat="1" ht="21.95" customHeight="1" outlineLevel="1">
      <c r="B75" s="148" t="s">
        <v>529</v>
      </c>
      <c r="C75" s="156"/>
      <c r="D75" s="157"/>
      <c r="E75" s="158"/>
      <c r="F75" s="145"/>
      <c r="G75" s="142"/>
      <c r="H75" s="134">
        <f>G75*F75*$E75</f>
        <v>0</v>
      </c>
      <c r="I75" s="145"/>
      <c r="J75" s="142"/>
      <c r="K75" s="134">
        <f>J75*I75*$E75</f>
        <v>0</v>
      </c>
      <c r="L75" s="145"/>
      <c r="M75" s="142"/>
      <c r="N75" s="134">
        <f>M75*L75*$E75</f>
        <v>0</v>
      </c>
      <c r="O75" s="145"/>
      <c r="P75" s="142"/>
      <c r="Q75" s="134">
        <f>P75*O75*$E75</f>
        <v>0</v>
      </c>
      <c r="R75" s="145"/>
      <c r="S75" s="142"/>
      <c r="T75" s="134">
        <f>S75*R75*$E75</f>
        <v>0</v>
      </c>
      <c r="U75" s="145"/>
      <c r="V75" s="142"/>
      <c r="W75" s="134">
        <f>V75*U75*$E75</f>
        <v>0</v>
      </c>
      <c r="X75" s="145"/>
      <c r="Y75" s="142"/>
      <c r="Z75" s="134">
        <f>Y75*X75*$E75</f>
        <v>0</v>
      </c>
      <c r="AA75" s="145"/>
      <c r="AB75" s="142"/>
      <c r="AC75" s="134">
        <f>AB75*AA75*$E75</f>
        <v>0</v>
      </c>
      <c r="AD75" s="152"/>
      <c r="AE75" s="153"/>
      <c r="AF75" s="154"/>
      <c r="AG75" s="137">
        <f>K75*$K$3+Z75*$Z$3+H75*$H$3+N75*$N$3+Q75*$Q$3+T75*$T$3+W75*$W$3+AC75*$AC$3</f>
        <v>0</v>
      </c>
      <c r="AH75" s="138" t="e">
        <f t="shared" si="31"/>
        <v>#DIV/0!</v>
      </c>
    </row>
    <row r="76" spans="2:34" s="109" customFormat="1" ht="21.95" customHeight="1" outlineLevel="1">
      <c r="B76" s="148" t="s">
        <v>680</v>
      </c>
      <c r="C76" s="156"/>
      <c r="D76" s="157"/>
      <c r="E76" s="158"/>
      <c r="F76" s="145"/>
      <c r="G76" s="142"/>
      <c r="H76" s="134">
        <f>G76*F76*$E76</f>
        <v>0</v>
      </c>
      <c r="I76" s="145"/>
      <c r="J76" s="142"/>
      <c r="K76" s="134">
        <f>J76*I76*$E76</f>
        <v>0</v>
      </c>
      <c r="L76" s="145"/>
      <c r="M76" s="142"/>
      <c r="N76" s="134">
        <f>M76*L76*$E76</f>
        <v>0</v>
      </c>
      <c r="O76" s="145"/>
      <c r="P76" s="142"/>
      <c r="Q76" s="134">
        <f>P76*O76*$E76</f>
        <v>0</v>
      </c>
      <c r="R76" s="145"/>
      <c r="S76" s="142"/>
      <c r="T76" s="134">
        <f>S76*R76*$E76</f>
        <v>0</v>
      </c>
      <c r="U76" s="145"/>
      <c r="V76" s="142"/>
      <c r="W76" s="134">
        <f>V76*U76*$E76</f>
        <v>0</v>
      </c>
      <c r="X76" s="145"/>
      <c r="Y76" s="142"/>
      <c r="Z76" s="134">
        <f>Y76*X76*$E76</f>
        <v>0</v>
      </c>
      <c r="AA76" s="145"/>
      <c r="AB76" s="142"/>
      <c r="AC76" s="134">
        <f>AB76*AA76*$E76</f>
        <v>0</v>
      </c>
      <c r="AD76" s="152"/>
      <c r="AE76" s="153"/>
      <c r="AF76" s="154"/>
      <c r="AG76" s="137">
        <f>K76*$K$3+Z76*$Z$3+H76*$H$3+N76*$N$3+Q76*$Q$3+T76*$T$3+W76*$W$3+AC76*$AC$3</f>
        <v>0</v>
      </c>
      <c r="AH76" s="138" t="e">
        <f t="shared" si="31"/>
        <v>#DIV/0!</v>
      </c>
    </row>
    <row r="77" spans="2:34" s="109" customFormat="1" ht="21.95" customHeight="1" outlineLevel="1">
      <c r="B77" s="148" t="s">
        <v>681</v>
      </c>
      <c r="C77" s="156"/>
      <c r="D77" s="157"/>
      <c r="E77" s="158"/>
      <c r="F77" s="145"/>
      <c r="G77" s="142"/>
      <c r="H77" s="134">
        <f t="shared" si="32"/>
        <v>0</v>
      </c>
      <c r="I77" s="145"/>
      <c r="J77" s="142"/>
      <c r="K77" s="134">
        <f t="shared" si="33"/>
        <v>0</v>
      </c>
      <c r="L77" s="145"/>
      <c r="M77" s="142"/>
      <c r="N77" s="134">
        <f t="shared" si="34"/>
        <v>0</v>
      </c>
      <c r="O77" s="145"/>
      <c r="P77" s="142"/>
      <c r="Q77" s="134">
        <f t="shared" si="35"/>
        <v>0</v>
      </c>
      <c r="R77" s="145"/>
      <c r="S77" s="142"/>
      <c r="T77" s="134">
        <f t="shared" si="36"/>
        <v>0</v>
      </c>
      <c r="U77" s="145"/>
      <c r="V77" s="142"/>
      <c r="W77" s="134">
        <f t="shared" si="37"/>
        <v>0</v>
      </c>
      <c r="X77" s="145"/>
      <c r="Y77" s="142"/>
      <c r="Z77" s="134">
        <f t="shared" si="38"/>
        <v>0</v>
      </c>
      <c r="AA77" s="145"/>
      <c r="AB77" s="142"/>
      <c r="AC77" s="134">
        <f t="shared" si="39"/>
        <v>0</v>
      </c>
      <c r="AD77" s="152"/>
      <c r="AE77" s="153"/>
      <c r="AF77" s="154"/>
      <c r="AG77" s="137">
        <f t="shared" si="19"/>
        <v>0</v>
      </c>
      <c r="AH77" s="138" t="e">
        <f t="shared" si="31"/>
        <v>#DIV/0!</v>
      </c>
    </row>
    <row r="78" spans="2:34" s="109" customFormat="1" ht="21.95" customHeight="1" outlineLevel="1">
      <c r="B78" s="148" t="s">
        <v>682</v>
      </c>
      <c r="C78" s="156"/>
      <c r="D78" s="157"/>
      <c r="E78" s="158"/>
      <c r="F78" s="145"/>
      <c r="G78" s="142"/>
      <c r="H78" s="134">
        <f t="shared" si="32"/>
        <v>0</v>
      </c>
      <c r="I78" s="145"/>
      <c r="J78" s="142"/>
      <c r="K78" s="134">
        <f t="shared" si="33"/>
        <v>0</v>
      </c>
      <c r="L78" s="145"/>
      <c r="M78" s="142"/>
      <c r="N78" s="134">
        <f t="shared" si="34"/>
        <v>0</v>
      </c>
      <c r="O78" s="145"/>
      <c r="P78" s="142"/>
      <c r="Q78" s="134">
        <f t="shared" si="35"/>
        <v>0</v>
      </c>
      <c r="R78" s="145"/>
      <c r="S78" s="142"/>
      <c r="T78" s="134">
        <f t="shared" si="36"/>
        <v>0</v>
      </c>
      <c r="U78" s="145"/>
      <c r="V78" s="142"/>
      <c r="W78" s="134">
        <f t="shared" si="37"/>
        <v>0</v>
      </c>
      <c r="X78" s="145"/>
      <c r="Y78" s="142"/>
      <c r="Z78" s="134">
        <f t="shared" si="38"/>
        <v>0</v>
      </c>
      <c r="AA78" s="145"/>
      <c r="AB78" s="142"/>
      <c r="AC78" s="134">
        <f t="shared" si="39"/>
        <v>0</v>
      </c>
      <c r="AD78" s="152"/>
      <c r="AE78" s="153"/>
      <c r="AF78" s="154"/>
      <c r="AG78" s="137">
        <f t="shared" si="19"/>
        <v>0</v>
      </c>
      <c r="AH78" s="138" t="e">
        <f t="shared" si="31"/>
        <v>#DIV/0!</v>
      </c>
    </row>
    <row r="79" spans="2:34" s="109" customFormat="1" ht="21.95" customHeight="1" outlineLevel="1" thickBot="1">
      <c r="B79" s="148" t="s">
        <v>683</v>
      </c>
      <c r="C79" s="149"/>
      <c r="D79" s="155"/>
      <c r="E79" s="151"/>
      <c r="F79" s="145"/>
      <c r="G79" s="142"/>
      <c r="H79" s="134">
        <f>G79*F79*$E79</f>
        <v>0</v>
      </c>
      <c r="I79" s="145"/>
      <c r="J79" s="142"/>
      <c r="K79" s="134">
        <f>J79*I79*$E79</f>
        <v>0</v>
      </c>
      <c r="L79" s="145"/>
      <c r="M79" s="142"/>
      <c r="N79" s="134">
        <f>M79*L79*$E79</f>
        <v>0</v>
      </c>
      <c r="O79" s="145"/>
      <c r="P79" s="142"/>
      <c r="Q79" s="134">
        <f t="shared" si="14"/>
        <v>0</v>
      </c>
      <c r="R79" s="145"/>
      <c r="S79" s="142"/>
      <c r="T79" s="134">
        <f t="shared" si="15"/>
        <v>0</v>
      </c>
      <c r="U79" s="145"/>
      <c r="V79" s="142"/>
      <c r="W79" s="134">
        <f t="shared" si="16"/>
        <v>0</v>
      </c>
      <c r="X79" s="145"/>
      <c r="Y79" s="142"/>
      <c r="Z79" s="134">
        <f>Y79*X79*$E79</f>
        <v>0</v>
      </c>
      <c r="AA79" s="145"/>
      <c r="AB79" s="142"/>
      <c r="AC79" s="134">
        <f t="shared" si="18"/>
        <v>0</v>
      </c>
      <c r="AD79" s="152"/>
      <c r="AE79" s="153"/>
      <c r="AF79" s="154"/>
      <c r="AG79" s="137">
        <f t="shared" si="19"/>
        <v>0</v>
      </c>
      <c r="AH79" s="138" t="e">
        <f t="shared" si="31"/>
        <v>#DIV/0!</v>
      </c>
    </row>
    <row r="80" spans="2:34" s="109" customFormat="1" ht="21.95" customHeight="1" thickBot="1">
      <c r="B80" s="694" t="s">
        <v>136</v>
      </c>
      <c r="C80" s="695"/>
      <c r="D80" s="695"/>
      <c r="E80" s="695" t="e">
        <f>SUM(#REF!)</f>
        <v>#REF!</v>
      </c>
      <c r="F80" s="263"/>
      <c r="G80" s="264"/>
      <c r="H80" s="265">
        <f>SUM(H26:H79)</f>
        <v>0</v>
      </c>
      <c r="I80" s="263"/>
      <c r="J80" s="264"/>
      <c r="K80" s="265">
        <f>SUM(K26:K79)</f>
        <v>0</v>
      </c>
      <c r="L80" s="263"/>
      <c r="M80" s="264"/>
      <c r="N80" s="265">
        <f>SUM(N26:N79)</f>
        <v>0</v>
      </c>
      <c r="O80" s="263"/>
      <c r="P80" s="264"/>
      <c r="Q80" s="265">
        <f>SUM(Q26:Q79)</f>
        <v>0</v>
      </c>
      <c r="R80" s="263"/>
      <c r="S80" s="264"/>
      <c r="T80" s="265">
        <f>SUM(T26:T79)</f>
        <v>0</v>
      </c>
      <c r="U80" s="263"/>
      <c r="V80" s="264"/>
      <c r="W80" s="265">
        <f>SUM(W26:W79)</f>
        <v>0</v>
      </c>
      <c r="X80" s="263"/>
      <c r="Y80" s="264"/>
      <c r="Z80" s="265">
        <f>SUM(Z26:Z79)</f>
        <v>0</v>
      </c>
      <c r="AA80" s="263"/>
      <c r="AB80" s="264"/>
      <c r="AC80" s="265">
        <f>SUM(AC26:AC79)</f>
        <v>0</v>
      </c>
      <c r="AD80" s="143"/>
      <c r="AE80" s="263"/>
      <c r="AF80" s="264"/>
      <c r="AG80" s="265">
        <f>SUM(AG26:AG79)</f>
        <v>0</v>
      </c>
      <c r="AH80" s="138"/>
    </row>
    <row r="81" spans="2:35" s="109" customFormat="1" ht="21.95" customHeight="1" thickBot="1">
      <c r="B81" s="699" t="s">
        <v>34</v>
      </c>
      <c r="C81" s="700"/>
      <c r="D81" s="700"/>
      <c r="E81" s="701"/>
      <c r="F81" s="745"/>
      <c r="G81" s="745"/>
      <c r="H81" s="745"/>
      <c r="I81" s="745"/>
      <c r="J81" s="745"/>
      <c r="K81" s="745"/>
      <c r="L81" s="745"/>
      <c r="M81" s="745"/>
      <c r="N81" s="745"/>
      <c r="O81" s="745"/>
      <c r="P81" s="745"/>
      <c r="Q81" s="745"/>
      <c r="R81" s="745"/>
      <c r="S81" s="745"/>
      <c r="T81" s="745"/>
      <c r="U81" s="745"/>
      <c r="V81" s="745"/>
      <c r="W81" s="745"/>
      <c r="X81" s="745"/>
      <c r="Y81" s="745"/>
      <c r="Z81" s="745"/>
      <c r="AA81" s="745"/>
      <c r="AB81" s="745"/>
      <c r="AC81" s="745"/>
      <c r="AD81" s="143"/>
      <c r="AE81" s="711"/>
      <c r="AF81" s="711"/>
      <c r="AG81" s="711"/>
      <c r="AH81" s="138"/>
    </row>
    <row r="82" spans="2:35" s="127" customFormat="1" ht="21.95" customHeight="1" thickBot="1">
      <c r="B82" s="258" t="s">
        <v>163</v>
      </c>
      <c r="C82" s="259" t="s">
        <v>169</v>
      </c>
      <c r="D82" s="260" t="s">
        <v>30</v>
      </c>
      <c r="E82" s="261" t="s">
        <v>31</v>
      </c>
      <c r="F82" s="258" t="s">
        <v>6</v>
      </c>
      <c r="G82" s="261" t="s">
        <v>32</v>
      </c>
      <c r="H82" s="262" t="s">
        <v>5</v>
      </c>
      <c r="I82" s="258" t="s">
        <v>6</v>
      </c>
      <c r="J82" s="261" t="s">
        <v>32</v>
      </c>
      <c r="K82" s="262" t="s">
        <v>5</v>
      </c>
      <c r="L82" s="258" t="s">
        <v>6</v>
      </c>
      <c r="M82" s="261" t="s">
        <v>32</v>
      </c>
      <c r="N82" s="262" t="s">
        <v>5</v>
      </c>
      <c r="O82" s="258" t="s">
        <v>6</v>
      </c>
      <c r="P82" s="261" t="s">
        <v>32</v>
      </c>
      <c r="Q82" s="262" t="s">
        <v>5</v>
      </c>
      <c r="R82" s="258" t="s">
        <v>6</v>
      </c>
      <c r="S82" s="261" t="s">
        <v>32</v>
      </c>
      <c r="T82" s="262" t="s">
        <v>5</v>
      </c>
      <c r="U82" s="258" t="s">
        <v>6</v>
      </c>
      <c r="V82" s="261" t="s">
        <v>32</v>
      </c>
      <c r="W82" s="262" t="s">
        <v>5</v>
      </c>
      <c r="X82" s="258" t="s">
        <v>6</v>
      </c>
      <c r="Y82" s="261" t="s">
        <v>32</v>
      </c>
      <c r="Z82" s="262" t="s">
        <v>5</v>
      </c>
      <c r="AA82" s="258" t="s">
        <v>6</v>
      </c>
      <c r="AB82" s="261" t="s">
        <v>32</v>
      </c>
      <c r="AC82" s="262" t="s">
        <v>5</v>
      </c>
      <c r="AD82" s="124"/>
      <c r="AE82" s="258" t="s">
        <v>6</v>
      </c>
      <c r="AF82" s="261" t="s">
        <v>32</v>
      </c>
      <c r="AG82" s="262" t="s">
        <v>5</v>
      </c>
      <c r="AH82" s="125"/>
      <c r="AI82" s="126"/>
    </row>
    <row r="83" spans="2:35" s="109" customFormat="1" ht="21.95" customHeight="1" outlineLevel="1">
      <c r="B83" s="148" t="s">
        <v>450</v>
      </c>
      <c r="C83" s="149" t="s">
        <v>573</v>
      </c>
      <c r="D83" s="141" t="s">
        <v>578</v>
      </c>
      <c r="E83" s="151">
        <v>12.5</v>
      </c>
      <c r="F83" s="145"/>
      <c r="G83" s="142"/>
      <c r="H83" s="134">
        <f t="shared" ref="H83:H90" si="40">G83*F83*$E83</f>
        <v>0</v>
      </c>
      <c r="I83" s="145"/>
      <c r="J83" s="142"/>
      <c r="K83" s="134">
        <f t="shared" ref="K83:K90" si="41">J83*I83*$E83</f>
        <v>0</v>
      </c>
      <c r="L83" s="145"/>
      <c r="M83" s="142"/>
      <c r="N83" s="134">
        <f t="shared" ref="N83:N89" si="42">M83*L83*$E83</f>
        <v>0</v>
      </c>
      <c r="O83" s="145"/>
      <c r="P83" s="142"/>
      <c r="Q83" s="134">
        <f t="shared" ref="Q83:Q131" si="43">P83*O83*$E83</f>
        <v>0</v>
      </c>
      <c r="R83" s="145"/>
      <c r="S83" s="142"/>
      <c r="T83" s="134">
        <f t="shared" ref="T83:T131" si="44">S83*R83*$E83</f>
        <v>0</v>
      </c>
      <c r="U83" s="145"/>
      <c r="V83" s="142"/>
      <c r="W83" s="134">
        <f t="shared" ref="W83:W131" si="45">V83*U83*$E83</f>
        <v>0</v>
      </c>
      <c r="X83" s="145"/>
      <c r="Y83" s="142"/>
      <c r="Z83" s="134">
        <f t="shared" ref="Z83:Z96" si="46">Y83*X83*$E83</f>
        <v>0</v>
      </c>
      <c r="AA83" s="145"/>
      <c r="AB83" s="142"/>
      <c r="AC83" s="134">
        <f t="shared" ref="AC83:AC131" si="47">AB83*AA83*$E83</f>
        <v>0</v>
      </c>
      <c r="AD83" s="152"/>
      <c r="AE83" s="159"/>
      <c r="AF83" s="160"/>
      <c r="AG83" s="137">
        <f t="shared" ref="AG83:AG131" si="48">K83*$K$3+Z83*$Z$3+H83*$H$3+N83*$N$3+Q83*$Q$3+T83*$T$3+W83*$W$3+AC83*$AC$3</f>
        <v>0</v>
      </c>
      <c r="AH83" s="138" t="e">
        <f t="shared" ref="AH83:AH114" si="49">AG83/$AG$162</f>
        <v>#DIV/0!</v>
      </c>
    </row>
    <row r="84" spans="2:35" s="109" customFormat="1" ht="21.95" customHeight="1" outlineLevel="1">
      <c r="B84" s="148" t="s">
        <v>219</v>
      </c>
      <c r="C84" s="156" t="s">
        <v>186</v>
      </c>
      <c r="D84" s="157" t="s">
        <v>187</v>
      </c>
      <c r="E84" s="158">
        <v>1</v>
      </c>
      <c r="F84" s="145"/>
      <c r="G84" s="142"/>
      <c r="H84" s="134">
        <f t="shared" si="40"/>
        <v>0</v>
      </c>
      <c r="I84" s="145"/>
      <c r="J84" s="142"/>
      <c r="K84" s="134">
        <f t="shared" si="41"/>
        <v>0</v>
      </c>
      <c r="L84" s="145"/>
      <c r="M84" s="142"/>
      <c r="N84" s="134">
        <f t="shared" si="42"/>
        <v>0</v>
      </c>
      <c r="O84" s="145"/>
      <c r="P84" s="142"/>
      <c r="Q84" s="134">
        <f t="shared" si="43"/>
        <v>0</v>
      </c>
      <c r="R84" s="145"/>
      <c r="S84" s="142"/>
      <c r="T84" s="134">
        <f t="shared" si="44"/>
        <v>0</v>
      </c>
      <c r="U84" s="145"/>
      <c r="V84" s="142"/>
      <c r="W84" s="134">
        <f t="shared" si="45"/>
        <v>0</v>
      </c>
      <c r="X84" s="145"/>
      <c r="Y84" s="142"/>
      <c r="Z84" s="134">
        <f t="shared" si="46"/>
        <v>0</v>
      </c>
      <c r="AA84" s="145"/>
      <c r="AB84" s="142"/>
      <c r="AC84" s="134">
        <f t="shared" si="47"/>
        <v>0</v>
      </c>
      <c r="AD84" s="152"/>
      <c r="AE84" s="159"/>
      <c r="AF84" s="160"/>
      <c r="AG84" s="137">
        <f t="shared" si="48"/>
        <v>0</v>
      </c>
      <c r="AH84" s="138" t="e">
        <f t="shared" si="49"/>
        <v>#DIV/0!</v>
      </c>
    </row>
    <row r="85" spans="2:35" s="109" customFormat="1" ht="21.95" customHeight="1" outlineLevel="1">
      <c r="B85" s="148" t="s">
        <v>220</v>
      </c>
      <c r="C85" s="149" t="s">
        <v>569</v>
      </c>
      <c r="D85" s="141" t="s">
        <v>414</v>
      </c>
      <c r="E85" s="151">
        <v>1</v>
      </c>
      <c r="F85" s="145"/>
      <c r="G85" s="142"/>
      <c r="H85" s="134">
        <f t="shared" si="40"/>
        <v>0</v>
      </c>
      <c r="I85" s="145"/>
      <c r="J85" s="142"/>
      <c r="K85" s="134">
        <f t="shared" si="41"/>
        <v>0</v>
      </c>
      <c r="L85" s="145"/>
      <c r="M85" s="142"/>
      <c r="N85" s="134">
        <f t="shared" si="42"/>
        <v>0</v>
      </c>
      <c r="O85" s="145"/>
      <c r="P85" s="142"/>
      <c r="Q85" s="134">
        <f t="shared" si="43"/>
        <v>0</v>
      </c>
      <c r="R85" s="145"/>
      <c r="S85" s="142"/>
      <c r="T85" s="134">
        <f t="shared" si="44"/>
        <v>0</v>
      </c>
      <c r="U85" s="145"/>
      <c r="V85" s="142"/>
      <c r="W85" s="134">
        <f t="shared" si="45"/>
        <v>0</v>
      </c>
      <c r="X85" s="145"/>
      <c r="Y85" s="142"/>
      <c r="Z85" s="134">
        <f t="shared" si="46"/>
        <v>0</v>
      </c>
      <c r="AA85" s="145"/>
      <c r="AB85" s="142"/>
      <c r="AC85" s="134">
        <f t="shared" si="47"/>
        <v>0</v>
      </c>
      <c r="AD85" s="152"/>
      <c r="AE85" s="159"/>
      <c r="AF85" s="160"/>
      <c r="AG85" s="137">
        <f t="shared" si="48"/>
        <v>0</v>
      </c>
      <c r="AH85" s="138" t="e">
        <f t="shared" si="49"/>
        <v>#DIV/0!</v>
      </c>
    </row>
    <row r="86" spans="2:35" s="109" customFormat="1" ht="21.95" customHeight="1" outlineLevel="1">
      <c r="B86" s="148" t="s">
        <v>221</v>
      </c>
      <c r="C86" s="161" t="s">
        <v>545</v>
      </c>
      <c r="D86" s="157" t="s">
        <v>415</v>
      </c>
      <c r="E86" s="158">
        <v>120</v>
      </c>
      <c r="F86" s="145"/>
      <c r="G86" s="142"/>
      <c r="H86" s="134">
        <f t="shared" si="40"/>
        <v>0</v>
      </c>
      <c r="I86" s="145"/>
      <c r="J86" s="142"/>
      <c r="K86" s="134">
        <f t="shared" si="41"/>
        <v>0</v>
      </c>
      <c r="L86" s="145"/>
      <c r="M86" s="142"/>
      <c r="N86" s="134">
        <f>M86*L86*$E86</f>
        <v>0</v>
      </c>
      <c r="O86" s="145"/>
      <c r="P86" s="142"/>
      <c r="Q86" s="134">
        <f t="shared" si="43"/>
        <v>0</v>
      </c>
      <c r="R86" s="145"/>
      <c r="S86" s="142"/>
      <c r="T86" s="134">
        <f t="shared" si="44"/>
        <v>0</v>
      </c>
      <c r="U86" s="145"/>
      <c r="V86" s="142"/>
      <c r="W86" s="134">
        <f t="shared" si="45"/>
        <v>0</v>
      </c>
      <c r="X86" s="145"/>
      <c r="Y86" s="142"/>
      <c r="Z86" s="134">
        <f t="shared" si="46"/>
        <v>0</v>
      </c>
      <c r="AA86" s="145"/>
      <c r="AB86" s="142"/>
      <c r="AC86" s="134">
        <f t="shared" si="47"/>
        <v>0</v>
      </c>
      <c r="AD86" s="152"/>
      <c r="AE86" s="159"/>
      <c r="AF86" s="160"/>
      <c r="AG86" s="137">
        <f t="shared" si="48"/>
        <v>0</v>
      </c>
      <c r="AH86" s="138" t="e">
        <f t="shared" si="49"/>
        <v>#DIV/0!</v>
      </c>
    </row>
    <row r="87" spans="2:35" s="109" customFormat="1" ht="21.95" customHeight="1" outlineLevel="1">
      <c r="B87" s="148" t="s">
        <v>240</v>
      </c>
      <c r="C87" s="149" t="s">
        <v>566</v>
      </c>
      <c r="D87" s="141" t="s">
        <v>578</v>
      </c>
      <c r="E87" s="151">
        <f>14*1.2</f>
        <v>16.8</v>
      </c>
      <c r="F87" s="145"/>
      <c r="G87" s="142"/>
      <c r="H87" s="134">
        <f t="shared" si="40"/>
        <v>0</v>
      </c>
      <c r="I87" s="145"/>
      <c r="J87" s="142"/>
      <c r="K87" s="134">
        <f t="shared" si="41"/>
        <v>0</v>
      </c>
      <c r="L87" s="145"/>
      <c r="M87" s="142"/>
      <c r="N87" s="134">
        <f t="shared" si="42"/>
        <v>0</v>
      </c>
      <c r="O87" s="145"/>
      <c r="P87" s="142"/>
      <c r="Q87" s="134">
        <f t="shared" si="43"/>
        <v>0</v>
      </c>
      <c r="R87" s="145"/>
      <c r="S87" s="142"/>
      <c r="T87" s="134">
        <f t="shared" si="44"/>
        <v>0</v>
      </c>
      <c r="U87" s="145"/>
      <c r="V87" s="142"/>
      <c r="W87" s="134">
        <f t="shared" si="45"/>
        <v>0</v>
      </c>
      <c r="X87" s="145"/>
      <c r="Y87" s="142"/>
      <c r="Z87" s="134">
        <f t="shared" si="46"/>
        <v>0</v>
      </c>
      <c r="AA87" s="145"/>
      <c r="AB87" s="142"/>
      <c r="AC87" s="134">
        <f t="shared" si="47"/>
        <v>0</v>
      </c>
      <c r="AD87" s="152"/>
      <c r="AE87" s="159"/>
      <c r="AF87" s="160"/>
      <c r="AG87" s="137">
        <f t="shared" si="48"/>
        <v>0</v>
      </c>
      <c r="AH87" s="138" t="e">
        <f t="shared" si="49"/>
        <v>#DIV/0!</v>
      </c>
    </row>
    <row r="88" spans="2:35" s="109" customFormat="1" ht="21.95" customHeight="1" outlineLevel="1">
      <c r="B88" s="148" t="s">
        <v>451</v>
      </c>
      <c r="C88" s="149" t="s">
        <v>565</v>
      </c>
      <c r="D88" s="141" t="s">
        <v>578</v>
      </c>
      <c r="E88" s="151">
        <v>12</v>
      </c>
      <c r="F88" s="145"/>
      <c r="G88" s="142"/>
      <c r="H88" s="134">
        <f t="shared" si="40"/>
        <v>0</v>
      </c>
      <c r="I88" s="145"/>
      <c r="J88" s="142"/>
      <c r="K88" s="134">
        <f t="shared" si="41"/>
        <v>0</v>
      </c>
      <c r="L88" s="145"/>
      <c r="M88" s="142"/>
      <c r="N88" s="134">
        <f t="shared" si="42"/>
        <v>0</v>
      </c>
      <c r="O88" s="145"/>
      <c r="P88" s="142"/>
      <c r="Q88" s="134">
        <f t="shared" si="43"/>
        <v>0</v>
      </c>
      <c r="R88" s="145"/>
      <c r="S88" s="142"/>
      <c r="T88" s="134">
        <f t="shared" si="44"/>
        <v>0</v>
      </c>
      <c r="U88" s="145"/>
      <c r="V88" s="142"/>
      <c r="W88" s="134">
        <f t="shared" si="45"/>
        <v>0</v>
      </c>
      <c r="X88" s="145"/>
      <c r="Y88" s="142"/>
      <c r="Z88" s="134">
        <f t="shared" si="46"/>
        <v>0</v>
      </c>
      <c r="AA88" s="145"/>
      <c r="AB88" s="142"/>
      <c r="AC88" s="134">
        <f t="shared" si="47"/>
        <v>0</v>
      </c>
      <c r="AD88" s="152"/>
      <c r="AE88" s="159"/>
      <c r="AF88" s="160"/>
      <c r="AG88" s="137">
        <f t="shared" si="48"/>
        <v>0</v>
      </c>
      <c r="AH88" s="138" t="e">
        <f t="shared" si="49"/>
        <v>#DIV/0!</v>
      </c>
    </row>
    <row r="89" spans="2:35" s="109" customFormat="1" ht="21.95" customHeight="1" outlineLevel="1">
      <c r="B89" s="148" t="s">
        <v>452</v>
      </c>
      <c r="C89" s="149" t="s">
        <v>664</v>
      </c>
      <c r="D89" s="141" t="s">
        <v>414</v>
      </c>
      <c r="E89" s="151">
        <v>15</v>
      </c>
      <c r="F89" s="145"/>
      <c r="G89" s="142"/>
      <c r="H89" s="134">
        <f t="shared" si="40"/>
        <v>0</v>
      </c>
      <c r="I89" s="145"/>
      <c r="J89" s="142"/>
      <c r="K89" s="134">
        <f t="shared" si="41"/>
        <v>0</v>
      </c>
      <c r="L89" s="145"/>
      <c r="M89" s="142"/>
      <c r="N89" s="134">
        <f t="shared" si="42"/>
        <v>0</v>
      </c>
      <c r="O89" s="145"/>
      <c r="P89" s="142"/>
      <c r="Q89" s="134">
        <f t="shared" si="43"/>
        <v>0</v>
      </c>
      <c r="R89" s="145"/>
      <c r="S89" s="142"/>
      <c r="T89" s="134">
        <f t="shared" si="44"/>
        <v>0</v>
      </c>
      <c r="U89" s="145"/>
      <c r="V89" s="142"/>
      <c r="W89" s="134">
        <f t="shared" si="45"/>
        <v>0</v>
      </c>
      <c r="X89" s="145"/>
      <c r="Y89" s="142"/>
      <c r="Z89" s="134">
        <f t="shared" si="46"/>
        <v>0</v>
      </c>
      <c r="AA89" s="145"/>
      <c r="AB89" s="142"/>
      <c r="AC89" s="134">
        <f t="shared" si="47"/>
        <v>0</v>
      </c>
      <c r="AD89" s="152"/>
      <c r="AE89" s="159"/>
      <c r="AF89" s="160"/>
      <c r="AG89" s="137">
        <f t="shared" si="48"/>
        <v>0</v>
      </c>
      <c r="AH89" s="138" t="e">
        <f t="shared" si="49"/>
        <v>#DIV/0!</v>
      </c>
    </row>
    <row r="90" spans="2:35" s="109" customFormat="1" ht="21.95" customHeight="1" outlineLevel="1">
      <c r="B90" s="148" t="s">
        <v>453</v>
      </c>
      <c r="C90" s="149" t="s">
        <v>665</v>
      </c>
      <c r="D90" s="150" t="s">
        <v>579</v>
      </c>
      <c r="E90" s="151">
        <v>8.9</v>
      </c>
      <c r="F90" s="145"/>
      <c r="G90" s="142"/>
      <c r="H90" s="134">
        <f t="shared" si="40"/>
        <v>0</v>
      </c>
      <c r="I90" s="145"/>
      <c r="J90" s="142"/>
      <c r="K90" s="134">
        <f t="shared" si="41"/>
        <v>0</v>
      </c>
      <c r="L90" s="145"/>
      <c r="M90" s="142"/>
      <c r="N90" s="134">
        <f>M90*L90*$E90</f>
        <v>0</v>
      </c>
      <c r="O90" s="145"/>
      <c r="P90" s="142"/>
      <c r="Q90" s="134">
        <f t="shared" si="43"/>
        <v>0</v>
      </c>
      <c r="R90" s="145"/>
      <c r="S90" s="142"/>
      <c r="T90" s="134">
        <f t="shared" si="44"/>
        <v>0</v>
      </c>
      <c r="U90" s="145"/>
      <c r="V90" s="142"/>
      <c r="W90" s="134">
        <f t="shared" si="45"/>
        <v>0</v>
      </c>
      <c r="X90" s="145"/>
      <c r="Y90" s="142"/>
      <c r="Z90" s="134">
        <f t="shared" si="46"/>
        <v>0</v>
      </c>
      <c r="AA90" s="145"/>
      <c r="AB90" s="142"/>
      <c r="AC90" s="134">
        <f t="shared" si="47"/>
        <v>0</v>
      </c>
      <c r="AD90" s="152"/>
      <c r="AE90" s="159"/>
      <c r="AF90" s="160"/>
      <c r="AG90" s="137">
        <f t="shared" si="48"/>
        <v>0</v>
      </c>
      <c r="AH90" s="138" t="e">
        <f t="shared" si="49"/>
        <v>#DIV/0!</v>
      </c>
    </row>
    <row r="91" spans="2:35" s="109" customFormat="1" ht="21.95" customHeight="1" outlineLevel="1">
      <c r="B91" s="148" t="s">
        <v>389</v>
      </c>
      <c r="C91" s="149" t="s">
        <v>690</v>
      </c>
      <c r="D91" s="141" t="s">
        <v>415</v>
      </c>
      <c r="E91" s="151">
        <v>220</v>
      </c>
      <c r="F91" s="145"/>
      <c r="G91" s="142"/>
      <c r="H91" s="134">
        <f t="shared" ref="H91:H96" si="50">G91*F91*$E91</f>
        <v>0</v>
      </c>
      <c r="I91" s="145"/>
      <c r="J91" s="142"/>
      <c r="K91" s="134">
        <f t="shared" ref="K91:K96" si="51">J91*I91*$E91</f>
        <v>0</v>
      </c>
      <c r="L91" s="145"/>
      <c r="M91" s="142"/>
      <c r="N91" s="134">
        <f t="shared" ref="N91:N96" si="52">M91*L91*$E91</f>
        <v>0</v>
      </c>
      <c r="O91" s="145"/>
      <c r="P91" s="142"/>
      <c r="Q91" s="134">
        <f t="shared" si="43"/>
        <v>0</v>
      </c>
      <c r="R91" s="145"/>
      <c r="S91" s="142"/>
      <c r="T91" s="134">
        <f t="shared" si="44"/>
        <v>0</v>
      </c>
      <c r="U91" s="145"/>
      <c r="V91" s="142"/>
      <c r="W91" s="134">
        <f t="shared" si="45"/>
        <v>0</v>
      </c>
      <c r="X91" s="145"/>
      <c r="Y91" s="142"/>
      <c r="Z91" s="134">
        <f t="shared" si="46"/>
        <v>0</v>
      </c>
      <c r="AA91" s="145"/>
      <c r="AB91" s="142"/>
      <c r="AC91" s="134">
        <f t="shared" si="47"/>
        <v>0</v>
      </c>
      <c r="AD91" s="152"/>
      <c r="AE91" s="159"/>
      <c r="AF91" s="160"/>
      <c r="AG91" s="137">
        <f t="shared" si="48"/>
        <v>0</v>
      </c>
      <c r="AH91" s="138" t="e">
        <f t="shared" si="49"/>
        <v>#DIV/0!</v>
      </c>
    </row>
    <row r="92" spans="2:35" s="109" customFormat="1" ht="38.25" customHeight="1" outlineLevel="1">
      <c r="B92" s="148" t="s">
        <v>222</v>
      </c>
      <c r="C92" s="149" t="s">
        <v>695</v>
      </c>
      <c r="D92" s="150" t="s">
        <v>193</v>
      </c>
      <c r="E92" s="151">
        <v>590</v>
      </c>
      <c r="F92" s="145"/>
      <c r="G92" s="142"/>
      <c r="H92" s="134">
        <f>G92*F92*$E92</f>
        <v>0</v>
      </c>
      <c r="I92" s="145"/>
      <c r="J92" s="142"/>
      <c r="K92" s="134">
        <f>J92*I92*$E92</f>
        <v>0</v>
      </c>
      <c r="L92" s="145"/>
      <c r="M92" s="142"/>
      <c r="N92" s="134">
        <f>M92*L92*$E92</f>
        <v>0</v>
      </c>
      <c r="O92" s="145"/>
      <c r="P92" s="142"/>
      <c r="Q92" s="134">
        <f t="shared" si="43"/>
        <v>0</v>
      </c>
      <c r="R92" s="145"/>
      <c r="S92" s="142"/>
      <c r="T92" s="134">
        <f t="shared" si="44"/>
        <v>0</v>
      </c>
      <c r="U92" s="145"/>
      <c r="V92" s="142"/>
      <c r="W92" s="134">
        <f t="shared" si="45"/>
        <v>0</v>
      </c>
      <c r="X92" s="145"/>
      <c r="Y92" s="142"/>
      <c r="Z92" s="134">
        <f>Y92*X92*$E92</f>
        <v>0</v>
      </c>
      <c r="AA92" s="145"/>
      <c r="AB92" s="142"/>
      <c r="AC92" s="134">
        <f t="shared" si="47"/>
        <v>0</v>
      </c>
      <c r="AD92" s="152"/>
      <c r="AE92" s="159"/>
      <c r="AF92" s="160"/>
      <c r="AG92" s="137">
        <f t="shared" si="48"/>
        <v>0</v>
      </c>
      <c r="AH92" s="138" t="e">
        <f t="shared" si="49"/>
        <v>#DIV/0!</v>
      </c>
    </row>
    <row r="93" spans="2:35" s="109" customFormat="1" ht="21.95" customHeight="1" outlineLevel="1">
      <c r="B93" s="148" t="s">
        <v>454</v>
      </c>
      <c r="C93" s="149" t="s">
        <v>568</v>
      </c>
      <c r="D93" s="150" t="s">
        <v>414</v>
      </c>
      <c r="E93" s="151">
        <f>125/6*1.2</f>
        <v>24.999999999999996</v>
      </c>
      <c r="F93" s="145"/>
      <c r="G93" s="142"/>
      <c r="H93" s="134">
        <f t="shared" si="50"/>
        <v>0</v>
      </c>
      <c r="I93" s="145"/>
      <c r="J93" s="142"/>
      <c r="K93" s="134">
        <f t="shared" si="51"/>
        <v>0</v>
      </c>
      <c r="L93" s="145"/>
      <c r="M93" s="142"/>
      <c r="N93" s="134">
        <f t="shared" si="52"/>
        <v>0</v>
      </c>
      <c r="O93" s="145"/>
      <c r="P93" s="142"/>
      <c r="Q93" s="134">
        <f t="shared" si="43"/>
        <v>0</v>
      </c>
      <c r="R93" s="145"/>
      <c r="S93" s="142"/>
      <c r="T93" s="134">
        <f t="shared" si="44"/>
        <v>0</v>
      </c>
      <c r="U93" s="145"/>
      <c r="V93" s="142"/>
      <c r="W93" s="134">
        <f t="shared" si="45"/>
        <v>0</v>
      </c>
      <c r="X93" s="145"/>
      <c r="Y93" s="142"/>
      <c r="Z93" s="134">
        <f t="shared" si="46"/>
        <v>0</v>
      </c>
      <c r="AA93" s="145"/>
      <c r="AB93" s="142"/>
      <c r="AC93" s="134">
        <f t="shared" si="47"/>
        <v>0</v>
      </c>
      <c r="AD93" s="152"/>
      <c r="AE93" s="159"/>
      <c r="AF93" s="160"/>
      <c r="AG93" s="137">
        <f t="shared" si="48"/>
        <v>0</v>
      </c>
      <c r="AH93" s="138" t="e">
        <f t="shared" si="49"/>
        <v>#DIV/0!</v>
      </c>
    </row>
    <row r="94" spans="2:35" s="109" customFormat="1" ht="36" customHeight="1" outlineLevel="1">
      <c r="B94" s="148" t="s">
        <v>455</v>
      </c>
      <c r="C94" s="149" t="s">
        <v>542</v>
      </c>
      <c r="D94" s="150" t="s">
        <v>177</v>
      </c>
      <c r="E94" s="151">
        <v>10000</v>
      </c>
      <c r="F94" s="145"/>
      <c r="G94" s="142"/>
      <c r="H94" s="134">
        <f>G94*F94*$E94</f>
        <v>0</v>
      </c>
      <c r="I94" s="145"/>
      <c r="J94" s="142"/>
      <c r="K94" s="134">
        <f>J94*I94*$E94</f>
        <v>0</v>
      </c>
      <c r="L94" s="145"/>
      <c r="M94" s="142"/>
      <c r="N94" s="134">
        <f>M94*L94*$E94</f>
        <v>0</v>
      </c>
      <c r="O94" s="145"/>
      <c r="P94" s="142"/>
      <c r="Q94" s="134">
        <f t="shared" si="43"/>
        <v>0</v>
      </c>
      <c r="R94" s="145"/>
      <c r="S94" s="142"/>
      <c r="T94" s="134">
        <f t="shared" si="44"/>
        <v>0</v>
      </c>
      <c r="U94" s="145"/>
      <c r="V94" s="142"/>
      <c r="W94" s="134">
        <f t="shared" si="45"/>
        <v>0</v>
      </c>
      <c r="X94" s="145"/>
      <c r="Y94" s="142"/>
      <c r="Z94" s="134">
        <f>Y94*X94*$E94</f>
        <v>0</v>
      </c>
      <c r="AA94" s="145"/>
      <c r="AB94" s="142"/>
      <c r="AC94" s="134">
        <f t="shared" si="47"/>
        <v>0</v>
      </c>
      <c r="AD94" s="152"/>
      <c r="AE94" s="159"/>
      <c r="AF94" s="160"/>
      <c r="AG94" s="137">
        <f t="shared" si="48"/>
        <v>0</v>
      </c>
      <c r="AH94" s="138" t="e">
        <f t="shared" si="49"/>
        <v>#DIV/0!</v>
      </c>
    </row>
    <row r="95" spans="2:35" s="109" customFormat="1" ht="21.95" customHeight="1" outlineLevel="1">
      <c r="B95" s="148" t="s">
        <v>456</v>
      </c>
      <c r="C95" s="149" t="s">
        <v>546</v>
      </c>
      <c r="D95" s="150" t="s">
        <v>580</v>
      </c>
      <c r="E95" s="151">
        <v>50</v>
      </c>
      <c r="F95" s="145"/>
      <c r="G95" s="142"/>
      <c r="H95" s="134">
        <f t="shared" si="50"/>
        <v>0</v>
      </c>
      <c r="I95" s="145"/>
      <c r="J95" s="142"/>
      <c r="K95" s="134">
        <f t="shared" si="51"/>
        <v>0</v>
      </c>
      <c r="L95" s="145"/>
      <c r="M95" s="142"/>
      <c r="N95" s="134">
        <f t="shared" si="52"/>
        <v>0</v>
      </c>
      <c r="O95" s="145"/>
      <c r="P95" s="142"/>
      <c r="Q95" s="134">
        <f t="shared" si="43"/>
        <v>0</v>
      </c>
      <c r="R95" s="145"/>
      <c r="S95" s="142"/>
      <c r="T95" s="134">
        <f t="shared" si="44"/>
        <v>0</v>
      </c>
      <c r="U95" s="145"/>
      <c r="V95" s="142"/>
      <c r="W95" s="134">
        <f t="shared" si="45"/>
        <v>0</v>
      </c>
      <c r="X95" s="145"/>
      <c r="Y95" s="142"/>
      <c r="Z95" s="134">
        <f t="shared" si="46"/>
        <v>0</v>
      </c>
      <c r="AA95" s="145"/>
      <c r="AB95" s="142"/>
      <c r="AC95" s="134">
        <f t="shared" si="47"/>
        <v>0</v>
      </c>
      <c r="AD95" s="152"/>
      <c r="AE95" s="159"/>
      <c r="AF95" s="160"/>
      <c r="AG95" s="137">
        <f t="shared" si="48"/>
        <v>0</v>
      </c>
      <c r="AH95" s="138" t="e">
        <f t="shared" si="49"/>
        <v>#DIV/0!</v>
      </c>
    </row>
    <row r="96" spans="2:35" s="109" customFormat="1" ht="21.95" customHeight="1" outlineLevel="1">
      <c r="B96" s="148" t="s">
        <v>457</v>
      </c>
      <c r="C96" s="156" t="s">
        <v>677</v>
      </c>
      <c r="D96" s="155" t="s">
        <v>187</v>
      </c>
      <c r="E96" s="158">
        <v>6.5</v>
      </c>
      <c r="F96" s="145"/>
      <c r="G96" s="142"/>
      <c r="H96" s="134">
        <f t="shared" si="50"/>
        <v>0</v>
      </c>
      <c r="I96" s="145"/>
      <c r="J96" s="142"/>
      <c r="K96" s="134">
        <f t="shared" si="51"/>
        <v>0</v>
      </c>
      <c r="L96" s="145"/>
      <c r="M96" s="142"/>
      <c r="N96" s="134">
        <f t="shared" si="52"/>
        <v>0</v>
      </c>
      <c r="O96" s="145"/>
      <c r="P96" s="142"/>
      <c r="Q96" s="134">
        <f t="shared" si="43"/>
        <v>0</v>
      </c>
      <c r="R96" s="145"/>
      <c r="S96" s="142"/>
      <c r="T96" s="134">
        <f t="shared" si="44"/>
        <v>0</v>
      </c>
      <c r="U96" s="145"/>
      <c r="V96" s="142"/>
      <c r="W96" s="134">
        <f t="shared" si="45"/>
        <v>0</v>
      </c>
      <c r="X96" s="145"/>
      <c r="Y96" s="142"/>
      <c r="Z96" s="134">
        <f t="shared" si="46"/>
        <v>0</v>
      </c>
      <c r="AA96" s="145"/>
      <c r="AB96" s="142"/>
      <c r="AC96" s="134">
        <f t="shared" si="47"/>
        <v>0</v>
      </c>
      <c r="AD96" s="152"/>
      <c r="AE96" s="159"/>
      <c r="AF96" s="160"/>
      <c r="AG96" s="137">
        <f t="shared" si="48"/>
        <v>0</v>
      </c>
      <c r="AH96" s="138" t="e">
        <f t="shared" si="49"/>
        <v>#DIV/0!</v>
      </c>
    </row>
    <row r="97" spans="2:34" s="109" customFormat="1" ht="21.95" customHeight="1" outlineLevel="1">
      <c r="B97" s="148" t="s">
        <v>458</v>
      </c>
      <c r="C97" s="156" t="s">
        <v>678</v>
      </c>
      <c r="D97" s="155" t="s">
        <v>187</v>
      </c>
      <c r="E97" s="158">
        <v>7</v>
      </c>
      <c r="F97" s="145"/>
      <c r="G97" s="142"/>
      <c r="H97" s="134">
        <f t="shared" ref="H97:H110" si="53">G97*F97*$E97</f>
        <v>0</v>
      </c>
      <c r="I97" s="145"/>
      <c r="J97" s="142"/>
      <c r="K97" s="134">
        <f t="shared" ref="K97:K110" si="54">J97*I97*$E97</f>
        <v>0</v>
      </c>
      <c r="L97" s="145"/>
      <c r="M97" s="142"/>
      <c r="N97" s="134">
        <f t="shared" ref="N97:N110" si="55">M97*L97*$E97</f>
        <v>0</v>
      </c>
      <c r="O97" s="145"/>
      <c r="P97" s="142"/>
      <c r="Q97" s="134">
        <f>P97*O97*$E97</f>
        <v>0</v>
      </c>
      <c r="R97" s="145"/>
      <c r="S97" s="142"/>
      <c r="T97" s="134">
        <f>S97*R97*$E97</f>
        <v>0</v>
      </c>
      <c r="U97" s="145"/>
      <c r="V97" s="142"/>
      <c r="W97" s="134">
        <f>V97*U97*$E97</f>
        <v>0</v>
      </c>
      <c r="X97" s="145"/>
      <c r="Y97" s="142"/>
      <c r="Z97" s="134">
        <f t="shared" ref="Z97:Z110" si="56">Y97*X97*$E97</f>
        <v>0</v>
      </c>
      <c r="AA97" s="145"/>
      <c r="AB97" s="142"/>
      <c r="AC97" s="134">
        <f>AB97*AA97*$E97</f>
        <v>0</v>
      </c>
      <c r="AD97" s="152"/>
      <c r="AE97" s="159"/>
      <c r="AF97" s="160"/>
      <c r="AG97" s="137">
        <f>K97*$K$3+Z97*$Z$3+H97*$H$3+N97*$N$3+Q97*$Q$3+T97*$T$3+W97*$W$3+AC97*$AC$3</f>
        <v>0</v>
      </c>
      <c r="AH97" s="138" t="e">
        <f t="shared" si="49"/>
        <v>#DIV/0!</v>
      </c>
    </row>
    <row r="98" spans="2:34" s="109" customFormat="1" ht="36" customHeight="1" outlineLevel="1">
      <c r="B98" s="148" t="s">
        <v>459</v>
      </c>
      <c r="C98" s="156" t="s">
        <v>572</v>
      </c>
      <c r="D98" s="155" t="s">
        <v>226</v>
      </c>
      <c r="E98" s="158">
        <f>120/(2.2*1.1)</f>
        <v>49.586776859504127</v>
      </c>
      <c r="F98" s="145"/>
      <c r="G98" s="142"/>
      <c r="H98" s="134">
        <f t="shared" si="53"/>
        <v>0</v>
      </c>
      <c r="I98" s="145"/>
      <c r="J98" s="142"/>
      <c r="K98" s="134">
        <f t="shared" si="54"/>
        <v>0</v>
      </c>
      <c r="L98" s="145"/>
      <c r="M98" s="142"/>
      <c r="N98" s="134">
        <f t="shared" si="55"/>
        <v>0</v>
      </c>
      <c r="O98" s="145"/>
      <c r="P98" s="142"/>
      <c r="Q98" s="134">
        <f t="shared" si="43"/>
        <v>0</v>
      </c>
      <c r="R98" s="145"/>
      <c r="S98" s="142"/>
      <c r="T98" s="134">
        <f t="shared" si="44"/>
        <v>0</v>
      </c>
      <c r="U98" s="145"/>
      <c r="V98" s="142"/>
      <c r="W98" s="134">
        <f t="shared" si="45"/>
        <v>0</v>
      </c>
      <c r="X98" s="145"/>
      <c r="Y98" s="142"/>
      <c r="Z98" s="134">
        <f t="shared" si="56"/>
        <v>0</v>
      </c>
      <c r="AA98" s="145"/>
      <c r="AB98" s="142"/>
      <c r="AC98" s="134">
        <f t="shared" si="47"/>
        <v>0</v>
      </c>
      <c r="AD98" s="152"/>
      <c r="AE98" s="159"/>
      <c r="AF98" s="160"/>
      <c r="AG98" s="137">
        <f t="shared" si="48"/>
        <v>0</v>
      </c>
      <c r="AH98" s="138" t="e">
        <f t="shared" si="49"/>
        <v>#DIV/0!</v>
      </c>
    </row>
    <row r="99" spans="2:34" s="109" customFormat="1" ht="36" customHeight="1" outlineLevel="1">
      <c r="B99" s="148" t="s">
        <v>460</v>
      </c>
      <c r="C99" s="149" t="s">
        <v>571</v>
      </c>
      <c r="D99" s="150" t="s">
        <v>414</v>
      </c>
      <c r="E99" s="151">
        <f>(350/10)*1.2</f>
        <v>42</v>
      </c>
      <c r="F99" s="145"/>
      <c r="G99" s="142"/>
      <c r="H99" s="134">
        <f t="shared" si="53"/>
        <v>0</v>
      </c>
      <c r="I99" s="145"/>
      <c r="J99" s="142"/>
      <c r="K99" s="134">
        <f t="shared" si="54"/>
        <v>0</v>
      </c>
      <c r="L99" s="145"/>
      <c r="M99" s="142"/>
      <c r="N99" s="134">
        <f t="shared" si="55"/>
        <v>0</v>
      </c>
      <c r="O99" s="145"/>
      <c r="P99" s="142"/>
      <c r="Q99" s="134">
        <f t="shared" si="43"/>
        <v>0</v>
      </c>
      <c r="R99" s="145"/>
      <c r="S99" s="142"/>
      <c r="T99" s="134">
        <f t="shared" si="44"/>
        <v>0</v>
      </c>
      <c r="U99" s="145"/>
      <c r="V99" s="142"/>
      <c r="W99" s="134">
        <f t="shared" si="45"/>
        <v>0</v>
      </c>
      <c r="X99" s="145"/>
      <c r="Y99" s="142"/>
      <c r="Z99" s="134">
        <f t="shared" si="56"/>
        <v>0</v>
      </c>
      <c r="AA99" s="145"/>
      <c r="AB99" s="142"/>
      <c r="AC99" s="134">
        <f t="shared" si="47"/>
        <v>0</v>
      </c>
      <c r="AD99" s="152"/>
      <c r="AE99" s="159"/>
      <c r="AF99" s="160"/>
      <c r="AG99" s="137">
        <f t="shared" si="48"/>
        <v>0</v>
      </c>
      <c r="AH99" s="138" t="e">
        <f t="shared" si="49"/>
        <v>#DIV/0!</v>
      </c>
    </row>
    <row r="100" spans="2:34" s="109" customFormat="1" ht="21.95" customHeight="1" outlineLevel="1">
      <c r="B100" s="148" t="s">
        <v>223</v>
      </c>
      <c r="C100" s="149" t="s">
        <v>705</v>
      </c>
      <c r="D100" s="150" t="s">
        <v>415</v>
      </c>
      <c r="E100" s="151">
        <v>650</v>
      </c>
      <c r="F100" s="145"/>
      <c r="G100" s="142"/>
      <c r="H100" s="134">
        <f t="shared" si="53"/>
        <v>0</v>
      </c>
      <c r="I100" s="145"/>
      <c r="J100" s="142"/>
      <c r="K100" s="134">
        <f t="shared" si="54"/>
        <v>0</v>
      </c>
      <c r="L100" s="145"/>
      <c r="M100" s="142"/>
      <c r="N100" s="134">
        <f t="shared" si="55"/>
        <v>0</v>
      </c>
      <c r="O100" s="145"/>
      <c r="P100" s="142"/>
      <c r="Q100" s="134">
        <f t="shared" si="43"/>
        <v>0</v>
      </c>
      <c r="R100" s="145"/>
      <c r="S100" s="142"/>
      <c r="T100" s="134">
        <f t="shared" si="44"/>
        <v>0</v>
      </c>
      <c r="U100" s="145"/>
      <c r="V100" s="142"/>
      <c r="W100" s="134">
        <f t="shared" si="45"/>
        <v>0</v>
      </c>
      <c r="X100" s="145"/>
      <c r="Y100" s="142"/>
      <c r="Z100" s="134">
        <f t="shared" si="56"/>
        <v>0</v>
      </c>
      <c r="AA100" s="145"/>
      <c r="AB100" s="142"/>
      <c r="AC100" s="134">
        <f t="shared" si="47"/>
        <v>0</v>
      </c>
      <c r="AD100" s="152"/>
      <c r="AE100" s="159"/>
      <c r="AF100" s="160"/>
      <c r="AG100" s="137">
        <f t="shared" si="48"/>
        <v>0</v>
      </c>
      <c r="AH100" s="138" t="e">
        <f t="shared" si="49"/>
        <v>#DIV/0!</v>
      </c>
    </row>
    <row r="101" spans="2:34" s="109" customFormat="1" ht="21.95" customHeight="1" outlineLevel="1">
      <c r="B101" s="148" t="s">
        <v>461</v>
      </c>
      <c r="C101" s="149" t="s">
        <v>582</v>
      </c>
      <c r="D101" s="150" t="s">
        <v>193</v>
      </c>
      <c r="E101" s="151">
        <v>2</v>
      </c>
      <c r="F101" s="145"/>
      <c r="G101" s="142"/>
      <c r="H101" s="134">
        <f t="shared" si="53"/>
        <v>0</v>
      </c>
      <c r="I101" s="145"/>
      <c r="J101" s="142"/>
      <c r="K101" s="134">
        <f t="shared" si="54"/>
        <v>0</v>
      </c>
      <c r="L101" s="145"/>
      <c r="M101" s="142"/>
      <c r="N101" s="134">
        <f t="shared" si="55"/>
        <v>0</v>
      </c>
      <c r="O101" s="145"/>
      <c r="P101" s="142"/>
      <c r="Q101" s="134">
        <f t="shared" si="43"/>
        <v>0</v>
      </c>
      <c r="R101" s="145"/>
      <c r="S101" s="142"/>
      <c r="T101" s="134">
        <f t="shared" si="44"/>
        <v>0</v>
      </c>
      <c r="U101" s="145"/>
      <c r="V101" s="142"/>
      <c r="W101" s="134">
        <f t="shared" si="45"/>
        <v>0</v>
      </c>
      <c r="X101" s="145"/>
      <c r="Y101" s="142"/>
      <c r="Z101" s="134">
        <f t="shared" si="56"/>
        <v>0</v>
      </c>
      <c r="AA101" s="145"/>
      <c r="AB101" s="142"/>
      <c r="AC101" s="134">
        <f t="shared" si="47"/>
        <v>0</v>
      </c>
      <c r="AD101" s="152"/>
      <c r="AE101" s="159"/>
      <c r="AF101" s="160"/>
      <c r="AG101" s="137">
        <f t="shared" si="48"/>
        <v>0</v>
      </c>
      <c r="AH101" s="138" t="e">
        <f t="shared" si="49"/>
        <v>#DIV/0!</v>
      </c>
    </row>
    <row r="102" spans="2:34" s="109" customFormat="1" ht="21.95" customHeight="1" outlineLevel="1">
      <c r="B102" s="148" t="s">
        <v>462</v>
      </c>
      <c r="C102" s="149" t="s">
        <v>667</v>
      </c>
      <c r="D102" s="150" t="s">
        <v>414</v>
      </c>
      <c r="E102" s="151">
        <f>45/6</f>
        <v>7.5</v>
      </c>
      <c r="F102" s="145"/>
      <c r="G102" s="142"/>
      <c r="H102" s="134">
        <f t="shared" si="53"/>
        <v>0</v>
      </c>
      <c r="I102" s="145"/>
      <c r="J102" s="142"/>
      <c r="K102" s="134">
        <f t="shared" si="54"/>
        <v>0</v>
      </c>
      <c r="L102" s="145"/>
      <c r="M102" s="142"/>
      <c r="N102" s="134">
        <f t="shared" si="55"/>
        <v>0</v>
      </c>
      <c r="O102" s="145"/>
      <c r="P102" s="142"/>
      <c r="Q102" s="134">
        <f t="shared" si="43"/>
        <v>0</v>
      </c>
      <c r="R102" s="145"/>
      <c r="S102" s="142"/>
      <c r="T102" s="134">
        <f t="shared" si="44"/>
        <v>0</v>
      </c>
      <c r="U102" s="145"/>
      <c r="V102" s="142"/>
      <c r="W102" s="134">
        <f t="shared" si="45"/>
        <v>0</v>
      </c>
      <c r="X102" s="145"/>
      <c r="Y102" s="142"/>
      <c r="Z102" s="134">
        <f t="shared" si="56"/>
        <v>0</v>
      </c>
      <c r="AA102" s="145"/>
      <c r="AB102" s="142"/>
      <c r="AC102" s="134">
        <f t="shared" si="47"/>
        <v>0</v>
      </c>
      <c r="AD102" s="152"/>
      <c r="AE102" s="159"/>
      <c r="AF102" s="160"/>
      <c r="AG102" s="137">
        <f t="shared" si="48"/>
        <v>0</v>
      </c>
      <c r="AH102" s="138" t="e">
        <f t="shared" si="49"/>
        <v>#DIV/0!</v>
      </c>
    </row>
    <row r="103" spans="2:34" s="109" customFormat="1" ht="21.95" customHeight="1" outlineLevel="1">
      <c r="B103" s="148" t="s">
        <v>463</v>
      </c>
      <c r="C103" s="156" t="s">
        <v>188</v>
      </c>
      <c r="D103" s="155" t="s">
        <v>189</v>
      </c>
      <c r="E103" s="158">
        <v>5</v>
      </c>
      <c r="F103" s="145"/>
      <c r="G103" s="142"/>
      <c r="H103" s="134">
        <f t="shared" si="53"/>
        <v>0</v>
      </c>
      <c r="I103" s="145"/>
      <c r="J103" s="142"/>
      <c r="K103" s="134">
        <f t="shared" si="54"/>
        <v>0</v>
      </c>
      <c r="L103" s="145"/>
      <c r="M103" s="142"/>
      <c r="N103" s="134">
        <f t="shared" si="55"/>
        <v>0</v>
      </c>
      <c r="O103" s="145"/>
      <c r="P103" s="142"/>
      <c r="Q103" s="134">
        <f t="shared" si="43"/>
        <v>0</v>
      </c>
      <c r="R103" s="145"/>
      <c r="S103" s="142"/>
      <c r="T103" s="134">
        <f t="shared" si="44"/>
        <v>0</v>
      </c>
      <c r="U103" s="145"/>
      <c r="V103" s="142"/>
      <c r="W103" s="134">
        <f t="shared" si="45"/>
        <v>0</v>
      </c>
      <c r="X103" s="145"/>
      <c r="Y103" s="142"/>
      <c r="Z103" s="134">
        <f t="shared" si="56"/>
        <v>0</v>
      </c>
      <c r="AA103" s="145"/>
      <c r="AB103" s="142"/>
      <c r="AC103" s="134">
        <f t="shared" si="47"/>
        <v>0</v>
      </c>
      <c r="AD103" s="152"/>
      <c r="AE103" s="159"/>
      <c r="AF103" s="160"/>
      <c r="AG103" s="137">
        <f t="shared" si="48"/>
        <v>0</v>
      </c>
      <c r="AH103" s="138" t="e">
        <f t="shared" si="49"/>
        <v>#DIV/0!</v>
      </c>
    </row>
    <row r="104" spans="2:34" s="109" customFormat="1" ht="21.95" customHeight="1" outlineLevel="1">
      <c r="B104" s="148" t="s">
        <v>464</v>
      </c>
      <c r="C104" s="156" t="s">
        <v>215</v>
      </c>
      <c r="D104" s="155" t="s">
        <v>177</v>
      </c>
      <c r="E104" s="158">
        <v>750</v>
      </c>
      <c r="F104" s="145"/>
      <c r="G104" s="142"/>
      <c r="H104" s="134">
        <f t="shared" si="53"/>
        <v>0</v>
      </c>
      <c r="I104" s="145"/>
      <c r="J104" s="142"/>
      <c r="K104" s="134">
        <f t="shared" si="54"/>
        <v>0</v>
      </c>
      <c r="L104" s="145"/>
      <c r="M104" s="142"/>
      <c r="N104" s="134">
        <f t="shared" si="55"/>
        <v>0</v>
      </c>
      <c r="O104" s="145"/>
      <c r="P104" s="142"/>
      <c r="Q104" s="134">
        <f t="shared" si="43"/>
        <v>0</v>
      </c>
      <c r="R104" s="145"/>
      <c r="S104" s="142"/>
      <c r="T104" s="134">
        <f t="shared" si="44"/>
        <v>0</v>
      </c>
      <c r="U104" s="145"/>
      <c r="V104" s="142"/>
      <c r="W104" s="134">
        <f t="shared" si="45"/>
        <v>0</v>
      </c>
      <c r="X104" s="145"/>
      <c r="Y104" s="142"/>
      <c r="Z104" s="134">
        <f t="shared" si="56"/>
        <v>0</v>
      </c>
      <c r="AA104" s="145"/>
      <c r="AB104" s="142"/>
      <c r="AC104" s="134">
        <f t="shared" si="47"/>
        <v>0</v>
      </c>
      <c r="AD104" s="152"/>
      <c r="AE104" s="159"/>
      <c r="AF104" s="160"/>
      <c r="AG104" s="137">
        <f t="shared" si="48"/>
        <v>0</v>
      </c>
      <c r="AH104" s="138" t="e">
        <f t="shared" si="49"/>
        <v>#DIV/0!</v>
      </c>
    </row>
    <row r="105" spans="2:34" s="109" customFormat="1" ht="36" customHeight="1" outlineLevel="1">
      <c r="B105" s="148" t="s">
        <v>465</v>
      </c>
      <c r="C105" s="156" t="s">
        <v>543</v>
      </c>
      <c r="D105" s="155" t="s">
        <v>498</v>
      </c>
      <c r="E105" s="158">
        <v>300</v>
      </c>
      <c r="F105" s="145"/>
      <c r="G105" s="142"/>
      <c r="H105" s="134">
        <f t="shared" si="53"/>
        <v>0</v>
      </c>
      <c r="I105" s="145"/>
      <c r="J105" s="142"/>
      <c r="K105" s="134">
        <f t="shared" si="54"/>
        <v>0</v>
      </c>
      <c r="L105" s="145"/>
      <c r="M105" s="142"/>
      <c r="N105" s="134">
        <f t="shared" si="55"/>
        <v>0</v>
      </c>
      <c r="O105" s="145"/>
      <c r="P105" s="142"/>
      <c r="Q105" s="134">
        <f t="shared" si="43"/>
        <v>0</v>
      </c>
      <c r="R105" s="145"/>
      <c r="S105" s="142"/>
      <c r="T105" s="134">
        <f t="shared" si="44"/>
        <v>0</v>
      </c>
      <c r="U105" s="145"/>
      <c r="V105" s="142"/>
      <c r="W105" s="134">
        <f t="shared" si="45"/>
        <v>0</v>
      </c>
      <c r="X105" s="145"/>
      <c r="Y105" s="142"/>
      <c r="Z105" s="134">
        <f t="shared" si="56"/>
        <v>0</v>
      </c>
      <c r="AA105" s="145"/>
      <c r="AB105" s="142"/>
      <c r="AC105" s="134">
        <f t="shared" si="47"/>
        <v>0</v>
      </c>
      <c r="AD105" s="152"/>
      <c r="AE105" s="159"/>
      <c r="AF105" s="160"/>
      <c r="AG105" s="137">
        <f t="shared" si="48"/>
        <v>0</v>
      </c>
      <c r="AH105" s="138" t="e">
        <f t="shared" si="49"/>
        <v>#DIV/0!</v>
      </c>
    </row>
    <row r="106" spans="2:34" s="109" customFormat="1" ht="21.95" customHeight="1" outlineLevel="1">
      <c r="B106" s="148" t="s">
        <v>466</v>
      </c>
      <c r="C106" s="149" t="s">
        <v>185</v>
      </c>
      <c r="D106" s="150" t="s">
        <v>193</v>
      </c>
      <c r="E106" s="151">
        <v>550</v>
      </c>
      <c r="F106" s="145"/>
      <c r="G106" s="142"/>
      <c r="H106" s="134">
        <f t="shared" si="53"/>
        <v>0</v>
      </c>
      <c r="I106" s="145"/>
      <c r="J106" s="142"/>
      <c r="K106" s="134">
        <f t="shared" si="54"/>
        <v>0</v>
      </c>
      <c r="L106" s="145"/>
      <c r="M106" s="142"/>
      <c r="N106" s="134">
        <f t="shared" si="55"/>
        <v>0</v>
      </c>
      <c r="O106" s="145"/>
      <c r="P106" s="142"/>
      <c r="Q106" s="134">
        <f t="shared" si="43"/>
        <v>0</v>
      </c>
      <c r="R106" s="145"/>
      <c r="S106" s="142"/>
      <c r="T106" s="134">
        <f t="shared" si="44"/>
        <v>0</v>
      </c>
      <c r="U106" s="145"/>
      <c r="V106" s="142"/>
      <c r="W106" s="134">
        <f t="shared" si="45"/>
        <v>0</v>
      </c>
      <c r="X106" s="145"/>
      <c r="Y106" s="142"/>
      <c r="Z106" s="134">
        <f t="shared" si="56"/>
        <v>0</v>
      </c>
      <c r="AA106" s="145"/>
      <c r="AB106" s="142"/>
      <c r="AC106" s="134">
        <f t="shared" si="47"/>
        <v>0</v>
      </c>
      <c r="AD106" s="152"/>
      <c r="AE106" s="159"/>
      <c r="AF106" s="160"/>
      <c r="AG106" s="137">
        <f t="shared" si="48"/>
        <v>0</v>
      </c>
      <c r="AH106" s="138" t="e">
        <f t="shared" si="49"/>
        <v>#DIV/0!</v>
      </c>
    </row>
    <row r="107" spans="2:34" s="109" customFormat="1" ht="21.95" customHeight="1" outlineLevel="1">
      <c r="B107" s="148" t="s">
        <v>467</v>
      </c>
      <c r="C107" s="149" t="s">
        <v>668</v>
      </c>
      <c r="D107" s="150" t="s">
        <v>579</v>
      </c>
      <c r="E107" s="151">
        <f>216*1.15</f>
        <v>248.39999999999998</v>
      </c>
      <c r="F107" s="145"/>
      <c r="G107" s="142"/>
      <c r="H107" s="134">
        <f t="shared" si="53"/>
        <v>0</v>
      </c>
      <c r="I107" s="145"/>
      <c r="J107" s="142"/>
      <c r="K107" s="134">
        <f t="shared" si="54"/>
        <v>0</v>
      </c>
      <c r="L107" s="145"/>
      <c r="M107" s="142"/>
      <c r="N107" s="134">
        <f t="shared" si="55"/>
        <v>0</v>
      </c>
      <c r="O107" s="145"/>
      <c r="P107" s="142"/>
      <c r="Q107" s="134">
        <f t="shared" si="43"/>
        <v>0</v>
      </c>
      <c r="R107" s="145"/>
      <c r="S107" s="142"/>
      <c r="T107" s="134">
        <f t="shared" si="44"/>
        <v>0</v>
      </c>
      <c r="U107" s="145"/>
      <c r="V107" s="142"/>
      <c r="W107" s="134">
        <f t="shared" si="45"/>
        <v>0</v>
      </c>
      <c r="X107" s="145"/>
      <c r="Y107" s="142"/>
      <c r="Z107" s="134">
        <f t="shared" si="56"/>
        <v>0</v>
      </c>
      <c r="AA107" s="145"/>
      <c r="AB107" s="142"/>
      <c r="AC107" s="134">
        <f t="shared" si="47"/>
        <v>0</v>
      </c>
      <c r="AD107" s="152"/>
      <c r="AE107" s="159"/>
      <c r="AF107" s="160"/>
      <c r="AG107" s="137">
        <f t="shared" si="48"/>
        <v>0</v>
      </c>
      <c r="AH107" s="138" t="e">
        <f t="shared" si="49"/>
        <v>#DIV/0!</v>
      </c>
    </row>
    <row r="108" spans="2:34" s="109" customFormat="1" ht="21.95" customHeight="1" outlineLevel="1">
      <c r="B108" s="148" t="s">
        <v>468</v>
      </c>
      <c r="C108" s="149" t="s">
        <v>691</v>
      </c>
      <c r="D108" s="150" t="s">
        <v>579</v>
      </c>
      <c r="E108" s="151">
        <f>87*1.2</f>
        <v>104.39999999999999</v>
      </c>
      <c r="F108" s="145"/>
      <c r="G108" s="142"/>
      <c r="H108" s="134">
        <f t="shared" si="53"/>
        <v>0</v>
      </c>
      <c r="I108" s="145"/>
      <c r="J108" s="142"/>
      <c r="K108" s="134">
        <f t="shared" si="54"/>
        <v>0</v>
      </c>
      <c r="L108" s="145"/>
      <c r="M108" s="142"/>
      <c r="N108" s="134">
        <f t="shared" si="55"/>
        <v>0</v>
      </c>
      <c r="O108" s="145"/>
      <c r="P108" s="142"/>
      <c r="Q108" s="134">
        <f>P108*O108*$E108</f>
        <v>0</v>
      </c>
      <c r="R108" s="145"/>
      <c r="S108" s="142"/>
      <c r="T108" s="134">
        <f>S108*R108*$E108</f>
        <v>0</v>
      </c>
      <c r="U108" s="145"/>
      <c r="V108" s="142"/>
      <c r="W108" s="134">
        <f>V108*U108*$E108</f>
        <v>0</v>
      </c>
      <c r="X108" s="145"/>
      <c r="Y108" s="142"/>
      <c r="Z108" s="134">
        <f t="shared" si="56"/>
        <v>0</v>
      </c>
      <c r="AA108" s="145"/>
      <c r="AB108" s="142"/>
      <c r="AC108" s="134">
        <f>AB108*AA108*$E108</f>
        <v>0</v>
      </c>
      <c r="AD108" s="152"/>
      <c r="AE108" s="159"/>
      <c r="AF108" s="160"/>
      <c r="AG108" s="137">
        <f>K108*$K$3+Z108*$Z$3+H108*$H$3+N108*$N$3+Q108*$Q$3+T108*$T$3+W108*$W$3+AC108*$AC$3</f>
        <v>0</v>
      </c>
      <c r="AH108" s="138" t="e">
        <f t="shared" si="49"/>
        <v>#DIV/0!</v>
      </c>
    </row>
    <row r="109" spans="2:34" s="109" customFormat="1" ht="36" customHeight="1" outlineLevel="1">
      <c r="B109" s="148" t="s">
        <v>469</v>
      </c>
      <c r="C109" s="149" t="s">
        <v>570</v>
      </c>
      <c r="D109" s="150" t="s">
        <v>579</v>
      </c>
      <c r="E109" s="151">
        <f>650*1.2</f>
        <v>780</v>
      </c>
      <c r="F109" s="145"/>
      <c r="G109" s="142"/>
      <c r="H109" s="134">
        <f t="shared" si="53"/>
        <v>0</v>
      </c>
      <c r="I109" s="145"/>
      <c r="J109" s="142"/>
      <c r="K109" s="134">
        <f t="shared" si="54"/>
        <v>0</v>
      </c>
      <c r="L109" s="145"/>
      <c r="M109" s="142"/>
      <c r="N109" s="134">
        <f t="shared" si="55"/>
        <v>0</v>
      </c>
      <c r="O109" s="145"/>
      <c r="P109" s="142"/>
      <c r="Q109" s="134">
        <f t="shared" si="43"/>
        <v>0</v>
      </c>
      <c r="R109" s="145"/>
      <c r="S109" s="142"/>
      <c r="T109" s="134">
        <f t="shared" si="44"/>
        <v>0</v>
      </c>
      <c r="U109" s="145"/>
      <c r="V109" s="142"/>
      <c r="W109" s="134">
        <f t="shared" si="45"/>
        <v>0</v>
      </c>
      <c r="X109" s="145"/>
      <c r="Y109" s="142"/>
      <c r="Z109" s="134">
        <f t="shared" si="56"/>
        <v>0</v>
      </c>
      <c r="AA109" s="145"/>
      <c r="AB109" s="142"/>
      <c r="AC109" s="134">
        <f t="shared" si="47"/>
        <v>0</v>
      </c>
      <c r="AD109" s="152"/>
      <c r="AE109" s="159"/>
      <c r="AF109" s="160"/>
      <c r="AG109" s="137">
        <f t="shared" si="48"/>
        <v>0</v>
      </c>
      <c r="AH109" s="138" t="e">
        <f t="shared" si="49"/>
        <v>#DIV/0!</v>
      </c>
    </row>
    <row r="110" spans="2:34" s="109" customFormat="1" ht="36" customHeight="1" outlineLevel="1">
      <c r="B110" s="148" t="s">
        <v>470</v>
      </c>
      <c r="C110" s="156" t="s">
        <v>234</v>
      </c>
      <c r="D110" s="155" t="s">
        <v>177</v>
      </c>
      <c r="E110" s="158">
        <v>5000</v>
      </c>
      <c r="F110" s="145"/>
      <c r="G110" s="142"/>
      <c r="H110" s="134">
        <f t="shared" si="53"/>
        <v>0</v>
      </c>
      <c r="I110" s="145"/>
      <c r="J110" s="142"/>
      <c r="K110" s="134">
        <f t="shared" si="54"/>
        <v>0</v>
      </c>
      <c r="L110" s="145"/>
      <c r="M110" s="142"/>
      <c r="N110" s="134">
        <f t="shared" si="55"/>
        <v>0</v>
      </c>
      <c r="O110" s="145"/>
      <c r="P110" s="142"/>
      <c r="Q110" s="134">
        <f t="shared" si="43"/>
        <v>0</v>
      </c>
      <c r="R110" s="145"/>
      <c r="S110" s="142"/>
      <c r="T110" s="134">
        <f t="shared" si="44"/>
        <v>0</v>
      </c>
      <c r="U110" s="145"/>
      <c r="V110" s="142"/>
      <c r="W110" s="134">
        <f t="shared" si="45"/>
        <v>0</v>
      </c>
      <c r="X110" s="145"/>
      <c r="Y110" s="142"/>
      <c r="Z110" s="134">
        <f t="shared" si="56"/>
        <v>0</v>
      </c>
      <c r="AA110" s="145"/>
      <c r="AB110" s="142"/>
      <c r="AC110" s="134">
        <f t="shared" si="47"/>
        <v>0</v>
      </c>
      <c r="AD110" s="152"/>
      <c r="AE110" s="159"/>
      <c r="AF110" s="160"/>
      <c r="AG110" s="137">
        <f t="shared" si="48"/>
        <v>0</v>
      </c>
      <c r="AH110" s="138" t="e">
        <f t="shared" si="49"/>
        <v>#DIV/0!</v>
      </c>
    </row>
    <row r="111" spans="2:34" s="109" customFormat="1" ht="21.95" customHeight="1" outlineLevel="1">
      <c r="B111" s="148" t="s">
        <v>471</v>
      </c>
      <c r="C111" s="149" t="s">
        <v>519</v>
      </c>
      <c r="D111" s="150" t="s">
        <v>177</v>
      </c>
      <c r="E111" s="151">
        <v>2000</v>
      </c>
      <c r="F111" s="145"/>
      <c r="G111" s="142"/>
      <c r="H111" s="134">
        <f t="shared" ref="H111:H128" si="57">G111*F111*$E111</f>
        <v>0</v>
      </c>
      <c r="I111" s="145"/>
      <c r="J111" s="142"/>
      <c r="K111" s="134">
        <f t="shared" ref="K111:K128" si="58">J111*I111*$E111</f>
        <v>0</v>
      </c>
      <c r="L111" s="145"/>
      <c r="M111" s="142"/>
      <c r="N111" s="134">
        <f t="shared" ref="N111:N128" si="59">M111*L111*$E111</f>
        <v>0</v>
      </c>
      <c r="O111" s="145"/>
      <c r="P111" s="142"/>
      <c r="Q111" s="134">
        <f t="shared" ref="Q111:Q128" si="60">P111*O111*$E111</f>
        <v>0</v>
      </c>
      <c r="R111" s="145"/>
      <c r="S111" s="142"/>
      <c r="T111" s="134">
        <f t="shared" ref="T111:T128" si="61">S111*R111*$E111</f>
        <v>0</v>
      </c>
      <c r="U111" s="145"/>
      <c r="V111" s="142"/>
      <c r="W111" s="134">
        <f t="shared" ref="W111:W128" si="62">V111*U111*$E111</f>
        <v>0</v>
      </c>
      <c r="X111" s="145"/>
      <c r="Y111" s="142"/>
      <c r="Z111" s="134">
        <f t="shared" ref="Z111:Z128" si="63">Y111*X111*$E111</f>
        <v>0</v>
      </c>
      <c r="AA111" s="145"/>
      <c r="AB111" s="142"/>
      <c r="AC111" s="134">
        <f t="shared" ref="AC111:AC128" si="64">AB111*AA111*$E111</f>
        <v>0</v>
      </c>
      <c r="AD111" s="152"/>
      <c r="AE111" s="159"/>
      <c r="AF111" s="160"/>
      <c r="AG111" s="137">
        <f t="shared" si="48"/>
        <v>0</v>
      </c>
      <c r="AH111" s="138" t="e">
        <f t="shared" si="49"/>
        <v>#DIV/0!</v>
      </c>
    </row>
    <row r="112" spans="2:34" s="109" customFormat="1" ht="21.95" customHeight="1" outlineLevel="1">
      <c r="B112" s="148" t="s">
        <v>547</v>
      </c>
      <c r="C112" s="149" t="s">
        <v>567</v>
      </c>
      <c r="D112" s="150" t="s">
        <v>578</v>
      </c>
      <c r="E112" s="151">
        <v>25</v>
      </c>
      <c r="F112" s="145"/>
      <c r="G112" s="142"/>
      <c r="H112" s="134">
        <f t="shared" si="57"/>
        <v>0</v>
      </c>
      <c r="I112" s="145"/>
      <c r="J112" s="142"/>
      <c r="K112" s="134">
        <f t="shared" si="58"/>
        <v>0</v>
      </c>
      <c r="L112" s="145"/>
      <c r="M112" s="142"/>
      <c r="N112" s="134">
        <f t="shared" si="59"/>
        <v>0</v>
      </c>
      <c r="O112" s="145"/>
      <c r="P112" s="142"/>
      <c r="Q112" s="134">
        <f t="shared" si="60"/>
        <v>0</v>
      </c>
      <c r="R112" s="145"/>
      <c r="S112" s="142"/>
      <c r="T112" s="134">
        <f t="shared" si="61"/>
        <v>0</v>
      </c>
      <c r="U112" s="145"/>
      <c r="V112" s="142"/>
      <c r="W112" s="134">
        <f t="shared" si="62"/>
        <v>0</v>
      </c>
      <c r="X112" s="145"/>
      <c r="Y112" s="142"/>
      <c r="Z112" s="134">
        <f t="shared" si="63"/>
        <v>0</v>
      </c>
      <c r="AA112" s="145"/>
      <c r="AB112" s="142"/>
      <c r="AC112" s="134">
        <f t="shared" si="64"/>
        <v>0</v>
      </c>
      <c r="AD112" s="152"/>
      <c r="AE112" s="159"/>
      <c r="AF112" s="160"/>
      <c r="AG112" s="137">
        <f t="shared" si="48"/>
        <v>0</v>
      </c>
      <c r="AH112" s="138" t="e">
        <f t="shared" si="49"/>
        <v>#DIV/0!</v>
      </c>
    </row>
    <row r="113" spans="2:34" s="109" customFormat="1" ht="36" customHeight="1" outlineLevel="1">
      <c r="B113" s="148" t="s">
        <v>548</v>
      </c>
      <c r="C113" s="149" t="s">
        <v>581</v>
      </c>
      <c r="D113" s="150" t="s">
        <v>666</v>
      </c>
      <c r="E113" s="151">
        <v>65</v>
      </c>
      <c r="F113" s="145"/>
      <c r="G113" s="142"/>
      <c r="H113" s="134">
        <f t="shared" si="57"/>
        <v>0</v>
      </c>
      <c r="I113" s="145"/>
      <c r="J113" s="142"/>
      <c r="K113" s="134">
        <f t="shared" si="58"/>
        <v>0</v>
      </c>
      <c r="L113" s="145"/>
      <c r="M113" s="142"/>
      <c r="N113" s="134">
        <f t="shared" si="59"/>
        <v>0</v>
      </c>
      <c r="O113" s="145"/>
      <c r="P113" s="142"/>
      <c r="Q113" s="134">
        <f t="shared" si="60"/>
        <v>0</v>
      </c>
      <c r="R113" s="145"/>
      <c r="S113" s="142"/>
      <c r="T113" s="134">
        <f t="shared" si="61"/>
        <v>0</v>
      </c>
      <c r="U113" s="145"/>
      <c r="V113" s="142"/>
      <c r="W113" s="134">
        <f t="shared" si="62"/>
        <v>0</v>
      </c>
      <c r="X113" s="145"/>
      <c r="Y113" s="142"/>
      <c r="Z113" s="134">
        <f t="shared" si="63"/>
        <v>0</v>
      </c>
      <c r="AA113" s="145"/>
      <c r="AB113" s="142"/>
      <c r="AC113" s="134">
        <f t="shared" si="64"/>
        <v>0</v>
      </c>
      <c r="AD113" s="152"/>
      <c r="AE113" s="159"/>
      <c r="AF113" s="160"/>
      <c r="AG113" s="137">
        <f t="shared" si="48"/>
        <v>0</v>
      </c>
      <c r="AH113" s="138" t="e">
        <f t="shared" si="49"/>
        <v>#DIV/0!</v>
      </c>
    </row>
    <row r="114" spans="2:34" s="109" customFormat="1" ht="21.95" customHeight="1" outlineLevel="1">
      <c r="B114" s="148" t="s">
        <v>549</v>
      </c>
      <c r="C114" s="149" t="s">
        <v>685</v>
      </c>
      <c r="D114" s="150" t="s">
        <v>498</v>
      </c>
      <c r="E114" s="151">
        <v>200</v>
      </c>
      <c r="F114" s="145"/>
      <c r="G114" s="142"/>
      <c r="H114" s="134">
        <f t="shared" si="57"/>
        <v>0</v>
      </c>
      <c r="I114" s="145"/>
      <c r="J114" s="142"/>
      <c r="K114" s="134">
        <f t="shared" si="58"/>
        <v>0</v>
      </c>
      <c r="L114" s="145"/>
      <c r="M114" s="142"/>
      <c r="N114" s="134">
        <f t="shared" si="59"/>
        <v>0</v>
      </c>
      <c r="O114" s="145"/>
      <c r="P114" s="142"/>
      <c r="Q114" s="134">
        <f t="shared" si="60"/>
        <v>0</v>
      </c>
      <c r="R114" s="145"/>
      <c r="S114" s="142"/>
      <c r="T114" s="134">
        <f t="shared" si="61"/>
        <v>0</v>
      </c>
      <c r="U114" s="145"/>
      <c r="V114" s="142"/>
      <c r="W114" s="134">
        <f t="shared" si="62"/>
        <v>0</v>
      </c>
      <c r="X114" s="145"/>
      <c r="Y114" s="142"/>
      <c r="Z114" s="134">
        <f t="shared" si="63"/>
        <v>0</v>
      </c>
      <c r="AA114" s="145"/>
      <c r="AB114" s="142"/>
      <c r="AC114" s="134">
        <f t="shared" si="64"/>
        <v>0</v>
      </c>
      <c r="AD114" s="152"/>
      <c r="AE114" s="159"/>
      <c r="AF114" s="160"/>
      <c r="AG114" s="137">
        <f t="shared" si="48"/>
        <v>0</v>
      </c>
      <c r="AH114" s="138" t="e">
        <f t="shared" si="49"/>
        <v>#DIV/0!</v>
      </c>
    </row>
    <row r="115" spans="2:34" s="109" customFormat="1" ht="21.95" customHeight="1" outlineLevel="1">
      <c r="B115" s="148" t="s">
        <v>550</v>
      </c>
      <c r="C115" s="149" t="s">
        <v>706</v>
      </c>
      <c r="D115" s="150" t="s">
        <v>414</v>
      </c>
      <c r="E115" s="151">
        <f>96*1.2</f>
        <v>115.19999999999999</v>
      </c>
      <c r="F115" s="145"/>
      <c r="G115" s="142"/>
      <c r="H115" s="134">
        <f t="shared" si="57"/>
        <v>0</v>
      </c>
      <c r="I115" s="145"/>
      <c r="J115" s="142"/>
      <c r="K115" s="134">
        <f t="shared" si="58"/>
        <v>0</v>
      </c>
      <c r="L115" s="145"/>
      <c r="M115" s="142"/>
      <c r="N115" s="134">
        <f t="shared" si="59"/>
        <v>0</v>
      </c>
      <c r="O115" s="145"/>
      <c r="P115" s="142"/>
      <c r="Q115" s="134">
        <f t="shared" si="60"/>
        <v>0</v>
      </c>
      <c r="R115" s="145"/>
      <c r="S115" s="142"/>
      <c r="T115" s="134">
        <f t="shared" si="61"/>
        <v>0</v>
      </c>
      <c r="U115" s="145"/>
      <c r="V115" s="142"/>
      <c r="W115" s="134">
        <f t="shared" si="62"/>
        <v>0</v>
      </c>
      <c r="X115" s="145"/>
      <c r="Y115" s="142"/>
      <c r="Z115" s="134">
        <f t="shared" si="63"/>
        <v>0</v>
      </c>
      <c r="AA115" s="145"/>
      <c r="AB115" s="142"/>
      <c r="AC115" s="134">
        <f t="shared" si="64"/>
        <v>0</v>
      </c>
      <c r="AD115" s="152"/>
      <c r="AE115" s="159"/>
      <c r="AF115" s="160"/>
      <c r="AG115" s="137">
        <f t="shared" si="48"/>
        <v>0</v>
      </c>
      <c r="AH115" s="138" t="e">
        <f t="shared" ref="AH115:AH131" si="65">AG115/$AG$162</f>
        <v>#DIV/0!</v>
      </c>
    </row>
    <row r="116" spans="2:34" s="109" customFormat="1" ht="21.95" customHeight="1" outlineLevel="1">
      <c r="B116" s="148" t="s">
        <v>551</v>
      </c>
      <c r="C116" s="149" t="s">
        <v>696</v>
      </c>
      <c r="D116" s="150" t="s">
        <v>414</v>
      </c>
      <c r="E116" s="383">
        <f>35*1.2</f>
        <v>42</v>
      </c>
      <c r="F116" s="145"/>
      <c r="G116" s="142"/>
      <c r="H116" s="134">
        <f t="shared" si="57"/>
        <v>0</v>
      </c>
      <c r="I116" s="145"/>
      <c r="J116" s="142"/>
      <c r="K116" s="134">
        <f t="shared" si="58"/>
        <v>0</v>
      </c>
      <c r="L116" s="145"/>
      <c r="M116" s="142"/>
      <c r="N116" s="134">
        <f t="shared" si="59"/>
        <v>0</v>
      </c>
      <c r="O116" s="145"/>
      <c r="P116" s="142"/>
      <c r="Q116" s="134">
        <f t="shared" si="60"/>
        <v>0</v>
      </c>
      <c r="R116" s="145"/>
      <c r="S116" s="142"/>
      <c r="T116" s="134">
        <f t="shared" si="61"/>
        <v>0</v>
      </c>
      <c r="U116" s="145"/>
      <c r="V116" s="142"/>
      <c r="W116" s="134">
        <f t="shared" si="62"/>
        <v>0</v>
      </c>
      <c r="X116" s="145"/>
      <c r="Y116" s="142"/>
      <c r="Z116" s="134">
        <f t="shared" si="63"/>
        <v>0</v>
      </c>
      <c r="AA116" s="145"/>
      <c r="AB116" s="142"/>
      <c r="AC116" s="134">
        <f t="shared" si="64"/>
        <v>0</v>
      </c>
      <c r="AD116" s="152"/>
      <c r="AE116" s="159"/>
      <c r="AF116" s="160"/>
      <c r="AG116" s="137">
        <f t="shared" si="48"/>
        <v>0</v>
      </c>
      <c r="AH116" s="138" t="e">
        <f t="shared" si="65"/>
        <v>#DIV/0!</v>
      </c>
    </row>
    <row r="117" spans="2:34" s="109" customFormat="1" ht="21.95" customHeight="1" outlineLevel="1">
      <c r="B117" s="148" t="s">
        <v>552</v>
      </c>
      <c r="C117" s="149" t="s">
        <v>693</v>
      </c>
      <c r="D117" s="150" t="s">
        <v>390</v>
      </c>
      <c r="E117" s="383">
        <f>160*1.2</f>
        <v>192</v>
      </c>
      <c r="F117" s="145"/>
      <c r="G117" s="142"/>
      <c r="H117" s="134">
        <f t="shared" si="57"/>
        <v>0</v>
      </c>
      <c r="I117" s="145"/>
      <c r="J117" s="142"/>
      <c r="K117" s="134">
        <f t="shared" si="58"/>
        <v>0</v>
      </c>
      <c r="L117" s="145"/>
      <c r="M117" s="142"/>
      <c r="N117" s="134">
        <f t="shared" si="59"/>
        <v>0</v>
      </c>
      <c r="O117" s="145"/>
      <c r="P117" s="142"/>
      <c r="Q117" s="134">
        <f t="shared" si="60"/>
        <v>0</v>
      </c>
      <c r="R117" s="145"/>
      <c r="S117" s="142"/>
      <c r="T117" s="134">
        <f t="shared" si="61"/>
        <v>0</v>
      </c>
      <c r="U117" s="145"/>
      <c r="V117" s="142"/>
      <c r="W117" s="134">
        <f t="shared" si="62"/>
        <v>0</v>
      </c>
      <c r="X117" s="145"/>
      <c r="Y117" s="142"/>
      <c r="Z117" s="134">
        <f t="shared" si="63"/>
        <v>0</v>
      </c>
      <c r="AA117" s="145"/>
      <c r="AB117" s="142"/>
      <c r="AC117" s="134">
        <f t="shared" si="64"/>
        <v>0</v>
      </c>
      <c r="AD117" s="152"/>
      <c r="AE117" s="159"/>
      <c r="AF117" s="160"/>
      <c r="AG117" s="137">
        <f t="shared" si="48"/>
        <v>0</v>
      </c>
      <c r="AH117" s="138" t="e">
        <f t="shared" si="65"/>
        <v>#DIV/0!</v>
      </c>
    </row>
    <row r="118" spans="2:34" s="109" customFormat="1" ht="21.95" customHeight="1" outlineLevel="1">
      <c r="B118" s="148" t="s">
        <v>553</v>
      </c>
      <c r="C118" s="149" t="s">
        <v>694</v>
      </c>
      <c r="D118" s="150" t="s">
        <v>390</v>
      </c>
      <c r="E118" s="383">
        <f>16.5*1.2</f>
        <v>19.8</v>
      </c>
      <c r="F118" s="145"/>
      <c r="G118" s="142"/>
      <c r="H118" s="134">
        <f t="shared" si="57"/>
        <v>0</v>
      </c>
      <c r="I118" s="145"/>
      <c r="J118" s="142"/>
      <c r="K118" s="134">
        <f t="shared" si="58"/>
        <v>0</v>
      </c>
      <c r="L118" s="145"/>
      <c r="M118" s="142"/>
      <c r="N118" s="134">
        <f t="shared" si="59"/>
        <v>0</v>
      </c>
      <c r="O118" s="145"/>
      <c r="P118" s="142"/>
      <c r="Q118" s="134">
        <f t="shared" si="60"/>
        <v>0</v>
      </c>
      <c r="R118" s="145"/>
      <c r="S118" s="142"/>
      <c r="T118" s="134">
        <f t="shared" si="61"/>
        <v>0</v>
      </c>
      <c r="U118" s="145"/>
      <c r="V118" s="142"/>
      <c r="W118" s="134">
        <f t="shared" si="62"/>
        <v>0</v>
      </c>
      <c r="X118" s="145"/>
      <c r="Y118" s="142"/>
      <c r="Z118" s="134">
        <f t="shared" si="63"/>
        <v>0</v>
      </c>
      <c r="AA118" s="145"/>
      <c r="AB118" s="142"/>
      <c r="AC118" s="134">
        <f t="shared" si="64"/>
        <v>0</v>
      </c>
      <c r="AD118" s="152"/>
      <c r="AE118" s="159"/>
      <c r="AF118" s="160"/>
      <c r="AG118" s="137">
        <f t="shared" si="48"/>
        <v>0</v>
      </c>
      <c r="AH118" s="138" t="e">
        <f t="shared" si="65"/>
        <v>#DIV/0!</v>
      </c>
    </row>
    <row r="119" spans="2:34" s="109" customFormat="1" ht="21.95" customHeight="1" outlineLevel="1">
      <c r="B119" s="148" t="s">
        <v>554</v>
      </c>
      <c r="C119" s="149" t="s">
        <v>697</v>
      </c>
      <c r="D119" s="150" t="s">
        <v>390</v>
      </c>
      <c r="E119" s="383">
        <f>12*1.2</f>
        <v>14.399999999999999</v>
      </c>
      <c r="F119" s="145"/>
      <c r="G119" s="142"/>
      <c r="H119" s="134">
        <f t="shared" si="57"/>
        <v>0</v>
      </c>
      <c r="I119" s="145"/>
      <c r="J119" s="142"/>
      <c r="K119" s="134">
        <f t="shared" si="58"/>
        <v>0</v>
      </c>
      <c r="L119" s="145"/>
      <c r="M119" s="142"/>
      <c r="N119" s="134">
        <f t="shared" si="59"/>
        <v>0</v>
      </c>
      <c r="O119" s="145"/>
      <c r="P119" s="142"/>
      <c r="Q119" s="134">
        <f t="shared" si="60"/>
        <v>0</v>
      </c>
      <c r="R119" s="145"/>
      <c r="S119" s="142"/>
      <c r="T119" s="134">
        <f t="shared" si="61"/>
        <v>0</v>
      </c>
      <c r="U119" s="145"/>
      <c r="V119" s="142"/>
      <c r="W119" s="134">
        <f t="shared" si="62"/>
        <v>0</v>
      </c>
      <c r="X119" s="145"/>
      <c r="Y119" s="142"/>
      <c r="Z119" s="134">
        <f t="shared" si="63"/>
        <v>0</v>
      </c>
      <c r="AA119" s="145"/>
      <c r="AB119" s="142"/>
      <c r="AC119" s="134">
        <f t="shared" si="64"/>
        <v>0</v>
      </c>
      <c r="AD119" s="152"/>
      <c r="AE119" s="159"/>
      <c r="AF119" s="160"/>
      <c r="AG119" s="137">
        <f t="shared" si="48"/>
        <v>0</v>
      </c>
      <c r="AH119" s="138" t="e">
        <f t="shared" si="65"/>
        <v>#DIV/0!</v>
      </c>
    </row>
    <row r="120" spans="2:34" s="109" customFormat="1" ht="21.95" customHeight="1" outlineLevel="1">
      <c r="B120" s="148" t="s">
        <v>555</v>
      </c>
      <c r="C120" s="149" t="s">
        <v>709</v>
      </c>
      <c r="D120" s="150" t="s">
        <v>578</v>
      </c>
      <c r="E120" s="151">
        <f>15*1.2</f>
        <v>18</v>
      </c>
      <c r="F120" s="145"/>
      <c r="G120" s="142"/>
      <c r="H120" s="134">
        <f t="shared" si="57"/>
        <v>0</v>
      </c>
      <c r="I120" s="145"/>
      <c r="J120" s="142"/>
      <c r="K120" s="134">
        <f t="shared" si="58"/>
        <v>0</v>
      </c>
      <c r="L120" s="145"/>
      <c r="M120" s="142"/>
      <c r="N120" s="134">
        <f t="shared" si="59"/>
        <v>0</v>
      </c>
      <c r="O120" s="145"/>
      <c r="P120" s="142"/>
      <c r="Q120" s="134">
        <f t="shared" si="60"/>
        <v>0</v>
      </c>
      <c r="R120" s="145"/>
      <c r="S120" s="142"/>
      <c r="T120" s="134">
        <f t="shared" si="61"/>
        <v>0</v>
      </c>
      <c r="U120" s="145"/>
      <c r="V120" s="142"/>
      <c r="W120" s="134">
        <f t="shared" si="62"/>
        <v>0</v>
      </c>
      <c r="X120" s="145"/>
      <c r="Y120" s="142"/>
      <c r="Z120" s="134">
        <f t="shared" si="63"/>
        <v>0</v>
      </c>
      <c r="AA120" s="145"/>
      <c r="AB120" s="142"/>
      <c r="AC120" s="134">
        <f t="shared" si="64"/>
        <v>0</v>
      </c>
      <c r="AD120" s="152"/>
      <c r="AE120" s="159"/>
      <c r="AF120" s="160"/>
      <c r="AG120" s="137">
        <f t="shared" si="48"/>
        <v>0</v>
      </c>
      <c r="AH120" s="138" t="e">
        <f t="shared" si="65"/>
        <v>#DIV/0!</v>
      </c>
    </row>
    <row r="121" spans="2:34" s="109" customFormat="1" ht="21.95" customHeight="1" outlineLevel="1">
      <c r="B121" s="148" t="s">
        <v>556</v>
      </c>
      <c r="C121" s="149" t="s">
        <v>708</v>
      </c>
      <c r="D121" s="150" t="s">
        <v>390</v>
      </c>
      <c r="E121" s="151">
        <f>1.5*1.2</f>
        <v>1.7999999999999998</v>
      </c>
      <c r="F121" s="145"/>
      <c r="G121" s="142"/>
      <c r="H121" s="134">
        <f t="shared" si="57"/>
        <v>0</v>
      </c>
      <c r="I121" s="145"/>
      <c r="J121" s="142"/>
      <c r="K121" s="134">
        <f t="shared" si="58"/>
        <v>0</v>
      </c>
      <c r="L121" s="145"/>
      <c r="M121" s="142"/>
      <c r="N121" s="134">
        <f t="shared" si="59"/>
        <v>0</v>
      </c>
      <c r="O121" s="145"/>
      <c r="P121" s="142"/>
      <c r="Q121" s="134">
        <f t="shared" si="60"/>
        <v>0</v>
      </c>
      <c r="R121" s="145"/>
      <c r="S121" s="142"/>
      <c r="T121" s="134">
        <f t="shared" si="61"/>
        <v>0</v>
      </c>
      <c r="U121" s="145"/>
      <c r="V121" s="142"/>
      <c r="W121" s="134">
        <f t="shared" si="62"/>
        <v>0</v>
      </c>
      <c r="X121" s="145"/>
      <c r="Y121" s="142"/>
      <c r="Z121" s="134">
        <f t="shared" si="63"/>
        <v>0</v>
      </c>
      <c r="AA121" s="145"/>
      <c r="AB121" s="142"/>
      <c r="AC121" s="134">
        <f t="shared" si="64"/>
        <v>0</v>
      </c>
      <c r="AD121" s="152"/>
      <c r="AE121" s="159"/>
      <c r="AF121" s="160"/>
      <c r="AG121" s="137">
        <f t="shared" si="48"/>
        <v>0</v>
      </c>
      <c r="AH121" s="138" t="e">
        <f t="shared" si="65"/>
        <v>#DIV/0!</v>
      </c>
    </row>
    <row r="122" spans="2:34" s="109" customFormat="1" ht="21.95" customHeight="1" outlineLevel="1">
      <c r="B122" s="148" t="s">
        <v>557</v>
      </c>
      <c r="C122" s="149"/>
      <c r="D122" s="150"/>
      <c r="E122" s="151"/>
      <c r="F122" s="145"/>
      <c r="G122" s="142"/>
      <c r="H122" s="134">
        <f t="shared" si="57"/>
        <v>0</v>
      </c>
      <c r="I122" s="145"/>
      <c r="J122" s="142"/>
      <c r="K122" s="134">
        <f t="shared" si="58"/>
        <v>0</v>
      </c>
      <c r="L122" s="145"/>
      <c r="M122" s="142"/>
      <c r="N122" s="134">
        <f t="shared" si="59"/>
        <v>0</v>
      </c>
      <c r="O122" s="145"/>
      <c r="P122" s="142"/>
      <c r="Q122" s="134">
        <f t="shared" si="60"/>
        <v>0</v>
      </c>
      <c r="R122" s="145"/>
      <c r="S122" s="142"/>
      <c r="T122" s="134">
        <f t="shared" si="61"/>
        <v>0</v>
      </c>
      <c r="U122" s="145"/>
      <c r="V122" s="142"/>
      <c r="W122" s="134">
        <f t="shared" si="62"/>
        <v>0</v>
      </c>
      <c r="X122" s="145"/>
      <c r="Y122" s="142"/>
      <c r="Z122" s="134">
        <f t="shared" si="63"/>
        <v>0</v>
      </c>
      <c r="AA122" s="145"/>
      <c r="AB122" s="142"/>
      <c r="AC122" s="134">
        <f t="shared" si="64"/>
        <v>0</v>
      </c>
      <c r="AD122" s="152"/>
      <c r="AE122" s="159"/>
      <c r="AF122" s="160"/>
      <c r="AG122" s="137">
        <f t="shared" si="48"/>
        <v>0</v>
      </c>
      <c r="AH122" s="138" t="e">
        <f t="shared" si="65"/>
        <v>#DIV/0!</v>
      </c>
    </row>
    <row r="123" spans="2:34" s="109" customFormat="1" ht="21.95" customHeight="1" outlineLevel="1">
      <c r="B123" s="148" t="s">
        <v>558</v>
      </c>
      <c r="C123" s="149"/>
      <c r="D123" s="150"/>
      <c r="E123" s="151"/>
      <c r="F123" s="145"/>
      <c r="G123" s="142"/>
      <c r="H123" s="134">
        <f t="shared" si="57"/>
        <v>0</v>
      </c>
      <c r="I123" s="145"/>
      <c r="J123" s="142"/>
      <c r="K123" s="134">
        <f t="shared" si="58"/>
        <v>0</v>
      </c>
      <c r="L123" s="145"/>
      <c r="M123" s="142"/>
      <c r="N123" s="134">
        <f t="shared" si="59"/>
        <v>0</v>
      </c>
      <c r="O123" s="145"/>
      <c r="P123" s="142"/>
      <c r="Q123" s="134">
        <f t="shared" si="60"/>
        <v>0</v>
      </c>
      <c r="R123" s="145"/>
      <c r="S123" s="142"/>
      <c r="T123" s="134">
        <f t="shared" si="61"/>
        <v>0</v>
      </c>
      <c r="U123" s="145"/>
      <c r="V123" s="142"/>
      <c r="W123" s="134">
        <f t="shared" si="62"/>
        <v>0</v>
      </c>
      <c r="X123" s="145"/>
      <c r="Y123" s="142"/>
      <c r="Z123" s="134">
        <f t="shared" si="63"/>
        <v>0</v>
      </c>
      <c r="AA123" s="145"/>
      <c r="AB123" s="142"/>
      <c r="AC123" s="134">
        <f t="shared" si="64"/>
        <v>0</v>
      </c>
      <c r="AD123" s="152"/>
      <c r="AE123" s="159"/>
      <c r="AF123" s="160"/>
      <c r="AG123" s="137">
        <f t="shared" si="48"/>
        <v>0</v>
      </c>
      <c r="AH123" s="138" t="e">
        <f t="shared" si="65"/>
        <v>#DIV/0!</v>
      </c>
    </row>
    <row r="124" spans="2:34" s="109" customFormat="1" ht="21.95" customHeight="1" outlineLevel="1">
      <c r="B124" s="148" t="s">
        <v>559</v>
      </c>
      <c r="C124" s="149"/>
      <c r="D124" s="150"/>
      <c r="E124" s="151"/>
      <c r="F124" s="145"/>
      <c r="G124" s="142"/>
      <c r="H124" s="134">
        <f t="shared" si="57"/>
        <v>0</v>
      </c>
      <c r="I124" s="145"/>
      <c r="J124" s="142"/>
      <c r="K124" s="134">
        <f t="shared" si="58"/>
        <v>0</v>
      </c>
      <c r="L124" s="145"/>
      <c r="M124" s="142"/>
      <c r="N124" s="134">
        <f t="shared" si="59"/>
        <v>0</v>
      </c>
      <c r="O124" s="145"/>
      <c r="P124" s="142"/>
      <c r="Q124" s="134">
        <f t="shared" si="60"/>
        <v>0</v>
      </c>
      <c r="R124" s="145"/>
      <c r="S124" s="142"/>
      <c r="T124" s="134">
        <f t="shared" si="61"/>
        <v>0</v>
      </c>
      <c r="U124" s="145"/>
      <c r="V124" s="142"/>
      <c r="W124" s="134">
        <f t="shared" si="62"/>
        <v>0</v>
      </c>
      <c r="X124" s="145"/>
      <c r="Y124" s="142"/>
      <c r="Z124" s="134">
        <f t="shared" si="63"/>
        <v>0</v>
      </c>
      <c r="AA124" s="145"/>
      <c r="AB124" s="142"/>
      <c r="AC124" s="134">
        <f t="shared" si="64"/>
        <v>0</v>
      </c>
      <c r="AD124" s="152"/>
      <c r="AE124" s="159"/>
      <c r="AF124" s="160"/>
      <c r="AG124" s="137">
        <f t="shared" si="48"/>
        <v>0</v>
      </c>
      <c r="AH124" s="138" t="e">
        <f t="shared" si="65"/>
        <v>#DIV/0!</v>
      </c>
    </row>
    <row r="125" spans="2:34" s="109" customFormat="1" ht="21.95" customHeight="1" outlineLevel="1">
      <c r="B125" s="148" t="s">
        <v>560</v>
      </c>
      <c r="C125" s="149"/>
      <c r="D125" s="150"/>
      <c r="E125" s="151"/>
      <c r="F125" s="145"/>
      <c r="G125" s="142"/>
      <c r="H125" s="134">
        <f t="shared" si="57"/>
        <v>0</v>
      </c>
      <c r="I125" s="145"/>
      <c r="J125" s="142"/>
      <c r="K125" s="134">
        <f t="shared" si="58"/>
        <v>0</v>
      </c>
      <c r="L125" s="145"/>
      <c r="M125" s="142"/>
      <c r="N125" s="134">
        <f t="shared" si="59"/>
        <v>0</v>
      </c>
      <c r="O125" s="145"/>
      <c r="P125" s="142"/>
      <c r="Q125" s="134">
        <f t="shared" si="60"/>
        <v>0</v>
      </c>
      <c r="R125" s="145"/>
      <c r="S125" s="142"/>
      <c r="T125" s="134">
        <f t="shared" si="61"/>
        <v>0</v>
      </c>
      <c r="U125" s="145"/>
      <c r="V125" s="142"/>
      <c r="W125" s="134">
        <f t="shared" si="62"/>
        <v>0</v>
      </c>
      <c r="X125" s="145"/>
      <c r="Y125" s="142"/>
      <c r="Z125" s="134">
        <f t="shared" si="63"/>
        <v>0</v>
      </c>
      <c r="AA125" s="145"/>
      <c r="AB125" s="142"/>
      <c r="AC125" s="134">
        <f t="shared" si="64"/>
        <v>0</v>
      </c>
      <c r="AD125" s="152"/>
      <c r="AE125" s="159"/>
      <c r="AF125" s="160"/>
      <c r="AG125" s="137">
        <f t="shared" si="48"/>
        <v>0</v>
      </c>
      <c r="AH125" s="138" t="e">
        <f t="shared" si="65"/>
        <v>#DIV/0!</v>
      </c>
    </row>
    <row r="126" spans="2:34" s="109" customFormat="1" ht="21.95" customHeight="1" outlineLevel="1">
      <c r="B126" s="148" t="s">
        <v>561</v>
      </c>
      <c r="C126" s="149"/>
      <c r="D126" s="150"/>
      <c r="E126" s="151"/>
      <c r="F126" s="145"/>
      <c r="G126" s="142"/>
      <c r="H126" s="134">
        <f t="shared" si="57"/>
        <v>0</v>
      </c>
      <c r="I126" s="145"/>
      <c r="J126" s="142"/>
      <c r="K126" s="134">
        <f t="shared" si="58"/>
        <v>0</v>
      </c>
      <c r="L126" s="145"/>
      <c r="M126" s="142"/>
      <c r="N126" s="134">
        <f t="shared" si="59"/>
        <v>0</v>
      </c>
      <c r="O126" s="145"/>
      <c r="P126" s="142"/>
      <c r="Q126" s="134">
        <f t="shared" si="60"/>
        <v>0</v>
      </c>
      <c r="R126" s="145"/>
      <c r="S126" s="142"/>
      <c r="T126" s="134">
        <f t="shared" si="61"/>
        <v>0</v>
      </c>
      <c r="U126" s="145"/>
      <c r="V126" s="142"/>
      <c r="W126" s="134">
        <f t="shared" si="62"/>
        <v>0</v>
      </c>
      <c r="X126" s="145"/>
      <c r="Y126" s="142"/>
      <c r="Z126" s="134">
        <f t="shared" si="63"/>
        <v>0</v>
      </c>
      <c r="AA126" s="145"/>
      <c r="AB126" s="142"/>
      <c r="AC126" s="134">
        <f t="shared" si="64"/>
        <v>0</v>
      </c>
      <c r="AD126" s="152"/>
      <c r="AE126" s="159"/>
      <c r="AF126" s="160"/>
      <c r="AG126" s="137">
        <f t="shared" si="48"/>
        <v>0</v>
      </c>
      <c r="AH126" s="138" t="e">
        <f t="shared" si="65"/>
        <v>#DIV/0!</v>
      </c>
    </row>
    <row r="127" spans="2:34" s="109" customFormat="1" ht="21.95" customHeight="1" outlineLevel="1">
      <c r="B127" s="148" t="s">
        <v>562</v>
      </c>
      <c r="C127" s="149"/>
      <c r="D127" s="150"/>
      <c r="E127" s="151"/>
      <c r="F127" s="145"/>
      <c r="G127" s="142"/>
      <c r="H127" s="134">
        <f t="shared" si="57"/>
        <v>0</v>
      </c>
      <c r="I127" s="145"/>
      <c r="J127" s="142"/>
      <c r="K127" s="134">
        <f t="shared" si="58"/>
        <v>0</v>
      </c>
      <c r="L127" s="145"/>
      <c r="M127" s="142"/>
      <c r="N127" s="134">
        <f t="shared" si="59"/>
        <v>0</v>
      </c>
      <c r="O127" s="145"/>
      <c r="P127" s="142"/>
      <c r="Q127" s="134">
        <f t="shared" si="60"/>
        <v>0</v>
      </c>
      <c r="R127" s="145"/>
      <c r="S127" s="142"/>
      <c r="T127" s="134">
        <f t="shared" si="61"/>
        <v>0</v>
      </c>
      <c r="U127" s="145"/>
      <c r="V127" s="142"/>
      <c r="W127" s="134">
        <f t="shared" si="62"/>
        <v>0</v>
      </c>
      <c r="X127" s="145"/>
      <c r="Y127" s="142"/>
      <c r="Z127" s="134">
        <f t="shared" si="63"/>
        <v>0</v>
      </c>
      <c r="AA127" s="145"/>
      <c r="AB127" s="142"/>
      <c r="AC127" s="134">
        <f t="shared" si="64"/>
        <v>0</v>
      </c>
      <c r="AD127" s="152"/>
      <c r="AE127" s="159"/>
      <c r="AF127" s="160"/>
      <c r="AG127" s="137">
        <f t="shared" si="48"/>
        <v>0</v>
      </c>
      <c r="AH127" s="138" t="e">
        <f t="shared" si="65"/>
        <v>#DIV/0!</v>
      </c>
    </row>
    <row r="128" spans="2:34" s="109" customFormat="1" ht="21.95" customHeight="1" outlineLevel="1">
      <c r="B128" s="148" t="s">
        <v>563</v>
      </c>
      <c r="C128" s="149"/>
      <c r="D128" s="150"/>
      <c r="E128" s="151"/>
      <c r="F128" s="145"/>
      <c r="G128" s="142"/>
      <c r="H128" s="134">
        <f t="shared" si="57"/>
        <v>0</v>
      </c>
      <c r="I128" s="145"/>
      <c r="J128" s="142"/>
      <c r="K128" s="134">
        <f t="shared" si="58"/>
        <v>0</v>
      </c>
      <c r="L128" s="145"/>
      <c r="M128" s="142"/>
      <c r="N128" s="134">
        <f t="shared" si="59"/>
        <v>0</v>
      </c>
      <c r="O128" s="145"/>
      <c r="P128" s="142"/>
      <c r="Q128" s="134">
        <f t="shared" si="60"/>
        <v>0</v>
      </c>
      <c r="R128" s="145"/>
      <c r="S128" s="142"/>
      <c r="T128" s="134">
        <f t="shared" si="61"/>
        <v>0</v>
      </c>
      <c r="U128" s="145"/>
      <c r="V128" s="142"/>
      <c r="W128" s="134">
        <f t="shared" si="62"/>
        <v>0</v>
      </c>
      <c r="X128" s="145"/>
      <c r="Y128" s="142"/>
      <c r="Z128" s="134">
        <f t="shared" si="63"/>
        <v>0</v>
      </c>
      <c r="AA128" s="145"/>
      <c r="AB128" s="142"/>
      <c r="AC128" s="134">
        <f t="shared" si="64"/>
        <v>0</v>
      </c>
      <c r="AD128" s="152"/>
      <c r="AE128" s="159"/>
      <c r="AF128" s="160"/>
      <c r="AG128" s="137">
        <f t="shared" si="48"/>
        <v>0</v>
      </c>
      <c r="AH128" s="138" t="e">
        <f t="shared" si="65"/>
        <v>#DIV/0!</v>
      </c>
    </row>
    <row r="129" spans="2:35" s="109" customFormat="1" ht="21.95" customHeight="1" outlineLevel="1">
      <c r="B129" s="148" t="s">
        <v>564</v>
      </c>
      <c r="C129" s="149"/>
      <c r="D129" s="150"/>
      <c r="E129" s="151"/>
      <c r="F129" s="145"/>
      <c r="G129" s="142"/>
      <c r="H129" s="134">
        <f>G129*F129*$E129</f>
        <v>0</v>
      </c>
      <c r="I129" s="145"/>
      <c r="J129" s="142"/>
      <c r="K129" s="134">
        <f>J129*I129*$E129</f>
        <v>0</v>
      </c>
      <c r="L129" s="145"/>
      <c r="M129" s="142"/>
      <c r="N129" s="134">
        <f>M129*L129*$E129</f>
        <v>0</v>
      </c>
      <c r="O129" s="145"/>
      <c r="P129" s="142"/>
      <c r="Q129" s="134">
        <f t="shared" si="43"/>
        <v>0</v>
      </c>
      <c r="R129" s="145"/>
      <c r="S129" s="142"/>
      <c r="T129" s="134">
        <f t="shared" si="44"/>
        <v>0</v>
      </c>
      <c r="U129" s="145"/>
      <c r="V129" s="142"/>
      <c r="W129" s="134">
        <f t="shared" si="45"/>
        <v>0</v>
      </c>
      <c r="X129" s="145"/>
      <c r="Y129" s="142"/>
      <c r="Z129" s="134">
        <f>Y129*X129*$E129</f>
        <v>0</v>
      </c>
      <c r="AA129" s="145"/>
      <c r="AB129" s="142"/>
      <c r="AC129" s="134">
        <f t="shared" si="47"/>
        <v>0</v>
      </c>
      <c r="AD129" s="152"/>
      <c r="AE129" s="159"/>
      <c r="AF129" s="160"/>
      <c r="AG129" s="137">
        <f t="shared" si="48"/>
        <v>0</v>
      </c>
      <c r="AH129" s="138" t="e">
        <f t="shared" si="65"/>
        <v>#DIV/0!</v>
      </c>
    </row>
    <row r="130" spans="2:35" s="109" customFormat="1" ht="21.95" customHeight="1" outlineLevel="1">
      <c r="B130" s="148" t="s">
        <v>574</v>
      </c>
      <c r="C130" s="149"/>
      <c r="D130" s="150"/>
      <c r="E130" s="151"/>
      <c r="F130" s="145"/>
      <c r="G130" s="142"/>
      <c r="H130" s="134">
        <f>G130*F130*$E130</f>
        <v>0</v>
      </c>
      <c r="I130" s="145"/>
      <c r="J130" s="142"/>
      <c r="K130" s="134">
        <f>J130*I130*$E130</f>
        <v>0</v>
      </c>
      <c r="L130" s="145"/>
      <c r="M130" s="142"/>
      <c r="N130" s="134">
        <f>M130*L130*$E130</f>
        <v>0</v>
      </c>
      <c r="O130" s="145"/>
      <c r="P130" s="142"/>
      <c r="Q130" s="134">
        <f t="shared" si="43"/>
        <v>0</v>
      </c>
      <c r="R130" s="145"/>
      <c r="S130" s="142"/>
      <c r="T130" s="134">
        <f t="shared" si="44"/>
        <v>0</v>
      </c>
      <c r="U130" s="145"/>
      <c r="V130" s="142"/>
      <c r="W130" s="134">
        <f t="shared" si="45"/>
        <v>0</v>
      </c>
      <c r="X130" s="145"/>
      <c r="Y130" s="142"/>
      <c r="Z130" s="134">
        <f>Y130*X130*$E130</f>
        <v>0</v>
      </c>
      <c r="AA130" s="145"/>
      <c r="AB130" s="142"/>
      <c r="AC130" s="134">
        <f t="shared" si="47"/>
        <v>0</v>
      </c>
      <c r="AD130" s="152"/>
      <c r="AE130" s="159"/>
      <c r="AF130" s="160"/>
      <c r="AG130" s="137">
        <f t="shared" si="48"/>
        <v>0</v>
      </c>
      <c r="AH130" s="138" t="e">
        <f t="shared" si="65"/>
        <v>#DIV/0!</v>
      </c>
    </row>
    <row r="131" spans="2:35" s="109" customFormat="1" ht="21.95" customHeight="1" outlineLevel="1" thickBot="1">
      <c r="B131" s="148" t="s">
        <v>575</v>
      </c>
      <c r="C131" s="149"/>
      <c r="D131" s="150"/>
      <c r="E131" s="151"/>
      <c r="F131" s="145"/>
      <c r="G131" s="142"/>
      <c r="H131" s="134">
        <f>G131*F131*$E131</f>
        <v>0</v>
      </c>
      <c r="I131" s="145"/>
      <c r="J131" s="142"/>
      <c r="K131" s="134">
        <f>J131*I131*$E131</f>
        <v>0</v>
      </c>
      <c r="L131" s="145"/>
      <c r="M131" s="142"/>
      <c r="N131" s="134">
        <f>M131*L131*$E131</f>
        <v>0</v>
      </c>
      <c r="O131" s="145"/>
      <c r="P131" s="142"/>
      <c r="Q131" s="134">
        <f t="shared" si="43"/>
        <v>0</v>
      </c>
      <c r="R131" s="145"/>
      <c r="S131" s="142"/>
      <c r="T131" s="134">
        <f t="shared" si="44"/>
        <v>0</v>
      </c>
      <c r="U131" s="145"/>
      <c r="V131" s="142"/>
      <c r="W131" s="134">
        <f t="shared" si="45"/>
        <v>0</v>
      </c>
      <c r="X131" s="145"/>
      <c r="Y131" s="142"/>
      <c r="Z131" s="134">
        <f>Y131*X131*$E131</f>
        <v>0</v>
      </c>
      <c r="AA131" s="145"/>
      <c r="AB131" s="142"/>
      <c r="AC131" s="134">
        <f t="shared" si="47"/>
        <v>0</v>
      </c>
      <c r="AD131" s="152"/>
      <c r="AE131" s="159"/>
      <c r="AF131" s="160"/>
      <c r="AG131" s="137">
        <f t="shared" si="48"/>
        <v>0</v>
      </c>
      <c r="AH131" s="138" t="e">
        <f t="shared" si="65"/>
        <v>#DIV/0!</v>
      </c>
    </row>
    <row r="132" spans="2:35" s="109" customFormat="1" ht="21.95" customHeight="1" thickBot="1">
      <c r="B132" s="694" t="s">
        <v>35</v>
      </c>
      <c r="C132" s="695"/>
      <c r="D132" s="695"/>
      <c r="E132" s="695" t="e">
        <f>SUM(#REF!)</f>
        <v>#REF!</v>
      </c>
      <c r="F132" s="263"/>
      <c r="G132" s="264"/>
      <c r="H132" s="265">
        <f>SUM(H83:H131)</f>
        <v>0</v>
      </c>
      <c r="I132" s="263"/>
      <c r="J132" s="264"/>
      <c r="K132" s="265">
        <f>SUM(K83:K131)</f>
        <v>0</v>
      </c>
      <c r="L132" s="263"/>
      <c r="M132" s="264"/>
      <c r="N132" s="265">
        <f>SUM(N83:N131)</f>
        <v>0</v>
      </c>
      <c r="O132" s="263"/>
      <c r="P132" s="264"/>
      <c r="Q132" s="265">
        <f>SUM(Q83:Q131)</f>
        <v>0</v>
      </c>
      <c r="R132" s="263"/>
      <c r="S132" s="264"/>
      <c r="T132" s="265">
        <f>SUM(T83:T131)</f>
        <v>0</v>
      </c>
      <c r="U132" s="263"/>
      <c r="V132" s="264"/>
      <c r="W132" s="265">
        <f>SUM(W83:W131)</f>
        <v>0</v>
      </c>
      <c r="X132" s="263"/>
      <c r="Y132" s="264"/>
      <c r="Z132" s="265">
        <f>SUM(Z83:Z131)</f>
        <v>0</v>
      </c>
      <c r="AA132" s="263"/>
      <c r="AB132" s="264"/>
      <c r="AC132" s="265">
        <f>SUM(AC83:AC131)</f>
        <v>0</v>
      </c>
      <c r="AD132" s="143"/>
      <c r="AE132" s="263"/>
      <c r="AF132" s="264"/>
      <c r="AG132" s="265">
        <f>SUM(AG83:AG131)</f>
        <v>0</v>
      </c>
      <c r="AH132" s="138"/>
    </row>
    <row r="133" spans="2:35" s="109" customFormat="1" ht="21.95" customHeight="1" thickBot="1">
      <c r="B133" s="699" t="s">
        <v>36</v>
      </c>
      <c r="C133" s="700"/>
      <c r="D133" s="700"/>
      <c r="E133" s="701"/>
      <c r="F133" s="745"/>
      <c r="G133" s="745"/>
      <c r="H133" s="745"/>
      <c r="I133" s="745"/>
      <c r="J133" s="745"/>
      <c r="K133" s="745"/>
      <c r="L133" s="745"/>
      <c r="M133" s="745"/>
      <c r="N133" s="745"/>
      <c r="O133" s="745"/>
      <c r="P133" s="745"/>
      <c r="Q133" s="745"/>
      <c r="R133" s="745"/>
      <c r="S133" s="745"/>
      <c r="T133" s="745"/>
      <c r="U133" s="745"/>
      <c r="V133" s="745"/>
      <c r="W133" s="745"/>
      <c r="X133" s="745"/>
      <c r="Y133" s="745"/>
      <c r="Z133" s="745"/>
      <c r="AA133" s="745"/>
      <c r="AB133" s="745"/>
      <c r="AC133" s="745"/>
      <c r="AD133" s="124"/>
      <c r="AE133" s="711"/>
      <c r="AF133" s="711"/>
      <c r="AG133" s="711"/>
      <c r="AH133" s="138"/>
    </row>
    <row r="134" spans="2:35" s="127" customFormat="1" ht="21.95" customHeight="1" thickBot="1">
      <c r="B134" s="258" t="s">
        <v>163</v>
      </c>
      <c r="C134" s="259" t="s">
        <v>169</v>
      </c>
      <c r="D134" s="260" t="s">
        <v>30</v>
      </c>
      <c r="E134" s="261" t="s">
        <v>31</v>
      </c>
      <c r="F134" s="258" t="s">
        <v>6</v>
      </c>
      <c r="G134" s="261" t="s">
        <v>32</v>
      </c>
      <c r="H134" s="262" t="s">
        <v>5</v>
      </c>
      <c r="I134" s="258" t="s">
        <v>6</v>
      </c>
      <c r="J134" s="261" t="s">
        <v>32</v>
      </c>
      <c r="K134" s="262" t="s">
        <v>5</v>
      </c>
      <c r="L134" s="258" t="s">
        <v>6</v>
      </c>
      <c r="M134" s="261" t="s">
        <v>32</v>
      </c>
      <c r="N134" s="262" t="s">
        <v>5</v>
      </c>
      <c r="O134" s="258" t="s">
        <v>6</v>
      </c>
      <c r="P134" s="261" t="s">
        <v>32</v>
      </c>
      <c r="Q134" s="262" t="s">
        <v>5</v>
      </c>
      <c r="R134" s="258" t="s">
        <v>6</v>
      </c>
      <c r="S134" s="261" t="s">
        <v>32</v>
      </c>
      <c r="T134" s="262" t="s">
        <v>5</v>
      </c>
      <c r="U134" s="258" t="s">
        <v>6</v>
      </c>
      <c r="V134" s="261" t="s">
        <v>32</v>
      </c>
      <c r="W134" s="262" t="s">
        <v>5</v>
      </c>
      <c r="X134" s="258" t="s">
        <v>6</v>
      </c>
      <c r="Y134" s="261" t="s">
        <v>32</v>
      </c>
      <c r="Z134" s="262" t="s">
        <v>5</v>
      </c>
      <c r="AA134" s="258" t="s">
        <v>6</v>
      </c>
      <c r="AB134" s="261" t="s">
        <v>32</v>
      </c>
      <c r="AC134" s="262" t="s">
        <v>5</v>
      </c>
      <c r="AD134" s="124"/>
      <c r="AE134" s="258" t="s">
        <v>6</v>
      </c>
      <c r="AF134" s="261" t="s">
        <v>32</v>
      </c>
      <c r="AG134" s="262" t="s">
        <v>5</v>
      </c>
      <c r="AH134" s="125"/>
      <c r="AI134" s="126"/>
    </row>
    <row r="135" spans="2:35" s="109" customFormat="1" ht="21.95" customHeight="1" outlineLevel="1">
      <c r="B135" s="148" t="s">
        <v>472</v>
      </c>
      <c r="C135" s="156" t="s">
        <v>251</v>
      </c>
      <c r="D135" s="157" t="s">
        <v>184</v>
      </c>
      <c r="E135" s="158">
        <v>1000</v>
      </c>
      <c r="F135" s="145"/>
      <c r="G135" s="142"/>
      <c r="H135" s="134">
        <f>G135*F135*$E135</f>
        <v>0</v>
      </c>
      <c r="I135" s="145"/>
      <c r="J135" s="142"/>
      <c r="K135" s="134">
        <f t="shared" ref="K135:K143" si="66">J135*I135*$E135</f>
        <v>0</v>
      </c>
      <c r="L135" s="145"/>
      <c r="M135" s="142"/>
      <c r="N135" s="134">
        <f>M135*L135*$E135</f>
        <v>0</v>
      </c>
      <c r="O135" s="145"/>
      <c r="P135" s="142"/>
      <c r="Q135" s="134">
        <f t="shared" ref="Q135:Q154" si="67">P135*O135*$E135</f>
        <v>0</v>
      </c>
      <c r="R135" s="145"/>
      <c r="S135" s="142"/>
      <c r="T135" s="134">
        <f t="shared" ref="T135:T154" si="68">S135*R135*$E135</f>
        <v>0</v>
      </c>
      <c r="U135" s="145"/>
      <c r="V135" s="142"/>
      <c r="W135" s="134">
        <f t="shared" ref="W135:W154" si="69">V135*U135*$E135</f>
        <v>0</v>
      </c>
      <c r="X135" s="145"/>
      <c r="Y135" s="142"/>
      <c r="Z135" s="134">
        <f t="shared" ref="Z135:Z154" si="70">Y135*X135*$E135</f>
        <v>0</v>
      </c>
      <c r="AA135" s="145"/>
      <c r="AB135" s="142"/>
      <c r="AC135" s="134">
        <f t="shared" ref="AC135:AC154" si="71">AB135*AA135*$E135</f>
        <v>0</v>
      </c>
      <c r="AD135" s="152"/>
      <c r="AE135" s="162"/>
      <c r="AF135" s="163"/>
      <c r="AG135" s="137">
        <f t="shared" ref="AG135:AG154" si="72">K135*$K$3+Z135*$Z$3+H135*$H$3+N135*$N$3+Q135*$Q$3+T135*$T$3+W135*$W$3+AC135*$AC$3</f>
        <v>0</v>
      </c>
      <c r="AH135" s="138" t="e">
        <f t="shared" ref="AH135:AH154" si="73">AG135/$AG$162</f>
        <v>#DIV/0!</v>
      </c>
    </row>
    <row r="136" spans="2:35" s="109" customFormat="1" ht="21.95" customHeight="1" outlineLevel="1">
      <c r="B136" s="148" t="s">
        <v>167</v>
      </c>
      <c r="C136" s="156" t="s">
        <v>216</v>
      </c>
      <c r="D136" s="157" t="s">
        <v>184</v>
      </c>
      <c r="E136" s="158">
        <f>EXAMES!H6</f>
        <v>600</v>
      </c>
      <c r="F136" s="145"/>
      <c r="G136" s="142"/>
      <c r="H136" s="134">
        <f t="shared" ref="H136:H143" si="74">G136*F136*$E136</f>
        <v>0</v>
      </c>
      <c r="I136" s="145"/>
      <c r="J136" s="142"/>
      <c r="K136" s="134">
        <f t="shared" si="66"/>
        <v>0</v>
      </c>
      <c r="L136" s="145"/>
      <c r="M136" s="142"/>
      <c r="N136" s="134">
        <f t="shared" ref="N136:N143" si="75">M136*L136*$E136</f>
        <v>0</v>
      </c>
      <c r="O136" s="145"/>
      <c r="P136" s="142"/>
      <c r="Q136" s="134">
        <f t="shared" si="67"/>
        <v>0</v>
      </c>
      <c r="R136" s="145"/>
      <c r="S136" s="142"/>
      <c r="T136" s="134">
        <f t="shared" si="68"/>
        <v>0</v>
      </c>
      <c r="U136" s="145"/>
      <c r="V136" s="142"/>
      <c r="W136" s="134">
        <f t="shared" si="69"/>
        <v>0</v>
      </c>
      <c r="X136" s="145"/>
      <c r="Y136" s="142"/>
      <c r="Z136" s="134">
        <f t="shared" si="70"/>
        <v>0</v>
      </c>
      <c r="AA136" s="145"/>
      <c r="AB136" s="142"/>
      <c r="AC136" s="134">
        <f t="shared" si="71"/>
        <v>0</v>
      </c>
      <c r="AD136" s="152"/>
      <c r="AE136" s="162"/>
      <c r="AF136" s="163"/>
      <c r="AG136" s="137">
        <f t="shared" si="72"/>
        <v>0</v>
      </c>
      <c r="AH136" s="138" t="e">
        <f t="shared" si="73"/>
        <v>#DIV/0!</v>
      </c>
    </row>
    <row r="137" spans="2:35" s="109" customFormat="1" ht="21.95" customHeight="1" outlineLevel="1">
      <c r="B137" s="148" t="s">
        <v>168</v>
      </c>
      <c r="C137" s="156" t="s">
        <v>242</v>
      </c>
      <c r="D137" s="157" t="s">
        <v>184</v>
      </c>
      <c r="E137" s="158">
        <f>TREINAMENTOS!G82</f>
        <v>426</v>
      </c>
      <c r="F137" s="145"/>
      <c r="G137" s="142"/>
      <c r="H137" s="164">
        <f>G137*F137*$E137</f>
        <v>0</v>
      </c>
      <c r="I137" s="145"/>
      <c r="J137" s="142"/>
      <c r="K137" s="164">
        <f t="shared" si="66"/>
        <v>0</v>
      </c>
      <c r="L137" s="145"/>
      <c r="M137" s="142"/>
      <c r="N137" s="164">
        <f>M137*L137*$E137</f>
        <v>0</v>
      </c>
      <c r="O137" s="145"/>
      <c r="P137" s="142"/>
      <c r="Q137" s="164">
        <f t="shared" si="67"/>
        <v>0</v>
      </c>
      <c r="R137" s="145"/>
      <c r="S137" s="142"/>
      <c r="T137" s="164">
        <f t="shared" si="68"/>
        <v>0</v>
      </c>
      <c r="U137" s="145"/>
      <c r="V137" s="142"/>
      <c r="W137" s="164">
        <f t="shared" si="69"/>
        <v>0</v>
      </c>
      <c r="X137" s="145"/>
      <c r="Y137" s="142"/>
      <c r="Z137" s="164">
        <f t="shared" si="70"/>
        <v>0</v>
      </c>
      <c r="AA137" s="145"/>
      <c r="AB137" s="142"/>
      <c r="AC137" s="164">
        <f t="shared" si="71"/>
        <v>0</v>
      </c>
      <c r="AD137" s="152"/>
      <c r="AE137" s="162"/>
      <c r="AF137" s="163"/>
      <c r="AG137" s="137">
        <f t="shared" si="72"/>
        <v>0</v>
      </c>
      <c r="AH137" s="138" t="e">
        <f t="shared" si="73"/>
        <v>#DIV/0!</v>
      </c>
    </row>
    <row r="138" spans="2:35" s="109" customFormat="1" ht="21.95" customHeight="1" outlineLevel="1">
      <c r="B138" s="148" t="s">
        <v>243</v>
      </c>
      <c r="C138" s="156" t="s">
        <v>241</v>
      </c>
      <c r="D138" s="157" t="s">
        <v>196</v>
      </c>
      <c r="E138" s="158">
        <v>280</v>
      </c>
      <c r="F138" s="145"/>
      <c r="G138" s="142"/>
      <c r="H138" s="134">
        <f>G138*F138*$E138</f>
        <v>0</v>
      </c>
      <c r="I138" s="145"/>
      <c r="J138" s="142"/>
      <c r="K138" s="134">
        <f t="shared" si="66"/>
        <v>0</v>
      </c>
      <c r="L138" s="145"/>
      <c r="M138" s="142"/>
      <c r="N138" s="134">
        <f>M138*L138*$E138</f>
        <v>0</v>
      </c>
      <c r="O138" s="145"/>
      <c r="P138" s="142"/>
      <c r="Q138" s="134">
        <f t="shared" si="67"/>
        <v>0</v>
      </c>
      <c r="R138" s="145"/>
      <c r="S138" s="142"/>
      <c r="T138" s="134">
        <f t="shared" si="68"/>
        <v>0</v>
      </c>
      <c r="U138" s="145"/>
      <c r="V138" s="142"/>
      <c r="W138" s="134">
        <f t="shared" si="69"/>
        <v>0</v>
      </c>
      <c r="X138" s="145"/>
      <c r="Y138" s="142"/>
      <c r="Z138" s="134">
        <f t="shared" si="70"/>
        <v>0</v>
      </c>
      <c r="AA138" s="145"/>
      <c r="AB138" s="142"/>
      <c r="AC138" s="134">
        <f t="shared" si="71"/>
        <v>0</v>
      </c>
      <c r="AD138" s="152"/>
      <c r="AE138" s="162"/>
      <c r="AF138" s="163"/>
      <c r="AG138" s="137">
        <f t="shared" si="72"/>
        <v>0</v>
      </c>
      <c r="AH138" s="138" t="e">
        <f t="shared" si="73"/>
        <v>#DIV/0!</v>
      </c>
    </row>
    <row r="139" spans="2:35" s="109" customFormat="1" ht="21.95" customHeight="1" outlineLevel="1">
      <c r="B139" s="148" t="s">
        <v>244</v>
      </c>
      <c r="C139" s="156" t="s">
        <v>197</v>
      </c>
      <c r="D139" s="157" t="s">
        <v>196</v>
      </c>
      <c r="E139" s="158">
        <v>25</v>
      </c>
      <c r="F139" s="145"/>
      <c r="G139" s="142"/>
      <c r="H139" s="134">
        <f>G139*F139*$E139</f>
        <v>0</v>
      </c>
      <c r="I139" s="145"/>
      <c r="J139" s="142"/>
      <c r="K139" s="134">
        <f t="shared" si="66"/>
        <v>0</v>
      </c>
      <c r="L139" s="145"/>
      <c r="M139" s="142"/>
      <c r="N139" s="134">
        <f>M139*L139*$E139</f>
        <v>0</v>
      </c>
      <c r="O139" s="145"/>
      <c r="P139" s="142"/>
      <c r="Q139" s="134">
        <f t="shared" si="67"/>
        <v>0</v>
      </c>
      <c r="R139" s="145"/>
      <c r="S139" s="142"/>
      <c r="T139" s="134">
        <f t="shared" si="68"/>
        <v>0</v>
      </c>
      <c r="U139" s="145"/>
      <c r="V139" s="142"/>
      <c r="W139" s="134">
        <f t="shared" si="69"/>
        <v>0</v>
      </c>
      <c r="X139" s="145"/>
      <c r="Y139" s="142"/>
      <c r="Z139" s="134">
        <f t="shared" si="70"/>
        <v>0</v>
      </c>
      <c r="AA139" s="145"/>
      <c r="AB139" s="142"/>
      <c r="AC139" s="134">
        <f t="shared" si="71"/>
        <v>0</v>
      </c>
      <c r="AD139" s="152"/>
      <c r="AE139" s="162"/>
      <c r="AF139" s="163"/>
      <c r="AG139" s="137">
        <f t="shared" si="72"/>
        <v>0</v>
      </c>
      <c r="AH139" s="138" t="e">
        <f t="shared" si="73"/>
        <v>#DIV/0!</v>
      </c>
    </row>
    <row r="140" spans="2:35" s="109" customFormat="1" ht="21.95" customHeight="1" outlineLevel="1">
      <c r="B140" s="148" t="s">
        <v>245</v>
      </c>
      <c r="C140" s="156" t="s">
        <v>199</v>
      </c>
      <c r="D140" s="157" t="s">
        <v>196</v>
      </c>
      <c r="E140" s="158">
        <v>350</v>
      </c>
      <c r="F140" s="145"/>
      <c r="G140" s="142"/>
      <c r="H140" s="134">
        <f>G140*F140*$E140</f>
        <v>0</v>
      </c>
      <c r="I140" s="145"/>
      <c r="J140" s="142"/>
      <c r="K140" s="134">
        <f t="shared" si="66"/>
        <v>0</v>
      </c>
      <c r="L140" s="145"/>
      <c r="M140" s="142"/>
      <c r="N140" s="134">
        <f>M140*L140*$E140</f>
        <v>0</v>
      </c>
      <c r="O140" s="145"/>
      <c r="P140" s="142"/>
      <c r="Q140" s="134">
        <f t="shared" si="67"/>
        <v>0</v>
      </c>
      <c r="R140" s="145"/>
      <c r="S140" s="142"/>
      <c r="T140" s="134">
        <f t="shared" si="68"/>
        <v>0</v>
      </c>
      <c r="U140" s="145"/>
      <c r="V140" s="142"/>
      <c r="W140" s="134">
        <f t="shared" si="69"/>
        <v>0</v>
      </c>
      <c r="X140" s="145"/>
      <c r="Y140" s="142"/>
      <c r="Z140" s="134">
        <f t="shared" si="70"/>
        <v>0</v>
      </c>
      <c r="AA140" s="145"/>
      <c r="AB140" s="142"/>
      <c r="AC140" s="134">
        <f t="shared" si="71"/>
        <v>0</v>
      </c>
      <c r="AD140" s="152"/>
      <c r="AE140" s="162"/>
      <c r="AF140" s="163"/>
      <c r="AG140" s="137">
        <f t="shared" si="72"/>
        <v>0</v>
      </c>
      <c r="AH140" s="138" t="e">
        <f t="shared" si="73"/>
        <v>#DIV/0!</v>
      </c>
    </row>
    <row r="141" spans="2:35" s="109" customFormat="1" ht="21.95" customHeight="1" outlineLevel="1">
      <c r="B141" s="148" t="s">
        <v>246</v>
      </c>
      <c r="C141" s="156" t="s">
        <v>343</v>
      </c>
      <c r="D141" s="157" t="s">
        <v>195</v>
      </c>
      <c r="E141" s="158">
        <f>EXAMES!H19</f>
        <v>2300</v>
      </c>
      <c r="F141" s="145"/>
      <c r="G141" s="142"/>
      <c r="H141" s="134">
        <f t="shared" si="74"/>
        <v>0</v>
      </c>
      <c r="I141" s="145"/>
      <c r="J141" s="142"/>
      <c r="K141" s="134">
        <f t="shared" si="66"/>
        <v>0</v>
      </c>
      <c r="L141" s="145"/>
      <c r="M141" s="142"/>
      <c r="N141" s="134">
        <f t="shared" si="75"/>
        <v>0</v>
      </c>
      <c r="O141" s="145"/>
      <c r="P141" s="142"/>
      <c r="Q141" s="134">
        <f t="shared" si="67"/>
        <v>0</v>
      </c>
      <c r="R141" s="145"/>
      <c r="S141" s="142"/>
      <c r="T141" s="134">
        <f t="shared" si="68"/>
        <v>0</v>
      </c>
      <c r="U141" s="145"/>
      <c r="V141" s="142"/>
      <c r="W141" s="134">
        <f t="shared" si="69"/>
        <v>0</v>
      </c>
      <c r="X141" s="145"/>
      <c r="Y141" s="142"/>
      <c r="Z141" s="134">
        <f t="shared" si="70"/>
        <v>0</v>
      </c>
      <c r="AA141" s="145"/>
      <c r="AB141" s="142"/>
      <c r="AC141" s="134">
        <f t="shared" si="71"/>
        <v>0</v>
      </c>
      <c r="AD141" s="152"/>
      <c r="AE141" s="162"/>
      <c r="AF141" s="163"/>
      <c r="AG141" s="137">
        <f t="shared" si="72"/>
        <v>0</v>
      </c>
      <c r="AH141" s="138" t="e">
        <f t="shared" si="73"/>
        <v>#DIV/0!</v>
      </c>
    </row>
    <row r="142" spans="2:35" s="109" customFormat="1" ht="21.95" customHeight="1" outlineLevel="1">
      <c r="B142" s="148" t="s">
        <v>247</v>
      </c>
      <c r="C142" s="156" t="s">
        <v>544</v>
      </c>
      <c r="D142" s="157" t="s">
        <v>184</v>
      </c>
      <c r="E142" s="158">
        <v>1200</v>
      </c>
      <c r="F142" s="145"/>
      <c r="G142" s="142"/>
      <c r="H142" s="134">
        <f t="shared" si="74"/>
        <v>0</v>
      </c>
      <c r="I142" s="145"/>
      <c r="J142" s="142"/>
      <c r="K142" s="134">
        <f t="shared" si="66"/>
        <v>0</v>
      </c>
      <c r="L142" s="145"/>
      <c r="M142" s="142"/>
      <c r="N142" s="134">
        <f t="shared" si="75"/>
        <v>0</v>
      </c>
      <c r="O142" s="145"/>
      <c r="P142" s="142"/>
      <c r="Q142" s="134">
        <f t="shared" si="67"/>
        <v>0</v>
      </c>
      <c r="R142" s="145"/>
      <c r="S142" s="142"/>
      <c r="T142" s="134">
        <f t="shared" si="68"/>
        <v>0</v>
      </c>
      <c r="U142" s="145"/>
      <c r="V142" s="142"/>
      <c r="W142" s="134">
        <f t="shared" si="69"/>
        <v>0</v>
      </c>
      <c r="X142" s="145"/>
      <c r="Y142" s="142"/>
      <c r="Z142" s="134">
        <f t="shared" si="70"/>
        <v>0</v>
      </c>
      <c r="AA142" s="145"/>
      <c r="AB142" s="142"/>
      <c r="AC142" s="134">
        <f t="shared" si="71"/>
        <v>0</v>
      </c>
      <c r="AD142" s="152"/>
      <c r="AE142" s="162"/>
      <c r="AF142" s="163"/>
      <c r="AG142" s="137">
        <f t="shared" si="72"/>
        <v>0</v>
      </c>
      <c r="AH142" s="138" t="e">
        <f t="shared" si="73"/>
        <v>#DIV/0!</v>
      </c>
    </row>
    <row r="143" spans="2:35" s="109" customFormat="1" ht="21.95" customHeight="1" outlineLevel="1">
      <c r="B143" s="148" t="s">
        <v>248</v>
      </c>
      <c r="C143" s="156" t="s">
        <v>198</v>
      </c>
      <c r="D143" s="157" t="s">
        <v>184</v>
      </c>
      <c r="E143" s="158">
        <v>5000</v>
      </c>
      <c r="F143" s="145"/>
      <c r="G143" s="142"/>
      <c r="H143" s="134">
        <f t="shared" si="74"/>
        <v>0</v>
      </c>
      <c r="I143" s="145"/>
      <c r="J143" s="142"/>
      <c r="K143" s="134">
        <f t="shared" si="66"/>
        <v>0</v>
      </c>
      <c r="L143" s="145"/>
      <c r="M143" s="142"/>
      <c r="N143" s="134">
        <f t="shared" si="75"/>
        <v>0</v>
      </c>
      <c r="O143" s="145"/>
      <c r="P143" s="142"/>
      <c r="Q143" s="134">
        <f t="shared" si="67"/>
        <v>0</v>
      </c>
      <c r="R143" s="145"/>
      <c r="S143" s="142"/>
      <c r="T143" s="134">
        <f t="shared" si="68"/>
        <v>0</v>
      </c>
      <c r="U143" s="145"/>
      <c r="V143" s="142"/>
      <c r="W143" s="134">
        <f t="shared" si="69"/>
        <v>0</v>
      </c>
      <c r="X143" s="145"/>
      <c r="Y143" s="142"/>
      <c r="Z143" s="134">
        <f t="shared" si="70"/>
        <v>0</v>
      </c>
      <c r="AA143" s="145"/>
      <c r="AB143" s="142"/>
      <c r="AC143" s="134">
        <f t="shared" si="71"/>
        <v>0</v>
      </c>
      <c r="AD143" s="152"/>
      <c r="AE143" s="162"/>
      <c r="AF143" s="163"/>
      <c r="AG143" s="137">
        <f t="shared" si="72"/>
        <v>0</v>
      </c>
      <c r="AH143" s="138" t="e">
        <f t="shared" si="73"/>
        <v>#DIV/0!</v>
      </c>
    </row>
    <row r="144" spans="2:35" s="109" customFormat="1" ht="21.95" customHeight="1" outlineLevel="1">
      <c r="B144" s="148" t="s">
        <v>191</v>
      </c>
      <c r="C144" s="156" t="s">
        <v>194</v>
      </c>
      <c r="D144" s="157" t="s">
        <v>190</v>
      </c>
      <c r="E144" s="158">
        <v>2800</v>
      </c>
      <c r="F144" s="145"/>
      <c r="G144" s="142"/>
      <c r="H144" s="134">
        <f t="shared" ref="H144:H152" si="76">G144*F144*$E144</f>
        <v>0</v>
      </c>
      <c r="I144" s="145"/>
      <c r="J144" s="142"/>
      <c r="K144" s="134">
        <f t="shared" ref="K144:K152" si="77">J144*I144*$E144</f>
        <v>0</v>
      </c>
      <c r="L144" s="145"/>
      <c r="M144" s="142"/>
      <c r="N144" s="134">
        <f t="shared" ref="N144:N152" si="78">M144*L144*$E144</f>
        <v>0</v>
      </c>
      <c r="O144" s="145"/>
      <c r="P144" s="142"/>
      <c r="Q144" s="134">
        <f t="shared" si="67"/>
        <v>0</v>
      </c>
      <c r="R144" s="145"/>
      <c r="S144" s="142"/>
      <c r="T144" s="134">
        <f t="shared" si="68"/>
        <v>0</v>
      </c>
      <c r="U144" s="145"/>
      <c r="V144" s="142"/>
      <c r="W144" s="134">
        <f t="shared" si="69"/>
        <v>0</v>
      </c>
      <c r="X144" s="145"/>
      <c r="Y144" s="142"/>
      <c r="Z144" s="134">
        <f t="shared" si="70"/>
        <v>0</v>
      </c>
      <c r="AA144" s="145"/>
      <c r="AB144" s="142"/>
      <c r="AC144" s="134">
        <f t="shared" si="71"/>
        <v>0</v>
      </c>
      <c r="AD144" s="152"/>
      <c r="AE144" s="162"/>
      <c r="AF144" s="163"/>
      <c r="AG144" s="137">
        <f t="shared" si="72"/>
        <v>0</v>
      </c>
      <c r="AH144" s="138" t="e">
        <f t="shared" si="73"/>
        <v>#DIV/0!</v>
      </c>
    </row>
    <row r="145" spans="2:34" s="109" customFormat="1" ht="21.95" customHeight="1" outlineLevel="1">
      <c r="B145" s="148" t="s">
        <v>192</v>
      </c>
      <c r="C145" s="156" t="s">
        <v>506</v>
      </c>
      <c r="D145" s="155" t="s">
        <v>404</v>
      </c>
      <c r="E145" s="158">
        <v>2000</v>
      </c>
      <c r="F145" s="145"/>
      <c r="G145" s="142"/>
      <c r="H145" s="134">
        <f t="shared" si="76"/>
        <v>0</v>
      </c>
      <c r="I145" s="145"/>
      <c r="J145" s="142"/>
      <c r="K145" s="134">
        <f t="shared" si="77"/>
        <v>0</v>
      </c>
      <c r="L145" s="145"/>
      <c r="M145" s="142"/>
      <c r="N145" s="134">
        <f t="shared" si="78"/>
        <v>0</v>
      </c>
      <c r="O145" s="145"/>
      <c r="P145" s="142"/>
      <c r="Q145" s="134">
        <f t="shared" si="67"/>
        <v>0</v>
      </c>
      <c r="R145" s="145"/>
      <c r="S145" s="142"/>
      <c r="T145" s="134">
        <f t="shared" si="68"/>
        <v>0</v>
      </c>
      <c r="U145" s="145"/>
      <c r="V145" s="142"/>
      <c r="W145" s="134">
        <f t="shared" si="69"/>
        <v>0</v>
      </c>
      <c r="X145" s="145"/>
      <c r="Y145" s="142"/>
      <c r="Z145" s="134">
        <f>Y145*X145*$E145</f>
        <v>0</v>
      </c>
      <c r="AA145" s="145"/>
      <c r="AB145" s="142"/>
      <c r="AC145" s="134">
        <f t="shared" si="71"/>
        <v>0</v>
      </c>
      <c r="AD145" s="152"/>
      <c r="AE145" s="162"/>
      <c r="AF145" s="163"/>
      <c r="AG145" s="137">
        <f t="shared" si="72"/>
        <v>0</v>
      </c>
      <c r="AH145" s="138" t="e">
        <f t="shared" si="73"/>
        <v>#DIV/0!</v>
      </c>
    </row>
    <row r="146" spans="2:34" s="109" customFormat="1" ht="36" customHeight="1" outlineLevel="1">
      <c r="B146" s="148" t="s">
        <v>249</v>
      </c>
      <c r="C146" s="156" t="s">
        <v>577</v>
      </c>
      <c r="D146" s="157" t="s">
        <v>177</v>
      </c>
      <c r="E146" s="158">
        <v>200</v>
      </c>
      <c r="F146" s="145"/>
      <c r="G146" s="142"/>
      <c r="H146" s="134">
        <f t="shared" si="76"/>
        <v>0</v>
      </c>
      <c r="I146" s="145"/>
      <c r="J146" s="142"/>
      <c r="K146" s="134">
        <f t="shared" si="77"/>
        <v>0</v>
      </c>
      <c r="L146" s="145"/>
      <c r="M146" s="142"/>
      <c r="N146" s="134">
        <f t="shared" si="78"/>
        <v>0</v>
      </c>
      <c r="O146" s="145"/>
      <c r="P146" s="142"/>
      <c r="Q146" s="134">
        <f t="shared" si="67"/>
        <v>0</v>
      </c>
      <c r="R146" s="145"/>
      <c r="S146" s="142"/>
      <c r="T146" s="134">
        <f t="shared" si="68"/>
        <v>0</v>
      </c>
      <c r="U146" s="145"/>
      <c r="V146" s="142"/>
      <c r="W146" s="134">
        <f t="shared" si="69"/>
        <v>0</v>
      </c>
      <c r="X146" s="145"/>
      <c r="Y146" s="142"/>
      <c r="Z146" s="134">
        <f t="shared" si="70"/>
        <v>0</v>
      </c>
      <c r="AA146" s="145"/>
      <c r="AB146" s="142"/>
      <c r="AC146" s="134">
        <f t="shared" si="71"/>
        <v>0</v>
      </c>
      <c r="AD146" s="152"/>
      <c r="AE146" s="162"/>
      <c r="AF146" s="163"/>
      <c r="AG146" s="137">
        <f t="shared" si="72"/>
        <v>0</v>
      </c>
      <c r="AH146" s="138" t="e">
        <f t="shared" si="73"/>
        <v>#DIV/0!</v>
      </c>
    </row>
    <row r="147" spans="2:34" s="109" customFormat="1" ht="21.95" customHeight="1" outlineLevel="1">
      <c r="B147" s="148" t="s">
        <v>250</v>
      </c>
      <c r="C147" s="156" t="s">
        <v>684</v>
      </c>
      <c r="D147" s="157" t="s">
        <v>196</v>
      </c>
      <c r="E147" s="158">
        <v>40000</v>
      </c>
      <c r="F147" s="145"/>
      <c r="G147" s="142"/>
      <c r="H147" s="134">
        <f t="shared" si="76"/>
        <v>0</v>
      </c>
      <c r="I147" s="145"/>
      <c r="J147" s="142"/>
      <c r="K147" s="134">
        <f t="shared" si="77"/>
        <v>0</v>
      </c>
      <c r="L147" s="145"/>
      <c r="M147" s="142"/>
      <c r="N147" s="134">
        <f t="shared" si="78"/>
        <v>0</v>
      </c>
      <c r="O147" s="145"/>
      <c r="P147" s="142"/>
      <c r="Q147" s="134">
        <f t="shared" si="67"/>
        <v>0</v>
      </c>
      <c r="R147" s="145"/>
      <c r="S147" s="142"/>
      <c r="T147" s="134">
        <f t="shared" si="68"/>
        <v>0</v>
      </c>
      <c r="U147" s="145"/>
      <c r="V147" s="142"/>
      <c r="W147" s="134">
        <f t="shared" si="69"/>
        <v>0</v>
      </c>
      <c r="X147" s="145"/>
      <c r="Y147" s="142"/>
      <c r="Z147" s="134">
        <f>Y147*X147*$E147</f>
        <v>0</v>
      </c>
      <c r="AA147" s="145"/>
      <c r="AB147" s="142"/>
      <c r="AC147" s="134">
        <f t="shared" si="71"/>
        <v>0</v>
      </c>
      <c r="AD147" s="152"/>
      <c r="AE147" s="162"/>
      <c r="AF147" s="163"/>
      <c r="AG147" s="137">
        <f t="shared" si="72"/>
        <v>0</v>
      </c>
      <c r="AH147" s="138" t="e">
        <f t="shared" si="73"/>
        <v>#DIV/0!</v>
      </c>
    </row>
    <row r="148" spans="2:34" s="109" customFormat="1" ht="21.95" customHeight="1" outlineLevel="1">
      <c r="B148" s="148" t="s">
        <v>217</v>
      </c>
      <c r="C148" s="156" t="s">
        <v>692</v>
      </c>
      <c r="D148" s="157" t="s">
        <v>177</v>
      </c>
      <c r="E148" s="158">
        <f>350*1.3</f>
        <v>455</v>
      </c>
      <c r="F148" s="145"/>
      <c r="G148" s="142"/>
      <c r="H148" s="134">
        <f t="shared" si="76"/>
        <v>0</v>
      </c>
      <c r="I148" s="145"/>
      <c r="J148" s="142"/>
      <c r="K148" s="134">
        <f t="shared" si="77"/>
        <v>0</v>
      </c>
      <c r="L148" s="145"/>
      <c r="M148" s="142"/>
      <c r="N148" s="134">
        <f t="shared" si="78"/>
        <v>0</v>
      </c>
      <c r="O148" s="145"/>
      <c r="P148" s="142"/>
      <c r="Q148" s="134">
        <f t="shared" si="67"/>
        <v>0</v>
      </c>
      <c r="R148" s="145"/>
      <c r="S148" s="142"/>
      <c r="T148" s="134">
        <f t="shared" si="68"/>
        <v>0</v>
      </c>
      <c r="U148" s="145"/>
      <c r="V148" s="142"/>
      <c r="W148" s="134">
        <f t="shared" si="69"/>
        <v>0</v>
      </c>
      <c r="X148" s="145"/>
      <c r="Y148" s="142"/>
      <c r="Z148" s="134">
        <f t="shared" si="70"/>
        <v>0</v>
      </c>
      <c r="AA148" s="145"/>
      <c r="AB148" s="142"/>
      <c r="AC148" s="134">
        <f t="shared" si="71"/>
        <v>0</v>
      </c>
      <c r="AD148" s="152"/>
      <c r="AE148" s="162"/>
      <c r="AF148" s="163"/>
      <c r="AG148" s="137">
        <f t="shared" si="72"/>
        <v>0</v>
      </c>
      <c r="AH148" s="138" t="e">
        <f t="shared" si="73"/>
        <v>#DIV/0!</v>
      </c>
    </row>
    <row r="149" spans="2:34" s="109" customFormat="1" ht="21.95" customHeight="1" outlineLevel="1">
      <c r="B149" s="148" t="s">
        <v>473</v>
      </c>
      <c r="C149" s="156" t="s">
        <v>710</v>
      </c>
      <c r="D149" s="157" t="s">
        <v>30</v>
      </c>
      <c r="E149" s="158">
        <f>(30+200/10)*1.2</f>
        <v>60</v>
      </c>
      <c r="F149" s="145"/>
      <c r="G149" s="142"/>
      <c r="H149" s="134">
        <f t="shared" si="76"/>
        <v>0</v>
      </c>
      <c r="I149" s="145"/>
      <c r="J149" s="142"/>
      <c r="K149" s="134">
        <f t="shared" si="77"/>
        <v>0</v>
      </c>
      <c r="L149" s="145"/>
      <c r="M149" s="142"/>
      <c r="N149" s="134">
        <f t="shared" si="78"/>
        <v>0</v>
      </c>
      <c r="O149" s="145"/>
      <c r="P149" s="142"/>
      <c r="Q149" s="134">
        <f t="shared" si="67"/>
        <v>0</v>
      </c>
      <c r="R149" s="145"/>
      <c r="S149" s="142"/>
      <c r="T149" s="134">
        <f t="shared" si="68"/>
        <v>0</v>
      </c>
      <c r="U149" s="145"/>
      <c r="V149" s="142"/>
      <c r="W149" s="134">
        <f t="shared" si="69"/>
        <v>0</v>
      </c>
      <c r="X149" s="145"/>
      <c r="Y149" s="142"/>
      <c r="Z149" s="134">
        <f>Y149*X149*$E149</f>
        <v>0</v>
      </c>
      <c r="AA149" s="145"/>
      <c r="AB149" s="142"/>
      <c r="AC149" s="134">
        <f t="shared" si="71"/>
        <v>0</v>
      </c>
      <c r="AD149" s="152"/>
      <c r="AE149" s="162"/>
      <c r="AF149" s="163"/>
      <c r="AG149" s="137">
        <f t="shared" si="72"/>
        <v>0</v>
      </c>
      <c r="AH149" s="138" t="e">
        <f t="shared" si="73"/>
        <v>#DIV/0!</v>
      </c>
    </row>
    <row r="150" spans="2:34" s="109" customFormat="1" ht="21.95" customHeight="1" outlineLevel="1">
      <c r="B150" s="148" t="s">
        <v>474</v>
      </c>
      <c r="C150" s="156"/>
      <c r="D150" s="157"/>
      <c r="E150" s="158"/>
      <c r="F150" s="145"/>
      <c r="G150" s="142"/>
      <c r="H150" s="134">
        <f t="shared" si="76"/>
        <v>0</v>
      </c>
      <c r="I150" s="145"/>
      <c r="J150" s="142"/>
      <c r="K150" s="134">
        <f t="shared" si="77"/>
        <v>0</v>
      </c>
      <c r="L150" s="145"/>
      <c r="M150" s="142"/>
      <c r="N150" s="134">
        <f t="shared" si="78"/>
        <v>0</v>
      </c>
      <c r="O150" s="145"/>
      <c r="P150" s="142"/>
      <c r="Q150" s="134">
        <f t="shared" si="67"/>
        <v>0</v>
      </c>
      <c r="R150" s="145"/>
      <c r="S150" s="142"/>
      <c r="T150" s="134">
        <f t="shared" si="68"/>
        <v>0</v>
      </c>
      <c r="U150" s="145"/>
      <c r="V150" s="142"/>
      <c r="W150" s="134">
        <f t="shared" si="69"/>
        <v>0</v>
      </c>
      <c r="X150" s="145"/>
      <c r="Y150" s="142"/>
      <c r="Z150" s="134">
        <f t="shared" si="70"/>
        <v>0</v>
      </c>
      <c r="AA150" s="145"/>
      <c r="AB150" s="142"/>
      <c r="AC150" s="134">
        <f t="shared" si="71"/>
        <v>0</v>
      </c>
      <c r="AD150" s="152"/>
      <c r="AE150" s="162"/>
      <c r="AF150" s="163"/>
      <c r="AG150" s="137">
        <f t="shared" si="72"/>
        <v>0</v>
      </c>
      <c r="AH150" s="138" t="e">
        <f t="shared" si="73"/>
        <v>#DIV/0!</v>
      </c>
    </row>
    <row r="151" spans="2:34" s="109" customFormat="1" ht="21.95" customHeight="1" outlineLevel="1">
      <c r="B151" s="148" t="s">
        <v>475</v>
      </c>
      <c r="C151" s="156"/>
      <c r="D151" s="157"/>
      <c r="E151" s="158"/>
      <c r="F151" s="145"/>
      <c r="G151" s="142"/>
      <c r="H151" s="134">
        <f t="shared" si="76"/>
        <v>0</v>
      </c>
      <c r="I151" s="145"/>
      <c r="J151" s="142"/>
      <c r="K151" s="134">
        <f t="shared" si="77"/>
        <v>0</v>
      </c>
      <c r="L151" s="145"/>
      <c r="M151" s="142"/>
      <c r="N151" s="134">
        <f t="shared" si="78"/>
        <v>0</v>
      </c>
      <c r="O151" s="145"/>
      <c r="P151" s="142"/>
      <c r="Q151" s="134">
        <f t="shared" si="67"/>
        <v>0</v>
      </c>
      <c r="R151" s="145"/>
      <c r="S151" s="142"/>
      <c r="T151" s="134">
        <f t="shared" si="68"/>
        <v>0</v>
      </c>
      <c r="U151" s="145"/>
      <c r="V151" s="142"/>
      <c r="W151" s="134">
        <f t="shared" si="69"/>
        <v>0</v>
      </c>
      <c r="X151" s="145"/>
      <c r="Y151" s="142"/>
      <c r="Z151" s="134">
        <f>Y151*X151*$E151</f>
        <v>0</v>
      </c>
      <c r="AA151" s="145"/>
      <c r="AB151" s="142"/>
      <c r="AC151" s="134">
        <f t="shared" si="71"/>
        <v>0</v>
      </c>
      <c r="AD151" s="152"/>
      <c r="AE151" s="162"/>
      <c r="AF151" s="163"/>
      <c r="AG151" s="137">
        <f t="shared" si="72"/>
        <v>0</v>
      </c>
      <c r="AH151" s="138" t="e">
        <f t="shared" si="73"/>
        <v>#DIV/0!</v>
      </c>
    </row>
    <row r="152" spans="2:34" s="109" customFormat="1" ht="21.95" customHeight="1" outlineLevel="1">
      <c r="B152" s="148" t="s">
        <v>476</v>
      </c>
      <c r="C152" s="156"/>
      <c r="D152" s="157"/>
      <c r="E152" s="158"/>
      <c r="F152" s="145"/>
      <c r="G152" s="142"/>
      <c r="H152" s="134">
        <f t="shared" si="76"/>
        <v>0</v>
      </c>
      <c r="I152" s="145"/>
      <c r="J152" s="142"/>
      <c r="K152" s="134">
        <f t="shared" si="77"/>
        <v>0</v>
      </c>
      <c r="L152" s="145"/>
      <c r="M152" s="142"/>
      <c r="N152" s="134">
        <f t="shared" si="78"/>
        <v>0</v>
      </c>
      <c r="O152" s="145"/>
      <c r="P152" s="142"/>
      <c r="Q152" s="134">
        <f t="shared" si="67"/>
        <v>0</v>
      </c>
      <c r="R152" s="145"/>
      <c r="S152" s="142"/>
      <c r="T152" s="134">
        <f t="shared" si="68"/>
        <v>0</v>
      </c>
      <c r="U152" s="145"/>
      <c r="V152" s="142"/>
      <c r="W152" s="134">
        <f t="shared" si="69"/>
        <v>0</v>
      </c>
      <c r="X152" s="145"/>
      <c r="Y152" s="142"/>
      <c r="Z152" s="134">
        <f t="shared" si="70"/>
        <v>0</v>
      </c>
      <c r="AA152" s="145"/>
      <c r="AB152" s="142"/>
      <c r="AC152" s="134">
        <f t="shared" si="71"/>
        <v>0</v>
      </c>
      <c r="AD152" s="152"/>
      <c r="AE152" s="162"/>
      <c r="AF152" s="163"/>
      <c r="AG152" s="137">
        <f t="shared" si="72"/>
        <v>0</v>
      </c>
      <c r="AH152" s="138" t="e">
        <f t="shared" si="73"/>
        <v>#DIV/0!</v>
      </c>
    </row>
    <row r="153" spans="2:34" s="109" customFormat="1" ht="21.95" customHeight="1" outlineLevel="1">
      <c r="B153" s="148" t="s">
        <v>477</v>
      </c>
      <c r="C153" s="156"/>
      <c r="D153" s="157"/>
      <c r="E153" s="158"/>
      <c r="F153" s="145"/>
      <c r="G153" s="142"/>
      <c r="H153" s="134">
        <f>G153*F153*$E153</f>
        <v>0</v>
      </c>
      <c r="I153" s="145"/>
      <c r="J153" s="142"/>
      <c r="K153" s="134">
        <f>J153*I153*$E153</f>
        <v>0</v>
      </c>
      <c r="L153" s="145"/>
      <c r="M153" s="142"/>
      <c r="N153" s="134">
        <f>M153*L153*$E153</f>
        <v>0</v>
      </c>
      <c r="O153" s="145"/>
      <c r="P153" s="142"/>
      <c r="Q153" s="134">
        <f t="shared" si="67"/>
        <v>0</v>
      </c>
      <c r="R153" s="145"/>
      <c r="S153" s="142"/>
      <c r="T153" s="134">
        <f t="shared" si="68"/>
        <v>0</v>
      </c>
      <c r="U153" s="145"/>
      <c r="V153" s="142"/>
      <c r="W153" s="134">
        <f t="shared" si="69"/>
        <v>0</v>
      </c>
      <c r="X153" s="145"/>
      <c r="Y153" s="142"/>
      <c r="Z153" s="134">
        <f t="shared" si="70"/>
        <v>0</v>
      </c>
      <c r="AA153" s="145"/>
      <c r="AB153" s="142"/>
      <c r="AC153" s="134">
        <f t="shared" si="71"/>
        <v>0</v>
      </c>
      <c r="AD153" s="152"/>
      <c r="AE153" s="162"/>
      <c r="AF153" s="163"/>
      <c r="AG153" s="137">
        <f t="shared" si="72"/>
        <v>0</v>
      </c>
      <c r="AH153" s="138" t="e">
        <f t="shared" si="73"/>
        <v>#DIV/0!</v>
      </c>
    </row>
    <row r="154" spans="2:34" s="109" customFormat="1" ht="21.95" customHeight="1" outlineLevel="1" thickBot="1">
      <c r="B154" s="148" t="s">
        <v>478</v>
      </c>
      <c r="C154" s="156"/>
      <c r="D154" s="157"/>
      <c r="E154" s="158"/>
      <c r="F154" s="145"/>
      <c r="G154" s="142"/>
      <c r="H154" s="134">
        <f>G154*F154*$E154</f>
        <v>0</v>
      </c>
      <c r="I154" s="145"/>
      <c r="J154" s="142"/>
      <c r="K154" s="134">
        <f>J154*I154*$E154</f>
        <v>0</v>
      </c>
      <c r="L154" s="145"/>
      <c r="M154" s="142"/>
      <c r="N154" s="134">
        <f>M154*L154*$E154</f>
        <v>0</v>
      </c>
      <c r="O154" s="145"/>
      <c r="P154" s="142"/>
      <c r="Q154" s="134">
        <f t="shared" si="67"/>
        <v>0</v>
      </c>
      <c r="R154" s="145"/>
      <c r="S154" s="142"/>
      <c r="T154" s="134">
        <f t="shared" si="68"/>
        <v>0</v>
      </c>
      <c r="U154" s="145"/>
      <c r="V154" s="142"/>
      <c r="W154" s="134">
        <f t="shared" si="69"/>
        <v>0</v>
      </c>
      <c r="X154" s="145"/>
      <c r="Y154" s="142"/>
      <c r="Z154" s="134">
        <f t="shared" si="70"/>
        <v>0</v>
      </c>
      <c r="AA154" s="145"/>
      <c r="AB154" s="142"/>
      <c r="AC154" s="134">
        <f t="shared" si="71"/>
        <v>0</v>
      </c>
      <c r="AD154" s="152"/>
      <c r="AE154" s="162"/>
      <c r="AF154" s="163"/>
      <c r="AG154" s="137">
        <f t="shared" si="72"/>
        <v>0</v>
      </c>
      <c r="AH154" s="138" t="e">
        <f t="shared" si="73"/>
        <v>#DIV/0!</v>
      </c>
    </row>
    <row r="155" spans="2:34" s="109" customFormat="1" ht="21.95" customHeight="1" thickBot="1">
      <c r="B155" s="694" t="s">
        <v>37</v>
      </c>
      <c r="C155" s="695"/>
      <c r="D155" s="695"/>
      <c r="E155" s="695" t="e">
        <f>SUM(#REF!)</f>
        <v>#REF!</v>
      </c>
      <c r="F155" s="263"/>
      <c r="G155" s="264"/>
      <c r="H155" s="265">
        <f>SUM(H135:H154)</f>
        <v>0</v>
      </c>
      <c r="I155" s="263"/>
      <c r="J155" s="264"/>
      <c r="K155" s="265">
        <f>SUM(K135:K154)</f>
        <v>0</v>
      </c>
      <c r="L155" s="263"/>
      <c r="M155" s="264"/>
      <c r="N155" s="265">
        <f>SUM(N135:N154)</f>
        <v>0</v>
      </c>
      <c r="O155" s="263"/>
      <c r="P155" s="264"/>
      <c r="Q155" s="265">
        <f>SUM(Q135:Q154)</f>
        <v>0</v>
      </c>
      <c r="R155" s="263"/>
      <c r="S155" s="264"/>
      <c r="T155" s="265">
        <f>SUM(T135:T154)</f>
        <v>0</v>
      </c>
      <c r="U155" s="263"/>
      <c r="V155" s="264"/>
      <c r="W155" s="265">
        <f>SUM(W135:W154)</f>
        <v>0</v>
      </c>
      <c r="X155" s="263"/>
      <c r="Y155" s="264"/>
      <c r="Z155" s="265">
        <f>SUM(Z135:Z154)</f>
        <v>0</v>
      </c>
      <c r="AA155" s="263"/>
      <c r="AB155" s="264"/>
      <c r="AC155" s="265">
        <f>SUM(AC135:AC154)</f>
        <v>0</v>
      </c>
      <c r="AD155" s="143"/>
      <c r="AE155" s="263"/>
      <c r="AF155" s="264"/>
      <c r="AG155" s="265">
        <f>SUM(AG135:AG154)</f>
        <v>0</v>
      </c>
      <c r="AH155" s="138"/>
    </row>
    <row r="156" spans="2:34" ht="11.25" customHeight="1" thickBot="1">
      <c r="B156" s="165"/>
      <c r="C156" s="166"/>
      <c r="D156" s="166"/>
      <c r="E156" s="165"/>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c r="AB156" s="166"/>
      <c r="AC156" s="166"/>
      <c r="AD156" s="115"/>
      <c r="AE156" s="167"/>
      <c r="AF156" s="167"/>
      <c r="AG156" s="167"/>
    </row>
    <row r="157" spans="2:34" s="109" customFormat="1" ht="18" customHeight="1">
      <c r="B157" s="266" t="s">
        <v>4</v>
      </c>
      <c r="C157" s="696" t="s">
        <v>120</v>
      </c>
      <c r="D157" s="697"/>
      <c r="E157" s="267"/>
      <c r="F157" s="266"/>
      <c r="G157" s="268" t="s">
        <v>57</v>
      </c>
      <c r="H157" s="269" t="s">
        <v>50</v>
      </c>
      <c r="I157" s="266"/>
      <c r="J157" s="268" t="s">
        <v>57</v>
      </c>
      <c r="K157" s="269" t="s">
        <v>50</v>
      </c>
      <c r="L157" s="266"/>
      <c r="M157" s="268" t="s">
        <v>57</v>
      </c>
      <c r="N157" s="269" t="s">
        <v>50</v>
      </c>
      <c r="O157" s="266"/>
      <c r="P157" s="268" t="s">
        <v>57</v>
      </c>
      <c r="Q157" s="269" t="s">
        <v>50</v>
      </c>
      <c r="R157" s="266"/>
      <c r="S157" s="268" t="s">
        <v>57</v>
      </c>
      <c r="T157" s="269" t="s">
        <v>50</v>
      </c>
      <c r="U157" s="266"/>
      <c r="V157" s="268" t="s">
        <v>57</v>
      </c>
      <c r="W157" s="269" t="s">
        <v>50</v>
      </c>
      <c r="X157" s="266"/>
      <c r="Y157" s="268" t="s">
        <v>57</v>
      </c>
      <c r="Z157" s="269" t="s">
        <v>50</v>
      </c>
      <c r="AA157" s="266"/>
      <c r="AB157" s="268" t="s">
        <v>57</v>
      </c>
      <c r="AC157" s="269" t="s">
        <v>50</v>
      </c>
      <c r="AD157" s="124"/>
      <c r="AE157" s="266"/>
      <c r="AF157" s="268" t="s">
        <v>57</v>
      </c>
      <c r="AG157" s="269" t="s">
        <v>50</v>
      </c>
      <c r="AH157" s="108"/>
    </row>
    <row r="158" spans="2:34" s="109" customFormat="1" ht="18" customHeight="1">
      <c r="B158" s="168" t="s">
        <v>2</v>
      </c>
      <c r="C158" s="169" t="s">
        <v>38</v>
      </c>
      <c r="D158" s="170"/>
      <c r="E158" s="171"/>
      <c r="F158" s="172"/>
      <c r="G158" s="173" t="e">
        <f>H158/H162</f>
        <v>#DIV/0!</v>
      </c>
      <c r="H158" s="174">
        <f>H23</f>
        <v>0</v>
      </c>
      <c r="I158" s="172"/>
      <c r="J158" s="173" t="e">
        <f>K158/K162</f>
        <v>#DIV/0!</v>
      </c>
      <c r="K158" s="174">
        <f>K23</f>
        <v>0</v>
      </c>
      <c r="L158" s="172"/>
      <c r="M158" s="173" t="e">
        <f>N158/N162</f>
        <v>#DIV/0!</v>
      </c>
      <c r="N158" s="174">
        <f>N23</f>
        <v>0</v>
      </c>
      <c r="O158" s="172"/>
      <c r="P158" s="173" t="e">
        <f>Q158/Q162</f>
        <v>#DIV/0!</v>
      </c>
      <c r="Q158" s="174">
        <f>Q23</f>
        <v>0</v>
      </c>
      <c r="R158" s="172"/>
      <c r="S158" s="173" t="e">
        <f>T158/T162</f>
        <v>#DIV/0!</v>
      </c>
      <c r="T158" s="174">
        <f>T23</f>
        <v>0</v>
      </c>
      <c r="U158" s="172"/>
      <c r="V158" s="173" t="e">
        <f>W158/W162</f>
        <v>#DIV/0!</v>
      </c>
      <c r="W158" s="174">
        <f>W23</f>
        <v>0</v>
      </c>
      <c r="X158" s="172"/>
      <c r="Y158" s="173" t="e">
        <f>Z158/Z162</f>
        <v>#DIV/0!</v>
      </c>
      <c r="Z158" s="174">
        <f>Z23</f>
        <v>0</v>
      </c>
      <c r="AA158" s="172"/>
      <c r="AB158" s="173" t="e">
        <f>AC158/AC162</f>
        <v>#DIV/0!</v>
      </c>
      <c r="AC158" s="174">
        <f>AC23</f>
        <v>0</v>
      </c>
      <c r="AD158" s="152"/>
      <c r="AE158" s="175"/>
      <c r="AF158" s="176" t="e">
        <f>AG158/AG162</f>
        <v>#DIV/0!</v>
      </c>
      <c r="AG158" s="177">
        <f>AG23</f>
        <v>0</v>
      </c>
      <c r="AH158" s="108"/>
    </row>
    <row r="159" spans="2:34" s="109" customFormat="1" ht="18" customHeight="1">
      <c r="B159" s="145" t="s">
        <v>1</v>
      </c>
      <c r="C159" s="178" t="s">
        <v>39</v>
      </c>
      <c r="D159" s="179"/>
      <c r="E159" s="180"/>
      <c r="F159" s="181"/>
      <c r="G159" s="182" t="e">
        <f>H159/H162</f>
        <v>#DIV/0!</v>
      </c>
      <c r="H159" s="134">
        <f>H80</f>
        <v>0</v>
      </c>
      <c r="I159" s="181"/>
      <c r="J159" s="182" t="e">
        <f>K159/K162</f>
        <v>#DIV/0!</v>
      </c>
      <c r="K159" s="134">
        <f>K80</f>
        <v>0</v>
      </c>
      <c r="L159" s="181"/>
      <c r="M159" s="182" t="e">
        <f>N159/N162</f>
        <v>#DIV/0!</v>
      </c>
      <c r="N159" s="134">
        <f>N80</f>
        <v>0</v>
      </c>
      <c r="O159" s="181"/>
      <c r="P159" s="182" t="e">
        <f>Q159/Q162</f>
        <v>#DIV/0!</v>
      </c>
      <c r="Q159" s="134">
        <f>Q80</f>
        <v>0</v>
      </c>
      <c r="R159" s="181"/>
      <c r="S159" s="182" t="e">
        <f>T159/T162</f>
        <v>#DIV/0!</v>
      </c>
      <c r="T159" s="134">
        <f>T80</f>
        <v>0</v>
      </c>
      <c r="U159" s="181"/>
      <c r="V159" s="182" t="e">
        <f>W159/W162</f>
        <v>#DIV/0!</v>
      </c>
      <c r="W159" s="134">
        <f>W80</f>
        <v>0</v>
      </c>
      <c r="X159" s="181"/>
      <c r="Y159" s="182" t="e">
        <f>Z159/Z162</f>
        <v>#DIV/0!</v>
      </c>
      <c r="Z159" s="134">
        <f>Z80</f>
        <v>0</v>
      </c>
      <c r="AA159" s="181"/>
      <c r="AB159" s="182" t="e">
        <f>AC159/AC162</f>
        <v>#DIV/0!</v>
      </c>
      <c r="AC159" s="134">
        <f>AC80</f>
        <v>0</v>
      </c>
      <c r="AD159" s="152"/>
      <c r="AE159" s="183"/>
      <c r="AF159" s="184" t="e">
        <f>AG159/AG162</f>
        <v>#DIV/0!</v>
      </c>
      <c r="AG159" s="185">
        <f>AG80</f>
        <v>0</v>
      </c>
      <c r="AH159" s="108"/>
    </row>
    <row r="160" spans="2:34" s="109" customFormat="1" ht="18" customHeight="1">
      <c r="B160" s="145" t="s">
        <v>0</v>
      </c>
      <c r="C160" s="178" t="s">
        <v>40</v>
      </c>
      <c r="D160" s="179"/>
      <c r="E160" s="180"/>
      <c r="F160" s="181"/>
      <c r="G160" s="182" t="e">
        <f>H160/H162</f>
        <v>#DIV/0!</v>
      </c>
      <c r="H160" s="134">
        <f>H132</f>
        <v>0</v>
      </c>
      <c r="I160" s="181"/>
      <c r="J160" s="182" t="e">
        <f>K160/K162</f>
        <v>#DIV/0!</v>
      </c>
      <c r="K160" s="134">
        <f>K132</f>
        <v>0</v>
      </c>
      <c r="L160" s="181"/>
      <c r="M160" s="182" t="e">
        <f>N160/N162</f>
        <v>#DIV/0!</v>
      </c>
      <c r="N160" s="134">
        <f>N132</f>
        <v>0</v>
      </c>
      <c r="O160" s="181"/>
      <c r="P160" s="182" t="e">
        <f>Q160/Q162</f>
        <v>#DIV/0!</v>
      </c>
      <c r="Q160" s="134">
        <f>Q132</f>
        <v>0</v>
      </c>
      <c r="R160" s="181"/>
      <c r="S160" s="182" t="e">
        <f>T160/T162</f>
        <v>#DIV/0!</v>
      </c>
      <c r="T160" s="134">
        <f>T132</f>
        <v>0</v>
      </c>
      <c r="U160" s="181"/>
      <c r="V160" s="182" t="e">
        <f>W160/W162</f>
        <v>#DIV/0!</v>
      </c>
      <c r="W160" s="134">
        <f>W132</f>
        <v>0</v>
      </c>
      <c r="X160" s="181"/>
      <c r="Y160" s="182" t="e">
        <f>Z160/Z162</f>
        <v>#DIV/0!</v>
      </c>
      <c r="Z160" s="134">
        <f>Z132</f>
        <v>0</v>
      </c>
      <c r="AA160" s="181"/>
      <c r="AB160" s="182" t="e">
        <f>AC160/AC162</f>
        <v>#DIV/0!</v>
      </c>
      <c r="AC160" s="134">
        <f>AC132</f>
        <v>0</v>
      </c>
      <c r="AD160" s="152"/>
      <c r="AE160" s="183"/>
      <c r="AF160" s="184" t="e">
        <f>AG160/AG162</f>
        <v>#DIV/0!</v>
      </c>
      <c r="AG160" s="185">
        <f>AG132</f>
        <v>0</v>
      </c>
      <c r="AH160" s="108"/>
    </row>
    <row r="161" spans="2:34" s="109" customFormat="1" ht="18" customHeight="1">
      <c r="B161" s="186" t="s">
        <v>3</v>
      </c>
      <c r="C161" s="187" t="s">
        <v>41</v>
      </c>
      <c r="D161" s="188"/>
      <c r="E161" s="189"/>
      <c r="F161" s="190"/>
      <c r="G161" s="191" t="e">
        <f>H161/H162</f>
        <v>#DIV/0!</v>
      </c>
      <c r="H161" s="192">
        <f>H155</f>
        <v>0</v>
      </c>
      <c r="I161" s="190"/>
      <c r="J161" s="191" t="e">
        <f>K161/K162</f>
        <v>#DIV/0!</v>
      </c>
      <c r="K161" s="192">
        <f>K155</f>
        <v>0</v>
      </c>
      <c r="L161" s="190"/>
      <c r="M161" s="191" t="e">
        <f>N161/N162</f>
        <v>#DIV/0!</v>
      </c>
      <c r="N161" s="192">
        <f>N155</f>
        <v>0</v>
      </c>
      <c r="O161" s="190"/>
      <c r="P161" s="191" t="e">
        <f>Q161/Q162</f>
        <v>#DIV/0!</v>
      </c>
      <c r="Q161" s="192">
        <f>Q155</f>
        <v>0</v>
      </c>
      <c r="R161" s="190"/>
      <c r="S161" s="191" t="e">
        <f>T161/T162</f>
        <v>#DIV/0!</v>
      </c>
      <c r="T161" s="192">
        <f>T155</f>
        <v>0</v>
      </c>
      <c r="U161" s="190" t="e">
        <f>W147/W162</f>
        <v>#DIV/0!</v>
      </c>
      <c r="V161" s="191" t="e">
        <f>W161/W162</f>
        <v>#DIV/0!</v>
      </c>
      <c r="W161" s="192">
        <f>W155</f>
        <v>0</v>
      </c>
      <c r="X161" s="190"/>
      <c r="Y161" s="191" t="e">
        <f>Z161/Z162</f>
        <v>#DIV/0!</v>
      </c>
      <c r="Z161" s="192">
        <f>Z155</f>
        <v>0</v>
      </c>
      <c r="AA161" s="190"/>
      <c r="AB161" s="191" t="e">
        <f>AC161/AC162</f>
        <v>#DIV/0!</v>
      </c>
      <c r="AC161" s="192">
        <f>AC155</f>
        <v>0</v>
      </c>
      <c r="AD161" s="152"/>
      <c r="AE161" s="193"/>
      <c r="AF161" s="194" t="e">
        <f>AG161/AG162</f>
        <v>#DIV/0!</v>
      </c>
      <c r="AG161" s="195">
        <f>AG155</f>
        <v>0</v>
      </c>
      <c r="AH161" s="108"/>
    </row>
    <row r="162" spans="2:34" s="109" customFormat="1" ht="18" customHeight="1" thickBot="1">
      <c r="B162" s="270"/>
      <c r="C162" s="271" t="s">
        <v>42</v>
      </c>
      <c r="D162" s="272"/>
      <c r="E162" s="273">
        <f>SUM(E158:E161)</f>
        <v>0</v>
      </c>
      <c r="F162" s="274"/>
      <c r="G162" s="275" t="e">
        <f>SUM(G158:G161)</f>
        <v>#DIV/0!</v>
      </c>
      <c r="H162" s="276">
        <f>SUM(H158:H161)</f>
        <v>0</v>
      </c>
      <c r="I162" s="274"/>
      <c r="J162" s="275" t="e">
        <f>SUM(J158:J161)</f>
        <v>#DIV/0!</v>
      </c>
      <c r="K162" s="276">
        <f>SUM(K158:K161)</f>
        <v>0</v>
      </c>
      <c r="L162" s="274"/>
      <c r="M162" s="275" t="e">
        <f>SUM(M158:M161)</f>
        <v>#DIV/0!</v>
      </c>
      <c r="N162" s="276">
        <f>SUM(N158:N161)</f>
        <v>0</v>
      </c>
      <c r="O162" s="274"/>
      <c r="P162" s="275" t="e">
        <f>SUM(P158:P161)</f>
        <v>#DIV/0!</v>
      </c>
      <c r="Q162" s="276">
        <f>SUM(Q158:Q161)</f>
        <v>0</v>
      </c>
      <c r="R162" s="274"/>
      <c r="S162" s="275" t="e">
        <f>SUM(S158:S161)</f>
        <v>#DIV/0!</v>
      </c>
      <c r="T162" s="276">
        <f>SUM(T158:T161)</f>
        <v>0</v>
      </c>
      <c r="U162" s="274"/>
      <c r="V162" s="275" t="e">
        <f>SUM(V158:V161)</f>
        <v>#DIV/0!</v>
      </c>
      <c r="W162" s="276">
        <f>SUM(W158:W161)</f>
        <v>0</v>
      </c>
      <c r="X162" s="274"/>
      <c r="Y162" s="275" t="e">
        <f>SUM(Y158:Y161)</f>
        <v>#DIV/0!</v>
      </c>
      <c r="Z162" s="276">
        <f>SUM(Z158:Z161)</f>
        <v>0</v>
      </c>
      <c r="AA162" s="274"/>
      <c r="AB162" s="275" t="e">
        <f>SUM(AB158:AB161)</f>
        <v>#DIV/0!</v>
      </c>
      <c r="AC162" s="276">
        <f>SUM(AC158:AC161)</f>
        <v>0</v>
      </c>
      <c r="AD162" s="124"/>
      <c r="AE162" s="277"/>
      <c r="AF162" s="278" t="e">
        <f>SUM(AF158:AF161)</f>
        <v>#DIV/0!</v>
      </c>
      <c r="AG162" s="279">
        <f>SUM(AG158:AG161)</f>
        <v>0</v>
      </c>
      <c r="AH162" s="108"/>
    </row>
    <row r="163" spans="2:34" s="109" customFormat="1" ht="18" customHeight="1" thickBot="1">
      <c r="B163" s="196"/>
      <c r="C163" s="698"/>
      <c r="D163" s="698"/>
      <c r="E163" s="698"/>
      <c r="F163" s="698"/>
      <c r="G163" s="698"/>
      <c r="H163" s="698"/>
      <c r="I163" s="698"/>
      <c r="J163" s="698"/>
      <c r="K163" s="698"/>
      <c r="L163" s="698"/>
      <c r="M163" s="698"/>
      <c r="N163" s="698"/>
      <c r="O163" s="698"/>
      <c r="P163" s="698"/>
      <c r="Q163" s="698"/>
      <c r="R163" s="698"/>
      <c r="S163" s="698"/>
      <c r="T163" s="698"/>
      <c r="U163" s="698"/>
      <c r="V163" s="698"/>
      <c r="W163" s="698"/>
      <c r="X163" s="698"/>
      <c r="Y163" s="698"/>
      <c r="Z163" s="698"/>
      <c r="AA163" s="698"/>
      <c r="AB163" s="698"/>
      <c r="AC163" s="698"/>
      <c r="AD163" s="124"/>
      <c r="AE163" s="692"/>
      <c r="AF163" s="692"/>
      <c r="AG163" s="692"/>
      <c r="AH163" s="108"/>
    </row>
    <row r="164" spans="2:34" s="109" customFormat="1" ht="18" customHeight="1">
      <c r="B164" s="274" t="s">
        <v>4</v>
      </c>
      <c r="C164" s="688" t="s">
        <v>119</v>
      </c>
      <c r="D164" s="689"/>
      <c r="E164" s="273" t="s">
        <v>8</v>
      </c>
      <c r="F164" s="274"/>
      <c r="G164" s="275"/>
      <c r="H164" s="276" t="s">
        <v>50</v>
      </c>
      <c r="I164" s="274"/>
      <c r="J164" s="275"/>
      <c r="K164" s="276" t="s">
        <v>50</v>
      </c>
      <c r="L164" s="274"/>
      <c r="M164" s="275"/>
      <c r="N164" s="276" t="s">
        <v>50</v>
      </c>
      <c r="O164" s="274"/>
      <c r="P164" s="275"/>
      <c r="Q164" s="276" t="s">
        <v>50</v>
      </c>
      <c r="R164" s="274"/>
      <c r="S164" s="275"/>
      <c r="T164" s="276" t="s">
        <v>50</v>
      </c>
      <c r="U164" s="274"/>
      <c r="V164" s="275"/>
      <c r="W164" s="276" t="s">
        <v>50</v>
      </c>
      <c r="X164" s="274"/>
      <c r="Y164" s="275"/>
      <c r="Z164" s="276" t="s">
        <v>50</v>
      </c>
      <c r="AA164" s="274"/>
      <c r="AB164" s="275"/>
      <c r="AC164" s="276" t="s">
        <v>50</v>
      </c>
      <c r="AD164" s="124"/>
      <c r="AE164" s="266"/>
      <c r="AF164" s="268"/>
      <c r="AG164" s="269" t="s">
        <v>50</v>
      </c>
      <c r="AH164" s="108"/>
    </row>
    <row r="165" spans="2:34" s="109" customFormat="1" ht="18" customHeight="1">
      <c r="B165" s="197">
        <v>1</v>
      </c>
      <c r="C165" s="198" t="s">
        <v>7</v>
      </c>
      <c r="D165" s="199"/>
      <c r="E165" s="200">
        <f>'BDI-TRIBUTOS'!D8</f>
        <v>0.09</v>
      </c>
      <c r="F165" s="201"/>
      <c r="G165" s="202"/>
      <c r="H165" s="203">
        <f>H162*$E$165</f>
        <v>0</v>
      </c>
      <c r="I165" s="201"/>
      <c r="J165" s="202"/>
      <c r="K165" s="203">
        <f>K162*$E$165</f>
        <v>0</v>
      </c>
      <c r="L165" s="201"/>
      <c r="M165" s="202"/>
      <c r="N165" s="203">
        <f>N162*$E$165</f>
        <v>0</v>
      </c>
      <c r="O165" s="201"/>
      <c r="P165" s="202"/>
      <c r="Q165" s="203">
        <f>Q162*$E$165</f>
        <v>0</v>
      </c>
      <c r="R165" s="201"/>
      <c r="S165" s="202"/>
      <c r="T165" s="203">
        <f>T162*$E$165</f>
        <v>0</v>
      </c>
      <c r="U165" s="201"/>
      <c r="V165" s="202"/>
      <c r="W165" s="203">
        <f>W162*$E$165</f>
        <v>0</v>
      </c>
      <c r="X165" s="201"/>
      <c r="Y165" s="202"/>
      <c r="Z165" s="203">
        <f>Z162*$E$165</f>
        <v>0</v>
      </c>
      <c r="AA165" s="201"/>
      <c r="AB165" s="202"/>
      <c r="AC165" s="203">
        <f>AC162*$E$165</f>
        <v>0</v>
      </c>
      <c r="AD165" s="143"/>
      <c r="AE165" s="204"/>
      <c r="AF165" s="205"/>
      <c r="AG165" s="206">
        <f>AG162*$E$165</f>
        <v>0</v>
      </c>
      <c r="AH165" s="108"/>
    </row>
    <row r="166" spans="2:34" s="109" customFormat="1" ht="18" customHeight="1">
      <c r="B166" s="207">
        <v>2</v>
      </c>
      <c r="C166" s="208" t="s">
        <v>51</v>
      </c>
      <c r="D166" s="209"/>
      <c r="E166" s="210">
        <f>'BDI-TRIBUTOS'!D6</f>
        <v>0.06</v>
      </c>
      <c r="F166" s="211"/>
      <c r="G166" s="212"/>
      <c r="H166" s="213">
        <f>H162*$E$166</f>
        <v>0</v>
      </c>
      <c r="I166" s="211"/>
      <c r="J166" s="212"/>
      <c r="K166" s="213">
        <f>K162*$E$166</f>
        <v>0</v>
      </c>
      <c r="L166" s="211"/>
      <c r="M166" s="212"/>
      <c r="N166" s="213">
        <f>N162*$E$166</f>
        <v>0</v>
      </c>
      <c r="O166" s="211"/>
      <c r="P166" s="212"/>
      <c r="Q166" s="213">
        <f>Q162*$E$166</f>
        <v>0</v>
      </c>
      <c r="R166" s="211"/>
      <c r="S166" s="212"/>
      <c r="T166" s="213">
        <f>T162*$E$166</f>
        <v>0</v>
      </c>
      <c r="U166" s="211"/>
      <c r="V166" s="212"/>
      <c r="W166" s="213">
        <f>W162*$E$166</f>
        <v>0</v>
      </c>
      <c r="X166" s="211"/>
      <c r="Y166" s="212"/>
      <c r="Z166" s="213">
        <f>Z162*$E$166</f>
        <v>0</v>
      </c>
      <c r="AA166" s="211"/>
      <c r="AB166" s="212"/>
      <c r="AC166" s="213">
        <f>AC162*$E$166</f>
        <v>0</v>
      </c>
      <c r="AD166" s="143"/>
      <c r="AE166" s="214"/>
      <c r="AF166" s="215"/>
      <c r="AG166" s="216">
        <f>AG162*$E$166</f>
        <v>0</v>
      </c>
      <c r="AH166" s="108"/>
    </row>
    <row r="167" spans="2:34" s="109" customFormat="1" ht="18" customHeight="1">
      <c r="B167" s="207">
        <v>3</v>
      </c>
      <c r="C167" s="208" t="s">
        <v>137</v>
      </c>
      <c r="D167" s="209"/>
      <c r="E167" s="210">
        <f>'BDI-TRIBUTOS'!D10</f>
        <v>3.5000000000000003E-2</v>
      </c>
      <c r="F167" s="211"/>
      <c r="G167" s="212"/>
      <c r="H167" s="213">
        <f>H162*$E$167</f>
        <v>0</v>
      </c>
      <c r="I167" s="211"/>
      <c r="J167" s="212"/>
      <c r="K167" s="213">
        <f>K162*$E$167</f>
        <v>0</v>
      </c>
      <c r="L167" s="211"/>
      <c r="M167" s="212"/>
      <c r="N167" s="213">
        <f>N162*$E$167</f>
        <v>0</v>
      </c>
      <c r="O167" s="211"/>
      <c r="P167" s="212"/>
      <c r="Q167" s="213">
        <f>Q162*$E$167</f>
        <v>0</v>
      </c>
      <c r="R167" s="211"/>
      <c r="S167" s="212"/>
      <c r="T167" s="213">
        <f>T162*$E$167</f>
        <v>0</v>
      </c>
      <c r="U167" s="211"/>
      <c r="V167" s="212"/>
      <c r="W167" s="213">
        <f>W162*$E$167</f>
        <v>0</v>
      </c>
      <c r="X167" s="211"/>
      <c r="Y167" s="212"/>
      <c r="Z167" s="213">
        <f>Z162*$E$167</f>
        <v>0</v>
      </c>
      <c r="AA167" s="211"/>
      <c r="AB167" s="212"/>
      <c r="AC167" s="213">
        <f>AC162*$E$167</f>
        <v>0</v>
      </c>
      <c r="AD167" s="143"/>
      <c r="AE167" s="214"/>
      <c r="AF167" s="215"/>
      <c r="AG167" s="216">
        <f>AG162*$E$167</f>
        <v>0</v>
      </c>
      <c r="AH167" s="108"/>
    </row>
    <row r="168" spans="2:34" s="109" customFormat="1" ht="18" customHeight="1">
      <c r="B168" s="207">
        <v>4</v>
      </c>
      <c r="C168" s="208" t="s">
        <v>52</v>
      </c>
      <c r="D168" s="209"/>
      <c r="E168" s="210">
        <f>'BDI-TRIBUTOS'!D12</f>
        <v>0.02</v>
      </c>
      <c r="F168" s="211"/>
      <c r="G168" s="212"/>
      <c r="H168" s="213">
        <f>H162*$E$168</f>
        <v>0</v>
      </c>
      <c r="I168" s="211"/>
      <c r="J168" s="212"/>
      <c r="K168" s="213">
        <f>K162*$E$168</f>
        <v>0</v>
      </c>
      <c r="L168" s="211"/>
      <c r="M168" s="212"/>
      <c r="N168" s="213">
        <f>N162*$E$168</f>
        <v>0</v>
      </c>
      <c r="O168" s="211"/>
      <c r="P168" s="212"/>
      <c r="Q168" s="213">
        <f>Q162*$E$168</f>
        <v>0</v>
      </c>
      <c r="R168" s="211"/>
      <c r="S168" s="212"/>
      <c r="T168" s="213">
        <f>T162*$E$168</f>
        <v>0</v>
      </c>
      <c r="U168" s="211"/>
      <c r="V168" s="212"/>
      <c r="W168" s="213">
        <f>W162*$E$168</f>
        <v>0</v>
      </c>
      <c r="X168" s="211"/>
      <c r="Y168" s="212"/>
      <c r="Z168" s="213">
        <f>Z162*$E$168</f>
        <v>0</v>
      </c>
      <c r="AA168" s="211"/>
      <c r="AB168" s="212"/>
      <c r="AC168" s="213">
        <f>AC162*$E$168</f>
        <v>0</v>
      </c>
      <c r="AD168" s="143"/>
      <c r="AE168" s="214"/>
      <c r="AF168" s="215"/>
      <c r="AG168" s="216">
        <f>AG162*$E$168</f>
        <v>0</v>
      </c>
      <c r="AH168" s="108"/>
    </row>
    <row r="169" spans="2:34" s="109" customFormat="1" ht="18" customHeight="1">
      <c r="B169" s="207">
        <v>5</v>
      </c>
      <c r="C169" s="217" t="s">
        <v>41</v>
      </c>
      <c r="D169" s="218"/>
      <c r="E169" s="210">
        <f>'BDI-TRIBUTOS'!D14</f>
        <v>0.01</v>
      </c>
      <c r="F169" s="219"/>
      <c r="G169" s="220"/>
      <c r="H169" s="221">
        <f>H162*$E$169</f>
        <v>0</v>
      </c>
      <c r="I169" s="219"/>
      <c r="J169" s="220"/>
      <c r="K169" s="221">
        <f>K162*$E$169</f>
        <v>0</v>
      </c>
      <c r="L169" s="219"/>
      <c r="M169" s="220"/>
      <c r="N169" s="221">
        <f>N162*$E$169</f>
        <v>0</v>
      </c>
      <c r="O169" s="219"/>
      <c r="P169" s="220"/>
      <c r="Q169" s="221">
        <f>Q162*$E$169</f>
        <v>0</v>
      </c>
      <c r="R169" s="219"/>
      <c r="S169" s="220"/>
      <c r="T169" s="221">
        <f>T162*$E$169</f>
        <v>0</v>
      </c>
      <c r="U169" s="219"/>
      <c r="V169" s="220"/>
      <c r="W169" s="221">
        <f>W162*$E$169</f>
        <v>0</v>
      </c>
      <c r="X169" s="219"/>
      <c r="Y169" s="220"/>
      <c r="Z169" s="221">
        <f>Z162*$E$169</f>
        <v>0</v>
      </c>
      <c r="AA169" s="219"/>
      <c r="AB169" s="220"/>
      <c r="AC169" s="221">
        <f>AC162*$E$169</f>
        <v>0</v>
      </c>
      <c r="AD169" s="143"/>
      <c r="AE169" s="222"/>
      <c r="AF169" s="223"/>
      <c r="AG169" s="224">
        <f>AG162*$E$169</f>
        <v>0</v>
      </c>
      <c r="AH169" s="108"/>
    </row>
    <row r="170" spans="2:34" s="109" customFormat="1" ht="18" customHeight="1">
      <c r="B170" s="207">
        <v>6</v>
      </c>
      <c r="C170" s="225" t="s">
        <v>53</v>
      </c>
      <c r="D170" s="226"/>
      <c r="E170" s="227">
        <f>'BDI-TRIBUTOS'!D4</f>
        <v>0.1</v>
      </c>
      <c r="F170" s="228"/>
      <c r="G170" s="229"/>
      <c r="H170" s="230">
        <f>H182*$E$170</f>
        <v>0</v>
      </c>
      <c r="I170" s="228"/>
      <c r="J170" s="229"/>
      <c r="K170" s="230">
        <f>K182*$E$170</f>
        <v>0</v>
      </c>
      <c r="L170" s="228"/>
      <c r="M170" s="229"/>
      <c r="N170" s="230">
        <f>N182*$E$170</f>
        <v>0</v>
      </c>
      <c r="O170" s="228"/>
      <c r="P170" s="229"/>
      <c r="Q170" s="230">
        <f>Q182*$E$170</f>
        <v>0</v>
      </c>
      <c r="R170" s="228"/>
      <c r="S170" s="229"/>
      <c r="T170" s="230">
        <f>T182*$E$170</f>
        <v>0</v>
      </c>
      <c r="U170" s="228"/>
      <c r="V170" s="229"/>
      <c r="W170" s="230">
        <f>W182*$E$170</f>
        <v>0</v>
      </c>
      <c r="X170" s="228"/>
      <c r="Y170" s="229"/>
      <c r="Z170" s="230">
        <f>Z182*$E$170</f>
        <v>0</v>
      </c>
      <c r="AA170" s="228"/>
      <c r="AB170" s="229"/>
      <c r="AC170" s="230">
        <f>AC182*$E$170</f>
        <v>0</v>
      </c>
      <c r="AD170" s="143"/>
      <c r="AE170" s="231"/>
      <c r="AF170" s="232"/>
      <c r="AG170" s="233">
        <f>AG182*$E$170</f>
        <v>0</v>
      </c>
      <c r="AH170" s="108"/>
    </row>
    <row r="171" spans="2:34" s="109" customFormat="1" ht="18" customHeight="1" thickBot="1">
      <c r="B171" s="270"/>
      <c r="C171" s="271" t="s">
        <v>43</v>
      </c>
      <c r="D171" s="272"/>
      <c r="E171" s="280">
        <f>SUM(E165:E170)</f>
        <v>0.315</v>
      </c>
      <c r="F171" s="281"/>
      <c r="G171" s="282">
        <f>SUM(H165:H169)+H162</f>
        <v>0</v>
      </c>
      <c r="H171" s="276">
        <f>SUM(H165:H170)</f>
        <v>0</v>
      </c>
      <c r="I171" s="281"/>
      <c r="J171" s="282">
        <f>SUM(K165:K169)+K162</f>
        <v>0</v>
      </c>
      <c r="K171" s="276">
        <f>SUM(K165:K170)</f>
        <v>0</v>
      </c>
      <c r="L171" s="281"/>
      <c r="M171" s="282">
        <f>SUM(N165:N169)+N162</f>
        <v>0</v>
      </c>
      <c r="N171" s="276">
        <f>SUM(N165:N170)</f>
        <v>0</v>
      </c>
      <c r="O171" s="281"/>
      <c r="P171" s="282">
        <f>SUM(Q165:Q169)+Q162</f>
        <v>0</v>
      </c>
      <c r="Q171" s="276">
        <f>SUM(Q165:Q170)</f>
        <v>0</v>
      </c>
      <c r="R171" s="281"/>
      <c r="S171" s="282">
        <f>SUM(T165:T169)+T162</f>
        <v>0</v>
      </c>
      <c r="T171" s="276">
        <f>SUM(T165:T170)</f>
        <v>0</v>
      </c>
      <c r="U171" s="281"/>
      <c r="V171" s="282">
        <f>SUM(W165:W169)+W162</f>
        <v>0</v>
      </c>
      <c r="W171" s="276">
        <f>SUM(W165:W170)</f>
        <v>0</v>
      </c>
      <c r="X171" s="281"/>
      <c r="Y171" s="282">
        <f>SUM(Z165:Z169)+Z162</f>
        <v>0</v>
      </c>
      <c r="Z171" s="276">
        <f>SUM(Z165:Z170)</f>
        <v>0</v>
      </c>
      <c r="AA171" s="281"/>
      <c r="AB171" s="282">
        <f>SUM(AC165:AC169)+AC162</f>
        <v>0</v>
      </c>
      <c r="AC171" s="276">
        <f>SUM(AC165:AC170)</f>
        <v>0</v>
      </c>
      <c r="AD171" s="124"/>
      <c r="AE171" s="283"/>
      <c r="AF171" s="284">
        <f>SUM(AG165:AG169)+AG162</f>
        <v>0</v>
      </c>
      <c r="AG171" s="279">
        <f>SUM(AG165:AG170)</f>
        <v>0</v>
      </c>
      <c r="AH171" s="108"/>
    </row>
    <row r="172" spans="2:34" s="109" customFormat="1" ht="18" customHeight="1" thickBot="1">
      <c r="B172" s="196"/>
      <c r="C172" s="234"/>
      <c r="D172" s="235"/>
      <c r="E172" s="236"/>
      <c r="F172" s="746" t="e">
        <f>H171/H162</f>
        <v>#DIV/0!</v>
      </c>
      <c r="G172" s="746"/>
      <c r="H172" s="746"/>
      <c r="I172" s="746" t="e">
        <f>K171/K162</f>
        <v>#DIV/0!</v>
      </c>
      <c r="J172" s="746"/>
      <c r="K172" s="746"/>
      <c r="L172" s="746" t="e">
        <f>N171/N162</f>
        <v>#DIV/0!</v>
      </c>
      <c r="M172" s="746"/>
      <c r="N172" s="746"/>
      <c r="O172" s="746" t="e">
        <f>Q171/Q162</f>
        <v>#DIV/0!</v>
      </c>
      <c r="P172" s="746"/>
      <c r="Q172" s="746"/>
      <c r="R172" s="746" t="e">
        <f>T171/T162</f>
        <v>#DIV/0!</v>
      </c>
      <c r="S172" s="746"/>
      <c r="T172" s="746"/>
      <c r="U172" s="746" t="e">
        <f>W171/W162</f>
        <v>#DIV/0!</v>
      </c>
      <c r="V172" s="746"/>
      <c r="W172" s="746"/>
      <c r="X172" s="746" t="e">
        <f>Z171/Z162</f>
        <v>#DIV/0!</v>
      </c>
      <c r="Y172" s="746"/>
      <c r="Z172" s="746"/>
      <c r="AA172" s="746" t="e">
        <f>AC171/AC162</f>
        <v>#DIV/0!</v>
      </c>
      <c r="AB172" s="746"/>
      <c r="AC172" s="746"/>
      <c r="AD172" s="237"/>
      <c r="AE172" s="693" t="e">
        <f>AG171/AG162</f>
        <v>#DIV/0!</v>
      </c>
      <c r="AF172" s="693"/>
      <c r="AG172" s="693"/>
      <c r="AH172" s="108"/>
    </row>
    <row r="173" spans="2:34" s="109" customFormat="1" ht="18" customHeight="1">
      <c r="B173" s="274" t="s">
        <v>4</v>
      </c>
      <c r="C173" s="688" t="s">
        <v>23</v>
      </c>
      <c r="D173" s="689"/>
      <c r="E173" s="273" t="s">
        <v>8</v>
      </c>
      <c r="F173" s="274"/>
      <c r="G173" s="275"/>
      <c r="H173" s="276" t="s">
        <v>50</v>
      </c>
      <c r="I173" s="274"/>
      <c r="J173" s="275"/>
      <c r="K173" s="276" t="s">
        <v>50</v>
      </c>
      <c r="L173" s="274"/>
      <c r="M173" s="275"/>
      <c r="N173" s="276" t="s">
        <v>50</v>
      </c>
      <c r="O173" s="274"/>
      <c r="P173" s="275"/>
      <c r="Q173" s="276" t="s">
        <v>50</v>
      </c>
      <c r="R173" s="274"/>
      <c r="S173" s="275"/>
      <c r="T173" s="276" t="s">
        <v>50</v>
      </c>
      <c r="U173" s="274"/>
      <c r="V173" s="275"/>
      <c r="W173" s="276" t="s">
        <v>50</v>
      </c>
      <c r="X173" s="274"/>
      <c r="Y173" s="275"/>
      <c r="Z173" s="276" t="s">
        <v>50</v>
      </c>
      <c r="AA173" s="274"/>
      <c r="AB173" s="275"/>
      <c r="AC173" s="276" t="s">
        <v>50</v>
      </c>
      <c r="AD173" s="124"/>
      <c r="AE173" s="266"/>
      <c r="AF173" s="268"/>
      <c r="AG173" s="269" t="s">
        <v>50</v>
      </c>
      <c r="AH173" s="108"/>
    </row>
    <row r="174" spans="2:34" s="109" customFormat="1" ht="18" customHeight="1">
      <c r="B174" s="197">
        <v>1</v>
      </c>
      <c r="C174" s="198" t="s">
        <v>54</v>
      </c>
      <c r="D174" s="199"/>
      <c r="E174" s="200">
        <f>'BDI-TRIBUTOS'!D20</f>
        <v>0.05</v>
      </c>
      <c r="F174" s="238"/>
      <c r="G174" s="239"/>
      <c r="H174" s="203">
        <f t="shared" ref="H174:H179" si="79">H$182*$E174</f>
        <v>0</v>
      </c>
      <c r="I174" s="238"/>
      <c r="J174" s="239"/>
      <c r="K174" s="203">
        <f t="shared" ref="K174:K179" si="80">K$182*$E174</f>
        <v>0</v>
      </c>
      <c r="L174" s="238"/>
      <c r="M174" s="239"/>
      <c r="N174" s="203">
        <f t="shared" ref="N174:N179" si="81">N$182*$E174</f>
        <v>0</v>
      </c>
      <c r="O174" s="238"/>
      <c r="P174" s="239"/>
      <c r="Q174" s="203">
        <f t="shared" ref="Q174:Q179" si="82">Q$182*$E174</f>
        <v>0</v>
      </c>
      <c r="R174" s="238"/>
      <c r="S174" s="239"/>
      <c r="T174" s="203">
        <f t="shared" ref="T174:T179" si="83">T$182*$E174</f>
        <v>0</v>
      </c>
      <c r="U174" s="238"/>
      <c r="V174" s="239"/>
      <c r="W174" s="203">
        <f t="shared" ref="W174:W179" si="84">W$182*$E174</f>
        <v>0</v>
      </c>
      <c r="X174" s="238"/>
      <c r="Y174" s="239"/>
      <c r="Z174" s="203">
        <f t="shared" ref="Z174:Z179" si="85">Z$182*$E174</f>
        <v>0</v>
      </c>
      <c r="AA174" s="238"/>
      <c r="AB174" s="239"/>
      <c r="AC174" s="203">
        <f t="shared" ref="AC174:AC179" si="86">AC$182*$E174</f>
        <v>0</v>
      </c>
      <c r="AD174" s="143"/>
      <c r="AE174" s="240"/>
      <c r="AF174" s="241"/>
      <c r="AG174" s="206">
        <f t="shared" ref="AG174:AG179" si="87">$AG$182*E174</f>
        <v>0</v>
      </c>
      <c r="AH174" s="108"/>
    </row>
    <row r="175" spans="2:34" s="109" customFormat="1" ht="18" customHeight="1">
      <c r="B175" s="207">
        <v>2</v>
      </c>
      <c r="C175" s="208" t="s">
        <v>24</v>
      </c>
      <c r="D175" s="209"/>
      <c r="E175" s="210">
        <f>'BDI-TRIBUTOS'!D21</f>
        <v>0.03</v>
      </c>
      <c r="F175" s="242"/>
      <c r="G175" s="243"/>
      <c r="H175" s="213">
        <f t="shared" si="79"/>
        <v>0</v>
      </c>
      <c r="I175" s="242"/>
      <c r="J175" s="243"/>
      <c r="K175" s="213">
        <f t="shared" si="80"/>
        <v>0</v>
      </c>
      <c r="L175" s="242"/>
      <c r="M175" s="243"/>
      <c r="N175" s="213">
        <f t="shared" si="81"/>
        <v>0</v>
      </c>
      <c r="O175" s="242"/>
      <c r="P175" s="243"/>
      <c r="Q175" s="213">
        <f t="shared" si="82"/>
        <v>0</v>
      </c>
      <c r="R175" s="242"/>
      <c r="S175" s="243"/>
      <c r="T175" s="213">
        <f t="shared" si="83"/>
        <v>0</v>
      </c>
      <c r="U175" s="242"/>
      <c r="V175" s="243"/>
      <c r="W175" s="213">
        <f t="shared" si="84"/>
        <v>0</v>
      </c>
      <c r="X175" s="242"/>
      <c r="Y175" s="243"/>
      <c r="Z175" s="213">
        <f t="shared" si="85"/>
        <v>0</v>
      </c>
      <c r="AA175" s="242"/>
      <c r="AB175" s="243"/>
      <c r="AC175" s="213">
        <f t="shared" si="86"/>
        <v>0</v>
      </c>
      <c r="AD175" s="143"/>
      <c r="AE175" s="244"/>
      <c r="AF175" s="245"/>
      <c r="AG175" s="216">
        <f t="shared" si="87"/>
        <v>0</v>
      </c>
      <c r="AH175" s="108"/>
    </row>
    <row r="176" spans="2:34" s="109" customFormat="1" ht="18" customHeight="1">
      <c r="B176" s="207">
        <v>3</v>
      </c>
      <c r="C176" s="208" t="s">
        <v>25</v>
      </c>
      <c r="D176" s="209"/>
      <c r="E176" s="210">
        <f>'BDI-TRIBUTOS'!D22</f>
        <v>6.4999999999999997E-3</v>
      </c>
      <c r="F176" s="242"/>
      <c r="G176" s="243"/>
      <c r="H176" s="213">
        <f t="shared" si="79"/>
        <v>0</v>
      </c>
      <c r="I176" s="242"/>
      <c r="J176" s="243"/>
      <c r="K176" s="213">
        <f t="shared" si="80"/>
        <v>0</v>
      </c>
      <c r="L176" s="242"/>
      <c r="M176" s="243"/>
      <c r="N176" s="213">
        <f t="shared" si="81"/>
        <v>0</v>
      </c>
      <c r="O176" s="242"/>
      <c r="P176" s="243"/>
      <c r="Q176" s="213">
        <f t="shared" si="82"/>
        <v>0</v>
      </c>
      <c r="R176" s="242"/>
      <c r="S176" s="243"/>
      <c r="T176" s="213">
        <f t="shared" si="83"/>
        <v>0</v>
      </c>
      <c r="U176" s="242"/>
      <c r="V176" s="243"/>
      <c r="W176" s="213">
        <f t="shared" si="84"/>
        <v>0</v>
      </c>
      <c r="X176" s="242"/>
      <c r="Y176" s="243"/>
      <c r="Z176" s="213">
        <f t="shared" si="85"/>
        <v>0</v>
      </c>
      <c r="AA176" s="242"/>
      <c r="AB176" s="243"/>
      <c r="AC176" s="213">
        <f t="shared" si="86"/>
        <v>0</v>
      </c>
      <c r="AD176" s="143"/>
      <c r="AE176" s="244"/>
      <c r="AF176" s="245"/>
      <c r="AG176" s="216">
        <f t="shared" si="87"/>
        <v>0</v>
      </c>
      <c r="AH176" s="108"/>
    </row>
    <row r="177" spans="2:34" s="109" customFormat="1" ht="18" customHeight="1">
      <c r="B177" s="207">
        <v>4</v>
      </c>
      <c r="C177" s="208" t="s">
        <v>26</v>
      </c>
      <c r="D177" s="209"/>
      <c r="E177" s="210">
        <f>'BDI-TRIBUTOS'!D23</f>
        <v>2.8799999999999999E-2</v>
      </c>
      <c r="F177" s="242"/>
      <c r="G177" s="243"/>
      <c r="H177" s="213">
        <f t="shared" si="79"/>
        <v>0</v>
      </c>
      <c r="I177" s="242"/>
      <c r="J177" s="243"/>
      <c r="K177" s="213">
        <f t="shared" si="80"/>
        <v>0</v>
      </c>
      <c r="L177" s="242"/>
      <c r="M177" s="243"/>
      <c r="N177" s="213">
        <f t="shared" si="81"/>
        <v>0</v>
      </c>
      <c r="O177" s="242"/>
      <c r="P177" s="243"/>
      <c r="Q177" s="213">
        <f t="shared" si="82"/>
        <v>0</v>
      </c>
      <c r="R177" s="242"/>
      <c r="S177" s="243"/>
      <c r="T177" s="213">
        <f t="shared" si="83"/>
        <v>0</v>
      </c>
      <c r="U177" s="242"/>
      <c r="V177" s="243"/>
      <c r="W177" s="213">
        <f t="shared" si="84"/>
        <v>0</v>
      </c>
      <c r="X177" s="242"/>
      <c r="Y177" s="243"/>
      <c r="Z177" s="213">
        <f t="shared" si="85"/>
        <v>0</v>
      </c>
      <c r="AA177" s="242"/>
      <c r="AB177" s="243"/>
      <c r="AC177" s="213">
        <f t="shared" si="86"/>
        <v>0</v>
      </c>
      <c r="AD177" s="143"/>
      <c r="AE177" s="244"/>
      <c r="AF177" s="245"/>
      <c r="AG177" s="216">
        <f t="shared" si="87"/>
        <v>0</v>
      </c>
      <c r="AH177" s="108"/>
    </row>
    <row r="178" spans="2:34" s="109" customFormat="1" ht="18" customHeight="1">
      <c r="B178" s="207">
        <v>5</v>
      </c>
      <c r="C178" s="208" t="s">
        <v>27</v>
      </c>
      <c r="D178" s="209"/>
      <c r="E178" s="210">
        <f>'BDI-TRIBUTOS'!D24</f>
        <v>4.8000000000000001E-2</v>
      </c>
      <c r="F178" s="242"/>
      <c r="G178" s="243"/>
      <c r="H178" s="213">
        <f t="shared" si="79"/>
        <v>0</v>
      </c>
      <c r="I178" s="242"/>
      <c r="J178" s="243"/>
      <c r="K178" s="213">
        <f t="shared" si="80"/>
        <v>0</v>
      </c>
      <c r="L178" s="242"/>
      <c r="M178" s="243"/>
      <c r="N178" s="213">
        <f t="shared" si="81"/>
        <v>0</v>
      </c>
      <c r="O178" s="242"/>
      <c r="P178" s="243"/>
      <c r="Q178" s="213">
        <f t="shared" si="82"/>
        <v>0</v>
      </c>
      <c r="R178" s="242"/>
      <c r="S178" s="243"/>
      <c r="T178" s="213">
        <f t="shared" si="83"/>
        <v>0</v>
      </c>
      <c r="U178" s="242"/>
      <c r="V178" s="243"/>
      <c r="W178" s="213">
        <f t="shared" si="84"/>
        <v>0</v>
      </c>
      <c r="X178" s="242"/>
      <c r="Y178" s="243"/>
      <c r="Z178" s="213">
        <f t="shared" si="85"/>
        <v>0</v>
      </c>
      <c r="AA178" s="242"/>
      <c r="AB178" s="243"/>
      <c r="AC178" s="213">
        <f t="shared" si="86"/>
        <v>0</v>
      </c>
      <c r="AD178" s="143"/>
      <c r="AE178" s="244"/>
      <c r="AF178" s="245"/>
      <c r="AG178" s="224">
        <f t="shared" si="87"/>
        <v>0</v>
      </c>
      <c r="AH178" s="108"/>
    </row>
    <row r="179" spans="2:34" s="109" customFormat="1" ht="18" customHeight="1">
      <c r="B179" s="207">
        <v>6</v>
      </c>
      <c r="C179" s="208" t="s">
        <v>138</v>
      </c>
      <c r="D179" s="209"/>
      <c r="E179" s="210">
        <f>'BDI-TRIBUTOS'!D25</f>
        <v>3.1800000000000002E-2</v>
      </c>
      <c r="F179" s="242"/>
      <c r="G179" s="243"/>
      <c r="H179" s="213">
        <f t="shared" si="79"/>
        <v>0</v>
      </c>
      <c r="I179" s="242"/>
      <c r="J179" s="243"/>
      <c r="K179" s="213">
        <f t="shared" si="80"/>
        <v>0</v>
      </c>
      <c r="L179" s="242"/>
      <c r="M179" s="243"/>
      <c r="N179" s="213">
        <f t="shared" si="81"/>
        <v>0</v>
      </c>
      <c r="O179" s="242"/>
      <c r="P179" s="243"/>
      <c r="Q179" s="213">
        <f t="shared" si="82"/>
        <v>0</v>
      </c>
      <c r="R179" s="242"/>
      <c r="S179" s="243"/>
      <c r="T179" s="213">
        <f t="shared" si="83"/>
        <v>0</v>
      </c>
      <c r="U179" s="242"/>
      <c r="V179" s="243"/>
      <c r="W179" s="213">
        <f t="shared" si="84"/>
        <v>0</v>
      </c>
      <c r="X179" s="242"/>
      <c r="Y179" s="243"/>
      <c r="Z179" s="213">
        <f t="shared" si="85"/>
        <v>0</v>
      </c>
      <c r="AA179" s="242"/>
      <c r="AB179" s="243"/>
      <c r="AC179" s="213">
        <f t="shared" si="86"/>
        <v>0</v>
      </c>
      <c r="AD179" s="143"/>
      <c r="AE179" s="244"/>
      <c r="AF179" s="245"/>
      <c r="AG179" s="224">
        <f t="shared" si="87"/>
        <v>0</v>
      </c>
      <c r="AH179" s="108"/>
    </row>
    <row r="180" spans="2:34" s="109" customFormat="1" ht="18" customHeight="1">
      <c r="B180" s="246">
        <v>7</v>
      </c>
      <c r="C180" s="225" t="s">
        <v>56</v>
      </c>
      <c r="D180" s="226"/>
      <c r="E180" s="210">
        <f>'BDI-TRIBUTOS'!D26</f>
        <v>0</v>
      </c>
      <c r="F180" s="247"/>
      <c r="G180" s="248"/>
      <c r="H180" s="230"/>
      <c r="I180" s="247"/>
      <c r="J180" s="248"/>
      <c r="K180" s="230"/>
      <c r="L180" s="247"/>
      <c r="M180" s="248"/>
      <c r="N180" s="230"/>
      <c r="O180" s="247"/>
      <c r="P180" s="248"/>
      <c r="Q180" s="230"/>
      <c r="R180" s="247"/>
      <c r="S180" s="248"/>
      <c r="T180" s="230"/>
      <c r="U180" s="247"/>
      <c r="V180" s="248"/>
      <c r="W180" s="230"/>
      <c r="X180" s="247"/>
      <c r="Y180" s="248"/>
      <c r="Z180" s="230"/>
      <c r="AA180" s="247"/>
      <c r="AB180" s="248"/>
      <c r="AC180" s="230"/>
      <c r="AD180" s="143"/>
      <c r="AE180" s="249"/>
      <c r="AF180" s="250"/>
      <c r="AG180" s="224"/>
      <c r="AH180" s="108"/>
    </row>
    <row r="181" spans="2:34" s="109" customFormat="1" ht="18" customHeight="1">
      <c r="B181" s="270"/>
      <c r="C181" s="271" t="s">
        <v>55</v>
      </c>
      <c r="D181" s="272"/>
      <c r="E181" s="280">
        <f>SUM(E174:E180)</f>
        <v>0.1951</v>
      </c>
      <c r="F181" s="281"/>
      <c r="G181" s="285"/>
      <c r="H181" s="276">
        <f>H182*$E$181</f>
        <v>0</v>
      </c>
      <c r="I181" s="281"/>
      <c r="J181" s="285"/>
      <c r="K181" s="276">
        <f>K182*$E$181</f>
        <v>0</v>
      </c>
      <c r="L181" s="281"/>
      <c r="M181" s="285"/>
      <c r="N181" s="276">
        <f>N182*$E$181</f>
        <v>0</v>
      </c>
      <c r="O181" s="281"/>
      <c r="P181" s="285"/>
      <c r="Q181" s="276">
        <f>Q182*$E$181</f>
        <v>0</v>
      </c>
      <c r="R181" s="281"/>
      <c r="S181" s="285"/>
      <c r="T181" s="276">
        <f>T182*$E$181</f>
        <v>0</v>
      </c>
      <c r="U181" s="281"/>
      <c r="V181" s="285"/>
      <c r="W181" s="276">
        <f>W182*$E$181</f>
        <v>0</v>
      </c>
      <c r="X181" s="281"/>
      <c r="Y181" s="285"/>
      <c r="Z181" s="276">
        <f>Z182*$E$181</f>
        <v>0</v>
      </c>
      <c r="AA181" s="281"/>
      <c r="AB181" s="285"/>
      <c r="AC181" s="276">
        <f>AC182*$E$181</f>
        <v>0</v>
      </c>
      <c r="AD181" s="124"/>
      <c r="AE181" s="286"/>
      <c r="AF181" s="287"/>
      <c r="AG181" s="276">
        <f>AG182*$E$181</f>
        <v>0</v>
      </c>
      <c r="AH181" s="108"/>
    </row>
    <row r="182" spans="2:34" s="109" customFormat="1" ht="27" customHeight="1" thickBot="1">
      <c r="B182" s="288"/>
      <c r="C182" s="690" t="s">
        <v>121</v>
      </c>
      <c r="D182" s="690"/>
      <c r="E182" s="690"/>
      <c r="F182" s="289">
        <f>ROUND(H182,2)</f>
        <v>0</v>
      </c>
      <c r="G182" s="290"/>
      <c r="H182" s="291">
        <f>G171/(1-$E$181-$E$170)</f>
        <v>0</v>
      </c>
      <c r="I182" s="289">
        <f>ROUND(K182,2)</f>
        <v>0</v>
      </c>
      <c r="J182" s="290"/>
      <c r="K182" s="291">
        <f>J171/(1-$E$181-$E$170)</f>
        <v>0</v>
      </c>
      <c r="L182" s="289">
        <f>ROUND(N182,2)</f>
        <v>0</v>
      </c>
      <c r="M182" s="290"/>
      <c r="N182" s="291">
        <f>M171/(1-$E$181-$E$170)</f>
        <v>0</v>
      </c>
      <c r="O182" s="289">
        <f>ROUND(Q182,2)</f>
        <v>0</v>
      </c>
      <c r="P182" s="290"/>
      <c r="Q182" s="291">
        <f>P171/(1-$E$181-$E$170)</f>
        <v>0</v>
      </c>
      <c r="R182" s="289">
        <f>ROUND(T182,2)</f>
        <v>0</v>
      </c>
      <c r="S182" s="290"/>
      <c r="T182" s="291">
        <f>S171/(1-$E$181-$E$170)</f>
        <v>0</v>
      </c>
      <c r="U182" s="289">
        <f>ROUND(W182,2)</f>
        <v>0</v>
      </c>
      <c r="V182" s="290"/>
      <c r="W182" s="291">
        <f>V171/(1-$E$181-$E$170)</f>
        <v>0</v>
      </c>
      <c r="X182" s="289">
        <f>ROUND(Z182,2)</f>
        <v>0</v>
      </c>
      <c r="Y182" s="290"/>
      <c r="Z182" s="291">
        <f>Y171/(1-$E$181-$E$170)</f>
        <v>0</v>
      </c>
      <c r="AA182" s="289">
        <f>ROUND(AC182,2)</f>
        <v>0</v>
      </c>
      <c r="AB182" s="290"/>
      <c r="AC182" s="291">
        <f>AB171/(1-$E$181-$E$170)</f>
        <v>0</v>
      </c>
      <c r="AD182" s="292"/>
      <c r="AE182" s="293"/>
      <c r="AF182" s="294"/>
      <c r="AG182" s="295">
        <f>AF171/(1-$E$181-$E$170)</f>
        <v>0</v>
      </c>
      <c r="AH182" s="108"/>
    </row>
    <row r="183" spans="2:34" s="251" customFormat="1" ht="20.25" customHeight="1">
      <c r="C183" s="747"/>
      <c r="D183" s="747"/>
      <c r="E183" s="747"/>
      <c r="F183" s="252"/>
      <c r="G183" s="252"/>
      <c r="H183" s="253" t="e">
        <f>H182/H162</f>
        <v>#DIV/0!</v>
      </c>
      <c r="I183" s="252"/>
      <c r="J183" s="252"/>
      <c r="K183" s="253" t="e">
        <f>K182/K162</f>
        <v>#DIV/0!</v>
      </c>
      <c r="L183" s="252"/>
      <c r="M183" s="252"/>
      <c r="N183" s="253" t="e">
        <f>N182/N162</f>
        <v>#DIV/0!</v>
      </c>
      <c r="O183" s="252"/>
      <c r="P183" s="252"/>
      <c r="Q183" s="253" t="e">
        <f>Q182/Q162</f>
        <v>#DIV/0!</v>
      </c>
      <c r="R183" s="252"/>
      <c r="S183" s="252"/>
      <c r="T183" s="253" t="e">
        <f>T182/T162</f>
        <v>#DIV/0!</v>
      </c>
      <c r="U183" s="252"/>
      <c r="V183" s="252"/>
      <c r="W183" s="253" t="e">
        <f>W182/W162</f>
        <v>#DIV/0!</v>
      </c>
      <c r="X183" s="252"/>
      <c r="Y183" s="252"/>
      <c r="Z183" s="253" t="e">
        <f>Z182/Z162</f>
        <v>#DIV/0!</v>
      </c>
      <c r="AA183" s="252"/>
      <c r="AB183" s="252"/>
      <c r="AC183" s="253" t="e">
        <f>AC182/AC162</f>
        <v>#DIV/0!</v>
      </c>
      <c r="AD183" s="253"/>
      <c r="AE183" s="253"/>
      <c r="AF183" s="253"/>
      <c r="AG183" s="253" t="e">
        <f>AG182/AG162</f>
        <v>#DIV/0!</v>
      </c>
      <c r="AH183" s="254"/>
    </row>
    <row r="184" spans="2:34" s="255" customFormat="1" ht="18" customHeight="1">
      <c r="AE184" s="256"/>
      <c r="AF184" s="256"/>
      <c r="AG184" s="256"/>
      <c r="AH184" s="257"/>
    </row>
    <row r="185" spans="2:34" s="255" customFormat="1" ht="18" customHeight="1">
      <c r="AE185" s="256"/>
      <c r="AF185" s="256"/>
      <c r="AG185" s="256"/>
      <c r="AH185" s="257"/>
    </row>
    <row r="186" spans="2:34" s="255" customFormat="1" ht="18" customHeight="1">
      <c r="AE186" s="256"/>
      <c r="AF186" s="256"/>
      <c r="AG186" s="256"/>
      <c r="AH186" s="257"/>
    </row>
    <row r="187" spans="2:34" s="255" customFormat="1" ht="18" customHeight="1">
      <c r="AE187" s="256"/>
      <c r="AF187" s="256"/>
      <c r="AG187" s="256"/>
      <c r="AH187" s="257"/>
    </row>
    <row r="188" spans="2:34" s="255" customFormat="1" ht="18" customHeight="1">
      <c r="AE188" s="256"/>
      <c r="AF188" s="256"/>
      <c r="AG188" s="256"/>
      <c r="AH188" s="257"/>
    </row>
  </sheetData>
  <sheetProtection selectLockedCells="1" selectUnlockedCells="1"/>
  <sortState xmlns:xlrd2="http://schemas.microsoft.com/office/spreadsheetml/2017/richdata2" ref="C83:E131">
    <sortCondition ref="C83:C131"/>
  </sortState>
  <mergeCells count="73">
    <mergeCell ref="AE1:AG1"/>
    <mergeCell ref="AE2:AG2"/>
    <mergeCell ref="AE3:AF3"/>
    <mergeCell ref="AE5:AG5"/>
    <mergeCell ref="X81:Z81"/>
    <mergeCell ref="X2:Z2"/>
    <mergeCell ref="Y1:Z1"/>
    <mergeCell ref="AB1:AC1"/>
    <mergeCell ref="AA2:AC2"/>
    <mergeCell ref="AA81:AC81"/>
    <mergeCell ref="I81:K81"/>
    <mergeCell ref="AE172:AG172"/>
    <mergeCell ref="AE81:AG81"/>
    <mergeCell ref="AE133:AG133"/>
    <mergeCell ref="AE163:AG163"/>
    <mergeCell ref="X172:Z172"/>
    <mergeCell ref="I172:K172"/>
    <mergeCell ref="X133:Z133"/>
    <mergeCell ref="I133:K133"/>
    <mergeCell ref="X163:Z163"/>
    <mergeCell ref="I163:K163"/>
    <mergeCell ref="L163:N163"/>
    <mergeCell ref="L172:N172"/>
    <mergeCell ref="R81:T81"/>
    <mergeCell ref="R133:T133"/>
    <mergeCell ref="R163:T163"/>
    <mergeCell ref="I2:K2"/>
    <mergeCell ref="B3:E3"/>
    <mergeCell ref="G1:H1"/>
    <mergeCell ref="B2:E2"/>
    <mergeCell ref="F2:H2"/>
    <mergeCell ref="J1:K1"/>
    <mergeCell ref="B1:C1"/>
    <mergeCell ref="M1:N1"/>
    <mergeCell ref="L2:N2"/>
    <mergeCell ref="V1:W1"/>
    <mergeCell ref="U2:W2"/>
    <mergeCell ref="P1:Q1"/>
    <mergeCell ref="O2:Q2"/>
    <mergeCell ref="S1:T1"/>
    <mergeCell ref="R2:T2"/>
    <mergeCell ref="B5:E5"/>
    <mergeCell ref="C164:D164"/>
    <mergeCell ref="F163:H163"/>
    <mergeCell ref="F133:H133"/>
    <mergeCell ref="B23:E23"/>
    <mergeCell ref="B24:E24"/>
    <mergeCell ref="B80:E80"/>
    <mergeCell ref="B81:E81"/>
    <mergeCell ref="C163:E163"/>
    <mergeCell ref="B132:E132"/>
    <mergeCell ref="B133:E133"/>
    <mergeCell ref="C157:D157"/>
    <mergeCell ref="B155:E155"/>
    <mergeCell ref="C183:E183"/>
    <mergeCell ref="C173:D173"/>
    <mergeCell ref="C182:E182"/>
    <mergeCell ref="F81:H81"/>
    <mergeCell ref="F172:H172"/>
    <mergeCell ref="R172:T172"/>
    <mergeCell ref="L81:N81"/>
    <mergeCell ref="L133:N133"/>
    <mergeCell ref="O81:Q81"/>
    <mergeCell ref="O133:Q133"/>
    <mergeCell ref="O163:Q163"/>
    <mergeCell ref="O172:Q172"/>
    <mergeCell ref="AA133:AC133"/>
    <mergeCell ref="AA163:AC163"/>
    <mergeCell ref="AA172:AC172"/>
    <mergeCell ref="U81:W81"/>
    <mergeCell ref="U133:W133"/>
    <mergeCell ref="U163:W163"/>
    <mergeCell ref="U172:W172"/>
  </mergeCells>
  <phoneticPr fontId="17" type="noConversion"/>
  <conditionalFormatting sqref="AH135:AH155 AH7:AH24 AH83:AH133 AH26:AH81">
    <cfRule type="dataBar" priority="317">
      <dataBar>
        <cfvo type="min"/>
        <cfvo type="max"/>
        <color rgb="FFFF555A"/>
      </dataBar>
      <extLst>
        <ext xmlns:x14="http://schemas.microsoft.com/office/spreadsheetml/2009/9/main" uri="{B025F937-C7B1-47D3-B67F-A62EFF666E3E}">
          <x14:id>{A0698483-E3EF-4232-9913-C22559677085}</x14:id>
        </ext>
      </extLst>
    </cfRule>
  </conditionalFormatting>
  <printOptions horizontalCentered="1"/>
  <pageMargins left="0.39000000000000007" right="0.39000000000000007" top="0.39000000000000007" bottom="0.39000000000000007" header="0.51" footer="0.51"/>
  <pageSetup paperSize="9"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A0698483-E3EF-4232-9913-C22559677085}">
            <x14:dataBar minLength="0" maxLength="100" border="1" negativeBarBorderColorSameAsPositive="0">
              <x14:cfvo type="autoMin"/>
              <x14:cfvo type="autoMax"/>
              <x14:borderColor rgb="FFFF555A"/>
              <x14:negativeFillColor rgb="FFFF0000"/>
              <x14:negativeBorderColor rgb="FFFF0000"/>
              <x14:axisColor rgb="FF000000"/>
            </x14:dataBar>
          </x14:cfRule>
          <xm:sqref>AH135:AH155 AH7:AH24 AH83:AH133 AH26:AH81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178F-0BA3-41E3-A980-BF3D93D5EA81}">
  <sheetPr>
    <pageSetUpPr fitToPage="1"/>
  </sheetPr>
  <dimension ref="B1:S188"/>
  <sheetViews>
    <sheetView showGridLines="0" zoomScale="80" zoomScaleNormal="80" zoomScaleSheetLayoutView="80" zoomScalePageLayoutView="125" workbookViewId="0">
      <pane xSplit="5" ySplit="4" topLeftCell="F155" activePane="bottomRight" state="frozen"/>
      <selection sqref="A1:A6"/>
      <selection pane="topRight" sqref="A1:A6"/>
      <selection pane="bottomLeft" sqref="A1:A6"/>
      <selection pane="bottomRight" activeCell="O171" sqref="O171"/>
    </sheetView>
  </sheetViews>
  <sheetFormatPr defaultColWidth="8.7109375" defaultRowHeight="18" customHeight="1" outlineLevelRow="1"/>
  <cols>
    <col min="1" max="1" width="0.85546875" style="111" customWidth="1"/>
    <col min="2" max="2" width="8.140625" style="111" customWidth="1"/>
    <col min="3" max="3" width="42.28515625" style="111" customWidth="1"/>
    <col min="4" max="4" width="11" style="111" customWidth="1"/>
    <col min="5" max="5" width="13.85546875" style="111" customWidth="1"/>
    <col min="6" max="6" width="11.28515625" style="111" customWidth="1"/>
    <col min="7" max="7" width="10.7109375" style="111" customWidth="1"/>
    <col min="8" max="8" width="14" style="111" bestFit="1" customWidth="1"/>
    <col min="9" max="9" width="13.140625" style="111" customWidth="1"/>
    <col min="10" max="10" width="10.7109375" style="111" customWidth="1"/>
    <col min="11" max="11" width="14" style="111" bestFit="1" customWidth="1"/>
    <col min="12" max="12" width="5.85546875" style="111" customWidth="1"/>
    <col min="13" max="14" width="14.42578125" style="256" customWidth="1"/>
    <col min="15" max="15" width="17.28515625" style="256" customWidth="1"/>
    <col min="16" max="16" width="16" style="108" customWidth="1"/>
    <col min="17" max="18" width="8.7109375" style="111"/>
    <col min="19" max="19" width="14.7109375" style="111" customWidth="1"/>
    <col min="20" max="150" width="8.7109375" style="111"/>
    <col min="151" max="151" width="3.42578125" style="111" customWidth="1"/>
    <col min="152" max="152" width="7" style="111" customWidth="1"/>
    <col min="153" max="153" width="25.42578125" style="111" customWidth="1"/>
    <col min="154" max="154" width="12" style="111" customWidth="1"/>
    <col min="155" max="155" width="12.7109375" style="111" bestFit="1" customWidth="1"/>
    <col min="156" max="156" width="7.42578125" style="111" bestFit="1" customWidth="1"/>
    <col min="157" max="157" width="7.7109375" style="111" bestFit="1" customWidth="1"/>
    <col min="158" max="158" width="15" style="111" customWidth="1"/>
    <col min="159" max="159" width="7.42578125" style="111" bestFit="1" customWidth="1"/>
    <col min="160" max="160" width="7.7109375" style="111" bestFit="1" customWidth="1"/>
    <col min="161" max="161" width="15" style="111" bestFit="1" customWidth="1"/>
    <col min="162" max="162" width="7.42578125" style="111" bestFit="1" customWidth="1"/>
    <col min="163" max="163" width="7.7109375" style="111" bestFit="1" customWidth="1"/>
    <col min="164" max="164" width="9.42578125" style="111" bestFit="1" customWidth="1"/>
    <col min="165" max="165" width="8" style="111" bestFit="1" customWidth="1"/>
    <col min="166" max="166" width="7.7109375" style="111" bestFit="1" customWidth="1"/>
    <col min="167" max="167" width="10.42578125" style="111" bestFit="1" customWidth="1"/>
    <col min="168" max="168" width="8" style="111" bestFit="1" customWidth="1"/>
    <col min="169" max="169" width="7.7109375" style="111" bestFit="1" customWidth="1"/>
    <col min="170" max="170" width="10.42578125" style="111" bestFit="1" customWidth="1"/>
    <col min="171" max="171" width="7.42578125" style="111" bestFit="1" customWidth="1"/>
    <col min="172" max="172" width="7.7109375" style="111" bestFit="1" customWidth="1"/>
    <col min="173" max="173" width="10.42578125" style="111" bestFit="1" customWidth="1"/>
    <col min="174" max="174" width="8" style="111" bestFit="1" customWidth="1"/>
    <col min="175" max="175" width="7.7109375" style="111" bestFit="1" customWidth="1"/>
    <col min="176" max="176" width="10.42578125" style="111" bestFit="1" customWidth="1"/>
    <col min="177" max="177" width="7.42578125" style="111" bestFit="1" customWidth="1"/>
    <col min="178" max="178" width="7.7109375" style="111" bestFit="1" customWidth="1"/>
    <col min="179" max="179" width="10.42578125" style="111" bestFit="1" customWidth="1"/>
    <col min="180" max="180" width="7.42578125" style="111" bestFit="1" customWidth="1"/>
    <col min="181" max="181" width="7.7109375" style="111" bestFit="1" customWidth="1"/>
    <col min="182" max="182" width="10.42578125" style="111" bestFit="1" customWidth="1"/>
    <col min="183" max="183" width="5.140625" style="111" customWidth="1"/>
    <col min="184" max="406" width="8.7109375" style="111"/>
    <col min="407" max="407" width="3.42578125" style="111" customWidth="1"/>
    <col min="408" max="408" width="7" style="111" customWidth="1"/>
    <col min="409" max="409" width="25.42578125" style="111" customWidth="1"/>
    <col min="410" max="410" width="12" style="111" customWidth="1"/>
    <col min="411" max="411" width="12.7109375" style="111" bestFit="1" customWidth="1"/>
    <col min="412" max="412" width="7.42578125" style="111" bestFit="1" customWidth="1"/>
    <col min="413" max="413" width="7.7109375" style="111" bestFit="1" customWidth="1"/>
    <col min="414" max="414" width="15" style="111" customWidth="1"/>
    <col min="415" max="415" width="7.42578125" style="111" bestFit="1" customWidth="1"/>
    <col min="416" max="416" width="7.7109375" style="111" bestFit="1" customWidth="1"/>
    <col min="417" max="417" width="15" style="111" bestFit="1" customWidth="1"/>
    <col min="418" max="418" width="7.42578125" style="111" bestFit="1" customWidth="1"/>
    <col min="419" max="419" width="7.7109375" style="111" bestFit="1" customWidth="1"/>
    <col min="420" max="420" width="9.42578125" style="111" bestFit="1" customWidth="1"/>
    <col min="421" max="421" width="8" style="111" bestFit="1" customWidth="1"/>
    <col min="422" max="422" width="7.7109375" style="111" bestFit="1" customWidth="1"/>
    <col min="423" max="423" width="10.42578125" style="111" bestFit="1" customWidth="1"/>
    <col min="424" max="424" width="8" style="111" bestFit="1" customWidth="1"/>
    <col min="425" max="425" width="7.7109375" style="111" bestFit="1" customWidth="1"/>
    <col min="426" max="426" width="10.42578125" style="111" bestFit="1" customWidth="1"/>
    <col min="427" max="427" width="7.42578125" style="111" bestFit="1" customWidth="1"/>
    <col min="428" max="428" width="7.7109375" style="111" bestFit="1" customWidth="1"/>
    <col min="429" max="429" width="10.42578125" style="111" bestFit="1" customWidth="1"/>
    <col min="430" max="430" width="8" style="111" bestFit="1" customWidth="1"/>
    <col min="431" max="431" width="7.7109375" style="111" bestFit="1" customWidth="1"/>
    <col min="432" max="432" width="10.42578125" style="111" bestFit="1" customWidth="1"/>
    <col min="433" max="433" width="7.42578125" style="111" bestFit="1" customWidth="1"/>
    <col min="434" max="434" width="7.7109375" style="111" bestFit="1" customWidth="1"/>
    <col min="435" max="435" width="10.42578125" style="111" bestFit="1" customWidth="1"/>
    <col min="436" max="436" width="7.42578125" style="111" bestFit="1" customWidth="1"/>
    <col min="437" max="437" width="7.7109375" style="111" bestFit="1" customWidth="1"/>
    <col min="438" max="438" width="10.42578125" style="111" bestFit="1" customWidth="1"/>
    <col min="439" max="439" width="5.140625" style="111" customWidth="1"/>
    <col min="440" max="662" width="8.7109375" style="111"/>
    <col min="663" max="663" width="3.42578125" style="111" customWidth="1"/>
    <col min="664" max="664" width="7" style="111" customWidth="1"/>
    <col min="665" max="665" width="25.42578125" style="111" customWidth="1"/>
    <col min="666" max="666" width="12" style="111" customWidth="1"/>
    <col min="667" max="667" width="12.7109375" style="111" bestFit="1" customWidth="1"/>
    <col min="668" max="668" width="7.42578125" style="111" bestFit="1" customWidth="1"/>
    <col min="669" max="669" width="7.7109375" style="111" bestFit="1" customWidth="1"/>
    <col min="670" max="670" width="15" style="111" customWidth="1"/>
    <col min="671" max="671" width="7.42578125" style="111" bestFit="1" customWidth="1"/>
    <col min="672" max="672" width="7.7109375" style="111" bestFit="1" customWidth="1"/>
    <col min="673" max="673" width="15" style="111" bestFit="1" customWidth="1"/>
    <col min="674" max="674" width="7.42578125" style="111" bestFit="1" customWidth="1"/>
    <col min="675" max="675" width="7.7109375" style="111" bestFit="1" customWidth="1"/>
    <col min="676" max="676" width="9.42578125" style="111" bestFit="1" customWidth="1"/>
    <col min="677" max="677" width="8" style="111" bestFit="1" customWidth="1"/>
    <col min="678" max="678" width="7.7109375" style="111" bestFit="1" customWidth="1"/>
    <col min="679" max="679" width="10.42578125" style="111" bestFit="1" customWidth="1"/>
    <col min="680" max="680" width="8" style="111" bestFit="1" customWidth="1"/>
    <col min="681" max="681" width="7.7109375" style="111" bestFit="1" customWidth="1"/>
    <col min="682" max="682" width="10.42578125" style="111" bestFit="1" customWidth="1"/>
    <col min="683" max="683" width="7.42578125" style="111" bestFit="1" customWidth="1"/>
    <col min="684" max="684" width="7.7109375" style="111" bestFit="1" customWidth="1"/>
    <col min="685" max="685" width="10.42578125" style="111" bestFit="1" customWidth="1"/>
    <col min="686" max="686" width="8" style="111" bestFit="1" customWidth="1"/>
    <col min="687" max="687" width="7.7109375" style="111" bestFit="1" customWidth="1"/>
    <col min="688" max="688" width="10.42578125" style="111" bestFit="1" customWidth="1"/>
    <col min="689" max="689" width="7.42578125" style="111" bestFit="1" customWidth="1"/>
    <col min="690" max="690" width="7.7109375" style="111" bestFit="1" customWidth="1"/>
    <col min="691" max="691" width="10.42578125" style="111" bestFit="1" customWidth="1"/>
    <col min="692" max="692" width="7.42578125" style="111" bestFit="1" customWidth="1"/>
    <col min="693" max="693" width="7.7109375" style="111" bestFit="1" customWidth="1"/>
    <col min="694" max="694" width="10.42578125" style="111" bestFit="1" customWidth="1"/>
    <col min="695" max="695" width="5.140625" style="111" customWidth="1"/>
    <col min="696" max="918" width="8.7109375" style="111"/>
    <col min="919" max="919" width="3.42578125" style="111" customWidth="1"/>
    <col min="920" max="920" width="7" style="111" customWidth="1"/>
    <col min="921" max="921" width="25.42578125" style="111" customWidth="1"/>
    <col min="922" max="922" width="12" style="111" customWidth="1"/>
    <col min="923" max="923" width="12.7109375" style="111" bestFit="1" customWidth="1"/>
    <col min="924" max="924" width="7.42578125" style="111" bestFit="1" customWidth="1"/>
    <col min="925" max="925" width="7.7109375" style="111" bestFit="1" customWidth="1"/>
    <col min="926" max="926" width="15" style="111" customWidth="1"/>
    <col min="927" max="927" width="7.42578125" style="111" bestFit="1" customWidth="1"/>
    <col min="928" max="928" width="7.7109375" style="111" bestFit="1" customWidth="1"/>
    <col min="929" max="929" width="15" style="111" bestFit="1" customWidth="1"/>
    <col min="930" max="930" width="7.42578125" style="111" bestFit="1" customWidth="1"/>
    <col min="931" max="931" width="7.7109375" style="111" bestFit="1" customWidth="1"/>
    <col min="932" max="932" width="9.42578125" style="111" bestFit="1" customWidth="1"/>
    <col min="933" max="933" width="8" style="111" bestFit="1" customWidth="1"/>
    <col min="934" max="934" width="7.7109375" style="111" bestFit="1" customWidth="1"/>
    <col min="935" max="935" width="10.42578125" style="111" bestFit="1" customWidth="1"/>
    <col min="936" max="936" width="8" style="111" bestFit="1" customWidth="1"/>
    <col min="937" max="937" width="7.7109375" style="111" bestFit="1" customWidth="1"/>
    <col min="938" max="938" width="10.42578125" style="111" bestFit="1" customWidth="1"/>
    <col min="939" max="939" width="7.42578125" style="111" bestFit="1" customWidth="1"/>
    <col min="940" max="940" width="7.7109375" style="111" bestFit="1" customWidth="1"/>
    <col min="941" max="941" width="10.42578125" style="111" bestFit="1" customWidth="1"/>
    <col min="942" max="942" width="8" style="111" bestFit="1" customWidth="1"/>
    <col min="943" max="943" width="7.7109375" style="111" bestFit="1" customWidth="1"/>
    <col min="944" max="944" width="10.42578125" style="111" bestFit="1" customWidth="1"/>
    <col min="945" max="945" width="7.42578125" style="111" bestFit="1" customWidth="1"/>
    <col min="946" max="946" width="7.7109375" style="111" bestFit="1" customWidth="1"/>
    <col min="947" max="947" width="10.42578125" style="111" bestFit="1" customWidth="1"/>
    <col min="948" max="948" width="7.42578125" style="111" bestFit="1" customWidth="1"/>
    <col min="949" max="949" width="7.7109375" style="111" bestFit="1" customWidth="1"/>
    <col min="950" max="950" width="10.42578125" style="111" bestFit="1" customWidth="1"/>
    <col min="951" max="951" width="5.140625" style="111" customWidth="1"/>
    <col min="952" max="1174" width="8.7109375" style="111"/>
    <col min="1175" max="1175" width="3.42578125" style="111" customWidth="1"/>
    <col min="1176" max="1176" width="7" style="111" customWidth="1"/>
    <col min="1177" max="1177" width="25.42578125" style="111" customWidth="1"/>
    <col min="1178" max="1178" width="12" style="111" customWidth="1"/>
    <col min="1179" max="1179" width="12.7109375" style="111" bestFit="1" customWidth="1"/>
    <col min="1180" max="1180" width="7.42578125" style="111" bestFit="1" customWidth="1"/>
    <col min="1181" max="1181" width="7.7109375" style="111" bestFit="1" customWidth="1"/>
    <col min="1182" max="1182" width="15" style="111" customWidth="1"/>
    <col min="1183" max="1183" width="7.42578125" style="111" bestFit="1" customWidth="1"/>
    <col min="1184" max="1184" width="7.7109375" style="111" bestFit="1" customWidth="1"/>
    <col min="1185" max="1185" width="15" style="111" bestFit="1" customWidth="1"/>
    <col min="1186" max="1186" width="7.42578125" style="111" bestFit="1" customWidth="1"/>
    <col min="1187" max="1187" width="7.7109375" style="111" bestFit="1" customWidth="1"/>
    <col min="1188" max="1188" width="9.42578125" style="111" bestFit="1" customWidth="1"/>
    <col min="1189" max="1189" width="8" style="111" bestFit="1" customWidth="1"/>
    <col min="1190" max="1190" width="7.7109375" style="111" bestFit="1" customWidth="1"/>
    <col min="1191" max="1191" width="10.42578125" style="111" bestFit="1" customWidth="1"/>
    <col min="1192" max="1192" width="8" style="111" bestFit="1" customWidth="1"/>
    <col min="1193" max="1193" width="7.7109375" style="111" bestFit="1" customWidth="1"/>
    <col min="1194" max="1194" width="10.42578125" style="111" bestFit="1" customWidth="1"/>
    <col min="1195" max="1195" width="7.42578125" style="111" bestFit="1" customWidth="1"/>
    <col min="1196" max="1196" width="7.7109375" style="111" bestFit="1" customWidth="1"/>
    <col min="1197" max="1197" width="10.42578125" style="111" bestFit="1" customWidth="1"/>
    <col min="1198" max="1198" width="8" style="111" bestFit="1" customWidth="1"/>
    <col min="1199" max="1199" width="7.7109375" style="111" bestFit="1" customWidth="1"/>
    <col min="1200" max="1200" width="10.42578125" style="111" bestFit="1" customWidth="1"/>
    <col min="1201" max="1201" width="7.42578125" style="111" bestFit="1" customWidth="1"/>
    <col min="1202" max="1202" width="7.7109375" style="111" bestFit="1" customWidth="1"/>
    <col min="1203" max="1203" width="10.42578125" style="111" bestFit="1" customWidth="1"/>
    <col min="1204" max="1204" width="7.42578125" style="111" bestFit="1" customWidth="1"/>
    <col min="1205" max="1205" width="7.7109375" style="111" bestFit="1" customWidth="1"/>
    <col min="1206" max="1206" width="10.42578125" style="111" bestFit="1" customWidth="1"/>
    <col min="1207" max="1207" width="5.140625" style="111" customWidth="1"/>
    <col min="1208" max="1430" width="8.7109375" style="111"/>
    <col min="1431" max="1431" width="3.42578125" style="111" customWidth="1"/>
    <col min="1432" max="1432" width="7" style="111" customWidth="1"/>
    <col min="1433" max="1433" width="25.42578125" style="111" customWidth="1"/>
    <col min="1434" max="1434" width="12" style="111" customWidth="1"/>
    <col min="1435" max="1435" width="12.7109375" style="111" bestFit="1" customWidth="1"/>
    <col min="1436" max="1436" width="7.42578125" style="111" bestFit="1" customWidth="1"/>
    <col min="1437" max="1437" width="7.7109375" style="111" bestFit="1" customWidth="1"/>
    <col min="1438" max="1438" width="15" style="111" customWidth="1"/>
    <col min="1439" max="1439" width="7.42578125" style="111" bestFit="1" customWidth="1"/>
    <col min="1440" max="1440" width="7.7109375" style="111" bestFit="1" customWidth="1"/>
    <col min="1441" max="1441" width="15" style="111" bestFit="1" customWidth="1"/>
    <col min="1442" max="1442" width="7.42578125" style="111" bestFit="1" customWidth="1"/>
    <col min="1443" max="1443" width="7.7109375" style="111" bestFit="1" customWidth="1"/>
    <col min="1444" max="1444" width="9.42578125" style="111" bestFit="1" customWidth="1"/>
    <col min="1445" max="1445" width="8" style="111" bestFit="1" customWidth="1"/>
    <col min="1446" max="1446" width="7.7109375" style="111" bestFit="1" customWidth="1"/>
    <col min="1447" max="1447" width="10.42578125" style="111" bestFit="1" customWidth="1"/>
    <col min="1448" max="1448" width="8" style="111" bestFit="1" customWidth="1"/>
    <col min="1449" max="1449" width="7.7109375" style="111" bestFit="1" customWidth="1"/>
    <col min="1450" max="1450" width="10.42578125" style="111" bestFit="1" customWidth="1"/>
    <col min="1451" max="1451" width="7.42578125" style="111" bestFit="1" customWidth="1"/>
    <col min="1452" max="1452" width="7.7109375" style="111" bestFit="1" customWidth="1"/>
    <col min="1453" max="1453" width="10.42578125" style="111" bestFit="1" customWidth="1"/>
    <col min="1454" max="1454" width="8" style="111" bestFit="1" customWidth="1"/>
    <col min="1455" max="1455" width="7.7109375" style="111" bestFit="1" customWidth="1"/>
    <col min="1456" max="1456" width="10.42578125" style="111" bestFit="1" customWidth="1"/>
    <col min="1457" max="1457" width="7.42578125" style="111" bestFit="1" customWidth="1"/>
    <col min="1458" max="1458" width="7.7109375" style="111" bestFit="1" customWidth="1"/>
    <col min="1459" max="1459" width="10.42578125" style="111" bestFit="1" customWidth="1"/>
    <col min="1460" max="1460" width="7.42578125" style="111" bestFit="1" customWidth="1"/>
    <col min="1461" max="1461" width="7.7109375" style="111" bestFit="1" customWidth="1"/>
    <col min="1462" max="1462" width="10.42578125" style="111" bestFit="1" customWidth="1"/>
    <col min="1463" max="1463" width="5.140625" style="111" customWidth="1"/>
    <col min="1464" max="1686" width="8.7109375" style="111"/>
    <col min="1687" max="1687" width="3.42578125" style="111" customWidth="1"/>
    <col min="1688" max="1688" width="7" style="111" customWidth="1"/>
    <col min="1689" max="1689" width="25.42578125" style="111" customWidth="1"/>
    <col min="1690" max="1690" width="12" style="111" customWidth="1"/>
    <col min="1691" max="1691" width="12.7109375" style="111" bestFit="1" customWidth="1"/>
    <col min="1692" max="1692" width="7.42578125" style="111" bestFit="1" customWidth="1"/>
    <col min="1693" max="1693" width="7.7109375" style="111" bestFit="1" customWidth="1"/>
    <col min="1694" max="1694" width="15" style="111" customWidth="1"/>
    <col min="1695" max="1695" width="7.42578125" style="111" bestFit="1" customWidth="1"/>
    <col min="1696" max="1696" width="7.7109375" style="111" bestFit="1" customWidth="1"/>
    <col min="1697" max="1697" width="15" style="111" bestFit="1" customWidth="1"/>
    <col min="1698" max="1698" width="7.42578125" style="111" bestFit="1" customWidth="1"/>
    <col min="1699" max="1699" width="7.7109375" style="111" bestFit="1" customWidth="1"/>
    <col min="1700" max="1700" width="9.42578125" style="111" bestFit="1" customWidth="1"/>
    <col min="1701" max="1701" width="8" style="111" bestFit="1" customWidth="1"/>
    <col min="1702" max="1702" width="7.7109375" style="111" bestFit="1" customWidth="1"/>
    <col min="1703" max="1703" width="10.42578125" style="111" bestFit="1" customWidth="1"/>
    <col min="1704" max="1704" width="8" style="111" bestFit="1" customWidth="1"/>
    <col min="1705" max="1705" width="7.7109375" style="111" bestFit="1" customWidth="1"/>
    <col min="1706" max="1706" width="10.42578125" style="111" bestFit="1" customWidth="1"/>
    <col min="1707" max="1707" width="7.42578125" style="111" bestFit="1" customWidth="1"/>
    <col min="1708" max="1708" width="7.7109375" style="111" bestFit="1" customWidth="1"/>
    <col min="1709" max="1709" width="10.42578125" style="111" bestFit="1" customWidth="1"/>
    <col min="1710" max="1710" width="8" style="111" bestFit="1" customWidth="1"/>
    <col min="1711" max="1711" width="7.7109375" style="111" bestFit="1" customWidth="1"/>
    <col min="1712" max="1712" width="10.42578125" style="111" bestFit="1" customWidth="1"/>
    <col min="1713" max="1713" width="7.42578125" style="111" bestFit="1" customWidth="1"/>
    <col min="1714" max="1714" width="7.7109375" style="111" bestFit="1" customWidth="1"/>
    <col min="1715" max="1715" width="10.42578125" style="111" bestFit="1" customWidth="1"/>
    <col min="1716" max="1716" width="7.42578125" style="111" bestFit="1" customWidth="1"/>
    <col min="1717" max="1717" width="7.7109375" style="111" bestFit="1" customWidth="1"/>
    <col min="1718" max="1718" width="10.42578125" style="111" bestFit="1" customWidth="1"/>
    <col min="1719" max="1719" width="5.140625" style="111" customWidth="1"/>
    <col min="1720" max="1942" width="8.7109375" style="111"/>
    <col min="1943" max="1943" width="3.42578125" style="111" customWidth="1"/>
    <col min="1944" max="1944" width="7" style="111" customWidth="1"/>
    <col min="1945" max="1945" width="25.42578125" style="111" customWidth="1"/>
    <col min="1946" max="1946" width="12" style="111" customWidth="1"/>
    <col min="1947" max="1947" width="12.7109375" style="111" bestFit="1" customWidth="1"/>
    <col min="1948" max="1948" width="7.42578125" style="111" bestFit="1" customWidth="1"/>
    <col min="1949" max="1949" width="7.7109375" style="111" bestFit="1" customWidth="1"/>
    <col min="1950" max="1950" width="15" style="111" customWidth="1"/>
    <col min="1951" max="1951" width="7.42578125" style="111" bestFit="1" customWidth="1"/>
    <col min="1952" max="1952" width="7.7109375" style="111" bestFit="1" customWidth="1"/>
    <col min="1953" max="1953" width="15" style="111" bestFit="1" customWidth="1"/>
    <col min="1954" max="1954" width="7.42578125" style="111" bestFit="1" customWidth="1"/>
    <col min="1955" max="1955" width="7.7109375" style="111" bestFit="1" customWidth="1"/>
    <col min="1956" max="1956" width="9.42578125" style="111" bestFit="1" customWidth="1"/>
    <col min="1957" max="1957" width="8" style="111" bestFit="1" customWidth="1"/>
    <col min="1958" max="1958" width="7.7109375" style="111" bestFit="1" customWidth="1"/>
    <col min="1959" max="1959" width="10.42578125" style="111" bestFit="1" customWidth="1"/>
    <col min="1960" max="1960" width="8" style="111" bestFit="1" customWidth="1"/>
    <col min="1961" max="1961" width="7.7109375" style="111" bestFit="1" customWidth="1"/>
    <col min="1962" max="1962" width="10.42578125" style="111" bestFit="1" customWidth="1"/>
    <col min="1963" max="1963" width="7.42578125" style="111" bestFit="1" customWidth="1"/>
    <col min="1964" max="1964" width="7.7109375" style="111" bestFit="1" customWidth="1"/>
    <col min="1965" max="1965" width="10.42578125" style="111" bestFit="1" customWidth="1"/>
    <col min="1966" max="1966" width="8" style="111" bestFit="1" customWidth="1"/>
    <col min="1967" max="1967" width="7.7109375" style="111" bestFit="1" customWidth="1"/>
    <col min="1968" max="1968" width="10.42578125" style="111" bestFit="1" customWidth="1"/>
    <col min="1969" max="1969" width="7.42578125" style="111" bestFit="1" customWidth="1"/>
    <col min="1970" max="1970" width="7.7109375" style="111" bestFit="1" customWidth="1"/>
    <col min="1971" max="1971" width="10.42578125" style="111" bestFit="1" customWidth="1"/>
    <col min="1972" max="1972" width="7.42578125" style="111" bestFit="1" customWidth="1"/>
    <col min="1973" max="1973" width="7.7109375" style="111" bestFit="1" customWidth="1"/>
    <col min="1974" max="1974" width="10.42578125" style="111" bestFit="1" customWidth="1"/>
    <col min="1975" max="1975" width="5.140625" style="111" customWidth="1"/>
    <col min="1976" max="2198" width="8.7109375" style="111"/>
    <col min="2199" max="2199" width="3.42578125" style="111" customWidth="1"/>
    <col min="2200" max="2200" width="7" style="111" customWidth="1"/>
    <col min="2201" max="2201" width="25.42578125" style="111" customWidth="1"/>
    <col min="2202" max="2202" width="12" style="111" customWidth="1"/>
    <col min="2203" max="2203" width="12.7109375" style="111" bestFit="1" customWidth="1"/>
    <col min="2204" max="2204" width="7.42578125" style="111" bestFit="1" customWidth="1"/>
    <col min="2205" max="2205" width="7.7109375" style="111" bestFit="1" customWidth="1"/>
    <col min="2206" max="2206" width="15" style="111" customWidth="1"/>
    <col min="2207" max="2207" width="7.42578125" style="111" bestFit="1" customWidth="1"/>
    <col min="2208" max="2208" width="7.7109375" style="111" bestFit="1" customWidth="1"/>
    <col min="2209" max="2209" width="15" style="111" bestFit="1" customWidth="1"/>
    <col min="2210" max="2210" width="7.42578125" style="111" bestFit="1" customWidth="1"/>
    <col min="2211" max="2211" width="7.7109375" style="111" bestFit="1" customWidth="1"/>
    <col min="2212" max="2212" width="9.42578125" style="111" bestFit="1" customWidth="1"/>
    <col min="2213" max="2213" width="8" style="111" bestFit="1" customWidth="1"/>
    <col min="2214" max="2214" width="7.7109375" style="111" bestFit="1" customWidth="1"/>
    <col min="2215" max="2215" width="10.42578125" style="111" bestFit="1" customWidth="1"/>
    <col min="2216" max="2216" width="8" style="111" bestFit="1" customWidth="1"/>
    <col min="2217" max="2217" width="7.7109375" style="111" bestFit="1" customWidth="1"/>
    <col min="2218" max="2218" width="10.42578125" style="111" bestFit="1" customWidth="1"/>
    <col min="2219" max="2219" width="7.42578125" style="111" bestFit="1" customWidth="1"/>
    <col min="2220" max="2220" width="7.7109375" style="111" bestFit="1" customWidth="1"/>
    <col min="2221" max="2221" width="10.42578125" style="111" bestFit="1" customWidth="1"/>
    <col min="2222" max="2222" width="8" style="111" bestFit="1" customWidth="1"/>
    <col min="2223" max="2223" width="7.7109375" style="111" bestFit="1" customWidth="1"/>
    <col min="2224" max="2224" width="10.42578125" style="111" bestFit="1" customWidth="1"/>
    <col min="2225" max="2225" width="7.42578125" style="111" bestFit="1" customWidth="1"/>
    <col min="2226" max="2226" width="7.7109375" style="111" bestFit="1" customWidth="1"/>
    <col min="2227" max="2227" width="10.42578125" style="111" bestFit="1" customWidth="1"/>
    <col min="2228" max="2228" width="7.42578125" style="111" bestFit="1" customWidth="1"/>
    <col min="2229" max="2229" width="7.7109375" style="111" bestFit="1" customWidth="1"/>
    <col min="2230" max="2230" width="10.42578125" style="111" bestFit="1" customWidth="1"/>
    <col min="2231" max="2231" width="5.140625" style="111" customWidth="1"/>
    <col min="2232" max="2454" width="8.7109375" style="111"/>
    <col min="2455" max="2455" width="3.42578125" style="111" customWidth="1"/>
    <col min="2456" max="2456" width="7" style="111" customWidth="1"/>
    <col min="2457" max="2457" width="25.42578125" style="111" customWidth="1"/>
    <col min="2458" max="2458" width="12" style="111" customWidth="1"/>
    <col min="2459" max="2459" width="12.7109375" style="111" bestFit="1" customWidth="1"/>
    <col min="2460" max="2460" width="7.42578125" style="111" bestFit="1" customWidth="1"/>
    <col min="2461" max="2461" width="7.7109375" style="111" bestFit="1" customWidth="1"/>
    <col min="2462" max="2462" width="15" style="111" customWidth="1"/>
    <col min="2463" max="2463" width="7.42578125" style="111" bestFit="1" customWidth="1"/>
    <col min="2464" max="2464" width="7.7109375" style="111" bestFit="1" customWidth="1"/>
    <col min="2465" max="2465" width="15" style="111" bestFit="1" customWidth="1"/>
    <col min="2466" max="2466" width="7.42578125" style="111" bestFit="1" customWidth="1"/>
    <col min="2467" max="2467" width="7.7109375" style="111" bestFit="1" customWidth="1"/>
    <col min="2468" max="2468" width="9.42578125" style="111" bestFit="1" customWidth="1"/>
    <col min="2469" max="2469" width="8" style="111" bestFit="1" customWidth="1"/>
    <col min="2470" max="2470" width="7.7109375" style="111" bestFit="1" customWidth="1"/>
    <col min="2471" max="2471" width="10.42578125" style="111" bestFit="1" customWidth="1"/>
    <col min="2472" max="2472" width="8" style="111" bestFit="1" customWidth="1"/>
    <col min="2473" max="2473" width="7.7109375" style="111" bestFit="1" customWidth="1"/>
    <col min="2474" max="2474" width="10.42578125" style="111" bestFit="1" customWidth="1"/>
    <col min="2475" max="2475" width="7.42578125" style="111" bestFit="1" customWidth="1"/>
    <col min="2476" max="2476" width="7.7109375" style="111" bestFit="1" customWidth="1"/>
    <col min="2477" max="2477" width="10.42578125" style="111" bestFit="1" customWidth="1"/>
    <col min="2478" max="2478" width="8" style="111" bestFit="1" customWidth="1"/>
    <col min="2479" max="2479" width="7.7109375" style="111" bestFit="1" customWidth="1"/>
    <col min="2480" max="2480" width="10.42578125" style="111" bestFit="1" customWidth="1"/>
    <col min="2481" max="2481" width="7.42578125" style="111" bestFit="1" customWidth="1"/>
    <col min="2482" max="2482" width="7.7109375" style="111" bestFit="1" customWidth="1"/>
    <col min="2483" max="2483" width="10.42578125" style="111" bestFit="1" customWidth="1"/>
    <col min="2484" max="2484" width="7.42578125" style="111" bestFit="1" customWidth="1"/>
    <col min="2485" max="2485" width="7.7109375" style="111" bestFit="1" customWidth="1"/>
    <col min="2486" max="2486" width="10.42578125" style="111" bestFit="1" customWidth="1"/>
    <col min="2487" max="2487" width="5.140625" style="111" customWidth="1"/>
    <col min="2488" max="2710" width="8.7109375" style="111"/>
    <col min="2711" max="2711" width="3.42578125" style="111" customWidth="1"/>
    <col min="2712" max="2712" width="7" style="111" customWidth="1"/>
    <col min="2713" max="2713" width="25.42578125" style="111" customWidth="1"/>
    <col min="2714" max="2714" width="12" style="111" customWidth="1"/>
    <col min="2715" max="2715" width="12.7109375" style="111" bestFit="1" customWidth="1"/>
    <col min="2716" max="2716" width="7.42578125" style="111" bestFit="1" customWidth="1"/>
    <col min="2717" max="2717" width="7.7109375" style="111" bestFit="1" customWidth="1"/>
    <col min="2718" max="2718" width="15" style="111" customWidth="1"/>
    <col min="2719" max="2719" width="7.42578125" style="111" bestFit="1" customWidth="1"/>
    <col min="2720" max="2720" width="7.7109375" style="111" bestFit="1" customWidth="1"/>
    <col min="2721" max="2721" width="15" style="111" bestFit="1" customWidth="1"/>
    <col min="2722" max="2722" width="7.42578125" style="111" bestFit="1" customWidth="1"/>
    <col min="2723" max="2723" width="7.7109375" style="111" bestFit="1" customWidth="1"/>
    <col min="2724" max="2724" width="9.42578125" style="111" bestFit="1" customWidth="1"/>
    <col min="2725" max="2725" width="8" style="111" bestFit="1" customWidth="1"/>
    <col min="2726" max="2726" width="7.7109375" style="111" bestFit="1" customWidth="1"/>
    <col min="2727" max="2727" width="10.42578125" style="111" bestFit="1" customWidth="1"/>
    <col min="2728" max="2728" width="8" style="111" bestFit="1" customWidth="1"/>
    <col min="2729" max="2729" width="7.7109375" style="111" bestFit="1" customWidth="1"/>
    <col min="2730" max="2730" width="10.42578125" style="111" bestFit="1" customWidth="1"/>
    <col min="2731" max="2731" width="7.42578125" style="111" bestFit="1" customWidth="1"/>
    <col min="2732" max="2732" width="7.7109375" style="111" bestFit="1" customWidth="1"/>
    <col min="2733" max="2733" width="10.42578125" style="111" bestFit="1" customWidth="1"/>
    <col min="2734" max="2734" width="8" style="111" bestFit="1" customWidth="1"/>
    <col min="2735" max="2735" width="7.7109375" style="111" bestFit="1" customWidth="1"/>
    <col min="2736" max="2736" width="10.42578125" style="111" bestFit="1" customWidth="1"/>
    <col min="2737" max="2737" width="7.42578125" style="111" bestFit="1" customWidth="1"/>
    <col min="2738" max="2738" width="7.7109375" style="111" bestFit="1" customWidth="1"/>
    <col min="2739" max="2739" width="10.42578125" style="111" bestFit="1" customWidth="1"/>
    <col min="2740" max="2740" width="7.42578125" style="111" bestFit="1" customWidth="1"/>
    <col min="2741" max="2741" width="7.7109375" style="111" bestFit="1" customWidth="1"/>
    <col min="2742" max="2742" width="10.42578125" style="111" bestFit="1" customWidth="1"/>
    <col min="2743" max="2743" width="5.140625" style="111" customWidth="1"/>
    <col min="2744" max="2966" width="8.7109375" style="111"/>
    <col min="2967" max="2967" width="3.42578125" style="111" customWidth="1"/>
    <col min="2968" max="2968" width="7" style="111" customWidth="1"/>
    <col min="2969" max="2969" width="25.42578125" style="111" customWidth="1"/>
    <col min="2970" max="2970" width="12" style="111" customWidth="1"/>
    <col min="2971" max="2971" width="12.7109375" style="111" bestFit="1" customWidth="1"/>
    <col min="2972" max="2972" width="7.42578125" style="111" bestFit="1" customWidth="1"/>
    <col min="2973" max="2973" width="7.7109375" style="111" bestFit="1" customWidth="1"/>
    <col min="2974" max="2974" width="15" style="111" customWidth="1"/>
    <col min="2975" max="2975" width="7.42578125" style="111" bestFit="1" customWidth="1"/>
    <col min="2976" max="2976" width="7.7109375" style="111" bestFit="1" customWidth="1"/>
    <col min="2977" max="2977" width="15" style="111" bestFit="1" customWidth="1"/>
    <col min="2978" max="2978" width="7.42578125" style="111" bestFit="1" customWidth="1"/>
    <col min="2979" max="2979" width="7.7109375" style="111" bestFit="1" customWidth="1"/>
    <col min="2980" max="2980" width="9.42578125" style="111" bestFit="1" customWidth="1"/>
    <col min="2981" max="2981" width="8" style="111" bestFit="1" customWidth="1"/>
    <col min="2982" max="2982" width="7.7109375" style="111" bestFit="1" customWidth="1"/>
    <col min="2983" max="2983" width="10.42578125" style="111" bestFit="1" customWidth="1"/>
    <col min="2984" max="2984" width="8" style="111" bestFit="1" customWidth="1"/>
    <col min="2985" max="2985" width="7.7109375" style="111" bestFit="1" customWidth="1"/>
    <col min="2986" max="2986" width="10.42578125" style="111" bestFit="1" customWidth="1"/>
    <col min="2987" max="2987" width="7.42578125" style="111" bestFit="1" customWidth="1"/>
    <col min="2988" max="2988" width="7.7109375" style="111" bestFit="1" customWidth="1"/>
    <col min="2989" max="2989" width="10.42578125" style="111" bestFit="1" customWidth="1"/>
    <col min="2990" max="2990" width="8" style="111" bestFit="1" customWidth="1"/>
    <col min="2991" max="2991" width="7.7109375" style="111" bestFit="1" customWidth="1"/>
    <col min="2992" max="2992" width="10.42578125" style="111" bestFit="1" customWidth="1"/>
    <col min="2993" max="2993" width="7.42578125" style="111" bestFit="1" customWidth="1"/>
    <col min="2994" max="2994" width="7.7109375" style="111" bestFit="1" customWidth="1"/>
    <col min="2995" max="2995" width="10.42578125" style="111" bestFit="1" customWidth="1"/>
    <col min="2996" max="2996" width="7.42578125" style="111" bestFit="1" customWidth="1"/>
    <col min="2997" max="2997" width="7.7109375" style="111" bestFit="1" customWidth="1"/>
    <col min="2998" max="2998" width="10.42578125" style="111" bestFit="1" customWidth="1"/>
    <col min="2999" max="2999" width="5.140625" style="111" customWidth="1"/>
    <col min="3000" max="3222" width="8.7109375" style="111"/>
    <col min="3223" max="3223" width="3.42578125" style="111" customWidth="1"/>
    <col min="3224" max="3224" width="7" style="111" customWidth="1"/>
    <col min="3225" max="3225" width="25.42578125" style="111" customWidth="1"/>
    <col min="3226" max="3226" width="12" style="111" customWidth="1"/>
    <col min="3227" max="3227" width="12.7109375" style="111" bestFit="1" customWidth="1"/>
    <col min="3228" max="3228" width="7.42578125" style="111" bestFit="1" customWidth="1"/>
    <col min="3229" max="3229" width="7.7109375" style="111" bestFit="1" customWidth="1"/>
    <col min="3230" max="3230" width="15" style="111" customWidth="1"/>
    <col min="3231" max="3231" width="7.42578125" style="111" bestFit="1" customWidth="1"/>
    <col min="3232" max="3232" width="7.7109375" style="111" bestFit="1" customWidth="1"/>
    <col min="3233" max="3233" width="15" style="111" bestFit="1" customWidth="1"/>
    <col min="3234" max="3234" width="7.42578125" style="111" bestFit="1" customWidth="1"/>
    <col min="3235" max="3235" width="7.7109375" style="111" bestFit="1" customWidth="1"/>
    <col min="3236" max="3236" width="9.42578125" style="111" bestFit="1" customWidth="1"/>
    <col min="3237" max="3237" width="8" style="111" bestFit="1" customWidth="1"/>
    <col min="3238" max="3238" width="7.7109375" style="111" bestFit="1" customWidth="1"/>
    <col min="3239" max="3239" width="10.42578125" style="111" bestFit="1" customWidth="1"/>
    <col min="3240" max="3240" width="8" style="111" bestFit="1" customWidth="1"/>
    <col min="3241" max="3241" width="7.7109375" style="111" bestFit="1" customWidth="1"/>
    <col min="3242" max="3242" width="10.42578125" style="111" bestFit="1" customWidth="1"/>
    <col min="3243" max="3243" width="7.42578125" style="111" bestFit="1" customWidth="1"/>
    <col min="3244" max="3244" width="7.7109375" style="111" bestFit="1" customWidth="1"/>
    <col min="3245" max="3245" width="10.42578125" style="111" bestFit="1" customWidth="1"/>
    <col min="3246" max="3246" width="8" style="111" bestFit="1" customWidth="1"/>
    <col min="3247" max="3247" width="7.7109375" style="111" bestFit="1" customWidth="1"/>
    <col min="3248" max="3248" width="10.42578125" style="111" bestFit="1" customWidth="1"/>
    <col min="3249" max="3249" width="7.42578125" style="111" bestFit="1" customWidth="1"/>
    <col min="3250" max="3250" width="7.7109375" style="111" bestFit="1" customWidth="1"/>
    <col min="3251" max="3251" width="10.42578125" style="111" bestFit="1" customWidth="1"/>
    <col min="3252" max="3252" width="7.42578125" style="111" bestFit="1" customWidth="1"/>
    <col min="3253" max="3253" width="7.7109375" style="111" bestFit="1" customWidth="1"/>
    <col min="3254" max="3254" width="10.42578125" style="111" bestFit="1" customWidth="1"/>
    <col min="3255" max="3255" width="5.140625" style="111" customWidth="1"/>
    <col min="3256" max="3478" width="8.7109375" style="111"/>
    <col min="3479" max="3479" width="3.42578125" style="111" customWidth="1"/>
    <col min="3480" max="3480" width="7" style="111" customWidth="1"/>
    <col min="3481" max="3481" width="25.42578125" style="111" customWidth="1"/>
    <col min="3482" max="3482" width="12" style="111" customWidth="1"/>
    <col min="3483" max="3483" width="12.7109375" style="111" bestFit="1" customWidth="1"/>
    <col min="3484" max="3484" width="7.42578125" style="111" bestFit="1" customWidth="1"/>
    <col min="3485" max="3485" width="7.7109375" style="111" bestFit="1" customWidth="1"/>
    <col min="3486" max="3486" width="15" style="111" customWidth="1"/>
    <col min="3487" max="3487" width="7.42578125" style="111" bestFit="1" customWidth="1"/>
    <col min="3488" max="3488" width="7.7109375" style="111" bestFit="1" customWidth="1"/>
    <col min="3489" max="3489" width="15" style="111" bestFit="1" customWidth="1"/>
    <col min="3490" max="3490" width="7.42578125" style="111" bestFit="1" customWidth="1"/>
    <col min="3491" max="3491" width="7.7109375" style="111" bestFit="1" customWidth="1"/>
    <col min="3492" max="3492" width="9.42578125" style="111" bestFit="1" customWidth="1"/>
    <col min="3493" max="3493" width="8" style="111" bestFit="1" customWidth="1"/>
    <col min="3494" max="3494" width="7.7109375" style="111" bestFit="1" customWidth="1"/>
    <col min="3495" max="3495" width="10.42578125" style="111" bestFit="1" customWidth="1"/>
    <col min="3496" max="3496" width="8" style="111" bestFit="1" customWidth="1"/>
    <col min="3497" max="3497" width="7.7109375" style="111" bestFit="1" customWidth="1"/>
    <col min="3498" max="3498" width="10.42578125" style="111" bestFit="1" customWidth="1"/>
    <col min="3499" max="3499" width="7.42578125" style="111" bestFit="1" customWidth="1"/>
    <col min="3500" max="3500" width="7.7109375" style="111" bestFit="1" customWidth="1"/>
    <col min="3501" max="3501" width="10.42578125" style="111" bestFit="1" customWidth="1"/>
    <col min="3502" max="3502" width="8" style="111" bestFit="1" customWidth="1"/>
    <col min="3503" max="3503" width="7.7109375" style="111" bestFit="1" customWidth="1"/>
    <col min="3504" max="3504" width="10.42578125" style="111" bestFit="1" customWidth="1"/>
    <col min="3505" max="3505" width="7.42578125" style="111" bestFit="1" customWidth="1"/>
    <col min="3506" max="3506" width="7.7109375" style="111" bestFit="1" customWidth="1"/>
    <col min="3507" max="3507" width="10.42578125" style="111" bestFit="1" customWidth="1"/>
    <col min="3508" max="3508" width="7.42578125" style="111" bestFit="1" customWidth="1"/>
    <col min="3509" max="3509" width="7.7109375" style="111" bestFit="1" customWidth="1"/>
    <col min="3510" max="3510" width="10.42578125" style="111" bestFit="1" customWidth="1"/>
    <col min="3511" max="3511" width="5.140625" style="111" customWidth="1"/>
    <col min="3512" max="3734" width="8.7109375" style="111"/>
    <col min="3735" max="3735" width="3.42578125" style="111" customWidth="1"/>
    <col min="3736" max="3736" width="7" style="111" customWidth="1"/>
    <col min="3737" max="3737" width="25.42578125" style="111" customWidth="1"/>
    <col min="3738" max="3738" width="12" style="111" customWidth="1"/>
    <col min="3739" max="3739" width="12.7109375" style="111" bestFit="1" customWidth="1"/>
    <col min="3740" max="3740" width="7.42578125" style="111" bestFit="1" customWidth="1"/>
    <col min="3741" max="3741" width="7.7109375" style="111" bestFit="1" customWidth="1"/>
    <col min="3742" max="3742" width="15" style="111" customWidth="1"/>
    <col min="3743" max="3743" width="7.42578125" style="111" bestFit="1" customWidth="1"/>
    <col min="3744" max="3744" width="7.7109375" style="111" bestFit="1" customWidth="1"/>
    <col min="3745" max="3745" width="15" style="111" bestFit="1" customWidth="1"/>
    <col min="3746" max="3746" width="7.42578125" style="111" bestFit="1" customWidth="1"/>
    <col min="3747" max="3747" width="7.7109375" style="111" bestFit="1" customWidth="1"/>
    <col min="3748" max="3748" width="9.42578125" style="111" bestFit="1" customWidth="1"/>
    <col min="3749" max="3749" width="8" style="111" bestFit="1" customWidth="1"/>
    <col min="3750" max="3750" width="7.7109375" style="111" bestFit="1" customWidth="1"/>
    <col min="3751" max="3751" width="10.42578125" style="111" bestFit="1" customWidth="1"/>
    <col min="3752" max="3752" width="8" style="111" bestFit="1" customWidth="1"/>
    <col min="3753" max="3753" width="7.7109375" style="111" bestFit="1" customWidth="1"/>
    <col min="3754" max="3754" width="10.42578125" style="111" bestFit="1" customWidth="1"/>
    <col min="3755" max="3755" width="7.42578125" style="111" bestFit="1" customWidth="1"/>
    <col min="3756" max="3756" width="7.7109375" style="111" bestFit="1" customWidth="1"/>
    <col min="3757" max="3757" width="10.42578125" style="111" bestFit="1" customWidth="1"/>
    <col min="3758" max="3758" width="8" style="111" bestFit="1" customWidth="1"/>
    <col min="3759" max="3759" width="7.7109375" style="111" bestFit="1" customWidth="1"/>
    <col min="3760" max="3760" width="10.42578125" style="111" bestFit="1" customWidth="1"/>
    <col min="3761" max="3761" width="7.42578125" style="111" bestFit="1" customWidth="1"/>
    <col min="3762" max="3762" width="7.7109375" style="111" bestFit="1" customWidth="1"/>
    <col min="3763" max="3763" width="10.42578125" style="111" bestFit="1" customWidth="1"/>
    <col min="3764" max="3764" width="7.42578125" style="111" bestFit="1" customWidth="1"/>
    <col min="3765" max="3765" width="7.7109375" style="111" bestFit="1" customWidth="1"/>
    <col min="3766" max="3766" width="10.42578125" style="111" bestFit="1" customWidth="1"/>
    <col min="3767" max="3767" width="5.140625" style="111" customWidth="1"/>
    <col min="3768" max="3990" width="8.7109375" style="111"/>
    <col min="3991" max="3991" width="3.42578125" style="111" customWidth="1"/>
    <col min="3992" max="3992" width="7" style="111" customWidth="1"/>
    <col min="3993" max="3993" width="25.42578125" style="111" customWidth="1"/>
    <col min="3994" max="3994" width="12" style="111" customWidth="1"/>
    <col min="3995" max="3995" width="12.7109375" style="111" bestFit="1" customWidth="1"/>
    <col min="3996" max="3996" width="7.42578125" style="111" bestFit="1" customWidth="1"/>
    <col min="3997" max="3997" width="7.7109375" style="111" bestFit="1" customWidth="1"/>
    <col min="3998" max="3998" width="15" style="111" customWidth="1"/>
    <col min="3999" max="3999" width="7.42578125" style="111" bestFit="1" customWidth="1"/>
    <col min="4000" max="4000" width="7.7109375" style="111" bestFit="1" customWidth="1"/>
    <col min="4001" max="4001" width="15" style="111" bestFit="1" customWidth="1"/>
    <col min="4002" max="4002" width="7.42578125" style="111" bestFit="1" customWidth="1"/>
    <col min="4003" max="4003" width="7.7109375" style="111" bestFit="1" customWidth="1"/>
    <col min="4004" max="4004" width="9.42578125" style="111" bestFit="1" customWidth="1"/>
    <col min="4005" max="4005" width="8" style="111" bestFit="1" customWidth="1"/>
    <col min="4006" max="4006" width="7.7109375" style="111" bestFit="1" customWidth="1"/>
    <col min="4007" max="4007" width="10.42578125" style="111" bestFit="1" customWidth="1"/>
    <col min="4008" max="4008" width="8" style="111" bestFit="1" customWidth="1"/>
    <col min="4009" max="4009" width="7.7109375" style="111" bestFit="1" customWidth="1"/>
    <col min="4010" max="4010" width="10.42578125" style="111" bestFit="1" customWidth="1"/>
    <col min="4011" max="4011" width="7.42578125" style="111" bestFit="1" customWidth="1"/>
    <col min="4012" max="4012" width="7.7109375" style="111" bestFit="1" customWidth="1"/>
    <col min="4013" max="4013" width="10.42578125" style="111" bestFit="1" customWidth="1"/>
    <col min="4014" max="4014" width="8" style="111" bestFit="1" customWidth="1"/>
    <col min="4015" max="4015" width="7.7109375" style="111" bestFit="1" customWidth="1"/>
    <col min="4016" max="4016" width="10.42578125" style="111" bestFit="1" customWidth="1"/>
    <col min="4017" max="4017" width="7.42578125" style="111" bestFit="1" customWidth="1"/>
    <col min="4018" max="4018" width="7.7109375" style="111" bestFit="1" customWidth="1"/>
    <col min="4019" max="4019" width="10.42578125" style="111" bestFit="1" customWidth="1"/>
    <col min="4020" max="4020" width="7.42578125" style="111" bestFit="1" customWidth="1"/>
    <col min="4021" max="4021" width="7.7109375" style="111" bestFit="1" customWidth="1"/>
    <col min="4022" max="4022" width="10.42578125" style="111" bestFit="1" customWidth="1"/>
    <col min="4023" max="4023" width="5.140625" style="111" customWidth="1"/>
    <col min="4024" max="4246" width="8.7109375" style="111"/>
    <col min="4247" max="4247" width="3.42578125" style="111" customWidth="1"/>
    <col min="4248" max="4248" width="7" style="111" customWidth="1"/>
    <col min="4249" max="4249" width="25.42578125" style="111" customWidth="1"/>
    <col min="4250" max="4250" width="12" style="111" customWidth="1"/>
    <col min="4251" max="4251" width="12.7109375" style="111" bestFit="1" customWidth="1"/>
    <col min="4252" max="4252" width="7.42578125" style="111" bestFit="1" customWidth="1"/>
    <col min="4253" max="4253" width="7.7109375" style="111" bestFit="1" customWidth="1"/>
    <col min="4254" max="4254" width="15" style="111" customWidth="1"/>
    <col min="4255" max="4255" width="7.42578125" style="111" bestFit="1" customWidth="1"/>
    <col min="4256" max="4256" width="7.7109375" style="111" bestFit="1" customWidth="1"/>
    <col min="4257" max="4257" width="15" style="111" bestFit="1" customWidth="1"/>
    <col min="4258" max="4258" width="7.42578125" style="111" bestFit="1" customWidth="1"/>
    <col min="4259" max="4259" width="7.7109375" style="111" bestFit="1" customWidth="1"/>
    <col min="4260" max="4260" width="9.42578125" style="111" bestFit="1" customWidth="1"/>
    <col min="4261" max="4261" width="8" style="111" bestFit="1" customWidth="1"/>
    <col min="4262" max="4262" width="7.7109375" style="111" bestFit="1" customWidth="1"/>
    <col min="4263" max="4263" width="10.42578125" style="111" bestFit="1" customWidth="1"/>
    <col min="4264" max="4264" width="8" style="111" bestFit="1" customWidth="1"/>
    <col min="4265" max="4265" width="7.7109375" style="111" bestFit="1" customWidth="1"/>
    <col min="4266" max="4266" width="10.42578125" style="111" bestFit="1" customWidth="1"/>
    <col min="4267" max="4267" width="7.42578125" style="111" bestFit="1" customWidth="1"/>
    <col min="4268" max="4268" width="7.7109375" style="111" bestFit="1" customWidth="1"/>
    <col min="4269" max="4269" width="10.42578125" style="111" bestFit="1" customWidth="1"/>
    <col min="4270" max="4270" width="8" style="111" bestFit="1" customWidth="1"/>
    <col min="4271" max="4271" width="7.7109375" style="111" bestFit="1" customWidth="1"/>
    <col min="4272" max="4272" width="10.42578125" style="111" bestFit="1" customWidth="1"/>
    <col min="4273" max="4273" width="7.42578125" style="111" bestFit="1" customWidth="1"/>
    <col min="4274" max="4274" width="7.7109375" style="111" bestFit="1" customWidth="1"/>
    <col min="4275" max="4275" width="10.42578125" style="111" bestFit="1" customWidth="1"/>
    <col min="4276" max="4276" width="7.42578125" style="111" bestFit="1" customWidth="1"/>
    <col min="4277" max="4277" width="7.7109375" style="111" bestFit="1" customWidth="1"/>
    <col min="4278" max="4278" width="10.42578125" style="111" bestFit="1" customWidth="1"/>
    <col min="4279" max="4279" width="5.140625" style="111" customWidth="1"/>
    <col min="4280" max="4502" width="8.7109375" style="111"/>
    <col min="4503" max="4503" width="3.42578125" style="111" customWidth="1"/>
    <col min="4504" max="4504" width="7" style="111" customWidth="1"/>
    <col min="4505" max="4505" width="25.42578125" style="111" customWidth="1"/>
    <col min="4506" max="4506" width="12" style="111" customWidth="1"/>
    <col min="4507" max="4507" width="12.7109375" style="111" bestFit="1" customWidth="1"/>
    <col min="4508" max="4508" width="7.42578125" style="111" bestFit="1" customWidth="1"/>
    <col min="4509" max="4509" width="7.7109375" style="111" bestFit="1" customWidth="1"/>
    <col min="4510" max="4510" width="15" style="111" customWidth="1"/>
    <col min="4511" max="4511" width="7.42578125" style="111" bestFit="1" customWidth="1"/>
    <col min="4512" max="4512" width="7.7109375" style="111" bestFit="1" customWidth="1"/>
    <col min="4513" max="4513" width="15" style="111" bestFit="1" customWidth="1"/>
    <col min="4514" max="4514" width="7.42578125" style="111" bestFit="1" customWidth="1"/>
    <col min="4515" max="4515" width="7.7109375" style="111" bestFit="1" customWidth="1"/>
    <col min="4516" max="4516" width="9.42578125" style="111" bestFit="1" customWidth="1"/>
    <col min="4517" max="4517" width="8" style="111" bestFit="1" customWidth="1"/>
    <col min="4518" max="4518" width="7.7109375" style="111" bestFit="1" customWidth="1"/>
    <col min="4519" max="4519" width="10.42578125" style="111" bestFit="1" customWidth="1"/>
    <col min="4520" max="4520" width="8" style="111" bestFit="1" customWidth="1"/>
    <col min="4521" max="4521" width="7.7109375" style="111" bestFit="1" customWidth="1"/>
    <col min="4522" max="4522" width="10.42578125" style="111" bestFit="1" customWidth="1"/>
    <col min="4523" max="4523" width="7.42578125" style="111" bestFit="1" customWidth="1"/>
    <col min="4524" max="4524" width="7.7109375" style="111" bestFit="1" customWidth="1"/>
    <col min="4525" max="4525" width="10.42578125" style="111" bestFit="1" customWidth="1"/>
    <col min="4526" max="4526" width="8" style="111" bestFit="1" customWidth="1"/>
    <col min="4527" max="4527" width="7.7109375" style="111" bestFit="1" customWidth="1"/>
    <col min="4528" max="4528" width="10.42578125" style="111" bestFit="1" customWidth="1"/>
    <col min="4529" max="4529" width="7.42578125" style="111" bestFit="1" customWidth="1"/>
    <col min="4530" max="4530" width="7.7109375" style="111" bestFit="1" customWidth="1"/>
    <col min="4531" max="4531" width="10.42578125" style="111" bestFit="1" customWidth="1"/>
    <col min="4532" max="4532" width="7.42578125" style="111" bestFit="1" customWidth="1"/>
    <col min="4533" max="4533" width="7.7109375" style="111" bestFit="1" customWidth="1"/>
    <col min="4534" max="4534" width="10.42578125" style="111" bestFit="1" customWidth="1"/>
    <col min="4535" max="4535" width="5.140625" style="111" customWidth="1"/>
    <col min="4536" max="4758" width="8.7109375" style="111"/>
    <col min="4759" max="4759" width="3.42578125" style="111" customWidth="1"/>
    <col min="4760" max="4760" width="7" style="111" customWidth="1"/>
    <col min="4761" max="4761" width="25.42578125" style="111" customWidth="1"/>
    <col min="4762" max="4762" width="12" style="111" customWidth="1"/>
    <col min="4763" max="4763" width="12.7109375" style="111" bestFit="1" customWidth="1"/>
    <col min="4764" max="4764" width="7.42578125" style="111" bestFit="1" customWidth="1"/>
    <col min="4765" max="4765" width="7.7109375" style="111" bestFit="1" customWidth="1"/>
    <col min="4766" max="4766" width="15" style="111" customWidth="1"/>
    <col min="4767" max="4767" width="7.42578125" style="111" bestFit="1" customWidth="1"/>
    <col min="4768" max="4768" width="7.7109375" style="111" bestFit="1" customWidth="1"/>
    <col min="4769" max="4769" width="15" style="111" bestFit="1" customWidth="1"/>
    <col min="4770" max="4770" width="7.42578125" style="111" bestFit="1" customWidth="1"/>
    <col min="4771" max="4771" width="7.7109375" style="111" bestFit="1" customWidth="1"/>
    <col min="4772" max="4772" width="9.42578125" style="111" bestFit="1" customWidth="1"/>
    <col min="4773" max="4773" width="8" style="111" bestFit="1" customWidth="1"/>
    <col min="4774" max="4774" width="7.7109375" style="111" bestFit="1" customWidth="1"/>
    <col min="4775" max="4775" width="10.42578125" style="111" bestFit="1" customWidth="1"/>
    <col min="4776" max="4776" width="8" style="111" bestFit="1" customWidth="1"/>
    <col min="4777" max="4777" width="7.7109375" style="111" bestFit="1" customWidth="1"/>
    <col min="4778" max="4778" width="10.42578125" style="111" bestFit="1" customWidth="1"/>
    <col min="4779" max="4779" width="7.42578125" style="111" bestFit="1" customWidth="1"/>
    <col min="4780" max="4780" width="7.7109375" style="111" bestFit="1" customWidth="1"/>
    <col min="4781" max="4781" width="10.42578125" style="111" bestFit="1" customWidth="1"/>
    <col min="4782" max="4782" width="8" style="111" bestFit="1" customWidth="1"/>
    <col min="4783" max="4783" width="7.7109375" style="111" bestFit="1" customWidth="1"/>
    <col min="4784" max="4784" width="10.42578125" style="111" bestFit="1" customWidth="1"/>
    <col min="4785" max="4785" width="7.42578125" style="111" bestFit="1" customWidth="1"/>
    <col min="4786" max="4786" width="7.7109375" style="111" bestFit="1" customWidth="1"/>
    <col min="4787" max="4787" width="10.42578125" style="111" bestFit="1" customWidth="1"/>
    <col min="4788" max="4788" width="7.42578125" style="111" bestFit="1" customWidth="1"/>
    <col min="4789" max="4789" width="7.7109375" style="111" bestFit="1" customWidth="1"/>
    <col min="4790" max="4790" width="10.42578125" style="111" bestFit="1" customWidth="1"/>
    <col min="4791" max="4791" width="5.140625" style="111" customWidth="1"/>
    <col min="4792" max="5014" width="8.7109375" style="111"/>
    <col min="5015" max="5015" width="3.42578125" style="111" customWidth="1"/>
    <col min="5016" max="5016" width="7" style="111" customWidth="1"/>
    <col min="5017" max="5017" width="25.42578125" style="111" customWidth="1"/>
    <col min="5018" max="5018" width="12" style="111" customWidth="1"/>
    <col min="5019" max="5019" width="12.7109375" style="111" bestFit="1" customWidth="1"/>
    <col min="5020" max="5020" width="7.42578125" style="111" bestFit="1" customWidth="1"/>
    <col min="5021" max="5021" width="7.7109375" style="111" bestFit="1" customWidth="1"/>
    <col min="5022" max="5022" width="15" style="111" customWidth="1"/>
    <col min="5023" max="5023" width="7.42578125" style="111" bestFit="1" customWidth="1"/>
    <col min="5024" max="5024" width="7.7109375" style="111" bestFit="1" customWidth="1"/>
    <col min="5025" max="5025" width="15" style="111" bestFit="1" customWidth="1"/>
    <col min="5026" max="5026" width="7.42578125" style="111" bestFit="1" customWidth="1"/>
    <col min="5027" max="5027" width="7.7109375" style="111" bestFit="1" customWidth="1"/>
    <col min="5028" max="5028" width="9.42578125" style="111" bestFit="1" customWidth="1"/>
    <col min="5029" max="5029" width="8" style="111" bestFit="1" customWidth="1"/>
    <col min="5030" max="5030" width="7.7109375" style="111" bestFit="1" customWidth="1"/>
    <col min="5031" max="5031" width="10.42578125" style="111" bestFit="1" customWidth="1"/>
    <col min="5032" max="5032" width="8" style="111" bestFit="1" customWidth="1"/>
    <col min="5033" max="5033" width="7.7109375" style="111" bestFit="1" customWidth="1"/>
    <col min="5034" max="5034" width="10.42578125" style="111" bestFit="1" customWidth="1"/>
    <col min="5035" max="5035" width="7.42578125" style="111" bestFit="1" customWidth="1"/>
    <col min="5036" max="5036" width="7.7109375" style="111" bestFit="1" customWidth="1"/>
    <col min="5037" max="5037" width="10.42578125" style="111" bestFit="1" customWidth="1"/>
    <col min="5038" max="5038" width="8" style="111" bestFit="1" customWidth="1"/>
    <col min="5039" max="5039" width="7.7109375" style="111" bestFit="1" customWidth="1"/>
    <col min="5040" max="5040" width="10.42578125" style="111" bestFit="1" customWidth="1"/>
    <col min="5041" max="5041" width="7.42578125" style="111" bestFit="1" customWidth="1"/>
    <col min="5042" max="5042" width="7.7109375" style="111" bestFit="1" customWidth="1"/>
    <col min="5043" max="5043" width="10.42578125" style="111" bestFit="1" customWidth="1"/>
    <col min="5044" max="5044" width="7.42578125" style="111" bestFit="1" customWidth="1"/>
    <col min="5045" max="5045" width="7.7109375" style="111" bestFit="1" customWidth="1"/>
    <col min="5046" max="5046" width="10.42578125" style="111" bestFit="1" customWidth="1"/>
    <col min="5047" max="5047" width="5.140625" style="111" customWidth="1"/>
    <col min="5048" max="5270" width="8.7109375" style="111"/>
    <col min="5271" max="5271" width="3.42578125" style="111" customWidth="1"/>
    <col min="5272" max="5272" width="7" style="111" customWidth="1"/>
    <col min="5273" max="5273" width="25.42578125" style="111" customWidth="1"/>
    <col min="5274" max="5274" width="12" style="111" customWidth="1"/>
    <col min="5275" max="5275" width="12.7109375" style="111" bestFit="1" customWidth="1"/>
    <col min="5276" max="5276" width="7.42578125" style="111" bestFit="1" customWidth="1"/>
    <col min="5277" max="5277" width="7.7109375" style="111" bestFit="1" customWidth="1"/>
    <col min="5278" max="5278" width="15" style="111" customWidth="1"/>
    <col min="5279" max="5279" width="7.42578125" style="111" bestFit="1" customWidth="1"/>
    <col min="5280" max="5280" width="7.7109375" style="111" bestFit="1" customWidth="1"/>
    <col min="5281" max="5281" width="15" style="111" bestFit="1" customWidth="1"/>
    <col min="5282" max="5282" width="7.42578125" style="111" bestFit="1" customWidth="1"/>
    <col min="5283" max="5283" width="7.7109375" style="111" bestFit="1" customWidth="1"/>
    <col min="5284" max="5284" width="9.42578125" style="111" bestFit="1" customWidth="1"/>
    <col min="5285" max="5285" width="8" style="111" bestFit="1" customWidth="1"/>
    <col min="5286" max="5286" width="7.7109375" style="111" bestFit="1" customWidth="1"/>
    <col min="5287" max="5287" width="10.42578125" style="111" bestFit="1" customWidth="1"/>
    <col min="5288" max="5288" width="8" style="111" bestFit="1" customWidth="1"/>
    <col min="5289" max="5289" width="7.7109375" style="111" bestFit="1" customWidth="1"/>
    <col min="5290" max="5290" width="10.42578125" style="111" bestFit="1" customWidth="1"/>
    <col min="5291" max="5291" width="7.42578125" style="111" bestFit="1" customWidth="1"/>
    <col min="5292" max="5292" width="7.7109375" style="111" bestFit="1" customWidth="1"/>
    <col min="5293" max="5293" width="10.42578125" style="111" bestFit="1" customWidth="1"/>
    <col min="5294" max="5294" width="8" style="111" bestFit="1" customWidth="1"/>
    <col min="5295" max="5295" width="7.7109375" style="111" bestFit="1" customWidth="1"/>
    <col min="5296" max="5296" width="10.42578125" style="111" bestFit="1" customWidth="1"/>
    <col min="5297" max="5297" width="7.42578125" style="111" bestFit="1" customWidth="1"/>
    <col min="5298" max="5298" width="7.7109375" style="111" bestFit="1" customWidth="1"/>
    <col min="5299" max="5299" width="10.42578125" style="111" bestFit="1" customWidth="1"/>
    <col min="5300" max="5300" width="7.42578125" style="111" bestFit="1" customWidth="1"/>
    <col min="5301" max="5301" width="7.7109375" style="111" bestFit="1" customWidth="1"/>
    <col min="5302" max="5302" width="10.42578125" style="111" bestFit="1" customWidth="1"/>
    <col min="5303" max="5303" width="5.140625" style="111" customWidth="1"/>
    <col min="5304" max="5526" width="8.7109375" style="111"/>
    <col min="5527" max="5527" width="3.42578125" style="111" customWidth="1"/>
    <col min="5528" max="5528" width="7" style="111" customWidth="1"/>
    <col min="5529" max="5529" width="25.42578125" style="111" customWidth="1"/>
    <col min="5530" max="5530" width="12" style="111" customWidth="1"/>
    <col min="5531" max="5531" width="12.7109375" style="111" bestFit="1" customWidth="1"/>
    <col min="5532" max="5532" width="7.42578125" style="111" bestFit="1" customWidth="1"/>
    <col min="5533" max="5533" width="7.7109375" style="111" bestFit="1" customWidth="1"/>
    <col min="5534" max="5534" width="15" style="111" customWidth="1"/>
    <col min="5535" max="5535" width="7.42578125" style="111" bestFit="1" customWidth="1"/>
    <col min="5536" max="5536" width="7.7109375" style="111" bestFit="1" customWidth="1"/>
    <col min="5537" max="5537" width="15" style="111" bestFit="1" customWidth="1"/>
    <col min="5538" max="5538" width="7.42578125" style="111" bestFit="1" customWidth="1"/>
    <col min="5539" max="5539" width="7.7109375" style="111" bestFit="1" customWidth="1"/>
    <col min="5540" max="5540" width="9.42578125" style="111" bestFit="1" customWidth="1"/>
    <col min="5541" max="5541" width="8" style="111" bestFit="1" customWidth="1"/>
    <col min="5542" max="5542" width="7.7109375" style="111" bestFit="1" customWidth="1"/>
    <col min="5543" max="5543" width="10.42578125" style="111" bestFit="1" customWidth="1"/>
    <col min="5544" max="5544" width="8" style="111" bestFit="1" customWidth="1"/>
    <col min="5545" max="5545" width="7.7109375" style="111" bestFit="1" customWidth="1"/>
    <col min="5546" max="5546" width="10.42578125" style="111" bestFit="1" customWidth="1"/>
    <col min="5547" max="5547" width="7.42578125" style="111" bestFit="1" customWidth="1"/>
    <col min="5548" max="5548" width="7.7109375" style="111" bestFit="1" customWidth="1"/>
    <col min="5549" max="5549" width="10.42578125" style="111" bestFit="1" customWidth="1"/>
    <col min="5550" max="5550" width="8" style="111" bestFit="1" customWidth="1"/>
    <col min="5551" max="5551" width="7.7109375" style="111" bestFit="1" customWidth="1"/>
    <col min="5552" max="5552" width="10.42578125" style="111" bestFit="1" customWidth="1"/>
    <col min="5553" max="5553" width="7.42578125" style="111" bestFit="1" customWidth="1"/>
    <col min="5554" max="5554" width="7.7109375" style="111" bestFit="1" customWidth="1"/>
    <col min="5555" max="5555" width="10.42578125" style="111" bestFit="1" customWidth="1"/>
    <col min="5556" max="5556" width="7.42578125" style="111" bestFit="1" customWidth="1"/>
    <col min="5557" max="5557" width="7.7109375" style="111" bestFit="1" customWidth="1"/>
    <col min="5558" max="5558" width="10.42578125" style="111" bestFit="1" customWidth="1"/>
    <col min="5559" max="5559" width="5.140625" style="111" customWidth="1"/>
    <col min="5560" max="5782" width="8.7109375" style="111"/>
    <col min="5783" max="5783" width="3.42578125" style="111" customWidth="1"/>
    <col min="5784" max="5784" width="7" style="111" customWidth="1"/>
    <col min="5785" max="5785" width="25.42578125" style="111" customWidth="1"/>
    <col min="5786" max="5786" width="12" style="111" customWidth="1"/>
    <col min="5787" max="5787" width="12.7109375" style="111" bestFit="1" customWidth="1"/>
    <col min="5788" max="5788" width="7.42578125" style="111" bestFit="1" customWidth="1"/>
    <col min="5789" max="5789" width="7.7109375" style="111" bestFit="1" customWidth="1"/>
    <col min="5790" max="5790" width="15" style="111" customWidth="1"/>
    <col min="5791" max="5791" width="7.42578125" style="111" bestFit="1" customWidth="1"/>
    <col min="5792" max="5792" width="7.7109375" style="111" bestFit="1" customWidth="1"/>
    <col min="5793" max="5793" width="15" style="111" bestFit="1" customWidth="1"/>
    <col min="5794" max="5794" width="7.42578125" style="111" bestFit="1" customWidth="1"/>
    <col min="5795" max="5795" width="7.7109375" style="111" bestFit="1" customWidth="1"/>
    <col min="5796" max="5796" width="9.42578125" style="111" bestFit="1" customWidth="1"/>
    <col min="5797" max="5797" width="8" style="111" bestFit="1" customWidth="1"/>
    <col min="5798" max="5798" width="7.7109375" style="111" bestFit="1" customWidth="1"/>
    <col min="5799" max="5799" width="10.42578125" style="111" bestFit="1" customWidth="1"/>
    <col min="5800" max="5800" width="8" style="111" bestFit="1" customWidth="1"/>
    <col min="5801" max="5801" width="7.7109375" style="111" bestFit="1" customWidth="1"/>
    <col min="5802" max="5802" width="10.42578125" style="111" bestFit="1" customWidth="1"/>
    <col min="5803" max="5803" width="7.42578125" style="111" bestFit="1" customWidth="1"/>
    <col min="5804" max="5804" width="7.7109375" style="111" bestFit="1" customWidth="1"/>
    <col min="5805" max="5805" width="10.42578125" style="111" bestFit="1" customWidth="1"/>
    <col min="5806" max="5806" width="8" style="111" bestFit="1" customWidth="1"/>
    <col min="5807" max="5807" width="7.7109375" style="111" bestFit="1" customWidth="1"/>
    <col min="5808" max="5808" width="10.42578125" style="111" bestFit="1" customWidth="1"/>
    <col min="5809" max="5809" width="7.42578125" style="111" bestFit="1" customWidth="1"/>
    <col min="5810" max="5810" width="7.7109375" style="111" bestFit="1" customWidth="1"/>
    <col min="5811" max="5811" width="10.42578125" style="111" bestFit="1" customWidth="1"/>
    <col min="5812" max="5812" width="7.42578125" style="111" bestFit="1" customWidth="1"/>
    <col min="5813" max="5813" width="7.7109375" style="111" bestFit="1" customWidth="1"/>
    <col min="5814" max="5814" width="10.42578125" style="111" bestFit="1" customWidth="1"/>
    <col min="5815" max="5815" width="5.140625" style="111" customWidth="1"/>
    <col min="5816" max="6038" width="8.7109375" style="111"/>
    <col min="6039" max="6039" width="3.42578125" style="111" customWidth="1"/>
    <col min="6040" max="6040" width="7" style="111" customWidth="1"/>
    <col min="6041" max="6041" width="25.42578125" style="111" customWidth="1"/>
    <col min="6042" max="6042" width="12" style="111" customWidth="1"/>
    <col min="6043" max="6043" width="12.7109375" style="111" bestFit="1" customWidth="1"/>
    <col min="6044" max="6044" width="7.42578125" style="111" bestFit="1" customWidth="1"/>
    <col min="6045" max="6045" width="7.7109375" style="111" bestFit="1" customWidth="1"/>
    <col min="6046" max="6046" width="15" style="111" customWidth="1"/>
    <col min="6047" max="6047" width="7.42578125" style="111" bestFit="1" customWidth="1"/>
    <col min="6048" max="6048" width="7.7109375" style="111" bestFit="1" customWidth="1"/>
    <col min="6049" max="6049" width="15" style="111" bestFit="1" customWidth="1"/>
    <col min="6050" max="6050" width="7.42578125" style="111" bestFit="1" customWidth="1"/>
    <col min="6051" max="6051" width="7.7109375" style="111" bestFit="1" customWidth="1"/>
    <col min="6052" max="6052" width="9.42578125" style="111" bestFit="1" customWidth="1"/>
    <col min="6053" max="6053" width="8" style="111" bestFit="1" customWidth="1"/>
    <col min="6054" max="6054" width="7.7109375" style="111" bestFit="1" customWidth="1"/>
    <col min="6055" max="6055" width="10.42578125" style="111" bestFit="1" customWidth="1"/>
    <col min="6056" max="6056" width="8" style="111" bestFit="1" customWidth="1"/>
    <col min="6057" max="6057" width="7.7109375" style="111" bestFit="1" customWidth="1"/>
    <col min="6058" max="6058" width="10.42578125" style="111" bestFit="1" customWidth="1"/>
    <col min="6059" max="6059" width="7.42578125" style="111" bestFit="1" customWidth="1"/>
    <col min="6060" max="6060" width="7.7109375" style="111" bestFit="1" customWidth="1"/>
    <col min="6061" max="6061" width="10.42578125" style="111" bestFit="1" customWidth="1"/>
    <col min="6062" max="6062" width="8" style="111" bestFit="1" customWidth="1"/>
    <col min="6063" max="6063" width="7.7109375" style="111" bestFit="1" customWidth="1"/>
    <col min="6064" max="6064" width="10.42578125" style="111" bestFit="1" customWidth="1"/>
    <col min="6065" max="6065" width="7.42578125" style="111" bestFit="1" customWidth="1"/>
    <col min="6066" max="6066" width="7.7109375" style="111" bestFit="1" customWidth="1"/>
    <col min="6067" max="6067" width="10.42578125" style="111" bestFit="1" customWidth="1"/>
    <col min="6068" max="6068" width="7.42578125" style="111" bestFit="1" customWidth="1"/>
    <col min="6069" max="6069" width="7.7109375" style="111" bestFit="1" customWidth="1"/>
    <col min="6070" max="6070" width="10.42578125" style="111" bestFit="1" customWidth="1"/>
    <col min="6071" max="6071" width="5.140625" style="111" customWidth="1"/>
    <col min="6072" max="6294" width="8.7109375" style="111"/>
    <col min="6295" max="6295" width="3.42578125" style="111" customWidth="1"/>
    <col min="6296" max="6296" width="7" style="111" customWidth="1"/>
    <col min="6297" max="6297" width="25.42578125" style="111" customWidth="1"/>
    <col min="6298" max="6298" width="12" style="111" customWidth="1"/>
    <col min="6299" max="6299" width="12.7109375" style="111" bestFit="1" customWidth="1"/>
    <col min="6300" max="6300" width="7.42578125" style="111" bestFit="1" customWidth="1"/>
    <col min="6301" max="6301" width="7.7109375" style="111" bestFit="1" customWidth="1"/>
    <col min="6302" max="6302" width="15" style="111" customWidth="1"/>
    <col min="6303" max="6303" width="7.42578125" style="111" bestFit="1" customWidth="1"/>
    <col min="6304" max="6304" width="7.7109375" style="111" bestFit="1" customWidth="1"/>
    <col min="6305" max="6305" width="15" style="111" bestFit="1" customWidth="1"/>
    <col min="6306" max="6306" width="7.42578125" style="111" bestFit="1" customWidth="1"/>
    <col min="6307" max="6307" width="7.7109375" style="111" bestFit="1" customWidth="1"/>
    <col min="6308" max="6308" width="9.42578125" style="111" bestFit="1" customWidth="1"/>
    <col min="6309" max="6309" width="8" style="111" bestFit="1" customWidth="1"/>
    <col min="6310" max="6310" width="7.7109375" style="111" bestFit="1" customWidth="1"/>
    <col min="6311" max="6311" width="10.42578125" style="111" bestFit="1" customWidth="1"/>
    <col min="6312" max="6312" width="8" style="111" bestFit="1" customWidth="1"/>
    <col min="6313" max="6313" width="7.7109375" style="111" bestFit="1" customWidth="1"/>
    <col min="6314" max="6314" width="10.42578125" style="111" bestFit="1" customWidth="1"/>
    <col min="6315" max="6315" width="7.42578125" style="111" bestFit="1" customWidth="1"/>
    <col min="6316" max="6316" width="7.7109375" style="111" bestFit="1" customWidth="1"/>
    <col min="6317" max="6317" width="10.42578125" style="111" bestFit="1" customWidth="1"/>
    <col min="6318" max="6318" width="8" style="111" bestFit="1" customWidth="1"/>
    <col min="6319" max="6319" width="7.7109375" style="111" bestFit="1" customWidth="1"/>
    <col min="6320" max="6320" width="10.42578125" style="111" bestFit="1" customWidth="1"/>
    <col min="6321" max="6321" width="7.42578125" style="111" bestFit="1" customWidth="1"/>
    <col min="6322" max="6322" width="7.7109375" style="111" bestFit="1" customWidth="1"/>
    <col min="6323" max="6323" width="10.42578125" style="111" bestFit="1" customWidth="1"/>
    <col min="6324" max="6324" width="7.42578125" style="111" bestFit="1" customWidth="1"/>
    <col min="6325" max="6325" width="7.7109375" style="111" bestFit="1" customWidth="1"/>
    <col min="6326" max="6326" width="10.42578125" style="111" bestFit="1" customWidth="1"/>
    <col min="6327" max="6327" width="5.140625" style="111" customWidth="1"/>
    <col min="6328" max="6550" width="8.7109375" style="111"/>
    <col min="6551" max="6551" width="3.42578125" style="111" customWidth="1"/>
    <col min="6552" max="6552" width="7" style="111" customWidth="1"/>
    <col min="6553" max="6553" width="25.42578125" style="111" customWidth="1"/>
    <col min="6554" max="6554" width="12" style="111" customWidth="1"/>
    <col min="6555" max="6555" width="12.7109375" style="111" bestFit="1" customWidth="1"/>
    <col min="6556" max="6556" width="7.42578125" style="111" bestFit="1" customWidth="1"/>
    <col min="6557" max="6557" width="7.7109375" style="111" bestFit="1" customWidth="1"/>
    <col min="6558" max="6558" width="15" style="111" customWidth="1"/>
    <col min="6559" max="6559" width="7.42578125" style="111" bestFit="1" customWidth="1"/>
    <col min="6560" max="6560" width="7.7109375" style="111" bestFit="1" customWidth="1"/>
    <col min="6561" max="6561" width="15" style="111" bestFit="1" customWidth="1"/>
    <col min="6562" max="6562" width="7.42578125" style="111" bestFit="1" customWidth="1"/>
    <col min="6563" max="6563" width="7.7109375" style="111" bestFit="1" customWidth="1"/>
    <col min="6564" max="6564" width="9.42578125" style="111" bestFit="1" customWidth="1"/>
    <col min="6565" max="6565" width="8" style="111" bestFit="1" customWidth="1"/>
    <col min="6566" max="6566" width="7.7109375" style="111" bestFit="1" customWidth="1"/>
    <col min="6567" max="6567" width="10.42578125" style="111" bestFit="1" customWidth="1"/>
    <col min="6568" max="6568" width="8" style="111" bestFit="1" customWidth="1"/>
    <col min="6569" max="6569" width="7.7109375" style="111" bestFit="1" customWidth="1"/>
    <col min="6570" max="6570" width="10.42578125" style="111" bestFit="1" customWidth="1"/>
    <col min="6571" max="6571" width="7.42578125" style="111" bestFit="1" customWidth="1"/>
    <col min="6572" max="6572" width="7.7109375" style="111" bestFit="1" customWidth="1"/>
    <col min="6573" max="6573" width="10.42578125" style="111" bestFit="1" customWidth="1"/>
    <col min="6574" max="6574" width="8" style="111" bestFit="1" customWidth="1"/>
    <col min="6575" max="6575" width="7.7109375" style="111" bestFit="1" customWidth="1"/>
    <col min="6576" max="6576" width="10.42578125" style="111" bestFit="1" customWidth="1"/>
    <col min="6577" max="6577" width="7.42578125" style="111" bestFit="1" customWidth="1"/>
    <col min="6578" max="6578" width="7.7109375" style="111" bestFit="1" customWidth="1"/>
    <col min="6579" max="6579" width="10.42578125" style="111" bestFit="1" customWidth="1"/>
    <col min="6580" max="6580" width="7.42578125" style="111" bestFit="1" customWidth="1"/>
    <col min="6581" max="6581" width="7.7109375" style="111" bestFit="1" customWidth="1"/>
    <col min="6582" max="6582" width="10.42578125" style="111" bestFit="1" customWidth="1"/>
    <col min="6583" max="6583" width="5.140625" style="111" customWidth="1"/>
    <col min="6584" max="6806" width="8.7109375" style="111"/>
    <col min="6807" max="6807" width="3.42578125" style="111" customWidth="1"/>
    <col min="6808" max="6808" width="7" style="111" customWidth="1"/>
    <col min="6809" max="6809" width="25.42578125" style="111" customWidth="1"/>
    <col min="6810" max="6810" width="12" style="111" customWidth="1"/>
    <col min="6811" max="6811" width="12.7109375" style="111" bestFit="1" customWidth="1"/>
    <col min="6812" max="6812" width="7.42578125" style="111" bestFit="1" customWidth="1"/>
    <col min="6813" max="6813" width="7.7109375" style="111" bestFit="1" customWidth="1"/>
    <col min="6814" max="6814" width="15" style="111" customWidth="1"/>
    <col min="6815" max="6815" width="7.42578125" style="111" bestFit="1" customWidth="1"/>
    <col min="6816" max="6816" width="7.7109375" style="111" bestFit="1" customWidth="1"/>
    <col min="6817" max="6817" width="15" style="111" bestFit="1" customWidth="1"/>
    <col min="6818" max="6818" width="7.42578125" style="111" bestFit="1" customWidth="1"/>
    <col min="6819" max="6819" width="7.7109375" style="111" bestFit="1" customWidth="1"/>
    <col min="6820" max="6820" width="9.42578125" style="111" bestFit="1" customWidth="1"/>
    <col min="6821" max="6821" width="8" style="111" bestFit="1" customWidth="1"/>
    <col min="6822" max="6822" width="7.7109375" style="111" bestFit="1" customWidth="1"/>
    <col min="6823" max="6823" width="10.42578125" style="111" bestFit="1" customWidth="1"/>
    <col min="6824" max="6824" width="8" style="111" bestFit="1" customWidth="1"/>
    <col min="6825" max="6825" width="7.7109375" style="111" bestFit="1" customWidth="1"/>
    <col min="6826" max="6826" width="10.42578125" style="111" bestFit="1" customWidth="1"/>
    <col min="6827" max="6827" width="7.42578125" style="111" bestFit="1" customWidth="1"/>
    <col min="6828" max="6828" width="7.7109375" style="111" bestFit="1" customWidth="1"/>
    <col min="6829" max="6829" width="10.42578125" style="111" bestFit="1" customWidth="1"/>
    <col min="6830" max="6830" width="8" style="111" bestFit="1" customWidth="1"/>
    <col min="6831" max="6831" width="7.7109375" style="111" bestFit="1" customWidth="1"/>
    <col min="6832" max="6832" width="10.42578125" style="111" bestFit="1" customWidth="1"/>
    <col min="6833" max="6833" width="7.42578125" style="111" bestFit="1" customWidth="1"/>
    <col min="6834" max="6834" width="7.7109375" style="111" bestFit="1" customWidth="1"/>
    <col min="6835" max="6835" width="10.42578125" style="111" bestFit="1" customWidth="1"/>
    <col min="6836" max="6836" width="7.42578125" style="111" bestFit="1" customWidth="1"/>
    <col min="6837" max="6837" width="7.7109375" style="111" bestFit="1" customWidth="1"/>
    <col min="6838" max="6838" width="10.42578125" style="111" bestFit="1" customWidth="1"/>
    <col min="6839" max="6839" width="5.140625" style="111" customWidth="1"/>
    <col min="6840" max="7062" width="8.7109375" style="111"/>
    <col min="7063" max="7063" width="3.42578125" style="111" customWidth="1"/>
    <col min="7064" max="7064" width="7" style="111" customWidth="1"/>
    <col min="7065" max="7065" width="25.42578125" style="111" customWidth="1"/>
    <col min="7066" max="7066" width="12" style="111" customWidth="1"/>
    <col min="7067" max="7067" width="12.7109375" style="111" bestFit="1" customWidth="1"/>
    <col min="7068" max="7068" width="7.42578125" style="111" bestFit="1" customWidth="1"/>
    <col min="7069" max="7069" width="7.7109375" style="111" bestFit="1" customWidth="1"/>
    <col min="7070" max="7070" width="15" style="111" customWidth="1"/>
    <col min="7071" max="7071" width="7.42578125" style="111" bestFit="1" customWidth="1"/>
    <col min="7072" max="7072" width="7.7109375" style="111" bestFit="1" customWidth="1"/>
    <col min="7073" max="7073" width="15" style="111" bestFit="1" customWidth="1"/>
    <col min="7074" max="7074" width="7.42578125" style="111" bestFit="1" customWidth="1"/>
    <col min="7075" max="7075" width="7.7109375" style="111" bestFit="1" customWidth="1"/>
    <col min="7076" max="7076" width="9.42578125" style="111" bestFit="1" customWidth="1"/>
    <col min="7077" max="7077" width="8" style="111" bestFit="1" customWidth="1"/>
    <col min="7078" max="7078" width="7.7109375" style="111" bestFit="1" customWidth="1"/>
    <col min="7079" max="7079" width="10.42578125" style="111" bestFit="1" customWidth="1"/>
    <col min="7080" max="7080" width="8" style="111" bestFit="1" customWidth="1"/>
    <col min="7081" max="7081" width="7.7109375" style="111" bestFit="1" customWidth="1"/>
    <col min="7082" max="7082" width="10.42578125" style="111" bestFit="1" customWidth="1"/>
    <col min="7083" max="7083" width="7.42578125" style="111" bestFit="1" customWidth="1"/>
    <col min="7084" max="7084" width="7.7109375" style="111" bestFit="1" customWidth="1"/>
    <col min="7085" max="7085" width="10.42578125" style="111" bestFit="1" customWidth="1"/>
    <col min="7086" max="7086" width="8" style="111" bestFit="1" customWidth="1"/>
    <col min="7087" max="7087" width="7.7109375" style="111" bestFit="1" customWidth="1"/>
    <col min="7088" max="7088" width="10.42578125" style="111" bestFit="1" customWidth="1"/>
    <col min="7089" max="7089" width="7.42578125" style="111" bestFit="1" customWidth="1"/>
    <col min="7090" max="7090" width="7.7109375" style="111" bestFit="1" customWidth="1"/>
    <col min="7091" max="7091" width="10.42578125" style="111" bestFit="1" customWidth="1"/>
    <col min="7092" max="7092" width="7.42578125" style="111" bestFit="1" customWidth="1"/>
    <col min="7093" max="7093" width="7.7109375" style="111" bestFit="1" customWidth="1"/>
    <col min="7094" max="7094" width="10.42578125" style="111" bestFit="1" customWidth="1"/>
    <col min="7095" max="7095" width="5.140625" style="111" customWidth="1"/>
    <col min="7096" max="7318" width="8.7109375" style="111"/>
    <col min="7319" max="7319" width="3.42578125" style="111" customWidth="1"/>
    <col min="7320" max="7320" width="7" style="111" customWidth="1"/>
    <col min="7321" max="7321" width="25.42578125" style="111" customWidth="1"/>
    <col min="7322" max="7322" width="12" style="111" customWidth="1"/>
    <col min="7323" max="7323" width="12.7109375" style="111" bestFit="1" customWidth="1"/>
    <col min="7324" max="7324" width="7.42578125" style="111" bestFit="1" customWidth="1"/>
    <col min="7325" max="7325" width="7.7109375" style="111" bestFit="1" customWidth="1"/>
    <col min="7326" max="7326" width="15" style="111" customWidth="1"/>
    <col min="7327" max="7327" width="7.42578125" style="111" bestFit="1" customWidth="1"/>
    <col min="7328" max="7328" width="7.7109375" style="111" bestFit="1" customWidth="1"/>
    <col min="7329" max="7329" width="15" style="111" bestFit="1" customWidth="1"/>
    <col min="7330" max="7330" width="7.42578125" style="111" bestFit="1" customWidth="1"/>
    <col min="7331" max="7331" width="7.7109375" style="111" bestFit="1" customWidth="1"/>
    <col min="7332" max="7332" width="9.42578125" style="111" bestFit="1" customWidth="1"/>
    <col min="7333" max="7333" width="8" style="111" bestFit="1" customWidth="1"/>
    <col min="7334" max="7334" width="7.7109375" style="111" bestFit="1" customWidth="1"/>
    <col min="7335" max="7335" width="10.42578125" style="111" bestFit="1" customWidth="1"/>
    <col min="7336" max="7336" width="8" style="111" bestFit="1" customWidth="1"/>
    <col min="7337" max="7337" width="7.7109375" style="111" bestFit="1" customWidth="1"/>
    <col min="7338" max="7338" width="10.42578125" style="111" bestFit="1" customWidth="1"/>
    <col min="7339" max="7339" width="7.42578125" style="111" bestFit="1" customWidth="1"/>
    <col min="7340" max="7340" width="7.7109375" style="111" bestFit="1" customWidth="1"/>
    <col min="7341" max="7341" width="10.42578125" style="111" bestFit="1" customWidth="1"/>
    <col min="7342" max="7342" width="8" style="111" bestFit="1" customWidth="1"/>
    <col min="7343" max="7343" width="7.7109375" style="111" bestFit="1" customWidth="1"/>
    <col min="7344" max="7344" width="10.42578125" style="111" bestFit="1" customWidth="1"/>
    <col min="7345" max="7345" width="7.42578125" style="111" bestFit="1" customWidth="1"/>
    <col min="7346" max="7346" width="7.7109375" style="111" bestFit="1" customWidth="1"/>
    <col min="7347" max="7347" width="10.42578125" style="111" bestFit="1" customWidth="1"/>
    <col min="7348" max="7348" width="7.42578125" style="111" bestFit="1" customWidth="1"/>
    <col min="7349" max="7349" width="7.7109375" style="111" bestFit="1" customWidth="1"/>
    <col min="7350" max="7350" width="10.42578125" style="111" bestFit="1" customWidth="1"/>
    <col min="7351" max="7351" width="5.140625" style="111" customWidth="1"/>
    <col min="7352" max="7574" width="8.7109375" style="111"/>
    <col min="7575" max="7575" width="3.42578125" style="111" customWidth="1"/>
    <col min="7576" max="7576" width="7" style="111" customWidth="1"/>
    <col min="7577" max="7577" width="25.42578125" style="111" customWidth="1"/>
    <col min="7578" max="7578" width="12" style="111" customWidth="1"/>
    <col min="7579" max="7579" width="12.7109375" style="111" bestFit="1" customWidth="1"/>
    <col min="7580" max="7580" width="7.42578125" style="111" bestFit="1" customWidth="1"/>
    <col min="7581" max="7581" width="7.7109375" style="111" bestFit="1" customWidth="1"/>
    <col min="7582" max="7582" width="15" style="111" customWidth="1"/>
    <col min="7583" max="7583" width="7.42578125" style="111" bestFit="1" customWidth="1"/>
    <col min="7584" max="7584" width="7.7109375" style="111" bestFit="1" customWidth="1"/>
    <col min="7585" max="7585" width="15" style="111" bestFit="1" customWidth="1"/>
    <col min="7586" max="7586" width="7.42578125" style="111" bestFit="1" customWidth="1"/>
    <col min="7587" max="7587" width="7.7109375" style="111" bestFit="1" customWidth="1"/>
    <col min="7588" max="7588" width="9.42578125" style="111" bestFit="1" customWidth="1"/>
    <col min="7589" max="7589" width="8" style="111" bestFit="1" customWidth="1"/>
    <col min="7590" max="7590" width="7.7109375" style="111" bestFit="1" customWidth="1"/>
    <col min="7591" max="7591" width="10.42578125" style="111" bestFit="1" customWidth="1"/>
    <col min="7592" max="7592" width="8" style="111" bestFit="1" customWidth="1"/>
    <col min="7593" max="7593" width="7.7109375" style="111" bestFit="1" customWidth="1"/>
    <col min="7594" max="7594" width="10.42578125" style="111" bestFit="1" customWidth="1"/>
    <col min="7595" max="7595" width="7.42578125" style="111" bestFit="1" customWidth="1"/>
    <col min="7596" max="7596" width="7.7109375" style="111" bestFit="1" customWidth="1"/>
    <col min="7597" max="7597" width="10.42578125" style="111" bestFit="1" customWidth="1"/>
    <col min="7598" max="7598" width="8" style="111" bestFit="1" customWidth="1"/>
    <col min="7599" max="7599" width="7.7109375" style="111" bestFit="1" customWidth="1"/>
    <col min="7600" max="7600" width="10.42578125" style="111" bestFit="1" customWidth="1"/>
    <col min="7601" max="7601" width="7.42578125" style="111" bestFit="1" customWidth="1"/>
    <col min="7602" max="7602" width="7.7109375" style="111" bestFit="1" customWidth="1"/>
    <col min="7603" max="7603" width="10.42578125" style="111" bestFit="1" customWidth="1"/>
    <col min="7604" max="7604" width="7.42578125" style="111" bestFit="1" customWidth="1"/>
    <col min="7605" max="7605" width="7.7109375" style="111" bestFit="1" customWidth="1"/>
    <col min="7606" max="7606" width="10.42578125" style="111" bestFit="1" customWidth="1"/>
    <col min="7607" max="7607" width="5.140625" style="111" customWidth="1"/>
    <col min="7608" max="7830" width="8.7109375" style="111"/>
    <col min="7831" max="7831" width="3.42578125" style="111" customWidth="1"/>
    <col min="7832" max="7832" width="7" style="111" customWidth="1"/>
    <col min="7833" max="7833" width="25.42578125" style="111" customWidth="1"/>
    <col min="7834" max="7834" width="12" style="111" customWidth="1"/>
    <col min="7835" max="7835" width="12.7109375" style="111" bestFit="1" customWidth="1"/>
    <col min="7836" max="7836" width="7.42578125" style="111" bestFit="1" customWidth="1"/>
    <col min="7837" max="7837" width="7.7109375" style="111" bestFit="1" customWidth="1"/>
    <col min="7838" max="7838" width="15" style="111" customWidth="1"/>
    <col min="7839" max="7839" width="7.42578125" style="111" bestFit="1" customWidth="1"/>
    <col min="7840" max="7840" width="7.7109375" style="111" bestFit="1" customWidth="1"/>
    <col min="7841" max="7841" width="15" style="111" bestFit="1" customWidth="1"/>
    <col min="7842" max="7842" width="7.42578125" style="111" bestFit="1" customWidth="1"/>
    <col min="7843" max="7843" width="7.7109375" style="111" bestFit="1" customWidth="1"/>
    <col min="7844" max="7844" width="9.42578125" style="111" bestFit="1" customWidth="1"/>
    <col min="7845" max="7845" width="8" style="111" bestFit="1" customWidth="1"/>
    <col min="7846" max="7846" width="7.7109375" style="111" bestFit="1" customWidth="1"/>
    <col min="7847" max="7847" width="10.42578125" style="111" bestFit="1" customWidth="1"/>
    <col min="7848" max="7848" width="8" style="111" bestFit="1" customWidth="1"/>
    <col min="7849" max="7849" width="7.7109375" style="111" bestFit="1" customWidth="1"/>
    <col min="7850" max="7850" width="10.42578125" style="111" bestFit="1" customWidth="1"/>
    <col min="7851" max="7851" width="7.42578125" style="111" bestFit="1" customWidth="1"/>
    <col min="7852" max="7852" width="7.7109375" style="111" bestFit="1" customWidth="1"/>
    <col min="7853" max="7853" width="10.42578125" style="111" bestFit="1" customWidth="1"/>
    <col min="7854" max="7854" width="8" style="111" bestFit="1" customWidth="1"/>
    <col min="7855" max="7855" width="7.7109375" style="111" bestFit="1" customWidth="1"/>
    <col min="7856" max="7856" width="10.42578125" style="111" bestFit="1" customWidth="1"/>
    <col min="7857" max="7857" width="7.42578125" style="111" bestFit="1" customWidth="1"/>
    <col min="7858" max="7858" width="7.7109375" style="111" bestFit="1" customWidth="1"/>
    <col min="7859" max="7859" width="10.42578125" style="111" bestFit="1" customWidth="1"/>
    <col min="7860" max="7860" width="7.42578125" style="111" bestFit="1" customWidth="1"/>
    <col min="7861" max="7861" width="7.7109375" style="111" bestFit="1" customWidth="1"/>
    <col min="7862" max="7862" width="10.42578125" style="111" bestFit="1" customWidth="1"/>
    <col min="7863" max="7863" width="5.140625" style="111" customWidth="1"/>
    <col min="7864" max="8086" width="8.7109375" style="111"/>
    <col min="8087" max="8087" width="3.42578125" style="111" customWidth="1"/>
    <col min="8088" max="8088" width="7" style="111" customWidth="1"/>
    <col min="8089" max="8089" width="25.42578125" style="111" customWidth="1"/>
    <col min="8090" max="8090" width="12" style="111" customWidth="1"/>
    <col min="8091" max="8091" width="12.7109375" style="111" bestFit="1" customWidth="1"/>
    <col min="8092" max="8092" width="7.42578125" style="111" bestFit="1" customWidth="1"/>
    <col min="8093" max="8093" width="7.7109375" style="111" bestFit="1" customWidth="1"/>
    <col min="8094" max="8094" width="15" style="111" customWidth="1"/>
    <col min="8095" max="8095" width="7.42578125" style="111" bestFit="1" customWidth="1"/>
    <col min="8096" max="8096" width="7.7109375" style="111" bestFit="1" customWidth="1"/>
    <col min="8097" max="8097" width="15" style="111" bestFit="1" customWidth="1"/>
    <col min="8098" max="8098" width="7.42578125" style="111" bestFit="1" customWidth="1"/>
    <col min="8099" max="8099" width="7.7109375" style="111" bestFit="1" customWidth="1"/>
    <col min="8100" max="8100" width="9.42578125" style="111" bestFit="1" customWidth="1"/>
    <col min="8101" max="8101" width="8" style="111" bestFit="1" customWidth="1"/>
    <col min="8102" max="8102" width="7.7109375" style="111" bestFit="1" customWidth="1"/>
    <col min="8103" max="8103" width="10.42578125" style="111" bestFit="1" customWidth="1"/>
    <col min="8104" max="8104" width="8" style="111" bestFit="1" customWidth="1"/>
    <col min="8105" max="8105" width="7.7109375" style="111" bestFit="1" customWidth="1"/>
    <col min="8106" max="8106" width="10.42578125" style="111" bestFit="1" customWidth="1"/>
    <col min="8107" max="8107" width="7.42578125" style="111" bestFit="1" customWidth="1"/>
    <col min="8108" max="8108" width="7.7109375" style="111" bestFit="1" customWidth="1"/>
    <col min="8109" max="8109" width="10.42578125" style="111" bestFit="1" customWidth="1"/>
    <col min="8110" max="8110" width="8" style="111" bestFit="1" customWidth="1"/>
    <col min="8111" max="8111" width="7.7109375" style="111" bestFit="1" customWidth="1"/>
    <col min="8112" max="8112" width="10.42578125" style="111" bestFit="1" customWidth="1"/>
    <col min="8113" max="8113" width="7.42578125" style="111" bestFit="1" customWidth="1"/>
    <col min="8114" max="8114" width="7.7109375" style="111" bestFit="1" customWidth="1"/>
    <col min="8115" max="8115" width="10.42578125" style="111" bestFit="1" customWidth="1"/>
    <col min="8116" max="8116" width="7.42578125" style="111" bestFit="1" customWidth="1"/>
    <col min="8117" max="8117" width="7.7109375" style="111" bestFit="1" customWidth="1"/>
    <col min="8118" max="8118" width="10.42578125" style="111" bestFit="1" customWidth="1"/>
    <col min="8119" max="8119" width="5.140625" style="111" customWidth="1"/>
    <col min="8120" max="8342" width="8.7109375" style="111"/>
    <col min="8343" max="8343" width="3.42578125" style="111" customWidth="1"/>
    <col min="8344" max="8344" width="7" style="111" customWidth="1"/>
    <col min="8345" max="8345" width="25.42578125" style="111" customWidth="1"/>
    <col min="8346" max="8346" width="12" style="111" customWidth="1"/>
    <col min="8347" max="8347" width="12.7109375" style="111" bestFit="1" customWidth="1"/>
    <col min="8348" max="8348" width="7.42578125" style="111" bestFit="1" customWidth="1"/>
    <col min="8349" max="8349" width="7.7109375" style="111" bestFit="1" customWidth="1"/>
    <col min="8350" max="8350" width="15" style="111" customWidth="1"/>
    <col min="8351" max="8351" width="7.42578125" style="111" bestFit="1" customWidth="1"/>
    <col min="8352" max="8352" width="7.7109375" style="111" bestFit="1" customWidth="1"/>
    <col min="8353" max="8353" width="15" style="111" bestFit="1" customWidth="1"/>
    <col min="8354" max="8354" width="7.42578125" style="111" bestFit="1" customWidth="1"/>
    <col min="8355" max="8355" width="7.7109375" style="111" bestFit="1" customWidth="1"/>
    <col min="8356" max="8356" width="9.42578125" style="111" bestFit="1" customWidth="1"/>
    <col min="8357" max="8357" width="8" style="111" bestFit="1" customWidth="1"/>
    <col min="8358" max="8358" width="7.7109375" style="111" bestFit="1" customWidth="1"/>
    <col min="8359" max="8359" width="10.42578125" style="111" bestFit="1" customWidth="1"/>
    <col min="8360" max="8360" width="8" style="111" bestFit="1" customWidth="1"/>
    <col min="8361" max="8361" width="7.7109375" style="111" bestFit="1" customWidth="1"/>
    <col min="8362" max="8362" width="10.42578125" style="111" bestFit="1" customWidth="1"/>
    <col min="8363" max="8363" width="7.42578125" style="111" bestFit="1" customWidth="1"/>
    <col min="8364" max="8364" width="7.7109375" style="111" bestFit="1" customWidth="1"/>
    <col min="8365" max="8365" width="10.42578125" style="111" bestFit="1" customWidth="1"/>
    <col min="8366" max="8366" width="8" style="111" bestFit="1" customWidth="1"/>
    <col min="8367" max="8367" width="7.7109375" style="111" bestFit="1" customWidth="1"/>
    <col min="8368" max="8368" width="10.42578125" style="111" bestFit="1" customWidth="1"/>
    <col min="8369" max="8369" width="7.42578125" style="111" bestFit="1" customWidth="1"/>
    <col min="8370" max="8370" width="7.7109375" style="111" bestFit="1" customWidth="1"/>
    <col min="8371" max="8371" width="10.42578125" style="111" bestFit="1" customWidth="1"/>
    <col min="8372" max="8372" width="7.42578125" style="111" bestFit="1" customWidth="1"/>
    <col min="8373" max="8373" width="7.7109375" style="111" bestFit="1" customWidth="1"/>
    <col min="8374" max="8374" width="10.42578125" style="111" bestFit="1" customWidth="1"/>
    <col min="8375" max="8375" width="5.140625" style="111" customWidth="1"/>
    <col min="8376" max="8598" width="8.7109375" style="111"/>
    <col min="8599" max="8599" width="3.42578125" style="111" customWidth="1"/>
    <col min="8600" max="8600" width="7" style="111" customWidth="1"/>
    <col min="8601" max="8601" width="25.42578125" style="111" customWidth="1"/>
    <col min="8602" max="8602" width="12" style="111" customWidth="1"/>
    <col min="8603" max="8603" width="12.7109375" style="111" bestFit="1" customWidth="1"/>
    <col min="8604" max="8604" width="7.42578125" style="111" bestFit="1" customWidth="1"/>
    <col min="8605" max="8605" width="7.7109375" style="111" bestFit="1" customWidth="1"/>
    <col min="8606" max="8606" width="15" style="111" customWidth="1"/>
    <col min="8607" max="8607" width="7.42578125" style="111" bestFit="1" customWidth="1"/>
    <col min="8608" max="8608" width="7.7109375" style="111" bestFit="1" customWidth="1"/>
    <col min="8609" max="8609" width="15" style="111" bestFit="1" customWidth="1"/>
    <col min="8610" max="8610" width="7.42578125" style="111" bestFit="1" customWidth="1"/>
    <col min="8611" max="8611" width="7.7109375" style="111" bestFit="1" customWidth="1"/>
    <col min="8612" max="8612" width="9.42578125" style="111" bestFit="1" customWidth="1"/>
    <col min="8613" max="8613" width="8" style="111" bestFit="1" customWidth="1"/>
    <col min="8614" max="8614" width="7.7109375" style="111" bestFit="1" customWidth="1"/>
    <col min="8615" max="8615" width="10.42578125" style="111" bestFit="1" customWidth="1"/>
    <col min="8616" max="8616" width="8" style="111" bestFit="1" customWidth="1"/>
    <col min="8617" max="8617" width="7.7109375" style="111" bestFit="1" customWidth="1"/>
    <col min="8618" max="8618" width="10.42578125" style="111" bestFit="1" customWidth="1"/>
    <col min="8619" max="8619" width="7.42578125" style="111" bestFit="1" customWidth="1"/>
    <col min="8620" max="8620" width="7.7109375" style="111" bestFit="1" customWidth="1"/>
    <col min="8621" max="8621" width="10.42578125" style="111" bestFit="1" customWidth="1"/>
    <col min="8622" max="8622" width="8" style="111" bestFit="1" customWidth="1"/>
    <col min="8623" max="8623" width="7.7109375" style="111" bestFit="1" customWidth="1"/>
    <col min="8624" max="8624" width="10.42578125" style="111" bestFit="1" customWidth="1"/>
    <col min="8625" max="8625" width="7.42578125" style="111" bestFit="1" customWidth="1"/>
    <col min="8626" max="8626" width="7.7109375" style="111" bestFit="1" customWidth="1"/>
    <col min="8627" max="8627" width="10.42578125" style="111" bestFit="1" customWidth="1"/>
    <col min="8628" max="8628" width="7.42578125" style="111" bestFit="1" customWidth="1"/>
    <col min="8629" max="8629" width="7.7109375" style="111" bestFit="1" customWidth="1"/>
    <col min="8630" max="8630" width="10.42578125" style="111" bestFit="1" customWidth="1"/>
    <col min="8631" max="8631" width="5.140625" style="111" customWidth="1"/>
    <col min="8632" max="8854" width="8.7109375" style="111"/>
    <col min="8855" max="8855" width="3.42578125" style="111" customWidth="1"/>
    <col min="8856" max="8856" width="7" style="111" customWidth="1"/>
    <col min="8857" max="8857" width="25.42578125" style="111" customWidth="1"/>
    <col min="8858" max="8858" width="12" style="111" customWidth="1"/>
    <col min="8859" max="8859" width="12.7109375" style="111" bestFit="1" customWidth="1"/>
    <col min="8860" max="8860" width="7.42578125" style="111" bestFit="1" customWidth="1"/>
    <col min="8861" max="8861" width="7.7109375" style="111" bestFit="1" customWidth="1"/>
    <col min="8862" max="8862" width="15" style="111" customWidth="1"/>
    <col min="8863" max="8863" width="7.42578125" style="111" bestFit="1" customWidth="1"/>
    <col min="8864" max="8864" width="7.7109375" style="111" bestFit="1" customWidth="1"/>
    <col min="8865" max="8865" width="15" style="111" bestFit="1" customWidth="1"/>
    <col min="8866" max="8866" width="7.42578125" style="111" bestFit="1" customWidth="1"/>
    <col min="8867" max="8867" width="7.7109375" style="111" bestFit="1" customWidth="1"/>
    <col min="8868" max="8868" width="9.42578125" style="111" bestFit="1" customWidth="1"/>
    <col min="8869" max="8869" width="8" style="111" bestFit="1" customWidth="1"/>
    <col min="8870" max="8870" width="7.7109375" style="111" bestFit="1" customWidth="1"/>
    <col min="8871" max="8871" width="10.42578125" style="111" bestFit="1" customWidth="1"/>
    <col min="8872" max="8872" width="8" style="111" bestFit="1" customWidth="1"/>
    <col min="8873" max="8873" width="7.7109375" style="111" bestFit="1" customWidth="1"/>
    <col min="8874" max="8874" width="10.42578125" style="111" bestFit="1" customWidth="1"/>
    <col min="8875" max="8875" width="7.42578125" style="111" bestFit="1" customWidth="1"/>
    <col min="8876" max="8876" width="7.7109375" style="111" bestFit="1" customWidth="1"/>
    <col min="8877" max="8877" width="10.42578125" style="111" bestFit="1" customWidth="1"/>
    <col min="8878" max="8878" width="8" style="111" bestFit="1" customWidth="1"/>
    <col min="8879" max="8879" width="7.7109375" style="111" bestFit="1" customWidth="1"/>
    <col min="8880" max="8880" width="10.42578125" style="111" bestFit="1" customWidth="1"/>
    <col min="8881" max="8881" width="7.42578125" style="111" bestFit="1" customWidth="1"/>
    <col min="8882" max="8882" width="7.7109375" style="111" bestFit="1" customWidth="1"/>
    <col min="8883" max="8883" width="10.42578125" style="111" bestFit="1" customWidth="1"/>
    <col min="8884" max="8884" width="7.42578125" style="111" bestFit="1" customWidth="1"/>
    <col min="8885" max="8885" width="7.7109375" style="111" bestFit="1" customWidth="1"/>
    <col min="8886" max="8886" width="10.42578125" style="111" bestFit="1" customWidth="1"/>
    <col min="8887" max="8887" width="5.140625" style="111" customWidth="1"/>
    <col min="8888" max="9110" width="8.7109375" style="111"/>
    <col min="9111" max="9111" width="3.42578125" style="111" customWidth="1"/>
    <col min="9112" max="9112" width="7" style="111" customWidth="1"/>
    <col min="9113" max="9113" width="25.42578125" style="111" customWidth="1"/>
    <col min="9114" max="9114" width="12" style="111" customWidth="1"/>
    <col min="9115" max="9115" width="12.7109375" style="111" bestFit="1" customWidth="1"/>
    <col min="9116" max="9116" width="7.42578125" style="111" bestFit="1" customWidth="1"/>
    <col min="9117" max="9117" width="7.7109375" style="111" bestFit="1" customWidth="1"/>
    <col min="9118" max="9118" width="15" style="111" customWidth="1"/>
    <col min="9119" max="9119" width="7.42578125" style="111" bestFit="1" customWidth="1"/>
    <col min="9120" max="9120" width="7.7109375" style="111" bestFit="1" customWidth="1"/>
    <col min="9121" max="9121" width="15" style="111" bestFit="1" customWidth="1"/>
    <col min="9122" max="9122" width="7.42578125" style="111" bestFit="1" customWidth="1"/>
    <col min="9123" max="9123" width="7.7109375" style="111" bestFit="1" customWidth="1"/>
    <col min="9124" max="9124" width="9.42578125" style="111" bestFit="1" customWidth="1"/>
    <col min="9125" max="9125" width="8" style="111" bestFit="1" customWidth="1"/>
    <col min="9126" max="9126" width="7.7109375" style="111" bestFit="1" customWidth="1"/>
    <col min="9127" max="9127" width="10.42578125" style="111" bestFit="1" customWidth="1"/>
    <col min="9128" max="9128" width="8" style="111" bestFit="1" customWidth="1"/>
    <col min="9129" max="9129" width="7.7109375" style="111" bestFit="1" customWidth="1"/>
    <col min="9130" max="9130" width="10.42578125" style="111" bestFit="1" customWidth="1"/>
    <col min="9131" max="9131" width="7.42578125" style="111" bestFit="1" customWidth="1"/>
    <col min="9132" max="9132" width="7.7109375" style="111" bestFit="1" customWidth="1"/>
    <col min="9133" max="9133" width="10.42578125" style="111" bestFit="1" customWidth="1"/>
    <col min="9134" max="9134" width="8" style="111" bestFit="1" customWidth="1"/>
    <col min="9135" max="9135" width="7.7109375" style="111" bestFit="1" customWidth="1"/>
    <col min="9136" max="9136" width="10.42578125" style="111" bestFit="1" customWidth="1"/>
    <col min="9137" max="9137" width="7.42578125" style="111" bestFit="1" customWidth="1"/>
    <col min="9138" max="9138" width="7.7109375" style="111" bestFit="1" customWidth="1"/>
    <col min="9139" max="9139" width="10.42578125" style="111" bestFit="1" customWidth="1"/>
    <col min="9140" max="9140" width="7.42578125" style="111" bestFit="1" customWidth="1"/>
    <col min="9141" max="9141" width="7.7109375" style="111" bestFit="1" customWidth="1"/>
    <col min="9142" max="9142" width="10.42578125" style="111" bestFit="1" customWidth="1"/>
    <col min="9143" max="9143" width="5.140625" style="111" customWidth="1"/>
    <col min="9144" max="9366" width="8.7109375" style="111"/>
    <col min="9367" max="9367" width="3.42578125" style="111" customWidth="1"/>
    <col min="9368" max="9368" width="7" style="111" customWidth="1"/>
    <col min="9369" max="9369" width="25.42578125" style="111" customWidth="1"/>
    <col min="9370" max="9370" width="12" style="111" customWidth="1"/>
    <col min="9371" max="9371" width="12.7109375" style="111" bestFit="1" customWidth="1"/>
    <col min="9372" max="9372" width="7.42578125" style="111" bestFit="1" customWidth="1"/>
    <col min="9373" max="9373" width="7.7109375" style="111" bestFit="1" customWidth="1"/>
    <col min="9374" max="9374" width="15" style="111" customWidth="1"/>
    <col min="9375" max="9375" width="7.42578125" style="111" bestFit="1" customWidth="1"/>
    <col min="9376" max="9376" width="7.7109375" style="111" bestFit="1" customWidth="1"/>
    <col min="9377" max="9377" width="15" style="111" bestFit="1" customWidth="1"/>
    <col min="9378" max="9378" width="7.42578125" style="111" bestFit="1" customWidth="1"/>
    <col min="9379" max="9379" width="7.7109375" style="111" bestFit="1" customWidth="1"/>
    <col min="9380" max="9380" width="9.42578125" style="111" bestFit="1" customWidth="1"/>
    <col min="9381" max="9381" width="8" style="111" bestFit="1" customWidth="1"/>
    <col min="9382" max="9382" width="7.7109375" style="111" bestFit="1" customWidth="1"/>
    <col min="9383" max="9383" width="10.42578125" style="111" bestFit="1" customWidth="1"/>
    <col min="9384" max="9384" width="8" style="111" bestFit="1" customWidth="1"/>
    <col min="9385" max="9385" width="7.7109375" style="111" bestFit="1" customWidth="1"/>
    <col min="9386" max="9386" width="10.42578125" style="111" bestFit="1" customWidth="1"/>
    <col min="9387" max="9387" width="7.42578125" style="111" bestFit="1" customWidth="1"/>
    <col min="9388" max="9388" width="7.7109375" style="111" bestFit="1" customWidth="1"/>
    <col min="9389" max="9389" width="10.42578125" style="111" bestFit="1" customWidth="1"/>
    <col min="9390" max="9390" width="8" style="111" bestFit="1" customWidth="1"/>
    <col min="9391" max="9391" width="7.7109375" style="111" bestFit="1" customWidth="1"/>
    <col min="9392" max="9392" width="10.42578125" style="111" bestFit="1" customWidth="1"/>
    <col min="9393" max="9393" width="7.42578125" style="111" bestFit="1" customWidth="1"/>
    <col min="9394" max="9394" width="7.7109375" style="111" bestFit="1" customWidth="1"/>
    <col min="9395" max="9395" width="10.42578125" style="111" bestFit="1" customWidth="1"/>
    <col min="9396" max="9396" width="7.42578125" style="111" bestFit="1" customWidth="1"/>
    <col min="9397" max="9397" width="7.7109375" style="111" bestFit="1" customWidth="1"/>
    <col min="9398" max="9398" width="10.42578125" style="111" bestFit="1" customWidth="1"/>
    <col min="9399" max="9399" width="5.140625" style="111" customWidth="1"/>
    <col min="9400" max="9622" width="8.7109375" style="111"/>
    <col min="9623" max="9623" width="3.42578125" style="111" customWidth="1"/>
    <col min="9624" max="9624" width="7" style="111" customWidth="1"/>
    <col min="9625" max="9625" width="25.42578125" style="111" customWidth="1"/>
    <col min="9626" max="9626" width="12" style="111" customWidth="1"/>
    <col min="9627" max="9627" width="12.7109375" style="111" bestFit="1" customWidth="1"/>
    <col min="9628" max="9628" width="7.42578125" style="111" bestFit="1" customWidth="1"/>
    <col min="9629" max="9629" width="7.7109375" style="111" bestFit="1" customWidth="1"/>
    <col min="9630" max="9630" width="15" style="111" customWidth="1"/>
    <col min="9631" max="9631" width="7.42578125" style="111" bestFit="1" customWidth="1"/>
    <col min="9632" max="9632" width="7.7109375" style="111" bestFit="1" customWidth="1"/>
    <col min="9633" max="9633" width="15" style="111" bestFit="1" customWidth="1"/>
    <col min="9634" max="9634" width="7.42578125" style="111" bestFit="1" customWidth="1"/>
    <col min="9635" max="9635" width="7.7109375" style="111" bestFit="1" customWidth="1"/>
    <col min="9636" max="9636" width="9.42578125" style="111" bestFit="1" customWidth="1"/>
    <col min="9637" max="9637" width="8" style="111" bestFit="1" customWidth="1"/>
    <col min="9638" max="9638" width="7.7109375" style="111" bestFit="1" customWidth="1"/>
    <col min="9639" max="9639" width="10.42578125" style="111" bestFit="1" customWidth="1"/>
    <col min="9640" max="9640" width="8" style="111" bestFit="1" customWidth="1"/>
    <col min="9641" max="9641" width="7.7109375" style="111" bestFit="1" customWidth="1"/>
    <col min="9642" max="9642" width="10.42578125" style="111" bestFit="1" customWidth="1"/>
    <col min="9643" max="9643" width="7.42578125" style="111" bestFit="1" customWidth="1"/>
    <col min="9644" max="9644" width="7.7109375" style="111" bestFit="1" customWidth="1"/>
    <col min="9645" max="9645" width="10.42578125" style="111" bestFit="1" customWidth="1"/>
    <col min="9646" max="9646" width="8" style="111" bestFit="1" customWidth="1"/>
    <col min="9647" max="9647" width="7.7109375" style="111" bestFit="1" customWidth="1"/>
    <col min="9648" max="9648" width="10.42578125" style="111" bestFit="1" customWidth="1"/>
    <col min="9649" max="9649" width="7.42578125" style="111" bestFit="1" customWidth="1"/>
    <col min="9650" max="9650" width="7.7109375" style="111" bestFit="1" customWidth="1"/>
    <col min="9651" max="9651" width="10.42578125" style="111" bestFit="1" customWidth="1"/>
    <col min="9652" max="9652" width="7.42578125" style="111" bestFit="1" customWidth="1"/>
    <col min="9653" max="9653" width="7.7109375" style="111" bestFit="1" customWidth="1"/>
    <col min="9654" max="9654" width="10.42578125" style="111" bestFit="1" customWidth="1"/>
    <col min="9655" max="9655" width="5.140625" style="111" customWidth="1"/>
    <col min="9656" max="9878" width="8.7109375" style="111"/>
    <col min="9879" max="9879" width="3.42578125" style="111" customWidth="1"/>
    <col min="9880" max="9880" width="7" style="111" customWidth="1"/>
    <col min="9881" max="9881" width="25.42578125" style="111" customWidth="1"/>
    <col min="9882" max="9882" width="12" style="111" customWidth="1"/>
    <col min="9883" max="9883" width="12.7109375" style="111" bestFit="1" customWidth="1"/>
    <col min="9884" max="9884" width="7.42578125" style="111" bestFit="1" customWidth="1"/>
    <col min="9885" max="9885" width="7.7109375" style="111" bestFit="1" customWidth="1"/>
    <col min="9886" max="9886" width="15" style="111" customWidth="1"/>
    <col min="9887" max="9887" width="7.42578125" style="111" bestFit="1" customWidth="1"/>
    <col min="9888" max="9888" width="7.7109375" style="111" bestFit="1" customWidth="1"/>
    <col min="9889" max="9889" width="15" style="111" bestFit="1" customWidth="1"/>
    <col min="9890" max="9890" width="7.42578125" style="111" bestFit="1" customWidth="1"/>
    <col min="9891" max="9891" width="7.7109375" style="111" bestFit="1" customWidth="1"/>
    <col min="9892" max="9892" width="9.42578125" style="111" bestFit="1" customWidth="1"/>
    <col min="9893" max="9893" width="8" style="111" bestFit="1" customWidth="1"/>
    <col min="9894" max="9894" width="7.7109375" style="111" bestFit="1" customWidth="1"/>
    <col min="9895" max="9895" width="10.42578125" style="111" bestFit="1" customWidth="1"/>
    <col min="9896" max="9896" width="8" style="111" bestFit="1" customWidth="1"/>
    <col min="9897" max="9897" width="7.7109375" style="111" bestFit="1" customWidth="1"/>
    <col min="9898" max="9898" width="10.42578125" style="111" bestFit="1" customWidth="1"/>
    <col min="9899" max="9899" width="7.42578125" style="111" bestFit="1" customWidth="1"/>
    <col min="9900" max="9900" width="7.7109375" style="111" bestFit="1" customWidth="1"/>
    <col min="9901" max="9901" width="10.42578125" style="111" bestFit="1" customWidth="1"/>
    <col min="9902" max="9902" width="8" style="111" bestFit="1" customWidth="1"/>
    <col min="9903" max="9903" width="7.7109375" style="111" bestFit="1" customWidth="1"/>
    <col min="9904" max="9904" width="10.42578125" style="111" bestFit="1" customWidth="1"/>
    <col min="9905" max="9905" width="7.42578125" style="111" bestFit="1" customWidth="1"/>
    <col min="9906" max="9906" width="7.7109375" style="111" bestFit="1" customWidth="1"/>
    <col min="9907" max="9907" width="10.42578125" style="111" bestFit="1" customWidth="1"/>
    <col min="9908" max="9908" width="7.42578125" style="111" bestFit="1" customWidth="1"/>
    <col min="9909" max="9909" width="7.7109375" style="111" bestFit="1" customWidth="1"/>
    <col min="9910" max="9910" width="10.42578125" style="111" bestFit="1" customWidth="1"/>
    <col min="9911" max="9911" width="5.140625" style="111" customWidth="1"/>
    <col min="9912" max="10134" width="8.7109375" style="111"/>
    <col min="10135" max="10135" width="3.42578125" style="111" customWidth="1"/>
    <col min="10136" max="10136" width="7" style="111" customWidth="1"/>
    <col min="10137" max="10137" width="25.42578125" style="111" customWidth="1"/>
    <col min="10138" max="10138" width="12" style="111" customWidth="1"/>
    <col min="10139" max="10139" width="12.7109375" style="111" bestFit="1" customWidth="1"/>
    <col min="10140" max="10140" width="7.42578125" style="111" bestFit="1" customWidth="1"/>
    <col min="10141" max="10141" width="7.7109375" style="111" bestFit="1" customWidth="1"/>
    <col min="10142" max="10142" width="15" style="111" customWidth="1"/>
    <col min="10143" max="10143" width="7.42578125" style="111" bestFit="1" customWidth="1"/>
    <col min="10144" max="10144" width="7.7109375" style="111" bestFit="1" customWidth="1"/>
    <col min="10145" max="10145" width="15" style="111" bestFit="1" customWidth="1"/>
    <col min="10146" max="10146" width="7.42578125" style="111" bestFit="1" customWidth="1"/>
    <col min="10147" max="10147" width="7.7109375" style="111" bestFit="1" customWidth="1"/>
    <col min="10148" max="10148" width="9.42578125" style="111" bestFit="1" customWidth="1"/>
    <col min="10149" max="10149" width="8" style="111" bestFit="1" customWidth="1"/>
    <col min="10150" max="10150" width="7.7109375" style="111" bestFit="1" customWidth="1"/>
    <col min="10151" max="10151" width="10.42578125" style="111" bestFit="1" customWidth="1"/>
    <col min="10152" max="10152" width="8" style="111" bestFit="1" customWidth="1"/>
    <col min="10153" max="10153" width="7.7109375" style="111" bestFit="1" customWidth="1"/>
    <col min="10154" max="10154" width="10.42578125" style="111" bestFit="1" customWidth="1"/>
    <col min="10155" max="10155" width="7.42578125" style="111" bestFit="1" customWidth="1"/>
    <col min="10156" max="10156" width="7.7109375" style="111" bestFit="1" customWidth="1"/>
    <col min="10157" max="10157" width="10.42578125" style="111" bestFit="1" customWidth="1"/>
    <col min="10158" max="10158" width="8" style="111" bestFit="1" customWidth="1"/>
    <col min="10159" max="10159" width="7.7109375" style="111" bestFit="1" customWidth="1"/>
    <col min="10160" max="10160" width="10.42578125" style="111" bestFit="1" customWidth="1"/>
    <col min="10161" max="10161" width="7.42578125" style="111" bestFit="1" customWidth="1"/>
    <col min="10162" max="10162" width="7.7109375" style="111" bestFit="1" customWidth="1"/>
    <col min="10163" max="10163" width="10.42578125" style="111" bestFit="1" customWidth="1"/>
    <col min="10164" max="10164" width="7.42578125" style="111" bestFit="1" customWidth="1"/>
    <col min="10165" max="10165" width="7.7109375" style="111" bestFit="1" customWidth="1"/>
    <col min="10166" max="10166" width="10.42578125" style="111" bestFit="1" customWidth="1"/>
    <col min="10167" max="10167" width="5.140625" style="111" customWidth="1"/>
    <col min="10168" max="10390" width="8.7109375" style="111"/>
    <col min="10391" max="10391" width="3.42578125" style="111" customWidth="1"/>
    <col min="10392" max="10392" width="7" style="111" customWidth="1"/>
    <col min="10393" max="10393" width="25.42578125" style="111" customWidth="1"/>
    <col min="10394" max="10394" width="12" style="111" customWidth="1"/>
    <col min="10395" max="10395" width="12.7109375" style="111" bestFit="1" customWidth="1"/>
    <col min="10396" max="10396" width="7.42578125" style="111" bestFit="1" customWidth="1"/>
    <col min="10397" max="10397" width="7.7109375" style="111" bestFit="1" customWidth="1"/>
    <col min="10398" max="10398" width="15" style="111" customWidth="1"/>
    <col min="10399" max="10399" width="7.42578125" style="111" bestFit="1" customWidth="1"/>
    <col min="10400" max="10400" width="7.7109375" style="111" bestFit="1" customWidth="1"/>
    <col min="10401" max="10401" width="15" style="111" bestFit="1" customWidth="1"/>
    <col min="10402" max="10402" width="7.42578125" style="111" bestFit="1" customWidth="1"/>
    <col min="10403" max="10403" width="7.7109375" style="111" bestFit="1" customWidth="1"/>
    <col min="10404" max="10404" width="9.42578125" style="111" bestFit="1" customWidth="1"/>
    <col min="10405" max="10405" width="8" style="111" bestFit="1" customWidth="1"/>
    <col min="10406" max="10406" width="7.7109375" style="111" bestFit="1" customWidth="1"/>
    <col min="10407" max="10407" width="10.42578125" style="111" bestFit="1" customWidth="1"/>
    <col min="10408" max="10408" width="8" style="111" bestFit="1" customWidth="1"/>
    <col min="10409" max="10409" width="7.7109375" style="111" bestFit="1" customWidth="1"/>
    <col min="10410" max="10410" width="10.42578125" style="111" bestFit="1" customWidth="1"/>
    <col min="10411" max="10411" width="7.42578125" style="111" bestFit="1" customWidth="1"/>
    <col min="10412" max="10412" width="7.7109375" style="111" bestFit="1" customWidth="1"/>
    <col min="10413" max="10413" width="10.42578125" style="111" bestFit="1" customWidth="1"/>
    <col min="10414" max="10414" width="8" style="111" bestFit="1" customWidth="1"/>
    <col min="10415" max="10415" width="7.7109375" style="111" bestFit="1" customWidth="1"/>
    <col min="10416" max="10416" width="10.42578125" style="111" bestFit="1" customWidth="1"/>
    <col min="10417" max="10417" width="7.42578125" style="111" bestFit="1" customWidth="1"/>
    <col min="10418" max="10418" width="7.7109375" style="111" bestFit="1" customWidth="1"/>
    <col min="10419" max="10419" width="10.42578125" style="111" bestFit="1" customWidth="1"/>
    <col min="10420" max="10420" width="7.42578125" style="111" bestFit="1" customWidth="1"/>
    <col min="10421" max="10421" width="7.7109375" style="111" bestFit="1" customWidth="1"/>
    <col min="10422" max="10422" width="10.42578125" style="111" bestFit="1" customWidth="1"/>
    <col min="10423" max="10423" width="5.140625" style="111" customWidth="1"/>
    <col min="10424" max="10646" width="8.7109375" style="111"/>
    <col min="10647" max="10647" width="3.42578125" style="111" customWidth="1"/>
    <col min="10648" max="10648" width="7" style="111" customWidth="1"/>
    <col min="10649" max="10649" width="25.42578125" style="111" customWidth="1"/>
    <col min="10650" max="10650" width="12" style="111" customWidth="1"/>
    <col min="10651" max="10651" width="12.7109375" style="111" bestFit="1" customWidth="1"/>
    <col min="10652" max="10652" width="7.42578125" style="111" bestFit="1" customWidth="1"/>
    <col min="10653" max="10653" width="7.7109375" style="111" bestFit="1" customWidth="1"/>
    <col min="10654" max="10654" width="15" style="111" customWidth="1"/>
    <col min="10655" max="10655" width="7.42578125" style="111" bestFit="1" customWidth="1"/>
    <col min="10656" max="10656" width="7.7109375" style="111" bestFit="1" customWidth="1"/>
    <col min="10657" max="10657" width="15" style="111" bestFit="1" customWidth="1"/>
    <col min="10658" max="10658" width="7.42578125" style="111" bestFit="1" customWidth="1"/>
    <col min="10659" max="10659" width="7.7109375" style="111" bestFit="1" customWidth="1"/>
    <col min="10660" max="10660" width="9.42578125" style="111" bestFit="1" customWidth="1"/>
    <col min="10661" max="10661" width="8" style="111" bestFit="1" customWidth="1"/>
    <col min="10662" max="10662" width="7.7109375" style="111" bestFit="1" customWidth="1"/>
    <col min="10663" max="10663" width="10.42578125" style="111" bestFit="1" customWidth="1"/>
    <col min="10664" max="10664" width="8" style="111" bestFit="1" customWidth="1"/>
    <col min="10665" max="10665" width="7.7109375" style="111" bestFit="1" customWidth="1"/>
    <col min="10666" max="10666" width="10.42578125" style="111" bestFit="1" customWidth="1"/>
    <col min="10667" max="10667" width="7.42578125" style="111" bestFit="1" customWidth="1"/>
    <col min="10668" max="10668" width="7.7109375" style="111" bestFit="1" customWidth="1"/>
    <col min="10669" max="10669" width="10.42578125" style="111" bestFit="1" customWidth="1"/>
    <col min="10670" max="10670" width="8" style="111" bestFit="1" customWidth="1"/>
    <col min="10671" max="10671" width="7.7109375" style="111" bestFit="1" customWidth="1"/>
    <col min="10672" max="10672" width="10.42578125" style="111" bestFit="1" customWidth="1"/>
    <col min="10673" max="10673" width="7.42578125" style="111" bestFit="1" customWidth="1"/>
    <col min="10674" max="10674" width="7.7109375" style="111" bestFit="1" customWidth="1"/>
    <col min="10675" max="10675" width="10.42578125" style="111" bestFit="1" customWidth="1"/>
    <col min="10676" max="10676" width="7.42578125" style="111" bestFit="1" customWidth="1"/>
    <col min="10677" max="10677" width="7.7109375" style="111" bestFit="1" customWidth="1"/>
    <col min="10678" max="10678" width="10.42578125" style="111" bestFit="1" customWidth="1"/>
    <col min="10679" max="10679" width="5.140625" style="111" customWidth="1"/>
    <col min="10680" max="10902" width="8.7109375" style="111"/>
    <col min="10903" max="10903" width="3.42578125" style="111" customWidth="1"/>
    <col min="10904" max="10904" width="7" style="111" customWidth="1"/>
    <col min="10905" max="10905" width="25.42578125" style="111" customWidth="1"/>
    <col min="10906" max="10906" width="12" style="111" customWidth="1"/>
    <col min="10907" max="10907" width="12.7109375" style="111" bestFit="1" customWidth="1"/>
    <col min="10908" max="10908" width="7.42578125" style="111" bestFit="1" customWidth="1"/>
    <col min="10909" max="10909" width="7.7109375" style="111" bestFit="1" customWidth="1"/>
    <col min="10910" max="10910" width="15" style="111" customWidth="1"/>
    <col min="10911" max="10911" width="7.42578125" style="111" bestFit="1" customWidth="1"/>
    <col min="10912" max="10912" width="7.7109375" style="111" bestFit="1" customWidth="1"/>
    <col min="10913" max="10913" width="15" style="111" bestFit="1" customWidth="1"/>
    <col min="10914" max="10914" width="7.42578125" style="111" bestFit="1" customWidth="1"/>
    <col min="10915" max="10915" width="7.7109375" style="111" bestFit="1" customWidth="1"/>
    <col min="10916" max="10916" width="9.42578125" style="111" bestFit="1" customWidth="1"/>
    <col min="10917" max="10917" width="8" style="111" bestFit="1" customWidth="1"/>
    <col min="10918" max="10918" width="7.7109375" style="111" bestFit="1" customWidth="1"/>
    <col min="10919" max="10919" width="10.42578125" style="111" bestFit="1" customWidth="1"/>
    <col min="10920" max="10920" width="8" style="111" bestFit="1" customWidth="1"/>
    <col min="10921" max="10921" width="7.7109375" style="111" bestFit="1" customWidth="1"/>
    <col min="10922" max="10922" width="10.42578125" style="111" bestFit="1" customWidth="1"/>
    <col min="10923" max="10923" width="7.42578125" style="111" bestFit="1" customWidth="1"/>
    <col min="10924" max="10924" width="7.7109375" style="111" bestFit="1" customWidth="1"/>
    <col min="10925" max="10925" width="10.42578125" style="111" bestFit="1" customWidth="1"/>
    <col min="10926" max="10926" width="8" style="111" bestFit="1" customWidth="1"/>
    <col min="10927" max="10927" width="7.7109375" style="111" bestFit="1" customWidth="1"/>
    <col min="10928" max="10928" width="10.42578125" style="111" bestFit="1" customWidth="1"/>
    <col min="10929" max="10929" width="7.42578125" style="111" bestFit="1" customWidth="1"/>
    <col min="10930" max="10930" width="7.7109375" style="111" bestFit="1" customWidth="1"/>
    <col min="10931" max="10931" width="10.42578125" style="111" bestFit="1" customWidth="1"/>
    <col min="10932" max="10932" width="7.42578125" style="111" bestFit="1" customWidth="1"/>
    <col min="10933" max="10933" width="7.7109375" style="111" bestFit="1" customWidth="1"/>
    <col min="10934" max="10934" width="10.42578125" style="111" bestFit="1" customWidth="1"/>
    <col min="10935" max="10935" width="5.140625" style="111" customWidth="1"/>
    <col min="10936" max="11158" width="8.7109375" style="111"/>
    <col min="11159" max="11159" width="3.42578125" style="111" customWidth="1"/>
    <col min="11160" max="11160" width="7" style="111" customWidth="1"/>
    <col min="11161" max="11161" width="25.42578125" style="111" customWidth="1"/>
    <col min="11162" max="11162" width="12" style="111" customWidth="1"/>
    <col min="11163" max="11163" width="12.7109375" style="111" bestFit="1" customWidth="1"/>
    <col min="11164" max="11164" width="7.42578125" style="111" bestFit="1" customWidth="1"/>
    <col min="11165" max="11165" width="7.7109375" style="111" bestFit="1" customWidth="1"/>
    <col min="11166" max="11166" width="15" style="111" customWidth="1"/>
    <col min="11167" max="11167" width="7.42578125" style="111" bestFit="1" customWidth="1"/>
    <col min="11168" max="11168" width="7.7109375" style="111" bestFit="1" customWidth="1"/>
    <col min="11169" max="11169" width="15" style="111" bestFit="1" customWidth="1"/>
    <col min="11170" max="11170" width="7.42578125" style="111" bestFit="1" customWidth="1"/>
    <col min="11171" max="11171" width="7.7109375" style="111" bestFit="1" customWidth="1"/>
    <col min="11172" max="11172" width="9.42578125" style="111" bestFit="1" customWidth="1"/>
    <col min="11173" max="11173" width="8" style="111" bestFit="1" customWidth="1"/>
    <col min="11174" max="11174" width="7.7109375" style="111" bestFit="1" customWidth="1"/>
    <col min="11175" max="11175" width="10.42578125" style="111" bestFit="1" customWidth="1"/>
    <col min="11176" max="11176" width="8" style="111" bestFit="1" customWidth="1"/>
    <col min="11177" max="11177" width="7.7109375" style="111" bestFit="1" customWidth="1"/>
    <col min="11178" max="11178" width="10.42578125" style="111" bestFit="1" customWidth="1"/>
    <col min="11179" max="11179" width="7.42578125" style="111" bestFit="1" customWidth="1"/>
    <col min="11180" max="11180" width="7.7109375" style="111" bestFit="1" customWidth="1"/>
    <col min="11181" max="11181" width="10.42578125" style="111" bestFit="1" customWidth="1"/>
    <col min="11182" max="11182" width="8" style="111" bestFit="1" customWidth="1"/>
    <col min="11183" max="11183" width="7.7109375" style="111" bestFit="1" customWidth="1"/>
    <col min="11184" max="11184" width="10.42578125" style="111" bestFit="1" customWidth="1"/>
    <col min="11185" max="11185" width="7.42578125" style="111" bestFit="1" customWidth="1"/>
    <col min="11186" max="11186" width="7.7109375" style="111" bestFit="1" customWidth="1"/>
    <col min="11187" max="11187" width="10.42578125" style="111" bestFit="1" customWidth="1"/>
    <col min="11188" max="11188" width="7.42578125" style="111" bestFit="1" customWidth="1"/>
    <col min="11189" max="11189" width="7.7109375" style="111" bestFit="1" customWidth="1"/>
    <col min="11190" max="11190" width="10.42578125" style="111" bestFit="1" customWidth="1"/>
    <col min="11191" max="11191" width="5.140625" style="111" customWidth="1"/>
    <col min="11192" max="11414" width="8.7109375" style="111"/>
    <col min="11415" max="11415" width="3.42578125" style="111" customWidth="1"/>
    <col min="11416" max="11416" width="7" style="111" customWidth="1"/>
    <col min="11417" max="11417" width="25.42578125" style="111" customWidth="1"/>
    <col min="11418" max="11418" width="12" style="111" customWidth="1"/>
    <col min="11419" max="11419" width="12.7109375" style="111" bestFit="1" customWidth="1"/>
    <col min="11420" max="11420" width="7.42578125" style="111" bestFit="1" customWidth="1"/>
    <col min="11421" max="11421" width="7.7109375" style="111" bestFit="1" customWidth="1"/>
    <col min="11422" max="11422" width="15" style="111" customWidth="1"/>
    <col min="11423" max="11423" width="7.42578125" style="111" bestFit="1" customWidth="1"/>
    <col min="11424" max="11424" width="7.7109375" style="111" bestFit="1" customWidth="1"/>
    <col min="11425" max="11425" width="15" style="111" bestFit="1" customWidth="1"/>
    <col min="11426" max="11426" width="7.42578125" style="111" bestFit="1" customWidth="1"/>
    <col min="11427" max="11427" width="7.7109375" style="111" bestFit="1" customWidth="1"/>
    <col min="11428" max="11428" width="9.42578125" style="111" bestFit="1" customWidth="1"/>
    <col min="11429" max="11429" width="8" style="111" bestFit="1" customWidth="1"/>
    <col min="11430" max="11430" width="7.7109375" style="111" bestFit="1" customWidth="1"/>
    <col min="11431" max="11431" width="10.42578125" style="111" bestFit="1" customWidth="1"/>
    <col min="11432" max="11432" width="8" style="111" bestFit="1" customWidth="1"/>
    <col min="11433" max="11433" width="7.7109375" style="111" bestFit="1" customWidth="1"/>
    <col min="11434" max="11434" width="10.42578125" style="111" bestFit="1" customWidth="1"/>
    <col min="11435" max="11435" width="7.42578125" style="111" bestFit="1" customWidth="1"/>
    <col min="11436" max="11436" width="7.7109375" style="111" bestFit="1" customWidth="1"/>
    <col min="11437" max="11437" width="10.42578125" style="111" bestFit="1" customWidth="1"/>
    <col min="11438" max="11438" width="8" style="111" bestFit="1" customWidth="1"/>
    <col min="11439" max="11439" width="7.7109375" style="111" bestFit="1" customWidth="1"/>
    <col min="11440" max="11440" width="10.42578125" style="111" bestFit="1" customWidth="1"/>
    <col min="11441" max="11441" width="7.42578125" style="111" bestFit="1" customWidth="1"/>
    <col min="11442" max="11442" width="7.7109375" style="111" bestFit="1" customWidth="1"/>
    <col min="11443" max="11443" width="10.42578125" style="111" bestFit="1" customWidth="1"/>
    <col min="11444" max="11444" width="7.42578125" style="111" bestFit="1" customWidth="1"/>
    <col min="11445" max="11445" width="7.7109375" style="111" bestFit="1" customWidth="1"/>
    <col min="11446" max="11446" width="10.42578125" style="111" bestFit="1" customWidth="1"/>
    <col min="11447" max="11447" width="5.140625" style="111" customWidth="1"/>
    <col min="11448" max="11670" width="8.7109375" style="111"/>
    <col min="11671" max="11671" width="3.42578125" style="111" customWidth="1"/>
    <col min="11672" max="11672" width="7" style="111" customWidth="1"/>
    <col min="11673" max="11673" width="25.42578125" style="111" customWidth="1"/>
    <col min="11674" max="11674" width="12" style="111" customWidth="1"/>
    <col min="11675" max="11675" width="12.7109375" style="111" bestFit="1" customWidth="1"/>
    <col min="11676" max="11676" width="7.42578125" style="111" bestFit="1" customWidth="1"/>
    <col min="11677" max="11677" width="7.7109375" style="111" bestFit="1" customWidth="1"/>
    <col min="11678" max="11678" width="15" style="111" customWidth="1"/>
    <col min="11679" max="11679" width="7.42578125" style="111" bestFit="1" customWidth="1"/>
    <col min="11680" max="11680" width="7.7109375" style="111" bestFit="1" customWidth="1"/>
    <col min="11681" max="11681" width="15" style="111" bestFit="1" customWidth="1"/>
    <col min="11682" max="11682" width="7.42578125" style="111" bestFit="1" customWidth="1"/>
    <col min="11683" max="11683" width="7.7109375" style="111" bestFit="1" customWidth="1"/>
    <col min="11684" max="11684" width="9.42578125" style="111" bestFit="1" customWidth="1"/>
    <col min="11685" max="11685" width="8" style="111" bestFit="1" customWidth="1"/>
    <col min="11686" max="11686" width="7.7109375" style="111" bestFit="1" customWidth="1"/>
    <col min="11687" max="11687" width="10.42578125" style="111" bestFit="1" customWidth="1"/>
    <col min="11688" max="11688" width="8" style="111" bestFit="1" customWidth="1"/>
    <col min="11689" max="11689" width="7.7109375" style="111" bestFit="1" customWidth="1"/>
    <col min="11690" max="11690" width="10.42578125" style="111" bestFit="1" customWidth="1"/>
    <col min="11691" max="11691" width="7.42578125" style="111" bestFit="1" customWidth="1"/>
    <col min="11692" max="11692" width="7.7109375" style="111" bestFit="1" customWidth="1"/>
    <col min="11693" max="11693" width="10.42578125" style="111" bestFit="1" customWidth="1"/>
    <col min="11694" max="11694" width="8" style="111" bestFit="1" customWidth="1"/>
    <col min="11695" max="11695" width="7.7109375" style="111" bestFit="1" customWidth="1"/>
    <col min="11696" max="11696" width="10.42578125" style="111" bestFit="1" customWidth="1"/>
    <col min="11697" max="11697" width="7.42578125" style="111" bestFit="1" customWidth="1"/>
    <col min="11698" max="11698" width="7.7109375" style="111" bestFit="1" customWidth="1"/>
    <col min="11699" max="11699" width="10.42578125" style="111" bestFit="1" customWidth="1"/>
    <col min="11700" max="11700" width="7.42578125" style="111" bestFit="1" customWidth="1"/>
    <col min="11701" max="11701" width="7.7109375" style="111" bestFit="1" customWidth="1"/>
    <col min="11702" max="11702" width="10.42578125" style="111" bestFit="1" customWidth="1"/>
    <col min="11703" max="11703" width="5.140625" style="111" customWidth="1"/>
    <col min="11704" max="11926" width="8.7109375" style="111"/>
    <col min="11927" max="11927" width="3.42578125" style="111" customWidth="1"/>
    <col min="11928" max="11928" width="7" style="111" customWidth="1"/>
    <col min="11929" max="11929" width="25.42578125" style="111" customWidth="1"/>
    <col min="11930" max="11930" width="12" style="111" customWidth="1"/>
    <col min="11931" max="11931" width="12.7109375" style="111" bestFit="1" customWidth="1"/>
    <col min="11932" max="11932" width="7.42578125" style="111" bestFit="1" customWidth="1"/>
    <col min="11933" max="11933" width="7.7109375" style="111" bestFit="1" customWidth="1"/>
    <col min="11934" max="11934" width="15" style="111" customWidth="1"/>
    <col min="11935" max="11935" width="7.42578125" style="111" bestFit="1" customWidth="1"/>
    <col min="11936" max="11936" width="7.7109375" style="111" bestFit="1" customWidth="1"/>
    <col min="11937" max="11937" width="15" style="111" bestFit="1" customWidth="1"/>
    <col min="11938" max="11938" width="7.42578125" style="111" bestFit="1" customWidth="1"/>
    <col min="11939" max="11939" width="7.7109375" style="111" bestFit="1" customWidth="1"/>
    <col min="11940" max="11940" width="9.42578125" style="111" bestFit="1" customWidth="1"/>
    <col min="11941" max="11941" width="8" style="111" bestFit="1" customWidth="1"/>
    <col min="11942" max="11942" width="7.7109375" style="111" bestFit="1" customWidth="1"/>
    <col min="11943" max="11943" width="10.42578125" style="111" bestFit="1" customWidth="1"/>
    <col min="11944" max="11944" width="8" style="111" bestFit="1" customWidth="1"/>
    <col min="11945" max="11945" width="7.7109375" style="111" bestFit="1" customWidth="1"/>
    <col min="11946" max="11946" width="10.42578125" style="111" bestFit="1" customWidth="1"/>
    <col min="11947" max="11947" width="7.42578125" style="111" bestFit="1" customWidth="1"/>
    <col min="11948" max="11948" width="7.7109375" style="111" bestFit="1" customWidth="1"/>
    <col min="11949" max="11949" width="10.42578125" style="111" bestFit="1" customWidth="1"/>
    <col min="11950" max="11950" width="8" style="111" bestFit="1" customWidth="1"/>
    <col min="11951" max="11951" width="7.7109375" style="111" bestFit="1" customWidth="1"/>
    <col min="11952" max="11952" width="10.42578125" style="111" bestFit="1" customWidth="1"/>
    <col min="11953" max="11953" width="7.42578125" style="111" bestFit="1" customWidth="1"/>
    <col min="11954" max="11954" width="7.7109375" style="111" bestFit="1" customWidth="1"/>
    <col min="11955" max="11955" width="10.42578125" style="111" bestFit="1" customWidth="1"/>
    <col min="11956" max="11956" width="7.42578125" style="111" bestFit="1" customWidth="1"/>
    <col min="11957" max="11957" width="7.7109375" style="111" bestFit="1" customWidth="1"/>
    <col min="11958" max="11958" width="10.42578125" style="111" bestFit="1" customWidth="1"/>
    <col min="11959" max="11959" width="5.140625" style="111" customWidth="1"/>
    <col min="11960" max="12182" width="8.7109375" style="111"/>
    <col min="12183" max="12183" width="3.42578125" style="111" customWidth="1"/>
    <col min="12184" max="12184" width="7" style="111" customWidth="1"/>
    <col min="12185" max="12185" width="25.42578125" style="111" customWidth="1"/>
    <col min="12186" max="12186" width="12" style="111" customWidth="1"/>
    <col min="12187" max="12187" width="12.7109375" style="111" bestFit="1" customWidth="1"/>
    <col min="12188" max="12188" width="7.42578125" style="111" bestFit="1" customWidth="1"/>
    <col min="12189" max="12189" width="7.7109375" style="111" bestFit="1" customWidth="1"/>
    <col min="12190" max="12190" width="15" style="111" customWidth="1"/>
    <col min="12191" max="12191" width="7.42578125" style="111" bestFit="1" customWidth="1"/>
    <col min="12192" max="12192" width="7.7109375" style="111" bestFit="1" customWidth="1"/>
    <col min="12193" max="12193" width="15" style="111" bestFit="1" customWidth="1"/>
    <col min="12194" max="12194" width="7.42578125" style="111" bestFit="1" customWidth="1"/>
    <col min="12195" max="12195" width="7.7109375" style="111" bestFit="1" customWidth="1"/>
    <col min="12196" max="12196" width="9.42578125" style="111" bestFit="1" customWidth="1"/>
    <col min="12197" max="12197" width="8" style="111" bestFit="1" customWidth="1"/>
    <col min="12198" max="12198" width="7.7109375" style="111" bestFit="1" customWidth="1"/>
    <col min="12199" max="12199" width="10.42578125" style="111" bestFit="1" customWidth="1"/>
    <col min="12200" max="12200" width="8" style="111" bestFit="1" customWidth="1"/>
    <col min="12201" max="12201" width="7.7109375" style="111" bestFit="1" customWidth="1"/>
    <col min="12202" max="12202" width="10.42578125" style="111" bestFit="1" customWidth="1"/>
    <col min="12203" max="12203" width="7.42578125" style="111" bestFit="1" customWidth="1"/>
    <col min="12204" max="12204" width="7.7109375" style="111" bestFit="1" customWidth="1"/>
    <col min="12205" max="12205" width="10.42578125" style="111" bestFit="1" customWidth="1"/>
    <col min="12206" max="12206" width="8" style="111" bestFit="1" customWidth="1"/>
    <col min="12207" max="12207" width="7.7109375" style="111" bestFit="1" customWidth="1"/>
    <col min="12208" max="12208" width="10.42578125" style="111" bestFit="1" customWidth="1"/>
    <col min="12209" max="12209" width="7.42578125" style="111" bestFit="1" customWidth="1"/>
    <col min="12210" max="12210" width="7.7109375" style="111" bestFit="1" customWidth="1"/>
    <col min="12211" max="12211" width="10.42578125" style="111" bestFit="1" customWidth="1"/>
    <col min="12212" max="12212" width="7.42578125" style="111" bestFit="1" customWidth="1"/>
    <col min="12213" max="12213" width="7.7109375" style="111" bestFit="1" customWidth="1"/>
    <col min="12214" max="12214" width="10.42578125" style="111" bestFit="1" customWidth="1"/>
    <col min="12215" max="12215" width="5.140625" style="111" customWidth="1"/>
    <col min="12216" max="12438" width="8.7109375" style="111"/>
    <col min="12439" max="12439" width="3.42578125" style="111" customWidth="1"/>
    <col min="12440" max="12440" width="7" style="111" customWidth="1"/>
    <col min="12441" max="12441" width="25.42578125" style="111" customWidth="1"/>
    <col min="12442" max="12442" width="12" style="111" customWidth="1"/>
    <col min="12443" max="12443" width="12.7109375" style="111" bestFit="1" customWidth="1"/>
    <col min="12444" max="12444" width="7.42578125" style="111" bestFit="1" customWidth="1"/>
    <col min="12445" max="12445" width="7.7109375" style="111" bestFit="1" customWidth="1"/>
    <col min="12446" max="12446" width="15" style="111" customWidth="1"/>
    <col min="12447" max="12447" width="7.42578125" style="111" bestFit="1" customWidth="1"/>
    <col min="12448" max="12448" width="7.7109375" style="111" bestFit="1" customWidth="1"/>
    <col min="12449" max="12449" width="15" style="111" bestFit="1" customWidth="1"/>
    <col min="12450" max="12450" width="7.42578125" style="111" bestFit="1" customWidth="1"/>
    <col min="12451" max="12451" width="7.7109375" style="111" bestFit="1" customWidth="1"/>
    <col min="12452" max="12452" width="9.42578125" style="111" bestFit="1" customWidth="1"/>
    <col min="12453" max="12453" width="8" style="111" bestFit="1" customWidth="1"/>
    <col min="12454" max="12454" width="7.7109375" style="111" bestFit="1" customWidth="1"/>
    <col min="12455" max="12455" width="10.42578125" style="111" bestFit="1" customWidth="1"/>
    <col min="12456" max="12456" width="8" style="111" bestFit="1" customWidth="1"/>
    <col min="12457" max="12457" width="7.7109375" style="111" bestFit="1" customWidth="1"/>
    <col min="12458" max="12458" width="10.42578125" style="111" bestFit="1" customWidth="1"/>
    <col min="12459" max="12459" width="7.42578125" style="111" bestFit="1" customWidth="1"/>
    <col min="12460" max="12460" width="7.7109375" style="111" bestFit="1" customWidth="1"/>
    <col min="12461" max="12461" width="10.42578125" style="111" bestFit="1" customWidth="1"/>
    <col min="12462" max="12462" width="8" style="111" bestFit="1" customWidth="1"/>
    <col min="12463" max="12463" width="7.7109375" style="111" bestFit="1" customWidth="1"/>
    <col min="12464" max="12464" width="10.42578125" style="111" bestFit="1" customWidth="1"/>
    <col min="12465" max="12465" width="7.42578125" style="111" bestFit="1" customWidth="1"/>
    <col min="12466" max="12466" width="7.7109375" style="111" bestFit="1" customWidth="1"/>
    <col min="12467" max="12467" width="10.42578125" style="111" bestFit="1" customWidth="1"/>
    <col min="12468" max="12468" width="7.42578125" style="111" bestFit="1" customWidth="1"/>
    <col min="12469" max="12469" width="7.7109375" style="111" bestFit="1" customWidth="1"/>
    <col min="12470" max="12470" width="10.42578125" style="111" bestFit="1" customWidth="1"/>
    <col min="12471" max="12471" width="5.140625" style="111" customWidth="1"/>
    <col min="12472" max="12694" width="8.7109375" style="111"/>
    <col min="12695" max="12695" width="3.42578125" style="111" customWidth="1"/>
    <col min="12696" max="12696" width="7" style="111" customWidth="1"/>
    <col min="12697" max="12697" width="25.42578125" style="111" customWidth="1"/>
    <col min="12698" max="12698" width="12" style="111" customWidth="1"/>
    <col min="12699" max="12699" width="12.7109375" style="111" bestFit="1" customWidth="1"/>
    <col min="12700" max="12700" width="7.42578125" style="111" bestFit="1" customWidth="1"/>
    <col min="12701" max="12701" width="7.7109375" style="111" bestFit="1" customWidth="1"/>
    <col min="12702" max="12702" width="15" style="111" customWidth="1"/>
    <col min="12703" max="12703" width="7.42578125" style="111" bestFit="1" customWidth="1"/>
    <col min="12704" max="12704" width="7.7109375" style="111" bestFit="1" customWidth="1"/>
    <col min="12705" max="12705" width="15" style="111" bestFit="1" customWidth="1"/>
    <col min="12706" max="12706" width="7.42578125" style="111" bestFit="1" customWidth="1"/>
    <col min="12707" max="12707" width="7.7109375" style="111" bestFit="1" customWidth="1"/>
    <col min="12708" max="12708" width="9.42578125" style="111" bestFit="1" customWidth="1"/>
    <col min="12709" max="12709" width="8" style="111" bestFit="1" customWidth="1"/>
    <col min="12710" max="12710" width="7.7109375" style="111" bestFit="1" customWidth="1"/>
    <col min="12711" max="12711" width="10.42578125" style="111" bestFit="1" customWidth="1"/>
    <col min="12712" max="12712" width="8" style="111" bestFit="1" customWidth="1"/>
    <col min="12713" max="12713" width="7.7109375" style="111" bestFit="1" customWidth="1"/>
    <col min="12714" max="12714" width="10.42578125" style="111" bestFit="1" customWidth="1"/>
    <col min="12715" max="12715" width="7.42578125" style="111" bestFit="1" customWidth="1"/>
    <col min="12716" max="12716" width="7.7109375" style="111" bestFit="1" customWidth="1"/>
    <col min="12717" max="12717" width="10.42578125" style="111" bestFit="1" customWidth="1"/>
    <col min="12718" max="12718" width="8" style="111" bestFit="1" customWidth="1"/>
    <col min="12719" max="12719" width="7.7109375" style="111" bestFit="1" customWidth="1"/>
    <col min="12720" max="12720" width="10.42578125" style="111" bestFit="1" customWidth="1"/>
    <col min="12721" max="12721" width="7.42578125" style="111" bestFit="1" customWidth="1"/>
    <col min="12722" max="12722" width="7.7109375" style="111" bestFit="1" customWidth="1"/>
    <col min="12723" max="12723" width="10.42578125" style="111" bestFit="1" customWidth="1"/>
    <col min="12724" max="12724" width="7.42578125" style="111" bestFit="1" customWidth="1"/>
    <col min="12725" max="12725" width="7.7109375" style="111" bestFit="1" customWidth="1"/>
    <col min="12726" max="12726" width="10.42578125" style="111" bestFit="1" customWidth="1"/>
    <col min="12727" max="12727" width="5.140625" style="111" customWidth="1"/>
    <col min="12728" max="12950" width="8.7109375" style="111"/>
    <col min="12951" max="12951" width="3.42578125" style="111" customWidth="1"/>
    <col min="12952" max="12952" width="7" style="111" customWidth="1"/>
    <col min="12953" max="12953" width="25.42578125" style="111" customWidth="1"/>
    <col min="12954" max="12954" width="12" style="111" customWidth="1"/>
    <col min="12955" max="12955" width="12.7109375" style="111" bestFit="1" customWidth="1"/>
    <col min="12956" max="12956" width="7.42578125" style="111" bestFit="1" customWidth="1"/>
    <col min="12957" max="12957" width="7.7109375" style="111" bestFit="1" customWidth="1"/>
    <col min="12958" max="12958" width="15" style="111" customWidth="1"/>
    <col min="12959" max="12959" width="7.42578125" style="111" bestFit="1" customWidth="1"/>
    <col min="12960" max="12960" width="7.7109375" style="111" bestFit="1" customWidth="1"/>
    <col min="12961" max="12961" width="15" style="111" bestFit="1" customWidth="1"/>
    <col min="12962" max="12962" width="7.42578125" style="111" bestFit="1" customWidth="1"/>
    <col min="12963" max="12963" width="7.7109375" style="111" bestFit="1" customWidth="1"/>
    <col min="12964" max="12964" width="9.42578125" style="111" bestFit="1" customWidth="1"/>
    <col min="12965" max="12965" width="8" style="111" bestFit="1" customWidth="1"/>
    <col min="12966" max="12966" width="7.7109375" style="111" bestFit="1" customWidth="1"/>
    <col min="12967" max="12967" width="10.42578125" style="111" bestFit="1" customWidth="1"/>
    <col min="12968" max="12968" width="8" style="111" bestFit="1" customWidth="1"/>
    <col min="12969" max="12969" width="7.7109375" style="111" bestFit="1" customWidth="1"/>
    <col min="12970" max="12970" width="10.42578125" style="111" bestFit="1" customWidth="1"/>
    <col min="12971" max="12971" width="7.42578125" style="111" bestFit="1" customWidth="1"/>
    <col min="12972" max="12972" width="7.7109375" style="111" bestFit="1" customWidth="1"/>
    <col min="12973" max="12973" width="10.42578125" style="111" bestFit="1" customWidth="1"/>
    <col min="12974" max="12974" width="8" style="111" bestFit="1" customWidth="1"/>
    <col min="12975" max="12975" width="7.7109375" style="111" bestFit="1" customWidth="1"/>
    <col min="12976" max="12976" width="10.42578125" style="111" bestFit="1" customWidth="1"/>
    <col min="12977" max="12977" width="7.42578125" style="111" bestFit="1" customWidth="1"/>
    <col min="12978" max="12978" width="7.7109375" style="111" bestFit="1" customWidth="1"/>
    <col min="12979" max="12979" width="10.42578125" style="111" bestFit="1" customWidth="1"/>
    <col min="12980" max="12980" width="7.42578125" style="111" bestFit="1" customWidth="1"/>
    <col min="12981" max="12981" width="7.7109375" style="111" bestFit="1" customWidth="1"/>
    <col min="12982" max="12982" width="10.42578125" style="111" bestFit="1" customWidth="1"/>
    <col min="12983" max="12983" width="5.140625" style="111" customWidth="1"/>
    <col min="12984" max="13206" width="8.7109375" style="111"/>
    <col min="13207" max="13207" width="3.42578125" style="111" customWidth="1"/>
    <col min="13208" max="13208" width="7" style="111" customWidth="1"/>
    <col min="13209" max="13209" width="25.42578125" style="111" customWidth="1"/>
    <col min="13210" max="13210" width="12" style="111" customWidth="1"/>
    <col min="13211" max="13211" width="12.7109375" style="111" bestFit="1" customWidth="1"/>
    <col min="13212" max="13212" width="7.42578125" style="111" bestFit="1" customWidth="1"/>
    <col min="13213" max="13213" width="7.7109375" style="111" bestFit="1" customWidth="1"/>
    <col min="13214" max="13214" width="15" style="111" customWidth="1"/>
    <col min="13215" max="13215" width="7.42578125" style="111" bestFit="1" customWidth="1"/>
    <col min="13216" max="13216" width="7.7109375" style="111" bestFit="1" customWidth="1"/>
    <col min="13217" max="13217" width="15" style="111" bestFit="1" customWidth="1"/>
    <col min="13218" max="13218" width="7.42578125" style="111" bestFit="1" customWidth="1"/>
    <col min="13219" max="13219" width="7.7109375" style="111" bestFit="1" customWidth="1"/>
    <col min="13220" max="13220" width="9.42578125" style="111" bestFit="1" customWidth="1"/>
    <col min="13221" max="13221" width="8" style="111" bestFit="1" customWidth="1"/>
    <col min="13222" max="13222" width="7.7109375" style="111" bestFit="1" customWidth="1"/>
    <col min="13223" max="13223" width="10.42578125" style="111" bestFit="1" customWidth="1"/>
    <col min="13224" max="13224" width="8" style="111" bestFit="1" customWidth="1"/>
    <col min="13225" max="13225" width="7.7109375" style="111" bestFit="1" customWidth="1"/>
    <col min="13226" max="13226" width="10.42578125" style="111" bestFit="1" customWidth="1"/>
    <col min="13227" max="13227" width="7.42578125" style="111" bestFit="1" customWidth="1"/>
    <col min="13228" max="13228" width="7.7109375" style="111" bestFit="1" customWidth="1"/>
    <col min="13229" max="13229" width="10.42578125" style="111" bestFit="1" customWidth="1"/>
    <col min="13230" max="13230" width="8" style="111" bestFit="1" customWidth="1"/>
    <col min="13231" max="13231" width="7.7109375" style="111" bestFit="1" customWidth="1"/>
    <col min="13232" max="13232" width="10.42578125" style="111" bestFit="1" customWidth="1"/>
    <col min="13233" max="13233" width="7.42578125" style="111" bestFit="1" customWidth="1"/>
    <col min="13234" max="13234" width="7.7109375" style="111" bestFit="1" customWidth="1"/>
    <col min="13235" max="13235" width="10.42578125" style="111" bestFit="1" customWidth="1"/>
    <col min="13236" max="13236" width="7.42578125" style="111" bestFit="1" customWidth="1"/>
    <col min="13237" max="13237" width="7.7109375" style="111" bestFit="1" customWidth="1"/>
    <col min="13238" max="13238" width="10.42578125" style="111" bestFit="1" customWidth="1"/>
    <col min="13239" max="13239" width="5.140625" style="111" customWidth="1"/>
    <col min="13240" max="13462" width="8.7109375" style="111"/>
    <col min="13463" max="13463" width="3.42578125" style="111" customWidth="1"/>
    <col min="13464" max="13464" width="7" style="111" customWidth="1"/>
    <col min="13465" max="13465" width="25.42578125" style="111" customWidth="1"/>
    <col min="13466" max="13466" width="12" style="111" customWidth="1"/>
    <col min="13467" max="13467" width="12.7109375" style="111" bestFit="1" customWidth="1"/>
    <col min="13468" max="13468" width="7.42578125" style="111" bestFit="1" customWidth="1"/>
    <col min="13469" max="13469" width="7.7109375" style="111" bestFit="1" customWidth="1"/>
    <col min="13470" max="13470" width="15" style="111" customWidth="1"/>
    <col min="13471" max="13471" width="7.42578125" style="111" bestFit="1" customWidth="1"/>
    <col min="13472" max="13472" width="7.7109375" style="111" bestFit="1" customWidth="1"/>
    <col min="13473" max="13473" width="15" style="111" bestFit="1" customWidth="1"/>
    <col min="13474" max="13474" width="7.42578125" style="111" bestFit="1" customWidth="1"/>
    <col min="13475" max="13475" width="7.7109375" style="111" bestFit="1" customWidth="1"/>
    <col min="13476" max="13476" width="9.42578125" style="111" bestFit="1" customWidth="1"/>
    <col min="13477" max="13477" width="8" style="111" bestFit="1" customWidth="1"/>
    <col min="13478" max="13478" width="7.7109375" style="111" bestFit="1" customWidth="1"/>
    <col min="13479" max="13479" width="10.42578125" style="111" bestFit="1" customWidth="1"/>
    <col min="13480" max="13480" width="8" style="111" bestFit="1" customWidth="1"/>
    <col min="13481" max="13481" width="7.7109375" style="111" bestFit="1" customWidth="1"/>
    <col min="13482" max="13482" width="10.42578125" style="111" bestFit="1" customWidth="1"/>
    <col min="13483" max="13483" width="7.42578125" style="111" bestFit="1" customWidth="1"/>
    <col min="13484" max="13484" width="7.7109375" style="111" bestFit="1" customWidth="1"/>
    <col min="13485" max="13485" width="10.42578125" style="111" bestFit="1" customWidth="1"/>
    <col min="13486" max="13486" width="8" style="111" bestFit="1" customWidth="1"/>
    <col min="13487" max="13487" width="7.7109375" style="111" bestFit="1" customWidth="1"/>
    <col min="13488" max="13488" width="10.42578125" style="111" bestFit="1" customWidth="1"/>
    <col min="13489" max="13489" width="7.42578125" style="111" bestFit="1" customWidth="1"/>
    <col min="13490" max="13490" width="7.7109375" style="111" bestFit="1" customWidth="1"/>
    <col min="13491" max="13491" width="10.42578125" style="111" bestFit="1" customWidth="1"/>
    <col min="13492" max="13492" width="7.42578125" style="111" bestFit="1" customWidth="1"/>
    <col min="13493" max="13493" width="7.7109375" style="111" bestFit="1" customWidth="1"/>
    <col min="13494" max="13494" width="10.42578125" style="111" bestFit="1" customWidth="1"/>
    <col min="13495" max="13495" width="5.140625" style="111" customWidth="1"/>
    <col min="13496" max="13718" width="8.7109375" style="111"/>
    <col min="13719" max="13719" width="3.42578125" style="111" customWidth="1"/>
    <col min="13720" max="13720" width="7" style="111" customWidth="1"/>
    <col min="13721" max="13721" width="25.42578125" style="111" customWidth="1"/>
    <col min="13722" max="13722" width="12" style="111" customWidth="1"/>
    <col min="13723" max="13723" width="12.7109375" style="111" bestFit="1" customWidth="1"/>
    <col min="13724" max="13724" width="7.42578125" style="111" bestFit="1" customWidth="1"/>
    <col min="13725" max="13725" width="7.7109375" style="111" bestFit="1" customWidth="1"/>
    <col min="13726" max="13726" width="15" style="111" customWidth="1"/>
    <col min="13727" max="13727" width="7.42578125" style="111" bestFit="1" customWidth="1"/>
    <col min="13728" max="13728" width="7.7109375" style="111" bestFit="1" customWidth="1"/>
    <col min="13729" max="13729" width="15" style="111" bestFit="1" customWidth="1"/>
    <col min="13730" max="13730" width="7.42578125" style="111" bestFit="1" customWidth="1"/>
    <col min="13731" max="13731" width="7.7109375" style="111" bestFit="1" customWidth="1"/>
    <col min="13732" max="13732" width="9.42578125" style="111" bestFit="1" customWidth="1"/>
    <col min="13733" max="13733" width="8" style="111" bestFit="1" customWidth="1"/>
    <col min="13734" max="13734" width="7.7109375" style="111" bestFit="1" customWidth="1"/>
    <col min="13735" max="13735" width="10.42578125" style="111" bestFit="1" customWidth="1"/>
    <col min="13736" max="13736" width="8" style="111" bestFit="1" customWidth="1"/>
    <col min="13737" max="13737" width="7.7109375" style="111" bestFit="1" customWidth="1"/>
    <col min="13738" max="13738" width="10.42578125" style="111" bestFit="1" customWidth="1"/>
    <col min="13739" max="13739" width="7.42578125" style="111" bestFit="1" customWidth="1"/>
    <col min="13740" max="13740" width="7.7109375" style="111" bestFit="1" customWidth="1"/>
    <col min="13741" max="13741" width="10.42578125" style="111" bestFit="1" customWidth="1"/>
    <col min="13742" max="13742" width="8" style="111" bestFit="1" customWidth="1"/>
    <col min="13743" max="13743" width="7.7109375" style="111" bestFit="1" customWidth="1"/>
    <col min="13744" max="13744" width="10.42578125" style="111" bestFit="1" customWidth="1"/>
    <col min="13745" max="13745" width="7.42578125" style="111" bestFit="1" customWidth="1"/>
    <col min="13746" max="13746" width="7.7109375" style="111" bestFit="1" customWidth="1"/>
    <col min="13747" max="13747" width="10.42578125" style="111" bestFit="1" customWidth="1"/>
    <col min="13748" max="13748" width="7.42578125" style="111" bestFit="1" customWidth="1"/>
    <col min="13749" max="13749" width="7.7109375" style="111" bestFit="1" customWidth="1"/>
    <col min="13750" max="13750" width="10.42578125" style="111" bestFit="1" customWidth="1"/>
    <col min="13751" max="13751" width="5.140625" style="111" customWidth="1"/>
    <col min="13752" max="13974" width="8.7109375" style="111"/>
    <col min="13975" max="13975" width="3.42578125" style="111" customWidth="1"/>
    <col min="13976" max="13976" width="7" style="111" customWidth="1"/>
    <col min="13977" max="13977" width="25.42578125" style="111" customWidth="1"/>
    <col min="13978" max="13978" width="12" style="111" customWidth="1"/>
    <col min="13979" max="13979" width="12.7109375" style="111" bestFit="1" customWidth="1"/>
    <col min="13980" max="13980" width="7.42578125" style="111" bestFit="1" customWidth="1"/>
    <col min="13981" max="13981" width="7.7109375" style="111" bestFit="1" customWidth="1"/>
    <col min="13982" max="13982" width="15" style="111" customWidth="1"/>
    <col min="13983" max="13983" width="7.42578125" style="111" bestFit="1" customWidth="1"/>
    <col min="13984" max="13984" width="7.7109375" style="111" bestFit="1" customWidth="1"/>
    <col min="13985" max="13985" width="15" style="111" bestFit="1" customWidth="1"/>
    <col min="13986" max="13986" width="7.42578125" style="111" bestFit="1" customWidth="1"/>
    <col min="13987" max="13987" width="7.7109375" style="111" bestFit="1" customWidth="1"/>
    <col min="13988" max="13988" width="9.42578125" style="111" bestFit="1" customWidth="1"/>
    <col min="13989" max="13989" width="8" style="111" bestFit="1" customWidth="1"/>
    <col min="13990" max="13990" width="7.7109375" style="111" bestFit="1" customWidth="1"/>
    <col min="13991" max="13991" width="10.42578125" style="111" bestFit="1" customWidth="1"/>
    <col min="13992" max="13992" width="8" style="111" bestFit="1" customWidth="1"/>
    <col min="13993" max="13993" width="7.7109375" style="111" bestFit="1" customWidth="1"/>
    <col min="13994" max="13994" width="10.42578125" style="111" bestFit="1" customWidth="1"/>
    <col min="13995" max="13995" width="7.42578125" style="111" bestFit="1" customWidth="1"/>
    <col min="13996" max="13996" width="7.7109375" style="111" bestFit="1" customWidth="1"/>
    <col min="13997" max="13997" width="10.42578125" style="111" bestFit="1" customWidth="1"/>
    <col min="13998" max="13998" width="8" style="111" bestFit="1" customWidth="1"/>
    <col min="13999" max="13999" width="7.7109375" style="111" bestFit="1" customWidth="1"/>
    <col min="14000" max="14000" width="10.42578125" style="111" bestFit="1" customWidth="1"/>
    <col min="14001" max="14001" width="7.42578125" style="111" bestFit="1" customWidth="1"/>
    <col min="14002" max="14002" width="7.7109375" style="111" bestFit="1" customWidth="1"/>
    <col min="14003" max="14003" width="10.42578125" style="111" bestFit="1" customWidth="1"/>
    <col min="14004" max="14004" width="7.42578125" style="111" bestFit="1" customWidth="1"/>
    <col min="14005" max="14005" width="7.7109375" style="111" bestFit="1" customWidth="1"/>
    <col min="14006" max="14006" width="10.42578125" style="111" bestFit="1" customWidth="1"/>
    <col min="14007" max="14007" width="5.140625" style="111" customWidth="1"/>
    <col min="14008" max="14230" width="8.7109375" style="111"/>
    <col min="14231" max="14231" width="3.42578125" style="111" customWidth="1"/>
    <col min="14232" max="14232" width="7" style="111" customWidth="1"/>
    <col min="14233" max="14233" width="25.42578125" style="111" customWidth="1"/>
    <col min="14234" max="14234" width="12" style="111" customWidth="1"/>
    <col min="14235" max="14235" width="12.7109375" style="111" bestFit="1" customWidth="1"/>
    <col min="14236" max="14236" width="7.42578125" style="111" bestFit="1" customWidth="1"/>
    <col min="14237" max="14237" width="7.7109375" style="111" bestFit="1" customWidth="1"/>
    <col min="14238" max="14238" width="15" style="111" customWidth="1"/>
    <col min="14239" max="14239" width="7.42578125" style="111" bestFit="1" customWidth="1"/>
    <col min="14240" max="14240" width="7.7109375" style="111" bestFit="1" customWidth="1"/>
    <col min="14241" max="14241" width="15" style="111" bestFit="1" customWidth="1"/>
    <col min="14242" max="14242" width="7.42578125" style="111" bestFit="1" customWidth="1"/>
    <col min="14243" max="14243" width="7.7109375" style="111" bestFit="1" customWidth="1"/>
    <col min="14244" max="14244" width="9.42578125" style="111" bestFit="1" customWidth="1"/>
    <col min="14245" max="14245" width="8" style="111" bestFit="1" customWidth="1"/>
    <col min="14246" max="14246" width="7.7109375" style="111" bestFit="1" customWidth="1"/>
    <col min="14247" max="14247" width="10.42578125" style="111" bestFit="1" customWidth="1"/>
    <col min="14248" max="14248" width="8" style="111" bestFit="1" customWidth="1"/>
    <col min="14249" max="14249" width="7.7109375" style="111" bestFit="1" customWidth="1"/>
    <col min="14250" max="14250" width="10.42578125" style="111" bestFit="1" customWidth="1"/>
    <col min="14251" max="14251" width="7.42578125" style="111" bestFit="1" customWidth="1"/>
    <col min="14252" max="14252" width="7.7109375" style="111" bestFit="1" customWidth="1"/>
    <col min="14253" max="14253" width="10.42578125" style="111" bestFit="1" customWidth="1"/>
    <col min="14254" max="14254" width="8" style="111" bestFit="1" customWidth="1"/>
    <col min="14255" max="14255" width="7.7109375" style="111" bestFit="1" customWidth="1"/>
    <col min="14256" max="14256" width="10.42578125" style="111" bestFit="1" customWidth="1"/>
    <col min="14257" max="14257" width="7.42578125" style="111" bestFit="1" customWidth="1"/>
    <col min="14258" max="14258" width="7.7109375" style="111" bestFit="1" customWidth="1"/>
    <col min="14259" max="14259" width="10.42578125" style="111" bestFit="1" customWidth="1"/>
    <col min="14260" max="14260" width="7.42578125" style="111" bestFit="1" customWidth="1"/>
    <col min="14261" max="14261" width="7.7109375" style="111" bestFit="1" customWidth="1"/>
    <col min="14262" max="14262" width="10.42578125" style="111" bestFit="1" customWidth="1"/>
    <col min="14263" max="14263" width="5.140625" style="111" customWidth="1"/>
    <col min="14264" max="14486" width="8.7109375" style="111"/>
    <col min="14487" max="14487" width="3.42578125" style="111" customWidth="1"/>
    <col min="14488" max="14488" width="7" style="111" customWidth="1"/>
    <col min="14489" max="14489" width="25.42578125" style="111" customWidth="1"/>
    <col min="14490" max="14490" width="12" style="111" customWidth="1"/>
    <col min="14491" max="14491" width="12.7109375" style="111" bestFit="1" customWidth="1"/>
    <col min="14492" max="14492" width="7.42578125" style="111" bestFit="1" customWidth="1"/>
    <col min="14493" max="14493" width="7.7109375" style="111" bestFit="1" customWidth="1"/>
    <col min="14494" max="14494" width="15" style="111" customWidth="1"/>
    <col min="14495" max="14495" width="7.42578125" style="111" bestFit="1" customWidth="1"/>
    <col min="14496" max="14496" width="7.7109375" style="111" bestFit="1" customWidth="1"/>
    <col min="14497" max="14497" width="15" style="111" bestFit="1" customWidth="1"/>
    <col min="14498" max="14498" width="7.42578125" style="111" bestFit="1" customWidth="1"/>
    <col min="14499" max="14499" width="7.7109375" style="111" bestFit="1" customWidth="1"/>
    <col min="14500" max="14500" width="9.42578125" style="111" bestFit="1" customWidth="1"/>
    <col min="14501" max="14501" width="8" style="111" bestFit="1" customWidth="1"/>
    <col min="14502" max="14502" width="7.7109375" style="111" bestFit="1" customWidth="1"/>
    <col min="14503" max="14503" width="10.42578125" style="111" bestFit="1" customWidth="1"/>
    <col min="14504" max="14504" width="8" style="111" bestFit="1" customWidth="1"/>
    <col min="14505" max="14505" width="7.7109375" style="111" bestFit="1" customWidth="1"/>
    <col min="14506" max="14506" width="10.42578125" style="111" bestFit="1" customWidth="1"/>
    <col min="14507" max="14507" width="7.42578125" style="111" bestFit="1" customWidth="1"/>
    <col min="14508" max="14508" width="7.7109375" style="111" bestFit="1" customWidth="1"/>
    <col min="14509" max="14509" width="10.42578125" style="111" bestFit="1" customWidth="1"/>
    <col min="14510" max="14510" width="8" style="111" bestFit="1" customWidth="1"/>
    <col min="14511" max="14511" width="7.7109375" style="111" bestFit="1" customWidth="1"/>
    <col min="14512" max="14512" width="10.42578125" style="111" bestFit="1" customWidth="1"/>
    <col min="14513" max="14513" width="7.42578125" style="111" bestFit="1" customWidth="1"/>
    <col min="14514" max="14514" width="7.7109375" style="111" bestFit="1" customWidth="1"/>
    <col min="14515" max="14515" width="10.42578125" style="111" bestFit="1" customWidth="1"/>
    <col min="14516" max="14516" width="7.42578125" style="111" bestFit="1" customWidth="1"/>
    <col min="14517" max="14517" width="7.7109375" style="111" bestFit="1" customWidth="1"/>
    <col min="14518" max="14518" width="10.42578125" style="111" bestFit="1" customWidth="1"/>
    <col min="14519" max="14519" width="5.140625" style="111" customWidth="1"/>
    <col min="14520" max="14742" width="8.7109375" style="111"/>
    <col min="14743" max="14743" width="3.42578125" style="111" customWidth="1"/>
    <col min="14744" max="14744" width="7" style="111" customWidth="1"/>
    <col min="14745" max="14745" width="25.42578125" style="111" customWidth="1"/>
    <col min="14746" max="14746" width="12" style="111" customWidth="1"/>
    <col min="14747" max="14747" width="12.7109375" style="111" bestFit="1" customWidth="1"/>
    <col min="14748" max="14748" width="7.42578125" style="111" bestFit="1" customWidth="1"/>
    <col min="14749" max="14749" width="7.7109375" style="111" bestFit="1" customWidth="1"/>
    <col min="14750" max="14750" width="15" style="111" customWidth="1"/>
    <col min="14751" max="14751" width="7.42578125" style="111" bestFit="1" customWidth="1"/>
    <col min="14752" max="14752" width="7.7109375" style="111" bestFit="1" customWidth="1"/>
    <col min="14753" max="14753" width="15" style="111" bestFit="1" customWidth="1"/>
    <col min="14754" max="14754" width="7.42578125" style="111" bestFit="1" customWidth="1"/>
    <col min="14755" max="14755" width="7.7109375" style="111" bestFit="1" customWidth="1"/>
    <col min="14756" max="14756" width="9.42578125" style="111" bestFit="1" customWidth="1"/>
    <col min="14757" max="14757" width="8" style="111" bestFit="1" customWidth="1"/>
    <col min="14758" max="14758" width="7.7109375" style="111" bestFit="1" customWidth="1"/>
    <col min="14759" max="14759" width="10.42578125" style="111" bestFit="1" customWidth="1"/>
    <col min="14760" max="14760" width="8" style="111" bestFit="1" customWidth="1"/>
    <col min="14761" max="14761" width="7.7109375" style="111" bestFit="1" customWidth="1"/>
    <col min="14762" max="14762" width="10.42578125" style="111" bestFit="1" customWidth="1"/>
    <col min="14763" max="14763" width="7.42578125" style="111" bestFit="1" customWidth="1"/>
    <col min="14764" max="14764" width="7.7109375" style="111" bestFit="1" customWidth="1"/>
    <col min="14765" max="14765" width="10.42578125" style="111" bestFit="1" customWidth="1"/>
    <col min="14766" max="14766" width="8" style="111" bestFit="1" customWidth="1"/>
    <col min="14767" max="14767" width="7.7109375" style="111" bestFit="1" customWidth="1"/>
    <col min="14768" max="14768" width="10.42578125" style="111" bestFit="1" customWidth="1"/>
    <col min="14769" max="14769" width="7.42578125" style="111" bestFit="1" customWidth="1"/>
    <col min="14770" max="14770" width="7.7109375" style="111" bestFit="1" customWidth="1"/>
    <col min="14771" max="14771" width="10.42578125" style="111" bestFit="1" customWidth="1"/>
    <col min="14772" max="14772" width="7.42578125" style="111" bestFit="1" customWidth="1"/>
    <col min="14773" max="14773" width="7.7109375" style="111" bestFit="1" customWidth="1"/>
    <col min="14774" max="14774" width="10.42578125" style="111" bestFit="1" customWidth="1"/>
    <col min="14775" max="14775" width="5.140625" style="111" customWidth="1"/>
    <col min="14776" max="14998" width="8.7109375" style="111"/>
    <col min="14999" max="14999" width="3.42578125" style="111" customWidth="1"/>
    <col min="15000" max="15000" width="7" style="111" customWidth="1"/>
    <col min="15001" max="15001" width="25.42578125" style="111" customWidth="1"/>
    <col min="15002" max="15002" width="12" style="111" customWidth="1"/>
    <col min="15003" max="15003" width="12.7109375" style="111" bestFit="1" customWidth="1"/>
    <col min="15004" max="15004" width="7.42578125" style="111" bestFit="1" customWidth="1"/>
    <col min="15005" max="15005" width="7.7109375" style="111" bestFit="1" customWidth="1"/>
    <col min="15006" max="15006" width="15" style="111" customWidth="1"/>
    <col min="15007" max="15007" width="7.42578125" style="111" bestFit="1" customWidth="1"/>
    <col min="15008" max="15008" width="7.7109375" style="111" bestFit="1" customWidth="1"/>
    <col min="15009" max="15009" width="15" style="111" bestFit="1" customWidth="1"/>
    <col min="15010" max="15010" width="7.42578125" style="111" bestFit="1" customWidth="1"/>
    <col min="15011" max="15011" width="7.7109375" style="111" bestFit="1" customWidth="1"/>
    <col min="15012" max="15012" width="9.42578125" style="111" bestFit="1" customWidth="1"/>
    <col min="15013" max="15013" width="8" style="111" bestFit="1" customWidth="1"/>
    <col min="15014" max="15014" width="7.7109375" style="111" bestFit="1" customWidth="1"/>
    <col min="15015" max="15015" width="10.42578125" style="111" bestFit="1" customWidth="1"/>
    <col min="15016" max="15016" width="8" style="111" bestFit="1" customWidth="1"/>
    <col min="15017" max="15017" width="7.7109375" style="111" bestFit="1" customWidth="1"/>
    <col min="15018" max="15018" width="10.42578125" style="111" bestFit="1" customWidth="1"/>
    <col min="15019" max="15019" width="7.42578125" style="111" bestFit="1" customWidth="1"/>
    <col min="15020" max="15020" width="7.7109375" style="111" bestFit="1" customWidth="1"/>
    <col min="15021" max="15021" width="10.42578125" style="111" bestFit="1" customWidth="1"/>
    <col min="15022" max="15022" width="8" style="111" bestFit="1" customWidth="1"/>
    <col min="15023" max="15023" width="7.7109375" style="111" bestFit="1" customWidth="1"/>
    <col min="15024" max="15024" width="10.42578125" style="111" bestFit="1" customWidth="1"/>
    <col min="15025" max="15025" width="7.42578125" style="111" bestFit="1" customWidth="1"/>
    <col min="15026" max="15026" width="7.7109375" style="111" bestFit="1" customWidth="1"/>
    <col min="15027" max="15027" width="10.42578125" style="111" bestFit="1" customWidth="1"/>
    <col min="15028" max="15028" width="7.42578125" style="111" bestFit="1" customWidth="1"/>
    <col min="15029" max="15029" width="7.7109375" style="111" bestFit="1" customWidth="1"/>
    <col min="15030" max="15030" width="10.42578125" style="111" bestFit="1" customWidth="1"/>
    <col min="15031" max="15031" width="5.140625" style="111" customWidth="1"/>
    <col min="15032" max="15254" width="8.7109375" style="111"/>
    <col min="15255" max="15255" width="3.42578125" style="111" customWidth="1"/>
    <col min="15256" max="15256" width="7" style="111" customWidth="1"/>
    <col min="15257" max="15257" width="25.42578125" style="111" customWidth="1"/>
    <col min="15258" max="15258" width="12" style="111" customWidth="1"/>
    <col min="15259" max="15259" width="12.7109375" style="111" bestFit="1" customWidth="1"/>
    <col min="15260" max="15260" width="7.42578125" style="111" bestFit="1" customWidth="1"/>
    <col min="15261" max="15261" width="7.7109375" style="111" bestFit="1" customWidth="1"/>
    <col min="15262" max="15262" width="15" style="111" customWidth="1"/>
    <col min="15263" max="15263" width="7.42578125" style="111" bestFit="1" customWidth="1"/>
    <col min="15264" max="15264" width="7.7109375" style="111" bestFit="1" customWidth="1"/>
    <col min="15265" max="15265" width="15" style="111" bestFit="1" customWidth="1"/>
    <col min="15266" max="15266" width="7.42578125" style="111" bestFit="1" customWidth="1"/>
    <col min="15267" max="15267" width="7.7109375" style="111" bestFit="1" customWidth="1"/>
    <col min="15268" max="15268" width="9.42578125" style="111" bestFit="1" customWidth="1"/>
    <col min="15269" max="15269" width="8" style="111" bestFit="1" customWidth="1"/>
    <col min="15270" max="15270" width="7.7109375" style="111" bestFit="1" customWidth="1"/>
    <col min="15271" max="15271" width="10.42578125" style="111" bestFit="1" customWidth="1"/>
    <col min="15272" max="15272" width="8" style="111" bestFit="1" customWidth="1"/>
    <col min="15273" max="15273" width="7.7109375" style="111" bestFit="1" customWidth="1"/>
    <col min="15274" max="15274" width="10.42578125" style="111" bestFit="1" customWidth="1"/>
    <col min="15275" max="15275" width="7.42578125" style="111" bestFit="1" customWidth="1"/>
    <col min="15276" max="15276" width="7.7109375" style="111" bestFit="1" customWidth="1"/>
    <col min="15277" max="15277" width="10.42578125" style="111" bestFit="1" customWidth="1"/>
    <col min="15278" max="15278" width="8" style="111" bestFit="1" customWidth="1"/>
    <col min="15279" max="15279" width="7.7109375" style="111" bestFit="1" customWidth="1"/>
    <col min="15280" max="15280" width="10.42578125" style="111" bestFit="1" customWidth="1"/>
    <col min="15281" max="15281" width="7.42578125" style="111" bestFit="1" customWidth="1"/>
    <col min="15282" max="15282" width="7.7109375" style="111" bestFit="1" customWidth="1"/>
    <col min="15283" max="15283" width="10.42578125" style="111" bestFit="1" customWidth="1"/>
    <col min="15284" max="15284" width="7.42578125" style="111" bestFit="1" customWidth="1"/>
    <col min="15285" max="15285" width="7.7109375" style="111" bestFit="1" customWidth="1"/>
    <col min="15286" max="15286" width="10.42578125" style="111" bestFit="1" customWidth="1"/>
    <col min="15287" max="15287" width="5.140625" style="111" customWidth="1"/>
    <col min="15288" max="15510" width="8.7109375" style="111"/>
    <col min="15511" max="15511" width="3.42578125" style="111" customWidth="1"/>
    <col min="15512" max="15512" width="7" style="111" customWidth="1"/>
    <col min="15513" max="15513" width="25.42578125" style="111" customWidth="1"/>
    <col min="15514" max="15514" width="12" style="111" customWidth="1"/>
    <col min="15515" max="15515" width="12.7109375" style="111" bestFit="1" customWidth="1"/>
    <col min="15516" max="15516" width="7.42578125" style="111" bestFit="1" customWidth="1"/>
    <col min="15517" max="15517" width="7.7109375" style="111" bestFit="1" customWidth="1"/>
    <col min="15518" max="15518" width="15" style="111" customWidth="1"/>
    <col min="15519" max="15519" width="7.42578125" style="111" bestFit="1" customWidth="1"/>
    <col min="15520" max="15520" width="7.7109375" style="111" bestFit="1" customWidth="1"/>
    <col min="15521" max="15521" width="15" style="111" bestFit="1" customWidth="1"/>
    <col min="15522" max="15522" width="7.42578125" style="111" bestFit="1" customWidth="1"/>
    <col min="15523" max="15523" width="7.7109375" style="111" bestFit="1" customWidth="1"/>
    <col min="15524" max="15524" width="9.42578125" style="111" bestFit="1" customWidth="1"/>
    <col min="15525" max="15525" width="8" style="111" bestFit="1" customWidth="1"/>
    <col min="15526" max="15526" width="7.7109375" style="111" bestFit="1" customWidth="1"/>
    <col min="15527" max="15527" width="10.42578125" style="111" bestFit="1" customWidth="1"/>
    <col min="15528" max="15528" width="8" style="111" bestFit="1" customWidth="1"/>
    <col min="15529" max="15529" width="7.7109375" style="111" bestFit="1" customWidth="1"/>
    <col min="15530" max="15530" width="10.42578125" style="111" bestFit="1" customWidth="1"/>
    <col min="15531" max="15531" width="7.42578125" style="111" bestFit="1" customWidth="1"/>
    <col min="15532" max="15532" width="7.7109375" style="111" bestFit="1" customWidth="1"/>
    <col min="15533" max="15533" width="10.42578125" style="111" bestFit="1" customWidth="1"/>
    <col min="15534" max="15534" width="8" style="111" bestFit="1" customWidth="1"/>
    <col min="15535" max="15535" width="7.7109375" style="111" bestFit="1" customWidth="1"/>
    <col min="15536" max="15536" width="10.42578125" style="111" bestFit="1" customWidth="1"/>
    <col min="15537" max="15537" width="7.42578125" style="111" bestFit="1" customWidth="1"/>
    <col min="15538" max="15538" width="7.7109375" style="111" bestFit="1" customWidth="1"/>
    <col min="15539" max="15539" width="10.42578125" style="111" bestFit="1" customWidth="1"/>
    <col min="15540" max="15540" width="7.42578125" style="111" bestFit="1" customWidth="1"/>
    <col min="15541" max="15541" width="7.7109375" style="111" bestFit="1" customWidth="1"/>
    <col min="15542" max="15542" width="10.42578125" style="111" bestFit="1" customWidth="1"/>
    <col min="15543" max="15543" width="5.140625" style="111" customWidth="1"/>
    <col min="15544" max="15766" width="8.7109375" style="111"/>
    <col min="15767" max="15767" width="3.42578125" style="111" customWidth="1"/>
    <col min="15768" max="15768" width="7" style="111" customWidth="1"/>
    <col min="15769" max="15769" width="25.42578125" style="111" customWidth="1"/>
    <col min="15770" max="15770" width="12" style="111" customWidth="1"/>
    <col min="15771" max="15771" width="12.7109375" style="111" bestFit="1" customWidth="1"/>
    <col min="15772" max="15772" width="7.42578125" style="111" bestFit="1" customWidth="1"/>
    <col min="15773" max="15773" width="7.7109375" style="111" bestFit="1" customWidth="1"/>
    <col min="15774" max="15774" width="15" style="111" customWidth="1"/>
    <col min="15775" max="15775" width="7.42578125" style="111" bestFit="1" customWidth="1"/>
    <col min="15776" max="15776" width="7.7109375" style="111" bestFit="1" customWidth="1"/>
    <col min="15777" max="15777" width="15" style="111" bestFit="1" customWidth="1"/>
    <col min="15778" max="15778" width="7.42578125" style="111" bestFit="1" customWidth="1"/>
    <col min="15779" max="15779" width="7.7109375" style="111" bestFit="1" customWidth="1"/>
    <col min="15780" max="15780" width="9.42578125" style="111" bestFit="1" customWidth="1"/>
    <col min="15781" max="15781" width="8" style="111" bestFit="1" customWidth="1"/>
    <col min="15782" max="15782" width="7.7109375" style="111" bestFit="1" customWidth="1"/>
    <col min="15783" max="15783" width="10.42578125" style="111" bestFit="1" customWidth="1"/>
    <col min="15784" max="15784" width="8" style="111" bestFit="1" customWidth="1"/>
    <col min="15785" max="15785" width="7.7109375" style="111" bestFit="1" customWidth="1"/>
    <col min="15786" max="15786" width="10.42578125" style="111" bestFit="1" customWidth="1"/>
    <col min="15787" max="15787" width="7.42578125" style="111" bestFit="1" customWidth="1"/>
    <col min="15788" max="15788" width="7.7109375" style="111" bestFit="1" customWidth="1"/>
    <col min="15789" max="15789" width="10.42578125" style="111" bestFit="1" customWidth="1"/>
    <col min="15790" max="15790" width="8" style="111" bestFit="1" customWidth="1"/>
    <col min="15791" max="15791" width="7.7109375" style="111" bestFit="1" customWidth="1"/>
    <col min="15792" max="15792" width="10.42578125" style="111" bestFit="1" customWidth="1"/>
    <col min="15793" max="15793" width="7.42578125" style="111" bestFit="1" customWidth="1"/>
    <col min="15794" max="15794" width="7.7109375" style="111" bestFit="1" customWidth="1"/>
    <col min="15795" max="15795" width="10.42578125" style="111" bestFit="1" customWidth="1"/>
    <col min="15796" max="15796" width="7.42578125" style="111" bestFit="1" customWidth="1"/>
    <col min="15797" max="15797" width="7.7109375" style="111" bestFit="1" customWidth="1"/>
    <col min="15798" max="15798" width="10.42578125" style="111" bestFit="1" customWidth="1"/>
    <col min="15799" max="15799" width="5.140625" style="111" customWidth="1"/>
    <col min="15800" max="16022" width="8.7109375" style="111"/>
    <col min="16023" max="16023" width="3.42578125" style="111" customWidth="1"/>
    <col min="16024" max="16024" width="7" style="111" customWidth="1"/>
    <col min="16025" max="16025" width="25.42578125" style="111" customWidth="1"/>
    <col min="16026" max="16026" width="12" style="111" customWidth="1"/>
    <col min="16027" max="16027" width="12.7109375" style="111" bestFit="1" customWidth="1"/>
    <col min="16028" max="16028" width="7.42578125" style="111" bestFit="1" customWidth="1"/>
    <col min="16029" max="16029" width="7.7109375" style="111" bestFit="1" customWidth="1"/>
    <col min="16030" max="16030" width="15" style="111" customWidth="1"/>
    <col min="16031" max="16031" width="7.42578125" style="111" bestFit="1" customWidth="1"/>
    <col min="16032" max="16032" width="7.7109375" style="111" bestFit="1" customWidth="1"/>
    <col min="16033" max="16033" width="15" style="111" bestFit="1" customWidth="1"/>
    <col min="16034" max="16034" width="7.42578125" style="111" bestFit="1" customWidth="1"/>
    <col min="16035" max="16035" width="7.7109375" style="111" bestFit="1" customWidth="1"/>
    <col min="16036" max="16036" width="9.42578125" style="111" bestFit="1" customWidth="1"/>
    <col min="16037" max="16037" width="8" style="111" bestFit="1" customWidth="1"/>
    <col min="16038" max="16038" width="7.7109375" style="111" bestFit="1" customWidth="1"/>
    <col min="16039" max="16039" width="10.42578125" style="111" bestFit="1" customWidth="1"/>
    <col min="16040" max="16040" width="8" style="111" bestFit="1" customWidth="1"/>
    <col min="16041" max="16041" width="7.7109375" style="111" bestFit="1" customWidth="1"/>
    <col min="16042" max="16042" width="10.42578125" style="111" bestFit="1" customWidth="1"/>
    <col min="16043" max="16043" width="7.42578125" style="111" bestFit="1" customWidth="1"/>
    <col min="16044" max="16044" width="7.7109375" style="111" bestFit="1" customWidth="1"/>
    <col min="16045" max="16045" width="10.42578125" style="111" bestFit="1" customWidth="1"/>
    <col min="16046" max="16046" width="8" style="111" bestFit="1" customWidth="1"/>
    <col min="16047" max="16047" width="7.7109375" style="111" bestFit="1" customWidth="1"/>
    <col min="16048" max="16048" width="10.42578125" style="111" bestFit="1" customWidth="1"/>
    <col min="16049" max="16049" width="7.42578125" style="111" bestFit="1" customWidth="1"/>
    <col min="16050" max="16050" width="7.7109375" style="111" bestFit="1" customWidth="1"/>
    <col min="16051" max="16051" width="10.42578125" style="111" bestFit="1" customWidth="1"/>
    <col min="16052" max="16052" width="7.42578125" style="111" bestFit="1" customWidth="1"/>
    <col min="16053" max="16053" width="7.7109375" style="111" bestFit="1" customWidth="1"/>
    <col min="16054" max="16054" width="10.42578125" style="111" bestFit="1" customWidth="1"/>
    <col min="16055" max="16055" width="5.140625" style="111" customWidth="1"/>
    <col min="16056" max="16258" width="8.7109375" style="111"/>
    <col min="16259" max="16265" width="9.140625" style="111" customWidth="1"/>
    <col min="16266" max="16384" width="8.7109375" style="111"/>
  </cols>
  <sheetData>
    <row r="1" spans="2:19" s="109" customFormat="1" ht="21.95" customHeight="1" thickBot="1">
      <c r="B1" s="702">
        <f>QQP!G44</f>
        <v>0</v>
      </c>
      <c r="C1" s="703"/>
      <c r="D1" s="296" t="s">
        <v>225</v>
      </c>
      <c r="E1" s="297">
        <v>2</v>
      </c>
      <c r="F1" s="106" t="str">
        <f>QQP!B18</f>
        <v>2.1.1</v>
      </c>
      <c r="G1" s="748">
        <f>H182</f>
        <v>0</v>
      </c>
      <c r="H1" s="748"/>
      <c r="I1" s="106" t="str">
        <f>QQP!B19</f>
        <v>2.1.2</v>
      </c>
      <c r="J1" s="748">
        <f>K182</f>
        <v>0</v>
      </c>
      <c r="K1" s="748"/>
      <c r="L1" s="107"/>
      <c r="M1" s="704"/>
      <c r="N1" s="704"/>
      <c r="O1" s="704"/>
      <c r="P1" s="108"/>
    </row>
    <row r="2" spans="2:19" ht="75.75" customHeight="1" thickBot="1">
      <c r="B2" s="705" t="s">
        <v>122</v>
      </c>
      <c r="C2" s="706"/>
      <c r="D2" s="706"/>
      <c r="E2" s="707"/>
      <c r="F2" s="749" t="str">
        <f>_xlfn.XLOOKUP(F1,QQP!$B$8:$B$43,QQP!$C$8:$C$43)</f>
        <v>XXXXXXXXXXXXXXXXXXXXXXXXXXXXXXXXXXXXXXXXXX</v>
      </c>
      <c r="G2" s="750"/>
      <c r="H2" s="751"/>
      <c r="I2" s="749" t="str">
        <f>_xlfn.XLOOKUP(I1,QQP!$B$8:$B$43,QQP!$C$8:$C$43)</f>
        <v>XXXXXXXXXXXXXXXXXXXXXXXXXXXXXXXXXXXXXXXXXX</v>
      </c>
      <c r="J2" s="750"/>
      <c r="K2" s="751"/>
      <c r="L2" s="110"/>
      <c r="M2" s="752" t="s">
        <v>200</v>
      </c>
      <c r="N2" s="753"/>
      <c r="O2" s="754"/>
    </row>
    <row r="3" spans="2:19" ht="20.25" customHeight="1">
      <c r="B3" s="712"/>
      <c r="C3" s="712"/>
      <c r="D3" s="712"/>
      <c r="E3" s="712"/>
      <c r="F3" s="112"/>
      <c r="G3" s="113" t="str">
        <f>_xlfn.XLOOKUP(F1,QQP!$B$8:$B$43,QQP!$D$8:$D$43)</f>
        <v>xx</v>
      </c>
      <c r="H3" s="114">
        <f>_xlfn.XLOOKUP(F1,QQP!$B$8:$B$43,QQP!$E$8:$E$43)</f>
        <v>1</v>
      </c>
      <c r="I3" s="112"/>
      <c r="J3" s="113" t="str">
        <f>_xlfn.XLOOKUP(I1,QQP!$B$8:$B$43,QQP!$D$8:$D$43)</f>
        <v>xx</v>
      </c>
      <c r="K3" s="114">
        <f>_xlfn.XLOOKUP(I1,QQP!$B$8:$B$43,QQP!$E$8:$E$43)</f>
        <v>1</v>
      </c>
      <c r="L3" s="115"/>
      <c r="M3" s="713"/>
      <c r="N3" s="714"/>
      <c r="O3" s="116"/>
    </row>
    <row r="4" spans="2:19" ht="15.75" customHeight="1" thickBot="1">
      <c r="B4" s="117"/>
      <c r="C4" s="117"/>
      <c r="D4" s="117"/>
      <c r="E4" s="117"/>
      <c r="F4" s="118"/>
      <c r="G4" s="119">
        <v>22</v>
      </c>
      <c r="H4" s="119" t="s">
        <v>583</v>
      </c>
      <c r="I4" s="120"/>
      <c r="J4" s="119">
        <f>22*3</f>
        <v>66</v>
      </c>
      <c r="K4" s="119" t="s">
        <v>583</v>
      </c>
      <c r="L4" s="115"/>
      <c r="M4" s="121"/>
      <c r="N4" s="122"/>
      <c r="O4" s="116"/>
    </row>
    <row r="5" spans="2:19" ht="21.95" customHeight="1" thickBot="1">
      <c r="B5" s="699" t="s">
        <v>114</v>
      </c>
      <c r="C5" s="700"/>
      <c r="D5" s="700"/>
      <c r="E5" s="701"/>
      <c r="F5" s="120"/>
      <c r="G5" s="120"/>
      <c r="H5" s="120"/>
      <c r="I5" s="120"/>
      <c r="J5" s="120"/>
      <c r="K5" s="120"/>
      <c r="L5" s="123"/>
      <c r="M5" s="715"/>
      <c r="N5" s="715"/>
      <c r="O5" s="715"/>
    </row>
    <row r="6" spans="2:19" s="127" customFormat="1" ht="21.95" customHeight="1" thickBot="1">
      <c r="B6" s="258" t="s">
        <v>163</v>
      </c>
      <c r="C6" s="259" t="s">
        <v>169</v>
      </c>
      <c r="D6" s="260" t="s">
        <v>30</v>
      </c>
      <c r="E6" s="261" t="s">
        <v>31</v>
      </c>
      <c r="F6" s="258" t="s">
        <v>6</v>
      </c>
      <c r="G6" s="261" t="s">
        <v>32</v>
      </c>
      <c r="H6" s="262" t="s">
        <v>5</v>
      </c>
      <c r="I6" s="258" t="s">
        <v>6</v>
      </c>
      <c r="J6" s="261" t="s">
        <v>32</v>
      </c>
      <c r="K6" s="262" t="s">
        <v>5</v>
      </c>
      <c r="L6" s="124"/>
      <c r="M6" s="258" t="s">
        <v>6</v>
      </c>
      <c r="N6" s="261" t="s">
        <v>32</v>
      </c>
      <c r="O6" s="262" t="s">
        <v>5</v>
      </c>
      <c r="P6" s="125"/>
      <c r="Q6" s="126"/>
    </row>
    <row r="7" spans="2:19" s="109" customFormat="1" ht="21.95" customHeight="1" outlineLevel="1">
      <c r="B7" s="128" t="str">
        <f>'CPU  1'!B7</f>
        <v>P01</v>
      </c>
      <c r="C7" s="129" t="str">
        <f>'CPU  1'!C7</f>
        <v>Supervisor</v>
      </c>
      <c r="D7" s="130" t="str">
        <f>'CPU  1'!D7</f>
        <v>hh</v>
      </c>
      <c r="E7" s="131">
        <f>'CPU  1'!E7</f>
        <v>75.068181818181813</v>
      </c>
      <c r="F7" s="132"/>
      <c r="G7" s="133"/>
      <c r="H7" s="134">
        <f>G7*F7*$E7</f>
        <v>0</v>
      </c>
      <c r="I7" s="132"/>
      <c r="J7" s="133"/>
      <c r="K7" s="134">
        <f t="shared" ref="K7:K22" si="0">J7*I7*$E7</f>
        <v>0</v>
      </c>
      <c r="L7" s="124"/>
      <c r="M7" s="135"/>
      <c r="N7" s="136"/>
      <c r="O7" s="137">
        <f>K7*$K$3+H7*$H$3</f>
        <v>0</v>
      </c>
      <c r="P7" s="138" t="e">
        <f t="shared" ref="P7:P22" si="1">O7/$O$162</f>
        <v>#DIV/0!</v>
      </c>
      <c r="Q7" s="139"/>
    </row>
    <row r="8" spans="2:19" s="109" customFormat="1" ht="21.95" customHeight="1" outlineLevel="1">
      <c r="B8" s="128" t="str">
        <f>'CPU  1'!B8</f>
        <v>P02</v>
      </c>
      <c r="C8" s="140" t="str">
        <f>'CPU  1'!C8</f>
        <v>Encarregado</v>
      </c>
      <c r="D8" s="141" t="str">
        <f>'CPU  1'!D8</f>
        <v>hh</v>
      </c>
      <c r="E8" s="131">
        <f>'CPU  1'!E8</f>
        <v>40.036363636363632</v>
      </c>
      <c r="F8" s="132"/>
      <c r="G8" s="142"/>
      <c r="H8" s="134">
        <f t="shared" ref="H8:H22" si="2">G8*F8*$E8</f>
        <v>0</v>
      </c>
      <c r="I8" s="132"/>
      <c r="J8" s="142"/>
      <c r="K8" s="134">
        <f t="shared" si="0"/>
        <v>0</v>
      </c>
      <c r="L8" s="143"/>
      <c r="M8" s="135"/>
      <c r="N8" s="136"/>
      <c r="O8" s="137">
        <f t="shared" ref="O8:O22" si="3">K8*$K$3+H8*$H$3</f>
        <v>0</v>
      </c>
      <c r="P8" s="138" t="e">
        <f t="shared" si="1"/>
        <v>#DIV/0!</v>
      </c>
    </row>
    <row r="9" spans="2:19" s="109" customFormat="1" ht="21.95" customHeight="1" outlineLevel="1">
      <c r="B9" s="128" t="str">
        <f>'CPU  1'!B9</f>
        <v>P03</v>
      </c>
      <c r="C9" s="140" t="str">
        <f>'CPU  1'!C9</f>
        <v>Técnico SSMA</v>
      </c>
      <c r="D9" s="141" t="str">
        <f>'CPU  1'!D9</f>
        <v>hh</v>
      </c>
      <c r="E9" s="131">
        <f>'CPU  1'!E9</f>
        <v>40.036363636363632</v>
      </c>
      <c r="F9" s="132"/>
      <c r="G9" s="133"/>
      <c r="H9" s="134">
        <f t="shared" si="2"/>
        <v>0</v>
      </c>
      <c r="I9" s="132"/>
      <c r="J9" s="133"/>
      <c r="K9" s="134">
        <f t="shared" si="0"/>
        <v>0</v>
      </c>
      <c r="L9" s="124"/>
      <c r="M9" s="135"/>
      <c r="N9" s="136"/>
      <c r="O9" s="137">
        <f t="shared" si="3"/>
        <v>0</v>
      </c>
      <c r="P9" s="138" t="e">
        <f t="shared" si="1"/>
        <v>#DIV/0!</v>
      </c>
      <c r="Q9" s="139"/>
      <c r="S9" s="144"/>
    </row>
    <row r="10" spans="2:19" s="109" customFormat="1" ht="21.95" customHeight="1" outlineLevel="1">
      <c r="B10" s="128" t="str">
        <f>'CPU  1'!B10</f>
        <v>P04</v>
      </c>
      <c r="C10" s="140" t="str">
        <f>'CPU  1'!C10</f>
        <v>Pedreiro</v>
      </c>
      <c r="D10" s="141" t="str">
        <f>'CPU  1'!D10</f>
        <v>hh</v>
      </c>
      <c r="E10" s="131">
        <f>'CPU  1'!E10</f>
        <v>19.767954545454543</v>
      </c>
      <c r="F10" s="132"/>
      <c r="G10" s="133"/>
      <c r="H10" s="134">
        <f t="shared" si="2"/>
        <v>0</v>
      </c>
      <c r="I10" s="132"/>
      <c r="J10" s="133"/>
      <c r="K10" s="134">
        <f t="shared" si="0"/>
        <v>0</v>
      </c>
      <c r="L10" s="124"/>
      <c r="M10" s="135"/>
      <c r="N10" s="136"/>
      <c r="O10" s="137">
        <f t="shared" si="3"/>
        <v>0</v>
      </c>
      <c r="P10" s="138" t="e">
        <f t="shared" si="1"/>
        <v>#DIV/0!</v>
      </c>
    </row>
    <row r="11" spans="2:19" s="109" customFormat="1" ht="21.95" customHeight="1" outlineLevel="1">
      <c r="B11" s="128" t="str">
        <f>'CPU  1'!B11</f>
        <v>P05</v>
      </c>
      <c r="C11" s="140" t="str">
        <f>'CPU  1'!C11</f>
        <v>Carpinteiro</v>
      </c>
      <c r="D11" s="141" t="str">
        <f>'CPU  1'!D11</f>
        <v>hh</v>
      </c>
      <c r="E11" s="131">
        <f>'CPU  1'!E11</f>
        <v>19.767954545454543</v>
      </c>
      <c r="F11" s="132"/>
      <c r="G11" s="133"/>
      <c r="H11" s="134">
        <f t="shared" si="2"/>
        <v>0</v>
      </c>
      <c r="I11" s="132"/>
      <c r="J11" s="142"/>
      <c r="K11" s="134">
        <f t="shared" si="0"/>
        <v>0</v>
      </c>
      <c r="L11" s="143"/>
      <c r="M11" s="135"/>
      <c r="N11" s="136"/>
      <c r="O11" s="137">
        <f t="shared" si="3"/>
        <v>0</v>
      </c>
      <c r="P11" s="138" t="e">
        <f t="shared" si="1"/>
        <v>#DIV/0!</v>
      </c>
    </row>
    <row r="12" spans="2:19" s="109" customFormat="1" ht="21.95" customHeight="1" outlineLevel="1">
      <c r="B12" s="128" t="str">
        <f>'CPU  1'!B12</f>
        <v>P06</v>
      </c>
      <c r="C12" s="140" t="str">
        <f>'CPU  1'!C12</f>
        <v>Eletricista</v>
      </c>
      <c r="D12" s="141" t="str">
        <f>'CPU  1'!D12</f>
        <v>hh</v>
      </c>
      <c r="E12" s="131">
        <f>'CPU  1'!E12</f>
        <v>26.023636363636363</v>
      </c>
      <c r="F12" s="132"/>
      <c r="G12" s="133"/>
      <c r="H12" s="134">
        <f t="shared" si="2"/>
        <v>0</v>
      </c>
      <c r="I12" s="132"/>
      <c r="J12" s="142"/>
      <c r="K12" s="134">
        <f t="shared" si="0"/>
        <v>0</v>
      </c>
      <c r="L12" s="143"/>
      <c r="M12" s="135"/>
      <c r="N12" s="136"/>
      <c r="O12" s="137">
        <f t="shared" si="3"/>
        <v>0</v>
      </c>
      <c r="P12" s="138" t="e">
        <f t="shared" si="1"/>
        <v>#DIV/0!</v>
      </c>
    </row>
    <row r="13" spans="2:19" s="109" customFormat="1" ht="21.95" customHeight="1" outlineLevel="1">
      <c r="B13" s="128" t="str">
        <f>'CPU  1'!B13</f>
        <v>P07</v>
      </c>
      <c r="C13" s="140" t="str">
        <f>'CPU  1'!C13</f>
        <v>Ajudante</v>
      </c>
      <c r="D13" s="141" t="str">
        <f>'CPU  1'!D13</f>
        <v>hh</v>
      </c>
      <c r="E13" s="131">
        <f>'CPU  1'!E13</f>
        <v>13.962681818181817</v>
      </c>
      <c r="F13" s="132"/>
      <c r="G13" s="133"/>
      <c r="H13" s="134">
        <f t="shared" si="2"/>
        <v>0</v>
      </c>
      <c r="I13" s="132"/>
      <c r="J13" s="133"/>
      <c r="K13" s="134">
        <f t="shared" si="0"/>
        <v>0</v>
      </c>
      <c r="L13" s="143"/>
      <c r="M13" s="135"/>
      <c r="N13" s="136"/>
      <c r="O13" s="137">
        <f t="shared" si="3"/>
        <v>0</v>
      </c>
      <c r="P13" s="138" t="e">
        <f t="shared" si="1"/>
        <v>#DIV/0!</v>
      </c>
    </row>
    <row r="14" spans="2:19" s="109" customFormat="1" ht="21.95" customHeight="1" outlineLevel="1">
      <c r="B14" s="128" t="str">
        <f>'CPU  1'!B14</f>
        <v>P08</v>
      </c>
      <c r="C14" s="140" t="str">
        <f>'CPU  1'!C14</f>
        <v>Armador</v>
      </c>
      <c r="D14" s="141" t="str">
        <f>'CPU  1'!D14</f>
        <v>hh</v>
      </c>
      <c r="E14" s="131">
        <f>'CPU  1'!E14</f>
        <v>19.767954545454543</v>
      </c>
      <c r="F14" s="132"/>
      <c r="G14" s="133"/>
      <c r="H14" s="134">
        <f t="shared" si="2"/>
        <v>0</v>
      </c>
      <c r="I14" s="145"/>
      <c r="J14" s="133"/>
      <c r="K14" s="134">
        <f t="shared" si="0"/>
        <v>0</v>
      </c>
      <c r="L14" s="143"/>
      <c r="M14" s="135"/>
      <c r="N14" s="136"/>
      <c r="O14" s="137">
        <f t="shared" si="3"/>
        <v>0</v>
      </c>
      <c r="P14" s="138" t="e">
        <f t="shared" si="1"/>
        <v>#DIV/0!</v>
      </c>
    </row>
    <row r="15" spans="2:19" s="109" customFormat="1" ht="21.95" customHeight="1" outlineLevel="1">
      <c r="B15" s="128" t="str">
        <f>'CPU  1'!B15</f>
        <v>P09</v>
      </c>
      <c r="C15" s="140" t="str">
        <f>'CPU  1'!C15</f>
        <v>Engenheiro</v>
      </c>
      <c r="D15" s="141" t="str">
        <f>'CPU  1'!D15</f>
        <v>hh</v>
      </c>
      <c r="E15" s="131">
        <f>'CPU  1'!E15</f>
        <v>112.30200000000001</v>
      </c>
      <c r="F15" s="132"/>
      <c r="G15" s="133"/>
      <c r="H15" s="134">
        <f t="shared" si="2"/>
        <v>0</v>
      </c>
      <c r="I15" s="145"/>
      <c r="J15" s="133"/>
      <c r="K15" s="134">
        <f t="shared" si="0"/>
        <v>0</v>
      </c>
      <c r="L15" s="143"/>
      <c r="M15" s="135"/>
      <c r="N15" s="136"/>
      <c r="O15" s="137">
        <f t="shared" si="3"/>
        <v>0</v>
      </c>
      <c r="P15" s="138" t="e">
        <f t="shared" si="1"/>
        <v>#DIV/0!</v>
      </c>
    </row>
    <row r="16" spans="2:19" s="109" customFormat="1" ht="21.95" customHeight="1" outlineLevel="1">
      <c r="B16" s="128" t="str">
        <f>'CPU  1'!B16</f>
        <v>P10</v>
      </c>
      <c r="C16" s="140" t="str">
        <f>'CPU  1'!C16</f>
        <v>Planejador</v>
      </c>
      <c r="D16" s="141" t="str">
        <f>'CPU  1'!D16</f>
        <v>hh</v>
      </c>
      <c r="E16" s="131">
        <f>'CPU  1'!E16</f>
        <v>60.054545454545455</v>
      </c>
      <c r="F16" s="132"/>
      <c r="G16" s="133"/>
      <c r="H16" s="134">
        <f t="shared" si="2"/>
        <v>0</v>
      </c>
      <c r="I16" s="145"/>
      <c r="J16" s="133"/>
      <c r="K16" s="134">
        <f t="shared" si="0"/>
        <v>0</v>
      </c>
      <c r="L16" s="143"/>
      <c r="M16" s="135"/>
      <c r="N16" s="136"/>
      <c r="O16" s="137">
        <f t="shared" si="3"/>
        <v>0</v>
      </c>
      <c r="P16" s="138" t="e">
        <f t="shared" si="1"/>
        <v>#DIV/0!</v>
      </c>
    </row>
    <row r="17" spans="2:17" s="109" customFormat="1" ht="21.95" customHeight="1" outlineLevel="1">
      <c r="B17" s="128" t="str">
        <f>'CPU  1'!B17</f>
        <v>P11</v>
      </c>
      <c r="C17" s="140" t="str">
        <f>'CPU  1'!C17</f>
        <v>Tópografo</v>
      </c>
      <c r="D17" s="141" t="str">
        <f>'CPU  1'!D17</f>
        <v>hh</v>
      </c>
      <c r="E17" s="131">
        <f>'CPU  1'!E17</f>
        <v>38.034545454545452</v>
      </c>
      <c r="F17" s="132"/>
      <c r="G17" s="133"/>
      <c r="H17" s="134">
        <f>G17*F17*$E17</f>
        <v>0</v>
      </c>
      <c r="I17" s="145"/>
      <c r="J17" s="133"/>
      <c r="K17" s="134">
        <f>J17*I17*$E17</f>
        <v>0</v>
      </c>
      <c r="L17" s="143"/>
      <c r="M17" s="135"/>
      <c r="N17" s="136"/>
      <c r="O17" s="137">
        <f t="shared" si="3"/>
        <v>0</v>
      </c>
      <c r="P17" s="138" t="e">
        <f t="shared" si="1"/>
        <v>#DIV/0!</v>
      </c>
    </row>
    <row r="18" spans="2:17" s="109" customFormat="1" ht="21.95" customHeight="1" outlineLevel="1">
      <c r="B18" s="128" t="str">
        <f>'CPU  1'!B18</f>
        <v>P12</v>
      </c>
      <c r="C18" s="140" t="str">
        <f>'CPU  1'!C18</f>
        <v>Auxiliar de Topografia</v>
      </c>
      <c r="D18" s="141" t="str">
        <f>'CPU  1'!D18</f>
        <v>hh</v>
      </c>
      <c r="E18" s="131">
        <f>'CPU  1'!E18</f>
        <v>17.015454545454546</v>
      </c>
      <c r="F18" s="132"/>
      <c r="G18" s="133"/>
      <c r="H18" s="134">
        <f t="shared" si="2"/>
        <v>0</v>
      </c>
      <c r="I18" s="145"/>
      <c r="J18" s="133"/>
      <c r="K18" s="134">
        <f t="shared" si="0"/>
        <v>0</v>
      </c>
      <c r="L18" s="143"/>
      <c r="M18" s="135"/>
      <c r="N18" s="136"/>
      <c r="O18" s="137">
        <f t="shared" si="3"/>
        <v>0</v>
      </c>
      <c r="P18" s="138" t="e">
        <f t="shared" si="1"/>
        <v>#DIV/0!</v>
      </c>
    </row>
    <row r="19" spans="2:17" s="109" customFormat="1" ht="21.95" customHeight="1" outlineLevel="1">
      <c r="B19" s="128" t="str">
        <f>'CPU  1'!B19</f>
        <v>P13</v>
      </c>
      <c r="C19" s="140" t="str">
        <f>'CPU  1'!C19</f>
        <v>Projetista</v>
      </c>
      <c r="D19" s="141" t="str">
        <f>'CPU  1'!D19</f>
        <v>hh</v>
      </c>
      <c r="E19" s="131">
        <f>'CPU  1'!E19</f>
        <v>70.063636363636363</v>
      </c>
      <c r="F19" s="132"/>
      <c r="G19" s="133"/>
      <c r="H19" s="134">
        <f t="shared" si="2"/>
        <v>0</v>
      </c>
      <c r="I19" s="145"/>
      <c r="J19" s="133"/>
      <c r="K19" s="134">
        <f t="shared" si="0"/>
        <v>0</v>
      </c>
      <c r="L19" s="143"/>
      <c r="M19" s="135"/>
      <c r="N19" s="136"/>
      <c r="O19" s="137">
        <f t="shared" si="3"/>
        <v>0</v>
      </c>
      <c r="P19" s="138" t="e">
        <f t="shared" si="1"/>
        <v>#DIV/0!</v>
      </c>
    </row>
    <row r="20" spans="2:17" s="109" customFormat="1" ht="21.95" customHeight="1" outlineLevel="1">
      <c r="B20" s="128" t="str">
        <f>'CPU  1'!B20</f>
        <v>P14</v>
      </c>
      <c r="C20" s="140" t="str">
        <f>'CPU  1'!C20</f>
        <v>Operador/motorista</v>
      </c>
      <c r="D20" s="141" t="str">
        <f>'CPU  1'!D20</f>
        <v>hh</v>
      </c>
      <c r="E20" s="131">
        <f>'CPU  1'!E20</f>
        <v>25.022727272727273</v>
      </c>
      <c r="F20" s="132"/>
      <c r="G20" s="133"/>
      <c r="H20" s="134">
        <f>G20*F20*$E20</f>
        <v>0</v>
      </c>
      <c r="I20" s="145"/>
      <c r="J20" s="133"/>
      <c r="K20" s="134">
        <f>J20*I20*$E20</f>
        <v>0</v>
      </c>
      <c r="L20" s="143"/>
      <c r="M20" s="135"/>
      <c r="N20" s="136"/>
      <c r="O20" s="137">
        <f t="shared" si="3"/>
        <v>0</v>
      </c>
      <c r="P20" s="138" t="e">
        <f t="shared" si="1"/>
        <v>#DIV/0!</v>
      </c>
    </row>
    <row r="21" spans="2:17" s="109" customFormat="1" ht="21.95" customHeight="1" outlineLevel="1">
      <c r="B21" s="128" t="str">
        <f>'CPU  1'!B21</f>
        <v>P15</v>
      </c>
      <c r="C21" s="140">
        <f>'CPU  1'!C21</f>
        <v>0</v>
      </c>
      <c r="D21" s="141" t="str">
        <f>'CPU  1'!D21</f>
        <v>hh</v>
      </c>
      <c r="E21" s="131">
        <f>'CPU  1'!E21</f>
        <v>0</v>
      </c>
      <c r="F21" s="132"/>
      <c r="G21" s="133"/>
      <c r="H21" s="134">
        <f t="shared" si="2"/>
        <v>0</v>
      </c>
      <c r="I21" s="145"/>
      <c r="J21" s="133"/>
      <c r="K21" s="134">
        <f t="shared" si="0"/>
        <v>0</v>
      </c>
      <c r="L21" s="143"/>
      <c r="M21" s="135"/>
      <c r="N21" s="136"/>
      <c r="O21" s="137">
        <f t="shared" si="3"/>
        <v>0</v>
      </c>
      <c r="P21" s="138" t="e">
        <f t="shared" si="1"/>
        <v>#DIV/0!</v>
      </c>
    </row>
    <row r="22" spans="2:17" s="109" customFormat="1" ht="21.95" customHeight="1" outlineLevel="1" thickBot="1">
      <c r="B22" s="128" t="str">
        <f>'CPU  1'!B22</f>
        <v>P16</v>
      </c>
      <c r="C22" s="140">
        <f>'CPU  1'!C22</f>
        <v>0</v>
      </c>
      <c r="D22" s="141" t="str">
        <f>'CPU  1'!D22</f>
        <v>hh</v>
      </c>
      <c r="E22" s="131">
        <f>'CPU  1'!E22</f>
        <v>0</v>
      </c>
      <c r="F22" s="132"/>
      <c r="G22" s="133"/>
      <c r="H22" s="134">
        <f t="shared" si="2"/>
        <v>0</v>
      </c>
      <c r="I22" s="145"/>
      <c r="J22" s="133"/>
      <c r="K22" s="134">
        <f t="shared" si="0"/>
        <v>0</v>
      </c>
      <c r="L22" s="143"/>
      <c r="M22" s="135"/>
      <c r="N22" s="136"/>
      <c r="O22" s="137">
        <f t="shared" si="3"/>
        <v>0</v>
      </c>
      <c r="P22" s="138" t="e">
        <f t="shared" si="1"/>
        <v>#DIV/0!</v>
      </c>
    </row>
    <row r="23" spans="2:17" s="109" customFormat="1" ht="21.95" customHeight="1" thickBot="1">
      <c r="B23" s="694" t="s">
        <v>33</v>
      </c>
      <c r="C23" s="695"/>
      <c r="D23" s="695"/>
      <c r="E23" s="695"/>
      <c r="F23" s="263">
        <f t="shared" ref="F23:K23" si="4">SUM(F7:F22)</f>
        <v>0</v>
      </c>
      <c r="G23" s="264">
        <f t="shared" si="4"/>
        <v>0</v>
      </c>
      <c r="H23" s="265">
        <f t="shared" si="4"/>
        <v>0</v>
      </c>
      <c r="I23" s="263">
        <f t="shared" si="4"/>
        <v>0</v>
      </c>
      <c r="J23" s="264">
        <f t="shared" si="4"/>
        <v>0</v>
      </c>
      <c r="K23" s="265">
        <f t="shared" si="4"/>
        <v>0</v>
      </c>
      <c r="L23" s="143"/>
      <c r="M23" s="263">
        <f>SUM(M7:M22)</f>
        <v>0</v>
      </c>
      <c r="N23" s="264">
        <f>SUM(N7:N22)</f>
        <v>0</v>
      </c>
      <c r="O23" s="265">
        <f>SUM(O7:O22)</f>
        <v>0</v>
      </c>
      <c r="P23" s="138"/>
    </row>
    <row r="24" spans="2:17" s="109" customFormat="1" ht="21.95" customHeight="1" thickBot="1">
      <c r="B24" s="699" t="s">
        <v>124</v>
      </c>
      <c r="C24" s="700"/>
      <c r="D24" s="700"/>
      <c r="E24" s="701"/>
      <c r="F24" s="146"/>
      <c r="G24" s="146"/>
      <c r="H24" s="146"/>
      <c r="I24" s="146"/>
      <c r="J24" s="146"/>
      <c r="K24" s="146"/>
      <c r="L24" s="143"/>
      <c r="M24" s="147"/>
      <c r="N24" s="147"/>
      <c r="O24" s="147"/>
      <c r="P24" s="138"/>
    </row>
    <row r="25" spans="2:17" s="127" customFormat="1" ht="21.95" customHeight="1" thickBot="1">
      <c r="B25" s="258" t="s">
        <v>163</v>
      </c>
      <c r="C25" s="259" t="s">
        <v>169</v>
      </c>
      <c r="D25" s="260" t="s">
        <v>30</v>
      </c>
      <c r="E25" s="261" t="s">
        <v>31</v>
      </c>
      <c r="F25" s="258" t="s">
        <v>6</v>
      </c>
      <c r="G25" s="261" t="s">
        <v>32</v>
      </c>
      <c r="H25" s="262" t="s">
        <v>5</v>
      </c>
      <c r="I25" s="258" t="s">
        <v>6</v>
      </c>
      <c r="J25" s="261" t="s">
        <v>32</v>
      </c>
      <c r="K25" s="262" t="s">
        <v>5</v>
      </c>
      <c r="L25" s="124"/>
      <c r="M25" s="258" t="s">
        <v>6</v>
      </c>
      <c r="N25" s="261" t="s">
        <v>32</v>
      </c>
      <c r="O25" s="262" t="s">
        <v>5</v>
      </c>
      <c r="P25" s="125"/>
      <c r="Q25" s="126"/>
    </row>
    <row r="26" spans="2:17" s="109" customFormat="1" ht="21.95" customHeight="1" outlineLevel="1">
      <c r="B26" s="148" t="str">
        <f>'CPU  1'!B26</f>
        <v>E01</v>
      </c>
      <c r="C26" s="149" t="str">
        <f>'CPU  1'!C26</f>
        <v>Alavanca, picareta, enxada, cavador, pá</v>
      </c>
      <c r="D26" s="150" t="str">
        <f>'CPU  1'!D26</f>
        <v>vb</v>
      </c>
      <c r="E26" s="151">
        <f>'CPU  1'!E26</f>
        <v>790</v>
      </c>
      <c r="F26" s="145"/>
      <c r="G26" s="142"/>
      <c r="H26" s="134">
        <f t="shared" ref="H26:H79" si="5">G26*F26*$E26</f>
        <v>0</v>
      </c>
      <c r="I26" s="145"/>
      <c r="J26" s="142"/>
      <c r="K26" s="134">
        <f t="shared" ref="K26:K79" si="6">J26*I26*$E26</f>
        <v>0</v>
      </c>
      <c r="L26" s="152"/>
      <c r="M26" s="153"/>
      <c r="N26" s="154"/>
      <c r="O26" s="137">
        <f t="shared" ref="O26:O79" si="7">K26*$K$3+H26*$H$3</f>
        <v>0</v>
      </c>
      <c r="P26" s="138" t="e">
        <f t="shared" ref="P26:P57" si="8">O26/$O$162</f>
        <v>#DIV/0!</v>
      </c>
    </row>
    <row r="27" spans="2:17" s="109" customFormat="1" ht="21.95" customHeight="1" outlineLevel="1">
      <c r="B27" s="148" t="str">
        <f>'CPU  1'!B27</f>
        <v>E02</v>
      </c>
      <c r="C27" s="149" t="str">
        <f>'CPU  1'!C27</f>
        <v>Banheiro hidraulico - locação</v>
      </c>
      <c r="D27" s="150" t="str">
        <f>'CPU  1'!D27</f>
        <v>vb/mês</v>
      </c>
      <c r="E27" s="151">
        <f>'CPU  1'!E27</f>
        <v>4000</v>
      </c>
      <c r="F27" s="145"/>
      <c r="G27" s="142"/>
      <c r="H27" s="134">
        <f t="shared" si="5"/>
        <v>0</v>
      </c>
      <c r="I27" s="145"/>
      <c r="J27" s="142"/>
      <c r="K27" s="134">
        <f t="shared" si="6"/>
        <v>0</v>
      </c>
      <c r="L27" s="152"/>
      <c r="M27" s="153"/>
      <c r="N27" s="154"/>
      <c r="O27" s="137">
        <f t="shared" si="7"/>
        <v>0</v>
      </c>
      <c r="P27" s="138" t="e">
        <f t="shared" si="8"/>
        <v>#DIV/0!</v>
      </c>
    </row>
    <row r="28" spans="2:17" s="109" customFormat="1" ht="21.95" customHeight="1" outlineLevel="1">
      <c r="B28" s="148" t="str">
        <f>'CPU  1'!B28</f>
        <v>E03</v>
      </c>
      <c r="C28" s="149" t="str">
        <f>'CPU  1'!C28</f>
        <v>Barreira física metalica</v>
      </c>
      <c r="D28" s="150" t="str">
        <f>'CPU  1'!D28</f>
        <v>pç</v>
      </c>
      <c r="E28" s="151">
        <f>'CPU  1'!E28</f>
        <v>350</v>
      </c>
      <c r="F28" s="145"/>
      <c r="G28" s="142"/>
      <c r="H28" s="134">
        <f t="shared" si="5"/>
        <v>0</v>
      </c>
      <c r="I28" s="145"/>
      <c r="J28" s="142"/>
      <c r="K28" s="134">
        <f t="shared" si="6"/>
        <v>0</v>
      </c>
      <c r="L28" s="152"/>
      <c r="M28" s="153"/>
      <c r="N28" s="154"/>
      <c r="O28" s="137">
        <f t="shared" si="7"/>
        <v>0</v>
      </c>
      <c r="P28" s="138" t="e">
        <f t="shared" si="8"/>
        <v>#DIV/0!</v>
      </c>
    </row>
    <row r="29" spans="2:17" s="109" customFormat="1" ht="21.95" customHeight="1" outlineLevel="1">
      <c r="B29" s="148" t="str">
        <f>'CPU  1'!B29</f>
        <v>E04</v>
      </c>
      <c r="C29" s="149" t="str">
        <f>'CPU  1'!C29</f>
        <v>Bebedouro 4 torneiras 50L</v>
      </c>
      <c r="D29" s="150" t="str">
        <f>'CPU  1'!D29</f>
        <v>unid</v>
      </c>
      <c r="E29" s="151">
        <f>'CPU  1'!E29</f>
        <v>3500</v>
      </c>
      <c r="F29" s="145"/>
      <c r="G29" s="142"/>
      <c r="H29" s="134">
        <f t="shared" si="5"/>
        <v>0</v>
      </c>
      <c r="I29" s="145"/>
      <c r="J29" s="142"/>
      <c r="K29" s="134">
        <f t="shared" si="6"/>
        <v>0</v>
      </c>
      <c r="L29" s="152"/>
      <c r="M29" s="153"/>
      <c r="N29" s="154"/>
      <c r="O29" s="137">
        <f t="shared" si="7"/>
        <v>0</v>
      </c>
      <c r="P29" s="138" t="e">
        <f t="shared" si="8"/>
        <v>#DIV/0!</v>
      </c>
    </row>
    <row r="30" spans="2:17" s="109" customFormat="1" ht="21.95" customHeight="1" outlineLevel="1">
      <c r="B30" s="148" t="str">
        <f>'CPU  1'!B30</f>
        <v>E05</v>
      </c>
      <c r="C30" s="149" t="str">
        <f>'CPU  1'!C30</f>
        <v>Caçamba de entulho 4m³</v>
      </c>
      <c r="D30" s="150" t="str">
        <f>'CPU  1'!D30</f>
        <v>Vb/mês</v>
      </c>
      <c r="E30" s="151">
        <f>'CPU  1'!E30</f>
        <v>800</v>
      </c>
      <c r="F30" s="145"/>
      <c r="G30" s="142"/>
      <c r="H30" s="134">
        <f t="shared" si="5"/>
        <v>0</v>
      </c>
      <c r="I30" s="145"/>
      <c r="J30" s="142"/>
      <c r="K30" s="134">
        <f t="shared" si="6"/>
        <v>0</v>
      </c>
      <c r="L30" s="152"/>
      <c r="M30" s="153"/>
      <c r="N30" s="154"/>
      <c r="O30" s="137">
        <f t="shared" si="7"/>
        <v>0</v>
      </c>
      <c r="P30" s="138" t="e">
        <f t="shared" si="8"/>
        <v>#DIV/0!</v>
      </c>
    </row>
    <row r="31" spans="2:17" s="109" customFormat="1" ht="21.95" customHeight="1" outlineLevel="1">
      <c r="B31" s="148" t="str">
        <f>'CPU  1'!B31</f>
        <v>E06</v>
      </c>
      <c r="C31" s="149" t="str">
        <f>'CPU  1'!C31</f>
        <v>Cadinho solda exotermica</v>
      </c>
      <c r="D31" s="150" t="str">
        <f>'CPU  1'!D31</f>
        <v>pç</v>
      </c>
      <c r="E31" s="151">
        <f>'CPU  1'!E31</f>
        <v>420</v>
      </c>
      <c r="F31" s="145"/>
      <c r="G31" s="142"/>
      <c r="H31" s="134">
        <f t="shared" si="5"/>
        <v>0</v>
      </c>
      <c r="I31" s="145"/>
      <c r="J31" s="142"/>
      <c r="K31" s="134">
        <f t="shared" si="6"/>
        <v>0</v>
      </c>
      <c r="L31" s="152"/>
      <c r="M31" s="153"/>
      <c r="N31" s="154"/>
      <c r="O31" s="137">
        <f t="shared" si="7"/>
        <v>0</v>
      </c>
      <c r="P31" s="138" t="e">
        <f t="shared" si="8"/>
        <v>#DIV/0!</v>
      </c>
    </row>
    <row r="32" spans="2:17" s="109" customFormat="1" ht="21.95" customHeight="1" outlineLevel="1">
      <c r="B32" s="148" t="str">
        <f>'CPU  1'!B32</f>
        <v>E07</v>
      </c>
      <c r="C32" s="149" t="str">
        <f>'CPU  1'!C32</f>
        <v>Caixa dágua 1000L</v>
      </c>
      <c r="D32" s="150" t="str">
        <f>'CPU  1'!D32</f>
        <v>pç</v>
      </c>
      <c r="E32" s="151">
        <f>'CPU  1'!E32</f>
        <v>480</v>
      </c>
      <c r="F32" s="145"/>
      <c r="G32" s="142"/>
      <c r="H32" s="134">
        <f t="shared" si="5"/>
        <v>0</v>
      </c>
      <c r="I32" s="145"/>
      <c r="J32" s="142"/>
      <c r="K32" s="134">
        <f t="shared" si="6"/>
        <v>0</v>
      </c>
      <c r="L32" s="152"/>
      <c r="M32" s="153"/>
      <c r="N32" s="154"/>
      <c r="O32" s="137">
        <f t="shared" si="7"/>
        <v>0</v>
      </c>
      <c r="P32" s="138" t="e">
        <f t="shared" si="8"/>
        <v>#DIV/0!</v>
      </c>
    </row>
    <row r="33" spans="2:16" s="109" customFormat="1" ht="21.95" customHeight="1" outlineLevel="1">
      <c r="B33" s="148" t="str">
        <f>'CPU  1'!B33</f>
        <v>E08</v>
      </c>
      <c r="C33" s="149" t="str">
        <f>'CPU  1'!C33</f>
        <v>Caixa dágua 500L</v>
      </c>
      <c r="D33" s="155" t="str">
        <f>'CPU  1'!D33</f>
        <v>pç</v>
      </c>
      <c r="E33" s="151">
        <f>'CPU  1'!E33</f>
        <v>250</v>
      </c>
      <c r="F33" s="145"/>
      <c r="G33" s="142"/>
      <c r="H33" s="134">
        <f t="shared" si="5"/>
        <v>0</v>
      </c>
      <c r="I33" s="145"/>
      <c r="J33" s="142"/>
      <c r="K33" s="134">
        <f t="shared" si="6"/>
        <v>0</v>
      </c>
      <c r="L33" s="152"/>
      <c r="M33" s="153"/>
      <c r="N33" s="154"/>
      <c r="O33" s="137">
        <f t="shared" si="7"/>
        <v>0</v>
      </c>
      <c r="P33" s="138" t="e">
        <f t="shared" si="8"/>
        <v>#DIV/0!</v>
      </c>
    </row>
    <row r="34" spans="2:16" s="109" customFormat="1" ht="21.95" customHeight="1" outlineLevel="1">
      <c r="B34" s="148" t="str">
        <f>'CPU  1'!B34</f>
        <v>E09</v>
      </c>
      <c r="C34" s="149" t="str">
        <f>'CPU  1'!C34</f>
        <v>Caminhão munck</v>
      </c>
      <c r="D34" s="155" t="str">
        <f>'CPU  1'!D34</f>
        <v>vb/mês</v>
      </c>
      <c r="E34" s="151">
        <f>'CPU  1'!E34</f>
        <v>40000</v>
      </c>
      <c r="F34" s="145"/>
      <c r="G34" s="142"/>
      <c r="H34" s="134">
        <f t="shared" si="5"/>
        <v>0</v>
      </c>
      <c r="I34" s="145"/>
      <c r="J34" s="142"/>
      <c r="K34" s="134">
        <f t="shared" si="6"/>
        <v>0</v>
      </c>
      <c r="L34" s="152"/>
      <c r="M34" s="153"/>
      <c r="N34" s="154"/>
      <c r="O34" s="137">
        <f t="shared" si="7"/>
        <v>0</v>
      </c>
      <c r="P34" s="138" t="e">
        <f t="shared" si="8"/>
        <v>#DIV/0!</v>
      </c>
    </row>
    <row r="35" spans="2:16" s="109" customFormat="1" ht="21.95" customHeight="1" outlineLevel="1">
      <c r="B35" s="148" t="str">
        <f>'CPU  1'!B35</f>
        <v>E10</v>
      </c>
      <c r="C35" s="149" t="str">
        <f>'CPU  1'!C35</f>
        <v>Carro de mão</v>
      </c>
      <c r="D35" s="155" t="str">
        <f>'CPU  1'!D35</f>
        <v>pç</v>
      </c>
      <c r="E35" s="151">
        <f>'CPU  1'!E35</f>
        <v>450</v>
      </c>
      <c r="F35" s="145"/>
      <c r="G35" s="142"/>
      <c r="H35" s="134">
        <f t="shared" si="5"/>
        <v>0</v>
      </c>
      <c r="I35" s="145"/>
      <c r="J35" s="142"/>
      <c r="K35" s="134">
        <f t="shared" si="6"/>
        <v>0</v>
      </c>
      <c r="L35" s="152"/>
      <c r="M35" s="153"/>
      <c r="N35" s="154"/>
      <c r="O35" s="137">
        <f t="shared" si="7"/>
        <v>0</v>
      </c>
      <c r="P35" s="138" t="e">
        <f t="shared" si="8"/>
        <v>#DIV/0!</v>
      </c>
    </row>
    <row r="36" spans="2:16" s="109" customFormat="1" ht="21.95" customHeight="1" outlineLevel="1">
      <c r="B36" s="148" t="str">
        <f>'CPU  1'!B36</f>
        <v>E11</v>
      </c>
      <c r="C36" s="149" t="str">
        <f>'CPU  1'!C36</f>
        <v>Carro plataforma</v>
      </c>
      <c r="D36" s="155" t="str">
        <f>'CPU  1'!D36</f>
        <v>pç</v>
      </c>
      <c r="E36" s="151">
        <f>'CPU  1'!E36</f>
        <v>1200</v>
      </c>
      <c r="F36" s="145"/>
      <c r="G36" s="142"/>
      <c r="H36" s="134">
        <f t="shared" si="5"/>
        <v>0</v>
      </c>
      <c r="I36" s="145"/>
      <c r="J36" s="142"/>
      <c r="K36" s="134">
        <f t="shared" si="6"/>
        <v>0</v>
      </c>
      <c r="L36" s="152"/>
      <c r="M36" s="153"/>
      <c r="N36" s="154"/>
      <c r="O36" s="137">
        <f t="shared" si="7"/>
        <v>0</v>
      </c>
      <c r="P36" s="138" t="e">
        <f t="shared" si="8"/>
        <v>#DIV/0!</v>
      </c>
    </row>
    <row r="37" spans="2:16" s="109" customFormat="1" ht="36" customHeight="1" outlineLevel="1">
      <c r="B37" s="148" t="str">
        <f>'CPU  1'!B37</f>
        <v>E12</v>
      </c>
      <c r="C37" s="149" t="str">
        <f>'CPU  1'!C37</f>
        <v>Coletor de resíduo com pedal - 50L (V,V,A,A)</v>
      </c>
      <c r="D37" s="155" t="str">
        <f>'CPU  1'!D37</f>
        <v>kit</v>
      </c>
      <c r="E37" s="151">
        <f>'CPU  1'!E37</f>
        <v>1200</v>
      </c>
      <c r="F37" s="145"/>
      <c r="G37" s="142"/>
      <c r="H37" s="134">
        <f t="shared" si="5"/>
        <v>0</v>
      </c>
      <c r="I37" s="145"/>
      <c r="J37" s="142"/>
      <c r="K37" s="134">
        <f t="shared" si="6"/>
        <v>0</v>
      </c>
      <c r="L37" s="152"/>
      <c r="M37" s="153"/>
      <c r="N37" s="154"/>
      <c r="O37" s="137">
        <f t="shared" si="7"/>
        <v>0</v>
      </c>
      <c r="P37" s="138" t="e">
        <f t="shared" si="8"/>
        <v>#DIV/0!</v>
      </c>
    </row>
    <row r="38" spans="2:16" s="109" customFormat="1" ht="21.95" customHeight="1" outlineLevel="1">
      <c r="B38" s="148" t="str">
        <f>'CPU  1'!B38</f>
        <v>E13</v>
      </c>
      <c r="C38" s="149" t="str">
        <f>'CPU  1'!C38</f>
        <v>Compactador de solo manual</v>
      </c>
      <c r="D38" s="155" t="str">
        <f>'CPU  1'!D38</f>
        <v>vb</v>
      </c>
      <c r="E38" s="151">
        <f>'CPU  1'!E38</f>
        <v>180</v>
      </c>
      <c r="F38" s="145"/>
      <c r="G38" s="142"/>
      <c r="H38" s="134">
        <f t="shared" si="5"/>
        <v>0</v>
      </c>
      <c r="I38" s="145"/>
      <c r="J38" s="142"/>
      <c r="K38" s="134">
        <f t="shared" si="6"/>
        <v>0</v>
      </c>
      <c r="L38" s="152"/>
      <c r="M38" s="153"/>
      <c r="N38" s="154"/>
      <c r="O38" s="137">
        <f t="shared" si="7"/>
        <v>0</v>
      </c>
      <c r="P38" s="138" t="e">
        <f t="shared" si="8"/>
        <v>#DIV/0!</v>
      </c>
    </row>
    <row r="39" spans="2:16" s="109" customFormat="1" ht="21.95" customHeight="1" outlineLevel="1">
      <c r="B39" s="148" t="str">
        <f>'CPU  1'!B39</f>
        <v>E14</v>
      </c>
      <c r="C39" s="149" t="str">
        <f>'CPU  1'!C39</f>
        <v>Computador</v>
      </c>
      <c r="D39" s="155" t="str">
        <f>'CPU  1'!D39</f>
        <v>vb/mês</v>
      </c>
      <c r="E39" s="151">
        <f>'CPU  1'!E39</f>
        <v>350</v>
      </c>
      <c r="F39" s="145"/>
      <c r="G39" s="142"/>
      <c r="H39" s="134">
        <f t="shared" si="5"/>
        <v>0</v>
      </c>
      <c r="I39" s="145"/>
      <c r="J39" s="142"/>
      <c r="K39" s="134">
        <f t="shared" si="6"/>
        <v>0</v>
      </c>
      <c r="L39" s="152"/>
      <c r="M39" s="153"/>
      <c r="N39" s="154"/>
      <c r="O39" s="137">
        <f t="shared" si="7"/>
        <v>0</v>
      </c>
      <c r="P39" s="138" t="e">
        <f t="shared" si="8"/>
        <v>#DIV/0!</v>
      </c>
    </row>
    <row r="40" spans="2:16" s="109" customFormat="1" ht="21.95" customHeight="1" outlineLevel="1">
      <c r="B40" s="148" t="str">
        <f>'CPU  1'!B40</f>
        <v>E15</v>
      </c>
      <c r="C40" s="149" t="str">
        <f>'CPU  1'!C40</f>
        <v>Container Almoxarifado</v>
      </c>
      <c r="D40" s="155" t="str">
        <f>'CPU  1'!D40</f>
        <v>vb/mês</v>
      </c>
      <c r="E40" s="151">
        <f>'CPU  1'!E40</f>
        <v>1200</v>
      </c>
      <c r="F40" s="145"/>
      <c r="G40" s="142"/>
      <c r="H40" s="134">
        <f t="shared" si="5"/>
        <v>0</v>
      </c>
      <c r="I40" s="145"/>
      <c r="J40" s="142"/>
      <c r="K40" s="134">
        <f t="shared" si="6"/>
        <v>0</v>
      </c>
      <c r="L40" s="152"/>
      <c r="M40" s="153"/>
      <c r="N40" s="154"/>
      <c r="O40" s="137">
        <f t="shared" si="7"/>
        <v>0</v>
      </c>
      <c r="P40" s="138" t="e">
        <f t="shared" si="8"/>
        <v>#DIV/0!</v>
      </c>
    </row>
    <row r="41" spans="2:16" s="109" customFormat="1" ht="21.95" customHeight="1" outlineLevel="1">
      <c r="B41" s="148" t="str">
        <f>'CPU  1'!B41</f>
        <v>E16</v>
      </c>
      <c r="C41" s="149" t="str">
        <f>'CPU  1'!C41</f>
        <v>Container escritorio</v>
      </c>
      <c r="D41" s="155" t="str">
        <f>'CPU  1'!D41</f>
        <v>vb/mês</v>
      </c>
      <c r="E41" s="151">
        <f>'CPU  1'!E41</f>
        <v>900</v>
      </c>
      <c r="F41" s="145"/>
      <c r="G41" s="142"/>
      <c r="H41" s="134">
        <f t="shared" si="5"/>
        <v>0</v>
      </c>
      <c r="I41" s="145"/>
      <c r="J41" s="142"/>
      <c r="K41" s="134">
        <f t="shared" si="6"/>
        <v>0</v>
      </c>
      <c r="L41" s="152"/>
      <c r="M41" s="153"/>
      <c r="N41" s="154"/>
      <c r="O41" s="137">
        <f t="shared" si="7"/>
        <v>0</v>
      </c>
      <c r="P41" s="138" t="e">
        <f t="shared" si="8"/>
        <v>#DIV/0!</v>
      </c>
    </row>
    <row r="42" spans="2:16" s="109" customFormat="1" ht="21.95" customHeight="1" outlineLevel="1">
      <c r="B42" s="148" t="str">
        <f>'CPU  1'!B42</f>
        <v>E17</v>
      </c>
      <c r="C42" s="149" t="str">
        <f>'CPU  1'!C42</f>
        <v>EPIs</v>
      </c>
      <c r="D42" s="155" t="str">
        <f>'CPU  1'!D42</f>
        <v>vb/mês</v>
      </c>
      <c r="E42" s="151">
        <f>'CPU  1'!E42</f>
        <v>328.76666666666671</v>
      </c>
      <c r="F42" s="145"/>
      <c r="G42" s="142"/>
      <c r="H42" s="134">
        <f t="shared" si="5"/>
        <v>0</v>
      </c>
      <c r="I42" s="145"/>
      <c r="J42" s="142"/>
      <c r="K42" s="134">
        <f t="shared" si="6"/>
        <v>0</v>
      </c>
      <c r="L42" s="152"/>
      <c r="M42" s="153"/>
      <c r="N42" s="154"/>
      <c r="O42" s="137">
        <f t="shared" si="7"/>
        <v>0</v>
      </c>
      <c r="P42" s="138" t="e">
        <f t="shared" si="8"/>
        <v>#DIV/0!</v>
      </c>
    </row>
    <row r="43" spans="2:16" s="109" customFormat="1" ht="21.95" customHeight="1" outlineLevel="1">
      <c r="B43" s="148" t="str">
        <f>'CPU  1'!B43</f>
        <v>E18</v>
      </c>
      <c r="C43" s="149" t="str">
        <f>'CPU  1'!C43</f>
        <v>Esmerilhadeira 4-1/2"</v>
      </c>
      <c r="D43" s="155" t="str">
        <f>'CPU  1'!D43</f>
        <v>und</v>
      </c>
      <c r="E43" s="151">
        <f>'CPU  1'!E43</f>
        <v>2000</v>
      </c>
      <c r="F43" s="145"/>
      <c r="G43" s="142"/>
      <c r="H43" s="134">
        <f t="shared" si="5"/>
        <v>0</v>
      </c>
      <c r="I43" s="145"/>
      <c r="J43" s="142"/>
      <c r="K43" s="134">
        <f t="shared" si="6"/>
        <v>0</v>
      </c>
      <c r="L43" s="152"/>
      <c r="M43" s="153"/>
      <c r="N43" s="154"/>
      <c r="O43" s="137">
        <f t="shared" si="7"/>
        <v>0</v>
      </c>
      <c r="P43" s="138" t="e">
        <f t="shared" si="8"/>
        <v>#DIV/0!</v>
      </c>
    </row>
    <row r="44" spans="2:16" s="109" customFormat="1" ht="21.95" customHeight="1" outlineLevel="1">
      <c r="B44" s="148" t="str">
        <f>'CPU  1'!B44</f>
        <v>E19</v>
      </c>
      <c r="C44" s="149" t="str">
        <f>'CPU  1'!C44</f>
        <v>Estação total (com acessorios)</v>
      </c>
      <c r="D44" s="155" t="str">
        <f>'CPU  1'!D44</f>
        <v>vb/mês</v>
      </c>
      <c r="E44" s="151">
        <f>'CPU  1'!E44</f>
        <v>1350</v>
      </c>
      <c r="F44" s="145"/>
      <c r="G44" s="142"/>
      <c r="H44" s="134">
        <f t="shared" si="5"/>
        <v>0</v>
      </c>
      <c r="I44" s="145"/>
      <c r="J44" s="142"/>
      <c r="K44" s="134">
        <f t="shared" si="6"/>
        <v>0</v>
      </c>
      <c r="L44" s="152"/>
      <c r="M44" s="153"/>
      <c r="N44" s="154"/>
      <c r="O44" s="137">
        <f t="shared" si="7"/>
        <v>0</v>
      </c>
      <c r="P44" s="138" t="e">
        <f t="shared" si="8"/>
        <v>#DIV/0!</v>
      </c>
    </row>
    <row r="45" spans="2:16" s="109" customFormat="1" ht="36" customHeight="1" outlineLevel="1">
      <c r="B45" s="148" t="str">
        <f>'CPU  1'!B45</f>
        <v>E20</v>
      </c>
      <c r="C45" s="149" t="str">
        <f>'CPU  1'!C45</f>
        <v>Extensões eletricas (plug steck + DJ + DR) 40m</v>
      </c>
      <c r="D45" s="155" t="str">
        <f>'CPU  1'!D45</f>
        <v>vb</v>
      </c>
      <c r="E45" s="151">
        <f>'CPU  1'!E45</f>
        <v>1087.8</v>
      </c>
      <c r="F45" s="145"/>
      <c r="G45" s="142"/>
      <c r="H45" s="134">
        <f t="shared" si="5"/>
        <v>0</v>
      </c>
      <c r="I45" s="145"/>
      <c r="J45" s="142"/>
      <c r="K45" s="134">
        <f t="shared" si="6"/>
        <v>0</v>
      </c>
      <c r="L45" s="152"/>
      <c r="M45" s="153"/>
      <c r="N45" s="154"/>
      <c r="O45" s="137">
        <f t="shared" si="7"/>
        <v>0</v>
      </c>
      <c r="P45" s="138" t="e">
        <f t="shared" si="8"/>
        <v>#DIV/0!</v>
      </c>
    </row>
    <row r="46" spans="2:16" s="109" customFormat="1" ht="21.95" customHeight="1" outlineLevel="1">
      <c r="B46" s="148" t="str">
        <f>'CPU  1'!B46</f>
        <v>E21</v>
      </c>
      <c r="C46" s="149" t="str">
        <f>'CPU  1'!C46</f>
        <v>Ferramentas gerais para obra</v>
      </c>
      <c r="D46" s="155" t="str">
        <f>'CPU  1'!D46</f>
        <v>vb</v>
      </c>
      <c r="E46" s="151">
        <f>'CPU  1'!E46</f>
        <v>5000</v>
      </c>
      <c r="F46" s="145"/>
      <c r="G46" s="142"/>
      <c r="H46" s="134">
        <f t="shared" si="5"/>
        <v>0</v>
      </c>
      <c r="I46" s="145"/>
      <c r="J46" s="142"/>
      <c r="K46" s="134">
        <f t="shared" si="6"/>
        <v>0</v>
      </c>
      <c r="L46" s="152"/>
      <c r="M46" s="153"/>
      <c r="N46" s="154"/>
      <c r="O46" s="137">
        <f t="shared" si="7"/>
        <v>0</v>
      </c>
      <c r="P46" s="138" t="e">
        <f t="shared" si="8"/>
        <v>#DIV/0!</v>
      </c>
    </row>
    <row r="47" spans="2:16" s="109" customFormat="1" ht="21.95" customHeight="1" outlineLevel="1">
      <c r="B47" s="148" t="str">
        <f>'CPU  1'!B47</f>
        <v>E22</v>
      </c>
      <c r="C47" s="149" t="str">
        <f>'CPU  1'!C47</f>
        <v>Freezer 300L</v>
      </c>
      <c r="D47" s="155" t="str">
        <f>'CPU  1'!D47</f>
        <v>vb</v>
      </c>
      <c r="E47" s="151">
        <f>'CPU  1'!E47</f>
        <v>2500</v>
      </c>
      <c r="F47" s="145"/>
      <c r="G47" s="142"/>
      <c r="H47" s="134">
        <f t="shared" si="5"/>
        <v>0</v>
      </c>
      <c r="I47" s="145"/>
      <c r="J47" s="142"/>
      <c r="K47" s="134">
        <f t="shared" si="6"/>
        <v>0</v>
      </c>
      <c r="L47" s="152"/>
      <c r="M47" s="153"/>
      <c r="N47" s="154"/>
      <c r="O47" s="137">
        <f t="shared" si="7"/>
        <v>0</v>
      </c>
      <c r="P47" s="138" t="e">
        <f t="shared" si="8"/>
        <v>#DIV/0!</v>
      </c>
    </row>
    <row r="48" spans="2:16" s="109" customFormat="1" ht="21.95" customHeight="1" outlineLevel="1">
      <c r="B48" s="148" t="str">
        <f>'CPU  1'!B48</f>
        <v>E23</v>
      </c>
      <c r="C48" s="149" t="str">
        <f>'CPU  1'!C48</f>
        <v>Furadeira</v>
      </c>
      <c r="D48" s="155" t="str">
        <f>'CPU  1'!D48</f>
        <v>pç</v>
      </c>
      <c r="E48" s="151">
        <f>'CPU  1'!E48</f>
        <v>800</v>
      </c>
      <c r="F48" s="145"/>
      <c r="G48" s="142"/>
      <c r="H48" s="134">
        <f t="shared" si="5"/>
        <v>0</v>
      </c>
      <c r="I48" s="145"/>
      <c r="J48" s="142"/>
      <c r="K48" s="134">
        <f t="shared" si="6"/>
        <v>0</v>
      </c>
      <c r="L48" s="152"/>
      <c r="M48" s="153"/>
      <c r="N48" s="154"/>
      <c r="O48" s="137">
        <f t="shared" si="7"/>
        <v>0</v>
      </c>
      <c r="P48" s="138" t="e">
        <f t="shared" si="8"/>
        <v>#DIV/0!</v>
      </c>
    </row>
    <row r="49" spans="2:16" s="109" customFormat="1" ht="21.95" customHeight="1" outlineLevel="1">
      <c r="B49" s="148" t="str">
        <f>'CPU  1'!B49</f>
        <v>E24</v>
      </c>
      <c r="C49" s="149" t="str">
        <f>'CPU  1'!C49</f>
        <v>Garrafa térmica 12 L</v>
      </c>
      <c r="D49" s="155" t="str">
        <f>'CPU  1'!D49</f>
        <v>pç</v>
      </c>
      <c r="E49" s="151">
        <f>'CPU  1'!E49</f>
        <v>210</v>
      </c>
      <c r="F49" s="145"/>
      <c r="G49" s="142"/>
      <c r="H49" s="134">
        <f t="shared" si="5"/>
        <v>0</v>
      </c>
      <c r="I49" s="145"/>
      <c r="J49" s="142"/>
      <c r="K49" s="134">
        <f t="shared" si="6"/>
        <v>0</v>
      </c>
      <c r="L49" s="152"/>
      <c r="M49" s="153"/>
      <c r="N49" s="154"/>
      <c r="O49" s="137">
        <f t="shared" si="7"/>
        <v>0</v>
      </c>
      <c r="P49" s="138" t="e">
        <f t="shared" si="8"/>
        <v>#DIV/0!</v>
      </c>
    </row>
    <row r="50" spans="2:16" s="109" customFormat="1" ht="21.95" customHeight="1" outlineLevel="1">
      <c r="B50" s="148" t="str">
        <f>'CPU  1'!B50</f>
        <v>E25</v>
      </c>
      <c r="C50" s="149" t="str">
        <f>'CPU  1'!C50</f>
        <v>Gerador 40KVA</v>
      </c>
      <c r="D50" s="155" t="str">
        <f>'CPU  1'!D50</f>
        <v>vb/mês</v>
      </c>
      <c r="E50" s="151">
        <f>'CPU  1'!E50</f>
        <v>3200</v>
      </c>
      <c r="F50" s="145"/>
      <c r="G50" s="142"/>
      <c r="H50" s="134">
        <f t="shared" si="5"/>
        <v>0</v>
      </c>
      <c r="I50" s="145"/>
      <c r="J50" s="142"/>
      <c r="K50" s="134">
        <f t="shared" si="6"/>
        <v>0</v>
      </c>
      <c r="L50" s="152"/>
      <c r="M50" s="153"/>
      <c r="N50" s="154"/>
      <c r="O50" s="137">
        <f t="shared" si="7"/>
        <v>0</v>
      </c>
      <c r="P50" s="138" t="e">
        <f t="shared" si="8"/>
        <v>#DIV/0!</v>
      </c>
    </row>
    <row r="51" spans="2:16" s="109" customFormat="1" ht="21.95" customHeight="1" outlineLevel="1">
      <c r="B51" s="148" t="str">
        <f>'CPU  1'!B51</f>
        <v>E26</v>
      </c>
      <c r="C51" s="149" t="str">
        <f>'CPU  1'!C51</f>
        <v>Gerador 6KVA</v>
      </c>
      <c r="D51" s="155" t="str">
        <f>'CPU  1'!D51</f>
        <v>vb/mês</v>
      </c>
      <c r="E51" s="151">
        <f>'CPU  1'!E51</f>
        <v>1200</v>
      </c>
      <c r="F51" s="145"/>
      <c r="G51" s="142"/>
      <c r="H51" s="134">
        <f t="shared" si="5"/>
        <v>0</v>
      </c>
      <c r="I51" s="145"/>
      <c r="J51" s="142"/>
      <c r="K51" s="134">
        <f t="shared" si="6"/>
        <v>0</v>
      </c>
      <c r="L51" s="152"/>
      <c r="M51" s="153"/>
      <c r="N51" s="154"/>
      <c r="O51" s="137">
        <f t="shared" si="7"/>
        <v>0</v>
      </c>
      <c r="P51" s="138" t="e">
        <f t="shared" si="8"/>
        <v>#DIV/0!</v>
      </c>
    </row>
    <row r="52" spans="2:16" s="109" customFormat="1" ht="21.95" customHeight="1" outlineLevel="1">
      <c r="B52" s="148" t="str">
        <f>'CPU  1'!B52</f>
        <v>E27</v>
      </c>
      <c r="C52" s="149" t="str">
        <f>'CPU  1'!C52</f>
        <v>Impressora</v>
      </c>
      <c r="D52" s="155" t="str">
        <f>'CPU  1'!D52</f>
        <v>vb/mês</v>
      </c>
      <c r="E52" s="151">
        <f>'CPU  1'!E52</f>
        <v>350</v>
      </c>
      <c r="F52" s="145"/>
      <c r="G52" s="142"/>
      <c r="H52" s="134">
        <f t="shared" si="5"/>
        <v>0</v>
      </c>
      <c r="I52" s="145"/>
      <c r="J52" s="142"/>
      <c r="K52" s="134">
        <f t="shared" si="6"/>
        <v>0</v>
      </c>
      <c r="L52" s="152"/>
      <c r="M52" s="153"/>
      <c r="N52" s="154"/>
      <c r="O52" s="137">
        <f t="shared" si="7"/>
        <v>0</v>
      </c>
      <c r="P52" s="138" t="e">
        <f t="shared" si="8"/>
        <v>#DIV/0!</v>
      </c>
    </row>
    <row r="53" spans="2:16" s="109" customFormat="1" ht="21.95" customHeight="1" outlineLevel="1">
      <c r="B53" s="148" t="str">
        <f>'CPU  1'!B53</f>
        <v>E28</v>
      </c>
      <c r="C53" s="149" t="str">
        <f>'CPU  1'!C53</f>
        <v>Martelete demolição</v>
      </c>
      <c r="D53" s="155" t="str">
        <f>'CPU  1'!D53</f>
        <v>vb/mês</v>
      </c>
      <c r="E53" s="151">
        <f>'CPU  1'!E53</f>
        <v>900</v>
      </c>
      <c r="F53" s="145"/>
      <c r="G53" s="142"/>
      <c r="H53" s="134">
        <f t="shared" si="5"/>
        <v>0</v>
      </c>
      <c r="I53" s="145"/>
      <c r="J53" s="142"/>
      <c r="K53" s="134">
        <f t="shared" si="6"/>
        <v>0</v>
      </c>
      <c r="L53" s="152"/>
      <c r="M53" s="153"/>
      <c r="N53" s="154"/>
      <c r="O53" s="137">
        <f t="shared" si="7"/>
        <v>0</v>
      </c>
      <c r="P53" s="138" t="e">
        <f t="shared" si="8"/>
        <v>#DIV/0!</v>
      </c>
    </row>
    <row r="54" spans="2:16" s="109" customFormat="1" ht="21.95" customHeight="1" outlineLevel="1">
      <c r="B54" s="148" t="str">
        <f>'CPU  1'!B54</f>
        <v>E29</v>
      </c>
      <c r="C54" s="149" t="str">
        <f>'CPU  1'!C54</f>
        <v>Masseira 2x1m</v>
      </c>
      <c r="D54" s="155" t="str">
        <f>'CPU  1'!D54</f>
        <v>pç</v>
      </c>
      <c r="E54" s="151">
        <f>'CPU  1'!E54</f>
        <v>486.59</v>
      </c>
      <c r="F54" s="145"/>
      <c r="G54" s="142"/>
      <c r="H54" s="134">
        <f>G54*F54*$E54</f>
        <v>0</v>
      </c>
      <c r="I54" s="145"/>
      <c r="J54" s="142"/>
      <c r="K54" s="134">
        <f>J54*I54*$E54</f>
        <v>0</v>
      </c>
      <c r="L54" s="152"/>
      <c r="M54" s="153"/>
      <c r="N54" s="154"/>
      <c r="O54" s="137">
        <f t="shared" si="7"/>
        <v>0</v>
      </c>
      <c r="P54" s="138" t="e">
        <f t="shared" si="8"/>
        <v>#DIV/0!</v>
      </c>
    </row>
    <row r="55" spans="2:16" s="109" customFormat="1" ht="21.95" customHeight="1" outlineLevel="1">
      <c r="B55" s="148" t="str">
        <f>'CPU  1'!B55</f>
        <v>E30</v>
      </c>
      <c r="C55" s="149" t="str">
        <f>'CPU  1'!C55</f>
        <v>Misturador de argamassa</v>
      </c>
      <c r="D55" s="155" t="str">
        <f>'CPU  1'!D55</f>
        <v>pç</v>
      </c>
      <c r="E55" s="151">
        <f>'CPU  1'!E55</f>
        <v>600</v>
      </c>
      <c r="F55" s="145"/>
      <c r="G55" s="142"/>
      <c r="H55" s="134">
        <f>G55*F55*$E55</f>
        <v>0</v>
      </c>
      <c r="I55" s="145"/>
      <c r="J55" s="142"/>
      <c r="K55" s="134">
        <f>J55*I55*$E55</f>
        <v>0</v>
      </c>
      <c r="L55" s="152"/>
      <c r="M55" s="153"/>
      <c r="N55" s="154"/>
      <c r="O55" s="137">
        <f t="shared" si="7"/>
        <v>0</v>
      </c>
      <c r="P55" s="138" t="e">
        <f t="shared" si="8"/>
        <v>#DIV/0!</v>
      </c>
    </row>
    <row r="56" spans="2:16" s="109" customFormat="1" ht="21.95" customHeight="1" outlineLevel="1">
      <c r="B56" s="148" t="str">
        <f>'CPU  1'!B56</f>
        <v>E31</v>
      </c>
      <c r="C56" s="149" t="str">
        <f>'CPU  1'!C56</f>
        <v>Mobiliario (cadeira, mesa, etc.)</v>
      </c>
      <c r="D56" s="155" t="str">
        <f>'CPU  1'!D56</f>
        <v>vb/mês</v>
      </c>
      <c r="E56" s="151">
        <f>'CPU  1'!E56</f>
        <v>6000</v>
      </c>
      <c r="F56" s="145"/>
      <c r="G56" s="142"/>
      <c r="H56" s="134">
        <f>G56*F56*$E56</f>
        <v>0</v>
      </c>
      <c r="I56" s="145"/>
      <c r="J56" s="142"/>
      <c r="K56" s="134">
        <f>J56*I56*$E56</f>
        <v>0</v>
      </c>
      <c r="L56" s="152"/>
      <c r="M56" s="153"/>
      <c r="N56" s="154"/>
      <c r="O56" s="137">
        <f t="shared" si="7"/>
        <v>0</v>
      </c>
      <c r="P56" s="138" t="e">
        <f t="shared" si="8"/>
        <v>#DIV/0!</v>
      </c>
    </row>
    <row r="57" spans="2:16" s="109" customFormat="1" ht="21.95" customHeight="1" outlineLevel="1">
      <c r="B57" s="148" t="str">
        <f>'CPU  1'!B57</f>
        <v>E32</v>
      </c>
      <c r="C57" s="149" t="str">
        <f>'CPU  1'!C57</f>
        <v>Multimetro</v>
      </c>
      <c r="D57" s="155" t="str">
        <f>'CPU  1'!D57</f>
        <v>pç</v>
      </c>
      <c r="E57" s="151">
        <f>'CPU  1'!E57</f>
        <v>2100</v>
      </c>
      <c r="F57" s="145"/>
      <c r="G57" s="142"/>
      <c r="H57" s="134">
        <f>G57*F57*$E57</f>
        <v>0</v>
      </c>
      <c r="I57" s="145"/>
      <c r="J57" s="142"/>
      <c r="K57" s="134">
        <f>J57*I57*$E57</f>
        <v>0</v>
      </c>
      <c r="L57" s="152"/>
      <c r="M57" s="153"/>
      <c r="N57" s="154"/>
      <c r="O57" s="137">
        <f t="shared" si="7"/>
        <v>0</v>
      </c>
      <c r="P57" s="138" t="e">
        <f t="shared" si="8"/>
        <v>#DIV/0!</v>
      </c>
    </row>
    <row r="58" spans="2:16" s="109" customFormat="1" ht="21.95" customHeight="1" outlineLevel="1">
      <c r="B58" s="148" t="str">
        <f>'CPU  1'!B58</f>
        <v>E33</v>
      </c>
      <c r="C58" s="149" t="str">
        <f>'CPU  1'!C58</f>
        <v>Painel eletrico para canteiro</v>
      </c>
      <c r="D58" s="155" t="str">
        <f>'CPU  1'!D58</f>
        <v>vb</v>
      </c>
      <c r="E58" s="151">
        <f>'CPU  1'!E58</f>
        <v>6500</v>
      </c>
      <c r="F58" s="145"/>
      <c r="G58" s="142"/>
      <c r="H58" s="134">
        <f>G58*F58*$E58</f>
        <v>0</v>
      </c>
      <c r="I58" s="145"/>
      <c r="J58" s="142"/>
      <c r="K58" s="134">
        <f>J58*I58*$E58</f>
        <v>0</v>
      </c>
      <c r="L58" s="152"/>
      <c r="M58" s="153"/>
      <c r="N58" s="154"/>
      <c r="O58" s="137">
        <f t="shared" si="7"/>
        <v>0</v>
      </c>
      <c r="P58" s="138" t="e">
        <f t="shared" ref="P58:P79" si="9">O58/$O$162</f>
        <v>#DIV/0!</v>
      </c>
    </row>
    <row r="59" spans="2:16" s="109" customFormat="1" ht="21.95" customHeight="1" outlineLevel="1">
      <c r="B59" s="148" t="str">
        <f>'CPU  1'!B59</f>
        <v>E34</v>
      </c>
      <c r="C59" s="149" t="str">
        <f>'CPU  1'!C59</f>
        <v>Painel eletrico para frente de serviço</v>
      </c>
      <c r="D59" s="155" t="str">
        <f>'CPU  1'!D59</f>
        <v>vb</v>
      </c>
      <c r="E59" s="151">
        <f>'CPU  1'!E59</f>
        <v>3000</v>
      </c>
      <c r="F59" s="145"/>
      <c r="G59" s="142"/>
      <c r="H59" s="134">
        <f t="shared" ref="H59:H78" si="10">G59*F59*$E59</f>
        <v>0</v>
      </c>
      <c r="I59" s="145"/>
      <c r="J59" s="142"/>
      <c r="K59" s="134">
        <f t="shared" ref="K59:K78" si="11">J59*I59*$E59</f>
        <v>0</v>
      </c>
      <c r="L59" s="152"/>
      <c r="M59" s="153"/>
      <c r="N59" s="154"/>
      <c r="O59" s="137">
        <f t="shared" si="7"/>
        <v>0</v>
      </c>
      <c r="P59" s="138" t="e">
        <f t="shared" si="9"/>
        <v>#DIV/0!</v>
      </c>
    </row>
    <row r="60" spans="2:16" s="109" customFormat="1" ht="21.95" customHeight="1" outlineLevel="1">
      <c r="B60" s="148" t="str">
        <f>'CPU  1'!B60</f>
        <v>E35</v>
      </c>
      <c r="C60" s="149" t="str">
        <f>'CPU  1'!C60</f>
        <v>Pedestais para isolamento</v>
      </c>
      <c r="D60" s="155" t="str">
        <f>'CPU  1'!D60</f>
        <v>vb</v>
      </c>
      <c r="E60" s="151">
        <f>'CPU  1'!E60</f>
        <v>150</v>
      </c>
      <c r="F60" s="145"/>
      <c r="G60" s="142"/>
      <c r="H60" s="134">
        <f t="shared" si="10"/>
        <v>0</v>
      </c>
      <c r="I60" s="145"/>
      <c r="J60" s="142"/>
      <c r="K60" s="134">
        <f t="shared" si="11"/>
        <v>0</v>
      </c>
      <c r="L60" s="152"/>
      <c r="M60" s="153"/>
      <c r="N60" s="154"/>
      <c r="O60" s="137">
        <f t="shared" si="7"/>
        <v>0</v>
      </c>
      <c r="P60" s="138" t="e">
        <f t="shared" si="9"/>
        <v>#DIV/0!</v>
      </c>
    </row>
    <row r="61" spans="2:16" s="109" customFormat="1" ht="21.95" customHeight="1" outlineLevel="1">
      <c r="B61" s="148" t="str">
        <f>'CPU  1'!B61</f>
        <v>E36</v>
      </c>
      <c r="C61" s="149" t="str">
        <f>'CPU  1'!C61</f>
        <v>Serra circular</v>
      </c>
      <c r="D61" s="155" t="str">
        <f>'CPU  1'!D61</f>
        <v>pç</v>
      </c>
      <c r="E61" s="151">
        <f>'CPU  1'!E61</f>
        <v>850</v>
      </c>
      <c r="F61" s="145"/>
      <c r="G61" s="142"/>
      <c r="H61" s="134">
        <f t="shared" si="10"/>
        <v>0</v>
      </c>
      <c r="I61" s="145"/>
      <c r="J61" s="142"/>
      <c r="K61" s="134">
        <f t="shared" si="11"/>
        <v>0</v>
      </c>
      <c r="L61" s="152"/>
      <c r="M61" s="153"/>
      <c r="N61" s="154"/>
      <c r="O61" s="137">
        <f t="shared" si="7"/>
        <v>0</v>
      </c>
      <c r="P61" s="138" t="e">
        <f t="shared" si="9"/>
        <v>#DIV/0!</v>
      </c>
    </row>
    <row r="62" spans="2:16" s="109" customFormat="1" ht="21.95" customHeight="1" outlineLevel="1">
      <c r="B62" s="148" t="str">
        <f>'CPU  1'!B62</f>
        <v>E37</v>
      </c>
      <c r="C62" s="149" t="str">
        <f>'CPU  1'!C62</f>
        <v>Tela cerquite</v>
      </c>
      <c r="D62" s="155" t="str">
        <f>'CPU  1'!D62</f>
        <v>pç</v>
      </c>
      <c r="E62" s="151">
        <f>'CPU  1'!E62</f>
        <v>150</v>
      </c>
      <c r="F62" s="145"/>
      <c r="G62" s="142"/>
      <c r="H62" s="134">
        <f t="shared" si="10"/>
        <v>0</v>
      </c>
      <c r="I62" s="145"/>
      <c r="J62" s="142"/>
      <c r="K62" s="134">
        <f t="shared" si="11"/>
        <v>0</v>
      </c>
      <c r="L62" s="152"/>
      <c r="M62" s="153"/>
      <c r="N62" s="154"/>
      <c r="O62" s="137">
        <f t="shared" si="7"/>
        <v>0</v>
      </c>
      <c r="P62" s="138" t="e">
        <f t="shared" si="9"/>
        <v>#DIV/0!</v>
      </c>
    </row>
    <row r="63" spans="2:16" s="109" customFormat="1" ht="21.95" customHeight="1" outlineLevel="1">
      <c r="B63" s="148" t="str">
        <f>'CPU  1'!B63</f>
        <v>E38</v>
      </c>
      <c r="C63" s="149" t="str">
        <f>'CPU  1'!C63</f>
        <v>Tenda 10 x 10m</v>
      </c>
      <c r="D63" s="155" t="str">
        <f>'CPU  1'!D63</f>
        <v>vb/mês</v>
      </c>
      <c r="E63" s="151">
        <f>'CPU  1'!E63</f>
        <v>1800</v>
      </c>
      <c r="F63" s="145"/>
      <c r="G63" s="142"/>
      <c r="H63" s="134">
        <f t="shared" si="10"/>
        <v>0</v>
      </c>
      <c r="I63" s="145"/>
      <c r="J63" s="142"/>
      <c r="K63" s="134">
        <f t="shared" si="11"/>
        <v>0</v>
      </c>
      <c r="L63" s="152"/>
      <c r="M63" s="153"/>
      <c r="N63" s="154"/>
      <c r="O63" s="137">
        <f t="shared" si="7"/>
        <v>0</v>
      </c>
      <c r="P63" s="138" t="e">
        <f t="shared" si="9"/>
        <v>#DIV/0!</v>
      </c>
    </row>
    <row r="64" spans="2:16" s="109" customFormat="1" ht="21.95" customHeight="1" outlineLevel="1">
      <c r="B64" s="148" t="str">
        <f>'CPU  1'!B64</f>
        <v>E39</v>
      </c>
      <c r="C64" s="149" t="str">
        <f>'CPU  1'!C64</f>
        <v>Tenda 3 x 3m</v>
      </c>
      <c r="D64" s="155" t="str">
        <f>'CPU  1'!D64</f>
        <v>vb</v>
      </c>
      <c r="E64" s="151">
        <f>'CPU  1'!E64</f>
        <v>2000</v>
      </c>
      <c r="F64" s="145"/>
      <c r="G64" s="142"/>
      <c r="H64" s="134">
        <f t="shared" si="10"/>
        <v>0</v>
      </c>
      <c r="I64" s="145"/>
      <c r="J64" s="142"/>
      <c r="K64" s="134">
        <f t="shared" si="11"/>
        <v>0</v>
      </c>
      <c r="L64" s="152"/>
      <c r="M64" s="153"/>
      <c r="N64" s="154"/>
      <c r="O64" s="137">
        <f t="shared" si="7"/>
        <v>0</v>
      </c>
      <c r="P64" s="138" t="e">
        <f t="shared" si="9"/>
        <v>#DIV/0!</v>
      </c>
    </row>
    <row r="65" spans="2:16" s="109" customFormat="1" ht="21.95" customHeight="1" outlineLevel="1">
      <c r="B65" s="148" t="str">
        <f>'CPU  1'!B65</f>
        <v>E40</v>
      </c>
      <c r="C65" s="149" t="str">
        <f>'CPU  1'!C65</f>
        <v>Terrometro</v>
      </c>
      <c r="D65" s="155" t="str">
        <f>'CPU  1'!D65</f>
        <v>diária</v>
      </c>
      <c r="E65" s="151">
        <f>'CPU  1'!E65</f>
        <v>250</v>
      </c>
      <c r="F65" s="145"/>
      <c r="G65" s="142"/>
      <c r="H65" s="134">
        <f t="shared" si="10"/>
        <v>0</v>
      </c>
      <c r="I65" s="145"/>
      <c r="J65" s="142"/>
      <c r="K65" s="134">
        <f t="shared" si="11"/>
        <v>0</v>
      </c>
      <c r="L65" s="152"/>
      <c r="M65" s="153"/>
      <c r="N65" s="154"/>
      <c r="O65" s="137">
        <f t="shared" si="7"/>
        <v>0</v>
      </c>
      <c r="P65" s="138" t="e">
        <f t="shared" si="9"/>
        <v>#DIV/0!</v>
      </c>
    </row>
    <row r="66" spans="2:16" s="109" customFormat="1" ht="21.95" customHeight="1" outlineLevel="1">
      <c r="B66" s="148" t="str">
        <f>'CPU  1'!B66</f>
        <v>E41</v>
      </c>
      <c r="C66" s="149" t="str">
        <f>'CPU  1'!C66</f>
        <v>Torquesa SID13</v>
      </c>
      <c r="D66" s="155" t="str">
        <f>'CPU  1'!D66</f>
        <v>und</v>
      </c>
      <c r="E66" s="151">
        <f>'CPU  1'!E66</f>
        <v>350</v>
      </c>
      <c r="F66" s="145"/>
      <c r="G66" s="142"/>
      <c r="H66" s="134">
        <f t="shared" si="10"/>
        <v>0</v>
      </c>
      <c r="I66" s="145"/>
      <c r="J66" s="142"/>
      <c r="K66" s="134">
        <f t="shared" si="11"/>
        <v>0</v>
      </c>
      <c r="L66" s="152"/>
      <c r="M66" s="153"/>
      <c r="N66" s="154"/>
      <c r="O66" s="137">
        <f t="shared" si="7"/>
        <v>0</v>
      </c>
      <c r="P66" s="138" t="e">
        <f t="shared" si="9"/>
        <v>#DIV/0!</v>
      </c>
    </row>
    <row r="67" spans="2:16" s="109" customFormat="1" ht="21.95" customHeight="1" outlineLevel="1">
      <c r="B67" s="148" t="str">
        <f>'CPU  1'!B67</f>
        <v>E42</v>
      </c>
      <c r="C67" s="149" t="str">
        <f>'CPU  1'!C67</f>
        <v>Veiculo hatch</v>
      </c>
      <c r="D67" s="155" t="str">
        <f>'CPU  1'!D67</f>
        <v>vb/mês</v>
      </c>
      <c r="E67" s="151">
        <f>'CPU  1'!E67</f>
        <v>3300</v>
      </c>
      <c r="F67" s="145"/>
      <c r="G67" s="142"/>
      <c r="H67" s="134">
        <f t="shared" si="10"/>
        <v>0</v>
      </c>
      <c r="I67" s="145"/>
      <c r="J67" s="142"/>
      <c r="K67" s="134">
        <f t="shared" si="11"/>
        <v>0</v>
      </c>
      <c r="L67" s="152"/>
      <c r="M67" s="153"/>
      <c r="N67" s="154"/>
      <c r="O67" s="137">
        <f t="shared" si="7"/>
        <v>0</v>
      </c>
      <c r="P67" s="138" t="e">
        <f t="shared" si="9"/>
        <v>#DIV/0!</v>
      </c>
    </row>
    <row r="68" spans="2:16" s="109" customFormat="1" ht="21.95" customHeight="1" outlineLevel="1">
      <c r="B68" s="148" t="str">
        <f>'CPU  1'!B68</f>
        <v>E43</v>
      </c>
      <c r="C68" s="149" t="str">
        <f>'CPU  1'!C68</f>
        <v>Veiculo utilitario</v>
      </c>
      <c r="D68" s="155" t="str">
        <f>'CPU  1'!D68</f>
        <v>vb/mês</v>
      </c>
      <c r="E68" s="151">
        <f>'CPU  1'!E68</f>
        <v>3800</v>
      </c>
      <c r="F68" s="145"/>
      <c r="G68" s="142"/>
      <c r="H68" s="134">
        <f t="shared" si="10"/>
        <v>0</v>
      </c>
      <c r="I68" s="145"/>
      <c r="J68" s="142"/>
      <c r="K68" s="134">
        <f t="shared" si="11"/>
        <v>0</v>
      </c>
      <c r="L68" s="152"/>
      <c r="M68" s="153"/>
      <c r="N68" s="154"/>
      <c r="O68" s="137">
        <f t="shared" si="7"/>
        <v>0</v>
      </c>
      <c r="P68" s="138" t="e">
        <f t="shared" si="9"/>
        <v>#DIV/0!</v>
      </c>
    </row>
    <row r="69" spans="2:16" s="109" customFormat="1" ht="21.95" customHeight="1" outlineLevel="1">
      <c r="B69" s="148" t="str">
        <f>'CPU  1'!B69</f>
        <v>E44</v>
      </c>
      <c r="C69" s="149" t="str">
        <f>'CPU  1'!C69</f>
        <v>Vibrador de concreto</v>
      </c>
      <c r="D69" s="155" t="str">
        <f>'CPU  1'!D69</f>
        <v>vb</v>
      </c>
      <c r="E69" s="151">
        <f>'CPU  1'!E69</f>
        <v>500</v>
      </c>
      <c r="F69" s="145"/>
      <c r="G69" s="142"/>
      <c r="H69" s="134">
        <f t="shared" si="10"/>
        <v>0</v>
      </c>
      <c r="I69" s="145"/>
      <c r="J69" s="142"/>
      <c r="K69" s="134">
        <f t="shared" si="11"/>
        <v>0</v>
      </c>
      <c r="L69" s="152"/>
      <c r="M69" s="153"/>
      <c r="N69" s="154"/>
      <c r="O69" s="137">
        <f t="shared" si="7"/>
        <v>0</v>
      </c>
      <c r="P69" s="138" t="e">
        <f t="shared" si="9"/>
        <v>#DIV/0!</v>
      </c>
    </row>
    <row r="70" spans="2:16" s="109" customFormat="1" ht="21.95" customHeight="1" outlineLevel="1">
      <c r="B70" s="148" t="str">
        <f>'CPU  1'!B70</f>
        <v>E45</v>
      </c>
      <c r="C70" s="149" t="str">
        <f>'CPU  1'!C70</f>
        <v>Radio de comunicação (par)</v>
      </c>
      <c r="D70" s="155" t="str">
        <f>'CPU  1'!D70</f>
        <v>und</v>
      </c>
      <c r="E70" s="151">
        <f>'CPU  1'!E70</f>
        <v>200</v>
      </c>
      <c r="F70" s="145"/>
      <c r="G70" s="142"/>
      <c r="H70" s="134">
        <f t="shared" si="10"/>
        <v>0</v>
      </c>
      <c r="I70" s="145"/>
      <c r="J70" s="142"/>
      <c r="K70" s="134">
        <f t="shared" si="11"/>
        <v>0</v>
      </c>
      <c r="L70" s="152"/>
      <c r="M70" s="153"/>
      <c r="N70" s="154"/>
      <c r="O70" s="137">
        <f t="shared" si="7"/>
        <v>0</v>
      </c>
      <c r="P70" s="138" t="e">
        <f t="shared" si="9"/>
        <v>#DIV/0!</v>
      </c>
    </row>
    <row r="71" spans="2:16" s="109" customFormat="1" ht="21.95" customHeight="1" outlineLevel="1">
      <c r="B71" s="148" t="str">
        <f>'CPU  1'!B71</f>
        <v>E46</v>
      </c>
      <c r="C71" s="149" t="str">
        <f>'CPU  1'!C71</f>
        <v>Detector de raios</v>
      </c>
      <c r="D71" s="155" t="str">
        <f>'CPU  1'!D71</f>
        <v>und</v>
      </c>
      <c r="E71" s="151">
        <f>'CPU  1'!E71</f>
        <v>4200</v>
      </c>
      <c r="F71" s="145"/>
      <c r="G71" s="142"/>
      <c r="H71" s="134">
        <f t="shared" si="10"/>
        <v>0</v>
      </c>
      <c r="I71" s="145"/>
      <c r="J71" s="142"/>
      <c r="K71" s="134">
        <f t="shared" si="11"/>
        <v>0</v>
      </c>
      <c r="L71" s="152"/>
      <c r="M71" s="153"/>
      <c r="N71" s="154"/>
      <c r="O71" s="137">
        <f t="shared" si="7"/>
        <v>0</v>
      </c>
      <c r="P71" s="138" t="e">
        <f t="shared" si="9"/>
        <v>#DIV/0!</v>
      </c>
    </row>
    <row r="72" spans="2:16" s="109" customFormat="1" ht="21.95" customHeight="1" outlineLevel="1">
      <c r="B72" s="148" t="str">
        <f>'CPU  1'!B72</f>
        <v>E47</v>
      </c>
      <c r="C72" s="149" t="str">
        <f>'CPU  1'!C72</f>
        <v>Luminaria de fotovoltaica canteiro</v>
      </c>
      <c r="D72" s="155" t="str">
        <f>'CPU  1'!D72</f>
        <v>und</v>
      </c>
      <c r="E72" s="151">
        <f>'CPU  1'!E72</f>
        <v>510</v>
      </c>
      <c r="F72" s="145"/>
      <c r="G72" s="142"/>
      <c r="H72" s="134">
        <f t="shared" si="10"/>
        <v>0</v>
      </c>
      <c r="I72" s="145"/>
      <c r="J72" s="142"/>
      <c r="K72" s="134">
        <f t="shared" si="11"/>
        <v>0</v>
      </c>
      <c r="L72" s="152"/>
      <c r="M72" s="153"/>
      <c r="N72" s="154"/>
      <c r="O72" s="137">
        <f t="shared" si="7"/>
        <v>0</v>
      </c>
      <c r="P72" s="138" t="e">
        <f t="shared" si="9"/>
        <v>#DIV/0!</v>
      </c>
    </row>
    <row r="73" spans="2:16" s="109" customFormat="1" ht="21.95" customHeight="1" outlineLevel="1">
      <c r="B73" s="148" t="str">
        <f>'CPU  1'!B73</f>
        <v>E48</v>
      </c>
      <c r="C73" s="149" t="str">
        <f>'CPU  1'!C73</f>
        <v>Retroescavadeira</v>
      </c>
      <c r="D73" s="155" t="str">
        <f>'CPU  1'!D73</f>
        <v>vb/mês</v>
      </c>
      <c r="E73" s="151">
        <f>'CPU  1'!E73</f>
        <v>29000</v>
      </c>
      <c r="F73" s="145"/>
      <c r="G73" s="142"/>
      <c r="H73" s="134">
        <f t="shared" si="10"/>
        <v>0</v>
      </c>
      <c r="I73" s="145"/>
      <c r="J73" s="142"/>
      <c r="K73" s="134">
        <f t="shared" si="11"/>
        <v>0</v>
      </c>
      <c r="L73" s="152"/>
      <c r="M73" s="153"/>
      <c r="N73" s="154"/>
      <c r="O73" s="137">
        <f t="shared" si="7"/>
        <v>0</v>
      </c>
      <c r="P73" s="138" t="e">
        <f t="shared" si="9"/>
        <v>#DIV/0!</v>
      </c>
    </row>
    <row r="74" spans="2:16" s="109" customFormat="1" ht="21.95" customHeight="1" outlineLevel="1">
      <c r="B74" s="148" t="str">
        <f>'CPU  1'!B74</f>
        <v>E49</v>
      </c>
      <c r="C74" s="149" t="str">
        <f>'CPU  1'!C74</f>
        <v>Caminhão Basculante</v>
      </c>
      <c r="D74" s="155" t="str">
        <f>'CPU  1'!D74</f>
        <v>vb/mês</v>
      </c>
      <c r="E74" s="151">
        <f>'CPU  1'!E74</f>
        <v>37000</v>
      </c>
      <c r="F74" s="145"/>
      <c r="G74" s="142"/>
      <c r="H74" s="134">
        <f t="shared" si="10"/>
        <v>0</v>
      </c>
      <c r="I74" s="145"/>
      <c r="J74" s="142"/>
      <c r="K74" s="134">
        <f t="shared" si="11"/>
        <v>0</v>
      </c>
      <c r="L74" s="152"/>
      <c r="M74" s="153"/>
      <c r="N74" s="154"/>
      <c r="O74" s="137">
        <f t="shared" si="7"/>
        <v>0</v>
      </c>
      <c r="P74" s="138" t="e">
        <f t="shared" si="9"/>
        <v>#DIV/0!</v>
      </c>
    </row>
    <row r="75" spans="2:16" s="109" customFormat="1" ht="21.95" customHeight="1" outlineLevel="1">
      <c r="B75" s="148" t="str">
        <f>'CPU  1'!B75</f>
        <v>E50</v>
      </c>
      <c r="C75" s="149">
        <f>'CPU  1'!C75</f>
        <v>0</v>
      </c>
      <c r="D75" s="155">
        <f>'CPU  1'!D75</f>
        <v>0</v>
      </c>
      <c r="E75" s="151">
        <f>'CPU  1'!E75</f>
        <v>0</v>
      </c>
      <c r="F75" s="145"/>
      <c r="G75" s="142"/>
      <c r="H75" s="134">
        <f>G75*F75*$E75</f>
        <v>0</v>
      </c>
      <c r="I75" s="145"/>
      <c r="J75" s="142"/>
      <c r="K75" s="134">
        <f>J75*I75*$E75</f>
        <v>0</v>
      </c>
      <c r="L75" s="152"/>
      <c r="M75" s="153"/>
      <c r="N75" s="154"/>
      <c r="O75" s="137">
        <f t="shared" si="7"/>
        <v>0</v>
      </c>
      <c r="P75" s="138" t="e">
        <f t="shared" si="9"/>
        <v>#DIV/0!</v>
      </c>
    </row>
    <row r="76" spans="2:16" s="109" customFormat="1" ht="21.95" customHeight="1" outlineLevel="1">
      <c r="B76" s="148" t="str">
        <f>'CPU  1'!B76</f>
        <v>E51</v>
      </c>
      <c r="C76" s="149">
        <f>'CPU  1'!C76</f>
        <v>0</v>
      </c>
      <c r="D76" s="155">
        <f>'CPU  1'!D76</f>
        <v>0</v>
      </c>
      <c r="E76" s="151">
        <f>'CPU  1'!E76</f>
        <v>0</v>
      </c>
      <c r="F76" s="145"/>
      <c r="G76" s="142"/>
      <c r="H76" s="134">
        <f>G76*F76*$E76</f>
        <v>0</v>
      </c>
      <c r="I76" s="145"/>
      <c r="J76" s="142"/>
      <c r="K76" s="134">
        <f>J76*I76*$E76</f>
        <v>0</v>
      </c>
      <c r="L76" s="152"/>
      <c r="M76" s="153"/>
      <c r="N76" s="154"/>
      <c r="O76" s="137">
        <f t="shared" si="7"/>
        <v>0</v>
      </c>
      <c r="P76" s="138" t="e">
        <f t="shared" si="9"/>
        <v>#DIV/0!</v>
      </c>
    </row>
    <row r="77" spans="2:16" s="109" customFormat="1" ht="21.95" customHeight="1" outlineLevel="1">
      <c r="B77" s="148" t="str">
        <f>'CPU  1'!B77</f>
        <v>E52</v>
      </c>
      <c r="C77" s="149">
        <f>'CPU  1'!C77</f>
        <v>0</v>
      </c>
      <c r="D77" s="155">
        <f>'CPU  1'!D77</f>
        <v>0</v>
      </c>
      <c r="E77" s="151">
        <f>'CPU  1'!E77</f>
        <v>0</v>
      </c>
      <c r="F77" s="145"/>
      <c r="G77" s="142"/>
      <c r="H77" s="134">
        <f t="shared" si="10"/>
        <v>0</v>
      </c>
      <c r="I77" s="145"/>
      <c r="J77" s="142"/>
      <c r="K77" s="134">
        <f t="shared" si="11"/>
        <v>0</v>
      </c>
      <c r="L77" s="152"/>
      <c r="M77" s="153"/>
      <c r="N77" s="154"/>
      <c r="O77" s="137">
        <f t="shared" si="7"/>
        <v>0</v>
      </c>
      <c r="P77" s="138" t="e">
        <f t="shared" si="9"/>
        <v>#DIV/0!</v>
      </c>
    </row>
    <row r="78" spans="2:16" s="109" customFormat="1" ht="21.95" customHeight="1" outlineLevel="1">
      <c r="B78" s="148" t="str">
        <f>'CPU  1'!B78</f>
        <v>E53</v>
      </c>
      <c r="C78" s="149">
        <f>'CPU  1'!C78</f>
        <v>0</v>
      </c>
      <c r="D78" s="155">
        <f>'CPU  1'!D78</f>
        <v>0</v>
      </c>
      <c r="E78" s="151">
        <f>'CPU  1'!E78</f>
        <v>0</v>
      </c>
      <c r="F78" s="145"/>
      <c r="G78" s="142"/>
      <c r="H78" s="134">
        <f t="shared" si="10"/>
        <v>0</v>
      </c>
      <c r="I78" s="145"/>
      <c r="J78" s="142"/>
      <c r="K78" s="134">
        <f t="shared" si="11"/>
        <v>0</v>
      </c>
      <c r="L78" s="152"/>
      <c r="M78" s="153"/>
      <c r="N78" s="154"/>
      <c r="O78" s="137">
        <f t="shared" si="7"/>
        <v>0</v>
      </c>
      <c r="P78" s="138" t="e">
        <f t="shared" si="9"/>
        <v>#DIV/0!</v>
      </c>
    </row>
    <row r="79" spans="2:16" s="109" customFormat="1" ht="21.95" customHeight="1" outlineLevel="1" thickBot="1">
      <c r="B79" s="148" t="str">
        <f>'CPU  1'!B79</f>
        <v>E54</v>
      </c>
      <c r="C79" s="149">
        <f>'CPU  1'!C79</f>
        <v>0</v>
      </c>
      <c r="D79" s="155">
        <f>'CPU  1'!D79</f>
        <v>0</v>
      </c>
      <c r="E79" s="151">
        <f>'CPU  1'!E79</f>
        <v>0</v>
      </c>
      <c r="F79" s="145"/>
      <c r="G79" s="142"/>
      <c r="H79" s="134">
        <f t="shared" si="5"/>
        <v>0</v>
      </c>
      <c r="I79" s="145"/>
      <c r="J79" s="142"/>
      <c r="K79" s="134">
        <f t="shared" si="6"/>
        <v>0</v>
      </c>
      <c r="L79" s="152"/>
      <c r="M79" s="153"/>
      <c r="N79" s="154"/>
      <c r="O79" s="137">
        <f t="shared" si="7"/>
        <v>0</v>
      </c>
      <c r="P79" s="138" t="e">
        <f t="shared" si="9"/>
        <v>#DIV/0!</v>
      </c>
    </row>
    <row r="80" spans="2:16" s="109" customFormat="1" ht="21.95" customHeight="1" thickBot="1">
      <c r="B80" s="694" t="s">
        <v>136</v>
      </c>
      <c r="C80" s="695"/>
      <c r="D80" s="695"/>
      <c r="E80" s="695" t="e">
        <f>SUM(#REF!)</f>
        <v>#REF!</v>
      </c>
      <c r="F80" s="263"/>
      <c r="G80" s="264"/>
      <c r="H80" s="265">
        <f>SUM(H26:H79)</f>
        <v>0</v>
      </c>
      <c r="I80" s="263"/>
      <c r="J80" s="264"/>
      <c r="K80" s="265">
        <f>SUM(K26:K79)</f>
        <v>0</v>
      </c>
      <c r="L80" s="143"/>
      <c r="M80" s="263"/>
      <c r="N80" s="264"/>
      <c r="O80" s="265">
        <f>SUM(O26:O79)</f>
        <v>0</v>
      </c>
      <c r="P80" s="138"/>
    </row>
    <row r="81" spans="2:17" s="109" customFormat="1" ht="21.95" customHeight="1" thickBot="1">
      <c r="B81" s="699" t="s">
        <v>34</v>
      </c>
      <c r="C81" s="700"/>
      <c r="D81" s="700"/>
      <c r="E81" s="701"/>
      <c r="F81" s="745"/>
      <c r="G81" s="745"/>
      <c r="H81" s="745"/>
      <c r="I81" s="745"/>
      <c r="J81" s="745"/>
      <c r="K81" s="745"/>
      <c r="L81" s="143"/>
      <c r="M81" s="711"/>
      <c r="N81" s="711"/>
      <c r="O81" s="711"/>
      <c r="P81" s="138"/>
    </row>
    <row r="82" spans="2:17" s="127" customFormat="1" ht="21.95" customHeight="1" thickBot="1">
      <c r="B82" s="258" t="s">
        <v>163</v>
      </c>
      <c r="C82" s="259" t="s">
        <v>169</v>
      </c>
      <c r="D82" s="260" t="s">
        <v>30</v>
      </c>
      <c r="E82" s="261" t="s">
        <v>31</v>
      </c>
      <c r="F82" s="258" t="s">
        <v>6</v>
      </c>
      <c r="G82" s="261" t="s">
        <v>32</v>
      </c>
      <c r="H82" s="262" t="s">
        <v>5</v>
      </c>
      <c r="I82" s="258" t="s">
        <v>6</v>
      </c>
      <c r="J82" s="261" t="s">
        <v>32</v>
      </c>
      <c r="K82" s="262" t="s">
        <v>5</v>
      </c>
      <c r="L82" s="124"/>
      <c r="M82" s="258" t="s">
        <v>6</v>
      </c>
      <c r="N82" s="261" t="s">
        <v>32</v>
      </c>
      <c r="O82" s="262" t="s">
        <v>5</v>
      </c>
      <c r="P82" s="125"/>
      <c r="Q82" s="126"/>
    </row>
    <row r="83" spans="2:17" s="109" customFormat="1" ht="21.95" customHeight="1" outlineLevel="1">
      <c r="B83" s="148" t="str">
        <f>'CPU  1'!B83</f>
        <v>M01</v>
      </c>
      <c r="C83" s="156" t="str">
        <f>'CPU  1'!C83</f>
        <v>Aço CA-50, (ferro 8.0)</v>
      </c>
      <c r="D83" s="157" t="str">
        <f>'CPU  1'!D83</f>
        <v>kg</v>
      </c>
      <c r="E83" s="158">
        <f>'CPU  1'!E83</f>
        <v>12.5</v>
      </c>
      <c r="F83" s="145"/>
      <c r="G83" s="142"/>
      <c r="H83" s="134">
        <f t="shared" ref="H83:H131" si="12">G83*F83*$E83</f>
        <v>0</v>
      </c>
      <c r="I83" s="145"/>
      <c r="J83" s="142"/>
      <c r="K83" s="134">
        <f t="shared" ref="K83:K131" si="13">J83*I83*$E83</f>
        <v>0</v>
      </c>
      <c r="L83" s="152"/>
      <c r="M83" s="159"/>
      <c r="N83" s="160"/>
      <c r="O83" s="137">
        <f t="shared" ref="O83:O131" si="14">K83*$K$3+H83*$H$3</f>
        <v>0</v>
      </c>
      <c r="P83" s="138" t="e">
        <f t="shared" ref="P83:P114" si="15">O83/$O$162</f>
        <v>#DIV/0!</v>
      </c>
    </row>
    <row r="84" spans="2:17" s="109" customFormat="1" ht="21.95" customHeight="1" outlineLevel="1">
      <c r="B84" s="148" t="str">
        <f>'CPU  1'!B84</f>
        <v>M02</v>
      </c>
      <c r="C84" s="156" t="str">
        <f>'CPU  1'!C84</f>
        <v>Agua Mineral</v>
      </c>
      <c r="D84" s="157" t="str">
        <f>'CPU  1'!D84</f>
        <v>litro</v>
      </c>
      <c r="E84" s="158">
        <f>'CPU  1'!E84</f>
        <v>1</v>
      </c>
      <c r="F84" s="145"/>
      <c r="G84" s="142"/>
      <c r="H84" s="134">
        <f t="shared" si="12"/>
        <v>0</v>
      </c>
      <c r="I84" s="145"/>
      <c r="J84" s="142"/>
      <c r="K84" s="134">
        <f t="shared" si="13"/>
        <v>0</v>
      </c>
      <c r="L84" s="152"/>
      <c r="M84" s="159"/>
      <c r="N84" s="160"/>
      <c r="O84" s="137">
        <f t="shared" si="14"/>
        <v>0</v>
      </c>
      <c r="P84" s="138" t="e">
        <f t="shared" si="15"/>
        <v>#DIV/0!</v>
      </c>
    </row>
    <row r="85" spans="2:17" s="109" customFormat="1" ht="21.95" customHeight="1" outlineLevel="1">
      <c r="B85" s="148" t="str">
        <f>'CPU  1'!B85</f>
        <v>M03</v>
      </c>
      <c r="C85" s="156" t="str">
        <f>'CPU  1'!C85</f>
        <v>Arame ovalado zincado</v>
      </c>
      <c r="D85" s="157" t="str">
        <f>'CPU  1'!D85</f>
        <v>m</v>
      </c>
      <c r="E85" s="158">
        <f>'CPU  1'!E85</f>
        <v>1</v>
      </c>
      <c r="F85" s="145"/>
      <c r="G85" s="142"/>
      <c r="H85" s="134">
        <f t="shared" si="12"/>
        <v>0</v>
      </c>
      <c r="I85" s="145"/>
      <c r="J85" s="142"/>
      <c r="K85" s="134">
        <f t="shared" si="13"/>
        <v>0</v>
      </c>
      <c r="L85" s="152"/>
      <c r="M85" s="159"/>
      <c r="N85" s="160"/>
      <c r="O85" s="137">
        <f t="shared" si="14"/>
        <v>0</v>
      </c>
      <c r="P85" s="138" t="e">
        <f t="shared" si="15"/>
        <v>#DIV/0!</v>
      </c>
    </row>
    <row r="86" spans="2:17" s="109" customFormat="1" ht="21.95" customHeight="1" outlineLevel="1">
      <c r="B86" s="148" t="str">
        <f>'CPU  1'!B86</f>
        <v>M04</v>
      </c>
      <c r="C86" s="156" t="str">
        <f>'CPU  1'!C86</f>
        <v>Areia</v>
      </c>
      <c r="D86" s="157" t="str">
        <f>'CPU  1'!D86</f>
        <v>m³</v>
      </c>
      <c r="E86" s="158">
        <f>'CPU  1'!E86</f>
        <v>120</v>
      </c>
      <c r="F86" s="145"/>
      <c r="G86" s="142"/>
      <c r="H86" s="134">
        <f t="shared" si="12"/>
        <v>0</v>
      </c>
      <c r="I86" s="145"/>
      <c r="J86" s="142"/>
      <c r="K86" s="134">
        <f t="shared" si="13"/>
        <v>0</v>
      </c>
      <c r="L86" s="152"/>
      <c r="M86" s="159"/>
      <c r="N86" s="160"/>
      <c r="O86" s="137">
        <f t="shared" si="14"/>
        <v>0</v>
      </c>
      <c r="P86" s="138" t="e">
        <f t="shared" si="15"/>
        <v>#DIV/0!</v>
      </c>
    </row>
    <row r="87" spans="2:17" s="109" customFormat="1" ht="21.95" customHeight="1" outlineLevel="1">
      <c r="B87" s="148" t="str">
        <f>'CPU  1'!B87</f>
        <v>M05</v>
      </c>
      <c r="C87" s="156" t="str">
        <f>'CPU  1'!C87</f>
        <v>Arrame galganizado</v>
      </c>
      <c r="D87" s="157" t="str">
        <f>'CPU  1'!D87</f>
        <v>kg</v>
      </c>
      <c r="E87" s="158">
        <f>'CPU  1'!E87</f>
        <v>16.8</v>
      </c>
      <c r="F87" s="145"/>
      <c r="G87" s="142"/>
      <c r="H87" s="134">
        <f t="shared" si="12"/>
        <v>0</v>
      </c>
      <c r="I87" s="145"/>
      <c r="J87" s="142"/>
      <c r="K87" s="134">
        <f t="shared" si="13"/>
        <v>0</v>
      </c>
      <c r="L87" s="152"/>
      <c r="M87" s="159"/>
      <c r="N87" s="160"/>
      <c r="O87" s="137">
        <f t="shared" si="14"/>
        <v>0</v>
      </c>
      <c r="P87" s="138" t="e">
        <f t="shared" si="15"/>
        <v>#DIV/0!</v>
      </c>
    </row>
    <row r="88" spans="2:17" s="109" customFormat="1" ht="21.95" customHeight="1" outlineLevel="1">
      <c r="B88" s="148" t="str">
        <f>'CPU  1'!B88</f>
        <v>M06</v>
      </c>
      <c r="C88" s="156" t="str">
        <f>'CPU  1'!C88</f>
        <v>Arrame recozido</v>
      </c>
      <c r="D88" s="157" t="str">
        <f>'CPU  1'!D88</f>
        <v>kg</v>
      </c>
      <c r="E88" s="158">
        <f>'CPU  1'!E88</f>
        <v>12</v>
      </c>
      <c r="F88" s="145"/>
      <c r="G88" s="142"/>
      <c r="H88" s="134">
        <f t="shared" si="12"/>
        <v>0</v>
      </c>
      <c r="I88" s="145"/>
      <c r="J88" s="142"/>
      <c r="K88" s="134">
        <f t="shared" si="13"/>
        <v>0</v>
      </c>
      <c r="L88" s="152"/>
      <c r="M88" s="159"/>
      <c r="N88" s="160"/>
      <c r="O88" s="137">
        <f t="shared" si="14"/>
        <v>0</v>
      </c>
      <c r="P88" s="138" t="e">
        <f t="shared" si="15"/>
        <v>#DIV/0!</v>
      </c>
    </row>
    <row r="89" spans="2:17" s="109" customFormat="1" ht="21.95" customHeight="1" outlineLevel="1">
      <c r="B89" s="148" t="str">
        <f>'CPU  1'!B89</f>
        <v>M07</v>
      </c>
      <c r="C89" s="156" t="str">
        <f>'CPU  1'!C89</f>
        <v>Barrote de madeira 7x7cm</v>
      </c>
      <c r="D89" s="157" t="str">
        <f>'CPU  1'!D89</f>
        <v>m</v>
      </c>
      <c r="E89" s="158">
        <f>'CPU  1'!E89</f>
        <v>15</v>
      </c>
      <c r="F89" s="145"/>
      <c r="G89" s="142"/>
      <c r="H89" s="134">
        <f t="shared" si="12"/>
        <v>0</v>
      </c>
      <c r="I89" s="145"/>
      <c r="J89" s="142"/>
      <c r="K89" s="134">
        <f t="shared" si="13"/>
        <v>0</v>
      </c>
      <c r="L89" s="152"/>
      <c r="M89" s="159"/>
      <c r="N89" s="160"/>
      <c r="O89" s="137">
        <f t="shared" si="14"/>
        <v>0</v>
      </c>
      <c r="P89" s="138" t="e">
        <f t="shared" si="15"/>
        <v>#DIV/0!</v>
      </c>
    </row>
    <row r="90" spans="2:17" s="109" customFormat="1" ht="21.95" customHeight="1" outlineLevel="1">
      <c r="B90" s="148" t="str">
        <f>'CPU  1'!B90</f>
        <v>M08</v>
      </c>
      <c r="C90" s="149" t="str">
        <f>'CPU  1'!C90</f>
        <v>Bloco tipo canaleta (14x19x39cm)</v>
      </c>
      <c r="D90" s="150" t="str">
        <f>'CPU  1'!D90</f>
        <v>peça</v>
      </c>
      <c r="E90" s="151">
        <f>'CPU  1'!E90</f>
        <v>8.9</v>
      </c>
      <c r="F90" s="145"/>
      <c r="G90" s="142"/>
      <c r="H90" s="134">
        <f t="shared" si="12"/>
        <v>0</v>
      </c>
      <c r="I90" s="145"/>
      <c r="J90" s="142"/>
      <c r="K90" s="134">
        <f t="shared" si="13"/>
        <v>0</v>
      </c>
      <c r="L90" s="152"/>
      <c r="M90" s="159"/>
      <c r="N90" s="160"/>
      <c r="O90" s="137">
        <f t="shared" si="14"/>
        <v>0</v>
      </c>
      <c r="P90" s="138" t="e">
        <f t="shared" si="15"/>
        <v>#DIV/0!</v>
      </c>
    </row>
    <row r="91" spans="2:17" s="109" customFormat="1" ht="21.95" customHeight="1" outlineLevel="1">
      <c r="B91" s="148" t="str">
        <f>'CPU  1'!B91</f>
        <v>M09</v>
      </c>
      <c r="C91" s="161" t="str">
        <f>'CPU  1'!C91</f>
        <v>Brita 1</v>
      </c>
      <c r="D91" s="157" t="str">
        <f>'CPU  1'!D91</f>
        <v>m³</v>
      </c>
      <c r="E91" s="158">
        <f>'CPU  1'!E91</f>
        <v>220</v>
      </c>
      <c r="F91" s="145"/>
      <c r="G91" s="142"/>
      <c r="H91" s="134">
        <f t="shared" si="12"/>
        <v>0</v>
      </c>
      <c r="I91" s="145"/>
      <c r="J91" s="142"/>
      <c r="K91" s="134">
        <f t="shared" si="13"/>
        <v>0</v>
      </c>
      <c r="L91" s="152"/>
      <c r="M91" s="159"/>
      <c r="N91" s="160"/>
      <c r="O91" s="137">
        <f t="shared" si="14"/>
        <v>0</v>
      </c>
      <c r="P91" s="138" t="e">
        <f t="shared" si="15"/>
        <v>#DIV/0!</v>
      </c>
    </row>
    <row r="92" spans="2:17" s="109" customFormat="1" ht="21.95" customHeight="1" outlineLevel="1">
      <c r="B92" s="148" t="str">
        <f>'CPU  1'!B92</f>
        <v>M11</v>
      </c>
      <c r="C92" s="149" t="str">
        <f>'CPU  1'!C92</f>
        <v>Caixa de passagens para aterramento h600 diâmetro 30cm</v>
      </c>
      <c r="D92" s="150" t="str">
        <f>'CPU  1'!D92</f>
        <v>und</v>
      </c>
      <c r="E92" s="151">
        <f>'CPU  1'!E92</f>
        <v>590</v>
      </c>
      <c r="F92" s="145"/>
      <c r="G92" s="142"/>
      <c r="H92" s="134">
        <f t="shared" si="12"/>
        <v>0</v>
      </c>
      <c r="I92" s="145"/>
      <c r="J92" s="142"/>
      <c r="K92" s="134">
        <f t="shared" si="13"/>
        <v>0</v>
      </c>
      <c r="L92" s="152"/>
      <c r="M92" s="159"/>
      <c r="N92" s="160"/>
      <c r="O92" s="137">
        <f t="shared" si="14"/>
        <v>0</v>
      </c>
      <c r="P92" s="138" t="e">
        <f t="shared" si="15"/>
        <v>#DIV/0!</v>
      </c>
    </row>
    <row r="93" spans="2:17" s="109" customFormat="1" ht="21.95" customHeight="1" outlineLevel="1">
      <c r="B93" s="148" t="str">
        <f>'CPU  1'!B93</f>
        <v>M12</v>
      </c>
      <c r="C93" s="149" t="str">
        <f>'CPU  1'!C93</f>
        <v>Catoneira galvanizada 1"x1-1/4</v>
      </c>
      <c r="D93" s="150" t="str">
        <f>'CPU  1'!D93</f>
        <v>m</v>
      </c>
      <c r="E93" s="151">
        <f>'CPU  1'!E93</f>
        <v>24.999999999999996</v>
      </c>
      <c r="F93" s="145"/>
      <c r="G93" s="142"/>
      <c r="H93" s="134">
        <f t="shared" si="12"/>
        <v>0</v>
      </c>
      <c r="I93" s="145"/>
      <c r="J93" s="142"/>
      <c r="K93" s="134">
        <f t="shared" si="13"/>
        <v>0</v>
      </c>
      <c r="L93" s="152"/>
      <c r="M93" s="159"/>
      <c r="N93" s="160"/>
      <c r="O93" s="137">
        <f t="shared" si="14"/>
        <v>0</v>
      </c>
      <c r="P93" s="138" t="e">
        <f t="shared" si="15"/>
        <v>#DIV/0!</v>
      </c>
    </row>
    <row r="94" spans="2:17" s="109" customFormat="1" ht="36" customHeight="1" outlineLevel="1">
      <c r="B94" s="148" t="str">
        <f>'CPU  1'!B94</f>
        <v>M13</v>
      </c>
      <c r="C94" s="149" t="str">
        <f>'CPU  1'!C94</f>
        <v>Cercamento e delimitação de canteiro de obra (15x30m)</v>
      </c>
      <c r="D94" s="150" t="str">
        <f>'CPU  1'!D94</f>
        <v>vb</v>
      </c>
      <c r="E94" s="151">
        <f>'CPU  1'!E94</f>
        <v>10000</v>
      </c>
      <c r="F94" s="145"/>
      <c r="G94" s="142"/>
      <c r="H94" s="134">
        <f t="shared" si="12"/>
        <v>0</v>
      </c>
      <c r="I94" s="145"/>
      <c r="J94" s="142"/>
      <c r="K94" s="134">
        <f t="shared" si="13"/>
        <v>0</v>
      </c>
      <c r="L94" s="152"/>
      <c r="M94" s="159"/>
      <c r="N94" s="160"/>
      <c r="O94" s="137">
        <f t="shared" si="14"/>
        <v>0</v>
      </c>
      <c r="P94" s="138" t="e">
        <f t="shared" si="15"/>
        <v>#DIV/0!</v>
      </c>
    </row>
    <row r="95" spans="2:17" s="109" customFormat="1" ht="21.95" customHeight="1" outlineLevel="1">
      <c r="B95" s="148" t="str">
        <f>'CPU  1'!B95</f>
        <v>M14</v>
      </c>
      <c r="C95" s="149" t="str">
        <f>'CPU  1'!C95</f>
        <v>Cimento</v>
      </c>
      <c r="D95" s="150" t="str">
        <f>'CPU  1'!D95</f>
        <v>saco</v>
      </c>
      <c r="E95" s="151">
        <f>'CPU  1'!E95</f>
        <v>50</v>
      </c>
      <c r="F95" s="145"/>
      <c r="G95" s="142"/>
      <c r="H95" s="134">
        <f t="shared" si="12"/>
        <v>0</v>
      </c>
      <c r="I95" s="145"/>
      <c r="J95" s="142"/>
      <c r="K95" s="134">
        <f t="shared" si="13"/>
        <v>0</v>
      </c>
      <c r="L95" s="152"/>
      <c r="M95" s="159"/>
      <c r="N95" s="160"/>
      <c r="O95" s="137">
        <f t="shared" si="14"/>
        <v>0</v>
      </c>
      <c r="P95" s="138" t="e">
        <f t="shared" si="15"/>
        <v>#DIV/0!</v>
      </c>
    </row>
    <row r="96" spans="2:17" s="109" customFormat="1" ht="21.95" customHeight="1" outlineLevel="1">
      <c r="B96" s="148" t="str">
        <f>'CPU  1'!B96</f>
        <v>M15</v>
      </c>
      <c r="C96" s="149" t="str">
        <f>'CPU  1'!C96</f>
        <v>Combustivel - Gasolina</v>
      </c>
      <c r="D96" s="150" t="str">
        <f>'CPU  1'!D96</f>
        <v>litro</v>
      </c>
      <c r="E96" s="151">
        <f>'CPU  1'!E96</f>
        <v>6.5</v>
      </c>
      <c r="F96" s="145"/>
      <c r="G96" s="142"/>
      <c r="H96" s="134">
        <f t="shared" si="12"/>
        <v>0</v>
      </c>
      <c r="I96" s="145"/>
      <c r="J96" s="142"/>
      <c r="K96" s="134">
        <f t="shared" si="13"/>
        <v>0</v>
      </c>
      <c r="L96" s="152"/>
      <c r="M96" s="159"/>
      <c r="N96" s="160"/>
      <c r="O96" s="137">
        <f t="shared" si="14"/>
        <v>0</v>
      </c>
      <c r="P96" s="138" t="e">
        <f t="shared" si="15"/>
        <v>#DIV/0!</v>
      </c>
    </row>
    <row r="97" spans="2:16" s="109" customFormat="1" ht="21.95" customHeight="1" outlineLevel="1">
      <c r="B97" s="148" t="str">
        <f>'CPU  1'!B97</f>
        <v>M16</v>
      </c>
      <c r="C97" s="149" t="str">
        <f>'CPU  1'!C97</f>
        <v>Combustivel - Diesel</v>
      </c>
      <c r="D97" s="150" t="str">
        <f>'CPU  1'!D97</f>
        <v>litro</v>
      </c>
      <c r="E97" s="151">
        <f>'CPU  1'!E97</f>
        <v>7</v>
      </c>
      <c r="F97" s="145"/>
      <c r="G97" s="142"/>
      <c r="H97" s="134">
        <f>G97*F97*$E97</f>
        <v>0</v>
      </c>
      <c r="I97" s="145"/>
      <c r="J97" s="142"/>
      <c r="K97" s="134">
        <f>J97*I97*$E97</f>
        <v>0</v>
      </c>
      <c r="L97" s="152"/>
      <c r="M97" s="159"/>
      <c r="N97" s="160"/>
      <c r="O97" s="137">
        <f t="shared" si="14"/>
        <v>0</v>
      </c>
      <c r="P97" s="138" t="e">
        <f t="shared" si="15"/>
        <v>#DIV/0!</v>
      </c>
    </row>
    <row r="98" spans="2:16" s="109" customFormat="1" ht="36" customHeight="1" outlineLevel="1">
      <c r="B98" s="148" t="str">
        <f>'CPU  1'!B98</f>
        <v>M17</v>
      </c>
      <c r="C98" s="149" t="str">
        <f>'CPU  1'!C98</f>
        <v>Compensado resinado espessura mínima de 10mm</v>
      </c>
      <c r="D98" s="150" t="str">
        <f>'CPU  1'!D98</f>
        <v>m²</v>
      </c>
      <c r="E98" s="151">
        <f>'CPU  1'!E98</f>
        <v>49.586776859504127</v>
      </c>
      <c r="F98" s="145"/>
      <c r="G98" s="142"/>
      <c r="H98" s="134">
        <f t="shared" si="12"/>
        <v>0</v>
      </c>
      <c r="I98" s="145"/>
      <c r="J98" s="142"/>
      <c r="K98" s="134">
        <f t="shared" si="13"/>
        <v>0</v>
      </c>
      <c r="L98" s="152"/>
      <c r="M98" s="159"/>
      <c r="N98" s="160"/>
      <c r="O98" s="137">
        <f t="shared" si="14"/>
        <v>0</v>
      </c>
      <c r="P98" s="138" t="e">
        <f t="shared" si="15"/>
        <v>#DIV/0!</v>
      </c>
    </row>
    <row r="99" spans="2:16" s="109" customFormat="1" ht="36" customHeight="1" outlineLevel="1">
      <c r="B99" s="148" t="str">
        <f>'CPU  1'!B99</f>
        <v>M18</v>
      </c>
      <c r="C99" s="149" t="str">
        <f>'CPU  1'!C99</f>
        <v>Concertina dupla clipada 45cm perimetral galvanizada CBT 65 RL 10m com seus respectivos acessórios de fixação</v>
      </c>
      <c r="D99" s="150" t="str">
        <f>'CPU  1'!D99</f>
        <v>m</v>
      </c>
      <c r="E99" s="151">
        <f>'CPU  1'!E99</f>
        <v>42</v>
      </c>
      <c r="F99" s="145"/>
      <c r="G99" s="142"/>
      <c r="H99" s="134">
        <f t="shared" si="12"/>
        <v>0</v>
      </c>
      <c r="I99" s="145"/>
      <c r="J99" s="142"/>
      <c r="K99" s="134">
        <f t="shared" si="13"/>
        <v>0</v>
      </c>
      <c r="L99" s="152"/>
      <c r="M99" s="159"/>
      <c r="N99" s="160"/>
      <c r="O99" s="137">
        <f t="shared" si="14"/>
        <v>0</v>
      </c>
      <c r="P99" s="138" t="e">
        <f t="shared" si="15"/>
        <v>#DIV/0!</v>
      </c>
    </row>
    <row r="100" spans="2:16" s="109" customFormat="1" ht="21.95" customHeight="1" outlineLevel="1">
      <c r="B100" s="148" t="str">
        <f>'CPU  1'!B100</f>
        <v>M19</v>
      </c>
      <c r="C100" s="149" t="str">
        <f>'CPU  1'!C100</f>
        <v>Concreto usinado 30MPa</v>
      </c>
      <c r="D100" s="150" t="str">
        <f>'CPU  1'!D100</f>
        <v>m³</v>
      </c>
      <c r="E100" s="151">
        <f>'CPU  1'!E100</f>
        <v>650</v>
      </c>
      <c r="F100" s="145"/>
      <c r="G100" s="142"/>
      <c r="H100" s="134">
        <f t="shared" si="12"/>
        <v>0</v>
      </c>
      <c r="I100" s="145"/>
      <c r="J100" s="142"/>
      <c r="K100" s="134">
        <f t="shared" si="13"/>
        <v>0</v>
      </c>
      <c r="L100" s="152"/>
      <c r="M100" s="159"/>
      <c r="N100" s="160"/>
      <c r="O100" s="137">
        <f t="shared" si="14"/>
        <v>0</v>
      </c>
      <c r="P100" s="138" t="e">
        <f t="shared" si="15"/>
        <v>#DIV/0!</v>
      </c>
    </row>
    <row r="101" spans="2:16" s="109" customFormat="1" ht="21.95" customHeight="1" outlineLevel="1">
      <c r="B101" s="148" t="str">
        <f>'CPU  1'!B101</f>
        <v>M20</v>
      </c>
      <c r="C101" s="149" t="str">
        <f>'CPU  1'!C101</f>
        <v>Espaçadores de ferragem</v>
      </c>
      <c r="D101" s="150" t="str">
        <f>'CPU  1'!D101</f>
        <v>und</v>
      </c>
      <c r="E101" s="151">
        <f>'CPU  1'!E101</f>
        <v>2</v>
      </c>
      <c r="F101" s="145"/>
      <c r="G101" s="142"/>
      <c r="H101" s="134">
        <f t="shared" si="12"/>
        <v>0</v>
      </c>
      <c r="I101" s="145"/>
      <c r="J101" s="142"/>
      <c r="K101" s="134">
        <f t="shared" si="13"/>
        <v>0</v>
      </c>
      <c r="L101" s="152"/>
      <c r="M101" s="159"/>
      <c r="N101" s="160"/>
      <c r="O101" s="137">
        <f t="shared" si="14"/>
        <v>0</v>
      </c>
      <c r="P101" s="138" t="e">
        <f t="shared" si="15"/>
        <v>#DIV/0!</v>
      </c>
    </row>
    <row r="102" spans="2:16" s="109" customFormat="1" ht="21.95" customHeight="1" outlineLevel="1">
      <c r="B102" s="148" t="str">
        <f>'CPU  1'!B102</f>
        <v>M21</v>
      </c>
      <c r="C102" s="149" t="str">
        <f>'CPU  1'!C102</f>
        <v>Treliça - para viga baldrame</v>
      </c>
      <c r="D102" s="150" t="str">
        <f>'CPU  1'!D102</f>
        <v>m</v>
      </c>
      <c r="E102" s="151">
        <f>'CPU  1'!E102</f>
        <v>7.5</v>
      </c>
      <c r="F102" s="145"/>
      <c r="G102" s="142"/>
      <c r="H102" s="134">
        <f t="shared" si="12"/>
        <v>0</v>
      </c>
      <c r="I102" s="145"/>
      <c r="J102" s="142"/>
      <c r="K102" s="134">
        <f t="shared" si="13"/>
        <v>0</v>
      </c>
      <c r="L102" s="152"/>
      <c r="M102" s="159"/>
      <c r="N102" s="160"/>
      <c r="O102" s="137">
        <f t="shared" si="14"/>
        <v>0</v>
      </c>
      <c r="P102" s="138" t="e">
        <f t="shared" si="15"/>
        <v>#DIV/0!</v>
      </c>
    </row>
    <row r="103" spans="2:16" s="109" customFormat="1" ht="21.95" customHeight="1" outlineLevel="1">
      <c r="B103" s="148" t="str">
        <f>'CPU  1'!B103</f>
        <v>M22</v>
      </c>
      <c r="C103" s="149" t="str">
        <f>'CPU  1'!C103</f>
        <v>Gelo</v>
      </c>
      <c r="D103" s="150" t="str">
        <f>'CPU  1'!D103</f>
        <v>pacote</v>
      </c>
      <c r="E103" s="151">
        <f>'CPU  1'!E103</f>
        <v>5</v>
      </c>
      <c r="F103" s="145"/>
      <c r="G103" s="142"/>
      <c r="H103" s="134">
        <f t="shared" si="12"/>
        <v>0</v>
      </c>
      <c r="I103" s="145"/>
      <c r="J103" s="142"/>
      <c r="K103" s="134">
        <f t="shared" si="13"/>
        <v>0</v>
      </c>
      <c r="L103" s="152"/>
      <c r="M103" s="159"/>
      <c r="N103" s="160"/>
      <c r="O103" s="137">
        <f t="shared" si="14"/>
        <v>0</v>
      </c>
      <c r="P103" s="138" t="e">
        <f t="shared" si="15"/>
        <v>#DIV/0!</v>
      </c>
    </row>
    <row r="104" spans="2:16" s="109" customFormat="1" ht="21.95" customHeight="1" outlineLevel="1">
      <c r="B104" s="148" t="str">
        <f>'CPU  1'!B104</f>
        <v>M23</v>
      </c>
      <c r="C104" s="149" t="str">
        <f>'CPU  1'!C104</f>
        <v>Kit ambiental</v>
      </c>
      <c r="D104" s="150" t="str">
        <f>'CPU  1'!D104</f>
        <v>vb</v>
      </c>
      <c r="E104" s="151">
        <f>'CPU  1'!E104</f>
        <v>750</v>
      </c>
      <c r="F104" s="145"/>
      <c r="G104" s="142"/>
      <c r="H104" s="134">
        <f t="shared" si="12"/>
        <v>0</v>
      </c>
      <c r="I104" s="145"/>
      <c r="J104" s="142"/>
      <c r="K104" s="134">
        <f t="shared" si="13"/>
        <v>0</v>
      </c>
      <c r="L104" s="152"/>
      <c r="M104" s="159"/>
      <c r="N104" s="160"/>
      <c r="O104" s="137">
        <f t="shared" si="14"/>
        <v>0</v>
      </c>
      <c r="P104" s="138" t="e">
        <f t="shared" si="15"/>
        <v>#DIV/0!</v>
      </c>
    </row>
    <row r="105" spans="2:16" s="109" customFormat="1" ht="36" customHeight="1" outlineLevel="1">
      <c r="B105" s="148" t="str">
        <f>'CPU  1'!B105</f>
        <v>M24</v>
      </c>
      <c r="C105" s="149" t="str">
        <f>'CPU  1'!C105</f>
        <v>Material de escritório (papel, tinta, grampos, pastas, ...)</v>
      </c>
      <c r="D105" s="150" t="str">
        <f>'CPU  1'!D105</f>
        <v>vb/mês</v>
      </c>
      <c r="E105" s="151">
        <f>'CPU  1'!E105</f>
        <v>300</v>
      </c>
      <c r="F105" s="145"/>
      <c r="G105" s="142"/>
      <c r="H105" s="134">
        <f t="shared" si="12"/>
        <v>0</v>
      </c>
      <c r="I105" s="145"/>
      <c r="J105" s="142"/>
      <c r="K105" s="134">
        <f t="shared" si="13"/>
        <v>0</v>
      </c>
      <c r="L105" s="152"/>
      <c r="M105" s="159"/>
      <c r="N105" s="160"/>
      <c r="O105" s="137">
        <f t="shared" si="14"/>
        <v>0</v>
      </c>
      <c r="P105" s="138" t="e">
        <f t="shared" si="15"/>
        <v>#DIV/0!</v>
      </c>
    </row>
    <row r="106" spans="2:16" s="109" customFormat="1" ht="21.95" customHeight="1" outlineLevel="1">
      <c r="B106" s="148" t="str">
        <f>'CPU  1'!B106</f>
        <v>M25</v>
      </c>
      <c r="C106" s="149" t="str">
        <f>'CPU  1'!C106</f>
        <v>Material de sinalização</v>
      </c>
      <c r="D106" s="150" t="str">
        <f>'CPU  1'!D106</f>
        <v>und</v>
      </c>
      <c r="E106" s="151">
        <f>'CPU  1'!E106</f>
        <v>550</v>
      </c>
      <c r="F106" s="145"/>
      <c r="G106" s="142"/>
      <c r="H106" s="134">
        <f t="shared" si="12"/>
        <v>0</v>
      </c>
      <c r="I106" s="145"/>
      <c r="J106" s="142"/>
      <c r="K106" s="134">
        <f t="shared" si="13"/>
        <v>0</v>
      </c>
      <c r="L106" s="152"/>
      <c r="M106" s="159"/>
      <c r="N106" s="160"/>
      <c r="O106" s="137">
        <f t="shared" si="14"/>
        <v>0</v>
      </c>
      <c r="P106" s="138" t="e">
        <f t="shared" si="15"/>
        <v>#DIV/0!</v>
      </c>
    </row>
    <row r="107" spans="2:16" s="109" customFormat="1" ht="21.95" customHeight="1" outlineLevel="1">
      <c r="B107" s="148" t="str">
        <f>'CPU  1'!B107</f>
        <v>M26</v>
      </c>
      <c r="C107" s="149" t="str">
        <f>'CPU  1'!C107</f>
        <v>Mourão tipo Y, 13 x 13 x 313cm fck 30mpa</v>
      </c>
      <c r="D107" s="150" t="str">
        <f>'CPU  1'!D107</f>
        <v>peça</v>
      </c>
      <c r="E107" s="151">
        <f>'CPU  1'!E107</f>
        <v>248.39999999999998</v>
      </c>
      <c r="F107" s="145"/>
      <c r="G107" s="142"/>
      <c r="H107" s="134">
        <f t="shared" si="12"/>
        <v>0</v>
      </c>
      <c r="I107" s="145"/>
      <c r="J107" s="142"/>
      <c r="K107" s="134">
        <f t="shared" si="13"/>
        <v>0</v>
      </c>
      <c r="L107" s="152"/>
      <c r="M107" s="159"/>
      <c r="N107" s="160"/>
      <c r="O107" s="137">
        <f t="shared" si="14"/>
        <v>0</v>
      </c>
      <c r="P107" s="138" t="e">
        <f t="shared" si="15"/>
        <v>#DIV/0!</v>
      </c>
    </row>
    <row r="108" spans="2:16" s="109" customFormat="1" ht="21.95" customHeight="1" outlineLevel="1">
      <c r="B108" s="148" t="str">
        <f>'CPU  1'!B108</f>
        <v>M27</v>
      </c>
      <c r="C108" s="149" t="str">
        <f>'CPU  1'!C108</f>
        <v>Mourão em eucalipto 10cm x 273cm</v>
      </c>
      <c r="D108" s="150" t="str">
        <f>'CPU  1'!D108</f>
        <v>peça</v>
      </c>
      <c r="E108" s="151">
        <f>'CPU  1'!E108</f>
        <v>104.39999999999999</v>
      </c>
      <c r="F108" s="145"/>
      <c r="G108" s="142"/>
      <c r="H108" s="134">
        <f>G108*F108*$E108</f>
        <v>0</v>
      </c>
      <c r="I108" s="145"/>
      <c r="J108" s="142"/>
      <c r="K108" s="134">
        <f>J108*I108*$E108</f>
        <v>0</v>
      </c>
      <c r="L108" s="152"/>
      <c r="M108" s="159"/>
      <c r="N108" s="160"/>
      <c r="O108" s="137">
        <f t="shared" si="14"/>
        <v>0</v>
      </c>
      <c r="P108" s="138" t="e">
        <f t="shared" si="15"/>
        <v>#DIV/0!</v>
      </c>
    </row>
    <row r="109" spans="2:16" s="109" customFormat="1" ht="36" customHeight="1" outlineLevel="1">
      <c r="B109" s="148" t="str">
        <f>'CPU  1'!B109</f>
        <v>M28</v>
      </c>
      <c r="C109" s="149" t="str">
        <f>'CPU  1'!C109</f>
        <v>Painel tipo gradil morla 2,03 x 2,5m, fio 5,10mm revestido</v>
      </c>
      <c r="D109" s="150" t="str">
        <f>'CPU  1'!D109</f>
        <v>peça</v>
      </c>
      <c r="E109" s="151">
        <f>'CPU  1'!E109</f>
        <v>780</v>
      </c>
      <c r="F109" s="145"/>
      <c r="G109" s="142"/>
      <c r="H109" s="134">
        <f t="shared" si="12"/>
        <v>0</v>
      </c>
      <c r="I109" s="145"/>
      <c r="J109" s="142"/>
      <c r="K109" s="134">
        <f t="shared" si="13"/>
        <v>0</v>
      </c>
      <c r="L109" s="152"/>
      <c r="M109" s="159"/>
      <c r="N109" s="160"/>
      <c r="O109" s="137">
        <f t="shared" si="14"/>
        <v>0</v>
      </c>
      <c r="P109" s="138" t="e">
        <f t="shared" si="15"/>
        <v>#DIV/0!</v>
      </c>
    </row>
    <row r="110" spans="2:16" s="109" customFormat="1" ht="36" customHeight="1" outlineLevel="1">
      <c r="B110" s="148" t="str">
        <f>'CPU  1'!B110</f>
        <v>M29</v>
      </c>
      <c r="C110" s="149" t="str">
        <f>'CPU  1'!C110</f>
        <v>Painel, tomadas, lampadas, dijuntores, cabos</v>
      </c>
      <c r="D110" s="150" t="str">
        <f>'CPU  1'!D110</f>
        <v>vb</v>
      </c>
      <c r="E110" s="151">
        <f>'CPU  1'!E110</f>
        <v>5000</v>
      </c>
      <c r="F110" s="145"/>
      <c r="G110" s="142"/>
      <c r="H110" s="134">
        <f t="shared" si="12"/>
        <v>0</v>
      </c>
      <c r="I110" s="145"/>
      <c r="J110" s="142"/>
      <c r="K110" s="134">
        <f t="shared" si="13"/>
        <v>0</v>
      </c>
      <c r="L110" s="152"/>
      <c r="M110" s="159"/>
      <c r="N110" s="160"/>
      <c r="O110" s="137">
        <f t="shared" si="14"/>
        <v>0</v>
      </c>
      <c r="P110" s="138" t="e">
        <f t="shared" si="15"/>
        <v>#DIV/0!</v>
      </c>
    </row>
    <row r="111" spans="2:16" s="109" customFormat="1" ht="21.95" customHeight="1" outlineLevel="1">
      <c r="B111" s="148" t="str">
        <f>'CPU  1'!B111</f>
        <v>M30</v>
      </c>
      <c r="C111" s="149" t="str">
        <f>'CPU  1'!C111</f>
        <v>Placa de obra</v>
      </c>
      <c r="D111" s="150" t="str">
        <f>'CPU  1'!D111</f>
        <v>vb</v>
      </c>
      <c r="E111" s="151">
        <f>'CPU  1'!E111</f>
        <v>2000</v>
      </c>
      <c r="F111" s="145"/>
      <c r="G111" s="142"/>
      <c r="H111" s="134">
        <f t="shared" ref="H111:H128" si="16">G111*F111*$E111</f>
        <v>0</v>
      </c>
      <c r="I111" s="145"/>
      <c r="J111" s="142"/>
      <c r="K111" s="134">
        <f t="shared" ref="K111:K128" si="17">J111*I111*$E111</f>
        <v>0</v>
      </c>
      <c r="L111" s="152"/>
      <c r="M111" s="159"/>
      <c r="N111" s="160"/>
      <c r="O111" s="137">
        <f t="shared" si="14"/>
        <v>0</v>
      </c>
      <c r="P111" s="138" t="e">
        <f t="shared" si="15"/>
        <v>#DIV/0!</v>
      </c>
    </row>
    <row r="112" spans="2:16" s="109" customFormat="1" ht="21.95" customHeight="1" outlineLevel="1">
      <c r="B112" s="148" t="str">
        <f>'CPU  1'!B112</f>
        <v>M31</v>
      </c>
      <c r="C112" s="149" t="str">
        <f>'CPU  1'!C112</f>
        <v>Prego</v>
      </c>
      <c r="D112" s="150" t="str">
        <f>'CPU  1'!D112</f>
        <v>kg</v>
      </c>
      <c r="E112" s="151">
        <f>'CPU  1'!E112</f>
        <v>25</v>
      </c>
      <c r="F112" s="145"/>
      <c r="G112" s="142"/>
      <c r="H112" s="134">
        <f t="shared" si="16"/>
        <v>0</v>
      </c>
      <c r="I112" s="145"/>
      <c r="J112" s="142"/>
      <c r="K112" s="134">
        <f t="shared" si="17"/>
        <v>0</v>
      </c>
      <c r="L112" s="152"/>
      <c r="M112" s="159"/>
      <c r="N112" s="160"/>
      <c r="O112" s="137">
        <f t="shared" si="14"/>
        <v>0</v>
      </c>
      <c r="P112" s="138" t="e">
        <f t="shared" si="15"/>
        <v>#DIV/0!</v>
      </c>
    </row>
    <row r="113" spans="2:16" s="109" customFormat="1" ht="36" customHeight="1" outlineLevel="1">
      <c r="B113" s="148" t="str">
        <f>'CPU  1'!B113</f>
        <v>M32</v>
      </c>
      <c r="C113" s="149" t="str">
        <f>'CPU  1'!C113</f>
        <v>Sistema de fixação das telas (parafuso, porcas, arruelas, chapas), galvanizados</v>
      </c>
      <c r="D113" s="150" t="str">
        <f>'CPU  1'!D113</f>
        <v>conjunto</v>
      </c>
      <c r="E113" s="151">
        <f>'CPU  1'!E113</f>
        <v>65</v>
      </c>
      <c r="F113" s="145"/>
      <c r="G113" s="142"/>
      <c r="H113" s="134">
        <f t="shared" si="16"/>
        <v>0</v>
      </c>
      <c r="I113" s="145"/>
      <c r="J113" s="142"/>
      <c r="K113" s="134">
        <f t="shared" si="17"/>
        <v>0</v>
      </c>
      <c r="L113" s="152"/>
      <c r="M113" s="159"/>
      <c r="N113" s="160"/>
      <c r="O113" s="137">
        <f t="shared" si="14"/>
        <v>0</v>
      </c>
      <c r="P113" s="138" t="e">
        <f t="shared" si="15"/>
        <v>#DIV/0!</v>
      </c>
    </row>
    <row r="114" spans="2:16" s="109" customFormat="1" ht="21.95" customHeight="1" outlineLevel="1">
      <c r="B114" s="148" t="str">
        <f>'CPU  1'!B114</f>
        <v>M33</v>
      </c>
      <c r="C114" s="149" t="str">
        <f>'CPU  1'!C114</f>
        <v>Materiais topográficos</v>
      </c>
      <c r="D114" s="150" t="str">
        <f>'CPU  1'!D114</f>
        <v>vb/mês</v>
      </c>
      <c r="E114" s="151">
        <f>'CPU  1'!E114</f>
        <v>200</v>
      </c>
      <c r="F114" s="145"/>
      <c r="G114" s="142"/>
      <c r="H114" s="134">
        <f t="shared" si="16"/>
        <v>0</v>
      </c>
      <c r="I114" s="145"/>
      <c r="J114" s="142"/>
      <c r="K114" s="134">
        <f t="shared" si="17"/>
        <v>0</v>
      </c>
      <c r="L114" s="152"/>
      <c r="M114" s="159"/>
      <c r="N114" s="160"/>
      <c r="O114" s="137">
        <f t="shared" si="14"/>
        <v>0</v>
      </c>
      <c r="P114" s="138" t="e">
        <f t="shared" si="15"/>
        <v>#DIV/0!</v>
      </c>
    </row>
    <row r="115" spans="2:16" s="109" customFormat="1" ht="21.95" customHeight="1" outlineLevel="1">
      <c r="B115" s="148" t="str">
        <f>'CPU  1'!B115</f>
        <v>M34</v>
      </c>
      <c r="C115" s="149" t="str">
        <f>'CPU  1'!C115</f>
        <v>Tela ondulada em aço galvanizado 0,65mx1m</v>
      </c>
      <c r="D115" s="150" t="str">
        <f>'CPU  1'!D115</f>
        <v>m</v>
      </c>
      <c r="E115" s="151">
        <f>'CPU  1'!E115</f>
        <v>115.19999999999999</v>
      </c>
      <c r="F115" s="145"/>
      <c r="G115" s="142"/>
      <c r="H115" s="134">
        <f t="shared" si="16"/>
        <v>0</v>
      </c>
      <c r="I115" s="145"/>
      <c r="J115" s="142"/>
      <c r="K115" s="134">
        <f t="shared" si="17"/>
        <v>0</v>
      </c>
      <c r="L115" s="152"/>
      <c r="M115" s="159"/>
      <c r="N115" s="160"/>
      <c r="O115" s="137">
        <f t="shared" si="14"/>
        <v>0</v>
      </c>
      <c r="P115" s="138" t="e">
        <f t="shared" ref="P115:P131" si="18">O115/$O$162</f>
        <v>#DIV/0!</v>
      </c>
    </row>
    <row r="116" spans="2:16" s="109" customFormat="1" ht="21.95" customHeight="1" outlineLevel="1">
      <c r="B116" s="148" t="str">
        <f>'CPU  1'!B116</f>
        <v>M35</v>
      </c>
      <c r="C116" s="149" t="str">
        <f>'CPU  1'!C116</f>
        <v>Cabo 50mm²</v>
      </c>
      <c r="D116" s="150" t="str">
        <f>'CPU  1'!D116</f>
        <v>m</v>
      </c>
      <c r="E116" s="151">
        <f>'CPU  1'!E116</f>
        <v>42</v>
      </c>
      <c r="F116" s="145"/>
      <c r="G116" s="142"/>
      <c r="H116" s="134">
        <f t="shared" si="16"/>
        <v>0</v>
      </c>
      <c r="I116" s="145"/>
      <c r="J116" s="142"/>
      <c r="K116" s="134">
        <f t="shared" si="17"/>
        <v>0</v>
      </c>
      <c r="L116" s="152"/>
      <c r="M116" s="159"/>
      <c r="N116" s="160"/>
      <c r="O116" s="137">
        <f t="shared" si="14"/>
        <v>0</v>
      </c>
      <c r="P116" s="138" t="e">
        <f t="shared" si="18"/>
        <v>#DIV/0!</v>
      </c>
    </row>
    <row r="117" spans="2:16" s="109" customFormat="1" ht="21.95" customHeight="1" outlineLevel="1">
      <c r="B117" s="148" t="str">
        <f>'CPU  1'!B117</f>
        <v>M36</v>
      </c>
      <c r="C117" s="149" t="str">
        <f>'CPU  1'!C117</f>
        <v>Haste de aterramento</v>
      </c>
      <c r="D117" s="150" t="str">
        <f>'CPU  1'!D117</f>
        <v>pç</v>
      </c>
      <c r="E117" s="151">
        <f>'CPU  1'!E117</f>
        <v>192</v>
      </c>
      <c r="F117" s="145"/>
      <c r="G117" s="142"/>
      <c r="H117" s="134">
        <f t="shared" si="16"/>
        <v>0</v>
      </c>
      <c r="I117" s="145"/>
      <c r="J117" s="142"/>
      <c r="K117" s="134">
        <f t="shared" si="17"/>
        <v>0</v>
      </c>
      <c r="L117" s="152"/>
      <c r="M117" s="159"/>
      <c r="N117" s="160"/>
      <c r="O117" s="137">
        <f t="shared" si="14"/>
        <v>0</v>
      </c>
      <c r="P117" s="138" t="e">
        <f t="shared" si="18"/>
        <v>#DIV/0!</v>
      </c>
    </row>
    <row r="118" spans="2:16" s="109" customFormat="1" ht="21.95" customHeight="1" outlineLevel="1">
      <c r="B118" s="148" t="str">
        <f>'CPU  1'!B118</f>
        <v>M37</v>
      </c>
      <c r="C118" s="149" t="str">
        <f>'CPU  1'!C118</f>
        <v>Grampos de aterramento</v>
      </c>
      <c r="D118" s="150" t="str">
        <f>'CPU  1'!D118</f>
        <v>pç</v>
      </c>
      <c r="E118" s="151">
        <f>'CPU  1'!E118</f>
        <v>19.8</v>
      </c>
      <c r="F118" s="145"/>
      <c r="G118" s="142"/>
      <c r="H118" s="134">
        <f t="shared" si="16"/>
        <v>0</v>
      </c>
      <c r="I118" s="145"/>
      <c r="J118" s="142"/>
      <c r="K118" s="134">
        <f t="shared" si="17"/>
        <v>0</v>
      </c>
      <c r="L118" s="152"/>
      <c r="M118" s="159"/>
      <c r="N118" s="160"/>
      <c r="O118" s="137">
        <f t="shared" si="14"/>
        <v>0</v>
      </c>
      <c r="P118" s="138" t="e">
        <f t="shared" si="18"/>
        <v>#DIV/0!</v>
      </c>
    </row>
    <row r="119" spans="2:16" s="109" customFormat="1" ht="21.95" customHeight="1" outlineLevel="1">
      <c r="B119" s="148" t="str">
        <f>'CPU  1'!B119</f>
        <v>M38</v>
      </c>
      <c r="C119" s="149" t="str">
        <f>'CPU  1'!C119</f>
        <v>Conector split bolt 50mm</v>
      </c>
      <c r="D119" s="150" t="str">
        <f>'CPU  1'!D119</f>
        <v>pç</v>
      </c>
      <c r="E119" s="151">
        <f>'CPU  1'!E119</f>
        <v>14.399999999999999</v>
      </c>
      <c r="F119" s="145"/>
      <c r="G119" s="142"/>
      <c r="H119" s="134">
        <f t="shared" si="16"/>
        <v>0</v>
      </c>
      <c r="I119" s="145"/>
      <c r="J119" s="142"/>
      <c r="K119" s="134">
        <f t="shared" si="17"/>
        <v>0</v>
      </c>
      <c r="L119" s="152"/>
      <c r="M119" s="159"/>
      <c r="N119" s="160"/>
      <c r="O119" s="137">
        <f t="shared" si="14"/>
        <v>0</v>
      </c>
      <c r="P119" s="138" t="e">
        <f t="shared" si="18"/>
        <v>#DIV/0!</v>
      </c>
    </row>
    <row r="120" spans="2:16" s="109" customFormat="1" ht="21.95" customHeight="1" outlineLevel="1">
      <c r="B120" s="148" t="str">
        <f>'CPU  1'!B120</f>
        <v>M39</v>
      </c>
      <c r="C120" s="149" t="str">
        <f>'CPU  1'!C120</f>
        <v>Chapa de base da cantoneira 1/8"</v>
      </c>
      <c r="D120" s="150" t="str">
        <f>'CPU  1'!D120</f>
        <v>kg</v>
      </c>
      <c r="E120" s="151">
        <f>'CPU  1'!E120</f>
        <v>18</v>
      </c>
      <c r="F120" s="145"/>
      <c r="G120" s="142"/>
      <c r="H120" s="134">
        <f t="shared" si="16"/>
        <v>0</v>
      </c>
      <c r="I120" s="145"/>
      <c r="J120" s="142"/>
      <c r="K120" s="134">
        <f t="shared" si="17"/>
        <v>0</v>
      </c>
      <c r="L120" s="152"/>
      <c r="M120" s="159"/>
      <c r="N120" s="160"/>
      <c r="O120" s="137">
        <f t="shared" si="14"/>
        <v>0</v>
      </c>
      <c r="P120" s="138" t="e">
        <f t="shared" si="18"/>
        <v>#DIV/0!</v>
      </c>
    </row>
    <row r="121" spans="2:16" s="109" customFormat="1" ht="21.95" customHeight="1" outlineLevel="1">
      <c r="B121" s="148" t="str">
        <f>'CPU  1'!B121</f>
        <v>M40</v>
      </c>
      <c r="C121" s="149" t="str">
        <f>'CPU  1'!C121</f>
        <v>Parafuso 10mm</v>
      </c>
      <c r="D121" s="150" t="str">
        <f>'CPU  1'!D121</f>
        <v>pç</v>
      </c>
      <c r="E121" s="151">
        <f>'CPU  1'!E121</f>
        <v>1.7999999999999998</v>
      </c>
      <c r="F121" s="145"/>
      <c r="G121" s="142"/>
      <c r="H121" s="134">
        <f t="shared" si="16"/>
        <v>0</v>
      </c>
      <c r="I121" s="145"/>
      <c r="J121" s="142"/>
      <c r="K121" s="134">
        <f t="shared" si="17"/>
        <v>0</v>
      </c>
      <c r="L121" s="152"/>
      <c r="M121" s="159"/>
      <c r="N121" s="160"/>
      <c r="O121" s="137">
        <f t="shared" si="14"/>
        <v>0</v>
      </c>
      <c r="P121" s="138" t="e">
        <f t="shared" si="18"/>
        <v>#DIV/0!</v>
      </c>
    </row>
    <row r="122" spans="2:16" s="109" customFormat="1" ht="21.95" customHeight="1" outlineLevel="1">
      <c r="B122" s="148" t="str">
        <f>'CPU  1'!B122</f>
        <v>M41</v>
      </c>
      <c r="C122" s="149">
        <f>'CPU  1'!C122</f>
        <v>0</v>
      </c>
      <c r="D122" s="150">
        <f>'CPU  1'!D122</f>
        <v>0</v>
      </c>
      <c r="E122" s="151">
        <f>'CPU  1'!E122</f>
        <v>0</v>
      </c>
      <c r="F122" s="145"/>
      <c r="G122" s="142"/>
      <c r="H122" s="134">
        <f t="shared" si="16"/>
        <v>0</v>
      </c>
      <c r="I122" s="145"/>
      <c r="J122" s="142"/>
      <c r="K122" s="134">
        <f t="shared" si="17"/>
        <v>0</v>
      </c>
      <c r="L122" s="152"/>
      <c r="M122" s="159"/>
      <c r="N122" s="160"/>
      <c r="O122" s="137">
        <f t="shared" si="14"/>
        <v>0</v>
      </c>
      <c r="P122" s="138" t="e">
        <f t="shared" si="18"/>
        <v>#DIV/0!</v>
      </c>
    </row>
    <row r="123" spans="2:16" s="109" customFormat="1" ht="21.95" customHeight="1" outlineLevel="1">
      <c r="B123" s="148" t="str">
        <f>'CPU  1'!B123</f>
        <v>M42</v>
      </c>
      <c r="C123" s="149">
        <f>'CPU  1'!C123</f>
        <v>0</v>
      </c>
      <c r="D123" s="150">
        <f>'CPU  1'!D123</f>
        <v>0</v>
      </c>
      <c r="E123" s="151">
        <f>'CPU  1'!E123</f>
        <v>0</v>
      </c>
      <c r="F123" s="145"/>
      <c r="G123" s="142"/>
      <c r="H123" s="134">
        <f t="shared" si="16"/>
        <v>0</v>
      </c>
      <c r="I123" s="145"/>
      <c r="J123" s="142"/>
      <c r="K123" s="134">
        <f t="shared" si="17"/>
        <v>0</v>
      </c>
      <c r="L123" s="152"/>
      <c r="M123" s="159"/>
      <c r="N123" s="160"/>
      <c r="O123" s="137">
        <f t="shared" si="14"/>
        <v>0</v>
      </c>
      <c r="P123" s="138" t="e">
        <f t="shared" si="18"/>
        <v>#DIV/0!</v>
      </c>
    </row>
    <row r="124" spans="2:16" s="109" customFormat="1" ht="21.95" customHeight="1" outlineLevel="1">
      <c r="B124" s="148" t="str">
        <f>'CPU  1'!B124</f>
        <v>M43</v>
      </c>
      <c r="C124" s="149">
        <f>'CPU  1'!C124</f>
        <v>0</v>
      </c>
      <c r="D124" s="150">
        <f>'CPU  1'!D124</f>
        <v>0</v>
      </c>
      <c r="E124" s="151">
        <f>'CPU  1'!E124</f>
        <v>0</v>
      </c>
      <c r="F124" s="145"/>
      <c r="G124" s="142"/>
      <c r="H124" s="134">
        <f t="shared" si="16"/>
        <v>0</v>
      </c>
      <c r="I124" s="145"/>
      <c r="J124" s="142"/>
      <c r="K124" s="134">
        <f t="shared" si="17"/>
        <v>0</v>
      </c>
      <c r="L124" s="152"/>
      <c r="M124" s="159"/>
      <c r="N124" s="160"/>
      <c r="O124" s="137">
        <f t="shared" si="14"/>
        <v>0</v>
      </c>
      <c r="P124" s="138" t="e">
        <f t="shared" si="18"/>
        <v>#DIV/0!</v>
      </c>
    </row>
    <row r="125" spans="2:16" s="109" customFormat="1" ht="21.95" customHeight="1" outlineLevel="1">
      <c r="B125" s="148" t="str">
        <f>'CPU  1'!B125</f>
        <v>M44</v>
      </c>
      <c r="C125" s="149">
        <f>'CPU  1'!C125</f>
        <v>0</v>
      </c>
      <c r="D125" s="150">
        <f>'CPU  1'!D125</f>
        <v>0</v>
      </c>
      <c r="E125" s="151">
        <f>'CPU  1'!E125</f>
        <v>0</v>
      </c>
      <c r="F125" s="145"/>
      <c r="G125" s="142"/>
      <c r="H125" s="134">
        <f t="shared" si="16"/>
        <v>0</v>
      </c>
      <c r="I125" s="145"/>
      <c r="J125" s="142"/>
      <c r="K125" s="134">
        <f t="shared" si="17"/>
        <v>0</v>
      </c>
      <c r="L125" s="152"/>
      <c r="M125" s="159"/>
      <c r="N125" s="160"/>
      <c r="O125" s="137">
        <f t="shared" si="14"/>
        <v>0</v>
      </c>
      <c r="P125" s="138" t="e">
        <f t="shared" si="18"/>
        <v>#DIV/0!</v>
      </c>
    </row>
    <row r="126" spans="2:16" s="109" customFormat="1" ht="21.95" customHeight="1" outlineLevel="1">
      <c r="B126" s="148" t="str">
        <f>'CPU  1'!B126</f>
        <v>M45</v>
      </c>
      <c r="C126" s="149">
        <f>'CPU  1'!C126</f>
        <v>0</v>
      </c>
      <c r="D126" s="150">
        <f>'CPU  1'!D126</f>
        <v>0</v>
      </c>
      <c r="E126" s="151">
        <f>'CPU  1'!E126</f>
        <v>0</v>
      </c>
      <c r="F126" s="145"/>
      <c r="G126" s="142"/>
      <c r="H126" s="134">
        <f t="shared" si="16"/>
        <v>0</v>
      </c>
      <c r="I126" s="145"/>
      <c r="J126" s="142"/>
      <c r="K126" s="134">
        <f t="shared" si="17"/>
        <v>0</v>
      </c>
      <c r="L126" s="152"/>
      <c r="M126" s="159"/>
      <c r="N126" s="160"/>
      <c r="O126" s="137">
        <f t="shared" si="14"/>
        <v>0</v>
      </c>
      <c r="P126" s="138" t="e">
        <f t="shared" si="18"/>
        <v>#DIV/0!</v>
      </c>
    </row>
    <row r="127" spans="2:16" s="109" customFormat="1" ht="21.95" customHeight="1" outlineLevel="1">
      <c r="B127" s="148" t="str">
        <f>'CPU  1'!B127</f>
        <v>M46</v>
      </c>
      <c r="C127" s="149">
        <f>'CPU  1'!C127</f>
        <v>0</v>
      </c>
      <c r="D127" s="150">
        <f>'CPU  1'!D127</f>
        <v>0</v>
      </c>
      <c r="E127" s="151">
        <f>'CPU  1'!E127</f>
        <v>0</v>
      </c>
      <c r="F127" s="145"/>
      <c r="G127" s="142"/>
      <c r="H127" s="134">
        <f t="shared" si="16"/>
        <v>0</v>
      </c>
      <c r="I127" s="145"/>
      <c r="J127" s="142"/>
      <c r="K127" s="134">
        <f t="shared" si="17"/>
        <v>0</v>
      </c>
      <c r="L127" s="152"/>
      <c r="M127" s="159"/>
      <c r="N127" s="160"/>
      <c r="O127" s="137">
        <f t="shared" si="14"/>
        <v>0</v>
      </c>
      <c r="P127" s="138" t="e">
        <f t="shared" si="18"/>
        <v>#DIV/0!</v>
      </c>
    </row>
    <row r="128" spans="2:16" s="109" customFormat="1" ht="21.95" customHeight="1" outlineLevel="1">
      <c r="B128" s="148" t="str">
        <f>'CPU  1'!B128</f>
        <v>M47</v>
      </c>
      <c r="C128" s="149">
        <f>'CPU  1'!C128</f>
        <v>0</v>
      </c>
      <c r="D128" s="150">
        <f>'CPU  1'!D128</f>
        <v>0</v>
      </c>
      <c r="E128" s="151">
        <f>'CPU  1'!E128</f>
        <v>0</v>
      </c>
      <c r="F128" s="145"/>
      <c r="G128" s="142"/>
      <c r="H128" s="134">
        <f t="shared" si="16"/>
        <v>0</v>
      </c>
      <c r="I128" s="145"/>
      <c r="J128" s="142"/>
      <c r="K128" s="134">
        <f t="shared" si="17"/>
        <v>0</v>
      </c>
      <c r="L128" s="152"/>
      <c r="M128" s="159"/>
      <c r="N128" s="160"/>
      <c r="O128" s="137">
        <f t="shared" si="14"/>
        <v>0</v>
      </c>
      <c r="P128" s="138" t="e">
        <f t="shared" si="18"/>
        <v>#DIV/0!</v>
      </c>
    </row>
    <row r="129" spans="2:17" s="109" customFormat="1" ht="21.95" customHeight="1" outlineLevel="1">
      <c r="B129" s="148" t="str">
        <f>'CPU  1'!B129</f>
        <v>M48</v>
      </c>
      <c r="C129" s="149">
        <f>'CPU  1'!C129</f>
        <v>0</v>
      </c>
      <c r="D129" s="150">
        <f>'CPU  1'!D129</f>
        <v>0</v>
      </c>
      <c r="E129" s="151">
        <f>'CPU  1'!E129</f>
        <v>0</v>
      </c>
      <c r="F129" s="145"/>
      <c r="G129" s="142"/>
      <c r="H129" s="134">
        <f t="shared" si="12"/>
        <v>0</v>
      </c>
      <c r="I129" s="145"/>
      <c r="J129" s="142"/>
      <c r="K129" s="134">
        <f t="shared" si="13"/>
        <v>0</v>
      </c>
      <c r="L129" s="152"/>
      <c r="M129" s="159"/>
      <c r="N129" s="160"/>
      <c r="O129" s="137">
        <f t="shared" si="14"/>
        <v>0</v>
      </c>
      <c r="P129" s="138" t="e">
        <f t="shared" si="18"/>
        <v>#DIV/0!</v>
      </c>
    </row>
    <row r="130" spans="2:17" s="109" customFormat="1" ht="21.95" customHeight="1" outlineLevel="1">
      <c r="B130" s="148" t="str">
        <f>'CPU  1'!B130</f>
        <v>M49</v>
      </c>
      <c r="C130" s="149">
        <f>'CPU  1'!C130</f>
        <v>0</v>
      </c>
      <c r="D130" s="150">
        <f>'CPU  1'!D130</f>
        <v>0</v>
      </c>
      <c r="E130" s="151">
        <f>'CPU  1'!E130</f>
        <v>0</v>
      </c>
      <c r="F130" s="145"/>
      <c r="G130" s="142"/>
      <c r="H130" s="134">
        <f t="shared" si="12"/>
        <v>0</v>
      </c>
      <c r="I130" s="145"/>
      <c r="J130" s="142"/>
      <c r="K130" s="134">
        <f t="shared" si="13"/>
        <v>0</v>
      </c>
      <c r="L130" s="152"/>
      <c r="M130" s="159"/>
      <c r="N130" s="160"/>
      <c r="O130" s="137">
        <f t="shared" si="14"/>
        <v>0</v>
      </c>
      <c r="P130" s="138" t="e">
        <f t="shared" si="18"/>
        <v>#DIV/0!</v>
      </c>
    </row>
    <row r="131" spans="2:17" s="109" customFormat="1" ht="21.95" customHeight="1" outlineLevel="1" thickBot="1">
      <c r="B131" s="148" t="str">
        <f>'CPU  1'!B131</f>
        <v>M50</v>
      </c>
      <c r="C131" s="149">
        <f>'CPU  1'!C131</f>
        <v>0</v>
      </c>
      <c r="D131" s="150">
        <f>'CPU  1'!D131</f>
        <v>0</v>
      </c>
      <c r="E131" s="151">
        <f>'CPU  1'!E131</f>
        <v>0</v>
      </c>
      <c r="F131" s="145"/>
      <c r="G131" s="142"/>
      <c r="H131" s="134">
        <f t="shared" si="12"/>
        <v>0</v>
      </c>
      <c r="I131" s="145"/>
      <c r="J131" s="142"/>
      <c r="K131" s="134">
        <f t="shared" si="13"/>
        <v>0</v>
      </c>
      <c r="L131" s="152"/>
      <c r="M131" s="159"/>
      <c r="N131" s="160"/>
      <c r="O131" s="137">
        <f t="shared" si="14"/>
        <v>0</v>
      </c>
      <c r="P131" s="138" t="e">
        <f t="shared" si="18"/>
        <v>#DIV/0!</v>
      </c>
    </row>
    <row r="132" spans="2:17" s="109" customFormat="1" ht="21.95" customHeight="1" thickBot="1">
      <c r="B132" s="694" t="s">
        <v>35</v>
      </c>
      <c r="C132" s="695"/>
      <c r="D132" s="695"/>
      <c r="E132" s="695" t="e">
        <f>SUM(#REF!)</f>
        <v>#REF!</v>
      </c>
      <c r="F132" s="263"/>
      <c r="G132" s="264"/>
      <c r="H132" s="265">
        <f>SUM(H83:H131)</f>
        <v>0</v>
      </c>
      <c r="I132" s="263"/>
      <c r="J132" s="264"/>
      <c r="K132" s="265">
        <f>SUM(K83:K131)</f>
        <v>0</v>
      </c>
      <c r="L132" s="143"/>
      <c r="M132" s="263"/>
      <c r="N132" s="264"/>
      <c r="O132" s="265">
        <f>SUM(O83:O131)</f>
        <v>0</v>
      </c>
      <c r="P132" s="138"/>
    </row>
    <row r="133" spans="2:17" s="109" customFormat="1" ht="21.95" customHeight="1" thickBot="1">
      <c r="B133" s="699" t="s">
        <v>36</v>
      </c>
      <c r="C133" s="700"/>
      <c r="D133" s="700"/>
      <c r="E133" s="701"/>
      <c r="F133" s="745"/>
      <c r="G133" s="745"/>
      <c r="H133" s="745"/>
      <c r="I133" s="745"/>
      <c r="J133" s="745"/>
      <c r="K133" s="745"/>
      <c r="L133" s="124"/>
      <c r="M133" s="711"/>
      <c r="N133" s="711"/>
      <c r="O133" s="711"/>
      <c r="P133" s="138"/>
    </row>
    <row r="134" spans="2:17" s="127" customFormat="1" ht="21.95" customHeight="1" thickBot="1">
      <c r="B134" s="258" t="s">
        <v>163</v>
      </c>
      <c r="C134" s="259" t="s">
        <v>169</v>
      </c>
      <c r="D134" s="260" t="s">
        <v>30</v>
      </c>
      <c r="E134" s="261" t="s">
        <v>31</v>
      </c>
      <c r="F134" s="258" t="s">
        <v>6</v>
      </c>
      <c r="G134" s="261" t="s">
        <v>32</v>
      </c>
      <c r="H134" s="262" t="s">
        <v>5</v>
      </c>
      <c r="I134" s="258" t="s">
        <v>6</v>
      </c>
      <c r="J134" s="261" t="s">
        <v>32</v>
      </c>
      <c r="K134" s="262" t="s">
        <v>5</v>
      </c>
      <c r="L134" s="124"/>
      <c r="M134" s="258" t="s">
        <v>6</v>
      </c>
      <c r="N134" s="261" t="s">
        <v>32</v>
      </c>
      <c r="O134" s="262" t="s">
        <v>5</v>
      </c>
      <c r="P134" s="125"/>
      <c r="Q134" s="126"/>
    </row>
    <row r="135" spans="2:17" s="109" customFormat="1" ht="21.95" customHeight="1" outlineLevel="1">
      <c r="B135" s="148" t="str">
        <f>'CPU  1'!B135</f>
        <v>O01</v>
      </c>
      <c r="C135" s="156" t="str">
        <f>'CPU  1'!C135</f>
        <v>ART</v>
      </c>
      <c r="D135" s="157" t="str">
        <f>'CPU  1'!D135</f>
        <v>Vb</v>
      </c>
      <c r="E135" s="158">
        <f>'CPU  1'!E135</f>
        <v>1000</v>
      </c>
      <c r="F135" s="145"/>
      <c r="G135" s="142"/>
      <c r="H135" s="134">
        <f>G135*F135*$E135</f>
        <v>0</v>
      </c>
      <c r="I135" s="145"/>
      <c r="J135" s="142"/>
      <c r="K135" s="134">
        <f t="shared" ref="K135:K143" si="19">J135*I135*$E135</f>
        <v>0</v>
      </c>
      <c r="L135" s="152"/>
      <c r="M135" s="162"/>
      <c r="N135" s="163"/>
      <c r="O135" s="137">
        <f t="shared" ref="O135:O154" si="20">K135*$K$3+H135*$H$3</f>
        <v>0</v>
      </c>
      <c r="P135" s="138" t="e">
        <f t="shared" ref="P135:P154" si="21">O135/$O$162</f>
        <v>#DIV/0!</v>
      </c>
    </row>
    <row r="136" spans="2:17" s="109" customFormat="1" ht="21.95" customHeight="1" outlineLevel="1">
      <c r="B136" s="148" t="str">
        <f>'CPU  1'!B136</f>
        <v>O02</v>
      </c>
      <c r="C136" s="156" t="str">
        <f>'CPU  1'!C136</f>
        <v>Exames medicos</v>
      </c>
      <c r="D136" s="157" t="str">
        <f>'CPU  1'!D136</f>
        <v>Vb</v>
      </c>
      <c r="E136" s="158">
        <f>'CPU  1'!E136</f>
        <v>600</v>
      </c>
      <c r="F136" s="145"/>
      <c r="G136" s="142"/>
      <c r="H136" s="134">
        <f t="shared" ref="H136:H143" si="22">G136*F136*$E136</f>
        <v>0</v>
      </c>
      <c r="I136" s="145"/>
      <c r="J136" s="142"/>
      <c r="K136" s="134">
        <f t="shared" si="19"/>
        <v>0</v>
      </c>
      <c r="L136" s="152"/>
      <c r="M136" s="162"/>
      <c r="N136" s="163"/>
      <c r="O136" s="137">
        <f t="shared" si="20"/>
        <v>0</v>
      </c>
      <c r="P136" s="138" t="e">
        <f t="shared" si="21"/>
        <v>#DIV/0!</v>
      </c>
    </row>
    <row r="137" spans="2:17" s="109" customFormat="1" ht="21.95" customHeight="1" outlineLevel="1">
      <c r="B137" s="148" t="str">
        <f>'CPU  1'!B137</f>
        <v>O03</v>
      </c>
      <c r="C137" s="156" t="str">
        <f>'CPU  1'!C137</f>
        <v>Treinamentos</v>
      </c>
      <c r="D137" s="157" t="str">
        <f>'CPU  1'!D137</f>
        <v>Vb</v>
      </c>
      <c r="E137" s="158">
        <f>'CPU  1'!E137</f>
        <v>426</v>
      </c>
      <c r="F137" s="145"/>
      <c r="G137" s="142"/>
      <c r="H137" s="164">
        <f>G137*F137*$E137</f>
        <v>0</v>
      </c>
      <c r="I137" s="145"/>
      <c r="J137" s="142"/>
      <c r="K137" s="164">
        <f t="shared" si="19"/>
        <v>0</v>
      </c>
      <c r="L137" s="152"/>
      <c r="M137" s="162"/>
      <c r="N137" s="163"/>
      <c r="O137" s="137">
        <f t="shared" si="20"/>
        <v>0</v>
      </c>
      <c r="P137" s="138" t="e">
        <f t="shared" si="21"/>
        <v>#DIV/0!</v>
      </c>
    </row>
    <row r="138" spans="2:17" s="109" customFormat="1" ht="21.95" customHeight="1" outlineLevel="1">
      <c r="B138" s="148" t="str">
        <f>'CPU  1'!B138</f>
        <v>O04</v>
      </c>
      <c r="C138" s="156" t="str">
        <f>'CPU  1'!C138</f>
        <v>Plano de Saude</v>
      </c>
      <c r="D138" s="157" t="str">
        <f>'CPU  1'!D138</f>
        <v>Vb/mês</v>
      </c>
      <c r="E138" s="158">
        <f>'CPU  1'!E138</f>
        <v>280</v>
      </c>
      <c r="F138" s="145"/>
      <c r="G138" s="142"/>
      <c r="H138" s="134">
        <f>G138*F138*$E138</f>
        <v>0</v>
      </c>
      <c r="I138" s="145"/>
      <c r="J138" s="142"/>
      <c r="K138" s="134">
        <f t="shared" si="19"/>
        <v>0</v>
      </c>
      <c r="L138" s="152"/>
      <c r="M138" s="162"/>
      <c r="N138" s="163"/>
      <c r="O138" s="137">
        <f t="shared" si="20"/>
        <v>0</v>
      </c>
      <c r="P138" s="138" t="e">
        <f t="shared" si="21"/>
        <v>#DIV/0!</v>
      </c>
    </row>
    <row r="139" spans="2:17" s="109" customFormat="1" ht="21.95" customHeight="1" outlineLevel="1">
      <c r="B139" s="148" t="str">
        <f>'CPU  1'!B139</f>
        <v>O05</v>
      </c>
      <c r="C139" s="156" t="str">
        <f>'CPU  1'!C139</f>
        <v>Seguro de Vida</v>
      </c>
      <c r="D139" s="157" t="str">
        <f>'CPU  1'!D139</f>
        <v>Vb/mês</v>
      </c>
      <c r="E139" s="158">
        <f>'CPU  1'!E139</f>
        <v>25</v>
      </c>
      <c r="F139" s="145"/>
      <c r="G139" s="142"/>
      <c r="H139" s="134">
        <f>G139*F139*$E139</f>
        <v>0</v>
      </c>
      <c r="I139" s="145"/>
      <c r="J139" s="142"/>
      <c r="K139" s="134">
        <f t="shared" si="19"/>
        <v>0</v>
      </c>
      <c r="L139" s="152"/>
      <c r="M139" s="162"/>
      <c r="N139" s="163"/>
      <c r="O139" s="137">
        <f t="shared" si="20"/>
        <v>0</v>
      </c>
      <c r="P139" s="138" t="e">
        <f t="shared" si="21"/>
        <v>#DIV/0!</v>
      </c>
    </row>
    <row r="140" spans="2:17" s="109" customFormat="1" ht="21.95" customHeight="1" outlineLevel="1">
      <c r="B140" s="148" t="str">
        <f>'CPU  1'!B140</f>
        <v>O06</v>
      </c>
      <c r="C140" s="156" t="str">
        <f>'CPU  1'!C140</f>
        <v>Ticket Alimentação</v>
      </c>
      <c r="D140" s="157" t="str">
        <f>'CPU  1'!D140</f>
        <v>Vb/mês</v>
      </c>
      <c r="E140" s="158">
        <f>'CPU  1'!E140</f>
        <v>350</v>
      </c>
      <c r="F140" s="145"/>
      <c r="G140" s="142"/>
      <c r="H140" s="134">
        <f>G140*F140*$E140</f>
        <v>0</v>
      </c>
      <c r="I140" s="145"/>
      <c r="J140" s="142"/>
      <c r="K140" s="134">
        <f t="shared" si="19"/>
        <v>0</v>
      </c>
      <c r="L140" s="152"/>
      <c r="M140" s="162"/>
      <c r="N140" s="163"/>
      <c r="O140" s="137">
        <f t="shared" si="20"/>
        <v>0</v>
      </c>
      <c r="P140" s="138" t="e">
        <f t="shared" si="21"/>
        <v>#DIV/0!</v>
      </c>
    </row>
    <row r="141" spans="2:17" s="109" customFormat="1" ht="21.95" customHeight="1" outlineLevel="1">
      <c r="B141" s="148" t="str">
        <f>'CPU  1'!B141</f>
        <v>O07</v>
      </c>
      <c r="C141" s="156" t="str">
        <f>'CPU  1'!C141</f>
        <v>PCMSO / PGR / PCA / PPR</v>
      </c>
      <c r="D141" s="157" t="str">
        <f>'CPU  1'!D141</f>
        <v>Vb/ano</v>
      </c>
      <c r="E141" s="158">
        <f>'CPU  1'!E141</f>
        <v>2300</v>
      </c>
      <c r="F141" s="145"/>
      <c r="G141" s="142"/>
      <c r="H141" s="134">
        <f t="shared" si="22"/>
        <v>0</v>
      </c>
      <c r="I141" s="145"/>
      <c r="J141" s="142"/>
      <c r="K141" s="134">
        <f t="shared" si="19"/>
        <v>0</v>
      </c>
      <c r="L141" s="152"/>
      <c r="M141" s="162"/>
      <c r="N141" s="163"/>
      <c r="O141" s="137">
        <f t="shared" si="20"/>
        <v>0</v>
      </c>
      <c r="P141" s="138" t="e">
        <f t="shared" si="21"/>
        <v>#DIV/0!</v>
      </c>
    </row>
    <row r="142" spans="2:17" s="109" customFormat="1" ht="21.95" customHeight="1" outlineLevel="1">
      <c r="B142" s="148" t="str">
        <f>'CPU  1'!B142</f>
        <v>O08</v>
      </c>
      <c r="C142" s="156" t="str">
        <f>'CPU  1'!C142</f>
        <v>Quadros DDS e Gestão a vista</v>
      </c>
      <c r="D142" s="157" t="str">
        <f>'CPU  1'!D142</f>
        <v>Vb</v>
      </c>
      <c r="E142" s="158">
        <f>'CPU  1'!E142</f>
        <v>1200</v>
      </c>
      <c r="F142" s="145"/>
      <c r="G142" s="142"/>
      <c r="H142" s="134">
        <f t="shared" si="22"/>
        <v>0</v>
      </c>
      <c r="I142" s="145"/>
      <c r="J142" s="142"/>
      <c r="K142" s="134">
        <f t="shared" si="19"/>
        <v>0</v>
      </c>
      <c r="L142" s="152"/>
      <c r="M142" s="162"/>
      <c r="N142" s="163"/>
      <c r="O142" s="137">
        <f t="shared" si="20"/>
        <v>0</v>
      </c>
      <c r="P142" s="138" t="e">
        <f t="shared" si="21"/>
        <v>#DIV/0!</v>
      </c>
    </row>
    <row r="143" spans="2:17" s="109" customFormat="1" ht="21.95" customHeight="1" outlineLevel="1">
      <c r="B143" s="148" t="str">
        <f>'CPU  1'!B143</f>
        <v>O09</v>
      </c>
      <c r="C143" s="156" t="str">
        <f>'CPU  1'!C143</f>
        <v>Seguro Obra</v>
      </c>
      <c r="D143" s="157" t="str">
        <f>'CPU  1'!D143</f>
        <v>Vb</v>
      </c>
      <c r="E143" s="158">
        <f>'CPU  1'!E143</f>
        <v>5000</v>
      </c>
      <c r="F143" s="145"/>
      <c r="G143" s="142"/>
      <c r="H143" s="134">
        <f t="shared" si="22"/>
        <v>0</v>
      </c>
      <c r="I143" s="145"/>
      <c r="J143" s="142"/>
      <c r="K143" s="134">
        <f t="shared" si="19"/>
        <v>0</v>
      </c>
      <c r="L143" s="152"/>
      <c r="M143" s="162"/>
      <c r="N143" s="163"/>
      <c r="O143" s="137">
        <f t="shared" si="20"/>
        <v>0</v>
      </c>
      <c r="P143" s="138" t="e">
        <f t="shared" si="21"/>
        <v>#DIV/0!</v>
      </c>
    </row>
    <row r="144" spans="2:17" s="109" customFormat="1" ht="21.95" customHeight="1" outlineLevel="1">
      <c r="B144" s="148" t="str">
        <f>'CPU  1'!B144</f>
        <v>O10</v>
      </c>
      <c r="C144" s="156" t="str">
        <f>'CPU  1'!C144</f>
        <v>Fretes</v>
      </c>
      <c r="D144" s="157" t="str">
        <f>'CPU  1'!D144</f>
        <v>ud</v>
      </c>
      <c r="E144" s="158">
        <f>'CPU  1'!E144</f>
        <v>2800</v>
      </c>
      <c r="F144" s="145"/>
      <c r="G144" s="142"/>
      <c r="H144" s="134">
        <f t="shared" ref="H144:H152" si="23">G144*F144*$E144</f>
        <v>0</v>
      </c>
      <c r="I144" s="145"/>
      <c r="J144" s="142"/>
      <c r="K144" s="134">
        <f t="shared" ref="K144:K152" si="24">J144*I144*$E144</f>
        <v>0</v>
      </c>
      <c r="L144" s="152"/>
      <c r="M144" s="162"/>
      <c r="N144" s="163"/>
      <c r="O144" s="137">
        <f t="shared" si="20"/>
        <v>0</v>
      </c>
      <c r="P144" s="138" t="e">
        <f t="shared" si="21"/>
        <v>#DIV/0!</v>
      </c>
    </row>
    <row r="145" spans="2:16" s="109" customFormat="1" ht="21.95" customHeight="1" outlineLevel="1">
      <c r="B145" s="148" t="str">
        <f>'CPU  1'!B145</f>
        <v>O11</v>
      </c>
      <c r="C145" s="156" t="str">
        <f>'CPU  1'!C145</f>
        <v>Serviço de descarte de residuo</v>
      </c>
      <c r="D145" s="157" t="str">
        <f>'CPU  1'!D145</f>
        <v>coleta</v>
      </c>
      <c r="E145" s="158">
        <f>'CPU  1'!E145</f>
        <v>2000</v>
      </c>
      <c r="F145" s="145"/>
      <c r="G145" s="142"/>
      <c r="H145" s="134">
        <f t="shared" si="23"/>
        <v>0</v>
      </c>
      <c r="I145" s="145"/>
      <c r="J145" s="142"/>
      <c r="K145" s="134">
        <f t="shared" si="24"/>
        <v>0</v>
      </c>
      <c r="L145" s="152"/>
      <c r="M145" s="162"/>
      <c r="N145" s="163"/>
      <c r="O145" s="137">
        <f t="shared" si="20"/>
        <v>0</v>
      </c>
      <c r="P145" s="138" t="e">
        <f t="shared" si="21"/>
        <v>#DIV/0!</v>
      </c>
    </row>
    <row r="146" spans="2:16" s="109" customFormat="1" ht="36" customHeight="1" outlineLevel="1">
      <c r="B146" s="148" t="str">
        <f>'CPU  1'!B146</f>
        <v>O12</v>
      </c>
      <c r="C146" s="156" t="str">
        <f>'CPU  1'!C146</f>
        <v>Serviço de movimentação do Banheiro Hidráulico</v>
      </c>
      <c r="D146" s="157" t="str">
        <f>'CPU  1'!D146</f>
        <v>vb</v>
      </c>
      <c r="E146" s="158">
        <f>'CPU  1'!E146</f>
        <v>200</v>
      </c>
      <c r="F146" s="145"/>
      <c r="G146" s="142"/>
      <c r="H146" s="134">
        <f t="shared" si="23"/>
        <v>0</v>
      </c>
      <c r="I146" s="145"/>
      <c r="J146" s="142"/>
      <c r="K146" s="134">
        <f t="shared" si="24"/>
        <v>0</v>
      </c>
      <c r="L146" s="152"/>
      <c r="M146" s="162"/>
      <c r="N146" s="163"/>
      <c r="O146" s="137">
        <f t="shared" si="20"/>
        <v>0</v>
      </c>
      <c r="P146" s="138" t="e">
        <f t="shared" si="21"/>
        <v>#DIV/0!</v>
      </c>
    </row>
    <row r="147" spans="2:16" s="109" customFormat="1" ht="21.95" customHeight="1" outlineLevel="1">
      <c r="B147" s="148" t="str">
        <f>'CPU  1'!B147</f>
        <v>O13</v>
      </c>
      <c r="C147" s="156" t="str">
        <f>'CPU  1'!C147</f>
        <v>Segurança Patrimonial</v>
      </c>
      <c r="D147" s="157" t="str">
        <f>'CPU  1'!D147</f>
        <v>Vb/mês</v>
      </c>
      <c r="E147" s="158">
        <f>'CPU  1'!E147</f>
        <v>40000</v>
      </c>
      <c r="F147" s="145"/>
      <c r="G147" s="142"/>
      <c r="H147" s="134">
        <f t="shared" si="23"/>
        <v>0</v>
      </c>
      <c r="I147" s="145"/>
      <c r="J147" s="142"/>
      <c r="K147" s="134">
        <f t="shared" si="24"/>
        <v>0</v>
      </c>
      <c r="L147" s="152"/>
      <c r="M147" s="162"/>
      <c r="N147" s="163"/>
      <c r="O147" s="137">
        <f t="shared" si="20"/>
        <v>0</v>
      </c>
      <c r="P147" s="138" t="e">
        <f t="shared" si="21"/>
        <v>#DIV/0!</v>
      </c>
    </row>
    <row r="148" spans="2:16" s="109" customFormat="1" ht="21.95" customHeight="1" outlineLevel="1">
      <c r="B148" s="148" t="str">
        <f>'CPU  1'!B148</f>
        <v>O14</v>
      </c>
      <c r="C148" s="156" t="str">
        <f>'CPU  1'!C148</f>
        <v>Solda exortémica</v>
      </c>
      <c r="D148" s="157" t="str">
        <f>'CPU  1'!D148</f>
        <v>vb</v>
      </c>
      <c r="E148" s="158">
        <f>'CPU  1'!E148</f>
        <v>455</v>
      </c>
      <c r="F148" s="145"/>
      <c r="G148" s="142"/>
      <c r="H148" s="134">
        <f t="shared" si="23"/>
        <v>0</v>
      </c>
      <c r="I148" s="145"/>
      <c r="J148" s="142"/>
      <c r="K148" s="134">
        <f t="shared" si="24"/>
        <v>0</v>
      </c>
      <c r="L148" s="152"/>
      <c r="M148" s="162"/>
      <c r="N148" s="163"/>
      <c r="O148" s="137">
        <f t="shared" si="20"/>
        <v>0</v>
      </c>
      <c r="P148" s="138" t="e">
        <f t="shared" si="21"/>
        <v>#DIV/0!</v>
      </c>
    </row>
    <row r="149" spans="2:16" s="109" customFormat="1" ht="21.95" customHeight="1" outlineLevel="1">
      <c r="B149" s="148" t="str">
        <f>'CPU  1'!B149</f>
        <v>O15</v>
      </c>
      <c r="C149" s="156" t="str">
        <f>'CPU  1'!C149</f>
        <v>Material solda exotermica</v>
      </c>
      <c r="D149" s="157" t="str">
        <f>'CPU  1'!D149</f>
        <v>Unid</v>
      </c>
      <c r="E149" s="158">
        <f>'CPU  1'!E149</f>
        <v>60</v>
      </c>
      <c r="F149" s="145"/>
      <c r="G149" s="142"/>
      <c r="H149" s="134">
        <f t="shared" si="23"/>
        <v>0</v>
      </c>
      <c r="I149" s="145"/>
      <c r="J149" s="142"/>
      <c r="K149" s="134">
        <f t="shared" si="24"/>
        <v>0</v>
      </c>
      <c r="L149" s="152"/>
      <c r="M149" s="162"/>
      <c r="N149" s="163"/>
      <c r="O149" s="137">
        <f t="shared" si="20"/>
        <v>0</v>
      </c>
      <c r="P149" s="138" t="e">
        <f t="shared" si="21"/>
        <v>#DIV/0!</v>
      </c>
    </row>
    <row r="150" spans="2:16" s="109" customFormat="1" ht="21.95" customHeight="1" outlineLevel="1">
      <c r="B150" s="148" t="str">
        <f>'CPU  1'!B150</f>
        <v>O16</v>
      </c>
      <c r="C150" s="156">
        <f>'CPU  1'!C150</f>
        <v>0</v>
      </c>
      <c r="D150" s="157">
        <f>'CPU  1'!D150</f>
        <v>0</v>
      </c>
      <c r="E150" s="158">
        <f>'CPU  1'!E150</f>
        <v>0</v>
      </c>
      <c r="F150" s="145"/>
      <c r="G150" s="142"/>
      <c r="H150" s="134">
        <f t="shared" si="23"/>
        <v>0</v>
      </c>
      <c r="I150" s="145"/>
      <c r="J150" s="142"/>
      <c r="K150" s="134">
        <f t="shared" si="24"/>
        <v>0</v>
      </c>
      <c r="L150" s="152"/>
      <c r="M150" s="162"/>
      <c r="N150" s="163"/>
      <c r="O150" s="137">
        <f t="shared" si="20"/>
        <v>0</v>
      </c>
      <c r="P150" s="138" t="e">
        <f t="shared" si="21"/>
        <v>#DIV/0!</v>
      </c>
    </row>
    <row r="151" spans="2:16" s="109" customFormat="1" ht="21.95" customHeight="1" outlineLevel="1">
      <c r="B151" s="148" t="str">
        <f>'CPU  1'!B151</f>
        <v>O17</v>
      </c>
      <c r="C151" s="156">
        <f>'CPU  1'!C151</f>
        <v>0</v>
      </c>
      <c r="D151" s="157">
        <f>'CPU  1'!D151</f>
        <v>0</v>
      </c>
      <c r="E151" s="158">
        <f>'CPU  1'!E151</f>
        <v>0</v>
      </c>
      <c r="F151" s="145"/>
      <c r="G151" s="142"/>
      <c r="H151" s="134">
        <f t="shared" si="23"/>
        <v>0</v>
      </c>
      <c r="I151" s="145"/>
      <c r="J151" s="142"/>
      <c r="K151" s="134">
        <f t="shared" si="24"/>
        <v>0</v>
      </c>
      <c r="L151" s="152"/>
      <c r="M151" s="162"/>
      <c r="N151" s="163"/>
      <c r="O151" s="137">
        <f t="shared" si="20"/>
        <v>0</v>
      </c>
      <c r="P151" s="138" t="e">
        <f t="shared" si="21"/>
        <v>#DIV/0!</v>
      </c>
    </row>
    <row r="152" spans="2:16" s="109" customFormat="1" ht="21.95" customHeight="1" outlineLevel="1">
      <c r="B152" s="148" t="str">
        <f>'CPU  1'!B152</f>
        <v>O18</v>
      </c>
      <c r="C152" s="156">
        <f>'CPU  1'!C152</f>
        <v>0</v>
      </c>
      <c r="D152" s="157">
        <f>'CPU  1'!D152</f>
        <v>0</v>
      </c>
      <c r="E152" s="158">
        <f>'CPU  1'!E152</f>
        <v>0</v>
      </c>
      <c r="F152" s="145"/>
      <c r="G152" s="142"/>
      <c r="H152" s="134">
        <f t="shared" si="23"/>
        <v>0</v>
      </c>
      <c r="I152" s="145"/>
      <c r="J152" s="142"/>
      <c r="K152" s="134">
        <f t="shared" si="24"/>
        <v>0</v>
      </c>
      <c r="L152" s="152"/>
      <c r="M152" s="162"/>
      <c r="N152" s="163"/>
      <c r="O152" s="137">
        <f t="shared" si="20"/>
        <v>0</v>
      </c>
      <c r="P152" s="138" t="e">
        <f t="shared" si="21"/>
        <v>#DIV/0!</v>
      </c>
    </row>
    <row r="153" spans="2:16" s="109" customFormat="1" ht="21.95" customHeight="1" outlineLevel="1">
      <c r="B153" s="148" t="str">
        <f>'CPU  1'!B153</f>
        <v>O19</v>
      </c>
      <c r="C153" s="156">
        <f>'CPU  1'!C153</f>
        <v>0</v>
      </c>
      <c r="D153" s="157">
        <f>'CPU  1'!D153</f>
        <v>0</v>
      </c>
      <c r="E153" s="158">
        <f>'CPU  1'!E153</f>
        <v>0</v>
      </c>
      <c r="F153" s="145"/>
      <c r="G153" s="142"/>
      <c r="H153" s="134">
        <f>G153*F153*$E153</f>
        <v>0</v>
      </c>
      <c r="I153" s="145"/>
      <c r="J153" s="142"/>
      <c r="K153" s="134">
        <f>J153*I153*$E153</f>
        <v>0</v>
      </c>
      <c r="L153" s="152"/>
      <c r="M153" s="162"/>
      <c r="N153" s="163"/>
      <c r="O153" s="137">
        <f t="shared" si="20"/>
        <v>0</v>
      </c>
      <c r="P153" s="138" t="e">
        <f t="shared" si="21"/>
        <v>#DIV/0!</v>
      </c>
    </row>
    <row r="154" spans="2:16" s="109" customFormat="1" ht="21.95" customHeight="1" outlineLevel="1" thickBot="1">
      <c r="B154" s="148" t="str">
        <f>'CPU  1'!B154</f>
        <v>O20</v>
      </c>
      <c r="C154" s="156">
        <f>'CPU  1'!C154</f>
        <v>0</v>
      </c>
      <c r="D154" s="157">
        <f>'CPU  1'!D154</f>
        <v>0</v>
      </c>
      <c r="E154" s="158">
        <f>'CPU  1'!E154</f>
        <v>0</v>
      </c>
      <c r="F154" s="145"/>
      <c r="G154" s="142"/>
      <c r="H154" s="134">
        <f>G154*F154*$E154</f>
        <v>0</v>
      </c>
      <c r="I154" s="145"/>
      <c r="J154" s="142"/>
      <c r="K154" s="134">
        <f>J154*I154*$E154</f>
        <v>0</v>
      </c>
      <c r="L154" s="152"/>
      <c r="M154" s="162"/>
      <c r="N154" s="163"/>
      <c r="O154" s="137">
        <f t="shared" si="20"/>
        <v>0</v>
      </c>
      <c r="P154" s="138" t="e">
        <f t="shared" si="21"/>
        <v>#DIV/0!</v>
      </c>
    </row>
    <row r="155" spans="2:16" s="109" customFormat="1" ht="21.95" customHeight="1" thickBot="1">
      <c r="B155" s="694" t="s">
        <v>37</v>
      </c>
      <c r="C155" s="695"/>
      <c r="D155" s="695"/>
      <c r="E155" s="695" t="e">
        <f>SUM(#REF!)</f>
        <v>#REF!</v>
      </c>
      <c r="F155" s="263"/>
      <c r="G155" s="264"/>
      <c r="H155" s="265">
        <f>SUM(H135:H154)</f>
        <v>0</v>
      </c>
      <c r="I155" s="263"/>
      <c r="J155" s="264"/>
      <c r="K155" s="265">
        <f>SUM(K135:K154)</f>
        <v>0</v>
      </c>
      <c r="L155" s="143"/>
      <c r="M155" s="263"/>
      <c r="N155" s="264"/>
      <c r="O155" s="265">
        <f>SUM(O135:O154)</f>
        <v>0</v>
      </c>
      <c r="P155" s="138"/>
    </row>
    <row r="156" spans="2:16" ht="11.25" customHeight="1" thickBot="1">
      <c r="B156" s="165"/>
      <c r="C156" s="166"/>
      <c r="D156" s="166"/>
      <c r="E156" s="165"/>
      <c r="F156" s="166"/>
      <c r="G156" s="166"/>
      <c r="H156" s="166"/>
      <c r="I156" s="166"/>
      <c r="J156" s="166"/>
      <c r="K156" s="166"/>
      <c r="L156" s="115"/>
      <c r="M156" s="167"/>
      <c r="N156" s="167"/>
      <c r="O156" s="167"/>
    </row>
    <row r="157" spans="2:16" s="109" customFormat="1" ht="18" customHeight="1">
      <c r="B157" s="266" t="s">
        <v>4</v>
      </c>
      <c r="C157" s="696" t="s">
        <v>120</v>
      </c>
      <c r="D157" s="697"/>
      <c r="E157" s="267"/>
      <c r="F157" s="266"/>
      <c r="G157" s="268" t="s">
        <v>57</v>
      </c>
      <c r="H157" s="269" t="s">
        <v>50</v>
      </c>
      <c r="I157" s="266"/>
      <c r="J157" s="268" t="s">
        <v>57</v>
      </c>
      <c r="K157" s="269" t="s">
        <v>50</v>
      </c>
      <c r="L157" s="124"/>
      <c r="M157" s="266"/>
      <c r="N157" s="268" t="s">
        <v>57</v>
      </c>
      <c r="O157" s="269" t="s">
        <v>50</v>
      </c>
      <c r="P157" s="108"/>
    </row>
    <row r="158" spans="2:16" s="109" customFormat="1" ht="18" customHeight="1">
      <c r="B158" s="168" t="s">
        <v>2</v>
      </c>
      <c r="C158" s="169" t="s">
        <v>38</v>
      </c>
      <c r="D158" s="170"/>
      <c r="E158" s="171"/>
      <c r="F158" s="172"/>
      <c r="G158" s="173" t="e">
        <f>H158/H162</f>
        <v>#DIV/0!</v>
      </c>
      <c r="H158" s="174">
        <f>H23</f>
        <v>0</v>
      </c>
      <c r="I158" s="172"/>
      <c r="J158" s="173" t="e">
        <f>K158/K162</f>
        <v>#DIV/0!</v>
      </c>
      <c r="K158" s="174">
        <f>K23</f>
        <v>0</v>
      </c>
      <c r="L158" s="152"/>
      <c r="M158" s="175"/>
      <c r="N158" s="176" t="e">
        <f>O158/O162</f>
        <v>#DIV/0!</v>
      </c>
      <c r="O158" s="177">
        <f>O23</f>
        <v>0</v>
      </c>
      <c r="P158" s="108"/>
    </row>
    <row r="159" spans="2:16" s="109" customFormat="1" ht="18" customHeight="1">
      <c r="B159" s="145" t="s">
        <v>1</v>
      </c>
      <c r="C159" s="178" t="s">
        <v>39</v>
      </c>
      <c r="D159" s="179"/>
      <c r="E159" s="180"/>
      <c r="F159" s="181"/>
      <c r="G159" s="182" t="e">
        <f>H159/H162</f>
        <v>#DIV/0!</v>
      </c>
      <c r="H159" s="134">
        <f>H80</f>
        <v>0</v>
      </c>
      <c r="I159" s="181"/>
      <c r="J159" s="182" t="e">
        <f>K159/K162</f>
        <v>#DIV/0!</v>
      </c>
      <c r="K159" s="134">
        <f>K80</f>
        <v>0</v>
      </c>
      <c r="L159" s="152"/>
      <c r="M159" s="183"/>
      <c r="N159" s="184" t="e">
        <f>O159/O162</f>
        <v>#DIV/0!</v>
      </c>
      <c r="O159" s="185">
        <f>O80</f>
        <v>0</v>
      </c>
      <c r="P159" s="108"/>
    </row>
    <row r="160" spans="2:16" s="109" customFormat="1" ht="18" customHeight="1">
      <c r="B160" s="145" t="s">
        <v>0</v>
      </c>
      <c r="C160" s="178" t="s">
        <v>40</v>
      </c>
      <c r="D160" s="179"/>
      <c r="E160" s="180"/>
      <c r="F160" s="181"/>
      <c r="G160" s="182" t="e">
        <f>H160/H162</f>
        <v>#DIV/0!</v>
      </c>
      <c r="H160" s="134">
        <f>H132</f>
        <v>0</v>
      </c>
      <c r="I160" s="181"/>
      <c r="J160" s="182" t="e">
        <f>K160/K162</f>
        <v>#DIV/0!</v>
      </c>
      <c r="K160" s="134">
        <f>K132</f>
        <v>0</v>
      </c>
      <c r="L160" s="152"/>
      <c r="M160" s="183"/>
      <c r="N160" s="184" t="e">
        <f>O160/O162</f>
        <v>#DIV/0!</v>
      </c>
      <c r="O160" s="185">
        <f>O132</f>
        <v>0</v>
      </c>
      <c r="P160" s="108"/>
    </row>
    <row r="161" spans="2:16" s="109" customFormat="1" ht="18" customHeight="1">
      <c r="B161" s="186" t="s">
        <v>3</v>
      </c>
      <c r="C161" s="187" t="s">
        <v>41</v>
      </c>
      <c r="D161" s="188"/>
      <c r="E161" s="189"/>
      <c r="F161" s="190"/>
      <c r="G161" s="191" t="e">
        <f>H161/H162</f>
        <v>#DIV/0!</v>
      </c>
      <c r="H161" s="192">
        <f>H155</f>
        <v>0</v>
      </c>
      <c r="I161" s="190"/>
      <c r="J161" s="191" t="e">
        <f>K161/K162</f>
        <v>#DIV/0!</v>
      </c>
      <c r="K161" s="192">
        <f>K155</f>
        <v>0</v>
      </c>
      <c r="L161" s="152"/>
      <c r="M161" s="193"/>
      <c r="N161" s="194" t="e">
        <f>O161/O162</f>
        <v>#DIV/0!</v>
      </c>
      <c r="O161" s="195">
        <f>O155</f>
        <v>0</v>
      </c>
      <c r="P161" s="108"/>
    </row>
    <row r="162" spans="2:16" s="109" customFormat="1" ht="18" customHeight="1" thickBot="1">
      <c r="B162" s="270"/>
      <c r="C162" s="271" t="s">
        <v>42</v>
      </c>
      <c r="D162" s="272"/>
      <c r="E162" s="273">
        <f>SUM(E158:E161)</f>
        <v>0</v>
      </c>
      <c r="F162" s="274"/>
      <c r="G162" s="275" t="e">
        <f>SUM(G158:G161)</f>
        <v>#DIV/0!</v>
      </c>
      <c r="H162" s="276">
        <f>SUM(H158:H161)</f>
        <v>0</v>
      </c>
      <c r="I162" s="274"/>
      <c r="J162" s="275" t="e">
        <f>SUM(J158:J161)</f>
        <v>#DIV/0!</v>
      </c>
      <c r="K162" s="276">
        <f>SUM(K158:K161)</f>
        <v>0</v>
      </c>
      <c r="L162" s="124"/>
      <c r="M162" s="277"/>
      <c r="N162" s="278" t="e">
        <f>SUM(N158:N161)</f>
        <v>#DIV/0!</v>
      </c>
      <c r="O162" s="279">
        <f>SUM(O158:O161)</f>
        <v>0</v>
      </c>
      <c r="P162" s="108"/>
    </row>
    <row r="163" spans="2:16" s="109" customFormat="1" ht="18" customHeight="1" thickBot="1">
      <c r="B163" s="196"/>
      <c r="C163" s="698"/>
      <c r="D163" s="698"/>
      <c r="E163" s="698"/>
      <c r="F163" s="698"/>
      <c r="G163" s="698"/>
      <c r="H163" s="698"/>
      <c r="I163" s="698"/>
      <c r="J163" s="698"/>
      <c r="K163" s="698"/>
      <c r="L163" s="124"/>
      <c r="M163" s="692"/>
      <c r="N163" s="692"/>
      <c r="O163" s="692"/>
      <c r="P163" s="108"/>
    </row>
    <row r="164" spans="2:16" s="109" customFormat="1" ht="18" customHeight="1">
      <c r="B164" s="274" t="s">
        <v>4</v>
      </c>
      <c r="C164" s="688" t="s">
        <v>119</v>
      </c>
      <c r="D164" s="689"/>
      <c r="E164" s="273" t="s">
        <v>8</v>
      </c>
      <c r="F164" s="274"/>
      <c r="G164" s="275"/>
      <c r="H164" s="276" t="s">
        <v>50</v>
      </c>
      <c r="I164" s="274"/>
      <c r="J164" s="275"/>
      <c r="K164" s="276" t="s">
        <v>50</v>
      </c>
      <c r="L164" s="124"/>
      <c r="M164" s="266"/>
      <c r="N164" s="268"/>
      <c r="O164" s="269" t="s">
        <v>50</v>
      </c>
      <c r="P164" s="108"/>
    </row>
    <row r="165" spans="2:16" s="109" customFormat="1" ht="18" customHeight="1">
      <c r="B165" s="197">
        <v>1</v>
      </c>
      <c r="C165" s="198" t="s">
        <v>7</v>
      </c>
      <c r="D165" s="199"/>
      <c r="E165" s="200">
        <f>'BDI-TRIBUTOS'!D8</f>
        <v>0.09</v>
      </c>
      <c r="F165" s="201"/>
      <c r="G165" s="202"/>
      <c r="H165" s="203">
        <f>H162*$E$165</f>
        <v>0</v>
      </c>
      <c r="I165" s="201"/>
      <c r="J165" s="202"/>
      <c r="K165" s="203">
        <f>K162*$E$165</f>
        <v>0</v>
      </c>
      <c r="L165" s="143"/>
      <c r="M165" s="204"/>
      <c r="N165" s="205"/>
      <c r="O165" s="206">
        <f>O162*$E$165</f>
        <v>0</v>
      </c>
      <c r="P165" s="108"/>
    </row>
    <row r="166" spans="2:16" s="109" customFormat="1" ht="18" customHeight="1">
      <c r="B166" s="207">
        <v>2</v>
      </c>
      <c r="C166" s="208" t="s">
        <v>51</v>
      </c>
      <c r="D166" s="209"/>
      <c r="E166" s="210">
        <f>'BDI-TRIBUTOS'!D6</f>
        <v>0.06</v>
      </c>
      <c r="F166" s="211"/>
      <c r="G166" s="212"/>
      <c r="H166" s="213">
        <f>H162*$E$166</f>
        <v>0</v>
      </c>
      <c r="I166" s="211"/>
      <c r="J166" s="212"/>
      <c r="K166" s="213">
        <f>K162*$E$166</f>
        <v>0</v>
      </c>
      <c r="L166" s="143"/>
      <c r="M166" s="214"/>
      <c r="N166" s="215"/>
      <c r="O166" s="216">
        <f>O162*$E$166</f>
        <v>0</v>
      </c>
      <c r="P166" s="108"/>
    </row>
    <row r="167" spans="2:16" s="109" customFormat="1" ht="18" customHeight="1">
      <c r="B167" s="207">
        <v>3</v>
      </c>
      <c r="C167" s="208" t="s">
        <v>137</v>
      </c>
      <c r="D167" s="209"/>
      <c r="E167" s="210">
        <f>'BDI-TRIBUTOS'!D10</f>
        <v>3.5000000000000003E-2</v>
      </c>
      <c r="F167" s="211"/>
      <c r="G167" s="212"/>
      <c r="H167" s="213">
        <f>H162*$E$167</f>
        <v>0</v>
      </c>
      <c r="I167" s="211"/>
      <c r="J167" s="212"/>
      <c r="K167" s="213">
        <f>K162*$E$167</f>
        <v>0</v>
      </c>
      <c r="L167" s="143"/>
      <c r="M167" s="214"/>
      <c r="N167" s="215"/>
      <c r="O167" s="216">
        <f>O162*$E$167</f>
        <v>0</v>
      </c>
      <c r="P167" s="108"/>
    </row>
    <row r="168" spans="2:16" s="109" customFormat="1" ht="18" customHeight="1">
      <c r="B168" s="207">
        <v>4</v>
      </c>
      <c r="C168" s="208" t="s">
        <v>52</v>
      </c>
      <c r="D168" s="209"/>
      <c r="E168" s="210">
        <f>'BDI-TRIBUTOS'!D12</f>
        <v>0.02</v>
      </c>
      <c r="F168" s="211"/>
      <c r="G168" s="212"/>
      <c r="H168" s="213">
        <f>H162*$E$168</f>
        <v>0</v>
      </c>
      <c r="I168" s="211"/>
      <c r="J168" s="212"/>
      <c r="K168" s="213">
        <f>K162*$E$168</f>
        <v>0</v>
      </c>
      <c r="L168" s="143"/>
      <c r="M168" s="214"/>
      <c r="N168" s="215"/>
      <c r="O168" s="216">
        <f>O162*$E$168</f>
        <v>0</v>
      </c>
      <c r="P168" s="108"/>
    </row>
    <row r="169" spans="2:16" s="109" customFormat="1" ht="18" customHeight="1">
      <c r="B169" s="207">
        <v>5</v>
      </c>
      <c r="C169" s="217" t="s">
        <v>41</v>
      </c>
      <c r="D169" s="218"/>
      <c r="E169" s="210">
        <f>'BDI-TRIBUTOS'!D14</f>
        <v>0.01</v>
      </c>
      <c r="F169" s="219"/>
      <c r="G169" s="220"/>
      <c r="H169" s="221">
        <f>H162*$E$169</f>
        <v>0</v>
      </c>
      <c r="I169" s="219"/>
      <c r="J169" s="220"/>
      <c r="K169" s="221">
        <f>K162*$E$169</f>
        <v>0</v>
      </c>
      <c r="L169" s="143"/>
      <c r="M169" s="222"/>
      <c r="N169" s="223"/>
      <c r="O169" s="224">
        <f>O162*$E$169</f>
        <v>0</v>
      </c>
      <c r="P169" s="108"/>
    </row>
    <row r="170" spans="2:16" s="109" customFormat="1" ht="18" customHeight="1">
      <c r="B170" s="207">
        <v>6</v>
      </c>
      <c r="C170" s="225" t="s">
        <v>53</v>
      </c>
      <c r="D170" s="226"/>
      <c r="E170" s="227">
        <f>'BDI-TRIBUTOS'!D4</f>
        <v>0.1</v>
      </c>
      <c r="F170" s="228"/>
      <c r="G170" s="229"/>
      <c r="H170" s="230">
        <f>H182*$E$170</f>
        <v>0</v>
      </c>
      <c r="I170" s="228"/>
      <c r="J170" s="229"/>
      <c r="K170" s="230">
        <f>K182*$E$170</f>
        <v>0</v>
      </c>
      <c r="L170" s="143"/>
      <c r="M170" s="231"/>
      <c r="N170" s="232"/>
      <c r="O170" s="233">
        <f>O182*$E$170</f>
        <v>0</v>
      </c>
      <c r="P170" s="108"/>
    </row>
    <row r="171" spans="2:16" s="109" customFormat="1" ht="18" customHeight="1" thickBot="1">
      <c r="B171" s="270"/>
      <c r="C171" s="271" t="s">
        <v>43</v>
      </c>
      <c r="D171" s="272"/>
      <c r="E171" s="280">
        <f>SUM(E165:E170)</f>
        <v>0.315</v>
      </c>
      <c r="F171" s="281"/>
      <c r="G171" s="282">
        <f>SUM(H165:H169)+H162</f>
        <v>0</v>
      </c>
      <c r="H171" s="276">
        <f>SUM(H165:H170)</f>
        <v>0</v>
      </c>
      <c r="I171" s="281"/>
      <c r="J171" s="282">
        <f>SUM(K165:K169)+K162</f>
        <v>0</v>
      </c>
      <c r="K171" s="276">
        <f>SUM(K165:K170)</f>
        <v>0</v>
      </c>
      <c r="L171" s="124"/>
      <c r="M171" s="283"/>
      <c r="N171" s="284">
        <f>SUM(O165:O169)+O162</f>
        <v>0</v>
      </c>
      <c r="O171" s="279">
        <f>SUM(O165:O170)</f>
        <v>0</v>
      </c>
      <c r="P171" s="108"/>
    </row>
    <row r="172" spans="2:16" s="109" customFormat="1" ht="18" customHeight="1" thickBot="1">
      <c r="B172" s="196"/>
      <c r="C172" s="234"/>
      <c r="D172" s="235"/>
      <c r="E172" s="236"/>
      <c r="F172" s="746" t="e">
        <f>H171/H162</f>
        <v>#DIV/0!</v>
      </c>
      <c r="G172" s="746"/>
      <c r="H172" s="746"/>
      <c r="I172" s="746" t="e">
        <f>K171/K162</f>
        <v>#DIV/0!</v>
      </c>
      <c r="J172" s="746"/>
      <c r="K172" s="746"/>
      <c r="L172" s="237"/>
      <c r="M172" s="693" t="e">
        <f>O171/O162</f>
        <v>#DIV/0!</v>
      </c>
      <c r="N172" s="693"/>
      <c r="O172" s="693"/>
      <c r="P172" s="108"/>
    </row>
    <row r="173" spans="2:16" s="109" customFormat="1" ht="18" customHeight="1">
      <c r="B173" s="274" t="s">
        <v>4</v>
      </c>
      <c r="C173" s="688" t="s">
        <v>23</v>
      </c>
      <c r="D173" s="689"/>
      <c r="E173" s="273" t="s">
        <v>8</v>
      </c>
      <c r="F173" s="274"/>
      <c r="G173" s="275"/>
      <c r="H173" s="276" t="s">
        <v>50</v>
      </c>
      <c r="I173" s="274"/>
      <c r="J173" s="275"/>
      <c r="K173" s="276" t="s">
        <v>50</v>
      </c>
      <c r="L173" s="124"/>
      <c r="M173" s="266"/>
      <c r="N173" s="268"/>
      <c r="O173" s="269" t="s">
        <v>50</v>
      </c>
      <c r="P173" s="108"/>
    </row>
    <row r="174" spans="2:16" s="109" customFormat="1" ht="18" customHeight="1">
      <c r="B174" s="197">
        <v>1</v>
      </c>
      <c r="C174" s="198" t="s">
        <v>54</v>
      </c>
      <c r="D174" s="199"/>
      <c r="E174" s="200">
        <f>'BDI-TRIBUTOS'!D20</f>
        <v>0.05</v>
      </c>
      <c r="F174" s="238"/>
      <c r="G174" s="239"/>
      <c r="H174" s="203">
        <f t="shared" ref="H174:H179" si="25">H$182*$E174</f>
        <v>0</v>
      </c>
      <c r="I174" s="238"/>
      <c r="J174" s="239"/>
      <c r="K174" s="203">
        <f t="shared" ref="K174:K179" si="26">K$182*$E174</f>
        <v>0</v>
      </c>
      <c r="L174" s="143"/>
      <c r="M174" s="240"/>
      <c r="N174" s="241"/>
      <c r="O174" s="206">
        <f t="shared" ref="O174:O179" si="27">$O$182*E174</f>
        <v>0</v>
      </c>
      <c r="P174" s="108"/>
    </row>
    <row r="175" spans="2:16" s="109" customFormat="1" ht="18" customHeight="1">
      <c r="B175" s="207">
        <v>2</v>
      </c>
      <c r="C175" s="208" t="s">
        <v>24</v>
      </c>
      <c r="D175" s="209"/>
      <c r="E175" s="210">
        <f>'BDI-TRIBUTOS'!D21</f>
        <v>0.03</v>
      </c>
      <c r="F175" s="242"/>
      <c r="G175" s="243"/>
      <c r="H175" s="213">
        <f t="shared" si="25"/>
        <v>0</v>
      </c>
      <c r="I175" s="242"/>
      <c r="J175" s="243"/>
      <c r="K175" s="213">
        <f t="shared" si="26"/>
        <v>0</v>
      </c>
      <c r="L175" s="143"/>
      <c r="M175" s="244"/>
      <c r="N175" s="245"/>
      <c r="O175" s="216">
        <f t="shared" si="27"/>
        <v>0</v>
      </c>
      <c r="P175" s="108"/>
    </row>
    <row r="176" spans="2:16" s="109" customFormat="1" ht="18" customHeight="1">
      <c r="B176" s="207">
        <v>3</v>
      </c>
      <c r="C176" s="208" t="s">
        <v>25</v>
      </c>
      <c r="D176" s="209"/>
      <c r="E176" s="210">
        <f>'BDI-TRIBUTOS'!D22</f>
        <v>6.4999999999999997E-3</v>
      </c>
      <c r="F176" s="242"/>
      <c r="G176" s="243"/>
      <c r="H176" s="213">
        <f t="shared" si="25"/>
        <v>0</v>
      </c>
      <c r="I176" s="242"/>
      <c r="J176" s="243"/>
      <c r="K176" s="213">
        <f t="shared" si="26"/>
        <v>0</v>
      </c>
      <c r="L176" s="143"/>
      <c r="M176" s="244"/>
      <c r="N176" s="245"/>
      <c r="O176" s="216">
        <f t="shared" si="27"/>
        <v>0</v>
      </c>
      <c r="P176" s="108"/>
    </row>
    <row r="177" spans="2:16" s="109" customFormat="1" ht="18" customHeight="1">
      <c r="B177" s="207">
        <v>4</v>
      </c>
      <c r="C177" s="208" t="s">
        <v>26</v>
      </c>
      <c r="D177" s="209"/>
      <c r="E177" s="210">
        <f>'BDI-TRIBUTOS'!D23</f>
        <v>2.8799999999999999E-2</v>
      </c>
      <c r="F177" s="242"/>
      <c r="G177" s="243"/>
      <c r="H177" s="213">
        <f t="shared" si="25"/>
        <v>0</v>
      </c>
      <c r="I177" s="242"/>
      <c r="J177" s="243"/>
      <c r="K177" s="213">
        <f t="shared" si="26"/>
        <v>0</v>
      </c>
      <c r="L177" s="143"/>
      <c r="M177" s="244"/>
      <c r="N177" s="245"/>
      <c r="O177" s="216">
        <f t="shared" si="27"/>
        <v>0</v>
      </c>
      <c r="P177" s="108"/>
    </row>
    <row r="178" spans="2:16" s="109" customFormat="1" ht="18" customHeight="1">
      <c r="B178" s="207">
        <v>5</v>
      </c>
      <c r="C178" s="208" t="s">
        <v>27</v>
      </c>
      <c r="D178" s="209"/>
      <c r="E178" s="210">
        <f>'BDI-TRIBUTOS'!D24</f>
        <v>4.8000000000000001E-2</v>
      </c>
      <c r="F178" s="242"/>
      <c r="G178" s="243"/>
      <c r="H178" s="213">
        <f t="shared" si="25"/>
        <v>0</v>
      </c>
      <c r="I178" s="242"/>
      <c r="J178" s="243"/>
      <c r="K178" s="213">
        <f t="shared" si="26"/>
        <v>0</v>
      </c>
      <c r="L178" s="143"/>
      <c r="M178" s="244"/>
      <c r="N178" s="245"/>
      <c r="O178" s="224">
        <f t="shared" si="27"/>
        <v>0</v>
      </c>
      <c r="P178" s="108"/>
    </row>
    <row r="179" spans="2:16" s="109" customFormat="1" ht="18" customHeight="1">
      <c r="B179" s="207">
        <v>6</v>
      </c>
      <c r="C179" s="208" t="s">
        <v>138</v>
      </c>
      <c r="D179" s="209"/>
      <c r="E179" s="210">
        <f>'BDI-TRIBUTOS'!D25</f>
        <v>3.1800000000000002E-2</v>
      </c>
      <c r="F179" s="242"/>
      <c r="G179" s="243"/>
      <c r="H179" s="213">
        <f t="shared" si="25"/>
        <v>0</v>
      </c>
      <c r="I179" s="242"/>
      <c r="J179" s="243"/>
      <c r="K179" s="213">
        <f t="shared" si="26"/>
        <v>0</v>
      </c>
      <c r="L179" s="143"/>
      <c r="M179" s="244"/>
      <c r="N179" s="245"/>
      <c r="O179" s="224">
        <f t="shared" si="27"/>
        <v>0</v>
      </c>
      <c r="P179" s="108"/>
    </row>
    <row r="180" spans="2:16" s="109" customFormat="1" ht="18" customHeight="1">
      <c r="B180" s="246">
        <v>7</v>
      </c>
      <c r="C180" s="225" t="s">
        <v>56</v>
      </c>
      <c r="D180" s="226"/>
      <c r="E180" s="210">
        <f>'BDI-TRIBUTOS'!D26</f>
        <v>0</v>
      </c>
      <c r="F180" s="247"/>
      <c r="G180" s="248"/>
      <c r="H180" s="230"/>
      <c r="I180" s="247"/>
      <c r="J180" s="248"/>
      <c r="K180" s="230"/>
      <c r="L180" s="143"/>
      <c r="M180" s="249"/>
      <c r="N180" s="250"/>
      <c r="O180" s="224"/>
      <c r="P180" s="108"/>
    </row>
    <row r="181" spans="2:16" s="109" customFormat="1" ht="18" customHeight="1">
      <c r="B181" s="270"/>
      <c r="C181" s="271" t="s">
        <v>55</v>
      </c>
      <c r="D181" s="272"/>
      <c r="E181" s="280">
        <f>SUM(E174:E180)</f>
        <v>0.1951</v>
      </c>
      <c r="F181" s="281"/>
      <c r="G181" s="285"/>
      <c r="H181" s="276">
        <f>H182*$E$181</f>
        <v>0</v>
      </c>
      <c r="I181" s="281"/>
      <c r="J181" s="285"/>
      <c r="K181" s="276">
        <f>K182*$E$181</f>
        <v>0</v>
      </c>
      <c r="L181" s="124"/>
      <c r="M181" s="286"/>
      <c r="N181" s="287"/>
      <c r="O181" s="276">
        <f>O182*$E$181</f>
        <v>0</v>
      </c>
      <c r="P181" s="108"/>
    </row>
    <row r="182" spans="2:16" s="109" customFormat="1" ht="27" customHeight="1" thickBot="1">
      <c r="B182" s="288"/>
      <c r="C182" s="690" t="s">
        <v>121</v>
      </c>
      <c r="D182" s="690"/>
      <c r="E182" s="690"/>
      <c r="F182" s="289">
        <f>ROUND(H182,2)</f>
        <v>0</v>
      </c>
      <c r="G182" s="290"/>
      <c r="H182" s="291">
        <f>G171/(1-$E$181-$E$170)</f>
        <v>0</v>
      </c>
      <c r="I182" s="289">
        <f>ROUND(K182,2)</f>
        <v>0</v>
      </c>
      <c r="J182" s="290"/>
      <c r="K182" s="291">
        <f>J171/(1-$E$181-$E$170)</f>
        <v>0</v>
      </c>
      <c r="L182" s="292"/>
      <c r="M182" s="293"/>
      <c r="N182" s="294"/>
      <c r="O182" s="295">
        <f>N171/(1-$E$181-$E$170)</f>
        <v>0</v>
      </c>
      <c r="P182" s="108"/>
    </row>
    <row r="183" spans="2:16" s="251" customFormat="1" ht="20.25" customHeight="1">
      <c r="C183" s="747"/>
      <c r="D183" s="747"/>
      <c r="E183" s="747"/>
      <c r="F183" s="252"/>
      <c r="G183" s="252"/>
      <c r="H183" s="253" t="e">
        <f>H182/H162</f>
        <v>#DIV/0!</v>
      </c>
      <c r="I183" s="252"/>
      <c r="J183" s="252"/>
      <c r="K183" s="253" t="e">
        <f>K182/K162</f>
        <v>#DIV/0!</v>
      </c>
      <c r="L183" s="253"/>
      <c r="M183" s="253"/>
      <c r="N183" s="253"/>
      <c r="O183" s="253" t="e">
        <f>O182/O162</f>
        <v>#DIV/0!</v>
      </c>
      <c r="P183" s="254"/>
    </row>
    <row r="184" spans="2:16" s="255" customFormat="1" ht="18" customHeight="1">
      <c r="M184" s="256"/>
      <c r="N184" s="256"/>
      <c r="O184" s="256"/>
      <c r="P184" s="257"/>
    </row>
    <row r="185" spans="2:16" s="255" customFormat="1" ht="18" customHeight="1">
      <c r="M185" s="256"/>
      <c r="N185" s="256"/>
      <c r="O185" s="256"/>
      <c r="P185" s="257"/>
    </row>
    <row r="186" spans="2:16" s="255" customFormat="1" ht="18" customHeight="1">
      <c r="M186" s="256"/>
      <c r="N186" s="256"/>
      <c r="O186" s="256"/>
      <c r="P186" s="257"/>
    </row>
    <row r="187" spans="2:16" s="255" customFormat="1" ht="18" customHeight="1">
      <c r="M187" s="256"/>
      <c r="N187" s="256"/>
      <c r="O187" s="256"/>
      <c r="P187" s="257"/>
    </row>
    <row r="188" spans="2:16" s="255" customFormat="1" ht="18" customHeight="1">
      <c r="M188" s="256"/>
      <c r="N188" s="256"/>
      <c r="O188" s="256"/>
      <c r="P188" s="257"/>
    </row>
  </sheetData>
  <sheetProtection selectLockedCells="1" selectUnlockedCells="1"/>
  <mergeCells count="37">
    <mergeCell ref="M2:O2"/>
    <mergeCell ref="B3:E3"/>
    <mergeCell ref="M3:N3"/>
    <mergeCell ref="M1:O1"/>
    <mergeCell ref="B2:E2"/>
    <mergeCell ref="F2:H2"/>
    <mergeCell ref="I2:K2"/>
    <mergeCell ref="B1:C1"/>
    <mergeCell ref="G1:H1"/>
    <mergeCell ref="J1:K1"/>
    <mergeCell ref="M81:O81"/>
    <mergeCell ref="B132:E132"/>
    <mergeCell ref="B5:E5"/>
    <mergeCell ref="M5:O5"/>
    <mergeCell ref="B23:E23"/>
    <mergeCell ref="B24:E24"/>
    <mergeCell ref="B80:E80"/>
    <mergeCell ref="B81:E81"/>
    <mergeCell ref="F81:H81"/>
    <mergeCell ref="I81:K81"/>
    <mergeCell ref="M133:O133"/>
    <mergeCell ref="B155:E155"/>
    <mergeCell ref="C157:D157"/>
    <mergeCell ref="B133:E133"/>
    <mergeCell ref="F133:H133"/>
    <mergeCell ref="I133:K133"/>
    <mergeCell ref="C183:E183"/>
    <mergeCell ref="M172:O172"/>
    <mergeCell ref="C173:D173"/>
    <mergeCell ref="C182:E182"/>
    <mergeCell ref="M163:O163"/>
    <mergeCell ref="C164:D164"/>
    <mergeCell ref="F172:H172"/>
    <mergeCell ref="I172:K172"/>
    <mergeCell ref="C163:E163"/>
    <mergeCell ref="F163:H163"/>
    <mergeCell ref="I163:K163"/>
  </mergeCells>
  <conditionalFormatting sqref="P135:P155 P7:P24 P83:P133 P26:P81">
    <cfRule type="dataBar" priority="1">
      <dataBar>
        <cfvo type="min"/>
        <cfvo type="max"/>
        <color rgb="FFFF555A"/>
      </dataBar>
      <extLst>
        <ext xmlns:x14="http://schemas.microsoft.com/office/spreadsheetml/2009/9/main" uri="{B025F937-C7B1-47D3-B67F-A62EFF666E3E}">
          <x14:id>{BF30E542-E336-49CD-89C3-DA2669DD8BF9}</x14:id>
        </ext>
      </extLst>
    </cfRule>
  </conditionalFormatting>
  <printOptions horizontalCentered="1"/>
  <pageMargins left="0.39000000000000007" right="0.39000000000000007" top="0.39000000000000007" bottom="0.39000000000000007" header="0.51" footer="0.51"/>
  <pageSetup paperSize="9"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BF30E542-E336-49CD-89C3-DA2669DD8BF9}">
            <x14:dataBar minLength="0" maxLength="100" border="1" negativeBarBorderColorSameAsPositive="0">
              <x14:cfvo type="autoMin"/>
              <x14:cfvo type="autoMax"/>
              <x14:borderColor rgb="FFFF555A"/>
              <x14:negativeFillColor rgb="FFFF0000"/>
              <x14:negativeBorderColor rgb="FFFF0000"/>
              <x14:axisColor rgb="FF000000"/>
            </x14:dataBar>
          </x14:cfRule>
          <xm:sqref>P135:P155 P7:P24 P83:P133 P26:P81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5944D-05CF-4F37-AC74-738AB1F3099F}">
  <sheetPr>
    <pageSetUpPr fitToPage="1"/>
  </sheetPr>
  <dimension ref="B1:AE188"/>
  <sheetViews>
    <sheetView showGridLines="0" zoomScale="80" zoomScaleNormal="80" zoomScaleSheetLayoutView="80" zoomScalePageLayoutView="125" workbookViewId="0">
      <pane xSplit="5" ySplit="4" topLeftCell="F5" activePane="bottomRight" state="frozen"/>
      <selection sqref="A1:A6"/>
      <selection pane="topRight" sqref="A1:A6"/>
      <selection pane="bottomLeft" sqref="A1:A6"/>
      <selection pane="bottomRight" sqref="A1:A6"/>
    </sheetView>
  </sheetViews>
  <sheetFormatPr defaultColWidth="8.7109375" defaultRowHeight="18" customHeight="1" outlineLevelRow="1"/>
  <cols>
    <col min="1" max="1" width="0.85546875" style="111" customWidth="1"/>
    <col min="2" max="2" width="8.140625" style="111" customWidth="1"/>
    <col min="3" max="3" width="42.28515625" style="111" customWidth="1"/>
    <col min="4" max="4" width="11" style="111" customWidth="1"/>
    <col min="5" max="5" width="13.85546875" style="111" customWidth="1"/>
    <col min="6" max="6" width="13.7109375" style="111" customWidth="1"/>
    <col min="7" max="7" width="10.7109375" style="111" customWidth="1"/>
    <col min="8" max="8" width="14" style="111" bestFit="1" customWidth="1"/>
    <col min="9" max="9" width="12.7109375" style="111" customWidth="1"/>
    <col min="10" max="10" width="10.7109375" style="111" customWidth="1"/>
    <col min="11" max="11" width="14" style="111" bestFit="1" customWidth="1"/>
    <col min="12" max="12" width="13" style="111" bestFit="1" customWidth="1"/>
    <col min="13" max="13" width="10.7109375" style="111" customWidth="1"/>
    <col min="14" max="14" width="13.7109375" style="111" bestFit="1" customWidth="1"/>
    <col min="15" max="15" width="12" style="111" customWidth="1"/>
    <col min="16" max="16" width="10.7109375" style="111" customWidth="1"/>
    <col min="17" max="17" width="14" style="111" bestFit="1" customWidth="1"/>
    <col min="18" max="18" width="12" style="111" customWidth="1"/>
    <col min="19" max="19" width="10.7109375" style="111" customWidth="1"/>
    <col min="20" max="20" width="14" style="111" bestFit="1" customWidth="1"/>
    <col min="21" max="21" width="12" style="111" customWidth="1"/>
    <col min="22" max="22" width="10.7109375" style="111" customWidth="1"/>
    <col min="23" max="23" width="14" style="111" bestFit="1" customWidth="1"/>
    <col min="24" max="24" width="5.85546875" style="111" customWidth="1"/>
    <col min="25" max="26" width="10" style="256" customWidth="1"/>
    <col min="27" max="27" width="18.28515625" style="256" bestFit="1" customWidth="1"/>
    <col min="28" max="28" width="16" style="108" customWidth="1"/>
    <col min="29" max="30" width="8.7109375" style="111"/>
    <col min="31" max="31" width="14.7109375" style="111" customWidth="1"/>
    <col min="32" max="162" width="8.7109375" style="111"/>
    <col min="163" max="163" width="3.42578125" style="111" customWidth="1"/>
    <col min="164" max="164" width="7" style="111" customWidth="1"/>
    <col min="165" max="165" width="25.42578125" style="111" customWidth="1"/>
    <col min="166" max="166" width="12" style="111" customWidth="1"/>
    <col min="167" max="167" width="12.7109375" style="111" bestFit="1" customWidth="1"/>
    <col min="168" max="168" width="7.42578125" style="111" bestFit="1" customWidth="1"/>
    <col min="169" max="169" width="7.7109375" style="111" bestFit="1" customWidth="1"/>
    <col min="170" max="170" width="15" style="111" customWidth="1"/>
    <col min="171" max="171" width="7.42578125" style="111" bestFit="1" customWidth="1"/>
    <col min="172" max="172" width="7.7109375" style="111" bestFit="1" customWidth="1"/>
    <col min="173" max="173" width="15" style="111" bestFit="1" customWidth="1"/>
    <col min="174" max="174" width="7.42578125" style="111" bestFit="1" customWidth="1"/>
    <col min="175" max="175" width="7.7109375" style="111" bestFit="1" customWidth="1"/>
    <col min="176" max="176" width="9.42578125" style="111" bestFit="1" customWidth="1"/>
    <col min="177" max="177" width="8" style="111" bestFit="1" customWidth="1"/>
    <col min="178" max="178" width="7.7109375" style="111" bestFit="1" customWidth="1"/>
    <col min="179" max="179" width="10.42578125" style="111" bestFit="1" customWidth="1"/>
    <col min="180" max="180" width="8" style="111" bestFit="1" customWidth="1"/>
    <col min="181" max="181" width="7.7109375" style="111" bestFit="1" customWidth="1"/>
    <col min="182" max="182" width="10.42578125" style="111" bestFit="1" customWidth="1"/>
    <col min="183" max="183" width="7.42578125" style="111" bestFit="1" customWidth="1"/>
    <col min="184" max="184" width="7.7109375" style="111" bestFit="1" customWidth="1"/>
    <col min="185" max="185" width="10.42578125" style="111" bestFit="1" customWidth="1"/>
    <col min="186" max="186" width="8" style="111" bestFit="1" customWidth="1"/>
    <col min="187" max="187" width="7.7109375" style="111" bestFit="1" customWidth="1"/>
    <col min="188" max="188" width="10.42578125" style="111" bestFit="1" customWidth="1"/>
    <col min="189" max="189" width="7.42578125" style="111" bestFit="1" customWidth="1"/>
    <col min="190" max="190" width="7.7109375" style="111" bestFit="1" customWidth="1"/>
    <col min="191" max="191" width="10.42578125" style="111" bestFit="1" customWidth="1"/>
    <col min="192" max="192" width="7.42578125" style="111" bestFit="1" customWidth="1"/>
    <col min="193" max="193" width="7.7109375" style="111" bestFit="1" customWidth="1"/>
    <col min="194" max="194" width="10.42578125" style="111" bestFit="1" customWidth="1"/>
    <col min="195" max="195" width="5.140625" style="111" customWidth="1"/>
    <col min="196" max="418" width="8.7109375" style="111"/>
    <col min="419" max="419" width="3.42578125" style="111" customWidth="1"/>
    <col min="420" max="420" width="7" style="111" customWidth="1"/>
    <col min="421" max="421" width="25.42578125" style="111" customWidth="1"/>
    <col min="422" max="422" width="12" style="111" customWidth="1"/>
    <col min="423" max="423" width="12.7109375" style="111" bestFit="1" customWidth="1"/>
    <col min="424" max="424" width="7.42578125" style="111" bestFit="1" customWidth="1"/>
    <col min="425" max="425" width="7.7109375" style="111" bestFit="1" customWidth="1"/>
    <col min="426" max="426" width="15" style="111" customWidth="1"/>
    <col min="427" max="427" width="7.42578125" style="111" bestFit="1" customWidth="1"/>
    <col min="428" max="428" width="7.7109375" style="111" bestFit="1" customWidth="1"/>
    <col min="429" max="429" width="15" style="111" bestFit="1" customWidth="1"/>
    <col min="430" max="430" width="7.42578125" style="111" bestFit="1" customWidth="1"/>
    <col min="431" max="431" width="7.7109375" style="111" bestFit="1" customWidth="1"/>
    <col min="432" max="432" width="9.42578125" style="111" bestFit="1" customWidth="1"/>
    <col min="433" max="433" width="8" style="111" bestFit="1" customWidth="1"/>
    <col min="434" max="434" width="7.7109375" style="111" bestFit="1" customWidth="1"/>
    <col min="435" max="435" width="10.42578125" style="111" bestFit="1" customWidth="1"/>
    <col min="436" max="436" width="8" style="111" bestFit="1" customWidth="1"/>
    <col min="437" max="437" width="7.7109375" style="111" bestFit="1" customWidth="1"/>
    <col min="438" max="438" width="10.42578125" style="111" bestFit="1" customWidth="1"/>
    <col min="439" max="439" width="7.42578125" style="111" bestFit="1" customWidth="1"/>
    <col min="440" max="440" width="7.7109375" style="111" bestFit="1" customWidth="1"/>
    <col min="441" max="441" width="10.42578125" style="111" bestFit="1" customWidth="1"/>
    <col min="442" max="442" width="8" style="111" bestFit="1" customWidth="1"/>
    <col min="443" max="443" width="7.7109375" style="111" bestFit="1" customWidth="1"/>
    <col min="444" max="444" width="10.42578125" style="111" bestFit="1" customWidth="1"/>
    <col min="445" max="445" width="7.42578125" style="111" bestFit="1" customWidth="1"/>
    <col min="446" max="446" width="7.7109375" style="111" bestFit="1" customWidth="1"/>
    <col min="447" max="447" width="10.42578125" style="111" bestFit="1" customWidth="1"/>
    <col min="448" max="448" width="7.42578125" style="111" bestFit="1" customWidth="1"/>
    <col min="449" max="449" width="7.7109375" style="111" bestFit="1" customWidth="1"/>
    <col min="450" max="450" width="10.42578125" style="111" bestFit="1" customWidth="1"/>
    <col min="451" max="451" width="5.140625" style="111" customWidth="1"/>
    <col min="452" max="674" width="8.7109375" style="111"/>
    <col min="675" max="675" width="3.42578125" style="111" customWidth="1"/>
    <col min="676" max="676" width="7" style="111" customWidth="1"/>
    <col min="677" max="677" width="25.42578125" style="111" customWidth="1"/>
    <col min="678" max="678" width="12" style="111" customWidth="1"/>
    <col min="679" max="679" width="12.7109375" style="111" bestFit="1" customWidth="1"/>
    <col min="680" max="680" width="7.42578125" style="111" bestFit="1" customWidth="1"/>
    <col min="681" max="681" width="7.7109375" style="111" bestFit="1" customWidth="1"/>
    <col min="682" max="682" width="15" style="111" customWidth="1"/>
    <col min="683" max="683" width="7.42578125" style="111" bestFit="1" customWidth="1"/>
    <col min="684" max="684" width="7.7109375" style="111" bestFit="1" customWidth="1"/>
    <col min="685" max="685" width="15" style="111" bestFit="1" customWidth="1"/>
    <col min="686" max="686" width="7.42578125" style="111" bestFit="1" customWidth="1"/>
    <col min="687" max="687" width="7.7109375" style="111" bestFit="1" customWidth="1"/>
    <col min="688" max="688" width="9.42578125" style="111" bestFit="1" customWidth="1"/>
    <col min="689" max="689" width="8" style="111" bestFit="1" customWidth="1"/>
    <col min="690" max="690" width="7.7109375" style="111" bestFit="1" customWidth="1"/>
    <col min="691" max="691" width="10.42578125" style="111" bestFit="1" customWidth="1"/>
    <col min="692" max="692" width="8" style="111" bestFit="1" customWidth="1"/>
    <col min="693" max="693" width="7.7109375" style="111" bestFit="1" customWidth="1"/>
    <col min="694" max="694" width="10.42578125" style="111" bestFit="1" customWidth="1"/>
    <col min="695" max="695" width="7.42578125" style="111" bestFit="1" customWidth="1"/>
    <col min="696" max="696" width="7.7109375" style="111" bestFit="1" customWidth="1"/>
    <col min="697" max="697" width="10.42578125" style="111" bestFit="1" customWidth="1"/>
    <col min="698" max="698" width="8" style="111" bestFit="1" customWidth="1"/>
    <col min="699" max="699" width="7.7109375" style="111" bestFit="1" customWidth="1"/>
    <col min="700" max="700" width="10.42578125" style="111" bestFit="1" customWidth="1"/>
    <col min="701" max="701" width="7.42578125" style="111" bestFit="1" customWidth="1"/>
    <col min="702" max="702" width="7.7109375" style="111" bestFit="1" customWidth="1"/>
    <col min="703" max="703" width="10.42578125" style="111" bestFit="1" customWidth="1"/>
    <col min="704" max="704" width="7.42578125" style="111" bestFit="1" customWidth="1"/>
    <col min="705" max="705" width="7.7109375" style="111" bestFit="1" customWidth="1"/>
    <col min="706" max="706" width="10.42578125" style="111" bestFit="1" customWidth="1"/>
    <col min="707" max="707" width="5.140625" style="111" customWidth="1"/>
    <col min="708" max="930" width="8.7109375" style="111"/>
    <col min="931" max="931" width="3.42578125" style="111" customWidth="1"/>
    <col min="932" max="932" width="7" style="111" customWidth="1"/>
    <col min="933" max="933" width="25.42578125" style="111" customWidth="1"/>
    <col min="934" max="934" width="12" style="111" customWidth="1"/>
    <col min="935" max="935" width="12.7109375" style="111" bestFit="1" customWidth="1"/>
    <col min="936" max="936" width="7.42578125" style="111" bestFit="1" customWidth="1"/>
    <col min="937" max="937" width="7.7109375" style="111" bestFit="1" customWidth="1"/>
    <col min="938" max="938" width="15" style="111" customWidth="1"/>
    <col min="939" max="939" width="7.42578125" style="111" bestFit="1" customWidth="1"/>
    <col min="940" max="940" width="7.7109375" style="111" bestFit="1" customWidth="1"/>
    <col min="941" max="941" width="15" style="111" bestFit="1" customWidth="1"/>
    <col min="942" max="942" width="7.42578125" style="111" bestFit="1" customWidth="1"/>
    <col min="943" max="943" width="7.7109375" style="111" bestFit="1" customWidth="1"/>
    <col min="944" max="944" width="9.42578125" style="111" bestFit="1" customWidth="1"/>
    <col min="945" max="945" width="8" style="111" bestFit="1" customWidth="1"/>
    <col min="946" max="946" width="7.7109375" style="111" bestFit="1" customWidth="1"/>
    <col min="947" max="947" width="10.42578125" style="111" bestFit="1" customWidth="1"/>
    <col min="948" max="948" width="8" style="111" bestFit="1" customWidth="1"/>
    <col min="949" max="949" width="7.7109375" style="111" bestFit="1" customWidth="1"/>
    <col min="950" max="950" width="10.42578125" style="111" bestFit="1" customWidth="1"/>
    <col min="951" max="951" width="7.42578125" style="111" bestFit="1" customWidth="1"/>
    <col min="952" max="952" width="7.7109375" style="111" bestFit="1" customWidth="1"/>
    <col min="953" max="953" width="10.42578125" style="111" bestFit="1" customWidth="1"/>
    <col min="954" max="954" width="8" style="111" bestFit="1" customWidth="1"/>
    <col min="955" max="955" width="7.7109375" style="111" bestFit="1" customWidth="1"/>
    <col min="956" max="956" width="10.42578125" style="111" bestFit="1" customWidth="1"/>
    <col min="957" max="957" width="7.42578125" style="111" bestFit="1" customWidth="1"/>
    <col min="958" max="958" width="7.7109375" style="111" bestFit="1" customWidth="1"/>
    <col min="959" max="959" width="10.42578125" style="111" bestFit="1" customWidth="1"/>
    <col min="960" max="960" width="7.42578125" style="111" bestFit="1" customWidth="1"/>
    <col min="961" max="961" width="7.7109375" style="111" bestFit="1" customWidth="1"/>
    <col min="962" max="962" width="10.42578125" style="111" bestFit="1" customWidth="1"/>
    <col min="963" max="963" width="5.140625" style="111" customWidth="1"/>
    <col min="964" max="1186" width="8.7109375" style="111"/>
    <col min="1187" max="1187" width="3.42578125" style="111" customWidth="1"/>
    <col min="1188" max="1188" width="7" style="111" customWidth="1"/>
    <col min="1189" max="1189" width="25.42578125" style="111" customWidth="1"/>
    <col min="1190" max="1190" width="12" style="111" customWidth="1"/>
    <col min="1191" max="1191" width="12.7109375" style="111" bestFit="1" customWidth="1"/>
    <col min="1192" max="1192" width="7.42578125" style="111" bestFit="1" customWidth="1"/>
    <col min="1193" max="1193" width="7.7109375" style="111" bestFit="1" customWidth="1"/>
    <col min="1194" max="1194" width="15" style="111" customWidth="1"/>
    <col min="1195" max="1195" width="7.42578125" style="111" bestFit="1" customWidth="1"/>
    <col min="1196" max="1196" width="7.7109375" style="111" bestFit="1" customWidth="1"/>
    <col min="1197" max="1197" width="15" style="111" bestFit="1" customWidth="1"/>
    <col min="1198" max="1198" width="7.42578125" style="111" bestFit="1" customWidth="1"/>
    <col min="1199" max="1199" width="7.7109375" style="111" bestFit="1" customWidth="1"/>
    <col min="1200" max="1200" width="9.42578125" style="111" bestFit="1" customWidth="1"/>
    <col min="1201" max="1201" width="8" style="111" bestFit="1" customWidth="1"/>
    <col min="1202" max="1202" width="7.7109375" style="111" bestFit="1" customWidth="1"/>
    <col min="1203" max="1203" width="10.42578125" style="111" bestFit="1" customWidth="1"/>
    <col min="1204" max="1204" width="8" style="111" bestFit="1" customWidth="1"/>
    <col min="1205" max="1205" width="7.7109375" style="111" bestFit="1" customWidth="1"/>
    <col min="1206" max="1206" width="10.42578125" style="111" bestFit="1" customWidth="1"/>
    <col min="1207" max="1207" width="7.42578125" style="111" bestFit="1" customWidth="1"/>
    <col min="1208" max="1208" width="7.7109375" style="111" bestFit="1" customWidth="1"/>
    <col min="1209" max="1209" width="10.42578125" style="111" bestFit="1" customWidth="1"/>
    <col min="1210" max="1210" width="8" style="111" bestFit="1" customWidth="1"/>
    <col min="1211" max="1211" width="7.7109375" style="111" bestFit="1" customWidth="1"/>
    <col min="1212" max="1212" width="10.42578125" style="111" bestFit="1" customWidth="1"/>
    <col min="1213" max="1213" width="7.42578125" style="111" bestFit="1" customWidth="1"/>
    <col min="1214" max="1214" width="7.7109375" style="111" bestFit="1" customWidth="1"/>
    <col min="1215" max="1215" width="10.42578125" style="111" bestFit="1" customWidth="1"/>
    <col min="1216" max="1216" width="7.42578125" style="111" bestFit="1" customWidth="1"/>
    <col min="1217" max="1217" width="7.7109375" style="111" bestFit="1" customWidth="1"/>
    <col min="1218" max="1218" width="10.42578125" style="111" bestFit="1" customWidth="1"/>
    <col min="1219" max="1219" width="5.140625" style="111" customWidth="1"/>
    <col min="1220" max="1442" width="8.7109375" style="111"/>
    <col min="1443" max="1443" width="3.42578125" style="111" customWidth="1"/>
    <col min="1444" max="1444" width="7" style="111" customWidth="1"/>
    <col min="1445" max="1445" width="25.42578125" style="111" customWidth="1"/>
    <col min="1446" max="1446" width="12" style="111" customWidth="1"/>
    <col min="1447" max="1447" width="12.7109375" style="111" bestFit="1" customWidth="1"/>
    <col min="1448" max="1448" width="7.42578125" style="111" bestFit="1" customWidth="1"/>
    <col min="1449" max="1449" width="7.7109375" style="111" bestFit="1" customWidth="1"/>
    <col min="1450" max="1450" width="15" style="111" customWidth="1"/>
    <col min="1451" max="1451" width="7.42578125" style="111" bestFit="1" customWidth="1"/>
    <col min="1452" max="1452" width="7.7109375" style="111" bestFit="1" customWidth="1"/>
    <col min="1453" max="1453" width="15" style="111" bestFit="1" customWidth="1"/>
    <col min="1454" max="1454" width="7.42578125" style="111" bestFit="1" customWidth="1"/>
    <col min="1455" max="1455" width="7.7109375" style="111" bestFit="1" customWidth="1"/>
    <col min="1456" max="1456" width="9.42578125" style="111" bestFit="1" customWidth="1"/>
    <col min="1457" max="1457" width="8" style="111" bestFit="1" customWidth="1"/>
    <col min="1458" max="1458" width="7.7109375" style="111" bestFit="1" customWidth="1"/>
    <col min="1459" max="1459" width="10.42578125" style="111" bestFit="1" customWidth="1"/>
    <col min="1460" max="1460" width="8" style="111" bestFit="1" customWidth="1"/>
    <col min="1461" max="1461" width="7.7109375" style="111" bestFit="1" customWidth="1"/>
    <col min="1462" max="1462" width="10.42578125" style="111" bestFit="1" customWidth="1"/>
    <col min="1463" max="1463" width="7.42578125" style="111" bestFit="1" customWidth="1"/>
    <col min="1464" max="1464" width="7.7109375" style="111" bestFit="1" customWidth="1"/>
    <col min="1465" max="1465" width="10.42578125" style="111" bestFit="1" customWidth="1"/>
    <col min="1466" max="1466" width="8" style="111" bestFit="1" customWidth="1"/>
    <col min="1467" max="1467" width="7.7109375" style="111" bestFit="1" customWidth="1"/>
    <col min="1468" max="1468" width="10.42578125" style="111" bestFit="1" customWidth="1"/>
    <col min="1469" max="1469" width="7.42578125" style="111" bestFit="1" customWidth="1"/>
    <col min="1470" max="1470" width="7.7109375" style="111" bestFit="1" customWidth="1"/>
    <col min="1471" max="1471" width="10.42578125" style="111" bestFit="1" customWidth="1"/>
    <col min="1472" max="1472" width="7.42578125" style="111" bestFit="1" customWidth="1"/>
    <col min="1473" max="1473" width="7.7109375" style="111" bestFit="1" customWidth="1"/>
    <col min="1474" max="1474" width="10.42578125" style="111" bestFit="1" customWidth="1"/>
    <col min="1475" max="1475" width="5.140625" style="111" customWidth="1"/>
    <col min="1476" max="1698" width="8.7109375" style="111"/>
    <col min="1699" max="1699" width="3.42578125" style="111" customWidth="1"/>
    <col min="1700" max="1700" width="7" style="111" customWidth="1"/>
    <col min="1701" max="1701" width="25.42578125" style="111" customWidth="1"/>
    <col min="1702" max="1702" width="12" style="111" customWidth="1"/>
    <col min="1703" max="1703" width="12.7109375" style="111" bestFit="1" customWidth="1"/>
    <col min="1704" max="1704" width="7.42578125" style="111" bestFit="1" customWidth="1"/>
    <col min="1705" max="1705" width="7.7109375" style="111" bestFit="1" customWidth="1"/>
    <col min="1706" max="1706" width="15" style="111" customWidth="1"/>
    <col min="1707" max="1707" width="7.42578125" style="111" bestFit="1" customWidth="1"/>
    <col min="1708" max="1708" width="7.7109375" style="111" bestFit="1" customWidth="1"/>
    <col min="1709" max="1709" width="15" style="111" bestFit="1" customWidth="1"/>
    <col min="1710" max="1710" width="7.42578125" style="111" bestFit="1" customWidth="1"/>
    <col min="1711" max="1711" width="7.7109375" style="111" bestFit="1" customWidth="1"/>
    <col min="1712" max="1712" width="9.42578125" style="111" bestFit="1" customWidth="1"/>
    <col min="1713" max="1713" width="8" style="111" bestFit="1" customWidth="1"/>
    <col min="1714" max="1714" width="7.7109375" style="111" bestFit="1" customWidth="1"/>
    <col min="1715" max="1715" width="10.42578125" style="111" bestFit="1" customWidth="1"/>
    <col min="1716" max="1716" width="8" style="111" bestFit="1" customWidth="1"/>
    <col min="1717" max="1717" width="7.7109375" style="111" bestFit="1" customWidth="1"/>
    <col min="1718" max="1718" width="10.42578125" style="111" bestFit="1" customWidth="1"/>
    <col min="1719" max="1719" width="7.42578125" style="111" bestFit="1" customWidth="1"/>
    <col min="1720" max="1720" width="7.7109375" style="111" bestFit="1" customWidth="1"/>
    <col min="1721" max="1721" width="10.42578125" style="111" bestFit="1" customWidth="1"/>
    <col min="1722" max="1722" width="8" style="111" bestFit="1" customWidth="1"/>
    <col min="1723" max="1723" width="7.7109375" style="111" bestFit="1" customWidth="1"/>
    <col min="1724" max="1724" width="10.42578125" style="111" bestFit="1" customWidth="1"/>
    <col min="1725" max="1725" width="7.42578125" style="111" bestFit="1" customWidth="1"/>
    <col min="1726" max="1726" width="7.7109375" style="111" bestFit="1" customWidth="1"/>
    <col min="1727" max="1727" width="10.42578125" style="111" bestFit="1" customWidth="1"/>
    <col min="1728" max="1728" width="7.42578125" style="111" bestFit="1" customWidth="1"/>
    <col min="1729" max="1729" width="7.7109375" style="111" bestFit="1" customWidth="1"/>
    <col min="1730" max="1730" width="10.42578125" style="111" bestFit="1" customWidth="1"/>
    <col min="1731" max="1731" width="5.140625" style="111" customWidth="1"/>
    <col min="1732" max="1954" width="8.7109375" style="111"/>
    <col min="1955" max="1955" width="3.42578125" style="111" customWidth="1"/>
    <col min="1956" max="1956" width="7" style="111" customWidth="1"/>
    <col min="1957" max="1957" width="25.42578125" style="111" customWidth="1"/>
    <col min="1958" max="1958" width="12" style="111" customWidth="1"/>
    <col min="1959" max="1959" width="12.7109375" style="111" bestFit="1" customWidth="1"/>
    <col min="1960" max="1960" width="7.42578125" style="111" bestFit="1" customWidth="1"/>
    <col min="1961" max="1961" width="7.7109375" style="111" bestFit="1" customWidth="1"/>
    <col min="1962" max="1962" width="15" style="111" customWidth="1"/>
    <col min="1963" max="1963" width="7.42578125" style="111" bestFit="1" customWidth="1"/>
    <col min="1964" max="1964" width="7.7109375" style="111" bestFit="1" customWidth="1"/>
    <col min="1965" max="1965" width="15" style="111" bestFit="1" customWidth="1"/>
    <col min="1966" max="1966" width="7.42578125" style="111" bestFit="1" customWidth="1"/>
    <col min="1967" max="1967" width="7.7109375" style="111" bestFit="1" customWidth="1"/>
    <col min="1968" max="1968" width="9.42578125" style="111" bestFit="1" customWidth="1"/>
    <col min="1969" max="1969" width="8" style="111" bestFit="1" customWidth="1"/>
    <col min="1970" max="1970" width="7.7109375" style="111" bestFit="1" customWidth="1"/>
    <col min="1971" max="1971" width="10.42578125" style="111" bestFit="1" customWidth="1"/>
    <col min="1972" max="1972" width="8" style="111" bestFit="1" customWidth="1"/>
    <col min="1973" max="1973" width="7.7109375" style="111" bestFit="1" customWidth="1"/>
    <col min="1974" max="1974" width="10.42578125" style="111" bestFit="1" customWidth="1"/>
    <col min="1975" max="1975" width="7.42578125" style="111" bestFit="1" customWidth="1"/>
    <col min="1976" max="1976" width="7.7109375" style="111" bestFit="1" customWidth="1"/>
    <col min="1977" max="1977" width="10.42578125" style="111" bestFit="1" customWidth="1"/>
    <col min="1978" max="1978" width="8" style="111" bestFit="1" customWidth="1"/>
    <col min="1979" max="1979" width="7.7109375" style="111" bestFit="1" customWidth="1"/>
    <col min="1980" max="1980" width="10.42578125" style="111" bestFit="1" customWidth="1"/>
    <col min="1981" max="1981" width="7.42578125" style="111" bestFit="1" customWidth="1"/>
    <col min="1982" max="1982" width="7.7109375" style="111" bestFit="1" customWidth="1"/>
    <col min="1983" max="1983" width="10.42578125" style="111" bestFit="1" customWidth="1"/>
    <col min="1984" max="1984" width="7.42578125" style="111" bestFit="1" customWidth="1"/>
    <col min="1985" max="1985" width="7.7109375" style="111" bestFit="1" customWidth="1"/>
    <col min="1986" max="1986" width="10.42578125" style="111" bestFit="1" customWidth="1"/>
    <col min="1987" max="1987" width="5.140625" style="111" customWidth="1"/>
    <col min="1988" max="2210" width="8.7109375" style="111"/>
    <col min="2211" max="2211" width="3.42578125" style="111" customWidth="1"/>
    <col min="2212" max="2212" width="7" style="111" customWidth="1"/>
    <col min="2213" max="2213" width="25.42578125" style="111" customWidth="1"/>
    <col min="2214" max="2214" width="12" style="111" customWidth="1"/>
    <col min="2215" max="2215" width="12.7109375" style="111" bestFit="1" customWidth="1"/>
    <col min="2216" max="2216" width="7.42578125" style="111" bestFit="1" customWidth="1"/>
    <col min="2217" max="2217" width="7.7109375" style="111" bestFit="1" customWidth="1"/>
    <col min="2218" max="2218" width="15" style="111" customWidth="1"/>
    <col min="2219" max="2219" width="7.42578125" style="111" bestFit="1" customWidth="1"/>
    <col min="2220" max="2220" width="7.7109375" style="111" bestFit="1" customWidth="1"/>
    <col min="2221" max="2221" width="15" style="111" bestFit="1" customWidth="1"/>
    <col min="2222" max="2222" width="7.42578125" style="111" bestFit="1" customWidth="1"/>
    <col min="2223" max="2223" width="7.7109375" style="111" bestFit="1" customWidth="1"/>
    <col min="2224" max="2224" width="9.42578125" style="111" bestFit="1" customWidth="1"/>
    <col min="2225" max="2225" width="8" style="111" bestFit="1" customWidth="1"/>
    <col min="2226" max="2226" width="7.7109375" style="111" bestFit="1" customWidth="1"/>
    <col min="2227" max="2227" width="10.42578125" style="111" bestFit="1" customWidth="1"/>
    <col min="2228" max="2228" width="8" style="111" bestFit="1" customWidth="1"/>
    <col min="2229" max="2229" width="7.7109375" style="111" bestFit="1" customWidth="1"/>
    <col min="2230" max="2230" width="10.42578125" style="111" bestFit="1" customWidth="1"/>
    <col min="2231" max="2231" width="7.42578125" style="111" bestFit="1" customWidth="1"/>
    <col min="2232" max="2232" width="7.7109375" style="111" bestFit="1" customWidth="1"/>
    <col min="2233" max="2233" width="10.42578125" style="111" bestFit="1" customWidth="1"/>
    <col min="2234" max="2234" width="8" style="111" bestFit="1" customWidth="1"/>
    <col min="2235" max="2235" width="7.7109375" style="111" bestFit="1" customWidth="1"/>
    <col min="2236" max="2236" width="10.42578125" style="111" bestFit="1" customWidth="1"/>
    <col min="2237" max="2237" width="7.42578125" style="111" bestFit="1" customWidth="1"/>
    <col min="2238" max="2238" width="7.7109375" style="111" bestFit="1" customWidth="1"/>
    <col min="2239" max="2239" width="10.42578125" style="111" bestFit="1" customWidth="1"/>
    <col min="2240" max="2240" width="7.42578125" style="111" bestFit="1" customWidth="1"/>
    <col min="2241" max="2241" width="7.7109375" style="111" bestFit="1" customWidth="1"/>
    <col min="2242" max="2242" width="10.42578125" style="111" bestFit="1" customWidth="1"/>
    <col min="2243" max="2243" width="5.140625" style="111" customWidth="1"/>
    <col min="2244" max="2466" width="8.7109375" style="111"/>
    <col min="2467" max="2467" width="3.42578125" style="111" customWidth="1"/>
    <col min="2468" max="2468" width="7" style="111" customWidth="1"/>
    <col min="2469" max="2469" width="25.42578125" style="111" customWidth="1"/>
    <col min="2470" max="2470" width="12" style="111" customWidth="1"/>
    <col min="2471" max="2471" width="12.7109375" style="111" bestFit="1" customWidth="1"/>
    <col min="2472" max="2472" width="7.42578125" style="111" bestFit="1" customWidth="1"/>
    <col min="2473" max="2473" width="7.7109375" style="111" bestFit="1" customWidth="1"/>
    <col min="2474" max="2474" width="15" style="111" customWidth="1"/>
    <col min="2475" max="2475" width="7.42578125" style="111" bestFit="1" customWidth="1"/>
    <col min="2476" max="2476" width="7.7109375" style="111" bestFit="1" customWidth="1"/>
    <col min="2477" max="2477" width="15" style="111" bestFit="1" customWidth="1"/>
    <col min="2478" max="2478" width="7.42578125" style="111" bestFit="1" customWidth="1"/>
    <col min="2479" max="2479" width="7.7109375" style="111" bestFit="1" customWidth="1"/>
    <col min="2480" max="2480" width="9.42578125" style="111" bestFit="1" customWidth="1"/>
    <col min="2481" max="2481" width="8" style="111" bestFit="1" customWidth="1"/>
    <col min="2482" max="2482" width="7.7109375" style="111" bestFit="1" customWidth="1"/>
    <col min="2483" max="2483" width="10.42578125" style="111" bestFit="1" customWidth="1"/>
    <col min="2484" max="2484" width="8" style="111" bestFit="1" customWidth="1"/>
    <col min="2485" max="2485" width="7.7109375" style="111" bestFit="1" customWidth="1"/>
    <col min="2486" max="2486" width="10.42578125" style="111" bestFit="1" customWidth="1"/>
    <col min="2487" max="2487" width="7.42578125" style="111" bestFit="1" customWidth="1"/>
    <col min="2488" max="2488" width="7.7109375" style="111" bestFit="1" customWidth="1"/>
    <col min="2489" max="2489" width="10.42578125" style="111" bestFit="1" customWidth="1"/>
    <col min="2490" max="2490" width="8" style="111" bestFit="1" customWidth="1"/>
    <col min="2491" max="2491" width="7.7109375" style="111" bestFit="1" customWidth="1"/>
    <col min="2492" max="2492" width="10.42578125" style="111" bestFit="1" customWidth="1"/>
    <col min="2493" max="2493" width="7.42578125" style="111" bestFit="1" customWidth="1"/>
    <col min="2494" max="2494" width="7.7109375" style="111" bestFit="1" customWidth="1"/>
    <col min="2495" max="2495" width="10.42578125" style="111" bestFit="1" customWidth="1"/>
    <col min="2496" max="2496" width="7.42578125" style="111" bestFit="1" customWidth="1"/>
    <col min="2497" max="2497" width="7.7109375" style="111" bestFit="1" customWidth="1"/>
    <col min="2498" max="2498" width="10.42578125" style="111" bestFit="1" customWidth="1"/>
    <col min="2499" max="2499" width="5.140625" style="111" customWidth="1"/>
    <col min="2500" max="2722" width="8.7109375" style="111"/>
    <col min="2723" max="2723" width="3.42578125" style="111" customWidth="1"/>
    <col min="2724" max="2724" width="7" style="111" customWidth="1"/>
    <col min="2725" max="2725" width="25.42578125" style="111" customWidth="1"/>
    <col min="2726" max="2726" width="12" style="111" customWidth="1"/>
    <col min="2727" max="2727" width="12.7109375" style="111" bestFit="1" customWidth="1"/>
    <col min="2728" max="2728" width="7.42578125" style="111" bestFit="1" customWidth="1"/>
    <col min="2729" max="2729" width="7.7109375" style="111" bestFit="1" customWidth="1"/>
    <col min="2730" max="2730" width="15" style="111" customWidth="1"/>
    <col min="2731" max="2731" width="7.42578125" style="111" bestFit="1" customWidth="1"/>
    <col min="2732" max="2732" width="7.7109375" style="111" bestFit="1" customWidth="1"/>
    <col min="2733" max="2733" width="15" style="111" bestFit="1" customWidth="1"/>
    <col min="2734" max="2734" width="7.42578125" style="111" bestFit="1" customWidth="1"/>
    <col min="2735" max="2735" width="7.7109375" style="111" bestFit="1" customWidth="1"/>
    <col min="2736" max="2736" width="9.42578125" style="111" bestFit="1" customWidth="1"/>
    <col min="2737" max="2737" width="8" style="111" bestFit="1" customWidth="1"/>
    <col min="2738" max="2738" width="7.7109375" style="111" bestFit="1" customWidth="1"/>
    <col min="2739" max="2739" width="10.42578125" style="111" bestFit="1" customWidth="1"/>
    <col min="2740" max="2740" width="8" style="111" bestFit="1" customWidth="1"/>
    <col min="2741" max="2741" width="7.7109375" style="111" bestFit="1" customWidth="1"/>
    <col min="2742" max="2742" width="10.42578125" style="111" bestFit="1" customWidth="1"/>
    <col min="2743" max="2743" width="7.42578125" style="111" bestFit="1" customWidth="1"/>
    <col min="2744" max="2744" width="7.7109375" style="111" bestFit="1" customWidth="1"/>
    <col min="2745" max="2745" width="10.42578125" style="111" bestFit="1" customWidth="1"/>
    <col min="2746" max="2746" width="8" style="111" bestFit="1" customWidth="1"/>
    <col min="2747" max="2747" width="7.7109375" style="111" bestFit="1" customWidth="1"/>
    <col min="2748" max="2748" width="10.42578125" style="111" bestFit="1" customWidth="1"/>
    <col min="2749" max="2749" width="7.42578125" style="111" bestFit="1" customWidth="1"/>
    <col min="2750" max="2750" width="7.7109375" style="111" bestFit="1" customWidth="1"/>
    <col min="2751" max="2751" width="10.42578125" style="111" bestFit="1" customWidth="1"/>
    <col min="2752" max="2752" width="7.42578125" style="111" bestFit="1" customWidth="1"/>
    <col min="2753" max="2753" width="7.7109375" style="111" bestFit="1" customWidth="1"/>
    <col min="2754" max="2754" width="10.42578125" style="111" bestFit="1" customWidth="1"/>
    <col min="2755" max="2755" width="5.140625" style="111" customWidth="1"/>
    <col min="2756" max="2978" width="8.7109375" style="111"/>
    <col min="2979" max="2979" width="3.42578125" style="111" customWidth="1"/>
    <col min="2980" max="2980" width="7" style="111" customWidth="1"/>
    <col min="2981" max="2981" width="25.42578125" style="111" customWidth="1"/>
    <col min="2982" max="2982" width="12" style="111" customWidth="1"/>
    <col min="2983" max="2983" width="12.7109375" style="111" bestFit="1" customWidth="1"/>
    <col min="2984" max="2984" width="7.42578125" style="111" bestFit="1" customWidth="1"/>
    <col min="2985" max="2985" width="7.7109375" style="111" bestFit="1" customWidth="1"/>
    <col min="2986" max="2986" width="15" style="111" customWidth="1"/>
    <col min="2987" max="2987" width="7.42578125" style="111" bestFit="1" customWidth="1"/>
    <col min="2988" max="2988" width="7.7109375" style="111" bestFit="1" customWidth="1"/>
    <col min="2989" max="2989" width="15" style="111" bestFit="1" customWidth="1"/>
    <col min="2990" max="2990" width="7.42578125" style="111" bestFit="1" customWidth="1"/>
    <col min="2991" max="2991" width="7.7109375" style="111" bestFit="1" customWidth="1"/>
    <col min="2992" max="2992" width="9.42578125" style="111" bestFit="1" customWidth="1"/>
    <col min="2993" max="2993" width="8" style="111" bestFit="1" customWidth="1"/>
    <col min="2994" max="2994" width="7.7109375" style="111" bestFit="1" customWidth="1"/>
    <col min="2995" max="2995" width="10.42578125" style="111" bestFit="1" customWidth="1"/>
    <col min="2996" max="2996" width="8" style="111" bestFit="1" customWidth="1"/>
    <col min="2997" max="2997" width="7.7109375" style="111" bestFit="1" customWidth="1"/>
    <col min="2998" max="2998" width="10.42578125" style="111" bestFit="1" customWidth="1"/>
    <col min="2999" max="2999" width="7.42578125" style="111" bestFit="1" customWidth="1"/>
    <col min="3000" max="3000" width="7.7109375" style="111" bestFit="1" customWidth="1"/>
    <col min="3001" max="3001" width="10.42578125" style="111" bestFit="1" customWidth="1"/>
    <col min="3002" max="3002" width="8" style="111" bestFit="1" customWidth="1"/>
    <col min="3003" max="3003" width="7.7109375" style="111" bestFit="1" customWidth="1"/>
    <col min="3004" max="3004" width="10.42578125" style="111" bestFit="1" customWidth="1"/>
    <col min="3005" max="3005" width="7.42578125" style="111" bestFit="1" customWidth="1"/>
    <col min="3006" max="3006" width="7.7109375" style="111" bestFit="1" customWidth="1"/>
    <col min="3007" max="3007" width="10.42578125" style="111" bestFit="1" customWidth="1"/>
    <col min="3008" max="3008" width="7.42578125" style="111" bestFit="1" customWidth="1"/>
    <col min="3009" max="3009" width="7.7109375" style="111" bestFit="1" customWidth="1"/>
    <col min="3010" max="3010" width="10.42578125" style="111" bestFit="1" customWidth="1"/>
    <col min="3011" max="3011" width="5.140625" style="111" customWidth="1"/>
    <col min="3012" max="3234" width="8.7109375" style="111"/>
    <col min="3235" max="3235" width="3.42578125" style="111" customWidth="1"/>
    <col min="3236" max="3236" width="7" style="111" customWidth="1"/>
    <col min="3237" max="3237" width="25.42578125" style="111" customWidth="1"/>
    <col min="3238" max="3238" width="12" style="111" customWidth="1"/>
    <col min="3239" max="3239" width="12.7109375" style="111" bestFit="1" customWidth="1"/>
    <col min="3240" max="3240" width="7.42578125" style="111" bestFit="1" customWidth="1"/>
    <col min="3241" max="3241" width="7.7109375" style="111" bestFit="1" customWidth="1"/>
    <col min="3242" max="3242" width="15" style="111" customWidth="1"/>
    <col min="3243" max="3243" width="7.42578125" style="111" bestFit="1" customWidth="1"/>
    <col min="3244" max="3244" width="7.7109375" style="111" bestFit="1" customWidth="1"/>
    <col min="3245" max="3245" width="15" style="111" bestFit="1" customWidth="1"/>
    <col min="3246" max="3246" width="7.42578125" style="111" bestFit="1" customWidth="1"/>
    <col min="3247" max="3247" width="7.7109375" style="111" bestFit="1" customWidth="1"/>
    <col min="3248" max="3248" width="9.42578125" style="111" bestFit="1" customWidth="1"/>
    <col min="3249" max="3249" width="8" style="111" bestFit="1" customWidth="1"/>
    <col min="3250" max="3250" width="7.7109375" style="111" bestFit="1" customWidth="1"/>
    <col min="3251" max="3251" width="10.42578125" style="111" bestFit="1" customWidth="1"/>
    <col min="3252" max="3252" width="8" style="111" bestFit="1" customWidth="1"/>
    <col min="3253" max="3253" width="7.7109375" style="111" bestFit="1" customWidth="1"/>
    <col min="3254" max="3254" width="10.42578125" style="111" bestFit="1" customWidth="1"/>
    <col min="3255" max="3255" width="7.42578125" style="111" bestFit="1" customWidth="1"/>
    <col min="3256" max="3256" width="7.7109375" style="111" bestFit="1" customWidth="1"/>
    <col min="3257" max="3257" width="10.42578125" style="111" bestFit="1" customWidth="1"/>
    <col min="3258" max="3258" width="8" style="111" bestFit="1" customWidth="1"/>
    <col min="3259" max="3259" width="7.7109375" style="111" bestFit="1" customWidth="1"/>
    <col min="3260" max="3260" width="10.42578125" style="111" bestFit="1" customWidth="1"/>
    <col min="3261" max="3261" width="7.42578125" style="111" bestFit="1" customWidth="1"/>
    <col min="3262" max="3262" width="7.7109375" style="111" bestFit="1" customWidth="1"/>
    <col min="3263" max="3263" width="10.42578125" style="111" bestFit="1" customWidth="1"/>
    <col min="3264" max="3264" width="7.42578125" style="111" bestFit="1" customWidth="1"/>
    <col min="3265" max="3265" width="7.7109375" style="111" bestFit="1" customWidth="1"/>
    <col min="3266" max="3266" width="10.42578125" style="111" bestFit="1" customWidth="1"/>
    <col min="3267" max="3267" width="5.140625" style="111" customWidth="1"/>
    <col min="3268" max="3490" width="8.7109375" style="111"/>
    <col min="3491" max="3491" width="3.42578125" style="111" customWidth="1"/>
    <col min="3492" max="3492" width="7" style="111" customWidth="1"/>
    <col min="3493" max="3493" width="25.42578125" style="111" customWidth="1"/>
    <col min="3494" max="3494" width="12" style="111" customWidth="1"/>
    <col min="3495" max="3495" width="12.7109375" style="111" bestFit="1" customWidth="1"/>
    <col min="3496" max="3496" width="7.42578125" style="111" bestFit="1" customWidth="1"/>
    <col min="3497" max="3497" width="7.7109375" style="111" bestFit="1" customWidth="1"/>
    <col min="3498" max="3498" width="15" style="111" customWidth="1"/>
    <col min="3499" max="3499" width="7.42578125" style="111" bestFit="1" customWidth="1"/>
    <col min="3500" max="3500" width="7.7109375" style="111" bestFit="1" customWidth="1"/>
    <col min="3501" max="3501" width="15" style="111" bestFit="1" customWidth="1"/>
    <col min="3502" max="3502" width="7.42578125" style="111" bestFit="1" customWidth="1"/>
    <col min="3503" max="3503" width="7.7109375" style="111" bestFit="1" customWidth="1"/>
    <col min="3504" max="3504" width="9.42578125" style="111" bestFit="1" customWidth="1"/>
    <col min="3505" max="3505" width="8" style="111" bestFit="1" customWidth="1"/>
    <col min="3506" max="3506" width="7.7109375" style="111" bestFit="1" customWidth="1"/>
    <col min="3507" max="3507" width="10.42578125" style="111" bestFit="1" customWidth="1"/>
    <col min="3508" max="3508" width="8" style="111" bestFit="1" customWidth="1"/>
    <col min="3509" max="3509" width="7.7109375" style="111" bestFit="1" customWidth="1"/>
    <col min="3510" max="3510" width="10.42578125" style="111" bestFit="1" customWidth="1"/>
    <col min="3511" max="3511" width="7.42578125" style="111" bestFit="1" customWidth="1"/>
    <col min="3512" max="3512" width="7.7109375" style="111" bestFit="1" customWidth="1"/>
    <col min="3513" max="3513" width="10.42578125" style="111" bestFit="1" customWidth="1"/>
    <col min="3514" max="3514" width="8" style="111" bestFit="1" customWidth="1"/>
    <col min="3515" max="3515" width="7.7109375" style="111" bestFit="1" customWidth="1"/>
    <col min="3516" max="3516" width="10.42578125" style="111" bestFit="1" customWidth="1"/>
    <col min="3517" max="3517" width="7.42578125" style="111" bestFit="1" customWidth="1"/>
    <col min="3518" max="3518" width="7.7109375" style="111" bestFit="1" customWidth="1"/>
    <col min="3519" max="3519" width="10.42578125" style="111" bestFit="1" customWidth="1"/>
    <col min="3520" max="3520" width="7.42578125" style="111" bestFit="1" customWidth="1"/>
    <col min="3521" max="3521" width="7.7109375" style="111" bestFit="1" customWidth="1"/>
    <col min="3522" max="3522" width="10.42578125" style="111" bestFit="1" customWidth="1"/>
    <col min="3523" max="3523" width="5.140625" style="111" customWidth="1"/>
    <col min="3524" max="3746" width="8.7109375" style="111"/>
    <col min="3747" max="3747" width="3.42578125" style="111" customWidth="1"/>
    <col min="3748" max="3748" width="7" style="111" customWidth="1"/>
    <col min="3749" max="3749" width="25.42578125" style="111" customWidth="1"/>
    <col min="3750" max="3750" width="12" style="111" customWidth="1"/>
    <col min="3751" max="3751" width="12.7109375" style="111" bestFit="1" customWidth="1"/>
    <col min="3752" max="3752" width="7.42578125" style="111" bestFit="1" customWidth="1"/>
    <col min="3753" max="3753" width="7.7109375" style="111" bestFit="1" customWidth="1"/>
    <col min="3754" max="3754" width="15" style="111" customWidth="1"/>
    <col min="3755" max="3755" width="7.42578125" style="111" bestFit="1" customWidth="1"/>
    <col min="3756" max="3756" width="7.7109375" style="111" bestFit="1" customWidth="1"/>
    <col min="3757" max="3757" width="15" style="111" bestFit="1" customWidth="1"/>
    <col min="3758" max="3758" width="7.42578125" style="111" bestFit="1" customWidth="1"/>
    <col min="3759" max="3759" width="7.7109375" style="111" bestFit="1" customWidth="1"/>
    <col min="3760" max="3760" width="9.42578125" style="111" bestFit="1" customWidth="1"/>
    <col min="3761" max="3761" width="8" style="111" bestFit="1" customWidth="1"/>
    <col min="3762" max="3762" width="7.7109375" style="111" bestFit="1" customWidth="1"/>
    <col min="3763" max="3763" width="10.42578125" style="111" bestFit="1" customWidth="1"/>
    <col min="3764" max="3764" width="8" style="111" bestFit="1" customWidth="1"/>
    <col min="3765" max="3765" width="7.7109375" style="111" bestFit="1" customWidth="1"/>
    <col min="3766" max="3766" width="10.42578125" style="111" bestFit="1" customWidth="1"/>
    <col min="3767" max="3767" width="7.42578125" style="111" bestFit="1" customWidth="1"/>
    <col min="3768" max="3768" width="7.7109375" style="111" bestFit="1" customWidth="1"/>
    <col min="3769" max="3769" width="10.42578125" style="111" bestFit="1" customWidth="1"/>
    <col min="3770" max="3770" width="8" style="111" bestFit="1" customWidth="1"/>
    <col min="3771" max="3771" width="7.7109375" style="111" bestFit="1" customWidth="1"/>
    <col min="3772" max="3772" width="10.42578125" style="111" bestFit="1" customWidth="1"/>
    <col min="3773" max="3773" width="7.42578125" style="111" bestFit="1" customWidth="1"/>
    <col min="3774" max="3774" width="7.7109375" style="111" bestFit="1" customWidth="1"/>
    <col min="3775" max="3775" width="10.42578125" style="111" bestFit="1" customWidth="1"/>
    <col min="3776" max="3776" width="7.42578125" style="111" bestFit="1" customWidth="1"/>
    <col min="3777" max="3777" width="7.7109375" style="111" bestFit="1" customWidth="1"/>
    <col min="3778" max="3778" width="10.42578125" style="111" bestFit="1" customWidth="1"/>
    <col min="3779" max="3779" width="5.140625" style="111" customWidth="1"/>
    <col min="3780" max="4002" width="8.7109375" style="111"/>
    <col min="4003" max="4003" width="3.42578125" style="111" customWidth="1"/>
    <col min="4004" max="4004" width="7" style="111" customWidth="1"/>
    <col min="4005" max="4005" width="25.42578125" style="111" customWidth="1"/>
    <col min="4006" max="4006" width="12" style="111" customWidth="1"/>
    <col min="4007" max="4007" width="12.7109375" style="111" bestFit="1" customWidth="1"/>
    <col min="4008" max="4008" width="7.42578125" style="111" bestFit="1" customWidth="1"/>
    <col min="4009" max="4009" width="7.7109375" style="111" bestFit="1" customWidth="1"/>
    <col min="4010" max="4010" width="15" style="111" customWidth="1"/>
    <col min="4011" max="4011" width="7.42578125" style="111" bestFit="1" customWidth="1"/>
    <col min="4012" max="4012" width="7.7109375" style="111" bestFit="1" customWidth="1"/>
    <col min="4013" max="4013" width="15" style="111" bestFit="1" customWidth="1"/>
    <col min="4014" max="4014" width="7.42578125" style="111" bestFit="1" customWidth="1"/>
    <col min="4015" max="4015" width="7.7109375" style="111" bestFit="1" customWidth="1"/>
    <col min="4016" max="4016" width="9.42578125" style="111" bestFit="1" customWidth="1"/>
    <col min="4017" max="4017" width="8" style="111" bestFit="1" customWidth="1"/>
    <col min="4018" max="4018" width="7.7109375" style="111" bestFit="1" customWidth="1"/>
    <col min="4019" max="4019" width="10.42578125" style="111" bestFit="1" customWidth="1"/>
    <col min="4020" max="4020" width="8" style="111" bestFit="1" customWidth="1"/>
    <col min="4021" max="4021" width="7.7109375" style="111" bestFit="1" customWidth="1"/>
    <col min="4022" max="4022" width="10.42578125" style="111" bestFit="1" customWidth="1"/>
    <col min="4023" max="4023" width="7.42578125" style="111" bestFit="1" customWidth="1"/>
    <col min="4024" max="4024" width="7.7109375" style="111" bestFit="1" customWidth="1"/>
    <col min="4025" max="4025" width="10.42578125" style="111" bestFit="1" customWidth="1"/>
    <col min="4026" max="4026" width="8" style="111" bestFit="1" customWidth="1"/>
    <col min="4027" max="4027" width="7.7109375" style="111" bestFit="1" customWidth="1"/>
    <col min="4028" max="4028" width="10.42578125" style="111" bestFit="1" customWidth="1"/>
    <col min="4029" max="4029" width="7.42578125" style="111" bestFit="1" customWidth="1"/>
    <col min="4030" max="4030" width="7.7109375" style="111" bestFit="1" customWidth="1"/>
    <col min="4031" max="4031" width="10.42578125" style="111" bestFit="1" customWidth="1"/>
    <col min="4032" max="4032" width="7.42578125" style="111" bestFit="1" customWidth="1"/>
    <col min="4033" max="4033" width="7.7109375" style="111" bestFit="1" customWidth="1"/>
    <col min="4034" max="4034" width="10.42578125" style="111" bestFit="1" customWidth="1"/>
    <col min="4035" max="4035" width="5.140625" style="111" customWidth="1"/>
    <col min="4036" max="4258" width="8.7109375" style="111"/>
    <col min="4259" max="4259" width="3.42578125" style="111" customWidth="1"/>
    <col min="4260" max="4260" width="7" style="111" customWidth="1"/>
    <col min="4261" max="4261" width="25.42578125" style="111" customWidth="1"/>
    <col min="4262" max="4262" width="12" style="111" customWidth="1"/>
    <col min="4263" max="4263" width="12.7109375" style="111" bestFit="1" customWidth="1"/>
    <col min="4264" max="4264" width="7.42578125" style="111" bestFit="1" customWidth="1"/>
    <col min="4265" max="4265" width="7.7109375" style="111" bestFit="1" customWidth="1"/>
    <col min="4266" max="4266" width="15" style="111" customWidth="1"/>
    <col min="4267" max="4267" width="7.42578125" style="111" bestFit="1" customWidth="1"/>
    <col min="4268" max="4268" width="7.7109375" style="111" bestFit="1" customWidth="1"/>
    <col min="4269" max="4269" width="15" style="111" bestFit="1" customWidth="1"/>
    <col min="4270" max="4270" width="7.42578125" style="111" bestFit="1" customWidth="1"/>
    <col min="4271" max="4271" width="7.7109375" style="111" bestFit="1" customWidth="1"/>
    <col min="4272" max="4272" width="9.42578125" style="111" bestFit="1" customWidth="1"/>
    <col min="4273" max="4273" width="8" style="111" bestFit="1" customWidth="1"/>
    <col min="4274" max="4274" width="7.7109375" style="111" bestFit="1" customWidth="1"/>
    <col min="4275" max="4275" width="10.42578125" style="111" bestFit="1" customWidth="1"/>
    <col min="4276" max="4276" width="8" style="111" bestFit="1" customWidth="1"/>
    <col min="4277" max="4277" width="7.7109375" style="111" bestFit="1" customWidth="1"/>
    <col min="4278" max="4278" width="10.42578125" style="111" bestFit="1" customWidth="1"/>
    <col min="4279" max="4279" width="7.42578125" style="111" bestFit="1" customWidth="1"/>
    <col min="4280" max="4280" width="7.7109375" style="111" bestFit="1" customWidth="1"/>
    <col min="4281" max="4281" width="10.42578125" style="111" bestFit="1" customWidth="1"/>
    <col min="4282" max="4282" width="8" style="111" bestFit="1" customWidth="1"/>
    <col min="4283" max="4283" width="7.7109375" style="111" bestFit="1" customWidth="1"/>
    <col min="4284" max="4284" width="10.42578125" style="111" bestFit="1" customWidth="1"/>
    <col min="4285" max="4285" width="7.42578125" style="111" bestFit="1" customWidth="1"/>
    <col min="4286" max="4286" width="7.7109375" style="111" bestFit="1" customWidth="1"/>
    <col min="4287" max="4287" width="10.42578125" style="111" bestFit="1" customWidth="1"/>
    <col min="4288" max="4288" width="7.42578125" style="111" bestFit="1" customWidth="1"/>
    <col min="4289" max="4289" width="7.7109375" style="111" bestFit="1" customWidth="1"/>
    <col min="4290" max="4290" width="10.42578125" style="111" bestFit="1" customWidth="1"/>
    <col min="4291" max="4291" width="5.140625" style="111" customWidth="1"/>
    <col min="4292" max="4514" width="8.7109375" style="111"/>
    <col min="4515" max="4515" width="3.42578125" style="111" customWidth="1"/>
    <col min="4516" max="4516" width="7" style="111" customWidth="1"/>
    <col min="4517" max="4517" width="25.42578125" style="111" customWidth="1"/>
    <col min="4518" max="4518" width="12" style="111" customWidth="1"/>
    <col min="4519" max="4519" width="12.7109375" style="111" bestFit="1" customWidth="1"/>
    <col min="4520" max="4520" width="7.42578125" style="111" bestFit="1" customWidth="1"/>
    <col min="4521" max="4521" width="7.7109375" style="111" bestFit="1" customWidth="1"/>
    <col min="4522" max="4522" width="15" style="111" customWidth="1"/>
    <col min="4523" max="4523" width="7.42578125" style="111" bestFit="1" customWidth="1"/>
    <col min="4524" max="4524" width="7.7109375" style="111" bestFit="1" customWidth="1"/>
    <col min="4525" max="4525" width="15" style="111" bestFit="1" customWidth="1"/>
    <col min="4526" max="4526" width="7.42578125" style="111" bestFit="1" customWidth="1"/>
    <col min="4527" max="4527" width="7.7109375" style="111" bestFit="1" customWidth="1"/>
    <col min="4528" max="4528" width="9.42578125" style="111" bestFit="1" customWidth="1"/>
    <col min="4529" max="4529" width="8" style="111" bestFit="1" customWidth="1"/>
    <col min="4530" max="4530" width="7.7109375" style="111" bestFit="1" customWidth="1"/>
    <col min="4531" max="4531" width="10.42578125" style="111" bestFit="1" customWidth="1"/>
    <col min="4532" max="4532" width="8" style="111" bestFit="1" customWidth="1"/>
    <col min="4533" max="4533" width="7.7109375" style="111" bestFit="1" customWidth="1"/>
    <col min="4534" max="4534" width="10.42578125" style="111" bestFit="1" customWidth="1"/>
    <col min="4535" max="4535" width="7.42578125" style="111" bestFit="1" customWidth="1"/>
    <col min="4536" max="4536" width="7.7109375" style="111" bestFit="1" customWidth="1"/>
    <col min="4537" max="4537" width="10.42578125" style="111" bestFit="1" customWidth="1"/>
    <col min="4538" max="4538" width="8" style="111" bestFit="1" customWidth="1"/>
    <col min="4539" max="4539" width="7.7109375" style="111" bestFit="1" customWidth="1"/>
    <col min="4540" max="4540" width="10.42578125" style="111" bestFit="1" customWidth="1"/>
    <col min="4541" max="4541" width="7.42578125" style="111" bestFit="1" customWidth="1"/>
    <col min="4542" max="4542" width="7.7109375" style="111" bestFit="1" customWidth="1"/>
    <col min="4543" max="4543" width="10.42578125" style="111" bestFit="1" customWidth="1"/>
    <col min="4544" max="4544" width="7.42578125" style="111" bestFit="1" customWidth="1"/>
    <col min="4545" max="4545" width="7.7109375" style="111" bestFit="1" customWidth="1"/>
    <col min="4546" max="4546" width="10.42578125" style="111" bestFit="1" customWidth="1"/>
    <col min="4547" max="4547" width="5.140625" style="111" customWidth="1"/>
    <col min="4548" max="4770" width="8.7109375" style="111"/>
    <col min="4771" max="4771" width="3.42578125" style="111" customWidth="1"/>
    <col min="4772" max="4772" width="7" style="111" customWidth="1"/>
    <col min="4773" max="4773" width="25.42578125" style="111" customWidth="1"/>
    <col min="4774" max="4774" width="12" style="111" customWidth="1"/>
    <col min="4775" max="4775" width="12.7109375" style="111" bestFit="1" customWidth="1"/>
    <col min="4776" max="4776" width="7.42578125" style="111" bestFit="1" customWidth="1"/>
    <col min="4777" max="4777" width="7.7109375" style="111" bestFit="1" customWidth="1"/>
    <col min="4778" max="4778" width="15" style="111" customWidth="1"/>
    <col min="4779" max="4779" width="7.42578125" style="111" bestFit="1" customWidth="1"/>
    <col min="4780" max="4780" width="7.7109375" style="111" bestFit="1" customWidth="1"/>
    <col min="4781" max="4781" width="15" style="111" bestFit="1" customWidth="1"/>
    <col min="4782" max="4782" width="7.42578125" style="111" bestFit="1" customWidth="1"/>
    <col min="4783" max="4783" width="7.7109375" style="111" bestFit="1" customWidth="1"/>
    <col min="4784" max="4784" width="9.42578125" style="111" bestFit="1" customWidth="1"/>
    <col min="4785" max="4785" width="8" style="111" bestFit="1" customWidth="1"/>
    <col min="4786" max="4786" width="7.7109375" style="111" bestFit="1" customWidth="1"/>
    <col min="4787" max="4787" width="10.42578125" style="111" bestFit="1" customWidth="1"/>
    <col min="4788" max="4788" width="8" style="111" bestFit="1" customWidth="1"/>
    <col min="4789" max="4789" width="7.7109375" style="111" bestFit="1" customWidth="1"/>
    <col min="4790" max="4790" width="10.42578125" style="111" bestFit="1" customWidth="1"/>
    <col min="4791" max="4791" width="7.42578125" style="111" bestFit="1" customWidth="1"/>
    <col min="4792" max="4792" width="7.7109375" style="111" bestFit="1" customWidth="1"/>
    <col min="4793" max="4793" width="10.42578125" style="111" bestFit="1" customWidth="1"/>
    <col min="4794" max="4794" width="8" style="111" bestFit="1" customWidth="1"/>
    <col min="4795" max="4795" width="7.7109375" style="111" bestFit="1" customWidth="1"/>
    <col min="4796" max="4796" width="10.42578125" style="111" bestFit="1" customWidth="1"/>
    <col min="4797" max="4797" width="7.42578125" style="111" bestFit="1" customWidth="1"/>
    <col min="4798" max="4798" width="7.7109375" style="111" bestFit="1" customWidth="1"/>
    <col min="4799" max="4799" width="10.42578125" style="111" bestFit="1" customWidth="1"/>
    <col min="4800" max="4800" width="7.42578125" style="111" bestFit="1" customWidth="1"/>
    <col min="4801" max="4801" width="7.7109375" style="111" bestFit="1" customWidth="1"/>
    <col min="4802" max="4802" width="10.42578125" style="111" bestFit="1" customWidth="1"/>
    <col min="4803" max="4803" width="5.140625" style="111" customWidth="1"/>
    <col min="4804" max="5026" width="8.7109375" style="111"/>
    <col min="5027" max="5027" width="3.42578125" style="111" customWidth="1"/>
    <col min="5028" max="5028" width="7" style="111" customWidth="1"/>
    <col min="5029" max="5029" width="25.42578125" style="111" customWidth="1"/>
    <col min="5030" max="5030" width="12" style="111" customWidth="1"/>
    <col min="5031" max="5031" width="12.7109375" style="111" bestFit="1" customWidth="1"/>
    <col min="5032" max="5032" width="7.42578125" style="111" bestFit="1" customWidth="1"/>
    <col min="5033" max="5033" width="7.7109375" style="111" bestFit="1" customWidth="1"/>
    <col min="5034" max="5034" width="15" style="111" customWidth="1"/>
    <col min="5035" max="5035" width="7.42578125" style="111" bestFit="1" customWidth="1"/>
    <col min="5036" max="5036" width="7.7109375" style="111" bestFit="1" customWidth="1"/>
    <col min="5037" max="5037" width="15" style="111" bestFit="1" customWidth="1"/>
    <col min="5038" max="5038" width="7.42578125" style="111" bestFit="1" customWidth="1"/>
    <col min="5039" max="5039" width="7.7109375" style="111" bestFit="1" customWidth="1"/>
    <col min="5040" max="5040" width="9.42578125" style="111" bestFit="1" customWidth="1"/>
    <col min="5041" max="5041" width="8" style="111" bestFit="1" customWidth="1"/>
    <col min="5042" max="5042" width="7.7109375" style="111" bestFit="1" customWidth="1"/>
    <col min="5043" max="5043" width="10.42578125" style="111" bestFit="1" customWidth="1"/>
    <col min="5044" max="5044" width="8" style="111" bestFit="1" customWidth="1"/>
    <col min="5045" max="5045" width="7.7109375" style="111" bestFit="1" customWidth="1"/>
    <col min="5046" max="5046" width="10.42578125" style="111" bestFit="1" customWidth="1"/>
    <col min="5047" max="5047" width="7.42578125" style="111" bestFit="1" customWidth="1"/>
    <col min="5048" max="5048" width="7.7109375" style="111" bestFit="1" customWidth="1"/>
    <col min="5049" max="5049" width="10.42578125" style="111" bestFit="1" customWidth="1"/>
    <col min="5050" max="5050" width="8" style="111" bestFit="1" customWidth="1"/>
    <col min="5051" max="5051" width="7.7109375" style="111" bestFit="1" customWidth="1"/>
    <col min="5052" max="5052" width="10.42578125" style="111" bestFit="1" customWidth="1"/>
    <col min="5053" max="5053" width="7.42578125" style="111" bestFit="1" customWidth="1"/>
    <col min="5054" max="5054" width="7.7109375" style="111" bestFit="1" customWidth="1"/>
    <col min="5055" max="5055" width="10.42578125" style="111" bestFit="1" customWidth="1"/>
    <col min="5056" max="5056" width="7.42578125" style="111" bestFit="1" customWidth="1"/>
    <col min="5057" max="5057" width="7.7109375" style="111" bestFit="1" customWidth="1"/>
    <col min="5058" max="5058" width="10.42578125" style="111" bestFit="1" customWidth="1"/>
    <col min="5059" max="5059" width="5.140625" style="111" customWidth="1"/>
    <col min="5060" max="5282" width="8.7109375" style="111"/>
    <col min="5283" max="5283" width="3.42578125" style="111" customWidth="1"/>
    <col min="5284" max="5284" width="7" style="111" customWidth="1"/>
    <col min="5285" max="5285" width="25.42578125" style="111" customWidth="1"/>
    <col min="5286" max="5286" width="12" style="111" customWidth="1"/>
    <col min="5287" max="5287" width="12.7109375" style="111" bestFit="1" customWidth="1"/>
    <col min="5288" max="5288" width="7.42578125" style="111" bestFit="1" customWidth="1"/>
    <col min="5289" max="5289" width="7.7109375" style="111" bestFit="1" customWidth="1"/>
    <col min="5290" max="5290" width="15" style="111" customWidth="1"/>
    <col min="5291" max="5291" width="7.42578125" style="111" bestFit="1" customWidth="1"/>
    <col min="5292" max="5292" width="7.7109375" style="111" bestFit="1" customWidth="1"/>
    <col min="5293" max="5293" width="15" style="111" bestFit="1" customWidth="1"/>
    <col min="5294" max="5294" width="7.42578125" style="111" bestFit="1" customWidth="1"/>
    <col min="5295" max="5295" width="7.7109375" style="111" bestFit="1" customWidth="1"/>
    <col min="5296" max="5296" width="9.42578125" style="111" bestFit="1" customWidth="1"/>
    <col min="5297" max="5297" width="8" style="111" bestFit="1" customWidth="1"/>
    <col min="5298" max="5298" width="7.7109375" style="111" bestFit="1" customWidth="1"/>
    <col min="5299" max="5299" width="10.42578125" style="111" bestFit="1" customWidth="1"/>
    <col min="5300" max="5300" width="8" style="111" bestFit="1" customWidth="1"/>
    <col min="5301" max="5301" width="7.7109375" style="111" bestFit="1" customWidth="1"/>
    <col min="5302" max="5302" width="10.42578125" style="111" bestFit="1" customWidth="1"/>
    <col min="5303" max="5303" width="7.42578125" style="111" bestFit="1" customWidth="1"/>
    <col min="5304" max="5304" width="7.7109375" style="111" bestFit="1" customWidth="1"/>
    <col min="5305" max="5305" width="10.42578125" style="111" bestFit="1" customWidth="1"/>
    <col min="5306" max="5306" width="8" style="111" bestFit="1" customWidth="1"/>
    <col min="5307" max="5307" width="7.7109375" style="111" bestFit="1" customWidth="1"/>
    <col min="5308" max="5308" width="10.42578125" style="111" bestFit="1" customWidth="1"/>
    <col min="5309" max="5309" width="7.42578125" style="111" bestFit="1" customWidth="1"/>
    <col min="5310" max="5310" width="7.7109375" style="111" bestFit="1" customWidth="1"/>
    <col min="5311" max="5311" width="10.42578125" style="111" bestFit="1" customWidth="1"/>
    <col min="5312" max="5312" width="7.42578125" style="111" bestFit="1" customWidth="1"/>
    <col min="5313" max="5313" width="7.7109375" style="111" bestFit="1" customWidth="1"/>
    <col min="5314" max="5314" width="10.42578125" style="111" bestFit="1" customWidth="1"/>
    <col min="5315" max="5315" width="5.140625" style="111" customWidth="1"/>
    <col min="5316" max="5538" width="8.7109375" style="111"/>
    <col min="5539" max="5539" width="3.42578125" style="111" customWidth="1"/>
    <col min="5540" max="5540" width="7" style="111" customWidth="1"/>
    <col min="5541" max="5541" width="25.42578125" style="111" customWidth="1"/>
    <col min="5542" max="5542" width="12" style="111" customWidth="1"/>
    <col min="5543" max="5543" width="12.7109375" style="111" bestFit="1" customWidth="1"/>
    <col min="5544" max="5544" width="7.42578125" style="111" bestFit="1" customWidth="1"/>
    <col min="5545" max="5545" width="7.7109375" style="111" bestFit="1" customWidth="1"/>
    <col min="5546" max="5546" width="15" style="111" customWidth="1"/>
    <col min="5547" max="5547" width="7.42578125" style="111" bestFit="1" customWidth="1"/>
    <col min="5548" max="5548" width="7.7109375" style="111" bestFit="1" customWidth="1"/>
    <col min="5549" max="5549" width="15" style="111" bestFit="1" customWidth="1"/>
    <col min="5550" max="5550" width="7.42578125" style="111" bestFit="1" customWidth="1"/>
    <col min="5551" max="5551" width="7.7109375" style="111" bestFit="1" customWidth="1"/>
    <col min="5552" max="5552" width="9.42578125" style="111" bestFit="1" customWidth="1"/>
    <col min="5553" max="5553" width="8" style="111" bestFit="1" customWidth="1"/>
    <col min="5554" max="5554" width="7.7109375" style="111" bestFit="1" customWidth="1"/>
    <col min="5555" max="5555" width="10.42578125" style="111" bestFit="1" customWidth="1"/>
    <col min="5556" max="5556" width="8" style="111" bestFit="1" customWidth="1"/>
    <col min="5557" max="5557" width="7.7109375" style="111" bestFit="1" customWidth="1"/>
    <col min="5558" max="5558" width="10.42578125" style="111" bestFit="1" customWidth="1"/>
    <col min="5559" max="5559" width="7.42578125" style="111" bestFit="1" customWidth="1"/>
    <col min="5560" max="5560" width="7.7109375" style="111" bestFit="1" customWidth="1"/>
    <col min="5561" max="5561" width="10.42578125" style="111" bestFit="1" customWidth="1"/>
    <col min="5562" max="5562" width="8" style="111" bestFit="1" customWidth="1"/>
    <col min="5563" max="5563" width="7.7109375" style="111" bestFit="1" customWidth="1"/>
    <col min="5564" max="5564" width="10.42578125" style="111" bestFit="1" customWidth="1"/>
    <col min="5565" max="5565" width="7.42578125" style="111" bestFit="1" customWidth="1"/>
    <col min="5566" max="5566" width="7.7109375" style="111" bestFit="1" customWidth="1"/>
    <col min="5567" max="5567" width="10.42578125" style="111" bestFit="1" customWidth="1"/>
    <col min="5568" max="5568" width="7.42578125" style="111" bestFit="1" customWidth="1"/>
    <col min="5569" max="5569" width="7.7109375" style="111" bestFit="1" customWidth="1"/>
    <col min="5570" max="5570" width="10.42578125" style="111" bestFit="1" customWidth="1"/>
    <col min="5571" max="5571" width="5.140625" style="111" customWidth="1"/>
    <col min="5572" max="5794" width="8.7109375" style="111"/>
    <col min="5795" max="5795" width="3.42578125" style="111" customWidth="1"/>
    <col min="5796" max="5796" width="7" style="111" customWidth="1"/>
    <col min="5797" max="5797" width="25.42578125" style="111" customWidth="1"/>
    <col min="5798" max="5798" width="12" style="111" customWidth="1"/>
    <col min="5799" max="5799" width="12.7109375" style="111" bestFit="1" customWidth="1"/>
    <col min="5800" max="5800" width="7.42578125" style="111" bestFit="1" customWidth="1"/>
    <col min="5801" max="5801" width="7.7109375" style="111" bestFit="1" customWidth="1"/>
    <col min="5802" max="5802" width="15" style="111" customWidth="1"/>
    <col min="5803" max="5803" width="7.42578125" style="111" bestFit="1" customWidth="1"/>
    <col min="5804" max="5804" width="7.7109375" style="111" bestFit="1" customWidth="1"/>
    <col min="5805" max="5805" width="15" style="111" bestFit="1" customWidth="1"/>
    <col min="5806" max="5806" width="7.42578125" style="111" bestFit="1" customWidth="1"/>
    <col min="5807" max="5807" width="7.7109375" style="111" bestFit="1" customWidth="1"/>
    <col min="5808" max="5808" width="9.42578125" style="111" bestFit="1" customWidth="1"/>
    <col min="5809" max="5809" width="8" style="111" bestFit="1" customWidth="1"/>
    <col min="5810" max="5810" width="7.7109375" style="111" bestFit="1" customWidth="1"/>
    <col min="5811" max="5811" width="10.42578125" style="111" bestFit="1" customWidth="1"/>
    <col min="5812" max="5812" width="8" style="111" bestFit="1" customWidth="1"/>
    <col min="5813" max="5813" width="7.7109375" style="111" bestFit="1" customWidth="1"/>
    <col min="5814" max="5814" width="10.42578125" style="111" bestFit="1" customWidth="1"/>
    <col min="5815" max="5815" width="7.42578125" style="111" bestFit="1" customWidth="1"/>
    <col min="5816" max="5816" width="7.7109375" style="111" bestFit="1" customWidth="1"/>
    <col min="5817" max="5817" width="10.42578125" style="111" bestFit="1" customWidth="1"/>
    <col min="5818" max="5818" width="8" style="111" bestFit="1" customWidth="1"/>
    <col min="5819" max="5819" width="7.7109375" style="111" bestFit="1" customWidth="1"/>
    <col min="5820" max="5820" width="10.42578125" style="111" bestFit="1" customWidth="1"/>
    <col min="5821" max="5821" width="7.42578125" style="111" bestFit="1" customWidth="1"/>
    <col min="5822" max="5822" width="7.7109375" style="111" bestFit="1" customWidth="1"/>
    <col min="5823" max="5823" width="10.42578125" style="111" bestFit="1" customWidth="1"/>
    <col min="5824" max="5824" width="7.42578125" style="111" bestFit="1" customWidth="1"/>
    <col min="5825" max="5825" width="7.7109375" style="111" bestFit="1" customWidth="1"/>
    <col min="5826" max="5826" width="10.42578125" style="111" bestFit="1" customWidth="1"/>
    <col min="5827" max="5827" width="5.140625" style="111" customWidth="1"/>
    <col min="5828" max="6050" width="8.7109375" style="111"/>
    <col min="6051" max="6051" width="3.42578125" style="111" customWidth="1"/>
    <col min="6052" max="6052" width="7" style="111" customWidth="1"/>
    <col min="6053" max="6053" width="25.42578125" style="111" customWidth="1"/>
    <col min="6054" max="6054" width="12" style="111" customWidth="1"/>
    <col min="6055" max="6055" width="12.7109375" style="111" bestFit="1" customWidth="1"/>
    <col min="6056" max="6056" width="7.42578125" style="111" bestFit="1" customWidth="1"/>
    <col min="6057" max="6057" width="7.7109375" style="111" bestFit="1" customWidth="1"/>
    <col min="6058" max="6058" width="15" style="111" customWidth="1"/>
    <col min="6059" max="6059" width="7.42578125" style="111" bestFit="1" customWidth="1"/>
    <col min="6060" max="6060" width="7.7109375" style="111" bestFit="1" customWidth="1"/>
    <col min="6061" max="6061" width="15" style="111" bestFit="1" customWidth="1"/>
    <col min="6062" max="6062" width="7.42578125" style="111" bestFit="1" customWidth="1"/>
    <col min="6063" max="6063" width="7.7109375" style="111" bestFit="1" customWidth="1"/>
    <col min="6064" max="6064" width="9.42578125" style="111" bestFit="1" customWidth="1"/>
    <col min="6065" max="6065" width="8" style="111" bestFit="1" customWidth="1"/>
    <col min="6066" max="6066" width="7.7109375" style="111" bestFit="1" customWidth="1"/>
    <col min="6067" max="6067" width="10.42578125" style="111" bestFit="1" customWidth="1"/>
    <col min="6068" max="6068" width="8" style="111" bestFit="1" customWidth="1"/>
    <col min="6069" max="6069" width="7.7109375" style="111" bestFit="1" customWidth="1"/>
    <col min="6070" max="6070" width="10.42578125" style="111" bestFit="1" customWidth="1"/>
    <col min="6071" max="6071" width="7.42578125" style="111" bestFit="1" customWidth="1"/>
    <col min="6072" max="6072" width="7.7109375" style="111" bestFit="1" customWidth="1"/>
    <col min="6073" max="6073" width="10.42578125" style="111" bestFit="1" customWidth="1"/>
    <col min="6074" max="6074" width="8" style="111" bestFit="1" customWidth="1"/>
    <col min="6075" max="6075" width="7.7109375" style="111" bestFit="1" customWidth="1"/>
    <col min="6076" max="6076" width="10.42578125" style="111" bestFit="1" customWidth="1"/>
    <col min="6077" max="6077" width="7.42578125" style="111" bestFit="1" customWidth="1"/>
    <col min="6078" max="6078" width="7.7109375" style="111" bestFit="1" customWidth="1"/>
    <col min="6079" max="6079" width="10.42578125" style="111" bestFit="1" customWidth="1"/>
    <col min="6080" max="6080" width="7.42578125" style="111" bestFit="1" customWidth="1"/>
    <col min="6081" max="6081" width="7.7109375" style="111" bestFit="1" customWidth="1"/>
    <col min="6082" max="6082" width="10.42578125" style="111" bestFit="1" customWidth="1"/>
    <col min="6083" max="6083" width="5.140625" style="111" customWidth="1"/>
    <col min="6084" max="6306" width="8.7109375" style="111"/>
    <col min="6307" max="6307" width="3.42578125" style="111" customWidth="1"/>
    <col min="6308" max="6308" width="7" style="111" customWidth="1"/>
    <col min="6309" max="6309" width="25.42578125" style="111" customWidth="1"/>
    <col min="6310" max="6310" width="12" style="111" customWidth="1"/>
    <col min="6311" max="6311" width="12.7109375" style="111" bestFit="1" customWidth="1"/>
    <col min="6312" max="6312" width="7.42578125" style="111" bestFit="1" customWidth="1"/>
    <col min="6313" max="6313" width="7.7109375" style="111" bestFit="1" customWidth="1"/>
    <col min="6314" max="6314" width="15" style="111" customWidth="1"/>
    <col min="6315" max="6315" width="7.42578125" style="111" bestFit="1" customWidth="1"/>
    <col min="6316" max="6316" width="7.7109375" style="111" bestFit="1" customWidth="1"/>
    <col min="6317" max="6317" width="15" style="111" bestFit="1" customWidth="1"/>
    <col min="6318" max="6318" width="7.42578125" style="111" bestFit="1" customWidth="1"/>
    <col min="6319" max="6319" width="7.7109375" style="111" bestFit="1" customWidth="1"/>
    <col min="6320" max="6320" width="9.42578125" style="111" bestFit="1" customWidth="1"/>
    <col min="6321" max="6321" width="8" style="111" bestFit="1" customWidth="1"/>
    <col min="6322" max="6322" width="7.7109375" style="111" bestFit="1" customWidth="1"/>
    <col min="6323" max="6323" width="10.42578125" style="111" bestFit="1" customWidth="1"/>
    <col min="6324" max="6324" width="8" style="111" bestFit="1" customWidth="1"/>
    <col min="6325" max="6325" width="7.7109375" style="111" bestFit="1" customWidth="1"/>
    <col min="6326" max="6326" width="10.42578125" style="111" bestFit="1" customWidth="1"/>
    <col min="6327" max="6327" width="7.42578125" style="111" bestFit="1" customWidth="1"/>
    <col min="6328" max="6328" width="7.7109375" style="111" bestFit="1" customWidth="1"/>
    <col min="6329" max="6329" width="10.42578125" style="111" bestFit="1" customWidth="1"/>
    <col min="6330" max="6330" width="8" style="111" bestFit="1" customWidth="1"/>
    <col min="6331" max="6331" width="7.7109375" style="111" bestFit="1" customWidth="1"/>
    <col min="6332" max="6332" width="10.42578125" style="111" bestFit="1" customWidth="1"/>
    <col min="6333" max="6333" width="7.42578125" style="111" bestFit="1" customWidth="1"/>
    <col min="6334" max="6334" width="7.7109375" style="111" bestFit="1" customWidth="1"/>
    <col min="6335" max="6335" width="10.42578125" style="111" bestFit="1" customWidth="1"/>
    <col min="6336" max="6336" width="7.42578125" style="111" bestFit="1" customWidth="1"/>
    <col min="6337" max="6337" width="7.7109375" style="111" bestFit="1" customWidth="1"/>
    <col min="6338" max="6338" width="10.42578125" style="111" bestFit="1" customWidth="1"/>
    <col min="6339" max="6339" width="5.140625" style="111" customWidth="1"/>
    <col min="6340" max="6562" width="8.7109375" style="111"/>
    <col min="6563" max="6563" width="3.42578125" style="111" customWidth="1"/>
    <col min="6564" max="6564" width="7" style="111" customWidth="1"/>
    <col min="6565" max="6565" width="25.42578125" style="111" customWidth="1"/>
    <col min="6566" max="6566" width="12" style="111" customWidth="1"/>
    <col min="6567" max="6567" width="12.7109375" style="111" bestFit="1" customWidth="1"/>
    <col min="6568" max="6568" width="7.42578125" style="111" bestFit="1" customWidth="1"/>
    <col min="6569" max="6569" width="7.7109375" style="111" bestFit="1" customWidth="1"/>
    <col min="6570" max="6570" width="15" style="111" customWidth="1"/>
    <col min="6571" max="6571" width="7.42578125" style="111" bestFit="1" customWidth="1"/>
    <col min="6572" max="6572" width="7.7109375" style="111" bestFit="1" customWidth="1"/>
    <col min="6573" max="6573" width="15" style="111" bestFit="1" customWidth="1"/>
    <col min="6574" max="6574" width="7.42578125" style="111" bestFit="1" customWidth="1"/>
    <col min="6575" max="6575" width="7.7109375" style="111" bestFit="1" customWidth="1"/>
    <col min="6576" max="6576" width="9.42578125" style="111" bestFit="1" customWidth="1"/>
    <col min="6577" max="6577" width="8" style="111" bestFit="1" customWidth="1"/>
    <col min="6578" max="6578" width="7.7109375" style="111" bestFit="1" customWidth="1"/>
    <col min="6579" max="6579" width="10.42578125" style="111" bestFit="1" customWidth="1"/>
    <col min="6580" max="6580" width="8" style="111" bestFit="1" customWidth="1"/>
    <col min="6581" max="6581" width="7.7109375" style="111" bestFit="1" customWidth="1"/>
    <col min="6582" max="6582" width="10.42578125" style="111" bestFit="1" customWidth="1"/>
    <col min="6583" max="6583" width="7.42578125" style="111" bestFit="1" customWidth="1"/>
    <col min="6584" max="6584" width="7.7109375" style="111" bestFit="1" customWidth="1"/>
    <col min="6585" max="6585" width="10.42578125" style="111" bestFit="1" customWidth="1"/>
    <col min="6586" max="6586" width="8" style="111" bestFit="1" customWidth="1"/>
    <col min="6587" max="6587" width="7.7109375" style="111" bestFit="1" customWidth="1"/>
    <col min="6588" max="6588" width="10.42578125" style="111" bestFit="1" customWidth="1"/>
    <col min="6589" max="6589" width="7.42578125" style="111" bestFit="1" customWidth="1"/>
    <col min="6590" max="6590" width="7.7109375" style="111" bestFit="1" customWidth="1"/>
    <col min="6591" max="6591" width="10.42578125" style="111" bestFit="1" customWidth="1"/>
    <col min="6592" max="6592" width="7.42578125" style="111" bestFit="1" customWidth="1"/>
    <col min="6593" max="6593" width="7.7109375" style="111" bestFit="1" customWidth="1"/>
    <col min="6594" max="6594" width="10.42578125" style="111" bestFit="1" customWidth="1"/>
    <col min="6595" max="6595" width="5.140625" style="111" customWidth="1"/>
    <col min="6596" max="6818" width="8.7109375" style="111"/>
    <col min="6819" max="6819" width="3.42578125" style="111" customWidth="1"/>
    <col min="6820" max="6820" width="7" style="111" customWidth="1"/>
    <col min="6821" max="6821" width="25.42578125" style="111" customWidth="1"/>
    <col min="6822" max="6822" width="12" style="111" customWidth="1"/>
    <col min="6823" max="6823" width="12.7109375" style="111" bestFit="1" customWidth="1"/>
    <col min="6824" max="6824" width="7.42578125" style="111" bestFit="1" customWidth="1"/>
    <col min="6825" max="6825" width="7.7109375" style="111" bestFit="1" customWidth="1"/>
    <col min="6826" max="6826" width="15" style="111" customWidth="1"/>
    <col min="6827" max="6827" width="7.42578125" style="111" bestFit="1" customWidth="1"/>
    <col min="6828" max="6828" width="7.7109375" style="111" bestFit="1" customWidth="1"/>
    <col min="6829" max="6829" width="15" style="111" bestFit="1" customWidth="1"/>
    <col min="6830" max="6830" width="7.42578125" style="111" bestFit="1" customWidth="1"/>
    <col min="6831" max="6831" width="7.7109375" style="111" bestFit="1" customWidth="1"/>
    <col min="6832" max="6832" width="9.42578125" style="111" bestFit="1" customWidth="1"/>
    <col min="6833" max="6833" width="8" style="111" bestFit="1" customWidth="1"/>
    <col min="6834" max="6834" width="7.7109375" style="111" bestFit="1" customWidth="1"/>
    <col min="6835" max="6835" width="10.42578125" style="111" bestFit="1" customWidth="1"/>
    <col min="6836" max="6836" width="8" style="111" bestFit="1" customWidth="1"/>
    <col min="6837" max="6837" width="7.7109375" style="111" bestFit="1" customWidth="1"/>
    <col min="6838" max="6838" width="10.42578125" style="111" bestFit="1" customWidth="1"/>
    <col min="6839" max="6839" width="7.42578125" style="111" bestFit="1" customWidth="1"/>
    <col min="6840" max="6840" width="7.7109375" style="111" bestFit="1" customWidth="1"/>
    <col min="6841" max="6841" width="10.42578125" style="111" bestFit="1" customWidth="1"/>
    <col min="6842" max="6842" width="8" style="111" bestFit="1" customWidth="1"/>
    <col min="6843" max="6843" width="7.7109375" style="111" bestFit="1" customWidth="1"/>
    <col min="6844" max="6844" width="10.42578125" style="111" bestFit="1" customWidth="1"/>
    <col min="6845" max="6845" width="7.42578125" style="111" bestFit="1" customWidth="1"/>
    <col min="6846" max="6846" width="7.7109375" style="111" bestFit="1" customWidth="1"/>
    <col min="6847" max="6847" width="10.42578125" style="111" bestFit="1" customWidth="1"/>
    <col min="6848" max="6848" width="7.42578125" style="111" bestFit="1" customWidth="1"/>
    <col min="6849" max="6849" width="7.7109375" style="111" bestFit="1" customWidth="1"/>
    <col min="6850" max="6850" width="10.42578125" style="111" bestFit="1" customWidth="1"/>
    <col min="6851" max="6851" width="5.140625" style="111" customWidth="1"/>
    <col min="6852" max="7074" width="8.7109375" style="111"/>
    <col min="7075" max="7075" width="3.42578125" style="111" customWidth="1"/>
    <col min="7076" max="7076" width="7" style="111" customWidth="1"/>
    <col min="7077" max="7077" width="25.42578125" style="111" customWidth="1"/>
    <col min="7078" max="7078" width="12" style="111" customWidth="1"/>
    <col min="7079" max="7079" width="12.7109375" style="111" bestFit="1" customWidth="1"/>
    <col min="7080" max="7080" width="7.42578125" style="111" bestFit="1" customWidth="1"/>
    <col min="7081" max="7081" width="7.7109375" style="111" bestFit="1" customWidth="1"/>
    <col min="7082" max="7082" width="15" style="111" customWidth="1"/>
    <col min="7083" max="7083" width="7.42578125" style="111" bestFit="1" customWidth="1"/>
    <col min="7084" max="7084" width="7.7109375" style="111" bestFit="1" customWidth="1"/>
    <col min="7085" max="7085" width="15" style="111" bestFit="1" customWidth="1"/>
    <col min="7086" max="7086" width="7.42578125" style="111" bestFit="1" customWidth="1"/>
    <col min="7087" max="7087" width="7.7109375" style="111" bestFit="1" customWidth="1"/>
    <col min="7088" max="7088" width="9.42578125" style="111" bestFit="1" customWidth="1"/>
    <col min="7089" max="7089" width="8" style="111" bestFit="1" customWidth="1"/>
    <col min="7090" max="7090" width="7.7109375" style="111" bestFit="1" customWidth="1"/>
    <col min="7091" max="7091" width="10.42578125" style="111" bestFit="1" customWidth="1"/>
    <col min="7092" max="7092" width="8" style="111" bestFit="1" customWidth="1"/>
    <col min="7093" max="7093" width="7.7109375" style="111" bestFit="1" customWidth="1"/>
    <col min="7094" max="7094" width="10.42578125" style="111" bestFit="1" customWidth="1"/>
    <col min="7095" max="7095" width="7.42578125" style="111" bestFit="1" customWidth="1"/>
    <col min="7096" max="7096" width="7.7109375" style="111" bestFit="1" customWidth="1"/>
    <col min="7097" max="7097" width="10.42578125" style="111" bestFit="1" customWidth="1"/>
    <col min="7098" max="7098" width="8" style="111" bestFit="1" customWidth="1"/>
    <col min="7099" max="7099" width="7.7109375" style="111" bestFit="1" customWidth="1"/>
    <col min="7100" max="7100" width="10.42578125" style="111" bestFit="1" customWidth="1"/>
    <col min="7101" max="7101" width="7.42578125" style="111" bestFit="1" customWidth="1"/>
    <col min="7102" max="7102" width="7.7109375" style="111" bestFit="1" customWidth="1"/>
    <col min="7103" max="7103" width="10.42578125" style="111" bestFit="1" customWidth="1"/>
    <col min="7104" max="7104" width="7.42578125" style="111" bestFit="1" customWidth="1"/>
    <col min="7105" max="7105" width="7.7109375" style="111" bestFit="1" customWidth="1"/>
    <col min="7106" max="7106" width="10.42578125" style="111" bestFit="1" customWidth="1"/>
    <col min="7107" max="7107" width="5.140625" style="111" customWidth="1"/>
    <col min="7108" max="7330" width="8.7109375" style="111"/>
    <col min="7331" max="7331" width="3.42578125" style="111" customWidth="1"/>
    <col min="7332" max="7332" width="7" style="111" customWidth="1"/>
    <col min="7333" max="7333" width="25.42578125" style="111" customWidth="1"/>
    <col min="7334" max="7334" width="12" style="111" customWidth="1"/>
    <col min="7335" max="7335" width="12.7109375" style="111" bestFit="1" customWidth="1"/>
    <col min="7336" max="7336" width="7.42578125" style="111" bestFit="1" customWidth="1"/>
    <col min="7337" max="7337" width="7.7109375" style="111" bestFit="1" customWidth="1"/>
    <col min="7338" max="7338" width="15" style="111" customWidth="1"/>
    <col min="7339" max="7339" width="7.42578125" style="111" bestFit="1" customWidth="1"/>
    <col min="7340" max="7340" width="7.7109375" style="111" bestFit="1" customWidth="1"/>
    <col min="7341" max="7341" width="15" style="111" bestFit="1" customWidth="1"/>
    <col min="7342" max="7342" width="7.42578125" style="111" bestFit="1" customWidth="1"/>
    <col min="7343" max="7343" width="7.7109375" style="111" bestFit="1" customWidth="1"/>
    <col min="7344" max="7344" width="9.42578125" style="111" bestFit="1" customWidth="1"/>
    <col min="7345" max="7345" width="8" style="111" bestFit="1" customWidth="1"/>
    <col min="7346" max="7346" width="7.7109375" style="111" bestFit="1" customWidth="1"/>
    <col min="7347" max="7347" width="10.42578125" style="111" bestFit="1" customWidth="1"/>
    <col min="7348" max="7348" width="8" style="111" bestFit="1" customWidth="1"/>
    <col min="7349" max="7349" width="7.7109375" style="111" bestFit="1" customWidth="1"/>
    <col min="7350" max="7350" width="10.42578125" style="111" bestFit="1" customWidth="1"/>
    <col min="7351" max="7351" width="7.42578125" style="111" bestFit="1" customWidth="1"/>
    <col min="7352" max="7352" width="7.7109375" style="111" bestFit="1" customWidth="1"/>
    <col min="7353" max="7353" width="10.42578125" style="111" bestFit="1" customWidth="1"/>
    <col min="7354" max="7354" width="8" style="111" bestFit="1" customWidth="1"/>
    <col min="7355" max="7355" width="7.7109375" style="111" bestFit="1" customWidth="1"/>
    <col min="7356" max="7356" width="10.42578125" style="111" bestFit="1" customWidth="1"/>
    <col min="7357" max="7357" width="7.42578125" style="111" bestFit="1" customWidth="1"/>
    <col min="7358" max="7358" width="7.7109375" style="111" bestFit="1" customWidth="1"/>
    <col min="7359" max="7359" width="10.42578125" style="111" bestFit="1" customWidth="1"/>
    <col min="7360" max="7360" width="7.42578125" style="111" bestFit="1" customWidth="1"/>
    <col min="7361" max="7361" width="7.7109375" style="111" bestFit="1" customWidth="1"/>
    <col min="7362" max="7362" width="10.42578125" style="111" bestFit="1" customWidth="1"/>
    <col min="7363" max="7363" width="5.140625" style="111" customWidth="1"/>
    <col min="7364" max="7586" width="8.7109375" style="111"/>
    <col min="7587" max="7587" width="3.42578125" style="111" customWidth="1"/>
    <col min="7588" max="7588" width="7" style="111" customWidth="1"/>
    <col min="7589" max="7589" width="25.42578125" style="111" customWidth="1"/>
    <col min="7590" max="7590" width="12" style="111" customWidth="1"/>
    <col min="7591" max="7591" width="12.7109375" style="111" bestFit="1" customWidth="1"/>
    <col min="7592" max="7592" width="7.42578125" style="111" bestFit="1" customWidth="1"/>
    <col min="7593" max="7593" width="7.7109375" style="111" bestFit="1" customWidth="1"/>
    <col min="7594" max="7594" width="15" style="111" customWidth="1"/>
    <col min="7595" max="7595" width="7.42578125" style="111" bestFit="1" customWidth="1"/>
    <col min="7596" max="7596" width="7.7109375" style="111" bestFit="1" customWidth="1"/>
    <col min="7597" max="7597" width="15" style="111" bestFit="1" customWidth="1"/>
    <col min="7598" max="7598" width="7.42578125" style="111" bestFit="1" customWidth="1"/>
    <col min="7599" max="7599" width="7.7109375" style="111" bestFit="1" customWidth="1"/>
    <col min="7600" max="7600" width="9.42578125" style="111" bestFit="1" customWidth="1"/>
    <col min="7601" max="7601" width="8" style="111" bestFit="1" customWidth="1"/>
    <col min="7602" max="7602" width="7.7109375" style="111" bestFit="1" customWidth="1"/>
    <col min="7603" max="7603" width="10.42578125" style="111" bestFit="1" customWidth="1"/>
    <col min="7604" max="7604" width="8" style="111" bestFit="1" customWidth="1"/>
    <col min="7605" max="7605" width="7.7109375" style="111" bestFit="1" customWidth="1"/>
    <col min="7606" max="7606" width="10.42578125" style="111" bestFit="1" customWidth="1"/>
    <col min="7607" max="7607" width="7.42578125" style="111" bestFit="1" customWidth="1"/>
    <col min="7608" max="7608" width="7.7109375" style="111" bestFit="1" customWidth="1"/>
    <col min="7609" max="7609" width="10.42578125" style="111" bestFit="1" customWidth="1"/>
    <col min="7610" max="7610" width="8" style="111" bestFit="1" customWidth="1"/>
    <col min="7611" max="7611" width="7.7109375" style="111" bestFit="1" customWidth="1"/>
    <col min="7612" max="7612" width="10.42578125" style="111" bestFit="1" customWidth="1"/>
    <col min="7613" max="7613" width="7.42578125" style="111" bestFit="1" customWidth="1"/>
    <col min="7614" max="7614" width="7.7109375" style="111" bestFit="1" customWidth="1"/>
    <col min="7615" max="7615" width="10.42578125" style="111" bestFit="1" customWidth="1"/>
    <col min="7616" max="7616" width="7.42578125" style="111" bestFit="1" customWidth="1"/>
    <col min="7617" max="7617" width="7.7109375" style="111" bestFit="1" customWidth="1"/>
    <col min="7618" max="7618" width="10.42578125" style="111" bestFit="1" customWidth="1"/>
    <col min="7619" max="7619" width="5.140625" style="111" customWidth="1"/>
    <col min="7620" max="7842" width="8.7109375" style="111"/>
    <col min="7843" max="7843" width="3.42578125" style="111" customWidth="1"/>
    <col min="7844" max="7844" width="7" style="111" customWidth="1"/>
    <col min="7845" max="7845" width="25.42578125" style="111" customWidth="1"/>
    <col min="7846" max="7846" width="12" style="111" customWidth="1"/>
    <col min="7847" max="7847" width="12.7109375" style="111" bestFit="1" customWidth="1"/>
    <col min="7848" max="7848" width="7.42578125" style="111" bestFit="1" customWidth="1"/>
    <col min="7849" max="7849" width="7.7109375" style="111" bestFit="1" customWidth="1"/>
    <col min="7850" max="7850" width="15" style="111" customWidth="1"/>
    <col min="7851" max="7851" width="7.42578125" style="111" bestFit="1" customWidth="1"/>
    <col min="7852" max="7852" width="7.7109375" style="111" bestFit="1" customWidth="1"/>
    <col min="7853" max="7853" width="15" style="111" bestFit="1" customWidth="1"/>
    <col min="7854" max="7854" width="7.42578125" style="111" bestFit="1" customWidth="1"/>
    <col min="7855" max="7855" width="7.7109375" style="111" bestFit="1" customWidth="1"/>
    <col min="7856" max="7856" width="9.42578125" style="111" bestFit="1" customWidth="1"/>
    <col min="7857" max="7857" width="8" style="111" bestFit="1" customWidth="1"/>
    <col min="7858" max="7858" width="7.7109375" style="111" bestFit="1" customWidth="1"/>
    <col min="7859" max="7859" width="10.42578125" style="111" bestFit="1" customWidth="1"/>
    <col min="7860" max="7860" width="8" style="111" bestFit="1" customWidth="1"/>
    <col min="7861" max="7861" width="7.7109375" style="111" bestFit="1" customWidth="1"/>
    <col min="7862" max="7862" width="10.42578125" style="111" bestFit="1" customWidth="1"/>
    <col min="7863" max="7863" width="7.42578125" style="111" bestFit="1" customWidth="1"/>
    <col min="7864" max="7864" width="7.7109375" style="111" bestFit="1" customWidth="1"/>
    <col min="7865" max="7865" width="10.42578125" style="111" bestFit="1" customWidth="1"/>
    <col min="7866" max="7866" width="8" style="111" bestFit="1" customWidth="1"/>
    <col min="7867" max="7867" width="7.7109375" style="111" bestFit="1" customWidth="1"/>
    <col min="7868" max="7868" width="10.42578125" style="111" bestFit="1" customWidth="1"/>
    <col min="7869" max="7869" width="7.42578125" style="111" bestFit="1" customWidth="1"/>
    <col min="7870" max="7870" width="7.7109375" style="111" bestFit="1" customWidth="1"/>
    <col min="7871" max="7871" width="10.42578125" style="111" bestFit="1" customWidth="1"/>
    <col min="7872" max="7872" width="7.42578125" style="111" bestFit="1" customWidth="1"/>
    <col min="7873" max="7873" width="7.7109375" style="111" bestFit="1" customWidth="1"/>
    <col min="7874" max="7874" width="10.42578125" style="111" bestFit="1" customWidth="1"/>
    <col min="7875" max="7875" width="5.140625" style="111" customWidth="1"/>
    <col min="7876" max="8098" width="8.7109375" style="111"/>
    <col min="8099" max="8099" width="3.42578125" style="111" customWidth="1"/>
    <col min="8100" max="8100" width="7" style="111" customWidth="1"/>
    <col min="8101" max="8101" width="25.42578125" style="111" customWidth="1"/>
    <col min="8102" max="8102" width="12" style="111" customWidth="1"/>
    <col min="8103" max="8103" width="12.7109375" style="111" bestFit="1" customWidth="1"/>
    <col min="8104" max="8104" width="7.42578125" style="111" bestFit="1" customWidth="1"/>
    <col min="8105" max="8105" width="7.7109375" style="111" bestFit="1" customWidth="1"/>
    <col min="8106" max="8106" width="15" style="111" customWidth="1"/>
    <col min="8107" max="8107" width="7.42578125" style="111" bestFit="1" customWidth="1"/>
    <col min="8108" max="8108" width="7.7109375" style="111" bestFit="1" customWidth="1"/>
    <col min="8109" max="8109" width="15" style="111" bestFit="1" customWidth="1"/>
    <col min="8110" max="8110" width="7.42578125" style="111" bestFit="1" customWidth="1"/>
    <col min="8111" max="8111" width="7.7109375" style="111" bestFit="1" customWidth="1"/>
    <col min="8112" max="8112" width="9.42578125" style="111" bestFit="1" customWidth="1"/>
    <col min="8113" max="8113" width="8" style="111" bestFit="1" customWidth="1"/>
    <col min="8114" max="8114" width="7.7109375" style="111" bestFit="1" customWidth="1"/>
    <col min="8115" max="8115" width="10.42578125" style="111" bestFit="1" customWidth="1"/>
    <col min="8116" max="8116" width="8" style="111" bestFit="1" customWidth="1"/>
    <col min="8117" max="8117" width="7.7109375" style="111" bestFit="1" customWidth="1"/>
    <col min="8118" max="8118" width="10.42578125" style="111" bestFit="1" customWidth="1"/>
    <col min="8119" max="8119" width="7.42578125" style="111" bestFit="1" customWidth="1"/>
    <col min="8120" max="8120" width="7.7109375" style="111" bestFit="1" customWidth="1"/>
    <col min="8121" max="8121" width="10.42578125" style="111" bestFit="1" customWidth="1"/>
    <col min="8122" max="8122" width="8" style="111" bestFit="1" customWidth="1"/>
    <col min="8123" max="8123" width="7.7109375" style="111" bestFit="1" customWidth="1"/>
    <col min="8124" max="8124" width="10.42578125" style="111" bestFit="1" customWidth="1"/>
    <col min="8125" max="8125" width="7.42578125" style="111" bestFit="1" customWidth="1"/>
    <col min="8126" max="8126" width="7.7109375" style="111" bestFit="1" customWidth="1"/>
    <col min="8127" max="8127" width="10.42578125" style="111" bestFit="1" customWidth="1"/>
    <col min="8128" max="8128" width="7.42578125" style="111" bestFit="1" customWidth="1"/>
    <col min="8129" max="8129" width="7.7109375" style="111" bestFit="1" customWidth="1"/>
    <col min="8130" max="8130" width="10.42578125" style="111" bestFit="1" customWidth="1"/>
    <col min="8131" max="8131" width="5.140625" style="111" customWidth="1"/>
    <col min="8132" max="8354" width="8.7109375" style="111"/>
    <col min="8355" max="8355" width="3.42578125" style="111" customWidth="1"/>
    <col min="8356" max="8356" width="7" style="111" customWidth="1"/>
    <col min="8357" max="8357" width="25.42578125" style="111" customWidth="1"/>
    <col min="8358" max="8358" width="12" style="111" customWidth="1"/>
    <col min="8359" max="8359" width="12.7109375" style="111" bestFit="1" customWidth="1"/>
    <col min="8360" max="8360" width="7.42578125" style="111" bestFit="1" customWidth="1"/>
    <col min="8361" max="8361" width="7.7109375" style="111" bestFit="1" customWidth="1"/>
    <col min="8362" max="8362" width="15" style="111" customWidth="1"/>
    <col min="8363" max="8363" width="7.42578125" style="111" bestFit="1" customWidth="1"/>
    <col min="8364" max="8364" width="7.7109375" style="111" bestFit="1" customWidth="1"/>
    <col min="8365" max="8365" width="15" style="111" bestFit="1" customWidth="1"/>
    <col min="8366" max="8366" width="7.42578125" style="111" bestFit="1" customWidth="1"/>
    <col min="8367" max="8367" width="7.7109375" style="111" bestFit="1" customWidth="1"/>
    <col min="8368" max="8368" width="9.42578125" style="111" bestFit="1" customWidth="1"/>
    <col min="8369" max="8369" width="8" style="111" bestFit="1" customWidth="1"/>
    <col min="8370" max="8370" width="7.7109375" style="111" bestFit="1" customWidth="1"/>
    <col min="8371" max="8371" width="10.42578125" style="111" bestFit="1" customWidth="1"/>
    <col min="8372" max="8372" width="8" style="111" bestFit="1" customWidth="1"/>
    <col min="8373" max="8373" width="7.7109375" style="111" bestFit="1" customWidth="1"/>
    <col min="8374" max="8374" width="10.42578125" style="111" bestFit="1" customWidth="1"/>
    <col min="8375" max="8375" width="7.42578125" style="111" bestFit="1" customWidth="1"/>
    <col min="8376" max="8376" width="7.7109375" style="111" bestFit="1" customWidth="1"/>
    <col min="8377" max="8377" width="10.42578125" style="111" bestFit="1" customWidth="1"/>
    <col min="8378" max="8378" width="8" style="111" bestFit="1" customWidth="1"/>
    <col min="8379" max="8379" width="7.7109375" style="111" bestFit="1" customWidth="1"/>
    <col min="8380" max="8380" width="10.42578125" style="111" bestFit="1" customWidth="1"/>
    <col min="8381" max="8381" width="7.42578125" style="111" bestFit="1" customWidth="1"/>
    <col min="8382" max="8382" width="7.7109375" style="111" bestFit="1" customWidth="1"/>
    <col min="8383" max="8383" width="10.42578125" style="111" bestFit="1" customWidth="1"/>
    <col min="8384" max="8384" width="7.42578125" style="111" bestFit="1" customWidth="1"/>
    <col min="8385" max="8385" width="7.7109375" style="111" bestFit="1" customWidth="1"/>
    <col min="8386" max="8386" width="10.42578125" style="111" bestFit="1" customWidth="1"/>
    <col min="8387" max="8387" width="5.140625" style="111" customWidth="1"/>
    <col min="8388" max="8610" width="8.7109375" style="111"/>
    <col min="8611" max="8611" width="3.42578125" style="111" customWidth="1"/>
    <col min="8612" max="8612" width="7" style="111" customWidth="1"/>
    <col min="8613" max="8613" width="25.42578125" style="111" customWidth="1"/>
    <col min="8614" max="8614" width="12" style="111" customWidth="1"/>
    <col min="8615" max="8615" width="12.7109375" style="111" bestFit="1" customWidth="1"/>
    <col min="8616" max="8616" width="7.42578125" style="111" bestFit="1" customWidth="1"/>
    <col min="8617" max="8617" width="7.7109375" style="111" bestFit="1" customWidth="1"/>
    <col min="8618" max="8618" width="15" style="111" customWidth="1"/>
    <col min="8619" max="8619" width="7.42578125" style="111" bestFit="1" customWidth="1"/>
    <col min="8620" max="8620" width="7.7109375" style="111" bestFit="1" customWidth="1"/>
    <col min="8621" max="8621" width="15" style="111" bestFit="1" customWidth="1"/>
    <col min="8622" max="8622" width="7.42578125" style="111" bestFit="1" customWidth="1"/>
    <col min="8623" max="8623" width="7.7109375" style="111" bestFit="1" customWidth="1"/>
    <col min="8624" max="8624" width="9.42578125" style="111" bestFit="1" customWidth="1"/>
    <col min="8625" max="8625" width="8" style="111" bestFit="1" customWidth="1"/>
    <col min="8626" max="8626" width="7.7109375" style="111" bestFit="1" customWidth="1"/>
    <col min="8627" max="8627" width="10.42578125" style="111" bestFit="1" customWidth="1"/>
    <col min="8628" max="8628" width="8" style="111" bestFit="1" customWidth="1"/>
    <col min="8629" max="8629" width="7.7109375" style="111" bestFit="1" customWidth="1"/>
    <col min="8630" max="8630" width="10.42578125" style="111" bestFit="1" customWidth="1"/>
    <col min="8631" max="8631" width="7.42578125" style="111" bestFit="1" customWidth="1"/>
    <col min="8632" max="8632" width="7.7109375" style="111" bestFit="1" customWidth="1"/>
    <col min="8633" max="8633" width="10.42578125" style="111" bestFit="1" customWidth="1"/>
    <col min="8634" max="8634" width="8" style="111" bestFit="1" customWidth="1"/>
    <col min="8635" max="8635" width="7.7109375" style="111" bestFit="1" customWidth="1"/>
    <col min="8636" max="8636" width="10.42578125" style="111" bestFit="1" customWidth="1"/>
    <col min="8637" max="8637" width="7.42578125" style="111" bestFit="1" customWidth="1"/>
    <col min="8638" max="8638" width="7.7109375" style="111" bestFit="1" customWidth="1"/>
    <col min="8639" max="8639" width="10.42578125" style="111" bestFit="1" customWidth="1"/>
    <col min="8640" max="8640" width="7.42578125" style="111" bestFit="1" customWidth="1"/>
    <col min="8641" max="8641" width="7.7109375" style="111" bestFit="1" customWidth="1"/>
    <col min="8642" max="8642" width="10.42578125" style="111" bestFit="1" customWidth="1"/>
    <col min="8643" max="8643" width="5.140625" style="111" customWidth="1"/>
    <col min="8644" max="8866" width="8.7109375" style="111"/>
    <col min="8867" max="8867" width="3.42578125" style="111" customWidth="1"/>
    <col min="8868" max="8868" width="7" style="111" customWidth="1"/>
    <col min="8869" max="8869" width="25.42578125" style="111" customWidth="1"/>
    <col min="8870" max="8870" width="12" style="111" customWidth="1"/>
    <col min="8871" max="8871" width="12.7109375" style="111" bestFit="1" customWidth="1"/>
    <col min="8872" max="8872" width="7.42578125" style="111" bestFit="1" customWidth="1"/>
    <col min="8873" max="8873" width="7.7109375" style="111" bestFit="1" customWidth="1"/>
    <col min="8874" max="8874" width="15" style="111" customWidth="1"/>
    <col min="8875" max="8875" width="7.42578125" style="111" bestFit="1" customWidth="1"/>
    <col min="8876" max="8876" width="7.7109375" style="111" bestFit="1" customWidth="1"/>
    <col min="8877" max="8877" width="15" style="111" bestFit="1" customWidth="1"/>
    <col min="8878" max="8878" width="7.42578125" style="111" bestFit="1" customWidth="1"/>
    <col min="8879" max="8879" width="7.7109375" style="111" bestFit="1" customWidth="1"/>
    <col min="8880" max="8880" width="9.42578125" style="111" bestFit="1" customWidth="1"/>
    <col min="8881" max="8881" width="8" style="111" bestFit="1" customWidth="1"/>
    <col min="8882" max="8882" width="7.7109375" style="111" bestFit="1" customWidth="1"/>
    <col min="8883" max="8883" width="10.42578125" style="111" bestFit="1" customWidth="1"/>
    <col min="8884" max="8884" width="8" style="111" bestFit="1" customWidth="1"/>
    <col min="8885" max="8885" width="7.7109375" style="111" bestFit="1" customWidth="1"/>
    <col min="8886" max="8886" width="10.42578125" style="111" bestFit="1" customWidth="1"/>
    <col min="8887" max="8887" width="7.42578125" style="111" bestFit="1" customWidth="1"/>
    <col min="8888" max="8888" width="7.7109375" style="111" bestFit="1" customWidth="1"/>
    <col min="8889" max="8889" width="10.42578125" style="111" bestFit="1" customWidth="1"/>
    <col min="8890" max="8890" width="8" style="111" bestFit="1" customWidth="1"/>
    <col min="8891" max="8891" width="7.7109375" style="111" bestFit="1" customWidth="1"/>
    <col min="8892" max="8892" width="10.42578125" style="111" bestFit="1" customWidth="1"/>
    <col min="8893" max="8893" width="7.42578125" style="111" bestFit="1" customWidth="1"/>
    <col min="8894" max="8894" width="7.7109375" style="111" bestFit="1" customWidth="1"/>
    <col min="8895" max="8895" width="10.42578125" style="111" bestFit="1" customWidth="1"/>
    <col min="8896" max="8896" width="7.42578125" style="111" bestFit="1" customWidth="1"/>
    <col min="8897" max="8897" width="7.7109375" style="111" bestFit="1" customWidth="1"/>
    <col min="8898" max="8898" width="10.42578125" style="111" bestFit="1" customWidth="1"/>
    <col min="8899" max="8899" width="5.140625" style="111" customWidth="1"/>
    <col min="8900" max="9122" width="8.7109375" style="111"/>
    <col min="9123" max="9123" width="3.42578125" style="111" customWidth="1"/>
    <col min="9124" max="9124" width="7" style="111" customWidth="1"/>
    <col min="9125" max="9125" width="25.42578125" style="111" customWidth="1"/>
    <col min="9126" max="9126" width="12" style="111" customWidth="1"/>
    <col min="9127" max="9127" width="12.7109375" style="111" bestFit="1" customWidth="1"/>
    <col min="9128" max="9128" width="7.42578125" style="111" bestFit="1" customWidth="1"/>
    <col min="9129" max="9129" width="7.7109375" style="111" bestFit="1" customWidth="1"/>
    <col min="9130" max="9130" width="15" style="111" customWidth="1"/>
    <col min="9131" max="9131" width="7.42578125" style="111" bestFit="1" customWidth="1"/>
    <col min="9132" max="9132" width="7.7109375" style="111" bestFit="1" customWidth="1"/>
    <col min="9133" max="9133" width="15" style="111" bestFit="1" customWidth="1"/>
    <col min="9134" max="9134" width="7.42578125" style="111" bestFit="1" customWidth="1"/>
    <col min="9135" max="9135" width="7.7109375" style="111" bestFit="1" customWidth="1"/>
    <col min="9136" max="9136" width="9.42578125" style="111" bestFit="1" customWidth="1"/>
    <col min="9137" max="9137" width="8" style="111" bestFit="1" customWidth="1"/>
    <col min="9138" max="9138" width="7.7109375" style="111" bestFit="1" customWidth="1"/>
    <col min="9139" max="9139" width="10.42578125" style="111" bestFit="1" customWidth="1"/>
    <col min="9140" max="9140" width="8" style="111" bestFit="1" customWidth="1"/>
    <col min="9141" max="9141" width="7.7109375" style="111" bestFit="1" customWidth="1"/>
    <col min="9142" max="9142" width="10.42578125" style="111" bestFit="1" customWidth="1"/>
    <col min="9143" max="9143" width="7.42578125" style="111" bestFit="1" customWidth="1"/>
    <col min="9144" max="9144" width="7.7109375" style="111" bestFit="1" customWidth="1"/>
    <col min="9145" max="9145" width="10.42578125" style="111" bestFit="1" customWidth="1"/>
    <col min="9146" max="9146" width="8" style="111" bestFit="1" customWidth="1"/>
    <col min="9147" max="9147" width="7.7109375" style="111" bestFit="1" customWidth="1"/>
    <col min="9148" max="9148" width="10.42578125" style="111" bestFit="1" customWidth="1"/>
    <col min="9149" max="9149" width="7.42578125" style="111" bestFit="1" customWidth="1"/>
    <col min="9150" max="9150" width="7.7109375" style="111" bestFit="1" customWidth="1"/>
    <col min="9151" max="9151" width="10.42578125" style="111" bestFit="1" customWidth="1"/>
    <col min="9152" max="9152" width="7.42578125" style="111" bestFit="1" customWidth="1"/>
    <col min="9153" max="9153" width="7.7109375" style="111" bestFit="1" customWidth="1"/>
    <col min="9154" max="9154" width="10.42578125" style="111" bestFit="1" customWidth="1"/>
    <col min="9155" max="9155" width="5.140625" style="111" customWidth="1"/>
    <col min="9156" max="9378" width="8.7109375" style="111"/>
    <col min="9379" max="9379" width="3.42578125" style="111" customWidth="1"/>
    <col min="9380" max="9380" width="7" style="111" customWidth="1"/>
    <col min="9381" max="9381" width="25.42578125" style="111" customWidth="1"/>
    <col min="9382" max="9382" width="12" style="111" customWidth="1"/>
    <col min="9383" max="9383" width="12.7109375" style="111" bestFit="1" customWidth="1"/>
    <col min="9384" max="9384" width="7.42578125" style="111" bestFit="1" customWidth="1"/>
    <col min="9385" max="9385" width="7.7109375" style="111" bestFit="1" customWidth="1"/>
    <col min="9386" max="9386" width="15" style="111" customWidth="1"/>
    <col min="9387" max="9387" width="7.42578125" style="111" bestFit="1" customWidth="1"/>
    <col min="9388" max="9388" width="7.7109375" style="111" bestFit="1" customWidth="1"/>
    <col min="9389" max="9389" width="15" style="111" bestFit="1" customWidth="1"/>
    <col min="9390" max="9390" width="7.42578125" style="111" bestFit="1" customWidth="1"/>
    <col min="9391" max="9391" width="7.7109375" style="111" bestFit="1" customWidth="1"/>
    <col min="9392" max="9392" width="9.42578125" style="111" bestFit="1" customWidth="1"/>
    <col min="9393" max="9393" width="8" style="111" bestFit="1" customWidth="1"/>
    <col min="9394" max="9394" width="7.7109375" style="111" bestFit="1" customWidth="1"/>
    <col min="9395" max="9395" width="10.42578125" style="111" bestFit="1" customWidth="1"/>
    <col min="9396" max="9396" width="8" style="111" bestFit="1" customWidth="1"/>
    <col min="9397" max="9397" width="7.7109375" style="111" bestFit="1" customWidth="1"/>
    <col min="9398" max="9398" width="10.42578125" style="111" bestFit="1" customWidth="1"/>
    <col min="9399" max="9399" width="7.42578125" style="111" bestFit="1" customWidth="1"/>
    <col min="9400" max="9400" width="7.7109375" style="111" bestFit="1" customWidth="1"/>
    <col min="9401" max="9401" width="10.42578125" style="111" bestFit="1" customWidth="1"/>
    <col min="9402" max="9402" width="8" style="111" bestFit="1" customWidth="1"/>
    <col min="9403" max="9403" width="7.7109375" style="111" bestFit="1" customWidth="1"/>
    <col min="9404" max="9404" width="10.42578125" style="111" bestFit="1" customWidth="1"/>
    <col min="9405" max="9405" width="7.42578125" style="111" bestFit="1" customWidth="1"/>
    <col min="9406" max="9406" width="7.7109375" style="111" bestFit="1" customWidth="1"/>
    <col min="9407" max="9407" width="10.42578125" style="111" bestFit="1" customWidth="1"/>
    <col min="9408" max="9408" width="7.42578125" style="111" bestFit="1" customWidth="1"/>
    <col min="9409" max="9409" width="7.7109375" style="111" bestFit="1" customWidth="1"/>
    <col min="9410" max="9410" width="10.42578125" style="111" bestFit="1" customWidth="1"/>
    <col min="9411" max="9411" width="5.140625" style="111" customWidth="1"/>
    <col min="9412" max="9634" width="8.7109375" style="111"/>
    <col min="9635" max="9635" width="3.42578125" style="111" customWidth="1"/>
    <col min="9636" max="9636" width="7" style="111" customWidth="1"/>
    <col min="9637" max="9637" width="25.42578125" style="111" customWidth="1"/>
    <col min="9638" max="9638" width="12" style="111" customWidth="1"/>
    <col min="9639" max="9639" width="12.7109375" style="111" bestFit="1" customWidth="1"/>
    <col min="9640" max="9640" width="7.42578125" style="111" bestFit="1" customWidth="1"/>
    <col min="9641" max="9641" width="7.7109375" style="111" bestFit="1" customWidth="1"/>
    <col min="9642" max="9642" width="15" style="111" customWidth="1"/>
    <col min="9643" max="9643" width="7.42578125" style="111" bestFit="1" customWidth="1"/>
    <col min="9644" max="9644" width="7.7109375" style="111" bestFit="1" customWidth="1"/>
    <col min="9645" max="9645" width="15" style="111" bestFit="1" customWidth="1"/>
    <col min="9646" max="9646" width="7.42578125" style="111" bestFit="1" customWidth="1"/>
    <col min="9647" max="9647" width="7.7109375" style="111" bestFit="1" customWidth="1"/>
    <col min="9648" max="9648" width="9.42578125" style="111" bestFit="1" customWidth="1"/>
    <col min="9649" max="9649" width="8" style="111" bestFit="1" customWidth="1"/>
    <col min="9650" max="9650" width="7.7109375" style="111" bestFit="1" customWidth="1"/>
    <col min="9651" max="9651" width="10.42578125" style="111" bestFit="1" customWidth="1"/>
    <col min="9652" max="9652" width="8" style="111" bestFit="1" customWidth="1"/>
    <col min="9653" max="9653" width="7.7109375" style="111" bestFit="1" customWidth="1"/>
    <col min="9654" max="9654" width="10.42578125" style="111" bestFit="1" customWidth="1"/>
    <col min="9655" max="9655" width="7.42578125" style="111" bestFit="1" customWidth="1"/>
    <col min="9656" max="9656" width="7.7109375" style="111" bestFit="1" customWidth="1"/>
    <col min="9657" max="9657" width="10.42578125" style="111" bestFit="1" customWidth="1"/>
    <col min="9658" max="9658" width="8" style="111" bestFit="1" customWidth="1"/>
    <col min="9659" max="9659" width="7.7109375" style="111" bestFit="1" customWidth="1"/>
    <col min="9660" max="9660" width="10.42578125" style="111" bestFit="1" customWidth="1"/>
    <col min="9661" max="9661" width="7.42578125" style="111" bestFit="1" customWidth="1"/>
    <col min="9662" max="9662" width="7.7109375" style="111" bestFit="1" customWidth="1"/>
    <col min="9663" max="9663" width="10.42578125" style="111" bestFit="1" customWidth="1"/>
    <col min="9664" max="9664" width="7.42578125" style="111" bestFit="1" customWidth="1"/>
    <col min="9665" max="9665" width="7.7109375" style="111" bestFit="1" customWidth="1"/>
    <col min="9666" max="9666" width="10.42578125" style="111" bestFit="1" customWidth="1"/>
    <col min="9667" max="9667" width="5.140625" style="111" customWidth="1"/>
    <col min="9668" max="9890" width="8.7109375" style="111"/>
    <col min="9891" max="9891" width="3.42578125" style="111" customWidth="1"/>
    <col min="9892" max="9892" width="7" style="111" customWidth="1"/>
    <col min="9893" max="9893" width="25.42578125" style="111" customWidth="1"/>
    <col min="9894" max="9894" width="12" style="111" customWidth="1"/>
    <col min="9895" max="9895" width="12.7109375" style="111" bestFit="1" customWidth="1"/>
    <col min="9896" max="9896" width="7.42578125" style="111" bestFit="1" customWidth="1"/>
    <col min="9897" max="9897" width="7.7109375" style="111" bestFit="1" customWidth="1"/>
    <col min="9898" max="9898" width="15" style="111" customWidth="1"/>
    <col min="9899" max="9899" width="7.42578125" style="111" bestFit="1" customWidth="1"/>
    <col min="9900" max="9900" width="7.7109375" style="111" bestFit="1" customWidth="1"/>
    <col min="9901" max="9901" width="15" style="111" bestFit="1" customWidth="1"/>
    <col min="9902" max="9902" width="7.42578125" style="111" bestFit="1" customWidth="1"/>
    <col min="9903" max="9903" width="7.7109375" style="111" bestFit="1" customWidth="1"/>
    <col min="9904" max="9904" width="9.42578125" style="111" bestFit="1" customWidth="1"/>
    <col min="9905" max="9905" width="8" style="111" bestFit="1" customWidth="1"/>
    <col min="9906" max="9906" width="7.7109375" style="111" bestFit="1" customWidth="1"/>
    <col min="9907" max="9907" width="10.42578125" style="111" bestFit="1" customWidth="1"/>
    <col min="9908" max="9908" width="8" style="111" bestFit="1" customWidth="1"/>
    <col min="9909" max="9909" width="7.7109375" style="111" bestFit="1" customWidth="1"/>
    <col min="9910" max="9910" width="10.42578125" style="111" bestFit="1" customWidth="1"/>
    <col min="9911" max="9911" width="7.42578125" style="111" bestFit="1" customWidth="1"/>
    <col min="9912" max="9912" width="7.7109375" style="111" bestFit="1" customWidth="1"/>
    <col min="9913" max="9913" width="10.42578125" style="111" bestFit="1" customWidth="1"/>
    <col min="9914" max="9914" width="8" style="111" bestFit="1" customWidth="1"/>
    <col min="9915" max="9915" width="7.7109375" style="111" bestFit="1" customWidth="1"/>
    <col min="9916" max="9916" width="10.42578125" style="111" bestFit="1" customWidth="1"/>
    <col min="9917" max="9917" width="7.42578125" style="111" bestFit="1" customWidth="1"/>
    <col min="9918" max="9918" width="7.7109375" style="111" bestFit="1" customWidth="1"/>
    <col min="9919" max="9919" width="10.42578125" style="111" bestFit="1" customWidth="1"/>
    <col min="9920" max="9920" width="7.42578125" style="111" bestFit="1" customWidth="1"/>
    <col min="9921" max="9921" width="7.7109375" style="111" bestFit="1" customWidth="1"/>
    <col min="9922" max="9922" width="10.42578125" style="111" bestFit="1" customWidth="1"/>
    <col min="9923" max="9923" width="5.140625" style="111" customWidth="1"/>
    <col min="9924" max="10146" width="8.7109375" style="111"/>
    <col min="10147" max="10147" width="3.42578125" style="111" customWidth="1"/>
    <col min="10148" max="10148" width="7" style="111" customWidth="1"/>
    <col min="10149" max="10149" width="25.42578125" style="111" customWidth="1"/>
    <col min="10150" max="10150" width="12" style="111" customWidth="1"/>
    <col min="10151" max="10151" width="12.7109375" style="111" bestFit="1" customWidth="1"/>
    <col min="10152" max="10152" width="7.42578125" style="111" bestFit="1" customWidth="1"/>
    <col min="10153" max="10153" width="7.7109375" style="111" bestFit="1" customWidth="1"/>
    <col min="10154" max="10154" width="15" style="111" customWidth="1"/>
    <col min="10155" max="10155" width="7.42578125" style="111" bestFit="1" customWidth="1"/>
    <col min="10156" max="10156" width="7.7109375" style="111" bestFit="1" customWidth="1"/>
    <col min="10157" max="10157" width="15" style="111" bestFit="1" customWidth="1"/>
    <col min="10158" max="10158" width="7.42578125" style="111" bestFit="1" customWidth="1"/>
    <col min="10159" max="10159" width="7.7109375" style="111" bestFit="1" customWidth="1"/>
    <col min="10160" max="10160" width="9.42578125" style="111" bestFit="1" customWidth="1"/>
    <col min="10161" max="10161" width="8" style="111" bestFit="1" customWidth="1"/>
    <col min="10162" max="10162" width="7.7109375" style="111" bestFit="1" customWidth="1"/>
    <col min="10163" max="10163" width="10.42578125" style="111" bestFit="1" customWidth="1"/>
    <col min="10164" max="10164" width="8" style="111" bestFit="1" customWidth="1"/>
    <col min="10165" max="10165" width="7.7109375" style="111" bestFit="1" customWidth="1"/>
    <col min="10166" max="10166" width="10.42578125" style="111" bestFit="1" customWidth="1"/>
    <col min="10167" max="10167" width="7.42578125" style="111" bestFit="1" customWidth="1"/>
    <col min="10168" max="10168" width="7.7109375" style="111" bestFit="1" customWidth="1"/>
    <col min="10169" max="10169" width="10.42578125" style="111" bestFit="1" customWidth="1"/>
    <col min="10170" max="10170" width="8" style="111" bestFit="1" customWidth="1"/>
    <col min="10171" max="10171" width="7.7109375" style="111" bestFit="1" customWidth="1"/>
    <col min="10172" max="10172" width="10.42578125" style="111" bestFit="1" customWidth="1"/>
    <col min="10173" max="10173" width="7.42578125" style="111" bestFit="1" customWidth="1"/>
    <col min="10174" max="10174" width="7.7109375" style="111" bestFit="1" customWidth="1"/>
    <col min="10175" max="10175" width="10.42578125" style="111" bestFit="1" customWidth="1"/>
    <col min="10176" max="10176" width="7.42578125" style="111" bestFit="1" customWidth="1"/>
    <col min="10177" max="10177" width="7.7109375" style="111" bestFit="1" customWidth="1"/>
    <col min="10178" max="10178" width="10.42578125" style="111" bestFit="1" customWidth="1"/>
    <col min="10179" max="10179" width="5.140625" style="111" customWidth="1"/>
    <col min="10180" max="10402" width="8.7109375" style="111"/>
    <col min="10403" max="10403" width="3.42578125" style="111" customWidth="1"/>
    <col min="10404" max="10404" width="7" style="111" customWidth="1"/>
    <col min="10405" max="10405" width="25.42578125" style="111" customWidth="1"/>
    <col min="10406" max="10406" width="12" style="111" customWidth="1"/>
    <col min="10407" max="10407" width="12.7109375" style="111" bestFit="1" customWidth="1"/>
    <col min="10408" max="10408" width="7.42578125" style="111" bestFit="1" customWidth="1"/>
    <col min="10409" max="10409" width="7.7109375" style="111" bestFit="1" customWidth="1"/>
    <col min="10410" max="10410" width="15" style="111" customWidth="1"/>
    <col min="10411" max="10411" width="7.42578125" style="111" bestFit="1" customWidth="1"/>
    <col min="10412" max="10412" width="7.7109375" style="111" bestFit="1" customWidth="1"/>
    <col min="10413" max="10413" width="15" style="111" bestFit="1" customWidth="1"/>
    <col min="10414" max="10414" width="7.42578125" style="111" bestFit="1" customWidth="1"/>
    <col min="10415" max="10415" width="7.7109375" style="111" bestFit="1" customWidth="1"/>
    <col min="10416" max="10416" width="9.42578125" style="111" bestFit="1" customWidth="1"/>
    <col min="10417" max="10417" width="8" style="111" bestFit="1" customWidth="1"/>
    <col min="10418" max="10418" width="7.7109375" style="111" bestFit="1" customWidth="1"/>
    <col min="10419" max="10419" width="10.42578125" style="111" bestFit="1" customWidth="1"/>
    <col min="10420" max="10420" width="8" style="111" bestFit="1" customWidth="1"/>
    <col min="10421" max="10421" width="7.7109375" style="111" bestFit="1" customWidth="1"/>
    <col min="10422" max="10422" width="10.42578125" style="111" bestFit="1" customWidth="1"/>
    <col min="10423" max="10423" width="7.42578125" style="111" bestFit="1" customWidth="1"/>
    <col min="10424" max="10424" width="7.7109375" style="111" bestFit="1" customWidth="1"/>
    <col min="10425" max="10425" width="10.42578125" style="111" bestFit="1" customWidth="1"/>
    <col min="10426" max="10426" width="8" style="111" bestFit="1" customWidth="1"/>
    <col min="10427" max="10427" width="7.7109375" style="111" bestFit="1" customWidth="1"/>
    <col min="10428" max="10428" width="10.42578125" style="111" bestFit="1" customWidth="1"/>
    <col min="10429" max="10429" width="7.42578125" style="111" bestFit="1" customWidth="1"/>
    <col min="10430" max="10430" width="7.7109375" style="111" bestFit="1" customWidth="1"/>
    <col min="10431" max="10431" width="10.42578125" style="111" bestFit="1" customWidth="1"/>
    <col min="10432" max="10432" width="7.42578125" style="111" bestFit="1" customWidth="1"/>
    <col min="10433" max="10433" width="7.7109375" style="111" bestFit="1" customWidth="1"/>
    <col min="10434" max="10434" width="10.42578125" style="111" bestFit="1" customWidth="1"/>
    <col min="10435" max="10435" width="5.140625" style="111" customWidth="1"/>
    <col min="10436" max="10658" width="8.7109375" style="111"/>
    <col min="10659" max="10659" width="3.42578125" style="111" customWidth="1"/>
    <col min="10660" max="10660" width="7" style="111" customWidth="1"/>
    <col min="10661" max="10661" width="25.42578125" style="111" customWidth="1"/>
    <col min="10662" max="10662" width="12" style="111" customWidth="1"/>
    <col min="10663" max="10663" width="12.7109375" style="111" bestFit="1" customWidth="1"/>
    <col min="10664" max="10664" width="7.42578125" style="111" bestFit="1" customWidth="1"/>
    <col min="10665" max="10665" width="7.7109375" style="111" bestFit="1" customWidth="1"/>
    <col min="10666" max="10666" width="15" style="111" customWidth="1"/>
    <col min="10667" max="10667" width="7.42578125" style="111" bestFit="1" customWidth="1"/>
    <col min="10668" max="10668" width="7.7109375" style="111" bestFit="1" customWidth="1"/>
    <col min="10669" max="10669" width="15" style="111" bestFit="1" customWidth="1"/>
    <col min="10670" max="10670" width="7.42578125" style="111" bestFit="1" customWidth="1"/>
    <col min="10671" max="10671" width="7.7109375" style="111" bestFit="1" customWidth="1"/>
    <col min="10672" max="10672" width="9.42578125" style="111" bestFit="1" customWidth="1"/>
    <col min="10673" max="10673" width="8" style="111" bestFit="1" customWidth="1"/>
    <col min="10674" max="10674" width="7.7109375" style="111" bestFit="1" customWidth="1"/>
    <col min="10675" max="10675" width="10.42578125" style="111" bestFit="1" customWidth="1"/>
    <col min="10676" max="10676" width="8" style="111" bestFit="1" customWidth="1"/>
    <col min="10677" max="10677" width="7.7109375" style="111" bestFit="1" customWidth="1"/>
    <col min="10678" max="10678" width="10.42578125" style="111" bestFit="1" customWidth="1"/>
    <col min="10679" max="10679" width="7.42578125" style="111" bestFit="1" customWidth="1"/>
    <col min="10680" max="10680" width="7.7109375" style="111" bestFit="1" customWidth="1"/>
    <col min="10681" max="10681" width="10.42578125" style="111" bestFit="1" customWidth="1"/>
    <col min="10682" max="10682" width="8" style="111" bestFit="1" customWidth="1"/>
    <col min="10683" max="10683" width="7.7109375" style="111" bestFit="1" customWidth="1"/>
    <col min="10684" max="10684" width="10.42578125" style="111" bestFit="1" customWidth="1"/>
    <col min="10685" max="10685" width="7.42578125" style="111" bestFit="1" customWidth="1"/>
    <col min="10686" max="10686" width="7.7109375" style="111" bestFit="1" customWidth="1"/>
    <col min="10687" max="10687" width="10.42578125" style="111" bestFit="1" customWidth="1"/>
    <col min="10688" max="10688" width="7.42578125" style="111" bestFit="1" customWidth="1"/>
    <col min="10689" max="10689" width="7.7109375" style="111" bestFit="1" customWidth="1"/>
    <col min="10690" max="10690" width="10.42578125" style="111" bestFit="1" customWidth="1"/>
    <col min="10691" max="10691" width="5.140625" style="111" customWidth="1"/>
    <col min="10692" max="10914" width="8.7109375" style="111"/>
    <col min="10915" max="10915" width="3.42578125" style="111" customWidth="1"/>
    <col min="10916" max="10916" width="7" style="111" customWidth="1"/>
    <col min="10917" max="10917" width="25.42578125" style="111" customWidth="1"/>
    <col min="10918" max="10918" width="12" style="111" customWidth="1"/>
    <col min="10919" max="10919" width="12.7109375" style="111" bestFit="1" customWidth="1"/>
    <col min="10920" max="10920" width="7.42578125" style="111" bestFit="1" customWidth="1"/>
    <col min="10921" max="10921" width="7.7109375" style="111" bestFit="1" customWidth="1"/>
    <col min="10922" max="10922" width="15" style="111" customWidth="1"/>
    <col min="10923" max="10923" width="7.42578125" style="111" bestFit="1" customWidth="1"/>
    <col min="10924" max="10924" width="7.7109375" style="111" bestFit="1" customWidth="1"/>
    <col min="10925" max="10925" width="15" style="111" bestFit="1" customWidth="1"/>
    <col min="10926" max="10926" width="7.42578125" style="111" bestFit="1" customWidth="1"/>
    <col min="10927" max="10927" width="7.7109375" style="111" bestFit="1" customWidth="1"/>
    <col min="10928" max="10928" width="9.42578125" style="111" bestFit="1" customWidth="1"/>
    <col min="10929" max="10929" width="8" style="111" bestFit="1" customWidth="1"/>
    <col min="10930" max="10930" width="7.7109375" style="111" bestFit="1" customWidth="1"/>
    <col min="10931" max="10931" width="10.42578125" style="111" bestFit="1" customWidth="1"/>
    <col min="10932" max="10932" width="8" style="111" bestFit="1" customWidth="1"/>
    <col min="10933" max="10933" width="7.7109375" style="111" bestFit="1" customWidth="1"/>
    <col min="10934" max="10934" width="10.42578125" style="111" bestFit="1" customWidth="1"/>
    <col min="10935" max="10935" width="7.42578125" style="111" bestFit="1" customWidth="1"/>
    <col min="10936" max="10936" width="7.7109375" style="111" bestFit="1" customWidth="1"/>
    <col min="10937" max="10937" width="10.42578125" style="111" bestFit="1" customWidth="1"/>
    <col min="10938" max="10938" width="8" style="111" bestFit="1" customWidth="1"/>
    <col min="10939" max="10939" width="7.7109375" style="111" bestFit="1" customWidth="1"/>
    <col min="10940" max="10940" width="10.42578125" style="111" bestFit="1" customWidth="1"/>
    <col min="10941" max="10941" width="7.42578125" style="111" bestFit="1" customWidth="1"/>
    <col min="10942" max="10942" width="7.7109375" style="111" bestFit="1" customWidth="1"/>
    <col min="10943" max="10943" width="10.42578125" style="111" bestFit="1" customWidth="1"/>
    <col min="10944" max="10944" width="7.42578125" style="111" bestFit="1" customWidth="1"/>
    <col min="10945" max="10945" width="7.7109375" style="111" bestFit="1" customWidth="1"/>
    <col min="10946" max="10946" width="10.42578125" style="111" bestFit="1" customWidth="1"/>
    <col min="10947" max="10947" width="5.140625" style="111" customWidth="1"/>
    <col min="10948" max="11170" width="8.7109375" style="111"/>
    <col min="11171" max="11171" width="3.42578125" style="111" customWidth="1"/>
    <col min="11172" max="11172" width="7" style="111" customWidth="1"/>
    <col min="11173" max="11173" width="25.42578125" style="111" customWidth="1"/>
    <col min="11174" max="11174" width="12" style="111" customWidth="1"/>
    <col min="11175" max="11175" width="12.7109375" style="111" bestFit="1" customWidth="1"/>
    <col min="11176" max="11176" width="7.42578125" style="111" bestFit="1" customWidth="1"/>
    <col min="11177" max="11177" width="7.7109375" style="111" bestFit="1" customWidth="1"/>
    <col min="11178" max="11178" width="15" style="111" customWidth="1"/>
    <col min="11179" max="11179" width="7.42578125" style="111" bestFit="1" customWidth="1"/>
    <col min="11180" max="11180" width="7.7109375" style="111" bestFit="1" customWidth="1"/>
    <col min="11181" max="11181" width="15" style="111" bestFit="1" customWidth="1"/>
    <col min="11182" max="11182" width="7.42578125" style="111" bestFit="1" customWidth="1"/>
    <col min="11183" max="11183" width="7.7109375" style="111" bestFit="1" customWidth="1"/>
    <col min="11184" max="11184" width="9.42578125" style="111" bestFit="1" customWidth="1"/>
    <col min="11185" max="11185" width="8" style="111" bestFit="1" customWidth="1"/>
    <col min="11186" max="11186" width="7.7109375" style="111" bestFit="1" customWidth="1"/>
    <col min="11187" max="11187" width="10.42578125" style="111" bestFit="1" customWidth="1"/>
    <col min="11188" max="11188" width="8" style="111" bestFit="1" customWidth="1"/>
    <col min="11189" max="11189" width="7.7109375" style="111" bestFit="1" customWidth="1"/>
    <col min="11190" max="11190" width="10.42578125" style="111" bestFit="1" customWidth="1"/>
    <col min="11191" max="11191" width="7.42578125" style="111" bestFit="1" customWidth="1"/>
    <col min="11192" max="11192" width="7.7109375" style="111" bestFit="1" customWidth="1"/>
    <col min="11193" max="11193" width="10.42578125" style="111" bestFit="1" customWidth="1"/>
    <col min="11194" max="11194" width="8" style="111" bestFit="1" customWidth="1"/>
    <col min="11195" max="11195" width="7.7109375" style="111" bestFit="1" customWidth="1"/>
    <col min="11196" max="11196" width="10.42578125" style="111" bestFit="1" customWidth="1"/>
    <col min="11197" max="11197" width="7.42578125" style="111" bestFit="1" customWidth="1"/>
    <col min="11198" max="11198" width="7.7109375" style="111" bestFit="1" customWidth="1"/>
    <col min="11199" max="11199" width="10.42578125" style="111" bestFit="1" customWidth="1"/>
    <col min="11200" max="11200" width="7.42578125" style="111" bestFit="1" customWidth="1"/>
    <col min="11201" max="11201" width="7.7109375" style="111" bestFit="1" customWidth="1"/>
    <col min="11202" max="11202" width="10.42578125" style="111" bestFit="1" customWidth="1"/>
    <col min="11203" max="11203" width="5.140625" style="111" customWidth="1"/>
    <col min="11204" max="11426" width="8.7109375" style="111"/>
    <col min="11427" max="11427" width="3.42578125" style="111" customWidth="1"/>
    <col min="11428" max="11428" width="7" style="111" customWidth="1"/>
    <col min="11429" max="11429" width="25.42578125" style="111" customWidth="1"/>
    <col min="11430" max="11430" width="12" style="111" customWidth="1"/>
    <col min="11431" max="11431" width="12.7109375" style="111" bestFit="1" customWidth="1"/>
    <col min="11432" max="11432" width="7.42578125" style="111" bestFit="1" customWidth="1"/>
    <col min="11433" max="11433" width="7.7109375" style="111" bestFit="1" customWidth="1"/>
    <col min="11434" max="11434" width="15" style="111" customWidth="1"/>
    <col min="11435" max="11435" width="7.42578125" style="111" bestFit="1" customWidth="1"/>
    <col min="11436" max="11436" width="7.7109375" style="111" bestFit="1" customWidth="1"/>
    <col min="11437" max="11437" width="15" style="111" bestFit="1" customWidth="1"/>
    <col min="11438" max="11438" width="7.42578125" style="111" bestFit="1" customWidth="1"/>
    <col min="11439" max="11439" width="7.7109375" style="111" bestFit="1" customWidth="1"/>
    <col min="11440" max="11440" width="9.42578125" style="111" bestFit="1" customWidth="1"/>
    <col min="11441" max="11441" width="8" style="111" bestFit="1" customWidth="1"/>
    <col min="11442" max="11442" width="7.7109375" style="111" bestFit="1" customWidth="1"/>
    <col min="11443" max="11443" width="10.42578125" style="111" bestFit="1" customWidth="1"/>
    <col min="11444" max="11444" width="8" style="111" bestFit="1" customWidth="1"/>
    <col min="11445" max="11445" width="7.7109375" style="111" bestFit="1" customWidth="1"/>
    <col min="11446" max="11446" width="10.42578125" style="111" bestFit="1" customWidth="1"/>
    <col min="11447" max="11447" width="7.42578125" style="111" bestFit="1" customWidth="1"/>
    <col min="11448" max="11448" width="7.7109375" style="111" bestFit="1" customWidth="1"/>
    <col min="11449" max="11449" width="10.42578125" style="111" bestFit="1" customWidth="1"/>
    <col min="11450" max="11450" width="8" style="111" bestFit="1" customWidth="1"/>
    <col min="11451" max="11451" width="7.7109375" style="111" bestFit="1" customWidth="1"/>
    <col min="11452" max="11452" width="10.42578125" style="111" bestFit="1" customWidth="1"/>
    <col min="11453" max="11453" width="7.42578125" style="111" bestFit="1" customWidth="1"/>
    <col min="11454" max="11454" width="7.7109375" style="111" bestFit="1" customWidth="1"/>
    <col min="11455" max="11455" width="10.42578125" style="111" bestFit="1" customWidth="1"/>
    <col min="11456" max="11456" width="7.42578125" style="111" bestFit="1" customWidth="1"/>
    <col min="11457" max="11457" width="7.7109375" style="111" bestFit="1" customWidth="1"/>
    <col min="11458" max="11458" width="10.42578125" style="111" bestFit="1" customWidth="1"/>
    <col min="11459" max="11459" width="5.140625" style="111" customWidth="1"/>
    <col min="11460" max="11682" width="8.7109375" style="111"/>
    <col min="11683" max="11683" width="3.42578125" style="111" customWidth="1"/>
    <col min="11684" max="11684" width="7" style="111" customWidth="1"/>
    <col min="11685" max="11685" width="25.42578125" style="111" customWidth="1"/>
    <col min="11686" max="11686" width="12" style="111" customWidth="1"/>
    <col min="11687" max="11687" width="12.7109375" style="111" bestFit="1" customWidth="1"/>
    <col min="11688" max="11688" width="7.42578125" style="111" bestFit="1" customWidth="1"/>
    <col min="11689" max="11689" width="7.7109375" style="111" bestFit="1" customWidth="1"/>
    <col min="11690" max="11690" width="15" style="111" customWidth="1"/>
    <col min="11691" max="11691" width="7.42578125" style="111" bestFit="1" customWidth="1"/>
    <col min="11692" max="11692" width="7.7109375" style="111" bestFit="1" customWidth="1"/>
    <col min="11693" max="11693" width="15" style="111" bestFit="1" customWidth="1"/>
    <col min="11694" max="11694" width="7.42578125" style="111" bestFit="1" customWidth="1"/>
    <col min="11695" max="11695" width="7.7109375" style="111" bestFit="1" customWidth="1"/>
    <col min="11696" max="11696" width="9.42578125" style="111" bestFit="1" customWidth="1"/>
    <col min="11697" max="11697" width="8" style="111" bestFit="1" customWidth="1"/>
    <col min="11698" max="11698" width="7.7109375" style="111" bestFit="1" customWidth="1"/>
    <col min="11699" max="11699" width="10.42578125" style="111" bestFit="1" customWidth="1"/>
    <col min="11700" max="11700" width="8" style="111" bestFit="1" customWidth="1"/>
    <col min="11701" max="11701" width="7.7109375" style="111" bestFit="1" customWidth="1"/>
    <col min="11702" max="11702" width="10.42578125" style="111" bestFit="1" customWidth="1"/>
    <col min="11703" max="11703" width="7.42578125" style="111" bestFit="1" customWidth="1"/>
    <col min="11704" max="11704" width="7.7109375" style="111" bestFit="1" customWidth="1"/>
    <col min="11705" max="11705" width="10.42578125" style="111" bestFit="1" customWidth="1"/>
    <col min="11706" max="11706" width="8" style="111" bestFit="1" customWidth="1"/>
    <col min="11707" max="11707" width="7.7109375" style="111" bestFit="1" customWidth="1"/>
    <col min="11708" max="11708" width="10.42578125" style="111" bestFit="1" customWidth="1"/>
    <col min="11709" max="11709" width="7.42578125" style="111" bestFit="1" customWidth="1"/>
    <col min="11710" max="11710" width="7.7109375" style="111" bestFit="1" customWidth="1"/>
    <col min="11711" max="11711" width="10.42578125" style="111" bestFit="1" customWidth="1"/>
    <col min="11712" max="11712" width="7.42578125" style="111" bestFit="1" customWidth="1"/>
    <col min="11713" max="11713" width="7.7109375" style="111" bestFit="1" customWidth="1"/>
    <col min="11714" max="11714" width="10.42578125" style="111" bestFit="1" customWidth="1"/>
    <col min="11715" max="11715" width="5.140625" style="111" customWidth="1"/>
    <col min="11716" max="11938" width="8.7109375" style="111"/>
    <col min="11939" max="11939" width="3.42578125" style="111" customWidth="1"/>
    <col min="11940" max="11940" width="7" style="111" customWidth="1"/>
    <col min="11941" max="11941" width="25.42578125" style="111" customWidth="1"/>
    <col min="11942" max="11942" width="12" style="111" customWidth="1"/>
    <col min="11943" max="11943" width="12.7109375" style="111" bestFit="1" customWidth="1"/>
    <col min="11944" max="11944" width="7.42578125" style="111" bestFit="1" customWidth="1"/>
    <col min="11945" max="11945" width="7.7109375" style="111" bestFit="1" customWidth="1"/>
    <col min="11946" max="11946" width="15" style="111" customWidth="1"/>
    <col min="11947" max="11947" width="7.42578125" style="111" bestFit="1" customWidth="1"/>
    <col min="11948" max="11948" width="7.7109375" style="111" bestFit="1" customWidth="1"/>
    <col min="11949" max="11949" width="15" style="111" bestFit="1" customWidth="1"/>
    <col min="11950" max="11950" width="7.42578125" style="111" bestFit="1" customWidth="1"/>
    <col min="11951" max="11951" width="7.7109375" style="111" bestFit="1" customWidth="1"/>
    <col min="11952" max="11952" width="9.42578125" style="111" bestFit="1" customWidth="1"/>
    <col min="11953" max="11953" width="8" style="111" bestFit="1" customWidth="1"/>
    <col min="11954" max="11954" width="7.7109375" style="111" bestFit="1" customWidth="1"/>
    <col min="11955" max="11955" width="10.42578125" style="111" bestFit="1" customWidth="1"/>
    <col min="11956" max="11956" width="8" style="111" bestFit="1" customWidth="1"/>
    <col min="11957" max="11957" width="7.7109375" style="111" bestFit="1" customWidth="1"/>
    <col min="11958" max="11958" width="10.42578125" style="111" bestFit="1" customWidth="1"/>
    <col min="11959" max="11959" width="7.42578125" style="111" bestFit="1" customWidth="1"/>
    <col min="11960" max="11960" width="7.7109375" style="111" bestFit="1" customWidth="1"/>
    <col min="11961" max="11961" width="10.42578125" style="111" bestFit="1" customWidth="1"/>
    <col min="11962" max="11962" width="8" style="111" bestFit="1" customWidth="1"/>
    <col min="11963" max="11963" width="7.7109375" style="111" bestFit="1" customWidth="1"/>
    <col min="11964" max="11964" width="10.42578125" style="111" bestFit="1" customWidth="1"/>
    <col min="11965" max="11965" width="7.42578125" style="111" bestFit="1" customWidth="1"/>
    <col min="11966" max="11966" width="7.7109375" style="111" bestFit="1" customWidth="1"/>
    <col min="11967" max="11967" width="10.42578125" style="111" bestFit="1" customWidth="1"/>
    <col min="11968" max="11968" width="7.42578125" style="111" bestFit="1" customWidth="1"/>
    <col min="11969" max="11969" width="7.7109375" style="111" bestFit="1" customWidth="1"/>
    <col min="11970" max="11970" width="10.42578125" style="111" bestFit="1" customWidth="1"/>
    <col min="11971" max="11971" width="5.140625" style="111" customWidth="1"/>
    <col min="11972" max="12194" width="8.7109375" style="111"/>
    <col min="12195" max="12195" width="3.42578125" style="111" customWidth="1"/>
    <col min="12196" max="12196" width="7" style="111" customWidth="1"/>
    <col min="12197" max="12197" width="25.42578125" style="111" customWidth="1"/>
    <col min="12198" max="12198" width="12" style="111" customWidth="1"/>
    <col min="12199" max="12199" width="12.7109375" style="111" bestFit="1" customWidth="1"/>
    <col min="12200" max="12200" width="7.42578125" style="111" bestFit="1" customWidth="1"/>
    <col min="12201" max="12201" width="7.7109375" style="111" bestFit="1" customWidth="1"/>
    <col min="12202" max="12202" width="15" style="111" customWidth="1"/>
    <col min="12203" max="12203" width="7.42578125" style="111" bestFit="1" customWidth="1"/>
    <col min="12204" max="12204" width="7.7109375" style="111" bestFit="1" customWidth="1"/>
    <col min="12205" max="12205" width="15" style="111" bestFit="1" customWidth="1"/>
    <col min="12206" max="12206" width="7.42578125" style="111" bestFit="1" customWidth="1"/>
    <col min="12207" max="12207" width="7.7109375" style="111" bestFit="1" customWidth="1"/>
    <col min="12208" max="12208" width="9.42578125" style="111" bestFit="1" customWidth="1"/>
    <col min="12209" max="12209" width="8" style="111" bestFit="1" customWidth="1"/>
    <col min="12210" max="12210" width="7.7109375" style="111" bestFit="1" customWidth="1"/>
    <col min="12211" max="12211" width="10.42578125" style="111" bestFit="1" customWidth="1"/>
    <col min="12212" max="12212" width="8" style="111" bestFit="1" customWidth="1"/>
    <col min="12213" max="12213" width="7.7109375" style="111" bestFit="1" customWidth="1"/>
    <col min="12214" max="12214" width="10.42578125" style="111" bestFit="1" customWidth="1"/>
    <col min="12215" max="12215" width="7.42578125" style="111" bestFit="1" customWidth="1"/>
    <col min="12216" max="12216" width="7.7109375" style="111" bestFit="1" customWidth="1"/>
    <col min="12217" max="12217" width="10.42578125" style="111" bestFit="1" customWidth="1"/>
    <col min="12218" max="12218" width="8" style="111" bestFit="1" customWidth="1"/>
    <col min="12219" max="12219" width="7.7109375" style="111" bestFit="1" customWidth="1"/>
    <col min="12220" max="12220" width="10.42578125" style="111" bestFit="1" customWidth="1"/>
    <col min="12221" max="12221" width="7.42578125" style="111" bestFit="1" customWidth="1"/>
    <col min="12222" max="12222" width="7.7109375" style="111" bestFit="1" customWidth="1"/>
    <col min="12223" max="12223" width="10.42578125" style="111" bestFit="1" customWidth="1"/>
    <col min="12224" max="12224" width="7.42578125" style="111" bestFit="1" customWidth="1"/>
    <col min="12225" max="12225" width="7.7109375" style="111" bestFit="1" customWidth="1"/>
    <col min="12226" max="12226" width="10.42578125" style="111" bestFit="1" customWidth="1"/>
    <col min="12227" max="12227" width="5.140625" style="111" customWidth="1"/>
    <col min="12228" max="12450" width="8.7109375" style="111"/>
    <col min="12451" max="12451" width="3.42578125" style="111" customWidth="1"/>
    <col min="12452" max="12452" width="7" style="111" customWidth="1"/>
    <col min="12453" max="12453" width="25.42578125" style="111" customWidth="1"/>
    <col min="12454" max="12454" width="12" style="111" customWidth="1"/>
    <col min="12455" max="12455" width="12.7109375" style="111" bestFit="1" customWidth="1"/>
    <col min="12456" max="12456" width="7.42578125" style="111" bestFit="1" customWidth="1"/>
    <col min="12457" max="12457" width="7.7109375" style="111" bestFit="1" customWidth="1"/>
    <col min="12458" max="12458" width="15" style="111" customWidth="1"/>
    <col min="12459" max="12459" width="7.42578125" style="111" bestFit="1" customWidth="1"/>
    <col min="12460" max="12460" width="7.7109375" style="111" bestFit="1" customWidth="1"/>
    <col min="12461" max="12461" width="15" style="111" bestFit="1" customWidth="1"/>
    <col min="12462" max="12462" width="7.42578125" style="111" bestFit="1" customWidth="1"/>
    <col min="12463" max="12463" width="7.7109375" style="111" bestFit="1" customWidth="1"/>
    <col min="12464" max="12464" width="9.42578125" style="111" bestFit="1" customWidth="1"/>
    <col min="12465" max="12465" width="8" style="111" bestFit="1" customWidth="1"/>
    <col min="12466" max="12466" width="7.7109375" style="111" bestFit="1" customWidth="1"/>
    <col min="12467" max="12467" width="10.42578125" style="111" bestFit="1" customWidth="1"/>
    <col min="12468" max="12468" width="8" style="111" bestFit="1" customWidth="1"/>
    <col min="12469" max="12469" width="7.7109375" style="111" bestFit="1" customWidth="1"/>
    <col min="12470" max="12470" width="10.42578125" style="111" bestFit="1" customWidth="1"/>
    <col min="12471" max="12471" width="7.42578125" style="111" bestFit="1" customWidth="1"/>
    <col min="12472" max="12472" width="7.7109375" style="111" bestFit="1" customWidth="1"/>
    <col min="12473" max="12473" width="10.42578125" style="111" bestFit="1" customWidth="1"/>
    <col min="12474" max="12474" width="8" style="111" bestFit="1" customWidth="1"/>
    <col min="12475" max="12475" width="7.7109375" style="111" bestFit="1" customWidth="1"/>
    <col min="12476" max="12476" width="10.42578125" style="111" bestFit="1" customWidth="1"/>
    <col min="12477" max="12477" width="7.42578125" style="111" bestFit="1" customWidth="1"/>
    <col min="12478" max="12478" width="7.7109375" style="111" bestFit="1" customWidth="1"/>
    <col min="12479" max="12479" width="10.42578125" style="111" bestFit="1" customWidth="1"/>
    <col min="12480" max="12480" width="7.42578125" style="111" bestFit="1" customWidth="1"/>
    <col min="12481" max="12481" width="7.7109375" style="111" bestFit="1" customWidth="1"/>
    <col min="12482" max="12482" width="10.42578125" style="111" bestFit="1" customWidth="1"/>
    <col min="12483" max="12483" width="5.140625" style="111" customWidth="1"/>
    <col min="12484" max="12706" width="8.7109375" style="111"/>
    <col min="12707" max="12707" width="3.42578125" style="111" customWidth="1"/>
    <col min="12708" max="12708" width="7" style="111" customWidth="1"/>
    <col min="12709" max="12709" width="25.42578125" style="111" customWidth="1"/>
    <col min="12710" max="12710" width="12" style="111" customWidth="1"/>
    <col min="12711" max="12711" width="12.7109375" style="111" bestFit="1" customWidth="1"/>
    <col min="12712" max="12712" width="7.42578125" style="111" bestFit="1" customWidth="1"/>
    <col min="12713" max="12713" width="7.7109375" style="111" bestFit="1" customWidth="1"/>
    <col min="12714" max="12714" width="15" style="111" customWidth="1"/>
    <col min="12715" max="12715" width="7.42578125" style="111" bestFit="1" customWidth="1"/>
    <col min="12716" max="12716" width="7.7109375" style="111" bestFit="1" customWidth="1"/>
    <col min="12717" max="12717" width="15" style="111" bestFit="1" customWidth="1"/>
    <col min="12718" max="12718" width="7.42578125" style="111" bestFit="1" customWidth="1"/>
    <col min="12719" max="12719" width="7.7109375" style="111" bestFit="1" customWidth="1"/>
    <col min="12720" max="12720" width="9.42578125" style="111" bestFit="1" customWidth="1"/>
    <col min="12721" max="12721" width="8" style="111" bestFit="1" customWidth="1"/>
    <col min="12722" max="12722" width="7.7109375" style="111" bestFit="1" customWidth="1"/>
    <col min="12723" max="12723" width="10.42578125" style="111" bestFit="1" customWidth="1"/>
    <col min="12724" max="12724" width="8" style="111" bestFit="1" customWidth="1"/>
    <col min="12725" max="12725" width="7.7109375" style="111" bestFit="1" customWidth="1"/>
    <col min="12726" max="12726" width="10.42578125" style="111" bestFit="1" customWidth="1"/>
    <col min="12727" max="12727" width="7.42578125" style="111" bestFit="1" customWidth="1"/>
    <col min="12728" max="12728" width="7.7109375" style="111" bestFit="1" customWidth="1"/>
    <col min="12729" max="12729" width="10.42578125" style="111" bestFit="1" customWidth="1"/>
    <col min="12730" max="12730" width="8" style="111" bestFit="1" customWidth="1"/>
    <col min="12731" max="12731" width="7.7109375" style="111" bestFit="1" customWidth="1"/>
    <col min="12732" max="12732" width="10.42578125" style="111" bestFit="1" customWidth="1"/>
    <col min="12733" max="12733" width="7.42578125" style="111" bestFit="1" customWidth="1"/>
    <col min="12734" max="12734" width="7.7109375" style="111" bestFit="1" customWidth="1"/>
    <col min="12735" max="12735" width="10.42578125" style="111" bestFit="1" customWidth="1"/>
    <col min="12736" max="12736" width="7.42578125" style="111" bestFit="1" customWidth="1"/>
    <col min="12737" max="12737" width="7.7109375" style="111" bestFit="1" customWidth="1"/>
    <col min="12738" max="12738" width="10.42578125" style="111" bestFit="1" customWidth="1"/>
    <col min="12739" max="12739" width="5.140625" style="111" customWidth="1"/>
    <col min="12740" max="12962" width="8.7109375" style="111"/>
    <col min="12963" max="12963" width="3.42578125" style="111" customWidth="1"/>
    <col min="12964" max="12964" width="7" style="111" customWidth="1"/>
    <col min="12965" max="12965" width="25.42578125" style="111" customWidth="1"/>
    <col min="12966" max="12966" width="12" style="111" customWidth="1"/>
    <col min="12967" max="12967" width="12.7109375" style="111" bestFit="1" customWidth="1"/>
    <col min="12968" max="12968" width="7.42578125" style="111" bestFit="1" customWidth="1"/>
    <col min="12969" max="12969" width="7.7109375" style="111" bestFit="1" customWidth="1"/>
    <col min="12970" max="12970" width="15" style="111" customWidth="1"/>
    <col min="12971" max="12971" width="7.42578125" style="111" bestFit="1" customWidth="1"/>
    <col min="12972" max="12972" width="7.7109375" style="111" bestFit="1" customWidth="1"/>
    <col min="12973" max="12973" width="15" style="111" bestFit="1" customWidth="1"/>
    <col min="12974" max="12974" width="7.42578125" style="111" bestFit="1" customWidth="1"/>
    <col min="12975" max="12975" width="7.7109375" style="111" bestFit="1" customWidth="1"/>
    <col min="12976" max="12976" width="9.42578125" style="111" bestFit="1" customWidth="1"/>
    <col min="12977" max="12977" width="8" style="111" bestFit="1" customWidth="1"/>
    <col min="12978" max="12978" width="7.7109375" style="111" bestFit="1" customWidth="1"/>
    <col min="12979" max="12979" width="10.42578125" style="111" bestFit="1" customWidth="1"/>
    <col min="12980" max="12980" width="8" style="111" bestFit="1" customWidth="1"/>
    <col min="12981" max="12981" width="7.7109375" style="111" bestFit="1" customWidth="1"/>
    <col min="12982" max="12982" width="10.42578125" style="111" bestFit="1" customWidth="1"/>
    <col min="12983" max="12983" width="7.42578125" style="111" bestFit="1" customWidth="1"/>
    <col min="12984" max="12984" width="7.7109375" style="111" bestFit="1" customWidth="1"/>
    <col min="12985" max="12985" width="10.42578125" style="111" bestFit="1" customWidth="1"/>
    <col min="12986" max="12986" width="8" style="111" bestFit="1" customWidth="1"/>
    <col min="12987" max="12987" width="7.7109375" style="111" bestFit="1" customWidth="1"/>
    <col min="12988" max="12988" width="10.42578125" style="111" bestFit="1" customWidth="1"/>
    <col min="12989" max="12989" width="7.42578125" style="111" bestFit="1" customWidth="1"/>
    <col min="12990" max="12990" width="7.7109375" style="111" bestFit="1" customWidth="1"/>
    <col min="12991" max="12991" width="10.42578125" style="111" bestFit="1" customWidth="1"/>
    <col min="12992" max="12992" width="7.42578125" style="111" bestFit="1" customWidth="1"/>
    <col min="12993" max="12993" width="7.7109375" style="111" bestFit="1" customWidth="1"/>
    <col min="12994" max="12994" width="10.42578125" style="111" bestFit="1" customWidth="1"/>
    <col min="12995" max="12995" width="5.140625" style="111" customWidth="1"/>
    <col min="12996" max="13218" width="8.7109375" style="111"/>
    <col min="13219" max="13219" width="3.42578125" style="111" customWidth="1"/>
    <col min="13220" max="13220" width="7" style="111" customWidth="1"/>
    <col min="13221" max="13221" width="25.42578125" style="111" customWidth="1"/>
    <col min="13222" max="13222" width="12" style="111" customWidth="1"/>
    <col min="13223" max="13223" width="12.7109375" style="111" bestFit="1" customWidth="1"/>
    <col min="13224" max="13224" width="7.42578125" style="111" bestFit="1" customWidth="1"/>
    <col min="13225" max="13225" width="7.7109375" style="111" bestFit="1" customWidth="1"/>
    <col min="13226" max="13226" width="15" style="111" customWidth="1"/>
    <col min="13227" max="13227" width="7.42578125" style="111" bestFit="1" customWidth="1"/>
    <col min="13228" max="13228" width="7.7109375" style="111" bestFit="1" customWidth="1"/>
    <col min="13229" max="13229" width="15" style="111" bestFit="1" customWidth="1"/>
    <col min="13230" max="13230" width="7.42578125" style="111" bestFit="1" customWidth="1"/>
    <col min="13231" max="13231" width="7.7109375" style="111" bestFit="1" customWidth="1"/>
    <col min="13232" max="13232" width="9.42578125" style="111" bestFit="1" customWidth="1"/>
    <col min="13233" max="13233" width="8" style="111" bestFit="1" customWidth="1"/>
    <col min="13234" max="13234" width="7.7109375" style="111" bestFit="1" customWidth="1"/>
    <col min="13235" max="13235" width="10.42578125" style="111" bestFit="1" customWidth="1"/>
    <col min="13236" max="13236" width="8" style="111" bestFit="1" customWidth="1"/>
    <col min="13237" max="13237" width="7.7109375" style="111" bestFit="1" customWidth="1"/>
    <col min="13238" max="13238" width="10.42578125" style="111" bestFit="1" customWidth="1"/>
    <col min="13239" max="13239" width="7.42578125" style="111" bestFit="1" customWidth="1"/>
    <col min="13240" max="13240" width="7.7109375" style="111" bestFit="1" customWidth="1"/>
    <col min="13241" max="13241" width="10.42578125" style="111" bestFit="1" customWidth="1"/>
    <col min="13242" max="13242" width="8" style="111" bestFit="1" customWidth="1"/>
    <col min="13243" max="13243" width="7.7109375" style="111" bestFit="1" customWidth="1"/>
    <col min="13244" max="13244" width="10.42578125" style="111" bestFit="1" customWidth="1"/>
    <col min="13245" max="13245" width="7.42578125" style="111" bestFit="1" customWidth="1"/>
    <col min="13246" max="13246" width="7.7109375" style="111" bestFit="1" customWidth="1"/>
    <col min="13247" max="13247" width="10.42578125" style="111" bestFit="1" customWidth="1"/>
    <col min="13248" max="13248" width="7.42578125" style="111" bestFit="1" customWidth="1"/>
    <col min="13249" max="13249" width="7.7109375" style="111" bestFit="1" customWidth="1"/>
    <col min="13250" max="13250" width="10.42578125" style="111" bestFit="1" customWidth="1"/>
    <col min="13251" max="13251" width="5.140625" style="111" customWidth="1"/>
    <col min="13252" max="13474" width="8.7109375" style="111"/>
    <col min="13475" max="13475" width="3.42578125" style="111" customWidth="1"/>
    <col min="13476" max="13476" width="7" style="111" customWidth="1"/>
    <col min="13477" max="13477" width="25.42578125" style="111" customWidth="1"/>
    <col min="13478" max="13478" width="12" style="111" customWidth="1"/>
    <col min="13479" max="13479" width="12.7109375" style="111" bestFit="1" customWidth="1"/>
    <col min="13480" max="13480" width="7.42578125" style="111" bestFit="1" customWidth="1"/>
    <col min="13481" max="13481" width="7.7109375" style="111" bestFit="1" customWidth="1"/>
    <col min="13482" max="13482" width="15" style="111" customWidth="1"/>
    <col min="13483" max="13483" width="7.42578125" style="111" bestFit="1" customWidth="1"/>
    <col min="13484" max="13484" width="7.7109375" style="111" bestFit="1" customWidth="1"/>
    <col min="13485" max="13485" width="15" style="111" bestFit="1" customWidth="1"/>
    <col min="13486" max="13486" width="7.42578125" style="111" bestFit="1" customWidth="1"/>
    <col min="13487" max="13487" width="7.7109375" style="111" bestFit="1" customWidth="1"/>
    <col min="13488" max="13488" width="9.42578125" style="111" bestFit="1" customWidth="1"/>
    <col min="13489" max="13489" width="8" style="111" bestFit="1" customWidth="1"/>
    <col min="13490" max="13490" width="7.7109375" style="111" bestFit="1" customWidth="1"/>
    <col min="13491" max="13491" width="10.42578125" style="111" bestFit="1" customWidth="1"/>
    <col min="13492" max="13492" width="8" style="111" bestFit="1" customWidth="1"/>
    <col min="13493" max="13493" width="7.7109375" style="111" bestFit="1" customWidth="1"/>
    <col min="13494" max="13494" width="10.42578125" style="111" bestFit="1" customWidth="1"/>
    <col min="13495" max="13495" width="7.42578125" style="111" bestFit="1" customWidth="1"/>
    <col min="13496" max="13496" width="7.7109375" style="111" bestFit="1" customWidth="1"/>
    <col min="13497" max="13497" width="10.42578125" style="111" bestFit="1" customWidth="1"/>
    <col min="13498" max="13498" width="8" style="111" bestFit="1" customWidth="1"/>
    <col min="13499" max="13499" width="7.7109375" style="111" bestFit="1" customWidth="1"/>
    <col min="13500" max="13500" width="10.42578125" style="111" bestFit="1" customWidth="1"/>
    <col min="13501" max="13501" width="7.42578125" style="111" bestFit="1" customWidth="1"/>
    <col min="13502" max="13502" width="7.7109375" style="111" bestFit="1" customWidth="1"/>
    <col min="13503" max="13503" width="10.42578125" style="111" bestFit="1" customWidth="1"/>
    <col min="13504" max="13504" width="7.42578125" style="111" bestFit="1" customWidth="1"/>
    <col min="13505" max="13505" width="7.7109375" style="111" bestFit="1" customWidth="1"/>
    <col min="13506" max="13506" width="10.42578125" style="111" bestFit="1" customWidth="1"/>
    <col min="13507" max="13507" width="5.140625" style="111" customWidth="1"/>
    <col min="13508" max="13730" width="8.7109375" style="111"/>
    <col min="13731" max="13731" width="3.42578125" style="111" customWidth="1"/>
    <col min="13732" max="13732" width="7" style="111" customWidth="1"/>
    <col min="13733" max="13733" width="25.42578125" style="111" customWidth="1"/>
    <col min="13734" max="13734" width="12" style="111" customWidth="1"/>
    <col min="13735" max="13735" width="12.7109375" style="111" bestFit="1" customWidth="1"/>
    <col min="13736" max="13736" width="7.42578125" style="111" bestFit="1" customWidth="1"/>
    <col min="13737" max="13737" width="7.7109375" style="111" bestFit="1" customWidth="1"/>
    <col min="13738" max="13738" width="15" style="111" customWidth="1"/>
    <col min="13739" max="13739" width="7.42578125" style="111" bestFit="1" customWidth="1"/>
    <col min="13740" max="13740" width="7.7109375" style="111" bestFit="1" customWidth="1"/>
    <col min="13741" max="13741" width="15" style="111" bestFit="1" customWidth="1"/>
    <col min="13742" max="13742" width="7.42578125" style="111" bestFit="1" customWidth="1"/>
    <col min="13743" max="13743" width="7.7109375" style="111" bestFit="1" customWidth="1"/>
    <col min="13744" max="13744" width="9.42578125" style="111" bestFit="1" customWidth="1"/>
    <col min="13745" max="13745" width="8" style="111" bestFit="1" customWidth="1"/>
    <col min="13746" max="13746" width="7.7109375" style="111" bestFit="1" customWidth="1"/>
    <col min="13747" max="13747" width="10.42578125" style="111" bestFit="1" customWidth="1"/>
    <col min="13748" max="13748" width="8" style="111" bestFit="1" customWidth="1"/>
    <col min="13749" max="13749" width="7.7109375" style="111" bestFit="1" customWidth="1"/>
    <col min="13750" max="13750" width="10.42578125" style="111" bestFit="1" customWidth="1"/>
    <col min="13751" max="13751" width="7.42578125" style="111" bestFit="1" customWidth="1"/>
    <col min="13752" max="13752" width="7.7109375" style="111" bestFit="1" customWidth="1"/>
    <col min="13753" max="13753" width="10.42578125" style="111" bestFit="1" customWidth="1"/>
    <col min="13754" max="13754" width="8" style="111" bestFit="1" customWidth="1"/>
    <col min="13755" max="13755" width="7.7109375" style="111" bestFit="1" customWidth="1"/>
    <col min="13756" max="13756" width="10.42578125" style="111" bestFit="1" customWidth="1"/>
    <col min="13757" max="13757" width="7.42578125" style="111" bestFit="1" customWidth="1"/>
    <col min="13758" max="13758" width="7.7109375" style="111" bestFit="1" customWidth="1"/>
    <col min="13759" max="13759" width="10.42578125" style="111" bestFit="1" customWidth="1"/>
    <col min="13760" max="13760" width="7.42578125" style="111" bestFit="1" customWidth="1"/>
    <col min="13761" max="13761" width="7.7109375" style="111" bestFit="1" customWidth="1"/>
    <col min="13762" max="13762" width="10.42578125" style="111" bestFit="1" customWidth="1"/>
    <col min="13763" max="13763" width="5.140625" style="111" customWidth="1"/>
    <col min="13764" max="13986" width="8.7109375" style="111"/>
    <col min="13987" max="13987" width="3.42578125" style="111" customWidth="1"/>
    <col min="13988" max="13988" width="7" style="111" customWidth="1"/>
    <col min="13989" max="13989" width="25.42578125" style="111" customWidth="1"/>
    <col min="13990" max="13990" width="12" style="111" customWidth="1"/>
    <col min="13991" max="13991" width="12.7109375" style="111" bestFit="1" customWidth="1"/>
    <col min="13992" max="13992" width="7.42578125" style="111" bestFit="1" customWidth="1"/>
    <col min="13993" max="13993" width="7.7109375" style="111" bestFit="1" customWidth="1"/>
    <col min="13994" max="13994" width="15" style="111" customWidth="1"/>
    <col min="13995" max="13995" width="7.42578125" style="111" bestFit="1" customWidth="1"/>
    <col min="13996" max="13996" width="7.7109375" style="111" bestFit="1" customWidth="1"/>
    <col min="13997" max="13997" width="15" style="111" bestFit="1" customWidth="1"/>
    <col min="13998" max="13998" width="7.42578125" style="111" bestFit="1" customWidth="1"/>
    <col min="13999" max="13999" width="7.7109375" style="111" bestFit="1" customWidth="1"/>
    <col min="14000" max="14000" width="9.42578125" style="111" bestFit="1" customWidth="1"/>
    <col min="14001" max="14001" width="8" style="111" bestFit="1" customWidth="1"/>
    <col min="14002" max="14002" width="7.7109375" style="111" bestFit="1" customWidth="1"/>
    <col min="14003" max="14003" width="10.42578125" style="111" bestFit="1" customWidth="1"/>
    <col min="14004" max="14004" width="8" style="111" bestFit="1" customWidth="1"/>
    <col min="14005" max="14005" width="7.7109375" style="111" bestFit="1" customWidth="1"/>
    <col min="14006" max="14006" width="10.42578125" style="111" bestFit="1" customWidth="1"/>
    <col min="14007" max="14007" width="7.42578125" style="111" bestFit="1" customWidth="1"/>
    <col min="14008" max="14008" width="7.7109375" style="111" bestFit="1" customWidth="1"/>
    <col min="14009" max="14009" width="10.42578125" style="111" bestFit="1" customWidth="1"/>
    <col min="14010" max="14010" width="8" style="111" bestFit="1" customWidth="1"/>
    <col min="14011" max="14011" width="7.7109375" style="111" bestFit="1" customWidth="1"/>
    <col min="14012" max="14012" width="10.42578125" style="111" bestFit="1" customWidth="1"/>
    <col min="14013" max="14013" width="7.42578125" style="111" bestFit="1" customWidth="1"/>
    <col min="14014" max="14014" width="7.7109375" style="111" bestFit="1" customWidth="1"/>
    <col min="14015" max="14015" width="10.42578125" style="111" bestFit="1" customWidth="1"/>
    <col min="14016" max="14016" width="7.42578125" style="111" bestFit="1" customWidth="1"/>
    <col min="14017" max="14017" width="7.7109375" style="111" bestFit="1" customWidth="1"/>
    <col min="14018" max="14018" width="10.42578125" style="111" bestFit="1" customWidth="1"/>
    <col min="14019" max="14019" width="5.140625" style="111" customWidth="1"/>
    <col min="14020" max="14242" width="8.7109375" style="111"/>
    <col min="14243" max="14243" width="3.42578125" style="111" customWidth="1"/>
    <col min="14244" max="14244" width="7" style="111" customWidth="1"/>
    <col min="14245" max="14245" width="25.42578125" style="111" customWidth="1"/>
    <col min="14246" max="14246" width="12" style="111" customWidth="1"/>
    <col min="14247" max="14247" width="12.7109375" style="111" bestFit="1" customWidth="1"/>
    <col min="14248" max="14248" width="7.42578125" style="111" bestFit="1" customWidth="1"/>
    <col min="14249" max="14249" width="7.7109375" style="111" bestFit="1" customWidth="1"/>
    <col min="14250" max="14250" width="15" style="111" customWidth="1"/>
    <col min="14251" max="14251" width="7.42578125" style="111" bestFit="1" customWidth="1"/>
    <col min="14252" max="14252" width="7.7109375" style="111" bestFit="1" customWidth="1"/>
    <col min="14253" max="14253" width="15" style="111" bestFit="1" customWidth="1"/>
    <col min="14254" max="14254" width="7.42578125" style="111" bestFit="1" customWidth="1"/>
    <col min="14255" max="14255" width="7.7109375" style="111" bestFit="1" customWidth="1"/>
    <col min="14256" max="14256" width="9.42578125" style="111" bestFit="1" customWidth="1"/>
    <col min="14257" max="14257" width="8" style="111" bestFit="1" customWidth="1"/>
    <col min="14258" max="14258" width="7.7109375" style="111" bestFit="1" customWidth="1"/>
    <col min="14259" max="14259" width="10.42578125" style="111" bestFit="1" customWidth="1"/>
    <col min="14260" max="14260" width="8" style="111" bestFit="1" customWidth="1"/>
    <col min="14261" max="14261" width="7.7109375" style="111" bestFit="1" customWidth="1"/>
    <col min="14262" max="14262" width="10.42578125" style="111" bestFit="1" customWidth="1"/>
    <col min="14263" max="14263" width="7.42578125" style="111" bestFit="1" customWidth="1"/>
    <col min="14264" max="14264" width="7.7109375" style="111" bestFit="1" customWidth="1"/>
    <col min="14265" max="14265" width="10.42578125" style="111" bestFit="1" customWidth="1"/>
    <col min="14266" max="14266" width="8" style="111" bestFit="1" customWidth="1"/>
    <col min="14267" max="14267" width="7.7109375" style="111" bestFit="1" customWidth="1"/>
    <col min="14268" max="14268" width="10.42578125" style="111" bestFit="1" customWidth="1"/>
    <col min="14269" max="14269" width="7.42578125" style="111" bestFit="1" customWidth="1"/>
    <col min="14270" max="14270" width="7.7109375" style="111" bestFit="1" customWidth="1"/>
    <col min="14271" max="14271" width="10.42578125" style="111" bestFit="1" customWidth="1"/>
    <col min="14272" max="14272" width="7.42578125" style="111" bestFit="1" customWidth="1"/>
    <col min="14273" max="14273" width="7.7109375" style="111" bestFit="1" customWidth="1"/>
    <col min="14274" max="14274" width="10.42578125" style="111" bestFit="1" customWidth="1"/>
    <col min="14275" max="14275" width="5.140625" style="111" customWidth="1"/>
    <col min="14276" max="14498" width="8.7109375" style="111"/>
    <col min="14499" max="14499" width="3.42578125" style="111" customWidth="1"/>
    <col min="14500" max="14500" width="7" style="111" customWidth="1"/>
    <col min="14501" max="14501" width="25.42578125" style="111" customWidth="1"/>
    <col min="14502" max="14502" width="12" style="111" customWidth="1"/>
    <col min="14503" max="14503" width="12.7109375" style="111" bestFit="1" customWidth="1"/>
    <col min="14504" max="14504" width="7.42578125" style="111" bestFit="1" customWidth="1"/>
    <col min="14505" max="14505" width="7.7109375" style="111" bestFit="1" customWidth="1"/>
    <col min="14506" max="14506" width="15" style="111" customWidth="1"/>
    <col min="14507" max="14507" width="7.42578125" style="111" bestFit="1" customWidth="1"/>
    <col min="14508" max="14508" width="7.7109375" style="111" bestFit="1" customWidth="1"/>
    <col min="14509" max="14509" width="15" style="111" bestFit="1" customWidth="1"/>
    <col min="14510" max="14510" width="7.42578125" style="111" bestFit="1" customWidth="1"/>
    <col min="14511" max="14511" width="7.7109375" style="111" bestFit="1" customWidth="1"/>
    <col min="14512" max="14512" width="9.42578125" style="111" bestFit="1" customWidth="1"/>
    <col min="14513" max="14513" width="8" style="111" bestFit="1" customWidth="1"/>
    <col min="14514" max="14514" width="7.7109375" style="111" bestFit="1" customWidth="1"/>
    <col min="14515" max="14515" width="10.42578125" style="111" bestFit="1" customWidth="1"/>
    <col min="14516" max="14516" width="8" style="111" bestFit="1" customWidth="1"/>
    <col min="14517" max="14517" width="7.7109375" style="111" bestFit="1" customWidth="1"/>
    <col min="14518" max="14518" width="10.42578125" style="111" bestFit="1" customWidth="1"/>
    <col min="14519" max="14519" width="7.42578125" style="111" bestFit="1" customWidth="1"/>
    <col min="14520" max="14520" width="7.7109375" style="111" bestFit="1" customWidth="1"/>
    <col min="14521" max="14521" width="10.42578125" style="111" bestFit="1" customWidth="1"/>
    <col min="14522" max="14522" width="8" style="111" bestFit="1" customWidth="1"/>
    <col min="14523" max="14523" width="7.7109375" style="111" bestFit="1" customWidth="1"/>
    <col min="14524" max="14524" width="10.42578125" style="111" bestFit="1" customWidth="1"/>
    <col min="14525" max="14525" width="7.42578125" style="111" bestFit="1" customWidth="1"/>
    <col min="14526" max="14526" width="7.7109375" style="111" bestFit="1" customWidth="1"/>
    <col min="14527" max="14527" width="10.42578125" style="111" bestFit="1" customWidth="1"/>
    <col min="14528" max="14528" width="7.42578125" style="111" bestFit="1" customWidth="1"/>
    <col min="14529" max="14529" width="7.7109375" style="111" bestFit="1" customWidth="1"/>
    <col min="14530" max="14530" width="10.42578125" style="111" bestFit="1" customWidth="1"/>
    <col min="14531" max="14531" width="5.140625" style="111" customWidth="1"/>
    <col min="14532" max="14754" width="8.7109375" style="111"/>
    <col min="14755" max="14755" width="3.42578125" style="111" customWidth="1"/>
    <col min="14756" max="14756" width="7" style="111" customWidth="1"/>
    <col min="14757" max="14757" width="25.42578125" style="111" customWidth="1"/>
    <col min="14758" max="14758" width="12" style="111" customWidth="1"/>
    <col min="14759" max="14759" width="12.7109375" style="111" bestFit="1" customWidth="1"/>
    <col min="14760" max="14760" width="7.42578125" style="111" bestFit="1" customWidth="1"/>
    <col min="14761" max="14761" width="7.7109375" style="111" bestFit="1" customWidth="1"/>
    <col min="14762" max="14762" width="15" style="111" customWidth="1"/>
    <col min="14763" max="14763" width="7.42578125" style="111" bestFit="1" customWidth="1"/>
    <col min="14764" max="14764" width="7.7109375" style="111" bestFit="1" customWidth="1"/>
    <col min="14765" max="14765" width="15" style="111" bestFit="1" customWidth="1"/>
    <col min="14766" max="14766" width="7.42578125" style="111" bestFit="1" customWidth="1"/>
    <col min="14767" max="14767" width="7.7109375" style="111" bestFit="1" customWidth="1"/>
    <col min="14768" max="14768" width="9.42578125" style="111" bestFit="1" customWidth="1"/>
    <col min="14769" max="14769" width="8" style="111" bestFit="1" customWidth="1"/>
    <col min="14770" max="14770" width="7.7109375" style="111" bestFit="1" customWidth="1"/>
    <col min="14771" max="14771" width="10.42578125" style="111" bestFit="1" customWidth="1"/>
    <col min="14772" max="14772" width="8" style="111" bestFit="1" customWidth="1"/>
    <col min="14773" max="14773" width="7.7109375" style="111" bestFit="1" customWidth="1"/>
    <col min="14774" max="14774" width="10.42578125" style="111" bestFit="1" customWidth="1"/>
    <col min="14775" max="14775" width="7.42578125" style="111" bestFit="1" customWidth="1"/>
    <col min="14776" max="14776" width="7.7109375" style="111" bestFit="1" customWidth="1"/>
    <col min="14777" max="14777" width="10.42578125" style="111" bestFit="1" customWidth="1"/>
    <col min="14778" max="14778" width="8" style="111" bestFit="1" customWidth="1"/>
    <col min="14779" max="14779" width="7.7109375" style="111" bestFit="1" customWidth="1"/>
    <col min="14780" max="14780" width="10.42578125" style="111" bestFit="1" customWidth="1"/>
    <col min="14781" max="14781" width="7.42578125" style="111" bestFit="1" customWidth="1"/>
    <col min="14782" max="14782" width="7.7109375" style="111" bestFit="1" customWidth="1"/>
    <col min="14783" max="14783" width="10.42578125" style="111" bestFit="1" customWidth="1"/>
    <col min="14784" max="14784" width="7.42578125" style="111" bestFit="1" customWidth="1"/>
    <col min="14785" max="14785" width="7.7109375" style="111" bestFit="1" customWidth="1"/>
    <col min="14786" max="14786" width="10.42578125" style="111" bestFit="1" customWidth="1"/>
    <col min="14787" max="14787" width="5.140625" style="111" customWidth="1"/>
    <col min="14788" max="15010" width="8.7109375" style="111"/>
    <col min="15011" max="15011" width="3.42578125" style="111" customWidth="1"/>
    <col min="15012" max="15012" width="7" style="111" customWidth="1"/>
    <col min="15013" max="15013" width="25.42578125" style="111" customWidth="1"/>
    <col min="15014" max="15014" width="12" style="111" customWidth="1"/>
    <col min="15015" max="15015" width="12.7109375" style="111" bestFit="1" customWidth="1"/>
    <col min="15016" max="15016" width="7.42578125" style="111" bestFit="1" customWidth="1"/>
    <col min="15017" max="15017" width="7.7109375" style="111" bestFit="1" customWidth="1"/>
    <col min="15018" max="15018" width="15" style="111" customWidth="1"/>
    <col min="15019" max="15019" width="7.42578125" style="111" bestFit="1" customWidth="1"/>
    <col min="15020" max="15020" width="7.7109375" style="111" bestFit="1" customWidth="1"/>
    <col min="15021" max="15021" width="15" style="111" bestFit="1" customWidth="1"/>
    <col min="15022" max="15022" width="7.42578125" style="111" bestFit="1" customWidth="1"/>
    <col min="15023" max="15023" width="7.7109375" style="111" bestFit="1" customWidth="1"/>
    <col min="15024" max="15024" width="9.42578125" style="111" bestFit="1" customWidth="1"/>
    <col min="15025" max="15025" width="8" style="111" bestFit="1" customWidth="1"/>
    <col min="15026" max="15026" width="7.7109375" style="111" bestFit="1" customWidth="1"/>
    <col min="15027" max="15027" width="10.42578125" style="111" bestFit="1" customWidth="1"/>
    <col min="15028" max="15028" width="8" style="111" bestFit="1" customWidth="1"/>
    <col min="15029" max="15029" width="7.7109375" style="111" bestFit="1" customWidth="1"/>
    <col min="15030" max="15030" width="10.42578125" style="111" bestFit="1" customWidth="1"/>
    <col min="15031" max="15031" width="7.42578125" style="111" bestFit="1" customWidth="1"/>
    <col min="15032" max="15032" width="7.7109375" style="111" bestFit="1" customWidth="1"/>
    <col min="15033" max="15033" width="10.42578125" style="111" bestFit="1" customWidth="1"/>
    <col min="15034" max="15034" width="8" style="111" bestFit="1" customWidth="1"/>
    <col min="15035" max="15035" width="7.7109375" style="111" bestFit="1" customWidth="1"/>
    <col min="15036" max="15036" width="10.42578125" style="111" bestFit="1" customWidth="1"/>
    <col min="15037" max="15037" width="7.42578125" style="111" bestFit="1" customWidth="1"/>
    <col min="15038" max="15038" width="7.7109375" style="111" bestFit="1" customWidth="1"/>
    <col min="15039" max="15039" width="10.42578125" style="111" bestFit="1" customWidth="1"/>
    <col min="15040" max="15040" width="7.42578125" style="111" bestFit="1" customWidth="1"/>
    <col min="15041" max="15041" width="7.7109375" style="111" bestFit="1" customWidth="1"/>
    <col min="15042" max="15042" width="10.42578125" style="111" bestFit="1" customWidth="1"/>
    <col min="15043" max="15043" width="5.140625" style="111" customWidth="1"/>
    <col min="15044" max="15266" width="8.7109375" style="111"/>
    <col min="15267" max="15267" width="3.42578125" style="111" customWidth="1"/>
    <col min="15268" max="15268" width="7" style="111" customWidth="1"/>
    <col min="15269" max="15269" width="25.42578125" style="111" customWidth="1"/>
    <col min="15270" max="15270" width="12" style="111" customWidth="1"/>
    <col min="15271" max="15271" width="12.7109375" style="111" bestFit="1" customWidth="1"/>
    <col min="15272" max="15272" width="7.42578125" style="111" bestFit="1" customWidth="1"/>
    <col min="15273" max="15273" width="7.7109375" style="111" bestFit="1" customWidth="1"/>
    <col min="15274" max="15274" width="15" style="111" customWidth="1"/>
    <col min="15275" max="15275" width="7.42578125" style="111" bestFit="1" customWidth="1"/>
    <col min="15276" max="15276" width="7.7109375" style="111" bestFit="1" customWidth="1"/>
    <col min="15277" max="15277" width="15" style="111" bestFit="1" customWidth="1"/>
    <col min="15278" max="15278" width="7.42578125" style="111" bestFit="1" customWidth="1"/>
    <col min="15279" max="15279" width="7.7109375" style="111" bestFit="1" customWidth="1"/>
    <col min="15280" max="15280" width="9.42578125" style="111" bestFit="1" customWidth="1"/>
    <col min="15281" max="15281" width="8" style="111" bestFit="1" customWidth="1"/>
    <col min="15282" max="15282" width="7.7109375" style="111" bestFit="1" customWidth="1"/>
    <col min="15283" max="15283" width="10.42578125" style="111" bestFit="1" customWidth="1"/>
    <col min="15284" max="15284" width="8" style="111" bestFit="1" customWidth="1"/>
    <col min="15285" max="15285" width="7.7109375" style="111" bestFit="1" customWidth="1"/>
    <col min="15286" max="15286" width="10.42578125" style="111" bestFit="1" customWidth="1"/>
    <col min="15287" max="15287" width="7.42578125" style="111" bestFit="1" customWidth="1"/>
    <col min="15288" max="15288" width="7.7109375" style="111" bestFit="1" customWidth="1"/>
    <col min="15289" max="15289" width="10.42578125" style="111" bestFit="1" customWidth="1"/>
    <col min="15290" max="15290" width="8" style="111" bestFit="1" customWidth="1"/>
    <col min="15291" max="15291" width="7.7109375" style="111" bestFit="1" customWidth="1"/>
    <col min="15292" max="15292" width="10.42578125" style="111" bestFit="1" customWidth="1"/>
    <col min="15293" max="15293" width="7.42578125" style="111" bestFit="1" customWidth="1"/>
    <col min="15294" max="15294" width="7.7109375" style="111" bestFit="1" customWidth="1"/>
    <col min="15295" max="15295" width="10.42578125" style="111" bestFit="1" customWidth="1"/>
    <col min="15296" max="15296" width="7.42578125" style="111" bestFit="1" customWidth="1"/>
    <col min="15297" max="15297" width="7.7109375" style="111" bestFit="1" customWidth="1"/>
    <col min="15298" max="15298" width="10.42578125" style="111" bestFit="1" customWidth="1"/>
    <col min="15299" max="15299" width="5.140625" style="111" customWidth="1"/>
    <col min="15300" max="15522" width="8.7109375" style="111"/>
    <col min="15523" max="15523" width="3.42578125" style="111" customWidth="1"/>
    <col min="15524" max="15524" width="7" style="111" customWidth="1"/>
    <col min="15525" max="15525" width="25.42578125" style="111" customWidth="1"/>
    <col min="15526" max="15526" width="12" style="111" customWidth="1"/>
    <col min="15527" max="15527" width="12.7109375" style="111" bestFit="1" customWidth="1"/>
    <col min="15528" max="15528" width="7.42578125" style="111" bestFit="1" customWidth="1"/>
    <col min="15529" max="15529" width="7.7109375" style="111" bestFit="1" customWidth="1"/>
    <col min="15530" max="15530" width="15" style="111" customWidth="1"/>
    <col min="15531" max="15531" width="7.42578125" style="111" bestFit="1" customWidth="1"/>
    <col min="15532" max="15532" width="7.7109375" style="111" bestFit="1" customWidth="1"/>
    <col min="15533" max="15533" width="15" style="111" bestFit="1" customWidth="1"/>
    <col min="15534" max="15534" width="7.42578125" style="111" bestFit="1" customWidth="1"/>
    <col min="15535" max="15535" width="7.7109375" style="111" bestFit="1" customWidth="1"/>
    <col min="15536" max="15536" width="9.42578125" style="111" bestFit="1" customWidth="1"/>
    <col min="15537" max="15537" width="8" style="111" bestFit="1" customWidth="1"/>
    <col min="15538" max="15538" width="7.7109375" style="111" bestFit="1" customWidth="1"/>
    <col min="15539" max="15539" width="10.42578125" style="111" bestFit="1" customWidth="1"/>
    <col min="15540" max="15540" width="8" style="111" bestFit="1" customWidth="1"/>
    <col min="15541" max="15541" width="7.7109375" style="111" bestFit="1" customWidth="1"/>
    <col min="15542" max="15542" width="10.42578125" style="111" bestFit="1" customWidth="1"/>
    <col min="15543" max="15543" width="7.42578125" style="111" bestFit="1" customWidth="1"/>
    <col min="15544" max="15544" width="7.7109375" style="111" bestFit="1" customWidth="1"/>
    <col min="15545" max="15545" width="10.42578125" style="111" bestFit="1" customWidth="1"/>
    <col min="15546" max="15546" width="8" style="111" bestFit="1" customWidth="1"/>
    <col min="15547" max="15547" width="7.7109375" style="111" bestFit="1" customWidth="1"/>
    <col min="15548" max="15548" width="10.42578125" style="111" bestFit="1" customWidth="1"/>
    <col min="15549" max="15549" width="7.42578125" style="111" bestFit="1" customWidth="1"/>
    <col min="15550" max="15550" width="7.7109375" style="111" bestFit="1" customWidth="1"/>
    <col min="15551" max="15551" width="10.42578125" style="111" bestFit="1" customWidth="1"/>
    <col min="15552" max="15552" width="7.42578125" style="111" bestFit="1" customWidth="1"/>
    <col min="15553" max="15553" width="7.7109375" style="111" bestFit="1" customWidth="1"/>
    <col min="15554" max="15554" width="10.42578125" style="111" bestFit="1" customWidth="1"/>
    <col min="15555" max="15555" width="5.140625" style="111" customWidth="1"/>
    <col min="15556" max="15778" width="8.7109375" style="111"/>
    <col min="15779" max="15779" width="3.42578125" style="111" customWidth="1"/>
    <col min="15780" max="15780" width="7" style="111" customWidth="1"/>
    <col min="15781" max="15781" width="25.42578125" style="111" customWidth="1"/>
    <col min="15782" max="15782" width="12" style="111" customWidth="1"/>
    <col min="15783" max="15783" width="12.7109375" style="111" bestFit="1" customWidth="1"/>
    <col min="15784" max="15784" width="7.42578125" style="111" bestFit="1" customWidth="1"/>
    <col min="15785" max="15785" width="7.7109375" style="111" bestFit="1" customWidth="1"/>
    <col min="15786" max="15786" width="15" style="111" customWidth="1"/>
    <col min="15787" max="15787" width="7.42578125" style="111" bestFit="1" customWidth="1"/>
    <col min="15788" max="15788" width="7.7109375" style="111" bestFit="1" customWidth="1"/>
    <col min="15789" max="15789" width="15" style="111" bestFit="1" customWidth="1"/>
    <col min="15790" max="15790" width="7.42578125" style="111" bestFit="1" customWidth="1"/>
    <col min="15791" max="15791" width="7.7109375" style="111" bestFit="1" customWidth="1"/>
    <col min="15792" max="15792" width="9.42578125" style="111" bestFit="1" customWidth="1"/>
    <col min="15793" max="15793" width="8" style="111" bestFit="1" customWidth="1"/>
    <col min="15794" max="15794" width="7.7109375" style="111" bestFit="1" customWidth="1"/>
    <col min="15795" max="15795" width="10.42578125" style="111" bestFit="1" customWidth="1"/>
    <col min="15796" max="15796" width="8" style="111" bestFit="1" customWidth="1"/>
    <col min="15797" max="15797" width="7.7109375" style="111" bestFit="1" customWidth="1"/>
    <col min="15798" max="15798" width="10.42578125" style="111" bestFit="1" customWidth="1"/>
    <col min="15799" max="15799" width="7.42578125" style="111" bestFit="1" customWidth="1"/>
    <col min="15800" max="15800" width="7.7109375" style="111" bestFit="1" customWidth="1"/>
    <col min="15801" max="15801" width="10.42578125" style="111" bestFit="1" customWidth="1"/>
    <col min="15802" max="15802" width="8" style="111" bestFit="1" customWidth="1"/>
    <col min="15803" max="15803" width="7.7109375" style="111" bestFit="1" customWidth="1"/>
    <col min="15804" max="15804" width="10.42578125" style="111" bestFit="1" customWidth="1"/>
    <col min="15805" max="15805" width="7.42578125" style="111" bestFit="1" customWidth="1"/>
    <col min="15806" max="15806" width="7.7109375" style="111" bestFit="1" customWidth="1"/>
    <col min="15807" max="15807" width="10.42578125" style="111" bestFit="1" customWidth="1"/>
    <col min="15808" max="15808" width="7.42578125" style="111" bestFit="1" customWidth="1"/>
    <col min="15809" max="15809" width="7.7109375" style="111" bestFit="1" customWidth="1"/>
    <col min="15810" max="15810" width="10.42578125" style="111" bestFit="1" customWidth="1"/>
    <col min="15811" max="15811" width="5.140625" style="111" customWidth="1"/>
    <col min="15812" max="16034" width="8.7109375" style="111"/>
    <col min="16035" max="16035" width="3.42578125" style="111" customWidth="1"/>
    <col min="16036" max="16036" width="7" style="111" customWidth="1"/>
    <col min="16037" max="16037" width="25.42578125" style="111" customWidth="1"/>
    <col min="16038" max="16038" width="12" style="111" customWidth="1"/>
    <col min="16039" max="16039" width="12.7109375" style="111" bestFit="1" customWidth="1"/>
    <col min="16040" max="16040" width="7.42578125" style="111" bestFit="1" customWidth="1"/>
    <col min="16041" max="16041" width="7.7109375" style="111" bestFit="1" customWidth="1"/>
    <col min="16042" max="16042" width="15" style="111" customWidth="1"/>
    <col min="16043" max="16043" width="7.42578125" style="111" bestFit="1" customWidth="1"/>
    <col min="16044" max="16044" width="7.7109375" style="111" bestFit="1" customWidth="1"/>
    <col min="16045" max="16045" width="15" style="111" bestFit="1" customWidth="1"/>
    <col min="16046" max="16046" width="7.42578125" style="111" bestFit="1" customWidth="1"/>
    <col min="16047" max="16047" width="7.7109375" style="111" bestFit="1" customWidth="1"/>
    <col min="16048" max="16048" width="9.42578125" style="111" bestFit="1" customWidth="1"/>
    <col min="16049" max="16049" width="8" style="111" bestFit="1" customWidth="1"/>
    <col min="16050" max="16050" width="7.7109375" style="111" bestFit="1" customWidth="1"/>
    <col min="16051" max="16051" width="10.42578125" style="111" bestFit="1" customWidth="1"/>
    <col min="16052" max="16052" width="8" style="111" bestFit="1" customWidth="1"/>
    <col min="16053" max="16053" width="7.7109375" style="111" bestFit="1" customWidth="1"/>
    <col min="16054" max="16054" width="10.42578125" style="111" bestFit="1" customWidth="1"/>
    <col min="16055" max="16055" width="7.42578125" style="111" bestFit="1" customWidth="1"/>
    <col min="16056" max="16056" width="7.7109375" style="111" bestFit="1" customWidth="1"/>
    <col min="16057" max="16057" width="10.42578125" style="111" bestFit="1" customWidth="1"/>
    <col min="16058" max="16058" width="8" style="111" bestFit="1" customWidth="1"/>
    <col min="16059" max="16059" width="7.7109375" style="111" bestFit="1" customWidth="1"/>
    <col min="16060" max="16060" width="10.42578125" style="111" bestFit="1" customWidth="1"/>
    <col min="16061" max="16061" width="7.42578125" style="111" bestFit="1" customWidth="1"/>
    <col min="16062" max="16062" width="7.7109375" style="111" bestFit="1" customWidth="1"/>
    <col min="16063" max="16063" width="10.42578125" style="111" bestFit="1" customWidth="1"/>
    <col min="16064" max="16064" width="7.42578125" style="111" bestFit="1" customWidth="1"/>
    <col min="16065" max="16065" width="7.7109375" style="111" bestFit="1" customWidth="1"/>
    <col min="16066" max="16066" width="10.42578125" style="111" bestFit="1" customWidth="1"/>
    <col min="16067" max="16067" width="5.140625" style="111" customWidth="1"/>
    <col min="16068" max="16270" width="8.7109375" style="111"/>
    <col min="16271" max="16277" width="9.140625" style="111" customWidth="1"/>
    <col min="16278" max="16384" width="8.7109375" style="111"/>
  </cols>
  <sheetData>
    <row r="1" spans="2:31" s="109" customFormat="1" ht="21.95" customHeight="1" thickBot="1">
      <c r="B1" s="702">
        <f>QQP!G44</f>
        <v>0</v>
      </c>
      <c r="C1" s="703"/>
      <c r="D1" s="296" t="s">
        <v>225</v>
      </c>
      <c r="E1" s="297">
        <v>3</v>
      </c>
      <c r="F1" s="106" t="str">
        <f>QQP!B21</f>
        <v>2.2.1</v>
      </c>
      <c r="G1" s="748">
        <f>H182</f>
        <v>0</v>
      </c>
      <c r="H1" s="748"/>
      <c r="I1" s="106" t="str">
        <f>QQP!B22</f>
        <v>2.2.2</v>
      </c>
      <c r="J1" s="748">
        <f>K182</f>
        <v>0</v>
      </c>
      <c r="K1" s="748"/>
      <c r="L1" s="106" t="str">
        <f>QQP!B23</f>
        <v>2.2.3</v>
      </c>
      <c r="M1" s="748">
        <f>N182</f>
        <v>0</v>
      </c>
      <c r="N1" s="748"/>
      <c r="O1" s="106" t="str">
        <f>QQP!B24</f>
        <v>2.2.4</v>
      </c>
      <c r="P1" s="748">
        <f>Q182</f>
        <v>0</v>
      </c>
      <c r="Q1" s="748"/>
      <c r="R1" s="106" t="str">
        <f>QQP!B26</f>
        <v>2.3.1</v>
      </c>
      <c r="S1" s="748">
        <f>T182</f>
        <v>0</v>
      </c>
      <c r="T1" s="748"/>
      <c r="U1" s="106" t="str">
        <f>QQP!B27</f>
        <v>2.3.2</v>
      </c>
      <c r="V1" s="748">
        <f>W182</f>
        <v>0</v>
      </c>
      <c r="W1" s="748"/>
      <c r="X1" s="107"/>
      <c r="Y1" s="704"/>
      <c r="Z1" s="704"/>
      <c r="AA1" s="704"/>
      <c r="AB1" s="108"/>
    </row>
    <row r="2" spans="2:31" ht="75.75" customHeight="1" thickBot="1">
      <c r="B2" s="705" t="s">
        <v>122</v>
      </c>
      <c r="C2" s="706"/>
      <c r="D2" s="706"/>
      <c r="E2" s="707"/>
      <c r="F2" s="749" t="str">
        <f>_xlfn.XLOOKUP(F1,QQP!$B$8:$B$43,QQP!$C$8:$C$43)</f>
        <v>XXXXXXXXXXXXXXXXXXXXXXXXXXXXXXXXXXXXXXXXXX</v>
      </c>
      <c r="G2" s="750"/>
      <c r="H2" s="751"/>
      <c r="I2" s="749" t="str">
        <f>_xlfn.XLOOKUP(I1,QQP!$B$8:$B$43,QQP!$C$8:$C$43)</f>
        <v>XXXXXXXXXXXXXXXXXXXXXXXXXXXXXXXXXXXXXXXXXX</v>
      </c>
      <c r="J2" s="750"/>
      <c r="K2" s="751"/>
      <c r="L2" s="749" t="str">
        <f>_xlfn.XLOOKUP(L1,QQP!$B$8:$B$43,QQP!$C$8:$C$43)</f>
        <v>XXXXXXXXXXXXXXXXXXXXXXXXXXXXXXXXXXXXXXXXXX</v>
      </c>
      <c r="M2" s="750"/>
      <c r="N2" s="751"/>
      <c r="O2" s="749" t="str">
        <f>_xlfn.XLOOKUP(O1,QQP!$B$8:$B$43,QQP!$C$8:$C$43)</f>
        <v>XXXXXXXXXXXXXXXXXXXXXXXXXXXXXXXXXXXXXXXXXX</v>
      </c>
      <c r="P2" s="750"/>
      <c r="Q2" s="751"/>
      <c r="R2" s="749" t="str">
        <f>_xlfn.XLOOKUP(R1,QQP!$B$8:$B$43,QQP!$C$8:$C$43)</f>
        <v>XXXXXXXXXXXXXXXXXXXXXXXXXXXXXXXXXXXXXXXXXX</v>
      </c>
      <c r="S2" s="750"/>
      <c r="T2" s="751"/>
      <c r="U2" s="749" t="str">
        <f>_xlfn.XLOOKUP(U1,QQP!$B$8:$B$43,QQP!$C$8:$C$43)</f>
        <v>XXXXXXXXXXXXXXXXXXXXXXXXXXXXXXXXXXXXXXXXXX</v>
      </c>
      <c r="V2" s="750"/>
      <c r="W2" s="751"/>
      <c r="X2" s="110"/>
      <c r="Y2" s="752" t="s">
        <v>200</v>
      </c>
      <c r="Z2" s="753"/>
      <c r="AA2" s="754"/>
    </row>
    <row r="3" spans="2:31" ht="20.25" customHeight="1">
      <c r="B3" s="712"/>
      <c r="C3" s="712"/>
      <c r="D3" s="712"/>
      <c r="E3" s="712"/>
      <c r="F3" s="112"/>
      <c r="G3" s="113" t="str">
        <f>_xlfn.XLOOKUP(F1,QQP!$B$8:$B$43,QQP!$D$8:$D$43)</f>
        <v>xx</v>
      </c>
      <c r="H3" s="114">
        <f>_xlfn.XLOOKUP(F1,QQP!$B$8:$B$43,QQP!$E$8:$E$43)</f>
        <v>1</v>
      </c>
      <c r="I3" s="112"/>
      <c r="J3" s="113" t="str">
        <f>_xlfn.XLOOKUP(I1,QQP!$B$8:$B$43,QQP!$D$8:$D$43)</f>
        <v>xx</v>
      </c>
      <c r="K3" s="114">
        <f>_xlfn.XLOOKUP(I1,QQP!$B$8:$B$43,QQP!$E$8:$E$43)</f>
        <v>1</v>
      </c>
      <c r="L3" s="112"/>
      <c r="M3" s="113" t="str">
        <f>_xlfn.XLOOKUP(L1,QQP!$B$8:$B$43,QQP!$D$8:$D$43)</f>
        <v>xx</v>
      </c>
      <c r="N3" s="114">
        <f>_xlfn.XLOOKUP(L1,QQP!$B$8:$B$43,QQP!$E$8:$E$43)</f>
        <v>1</v>
      </c>
      <c r="O3" s="112"/>
      <c r="P3" s="113" t="str">
        <f>_xlfn.XLOOKUP(O1,QQP!$B$8:$B$43,QQP!$D$8:$D$43)</f>
        <v>xx</v>
      </c>
      <c r="Q3" s="114">
        <f>_xlfn.XLOOKUP(O1,QQP!$B$8:$B$43,QQP!$E$8:$E$43)</f>
        <v>1</v>
      </c>
      <c r="R3" s="112"/>
      <c r="S3" s="113" t="str">
        <f>_xlfn.XLOOKUP(R1,QQP!$B$8:$B$43,QQP!$D$8:$D$43)</f>
        <v>xx</v>
      </c>
      <c r="T3" s="114">
        <f>_xlfn.XLOOKUP(R1,QQP!$B$8:$B$43,QQP!$E$8:$E$43)</f>
        <v>1</v>
      </c>
      <c r="U3" s="112"/>
      <c r="V3" s="113" t="str">
        <f>_xlfn.XLOOKUP(U1,QQP!$B$8:$B$43,QQP!$D$8:$D$43)</f>
        <v>xx</v>
      </c>
      <c r="W3" s="114">
        <f>_xlfn.XLOOKUP(U1,QQP!$B$8:$B$43,QQP!$E$8:$E$43)</f>
        <v>1</v>
      </c>
      <c r="X3" s="115"/>
      <c r="Y3" s="713"/>
      <c r="Z3" s="714"/>
      <c r="AA3" s="116"/>
    </row>
    <row r="4" spans="2:31" ht="15.75" customHeight="1" thickBot="1">
      <c r="B4" s="117"/>
      <c r="C4" s="117"/>
      <c r="D4" s="117"/>
      <c r="E4" s="117"/>
      <c r="F4" s="118"/>
      <c r="G4" s="119"/>
      <c r="H4" s="119"/>
      <c r="I4" s="120"/>
      <c r="J4" s="119"/>
      <c r="K4" s="119"/>
      <c r="L4" s="120"/>
      <c r="M4" s="119"/>
      <c r="N4" s="119"/>
      <c r="O4" s="120"/>
      <c r="P4" s="119"/>
      <c r="Q4" s="119"/>
      <c r="R4" s="120"/>
      <c r="S4" s="119"/>
      <c r="T4" s="119"/>
      <c r="U4" s="120"/>
      <c r="V4" s="119"/>
      <c r="W4" s="119"/>
      <c r="X4" s="115"/>
      <c r="Y4" s="121"/>
      <c r="Z4" s="122"/>
      <c r="AA4" s="116"/>
    </row>
    <row r="5" spans="2:31" ht="21.95" customHeight="1" thickBot="1">
      <c r="B5" s="699" t="s">
        <v>114</v>
      </c>
      <c r="C5" s="700"/>
      <c r="D5" s="700"/>
      <c r="E5" s="701"/>
      <c r="F5" s="120"/>
      <c r="G5" s="120"/>
      <c r="H5" s="120"/>
      <c r="I5" s="120"/>
      <c r="J5" s="120"/>
      <c r="K5" s="120"/>
      <c r="L5" s="120"/>
      <c r="M5" s="120"/>
      <c r="N5" s="120"/>
      <c r="O5" s="120"/>
      <c r="P5" s="120"/>
      <c r="Q5" s="120"/>
      <c r="R5" s="120"/>
      <c r="S5" s="120"/>
      <c r="T5" s="120"/>
      <c r="U5" s="120"/>
      <c r="V5" s="120"/>
      <c r="W5" s="120"/>
      <c r="X5" s="123"/>
      <c r="Y5" s="715"/>
      <c r="Z5" s="715"/>
      <c r="AA5" s="715"/>
    </row>
    <row r="6" spans="2:31" s="127" customFormat="1" ht="21.95" customHeight="1" thickBot="1">
      <c r="B6" s="258" t="s">
        <v>163</v>
      </c>
      <c r="C6" s="259" t="s">
        <v>169</v>
      </c>
      <c r="D6" s="260" t="s">
        <v>30</v>
      </c>
      <c r="E6" s="261" t="s">
        <v>31</v>
      </c>
      <c r="F6" s="258" t="s">
        <v>6</v>
      </c>
      <c r="G6" s="261" t="s">
        <v>32</v>
      </c>
      <c r="H6" s="262" t="s">
        <v>5</v>
      </c>
      <c r="I6" s="258" t="s">
        <v>6</v>
      </c>
      <c r="J6" s="261" t="s">
        <v>32</v>
      </c>
      <c r="K6" s="262" t="s">
        <v>5</v>
      </c>
      <c r="L6" s="258" t="s">
        <v>6</v>
      </c>
      <c r="M6" s="261" t="s">
        <v>32</v>
      </c>
      <c r="N6" s="262" t="s">
        <v>5</v>
      </c>
      <c r="O6" s="258" t="s">
        <v>6</v>
      </c>
      <c r="P6" s="261" t="s">
        <v>32</v>
      </c>
      <c r="Q6" s="262" t="s">
        <v>5</v>
      </c>
      <c r="R6" s="258" t="s">
        <v>6</v>
      </c>
      <c r="S6" s="261" t="s">
        <v>32</v>
      </c>
      <c r="T6" s="262" t="s">
        <v>5</v>
      </c>
      <c r="U6" s="258" t="s">
        <v>6</v>
      </c>
      <c r="V6" s="261" t="s">
        <v>32</v>
      </c>
      <c r="W6" s="262" t="s">
        <v>5</v>
      </c>
      <c r="X6" s="124"/>
      <c r="Y6" s="258" t="s">
        <v>6</v>
      </c>
      <c r="Z6" s="261" t="s">
        <v>32</v>
      </c>
      <c r="AA6" s="262" t="s">
        <v>5</v>
      </c>
      <c r="AB6" s="125"/>
      <c r="AC6" s="126"/>
    </row>
    <row r="7" spans="2:31" s="109" customFormat="1" ht="21.95" customHeight="1" outlineLevel="1">
      <c r="B7" s="128" t="str">
        <f>'CPU  1'!B7</f>
        <v>P01</v>
      </c>
      <c r="C7" s="129" t="str">
        <f>'CPU  1'!C7</f>
        <v>Supervisor</v>
      </c>
      <c r="D7" s="130" t="str">
        <f>'CPU  1'!D7</f>
        <v>hh</v>
      </c>
      <c r="E7" s="131">
        <f>'CPU  1'!E7</f>
        <v>75.068181818181813</v>
      </c>
      <c r="F7" s="132"/>
      <c r="G7" s="133"/>
      <c r="H7" s="134">
        <f>G7*F7*$E7</f>
        <v>0</v>
      </c>
      <c r="I7" s="132"/>
      <c r="J7" s="133"/>
      <c r="K7" s="134">
        <f t="shared" ref="K7:K22" si="0">J7*I7*$E7</f>
        <v>0</v>
      </c>
      <c r="L7" s="132"/>
      <c r="M7" s="133"/>
      <c r="N7" s="134">
        <f t="shared" ref="N7:N22" si="1">M7*L7*$E7</f>
        <v>0</v>
      </c>
      <c r="O7" s="132"/>
      <c r="P7" s="133"/>
      <c r="Q7" s="134">
        <f t="shared" ref="Q7:Q22" si="2">P7*O7*$E7</f>
        <v>0</v>
      </c>
      <c r="R7" s="132"/>
      <c r="S7" s="133"/>
      <c r="T7" s="134">
        <f t="shared" ref="T7:T22" si="3">S7*R7*$E7</f>
        <v>0</v>
      </c>
      <c r="U7" s="132"/>
      <c r="V7" s="133"/>
      <c r="W7" s="134">
        <f t="shared" ref="W7:W22" si="4">V7*U7*$E7</f>
        <v>0</v>
      </c>
      <c r="X7" s="124"/>
      <c r="Y7" s="135"/>
      <c r="Z7" s="136"/>
      <c r="AA7" s="137">
        <f>K7*$K$3+N7*$N$3+Q7*$Q$3+H7*$H$3+T7*$T$3+W7*$W$3</f>
        <v>0</v>
      </c>
      <c r="AB7" s="138" t="e">
        <f t="shared" ref="AB7:AB22" si="5">AA7/$AA$162</f>
        <v>#DIV/0!</v>
      </c>
      <c r="AC7" s="139"/>
    </row>
    <row r="8" spans="2:31" s="109" customFormat="1" ht="21.95" customHeight="1" outlineLevel="1">
      <c r="B8" s="128" t="str">
        <f>'CPU  1'!B8</f>
        <v>P02</v>
      </c>
      <c r="C8" s="140" t="str">
        <f>'CPU  1'!C8</f>
        <v>Encarregado</v>
      </c>
      <c r="D8" s="141" t="str">
        <f>'CPU  1'!D8</f>
        <v>hh</v>
      </c>
      <c r="E8" s="131">
        <f>'CPU  1'!E8</f>
        <v>40.036363636363632</v>
      </c>
      <c r="F8" s="132"/>
      <c r="G8" s="142"/>
      <c r="H8" s="134">
        <f t="shared" ref="H8:H22" si="6">G8*F8*$E8</f>
        <v>0</v>
      </c>
      <c r="I8" s="132"/>
      <c r="J8" s="142"/>
      <c r="K8" s="134">
        <f t="shared" si="0"/>
        <v>0</v>
      </c>
      <c r="L8" s="132"/>
      <c r="M8" s="142"/>
      <c r="N8" s="134">
        <f t="shared" si="1"/>
        <v>0</v>
      </c>
      <c r="O8" s="132"/>
      <c r="P8" s="142"/>
      <c r="Q8" s="134">
        <f t="shared" si="2"/>
        <v>0</v>
      </c>
      <c r="R8" s="132"/>
      <c r="S8" s="142"/>
      <c r="T8" s="134">
        <f t="shared" si="3"/>
        <v>0</v>
      </c>
      <c r="U8" s="132"/>
      <c r="V8" s="142"/>
      <c r="W8" s="134">
        <f t="shared" si="4"/>
        <v>0</v>
      </c>
      <c r="X8" s="143"/>
      <c r="Y8" s="135"/>
      <c r="Z8" s="136"/>
      <c r="AA8" s="137">
        <f t="shared" ref="AA8:AA22" si="7">K8*$K$3+N8*$N$3+Q8*$Q$3+H8*$H$3+T8*$T$3+W8*$W$3</f>
        <v>0</v>
      </c>
      <c r="AB8" s="138" t="e">
        <f t="shared" si="5"/>
        <v>#DIV/0!</v>
      </c>
    </row>
    <row r="9" spans="2:31" s="109" customFormat="1" ht="21.95" customHeight="1" outlineLevel="1">
      <c r="B9" s="128" t="str">
        <f>'CPU  1'!B9</f>
        <v>P03</v>
      </c>
      <c r="C9" s="140" t="str">
        <f>'CPU  1'!C9</f>
        <v>Técnico SSMA</v>
      </c>
      <c r="D9" s="141" t="str">
        <f>'CPU  1'!D9</f>
        <v>hh</v>
      </c>
      <c r="E9" s="131">
        <f>'CPU  1'!E9</f>
        <v>40.036363636363632</v>
      </c>
      <c r="F9" s="132"/>
      <c r="G9" s="133"/>
      <c r="H9" s="134">
        <f t="shared" si="6"/>
        <v>0</v>
      </c>
      <c r="I9" s="132"/>
      <c r="J9" s="133"/>
      <c r="K9" s="134">
        <f t="shared" si="0"/>
        <v>0</v>
      </c>
      <c r="L9" s="132"/>
      <c r="M9" s="133"/>
      <c r="N9" s="134">
        <f t="shared" si="1"/>
        <v>0</v>
      </c>
      <c r="O9" s="132"/>
      <c r="P9" s="133"/>
      <c r="Q9" s="134">
        <f t="shared" si="2"/>
        <v>0</v>
      </c>
      <c r="R9" s="132"/>
      <c r="S9" s="133"/>
      <c r="T9" s="134">
        <f t="shared" si="3"/>
        <v>0</v>
      </c>
      <c r="U9" s="132"/>
      <c r="V9" s="133"/>
      <c r="W9" s="134">
        <f t="shared" si="4"/>
        <v>0</v>
      </c>
      <c r="X9" s="124"/>
      <c r="Y9" s="135"/>
      <c r="Z9" s="136"/>
      <c r="AA9" s="137">
        <f t="shared" si="7"/>
        <v>0</v>
      </c>
      <c r="AB9" s="138" t="e">
        <f t="shared" si="5"/>
        <v>#DIV/0!</v>
      </c>
      <c r="AC9" s="139"/>
      <c r="AE9" s="144"/>
    </row>
    <row r="10" spans="2:31" s="109" customFormat="1" ht="21.95" customHeight="1" outlineLevel="1">
      <c r="B10" s="128" t="str">
        <f>'CPU  1'!B10</f>
        <v>P04</v>
      </c>
      <c r="C10" s="140" t="str">
        <f>'CPU  1'!C10</f>
        <v>Pedreiro</v>
      </c>
      <c r="D10" s="141" t="str">
        <f>'CPU  1'!D10</f>
        <v>hh</v>
      </c>
      <c r="E10" s="131">
        <f>'CPU  1'!E10</f>
        <v>19.767954545454543</v>
      </c>
      <c r="F10" s="132"/>
      <c r="G10" s="371"/>
      <c r="H10" s="134">
        <f t="shared" si="6"/>
        <v>0</v>
      </c>
      <c r="I10" s="132"/>
      <c r="J10" s="371"/>
      <c r="K10" s="134">
        <f t="shared" si="0"/>
        <v>0</v>
      </c>
      <c r="L10" s="132"/>
      <c r="M10" s="371"/>
      <c r="N10" s="134">
        <f t="shared" si="1"/>
        <v>0</v>
      </c>
      <c r="O10" s="132"/>
      <c r="P10" s="371"/>
      <c r="Q10" s="134">
        <f t="shared" si="2"/>
        <v>0</v>
      </c>
      <c r="R10" s="132"/>
      <c r="S10" s="371"/>
      <c r="T10" s="134">
        <f t="shared" si="3"/>
        <v>0</v>
      </c>
      <c r="U10" s="132"/>
      <c r="V10" s="371"/>
      <c r="W10" s="134">
        <f t="shared" si="4"/>
        <v>0</v>
      </c>
      <c r="X10" s="124"/>
      <c r="Y10" s="135"/>
      <c r="Z10" s="136"/>
      <c r="AA10" s="137">
        <f t="shared" si="7"/>
        <v>0</v>
      </c>
      <c r="AB10" s="138" t="e">
        <f t="shared" si="5"/>
        <v>#DIV/0!</v>
      </c>
    </row>
    <row r="11" spans="2:31" s="109" customFormat="1" ht="21.95" customHeight="1" outlineLevel="1">
      <c r="B11" s="128" t="str">
        <f>'CPU  1'!B11</f>
        <v>P05</v>
      </c>
      <c r="C11" s="140" t="str">
        <f>'CPU  1'!C11</f>
        <v>Carpinteiro</v>
      </c>
      <c r="D11" s="141" t="str">
        <f>'CPU  1'!D11</f>
        <v>hh</v>
      </c>
      <c r="E11" s="131">
        <f>'CPU  1'!E11</f>
        <v>19.767954545454543</v>
      </c>
      <c r="F11" s="132"/>
      <c r="G11" s="133"/>
      <c r="H11" s="134">
        <f t="shared" si="6"/>
        <v>0</v>
      </c>
      <c r="I11" s="132"/>
      <c r="J11" s="142"/>
      <c r="K11" s="134">
        <f t="shared" si="0"/>
        <v>0</v>
      </c>
      <c r="L11" s="132"/>
      <c r="M11" s="142"/>
      <c r="N11" s="134">
        <f t="shared" si="1"/>
        <v>0</v>
      </c>
      <c r="O11" s="132"/>
      <c r="P11" s="142"/>
      <c r="Q11" s="134">
        <f t="shared" si="2"/>
        <v>0</v>
      </c>
      <c r="R11" s="132"/>
      <c r="S11" s="142"/>
      <c r="T11" s="134">
        <f t="shared" si="3"/>
        <v>0</v>
      </c>
      <c r="U11" s="132"/>
      <c r="V11" s="142"/>
      <c r="W11" s="134">
        <f t="shared" si="4"/>
        <v>0</v>
      </c>
      <c r="X11" s="143"/>
      <c r="Y11" s="135"/>
      <c r="Z11" s="136"/>
      <c r="AA11" s="137">
        <f t="shared" si="7"/>
        <v>0</v>
      </c>
      <c r="AB11" s="138" t="e">
        <f t="shared" si="5"/>
        <v>#DIV/0!</v>
      </c>
    </row>
    <row r="12" spans="2:31" s="109" customFormat="1" ht="21.95" customHeight="1" outlineLevel="1">
      <c r="B12" s="128" t="str">
        <f>'CPU  1'!B12</f>
        <v>P06</v>
      </c>
      <c r="C12" s="140" t="str">
        <f>'CPU  1'!C12</f>
        <v>Eletricista</v>
      </c>
      <c r="D12" s="141" t="str">
        <f>'CPU  1'!D12</f>
        <v>hh</v>
      </c>
      <c r="E12" s="131">
        <f>'CPU  1'!E12</f>
        <v>26.023636363636363</v>
      </c>
      <c r="F12" s="132"/>
      <c r="G12" s="133"/>
      <c r="H12" s="134">
        <f t="shared" si="6"/>
        <v>0</v>
      </c>
      <c r="I12" s="132"/>
      <c r="J12" s="142"/>
      <c r="K12" s="134">
        <f t="shared" si="0"/>
        <v>0</v>
      </c>
      <c r="L12" s="132"/>
      <c r="M12" s="142"/>
      <c r="N12" s="134">
        <f t="shared" si="1"/>
        <v>0</v>
      </c>
      <c r="O12" s="132"/>
      <c r="P12" s="142"/>
      <c r="Q12" s="134">
        <f t="shared" si="2"/>
        <v>0</v>
      </c>
      <c r="R12" s="132"/>
      <c r="S12" s="142"/>
      <c r="T12" s="134">
        <f t="shared" si="3"/>
        <v>0</v>
      </c>
      <c r="U12" s="132"/>
      <c r="V12" s="142"/>
      <c r="W12" s="134">
        <f t="shared" si="4"/>
        <v>0</v>
      </c>
      <c r="X12" s="143"/>
      <c r="Y12" s="135"/>
      <c r="Z12" s="136"/>
      <c r="AA12" s="137">
        <f t="shared" si="7"/>
        <v>0</v>
      </c>
      <c r="AB12" s="138" t="e">
        <f t="shared" si="5"/>
        <v>#DIV/0!</v>
      </c>
    </row>
    <row r="13" spans="2:31" s="109" customFormat="1" ht="21.95" customHeight="1" outlineLevel="1">
      <c r="B13" s="128" t="str">
        <f>'CPU  1'!B13</f>
        <v>P07</v>
      </c>
      <c r="C13" s="140" t="str">
        <f>'CPU  1'!C13</f>
        <v>Ajudante</v>
      </c>
      <c r="D13" s="141" t="str">
        <f>'CPU  1'!D13</f>
        <v>hh</v>
      </c>
      <c r="E13" s="131">
        <f>'CPU  1'!E13</f>
        <v>13.962681818181817</v>
      </c>
      <c r="F13" s="132"/>
      <c r="G13" s="133"/>
      <c r="H13" s="134">
        <f t="shared" si="6"/>
        <v>0</v>
      </c>
      <c r="I13" s="132"/>
      <c r="J13" s="133"/>
      <c r="K13" s="134">
        <f t="shared" si="0"/>
        <v>0</v>
      </c>
      <c r="L13" s="132"/>
      <c r="M13" s="133"/>
      <c r="N13" s="134">
        <f t="shared" si="1"/>
        <v>0</v>
      </c>
      <c r="O13" s="132"/>
      <c r="P13" s="133"/>
      <c r="Q13" s="134">
        <f t="shared" si="2"/>
        <v>0</v>
      </c>
      <c r="R13" s="132"/>
      <c r="S13" s="133"/>
      <c r="T13" s="134">
        <f t="shared" si="3"/>
        <v>0</v>
      </c>
      <c r="U13" s="132"/>
      <c r="V13" s="133"/>
      <c r="W13" s="134">
        <f t="shared" si="4"/>
        <v>0</v>
      </c>
      <c r="X13" s="143"/>
      <c r="Y13" s="135"/>
      <c r="Z13" s="136"/>
      <c r="AA13" s="137">
        <f t="shared" si="7"/>
        <v>0</v>
      </c>
      <c r="AB13" s="138" t="e">
        <f t="shared" si="5"/>
        <v>#DIV/0!</v>
      </c>
    </row>
    <row r="14" spans="2:31" s="109" customFormat="1" ht="21.95" customHeight="1" outlineLevel="1">
      <c r="B14" s="128" t="str">
        <f>'CPU  1'!B14</f>
        <v>P08</v>
      </c>
      <c r="C14" s="140" t="str">
        <f>'CPU  1'!C14</f>
        <v>Armador</v>
      </c>
      <c r="D14" s="141" t="str">
        <f>'CPU  1'!D14</f>
        <v>hh</v>
      </c>
      <c r="E14" s="131">
        <f>'CPU  1'!E14</f>
        <v>19.767954545454543</v>
      </c>
      <c r="F14" s="132"/>
      <c r="G14" s="133"/>
      <c r="H14" s="134">
        <f t="shared" si="6"/>
        <v>0</v>
      </c>
      <c r="I14" s="145"/>
      <c r="J14" s="133"/>
      <c r="K14" s="134">
        <f t="shared" si="0"/>
        <v>0</v>
      </c>
      <c r="L14" s="132"/>
      <c r="M14" s="133"/>
      <c r="N14" s="134">
        <f t="shared" si="1"/>
        <v>0</v>
      </c>
      <c r="O14" s="145"/>
      <c r="P14" s="133"/>
      <c r="Q14" s="134">
        <f t="shared" si="2"/>
        <v>0</v>
      </c>
      <c r="R14" s="145"/>
      <c r="S14" s="133"/>
      <c r="T14" s="134">
        <f t="shared" si="3"/>
        <v>0</v>
      </c>
      <c r="U14" s="145"/>
      <c r="V14" s="133"/>
      <c r="W14" s="134">
        <f t="shared" si="4"/>
        <v>0</v>
      </c>
      <c r="X14" s="143"/>
      <c r="Y14" s="135"/>
      <c r="Z14" s="136"/>
      <c r="AA14" s="137">
        <f t="shared" si="7"/>
        <v>0</v>
      </c>
      <c r="AB14" s="138" t="e">
        <f t="shared" si="5"/>
        <v>#DIV/0!</v>
      </c>
    </row>
    <row r="15" spans="2:31" s="109" customFormat="1" ht="21.95" customHeight="1" outlineLevel="1">
      <c r="B15" s="128" t="str">
        <f>'CPU  1'!B15</f>
        <v>P09</v>
      </c>
      <c r="C15" s="140" t="str">
        <f>'CPU  1'!C15</f>
        <v>Engenheiro</v>
      </c>
      <c r="D15" s="141" t="str">
        <f>'CPU  1'!D15</f>
        <v>hh</v>
      </c>
      <c r="E15" s="131">
        <f>'CPU  1'!E15</f>
        <v>112.30200000000001</v>
      </c>
      <c r="F15" s="132"/>
      <c r="G15" s="133"/>
      <c r="H15" s="134">
        <f t="shared" si="6"/>
        <v>0</v>
      </c>
      <c r="I15" s="145"/>
      <c r="J15" s="133"/>
      <c r="K15" s="134">
        <f t="shared" si="0"/>
        <v>0</v>
      </c>
      <c r="L15" s="132"/>
      <c r="M15" s="133"/>
      <c r="N15" s="134">
        <f t="shared" si="1"/>
        <v>0</v>
      </c>
      <c r="O15" s="145"/>
      <c r="P15" s="133"/>
      <c r="Q15" s="134">
        <f t="shared" si="2"/>
        <v>0</v>
      </c>
      <c r="R15" s="145"/>
      <c r="S15" s="133"/>
      <c r="T15" s="134">
        <f t="shared" si="3"/>
        <v>0</v>
      </c>
      <c r="U15" s="145"/>
      <c r="V15" s="133"/>
      <c r="W15" s="134">
        <f t="shared" si="4"/>
        <v>0</v>
      </c>
      <c r="X15" s="143"/>
      <c r="Y15" s="135"/>
      <c r="Z15" s="136"/>
      <c r="AA15" s="137">
        <f t="shared" si="7"/>
        <v>0</v>
      </c>
      <c r="AB15" s="138" t="e">
        <f t="shared" si="5"/>
        <v>#DIV/0!</v>
      </c>
    </row>
    <row r="16" spans="2:31" s="109" customFormat="1" ht="21.95" customHeight="1" outlineLevel="1">
      <c r="B16" s="128" t="str">
        <f>'CPU  1'!B16</f>
        <v>P10</v>
      </c>
      <c r="C16" s="140" t="str">
        <f>'CPU  1'!C16</f>
        <v>Planejador</v>
      </c>
      <c r="D16" s="141" t="str">
        <f>'CPU  1'!D16</f>
        <v>hh</v>
      </c>
      <c r="E16" s="131">
        <f>'CPU  1'!E16</f>
        <v>60.054545454545455</v>
      </c>
      <c r="F16" s="132"/>
      <c r="G16" s="133"/>
      <c r="H16" s="134">
        <f t="shared" si="6"/>
        <v>0</v>
      </c>
      <c r="I16" s="145"/>
      <c r="J16" s="133"/>
      <c r="K16" s="134">
        <f t="shared" si="0"/>
        <v>0</v>
      </c>
      <c r="L16" s="132"/>
      <c r="M16" s="133"/>
      <c r="N16" s="134">
        <f t="shared" si="1"/>
        <v>0</v>
      </c>
      <c r="O16" s="145"/>
      <c r="P16" s="133"/>
      <c r="Q16" s="134">
        <f t="shared" si="2"/>
        <v>0</v>
      </c>
      <c r="R16" s="145"/>
      <c r="S16" s="133"/>
      <c r="T16" s="134">
        <f t="shared" si="3"/>
        <v>0</v>
      </c>
      <c r="U16" s="145"/>
      <c r="V16" s="133"/>
      <c r="W16" s="134">
        <f t="shared" si="4"/>
        <v>0</v>
      </c>
      <c r="X16" s="143"/>
      <c r="Y16" s="135"/>
      <c r="Z16" s="136"/>
      <c r="AA16" s="137">
        <f t="shared" si="7"/>
        <v>0</v>
      </c>
      <c r="AB16" s="138" t="e">
        <f t="shared" si="5"/>
        <v>#DIV/0!</v>
      </c>
    </row>
    <row r="17" spans="2:29" s="109" customFormat="1" ht="21.95" customHeight="1" outlineLevel="1">
      <c r="B17" s="128" t="str">
        <f>'CPU  1'!B17</f>
        <v>P11</v>
      </c>
      <c r="C17" s="140" t="str">
        <f>'CPU  1'!C17</f>
        <v>Tópografo</v>
      </c>
      <c r="D17" s="141" t="str">
        <f>'CPU  1'!D17</f>
        <v>hh</v>
      </c>
      <c r="E17" s="131">
        <f>'CPU  1'!E17</f>
        <v>38.034545454545452</v>
      </c>
      <c r="F17" s="132"/>
      <c r="G17" s="133"/>
      <c r="H17" s="134">
        <f t="shared" si="6"/>
        <v>0</v>
      </c>
      <c r="I17" s="145"/>
      <c r="J17" s="133"/>
      <c r="K17" s="134">
        <f>J17*I17*$E17</f>
        <v>0</v>
      </c>
      <c r="L17" s="132"/>
      <c r="M17" s="133"/>
      <c r="N17" s="134">
        <f>M17*L17*$E17</f>
        <v>0</v>
      </c>
      <c r="O17" s="145"/>
      <c r="P17" s="133"/>
      <c r="Q17" s="134">
        <f t="shared" si="2"/>
        <v>0</v>
      </c>
      <c r="R17" s="145"/>
      <c r="S17" s="133"/>
      <c r="T17" s="134">
        <f t="shared" si="3"/>
        <v>0</v>
      </c>
      <c r="U17" s="145"/>
      <c r="V17" s="133"/>
      <c r="W17" s="134">
        <f t="shared" si="4"/>
        <v>0</v>
      </c>
      <c r="X17" s="143"/>
      <c r="Y17" s="135"/>
      <c r="Z17" s="136"/>
      <c r="AA17" s="137">
        <f t="shared" si="7"/>
        <v>0</v>
      </c>
      <c r="AB17" s="138" t="e">
        <f t="shared" si="5"/>
        <v>#DIV/0!</v>
      </c>
    </row>
    <row r="18" spans="2:29" s="109" customFormat="1" ht="21.95" customHeight="1" outlineLevel="1">
      <c r="B18" s="128" t="str">
        <f>'CPU  1'!B18</f>
        <v>P12</v>
      </c>
      <c r="C18" s="140" t="str">
        <f>'CPU  1'!C18</f>
        <v>Auxiliar de Topografia</v>
      </c>
      <c r="D18" s="141" t="str">
        <f>'CPU  1'!D18</f>
        <v>hh</v>
      </c>
      <c r="E18" s="131">
        <f>'CPU  1'!E18</f>
        <v>17.015454545454546</v>
      </c>
      <c r="F18" s="132"/>
      <c r="G18" s="133"/>
      <c r="H18" s="134">
        <f t="shared" si="6"/>
        <v>0</v>
      </c>
      <c r="I18" s="145"/>
      <c r="J18" s="133"/>
      <c r="K18" s="134">
        <f t="shared" si="0"/>
        <v>0</v>
      </c>
      <c r="L18" s="132"/>
      <c r="M18" s="133"/>
      <c r="N18" s="134">
        <f t="shared" si="1"/>
        <v>0</v>
      </c>
      <c r="O18" s="145"/>
      <c r="P18" s="133"/>
      <c r="Q18" s="134">
        <f t="shared" si="2"/>
        <v>0</v>
      </c>
      <c r="R18" s="145"/>
      <c r="S18" s="133"/>
      <c r="T18" s="134">
        <f t="shared" si="3"/>
        <v>0</v>
      </c>
      <c r="U18" s="145"/>
      <c r="V18" s="133"/>
      <c r="W18" s="134">
        <f t="shared" si="4"/>
        <v>0</v>
      </c>
      <c r="X18" s="143"/>
      <c r="Y18" s="135"/>
      <c r="Z18" s="136"/>
      <c r="AA18" s="137">
        <f t="shared" si="7"/>
        <v>0</v>
      </c>
      <c r="AB18" s="138" t="e">
        <f t="shared" si="5"/>
        <v>#DIV/0!</v>
      </c>
    </row>
    <row r="19" spans="2:29" s="109" customFormat="1" ht="21.95" customHeight="1" outlineLevel="1">
      <c r="B19" s="128" t="str">
        <f>'CPU  1'!B19</f>
        <v>P13</v>
      </c>
      <c r="C19" s="140" t="str">
        <f>'CPU  1'!C19</f>
        <v>Projetista</v>
      </c>
      <c r="D19" s="141" t="str">
        <f>'CPU  1'!D19</f>
        <v>hh</v>
      </c>
      <c r="E19" s="131">
        <f>'CPU  1'!E19</f>
        <v>70.063636363636363</v>
      </c>
      <c r="F19" s="132"/>
      <c r="G19" s="133"/>
      <c r="H19" s="134">
        <f t="shared" si="6"/>
        <v>0</v>
      </c>
      <c r="I19" s="145"/>
      <c r="J19" s="133"/>
      <c r="K19" s="134">
        <f t="shared" si="0"/>
        <v>0</v>
      </c>
      <c r="L19" s="132"/>
      <c r="M19" s="133"/>
      <c r="N19" s="134">
        <f t="shared" si="1"/>
        <v>0</v>
      </c>
      <c r="O19" s="145"/>
      <c r="P19" s="133"/>
      <c r="Q19" s="134">
        <f t="shared" si="2"/>
        <v>0</v>
      </c>
      <c r="R19" s="145"/>
      <c r="S19" s="133"/>
      <c r="T19" s="134">
        <f t="shared" si="3"/>
        <v>0</v>
      </c>
      <c r="U19" s="145"/>
      <c r="V19" s="133"/>
      <c r="W19" s="134">
        <f t="shared" si="4"/>
        <v>0</v>
      </c>
      <c r="X19" s="143"/>
      <c r="Y19" s="135"/>
      <c r="Z19" s="136"/>
      <c r="AA19" s="137">
        <f t="shared" si="7"/>
        <v>0</v>
      </c>
      <c r="AB19" s="138" t="e">
        <f t="shared" si="5"/>
        <v>#DIV/0!</v>
      </c>
    </row>
    <row r="20" spans="2:29" s="109" customFormat="1" ht="21.95" customHeight="1" outlineLevel="1">
      <c r="B20" s="128" t="str">
        <f>'CPU  1'!B20</f>
        <v>P14</v>
      </c>
      <c r="C20" s="140" t="str">
        <f>'CPU  1'!C20</f>
        <v>Operador/motorista</v>
      </c>
      <c r="D20" s="141" t="str">
        <f>'CPU  1'!D20</f>
        <v>hh</v>
      </c>
      <c r="E20" s="131">
        <f>'CPU  1'!E20</f>
        <v>25.022727272727273</v>
      </c>
      <c r="F20" s="132"/>
      <c r="G20" s="133"/>
      <c r="H20" s="134">
        <f t="shared" si="6"/>
        <v>0</v>
      </c>
      <c r="I20" s="145"/>
      <c r="J20" s="133"/>
      <c r="K20" s="134">
        <f>J20*I20*$E20</f>
        <v>0</v>
      </c>
      <c r="L20" s="132"/>
      <c r="M20" s="133"/>
      <c r="N20" s="134">
        <f>M20*L20*$E20</f>
        <v>0</v>
      </c>
      <c r="O20" s="145"/>
      <c r="P20" s="133"/>
      <c r="Q20" s="134">
        <f t="shared" si="2"/>
        <v>0</v>
      </c>
      <c r="R20" s="145"/>
      <c r="S20" s="133"/>
      <c r="T20" s="134">
        <f t="shared" si="3"/>
        <v>0</v>
      </c>
      <c r="U20" s="145"/>
      <c r="V20" s="133"/>
      <c r="W20" s="134">
        <f t="shared" si="4"/>
        <v>0</v>
      </c>
      <c r="X20" s="143"/>
      <c r="Y20" s="135"/>
      <c r="Z20" s="136"/>
      <c r="AA20" s="137">
        <f t="shared" si="7"/>
        <v>0</v>
      </c>
      <c r="AB20" s="138" t="e">
        <f t="shared" si="5"/>
        <v>#DIV/0!</v>
      </c>
    </row>
    <row r="21" spans="2:29" s="109" customFormat="1" ht="21.95" customHeight="1" outlineLevel="1">
      <c r="B21" s="128" t="str">
        <f>'CPU  1'!B21</f>
        <v>P15</v>
      </c>
      <c r="C21" s="140">
        <f>'CPU  1'!C21</f>
        <v>0</v>
      </c>
      <c r="D21" s="141" t="str">
        <f>'CPU  1'!D21</f>
        <v>hh</v>
      </c>
      <c r="E21" s="131">
        <f>'CPU  1'!E21</f>
        <v>0</v>
      </c>
      <c r="F21" s="132"/>
      <c r="G21" s="133"/>
      <c r="H21" s="134">
        <f t="shared" si="6"/>
        <v>0</v>
      </c>
      <c r="I21" s="145"/>
      <c r="J21" s="133"/>
      <c r="K21" s="134">
        <f t="shared" si="0"/>
        <v>0</v>
      </c>
      <c r="L21" s="132"/>
      <c r="M21" s="133"/>
      <c r="N21" s="134">
        <f t="shared" si="1"/>
        <v>0</v>
      </c>
      <c r="O21" s="145"/>
      <c r="P21" s="133"/>
      <c r="Q21" s="134">
        <f t="shared" si="2"/>
        <v>0</v>
      </c>
      <c r="R21" s="145"/>
      <c r="S21" s="133"/>
      <c r="T21" s="134">
        <f t="shared" si="3"/>
        <v>0</v>
      </c>
      <c r="U21" s="145"/>
      <c r="V21" s="133"/>
      <c r="W21" s="134">
        <f t="shared" si="4"/>
        <v>0</v>
      </c>
      <c r="X21" s="143"/>
      <c r="Y21" s="135"/>
      <c r="Z21" s="136"/>
      <c r="AA21" s="137">
        <f t="shared" si="7"/>
        <v>0</v>
      </c>
      <c r="AB21" s="138" t="e">
        <f t="shared" si="5"/>
        <v>#DIV/0!</v>
      </c>
    </row>
    <row r="22" spans="2:29" s="109" customFormat="1" ht="21.95" customHeight="1" outlineLevel="1" thickBot="1">
      <c r="B22" s="128" t="str">
        <f>'CPU  1'!B22</f>
        <v>P16</v>
      </c>
      <c r="C22" s="140">
        <f>'CPU  1'!C22</f>
        <v>0</v>
      </c>
      <c r="D22" s="141" t="str">
        <f>'CPU  1'!D22</f>
        <v>hh</v>
      </c>
      <c r="E22" s="131">
        <f>'CPU  1'!E22</f>
        <v>0</v>
      </c>
      <c r="F22" s="132"/>
      <c r="G22" s="133"/>
      <c r="H22" s="134">
        <f t="shared" si="6"/>
        <v>0</v>
      </c>
      <c r="I22" s="145"/>
      <c r="J22" s="133"/>
      <c r="K22" s="134">
        <f t="shared" si="0"/>
        <v>0</v>
      </c>
      <c r="L22" s="132"/>
      <c r="M22" s="133"/>
      <c r="N22" s="134">
        <f t="shared" si="1"/>
        <v>0</v>
      </c>
      <c r="O22" s="145"/>
      <c r="P22" s="133"/>
      <c r="Q22" s="134">
        <f t="shared" si="2"/>
        <v>0</v>
      </c>
      <c r="R22" s="145"/>
      <c r="S22" s="133"/>
      <c r="T22" s="134">
        <f t="shared" si="3"/>
        <v>0</v>
      </c>
      <c r="U22" s="145"/>
      <c r="V22" s="133"/>
      <c r="W22" s="134">
        <f t="shared" si="4"/>
        <v>0</v>
      </c>
      <c r="X22" s="143"/>
      <c r="Y22" s="135"/>
      <c r="Z22" s="136"/>
      <c r="AA22" s="137">
        <f t="shared" si="7"/>
        <v>0</v>
      </c>
      <c r="AB22" s="138" t="e">
        <f t="shared" si="5"/>
        <v>#DIV/0!</v>
      </c>
    </row>
    <row r="23" spans="2:29" s="109" customFormat="1" ht="21.95" customHeight="1" thickBot="1">
      <c r="B23" s="694" t="s">
        <v>33</v>
      </c>
      <c r="C23" s="695"/>
      <c r="D23" s="695"/>
      <c r="E23" s="695"/>
      <c r="F23" s="263">
        <f>SUM(F7:F22)</f>
        <v>0</v>
      </c>
      <c r="G23" s="264">
        <f>SUM(G7:G22)*H3</f>
        <v>0</v>
      </c>
      <c r="H23" s="265">
        <f>SUM(H7:H22)</f>
        <v>0</v>
      </c>
      <c r="I23" s="263">
        <f>SUM(I7:I22)</f>
        <v>0</v>
      </c>
      <c r="J23" s="264">
        <f>SUM(J7:J22)*K3</f>
        <v>0</v>
      </c>
      <c r="K23" s="265">
        <f>SUM(K7:K22)</f>
        <v>0</v>
      </c>
      <c r="L23" s="263">
        <f>SUM(L7:L22)</f>
        <v>0</v>
      </c>
      <c r="M23" s="264">
        <f>SUM(M7:M22)*N3</f>
        <v>0</v>
      </c>
      <c r="N23" s="265">
        <f>SUM(N7:N22)</f>
        <v>0</v>
      </c>
      <c r="O23" s="263">
        <f>SUM(O7:O22)</f>
        <v>0</v>
      </c>
      <c r="P23" s="264">
        <f>SUM(P7:P22)*Q3</f>
        <v>0</v>
      </c>
      <c r="Q23" s="265">
        <f>SUM(Q7:Q22)</f>
        <v>0</v>
      </c>
      <c r="R23" s="263">
        <f>SUM(R7:R22)</f>
        <v>0</v>
      </c>
      <c r="S23" s="264">
        <f>SUM(S7:S22)*T3</f>
        <v>0</v>
      </c>
      <c r="T23" s="265">
        <f>SUM(T7:T22)</f>
        <v>0</v>
      </c>
      <c r="U23" s="263">
        <f>SUM(U7:U22)</f>
        <v>0</v>
      </c>
      <c r="V23" s="264">
        <f>SUM(V7:V22)*W3</f>
        <v>0</v>
      </c>
      <c r="W23" s="265">
        <f>SUM(W7:W22)</f>
        <v>0</v>
      </c>
      <c r="X23" s="143"/>
      <c r="Y23" s="263">
        <f>SUM(Y7:Y22)</f>
        <v>0</v>
      </c>
      <c r="Z23" s="264">
        <f>SUM(Z7:Z22)</f>
        <v>0</v>
      </c>
      <c r="AA23" s="265">
        <f>SUM(AA7:AA22)</f>
        <v>0</v>
      </c>
      <c r="AB23" s="138"/>
    </row>
    <row r="24" spans="2:29" s="109" customFormat="1" ht="21.95" customHeight="1" thickBot="1">
      <c r="B24" s="699" t="s">
        <v>124</v>
      </c>
      <c r="C24" s="700"/>
      <c r="D24" s="700"/>
      <c r="E24" s="701"/>
      <c r="F24" s="146"/>
      <c r="G24" s="146"/>
      <c r="H24" s="146"/>
      <c r="I24" s="146"/>
      <c r="J24" s="146"/>
      <c r="K24" s="146"/>
      <c r="L24" s="146"/>
      <c r="M24" s="146"/>
      <c r="N24" s="146"/>
      <c r="P24" s="146"/>
      <c r="Q24" s="146"/>
      <c r="S24" s="146"/>
      <c r="T24" s="146"/>
      <c r="V24" s="146"/>
      <c r="W24" s="146"/>
      <c r="X24" s="143"/>
      <c r="Y24" s="147"/>
      <c r="Z24" s="147"/>
      <c r="AA24" s="147"/>
      <c r="AB24" s="138"/>
    </row>
    <row r="25" spans="2:29" s="127" customFormat="1" ht="21.95" customHeight="1" thickBot="1">
      <c r="B25" s="258" t="s">
        <v>163</v>
      </c>
      <c r="C25" s="259" t="s">
        <v>169</v>
      </c>
      <c r="D25" s="260" t="s">
        <v>30</v>
      </c>
      <c r="E25" s="261" t="s">
        <v>31</v>
      </c>
      <c r="F25" s="258" t="s">
        <v>6</v>
      </c>
      <c r="G25" s="261" t="s">
        <v>32</v>
      </c>
      <c r="H25" s="262" t="s">
        <v>5</v>
      </c>
      <c r="I25" s="258" t="s">
        <v>6</v>
      </c>
      <c r="J25" s="261" t="s">
        <v>32</v>
      </c>
      <c r="K25" s="262" t="s">
        <v>5</v>
      </c>
      <c r="L25" s="258" t="s">
        <v>6</v>
      </c>
      <c r="M25" s="261" t="s">
        <v>32</v>
      </c>
      <c r="N25" s="262" t="s">
        <v>5</v>
      </c>
      <c r="O25" s="258" t="s">
        <v>6</v>
      </c>
      <c r="P25" s="261" t="s">
        <v>32</v>
      </c>
      <c r="Q25" s="262" t="s">
        <v>5</v>
      </c>
      <c r="R25" s="258" t="s">
        <v>6</v>
      </c>
      <c r="S25" s="261" t="s">
        <v>32</v>
      </c>
      <c r="T25" s="262" t="s">
        <v>5</v>
      </c>
      <c r="U25" s="258" t="s">
        <v>6</v>
      </c>
      <c r="V25" s="261" t="s">
        <v>32</v>
      </c>
      <c r="W25" s="262" t="s">
        <v>5</v>
      </c>
      <c r="X25" s="124"/>
      <c r="Y25" s="258" t="s">
        <v>6</v>
      </c>
      <c r="Z25" s="261" t="s">
        <v>32</v>
      </c>
      <c r="AA25" s="262" t="s">
        <v>5</v>
      </c>
      <c r="AB25" s="125"/>
      <c r="AC25" s="126"/>
    </row>
    <row r="26" spans="2:29" s="109" customFormat="1" ht="21.95" customHeight="1" outlineLevel="1">
      <c r="B26" s="148" t="str">
        <f>'CPU  1'!B26</f>
        <v>E01</v>
      </c>
      <c r="C26" s="149" t="str">
        <f>'CPU  1'!C26</f>
        <v>Alavanca, picareta, enxada, cavador, pá</v>
      </c>
      <c r="D26" s="150" t="str">
        <f>'CPU  1'!D26</f>
        <v>vb</v>
      </c>
      <c r="E26" s="151">
        <f>'CPU  1'!E26</f>
        <v>790</v>
      </c>
      <c r="F26" s="145"/>
      <c r="G26" s="142"/>
      <c r="H26" s="134">
        <f t="shared" ref="H26:H79" si="8">G26*F26*$E26</f>
        <v>0</v>
      </c>
      <c r="I26" s="145"/>
      <c r="J26" s="142"/>
      <c r="K26" s="134">
        <f t="shared" ref="K26:K79" si="9">J26*I26*$E26</f>
        <v>0</v>
      </c>
      <c r="L26" s="145"/>
      <c r="M26" s="142"/>
      <c r="N26" s="134">
        <f t="shared" ref="N26:N79" si="10">M26*L26*$E26</f>
        <v>0</v>
      </c>
      <c r="O26" s="145"/>
      <c r="P26" s="142"/>
      <c r="Q26" s="134">
        <f t="shared" ref="Q26:Q79" si="11">P26*O26*$E26</f>
        <v>0</v>
      </c>
      <c r="R26" s="145"/>
      <c r="S26" s="142"/>
      <c r="T26" s="134">
        <f t="shared" ref="T26:T79" si="12">S26*R26*$E26</f>
        <v>0</v>
      </c>
      <c r="U26" s="145"/>
      <c r="V26" s="142"/>
      <c r="W26" s="134">
        <f t="shared" ref="W26:W79" si="13">V26*U26*$E26</f>
        <v>0</v>
      </c>
      <c r="X26" s="152"/>
      <c r="Y26" s="153"/>
      <c r="Z26" s="154"/>
      <c r="AA26" s="137">
        <f t="shared" ref="AA26:AA79" si="14">K26*$K$3+N26*$N$3+Q26*$Q$3+H26*$H$3+T26*$T$3+W26*$W$3</f>
        <v>0</v>
      </c>
      <c r="AB26" s="138" t="e">
        <f t="shared" ref="AB26:AB57" si="15">AA26/$AA$162</f>
        <v>#DIV/0!</v>
      </c>
    </row>
    <row r="27" spans="2:29" s="109" customFormat="1" ht="21.95" customHeight="1" outlineLevel="1">
      <c r="B27" s="148" t="str">
        <f>'CPU  1'!B27</f>
        <v>E02</v>
      </c>
      <c r="C27" s="149" t="str">
        <f>'CPU  1'!C27</f>
        <v>Banheiro hidraulico - locação</v>
      </c>
      <c r="D27" s="150" t="str">
        <f>'CPU  1'!D27</f>
        <v>vb/mês</v>
      </c>
      <c r="E27" s="151">
        <f>'CPU  1'!E27</f>
        <v>4000</v>
      </c>
      <c r="F27" s="145"/>
      <c r="G27" s="142"/>
      <c r="H27" s="134">
        <f t="shared" si="8"/>
        <v>0</v>
      </c>
      <c r="I27" s="145"/>
      <c r="J27" s="142"/>
      <c r="K27" s="134">
        <f t="shared" si="9"/>
        <v>0</v>
      </c>
      <c r="L27" s="145"/>
      <c r="M27" s="142"/>
      <c r="N27" s="134">
        <f t="shared" si="10"/>
        <v>0</v>
      </c>
      <c r="O27" s="145"/>
      <c r="P27" s="142"/>
      <c r="Q27" s="134">
        <f t="shared" si="11"/>
        <v>0</v>
      </c>
      <c r="R27" s="145"/>
      <c r="S27" s="142"/>
      <c r="T27" s="134">
        <f t="shared" si="12"/>
        <v>0</v>
      </c>
      <c r="U27" s="145"/>
      <c r="V27" s="142"/>
      <c r="W27" s="134">
        <f t="shared" si="13"/>
        <v>0</v>
      </c>
      <c r="X27" s="152"/>
      <c r="Y27" s="153"/>
      <c r="Z27" s="154"/>
      <c r="AA27" s="137">
        <f t="shared" si="14"/>
        <v>0</v>
      </c>
      <c r="AB27" s="138" t="e">
        <f t="shared" si="15"/>
        <v>#DIV/0!</v>
      </c>
    </row>
    <row r="28" spans="2:29" s="109" customFormat="1" ht="21.95" customHeight="1" outlineLevel="1">
      <c r="B28" s="148" t="str">
        <f>'CPU  1'!B28</f>
        <v>E03</v>
      </c>
      <c r="C28" s="149" t="str">
        <f>'CPU  1'!C28</f>
        <v>Barreira física metalica</v>
      </c>
      <c r="D28" s="150" t="str">
        <f>'CPU  1'!D28</f>
        <v>pç</v>
      </c>
      <c r="E28" s="151">
        <f>'CPU  1'!E28</f>
        <v>350</v>
      </c>
      <c r="F28" s="145"/>
      <c r="G28" s="142"/>
      <c r="H28" s="134">
        <f t="shared" si="8"/>
        <v>0</v>
      </c>
      <c r="I28" s="145"/>
      <c r="J28" s="142"/>
      <c r="K28" s="134">
        <f t="shared" si="9"/>
        <v>0</v>
      </c>
      <c r="L28" s="145"/>
      <c r="M28" s="142"/>
      <c r="N28" s="134">
        <f t="shared" si="10"/>
        <v>0</v>
      </c>
      <c r="O28" s="145"/>
      <c r="P28" s="142"/>
      <c r="Q28" s="134">
        <f t="shared" si="11"/>
        <v>0</v>
      </c>
      <c r="R28" s="145"/>
      <c r="S28" s="142"/>
      <c r="T28" s="134">
        <f t="shared" si="12"/>
        <v>0</v>
      </c>
      <c r="U28" s="145"/>
      <c r="V28" s="142"/>
      <c r="W28" s="134">
        <f t="shared" si="13"/>
        <v>0</v>
      </c>
      <c r="X28" s="152"/>
      <c r="Y28" s="153"/>
      <c r="Z28" s="154"/>
      <c r="AA28" s="137">
        <f t="shared" si="14"/>
        <v>0</v>
      </c>
      <c r="AB28" s="138" t="e">
        <f t="shared" si="15"/>
        <v>#DIV/0!</v>
      </c>
    </row>
    <row r="29" spans="2:29" s="109" customFormat="1" ht="21.95" customHeight="1" outlineLevel="1">
      <c r="B29" s="148" t="str">
        <f>'CPU  1'!B29</f>
        <v>E04</v>
      </c>
      <c r="C29" s="149" t="str">
        <f>'CPU  1'!C29</f>
        <v>Bebedouro 4 torneiras 50L</v>
      </c>
      <c r="D29" s="150" t="str">
        <f>'CPU  1'!D29</f>
        <v>unid</v>
      </c>
      <c r="E29" s="151">
        <f>'CPU  1'!E29</f>
        <v>3500</v>
      </c>
      <c r="F29" s="145"/>
      <c r="G29" s="142"/>
      <c r="H29" s="134">
        <f t="shared" si="8"/>
        <v>0</v>
      </c>
      <c r="I29" s="145"/>
      <c r="J29" s="142"/>
      <c r="K29" s="134">
        <f t="shared" si="9"/>
        <v>0</v>
      </c>
      <c r="L29" s="145"/>
      <c r="M29" s="142"/>
      <c r="N29" s="134">
        <f t="shared" si="10"/>
        <v>0</v>
      </c>
      <c r="O29" s="145"/>
      <c r="P29" s="142"/>
      <c r="Q29" s="134">
        <f t="shared" si="11"/>
        <v>0</v>
      </c>
      <c r="R29" s="145"/>
      <c r="S29" s="142"/>
      <c r="T29" s="134">
        <f t="shared" si="12"/>
        <v>0</v>
      </c>
      <c r="U29" s="145"/>
      <c r="V29" s="142"/>
      <c r="W29" s="134">
        <f t="shared" si="13"/>
        <v>0</v>
      </c>
      <c r="X29" s="152"/>
      <c r="Y29" s="153"/>
      <c r="Z29" s="154"/>
      <c r="AA29" s="137">
        <f t="shared" si="14"/>
        <v>0</v>
      </c>
      <c r="AB29" s="138" t="e">
        <f t="shared" si="15"/>
        <v>#DIV/0!</v>
      </c>
    </row>
    <row r="30" spans="2:29" s="109" customFormat="1" ht="21.95" customHeight="1" outlineLevel="1">
      <c r="B30" s="148" t="str">
        <f>'CPU  1'!B30</f>
        <v>E05</v>
      </c>
      <c r="C30" s="149" t="str">
        <f>'CPU  1'!C30</f>
        <v>Caçamba de entulho 4m³</v>
      </c>
      <c r="D30" s="150" t="str">
        <f>'CPU  1'!D30</f>
        <v>Vb/mês</v>
      </c>
      <c r="E30" s="151">
        <f>'CPU  1'!E30</f>
        <v>800</v>
      </c>
      <c r="F30" s="145"/>
      <c r="G30" s="142"/>
      <c r="H30" s="134">
        <f t="shared" si="8"/>
        <v>0</v>
      </c>
      <c r="I30" s="145"/>
      <c r="J30" s="142"/>
      <c r="K30" s="134">
        <f t="shared" si="9"/>
        <v>0</v>
      </c>
      <c r="L30" s="145"/>
      <c r="M30" s="142"/>
      <c r="N30" s="134">
        <f t="shared" si="10"/>
        <v>0</v>
      </c>
      <c r="O30" s="145"/>
      <c r="P30" s="142"/>
      <c r="Q30" s="134">
        <f t="shared" si="11"/>
        <v>0</v>
      </c>
      <c r="R30" s="145"/>
      <c r="S30" s="142"/>
      <c r="T30" s="134">
        <f t="shared" si="12"/>
        <v>0</v>
      </c>
      <c r="U30" s="145"/>
      <c r="V30" s="142"/>
      <c r="W30" s="134">
        <f t="shared" si="13"/>
        <v>0</v>
      </c>
      <c r="X30" s="152"/>
      <c r="Y30" s="153"/>
      <c r="Z30" s="154"/>
      <c r="AA30" s="137">
        <f t="shared" si="14"/>
        <v>0</v>
      </c>
      <c r="AB30" s="138" t="e">
        <f t="shared" si="15"/>
        <v>#DIV/0!</v>
      </c>
    </row>
    <row r="31" spans="2:29" s="109" customFormat="1" ht="21.95" customHeight="1" outlineLevel="1">
      <c r="B31" s="148" t="str">
        <f>'CPU  1'!B31</f>
        <v>E06</v>
      </c>
      <c r="C31" s="149" t="str">
        <f>'CPU  1'!C31</f>
        <v>Cadinho solda exotermica</v>
      </c>
      <c r="D31" s="150" t="str">
        <f>'CPU  1'!D31</f>
        <v>pç</v>
      </c>
      <c r="E31" s="151">
        <f>'CPU  1'!E31</f>
        <v>420</v>
      </c>
      <c r="F31" s="145"/>
      <c r="G31" s="142"/>
      <c r="H31" s="134">
        <f t="shared" si="8"/>
        <v>0</v>
      </c>
      <c r="I31" s="145"/>
      <c r="J31" s="142"/>
      <c r="K31" s="134">
        <f t="shared" si="9"/>
        <v>0</v>
      </c>
      <c r="L31" s="145"/>
      <c r="M31" s="142"/>
      <c r="N31" s="134">
        <f t="shared" si="10"/>
        <v>0</v>
      </c>
      <c r="O31" s="145"/>
      <c r="P31" s="142"/>
      <c r="Q31" s="134">
        <f t="shared" si="11"/>
        <v>0</v>
      </c>
      <c r="R31" s="145"/>
      <c r="S31" s="142"/>
      <c r="T31" s="134">
        <f t="shared" si="12"/>
        <v>0</v>
      </c>
      <c r="U31" s="145"/>
      <c r="V31" s="142"/>
      <c r="W31" s="134">
        <f t="shared" si="13"/>
        <v>0</v>
      </c>
      <c r="X31" s="152"/>
      <c r="Y31" s="153"/>
      <c r="Z31" s="154"/>
      <c r="AA31" s="137">
        <f t="shared" si="14"/>
        <v>0</v>
      </c>
      <c r="AB31" s="138" t="e">
        <f t="shared" si="15"/>
        <v>#DIV/0!</v>
      </c>
    </row>
    <row r="32" spans="2:29" s="109" customFormat="1" ht="21.95" customHeight="1" outlineLevel="1">
      <c r="B32" s="148" t="str">
        <f>'CPU  1'!B32</f>
        <v>E07</v>
      </c>
      <c r="C32" s="149" t="str">
        <f>'CPU  1'!C32</f>
        <v>Caixa dágua 1000L</v>
      </c>
      <c r="D32" s="150" t="str">
        <f>'CPU  1'!D32</f>
        <v>pç</v>
      </c>
      <c r="E32" s="151">
        <f>'CPU  1'!E32</f>
        <v>480</v>
      </c>
      <c r="F32" s="145"/>
      <c r="G32" s="142"/>
      <c r="H32" s="134">
        <f t="shared" si="8"/>
        <v>0</v>
      </c>
      <c r="I32" s="145"/>
      <c r="J32" s="142"/>
      <c r="K32" s="134">
        <f t="shared" si="9"/>
        <v>0</v>
      </c>
      <c r="L32" s="145"/>
      <c r="M32" s="142"/>
      <c r="N32" s="134">
        <f t="shared" si="10"/>
        <v>0</v>
      </c>
      <c r="O32" s="145"/>
      <c r="P32" s="142"/>
      <c r="Q32" s="134">
        <f t="shared" si="11"/>
        <v>0</v>
      </c>
      <c r="R32" s="145"/>
      <c r="S32" s="142"/>
      <c r="T32" s="134">
        <f t="shared" si="12"/>
        <v>0</v>
      </c>
      <c r="U32" s="145"/>
      <c r="V32" s="142"/>
      <c r="W32" s="134">
        <f t="shared" si="13"/>
        <v>0</v>
      </c>
      <c r="X32" s="152"/>
      <c r="Y32" s="153"/>
      <c r="Z32" s="154"/>
      <c r="AA32" s="137">
        <f t="shared" si="14"/>
        <v>0</v>
      </c>
      <c r="AB32" s="138" t="e">
        <f t="shared" si="15"/>
        <v>#DIV/0!</v>
      </c>
    </row>
    <row r="33" spans="2:28" s="109" customFormat="1" ht="21.95" customHeight="1" outlineLevel="1">
      <c r="B33" s="148" t="str">
        <f>'CPU  1'!B33</f>
        <v>E08</v>
      </c>
      <c r="C33" s="149" t="str">
        <f>'CPU  1'!C33</f>
        <v>Caixa dágua 500L</v>
      </c>
      <c r="D33" s="155" t="str">
        <f>'CPU  1'!D33</f>
        <v>pç</v>
      </c>
      <c r="E33" s="151">
        <f>'CPU  1'!E33</f>
        <v>250</v>
      </c>
      <c r="F33" s="145"/>
      <c r="G33" s="142"/>
      <c r="H33" s="134">
        <f t="shared" si="8"/>
        <v>0</v>
      </c>
      <c r="I33" s="145"/>
      <c r="J33" s="142"/>
      <c r="K33" s="134">
        <f t="shared" si="9"/>
        <v>0</v>
      </c>
      <c r="L33" s="145"/>
      <c r="M33" s="142"/>
      <c r="N33" s="134">
        <f t="shared" si="10"/>
        <v>0</v>
      </c>
      <c r="O33" s="145"/>
      <c r="P33" s="142"/>
      <c r="Q33" s="134">
        <f t="shared" si="11"/>
        <v>0</v>
      </c>
      <c r="R33" s="145"/>
      <c r="S33" s="142"/>
      <c r="T33" s="134">
        <f t="shared" si="12"/>
        <v>0</v>
      </c>
      <c r="U33" s="145"/>
      <c r="V33" s="142"/>
      <c r="W33" s="134">
        <f t="shared" si="13"/>
        <v>0</v>
      </c>
      <c r="X33" s="152"/>
      <c r="Y33" s="153"/>
      <c r="Z33" s="154"/>
      <c r="AA33" s="137">
        <f t="shared" si="14"/>
        <v>0</v>
      </c>
      <c r="AB33" s="138" t="e">
        <f t="shared" si="15"/>
        <v>#DIV/0!</v>
      </c>
    </row>
    <row r="34" spans="2:28" s="109" customFormat="1" ht="21.95" customHeight="1" outlineLevel="1">
      <c r="B34" s="148" t="str">
        <f>'CPU  1'!B34</f>
        <v>E09</v>
      </c>
      <c r="C34" s="149" t="str">
        <f>'CPU  1'!C34</f>
        <v>Caminhão munck</v>
      </c>
      <c r="D34" s="155" t="str">
        <f>'CPU  1'!D34</f>
        <v>vb/mês</v>
      </c>
      <c r="E34" s="151">
        <f>'CPU  1'!E34</f>
        <v>40000</v>
      </c>
      <c r="F34" s="145"/>
      <c r="G34" s="142"/>
      <c r="H34" s="134">
        <f t="shared" si="8"/>
        <v>0</v>
      </c>
      <c r="I34" s="145"/>
      <c r="J34" s="142"/>
      <c r="K34" s="134">
        <f t="shared" si="9"/>
        <v>0</v>
      </c>
      <c r="L34" s="145"/>
      <c r="M34" s="142"/>
      <c r="N34" s="134">
        <f t="shared" si="10"/>
        <v>0</v>
      </c>
      <c r="O34" s="145"/>
      <c r="P34" s="142"/>
      <c r="Q34" s="134">
        <f t="shared" si="11"/>
        <v>0</v>
      </c>
      <c r="R34" s="145"/>
      <c r="S34" s="142"/>
      <c r="T34" s="134">
        <f t="shared" si="12"/>
        <v>0</v>
      </c>
      <c r="U34" s="145"/>
      <c r="V34" s="142"/>
      <c r="W34" s="134">
        <f t="shared" si="13"/>
        <v>0</v>
      </c>
      <c r="X34" s="152"/>
      <c r="Y34" s="153"/>
      <c r="Z34" s="372"/>
      <c r="AA34" s="137">
        <f t="shared" si="14"/>
        <v>0</v>
      </c>
      <c r="AB34" s="138" t="e">
        <f t="shared" si="15"/>
        <v>#DIV/0!</v>
      </c>
    </row>
    <row r="35" spans="2:28" s="109" customFormat="1" ht="21.95" customHeight="1" outlineLevel="1">
      <c r="B35" s="148" t="str">
        <f>'CPU  1'!B35</f>
        <v>E10</v>
      </c>
      <c r="C35" s="149" t="str">
        <f>'CPU  1'!C35</f>
        <v>Carro de mão</v>
      </c>
      <c r="D35" s="155" t="str">
        <f>'CPU  1'!D35</f>
        <v>pç</v>
      </c>
      <c r="E35" s="151">
        <f>'CPU  1'!E35</f>
        <v>450</v>
      </c>
      <c r="F35" s="145"/>
      <c r="G35" s="142"/>
      <c r="H35" s="134">
        <f t="shared" si="8"/>
        <v>0</v>
      </c>
      <c r="I35" s="145"/>
      <c r="J35" s="142"/>
      <c r="K35" s="134">
        <f t="shared" si="9"/>
        <v>0</v>
      </c>
      <c r="L35" s="145"/>
      <c r="M35" s="142"/>
      <c r="N35" s="134">
        <f t="shared" si="10"/>
        <v>0</v>
      </c>
      <c r="O35" s="145"/>
      <c r="P35" s="142"/>
      <c r="Q35" s="134">
        <f t="shared" si="11"/>
        <v>0</v>
      </c>
      <c r="R35" s="145"/>
      <c r="S35" s="142"/>
      <c r="T35" s="134">
        <f t="shared" si="12"/>
        <v>0</v>
      </c>
      <c r="U35" s="145"/>
      <c r="V35" s="142"/>
      <c r="W35" s="134">
        <f t="shared" si="13"/>
        <v>0</v>
      </c>
      <c r="X35" s="152"/>
      <c r="Y35" s="153"/>
      <c r="Z35" s="154"/>
      <c r="AA35" s="137">
        <f t="shared" si="14"/>
        <v>0</v>
      </c>
      <c r="AB35" s="138" t="e">
        <f t="shared" si="15"/>
        <v>#DIV/0!</v>
      </c>
    </row>
    <row r="36" spans="2:28" s="109" customFormat="1" ht="21.95" customHeight="1" outlineLevel="1">
      <c r="B36" s="148" t="str">
        <f>'CPU  1'!B36</f>
        <v>E11</v>
      </c>
      <c r="C36" s="149" t="str">
        <f>'CPU  1'!C36</f>
        <v>Carro plataforma</v>
      </c>
      <c r="D36" s="155" t="str">
        <f>'CPU  1'!D36</f>
        <v>pç</v>
      </c>
      <c r="E36" s="151">
        <f>'CPU  1'!E36</f>
        <v>1200</v>
      </c>
      <c r="F36" s="145"/>
      <c r="G36" s="142"/>
      <c r="H36" s="134">
        <f t="shared" si="8"/>
        <v>0</v>
      </c>
      <c r="I36" s="145"/>
      <c r="J36" s="142"/>
      <c r="K36" s="134">
        <f t="shared" si="9"/>
        <v>0</v>
      </c>
      <c r="L36" s="145"/>
      <c r="M36" s="142"/>
      <c r="N36" s="134">
        <f t="shared" si="10"/>
        <v>0</v>
      </c>
      <c r="O36" s="145"/>
      <c r="P36" s="142"/>
      <c r="Q36" s="134">
        <f t="shared" si="11"/>
        <v>0</v>
      </c>
      <c r="R36" s="145"/>
      <c r="S36" s="142"/>
      <c r="T36" s="134">
        <f t="shared" si="12"/>
        <v>0</v>
      </c>
      <c r="U36" s="145"/>
      <c r="V36" s="142"/>
      <c r="W36" s="134">
        <f t="shared" si="13"/>
        <v>0</v>
      </c>
      <c r="X36" s="152"/>
      <c r="Y36" s="153"/>
      <c r="Z36" s="154"/>
      <c r="AA36" s="137">
        <f t="shared" si="14"/>
        <v>0</v>
      </c>
      <c r="AB36" s="138" t="e">
        <f t="shared" si="15"/>
        <v>#DIV/0!</v>
      </c>
    </row>
    <row r="37" spans="2:28" s="109" customFormat="1" ht="36" customHeight="1" outlineLevel="1">
      <c r="B37" s="148" t="str">
        <f>'CPU  1'!B37</f>
        <v>E12</v>
      </c>
      <c r="C37" s="149" t="str">
        <f>'CPU  1'!C37</f>
        <v>Coletor de resíduo com pedal - 50L (V,V,A,A)</v>
      </c>
      <c r="D37" s="155" t="str">
        <f>'CPU  1'!D37</f>
        <v>kit</v>
      </c>
      <c r="E37" s="151">
        <f>'CPU  1'!E37</f>
        <v>1200</v>
      </c>
      <c r="F37" s="145"/>
      <c r="G37" s="142"/>
      <c r="H37" s="134">
        <f t="shared" si="8"/>
        <v>0</v>
      </c>
      <c r="I37" s="145"/>
      <c r="J37" s="142"/>
      <c r="K37" s="134">
        <f t="shared" si="9"/>
        <v>0</v>
      </c>
      <c r="L37" s="145"/>
      <c r="M37" s="142"/>
      <c r="N37" s="134">
        <f t="shared" si="10"/>
        <v>0</v>
      </c>
      <c r="O37" s="145"/>
      <c r="P37" s="142"/>
      <c r="Q37" s="134">
        <f t="shared" si="11"/>
        <v>0</v>
      </c>
      <c r="R37" s="145"/>
      <c r="S37" s="142"/>
      <c r="T37" s="134">
        <f t="shared" si="12"/>
        <v>0</v>
      </c>
      <c r="U37" s="145"/>
      <c r="V37" s="142"/>
      <c r="W37" s="134">
        <f t="shared" si="13"/>
        <v>0</v>
      </c>
      <c r="X37" s="152"/>
      <c r="Y37" s="153"/>
      <c r="Z37" s="154"/>
      <c r="AA37" s="137">
        <f t="shared" si="14"/>
        <v>0</v>
      </c>
      <c r="AB37" s="138" t="e">
        <f t="shared" si="15"/>
        <v>#DIV/0!</v>
      </c>
    </row>
    <row r="38" spans="2:28" s="109" customFormat="1" ht="21.95" customHeight="1" outlineLevel="1">
      <c r="B38" s="148" t="str">
        <f>'CPU  1'!B38</f>
        <v>E13</v>
      </c>
      <c r="C38" s="149" t="str">
        <f>'CPU  1'!C38</f>
        <v>Compactador de solo manual</v>
      </c>
      <c r="D38" s="155" t="str">
        <f>'CPU  1'!D38</f>
        <v>vb</v>
      </c>
      <c r="E38" s="151">
        <f>'CPU  1'!E38</f>
        <v>180</v>
      </c>
      <c r="F38" s="145"/>
      <c r="G38" s="142"/>
      <c r="H38" s="134">
        <f t="shared" si="8"/>
        <v>0</v>
      </c>
      <c r="I38" s="145"/>
      <c r="J38" s="142"/>
      <c r="K38" s="134">
        <f t="shared" si="9"/>
        <v>0</v>
      </c>
      <c r="L38" s="145"/>
      <c r="M38" s="142"/>
      <c r="N38" s="134">
        <f t="shared" si="10"/>
        <v>0</v>
      </c>
      <c r="O38" s="145"/>
      <c r="P38" s="142"/>
      <c r="Q38" s="134">
        <f t="shared" si="11"/>
        <v>0</v>
      </c>
      <c r="R38" s="145"/>
      <c r="S38" s="142"/>
      <c r="T38" s="134">
        <f t="shared" si="12"/>
        <v>0</v>
      </c>
      <c r="U38" s="145"/>
      <c r="V38" s="142"/>
      <c r="W38" s="134">
        <f t="shared" si="13"/>
        <v>0</v>
      </c>
      <c r="X38" s="152"/>
      <c r="Y38" s="153"/>
      <c r="Z38" s="154"/>
      <c r="AA38" s="137">
        <f t="shared" si="14"/>
        <v>0</v>
      </c>
      <c r="AB38" s="138" t="e">
        <f t="shared" si="15"/>
        <v>#DIV/0!</v>
      </c>
    </row>
    <row r="39" spans="2:28" s="109" customFormat="1" ht="21.95" customHeight="1" outlineLevel="1">
      <c r="B39" s="148" t="str">
        <f>'CPU  1'!B39</f>
        <v>E14</v>
      </c>
      <c r="C39" s="149" t="str">
        <f>'CPU  1'!C39</f>
        <v>Computador</v>
      </c>
      <c r="D39" s="155" t="str">
        <f>'CPU  1'!D39</f>
        <v>vb/mês</v>
      </c>
      <c r="E39" s="151">
        <f>'CPU  1'!E39</f>
        <v>350</v>
      </c>
      <c r="F39" s="145"/>
      <c r="G39" s="142"/>
      <c r="H39" s="134">
        <f t="shared" si="8"/>
        <v>0</v>
      </c>
      <c r="I39" s="145"/>
      <c r="J39" s="142"/>
      <c r="K39" s="134">
        <f t="shared" si="9"/>
        <v>0</v>
      </c>
      <c r="L39" s="145"/>
      <c r="M39" s="142"/>
      <c r="N39" s="134">
        <f t="shared" si="10"/>
        <v>0</v>
      </c>
      <c r="O39" s="145"/>
      <c r="P39" s="142"/>
      <c r="Q39" s="134">
        <f t="shared" si="11"/>
        <v>0</v>
      </c>
      <c r="R39" s="145"/>
      <c r="S39" s="142"/>
      <c r="T39" s="134">
        <f t="shared" si="12"/>
        <v>0</v>
      </c>
      <c r="U39" s="145"/>
      <c r="V39" s="142"/>
      <c r="W39" s="134">
        <f t="shared" si="13"/>
        <v>0</v>
      </c>
      <c r="X39" s="152"/>
      <c r="Y39" s="153"/>
      <c r="Z39" s="154"/>
      <c r="AA39" s="137">
        <f t="shared" si="14"/>
        <v>0</v>
      </c>
      <c r="AB39" s="138" t="e">
        <f t="shared" si="15"/>
        <v>#DIV/0!</v>
      </c>
    </row>
    <row r="40" spans="2:28" s="109" customFormat="1" ht="21.95" customHeight="1" outlineLevel="1">
      <c r="B40" s="148" t="str">
        <f>'CPU  1'!B40</f>
        <v>E15</v>
      </c>
      <c r="C40" s="149" t="str">
        <f>'CPU  1'!C40</f>
        <v>Container Almoxarifado</v>
      </c>
      <c r="D40" s="155" t="str">
        <f>'CPU  1'!D40</f>
        <v>vb/mês</v>
      </c>
      <c r="E40" s="151">
        <f>'CPU  1'!E40</f>
        <v>1200</v>
      </c>
      <c r="F40" s="145"/>
      <c r="G40" s="142"/>
      <c r="H40" s="134">
        <f t="shared" si="8"/>
        <v>0</v>
      </c>
      <c r="I40" s="145"/>
      <c r="J40" s="142"/>
      <c r="K40" s="134">
        <f t="shared" si="9"/>
        <v>0</v>
      </c>
      <c r="L40" s="145"/>
      <c r="M40" s="142"/>
      <c r="N40" s="134">
        <f t="shared" si="10"/>
        <v>0</v>
      </c>
      <c r="O40" s="145"/>
      <c r="P40" s="142"/>
      <c r="Q40" s="134">
        <f t="shared" si="11"/>
        <v>0</v>
      </c>
      <c r="R40" s="145"/>
      <c r="S40" s="142"/>
      <c r="T40" s="134">
        <f t="shared" si="12"/>
        <v>0</v>
      </c>
      <c r="U40" s="145"/>
      <c r="V40" s="142"/>
      <c r="W40" s="134">
        <f t="shared" si="13"/>
        <v>0</v>
      </c>
      <c r="X40" s="152"/>
      <c r="Y40" s="153"/>
      <c r="Z40" s="154"/>
      <c r="AA40" s="137">
        <f t="shared" si="14"/>
        <v>0</v>
      </c>
      <c r="AB40" s="138" t="e">
        <f t="shared" si="15"/>
        <v>#DIV/0!</v>
      </c>
    </row>
    <row r="41" spans="2:28" s="109" customFormat="1" ht="21.95" customHeight="1" outlineLevel="1">
      <c r="B41" s="148" t="str">
        <f>'CPU  1'!B41</f>
        <v>E16</v>
      </c>
      <c r="C41" s="149" t="str">
        <f>'CPU  1'!C41</f>
        <v>Container escritorio</v>
      </c>
      <c r="D41" s="155" t="str">
        <f>'CPU  1'!D41</f>
        <v>vb/mês</v>
      </c>
      <c r="E41" s="151">
        <f>'CPU  1'!E41</f>
        <v>900</v>
      </c>
      <c r="F41" s="145"/>
      <c r="G41" s="142"/>
      <c r="H41" s="134">
        <f t="shared" si="8"/>
        <v>0</v>
      </c>
      <c r="I41" s="145"/>
      <c r="J41" s="142"/>
      <c r="K41" s="134">
        <f t="shared" si="9"/>
        <v>0</v>
      </c>
      <c r="L41" s="145"/>
      <c r="M41" s="142"/>
      <c r="N41" s="134">
        <f t="shared" si="10"/>
        <v>0</v>
      </c>
      <c r="O41" s="145"/>
      <c r="P41" s="142"/>
      <c r="Q41" s="134">
        <f t="shared" si="11"/>
        <v>0</v>
      </c>
      <c r="R41" s="145"/>
      <c r="S41" s="142"/>
      <c r="T41" s="134">
        <f t="shared" si="12"/>
        <v>0</v>
      </c>
      <c r="U41" s="145"/>
      <c r="V41" s="142"/>
      <c r="W41" s="134">
        <f t="shared" si="13"/>
        <v>0</v>
      </c>
      <c r="X41" s="152"/>
      <c r="Y41" s="153"/>
      <c r="Z41" s="154"/>
      <c r="AA41" s="137">
        <f t="shared" si="14"/>
        <v>0</v>
      </c>
      <c r="AB41" s="138" t="e">
        <f t="shared" si="15"/>
        <v>#DIV/0!</v>
      </c>
    </row>
    <row r="42" spans="2:28" s="109" customFormat="1" ht="21.95" customHeight="1" outlineLevel="1">
      <c r="B42" s="148" t="str">
        <f>'CPU  1'!B42</f>
        <v>E17</v>
      </c>
      <c r="C42" s="149" t="str">
        <f>'CPU  1'!C42</f>
        <v>EPIs</v>
      </c>
      <c r="D42" s="155" t="str">
        <f>'CPU  1'!D42</f>
        <v>vb/mês</v>
      </c>
      <c r="E42" s="151">
        <f>'CPU  1'!E42</f>
        <v>328.76666666666671</v>
      </c>
      <c r="F42" s="145"/>
      <c r="G42" s="142"/>
      <c r="H42" s="134">
        <f t="shared" si="8"/>
        <v>0</v>
      </c>
      <c r="I42" s="145"/>
      <c r="J42" s="142"/>
      <c r="K42" s="134">
        <f t="shared" si="9"/>
        <v>0</v>
      </c>
      <c r="L42" s="145"/>
      <c r="M42" s="142"/>
      <c r="N42" s="134">
        <f t="shared" si="10"/>
        <v>0</v>
      </c>
      <c r="O42" s="145"/>
      <c r="P42" s="142"/>
      <c r="Q42" s="134">
        <f t="shared" si="11"/>
        <v>0</v>
      </c>
      <c r="R42" s="145"/>
      <c r="S42" s="142"/>
      <c r="T42" s="134">
        <f t="shared" si="12"/>
        <v>0</v>
      </c>
      <c r="U42" s="145"/>
      <c r="V42" s="142"/>
      <c r="W42" s="134">
        <f t="shared" si="13"/>
        <v>0</v>
      </c>
      <c r="X42" s="152"/>
      <c r="Y42" s="153"/>
      <c r="Z42" s="154"/>
      <c r="AA42" s="137">
        <f t="shared" si="14"/>
        <v>0</v>
      </c>
      <c r="AB42" s="138" t="e">
        <f t="shared" si="15"/>
        <v>#DIV/0!</v>
      </c>
    </row>
    <row r="43" spans="2:28" s="109" customFormat="1" ht="21.95" customHeight="1" outlineLevel="1">
      <c r="B43" s="148" t="str">
        <f>'CPU  1'!B43</f>
        <v>E18</v>
      </c>
      <c r="C43" s="149" t="str">
        <f>'CPU  1'!C43</f>
        <v>Esmerilhadeira 4-1/2"</v>
      </c>
      <c r="D43" s="155" t="str">
        <f>'CPU  1'!D43</f>
        <v>und</v>
      </c>
      <c r="E43" s="151">
        <f>'CPU  1'!E43</f>
        <v>2000</v>
      </c>
      <c r="F43" s="145"/>
      <c r="G43" s="142"/>
      <c r="H43" s="134">
        <f t="shared" si="8"/>
        <v>0</v>
      </c>
      <c r="I43" s="145"/>
      <c r="J43" s="142"/>
      <c r="K43" s="134">
        <f t="shared" si="9"/>
        <v>0</v>
      </c>
      <c r="L43" s="145"/>
      <c r="M43" s="142"/>
      <c r="N43" s="134">
        <f t="shared" si="10"/>
        <v>0</v>
      </c>
      <c r="O43" s="145"/>
      <c r="P43" s="142"/>
      <c r="Q43" s="134">
        <f t="shared" si="11"/>
        <v>0</v>
      </c>
      <c r="R43" s="145"/>
      <c r="S43" s="142"/>
      <c r="T43" s="134">
        <f t="shared" si="12"/>
        <v>0</v>
      </c>
      <c r="U43" s="145"/>
      <c r="V43" s="142"/>
      <c r="W43" s="134">
        <f t="shared" si="13"/>
        <v>0</v>
      </c>
      <c r="X43" s="152"/>
      <c r="Y43" s="153"/>
      <c r="Z43" s="154"/>
      <c r="AA43" s="137">
        <f t="shared" si="14"/>
        <v>0</v>
      </c>
      <c r="AB43" s="138" t="e">
        <f t="shared" si="15"/>
        <v>#DIV/0!</v>
      </c>
    </row>
    <row r="44" spans="2:28" s="109" customFormat="1" ht="21.95" customHeight="1" outlineLevel="1">
      <c r="B44" s="148" t="str">
        <f>'CPU  1'!B44</f>
        <v>E19</v>
      </c>
      <c r="C44" s="149" t="str">
        <f>'CPU  1'!C44</f>
        <v>Estação total (com acessorios)</v>
      </c>
      <c r="D44" s="155" t="str">
        <f>'CPU  1'!D44</f>
        <v>vb/mês</v>
      </c>
      <c r="E44" s="151">
        <f>'CPU  1'!E44</f>
        <v>1350</v>
      </c>
      <c r="F44" s="145"/>
      <c r="G44" s="142"/>
      <c r="H44" s="134">
        <f t="shared" si="8"/>
        <v>0</v>
      </c>
      <c r="I44" s="145"/>
      <c r="J44" s="142"/>
      <c r="K44" s="134">
        <f t="shared" si="9"/>
        <v>0</v>
      </c>
      <c r="L44" s="145"/>
      <c r="M44" s="142"/>
      <c r="N44" s="134">
        <f t="shared" si="10"/>
        <v>0</v>
      </c>
      <c r="O44" s="145"/>
      <c r="P44" s="142"/>
      <c r="Q44" s="134">
        <f t="shared" si="11"/>
        <v>0</v>
      </c>
      <c r="R44" s="145"/>
      <c r="S44" s="142"/>
      <c r="T44" s="134">
        <f t="shared" si="12"/>
        <v>0</v>
      </c>
      <c r="U44" s="145"/>
      <c r="V44" s="142"/>
      <c r="W44" s="134">
        <f t="shared" si="13"/>
        <v>0</v>
      </c>
      <c r="X44" s="152"/>
      <c r="Y44" s="153"/>
      <c r="Z44" s="154"/>
      <c r="AA44" s="137">
        <f t="shared" si="14"/>
        <v>0</v>
      </c>
      <c r="AB44" s="138" t="e">
        <f t="shared" si="15"/>
        <v>#DIV/0!</v>
      </c>
    </row>
    <row r="45" spans="2:28" s="109" customFormat="1" ht="36" customHeight="1" outlineLevel="1">
      <c r="B45" s="148" t="str">
        <f>'CPU  1'!B45</f>
        <v>E20</v>
      </c>
      <c r="C45" s="149" t="str">
        <f>'CPU  1'!C45</f>
        <v>Extensões eletricas (plug steck + DJ + DR) 40m</v>
      </c>
      <c r="D45" s="155" t="str">
        <f>'CPU  1'!D45</f>
        <v>vb</v>
      </c>
      <c r="E45" s="151">
        <f>'CPU  1'!E45</f>
        <v>1087.8</v>
      </c>
      <c r="F45" s="145"/>
      <c r="G45" s="142"/>
      <c r="H45" s="134">
        <f t="shared" si="8"/>
        <v>0</v>
      </c>
      <c r="I45" s="145"/>
      <c r="J45" s="142"/>
      <c r="K45" s="134">
        <f t="shared" si="9"/>
        <v>0</v>
      </c>
      <c r="L45" s="145"/>
      <c r="M45" s="142"/>
      <c r="N45" s="134">
        <f t="shared" si="10"/>
        <v>0</v>
      </c>
      <c r="O45" s="145"/>
      <c r="P45" s="142"/>
      <c r="Q45" s="134">
        <f t="shared" si="11"/>
        <v>0</v>
      </c>
      <c r="R45" s="145"/>
      <c r="S45" s="142"/>
      <c r="T45" s="134">
        <f t="shared" si="12"/>
        <v>0</v>
      </c>
      <c r="U45" s="145"/>
      <c r="V45" s="142"/>
      <c r="W45" s="134">
        <f t="shared" si="13"/>
        <v>0</v>
      </c>
      <c r="X45" s="152"/>
      <c r="Y45" s="153"/>
      <c r="Z45" s="154"/>
      <c r="AA45" s="137">
        <f t="shared" si="14"/>
        <v>0</v>
      </c>
      <c r="AB45" s="138" t="e">
        <f t="shared" si="15"/>
        <v>#DIV/0!</v>
      </c>
    </row>
    <row r="46" spans="2:28" s="109" customFormat="1" ht="21.95" customHeight="1" outlineLevel="1">
      <c r="B46" s="148" t="str">
        <f>'CPU  1'!B46</f>
        <v>E21</v>
      </c>
      <c r="C46" s="149" t="str">
        <f>'CPU  1'!C46</f>
        <v>Ferramentas gerais para obra</v>
      </c>
      <c r="D46" s="155" t="str">
        <f>'CPU  1'!D46</f>
        <v>vb</v>
      </c>
      <c r="E46" s="151">
        <f>'CPU  1'!E46</f>
        <v>5000</v>
      </c>
      <c r="F46" s="145"/>
      <c r="G46" s="142"/>
      <c r="H46" s="134">
        <f t="shared" si="8"/>
        <v>0</v>
      </c>
      <c r="I46" s="145"/>
      <c r="J46" s="142"/>
      <c r="K46" s="134">
        <f t="shared" si="9"/>
        <v>0</v>
      </c>
      <c r="L46" s="145"/>
      <c r="M46" s="142"/>
      <c r="N46" s="134">
        <f t="shared" si="10"/>
        <v>0</v>
      </c>
      <c r="O46" s="145"/>
      <c r="P46" s="142"/>
      <c r="Q46" s="134">
        <f t="shared" si="11"/>
        <v>0</v>
      </c>
      <c r="R46" s="145"/>
      <c r="S46" s="142"/>
      <c r="T46" s="134">
        <f t="shared" si="12"/>
        <v>0</v>
      </c>
      <c r="U46" s="145"/>
      <c r="V46" s="142"/>
      <c r="W46" s="134">
        <f t="shared" si="13"/>
        <v>0</v>
      </c>
      <c r="X46" s="152"/>
      <c r="Y46" s="153"/>
      <c r="Z46" s="154"/>
      <c r="AA46" s="137">
        <f t="shared" si="14"/>
        <v>0</v>
      </c>
      <c r="AB46" s="138" t="e">
        <f t="shared" si="15"/>
        <v>#DIV/0!</v>
      </c>
    </row>
    <row r="47" spans="2:28" s="109" customFormat="1" ht="21.95" customHeight="1" outlineLevel="1">
      <c r="B47" s="148" t="str">
        <f>'CPU  1'!B47</f>
        <v>E22</v>
      </c>
      <c r="C47" s="149" t="str">
        <f>'CPU  1'!C47</f>
        <v>Freezer 300L</v>
      </c>
      <c r="D47" s="155" t="str">
        <f>'CPU  1'!D47</f>
        <v>vb</v>
      </c>
      <c r="E47" s="151">
        <f>'CPU  1'!E47</f>
        <v>2500</v>
      </c>
      <c r="F47" s="145"/>
      <c r="G47" s="142"/>
      <c r="H47" s="134">
        <f t="shared" si="8"/>
        <v>0</v>
      </c>
      <c r="I47" s="145"/>
      <c r="J47" s="142"/>
      <c r="K47" s="134">
        <f t="shared" si="9"/>
        <v>0</v>
      </c>
      <c r="L47" s="145"/>
      <c r="M47" s="142"/>
      <c r="N47" s="134">
        <f t="shared" si="10"/>
        <v>0</v>
      </c>
      <c r="O47" s="145"/>
      <c r="P47" s="142"/>
      <c r="Q47" s="134">
        <f t="shared" si="11"/>
        <v>0</v>
      </c>
      <c r="R47" s="145"/>
      <c r="S47" s="142"/>
      <c r="T47" s="134">
        <f t="shared" si="12"/>
        <v>0</v>
      </c>
      <c r="U47" s="145"/>
      <c r="V47" s="142"/>
      <c r="W47" s="134">
        <f t="shared" si="13"/>
        <v>0</v>
      </c>
      <c r="X47" s="152"/>
      <c r="Y47" s="153"/>
      <c r="Z47" s="154"/>
      <c r="AA47" s="137">
        <f t="shared" si="14"/>
        <v>0</v>
      </c>
      <c r="AB47" s="138" t="e">
        <f t="shared" si="15"/>
        <v>#DIV/0!</v>
      </c>
    </row>
    <row r="48" spans="2:28" s="109" customFormat="1" ht="21.95" customHeight="1" outlineLevel="1">
      <c r="B48" s="148" t="str">
        <f>'CPU  1'!B48</f>
        <v>E23</v>
      </c>
      <c r="C48" s="149" t="str">
        <f>'CPU  1'!C48</f>
        <v>Furadeira</v>
      </c>
      <c r="D48" s="155" t="str">
        <f>'CPU  1'!D48</f>
        <v>pç</v>
      </c>
      <c r="E48" s="151">
        <f>'CPU  1'!E48</f>
        <v>800</v>
      </c>
      <c r="F48" s="145"/>
      <c r="G48" s="142"/>
      <c r="H48" s="134">
        <f t="shared" si="8"/>
        <v>0</v>
      </c>
      <c r="I48" s="145"/>
      <c r="J48" s="142"/>
      <c r="K48" s="134">
        <f t="shared" si="9"/>
        <v>0</v>
      </c>
      <c r="L48" s="145"/>
      <c r="M48" s="142"/>
      <c r="N48" s="134">
        <f t="shared" si="10"/>
        <v>0</v>
      </c>
      <c r="O48" s="145"/>
      <c r="P48" s="142"/>
      <c r="Q48" s="134">
        <f t="shared" si="11"/>
        <v>0</v>
      </c>
      <c r="R48" s="145"/>
      <c r="S48" s="142"/>
      <c r="T48" s="134">
        <f t="shared" si="12"/>
        <v>0</v>
      </c>
      <c r="U48" s="145"/>
      <c r="V48" s="142"/>
      <c r="W48" s="134">
        <f t="shared" si="13"/>
        <v>0</v>
      </c>
      <c r="X48" s="152"/>
      <c r="Y48" s="153"/>
      <c r="Z48" s="154"/>
      <c r="AA48" s="137">
        <f t="shared" si="14"/>
        <v>0</v>
      </c>
      <c r="AB48" s="138" t="e">
        <f t="shared" si="15"/>
        <v>#DIV/0!</v>
      </c>
    </row>
    <row r="49" spans="2:28" s="109" customFormat="1" ht="21.95" customHeight="1" outlineLevel="1">
      <c r="B49" s="148" t="str">
        <f>'CPU  1'!B49</f>
        <v>E24</v>
      </c>
      <c r="C49" s="149" t="str">
        <f>'CPU  1'!C49</f>
        <v>Garrafa térmica 12 L</v>
      </c>
      <c r="D49" s="155" t="str">
        <f>'CPU  1'!D49</f>
        <v>pç</v>
      </c>
      <c r="E49" s="151">
        <f>'CPU  1'!E49</f>
        <v>210</v>
      </c>
      <c r="F49" s="145"/>
      <c r="G49" s="142"/>
      <c r="H49" s="134">
        <f t="shared" si="8"/>
        <v>0</v>
      </c>
      <c r="I49" s="145"/>
      <c r="J49" s="142"/>
      <c r="K49" s="134">
        <f t="shared" si="9"/>
        <v>0</v>
      </c>
      <c r="L49" s="145"/>
      <c r="M49" s="142"/>
      <c r="N49" s="134">
        <f t="shared" si="10"/>
        <v>0</v>
      </c>
      <c r="O49" s="145"/>
      <c r="P49" s="142"/>
      <c r="Q49" s="134">
        <f t="shared" si="11"/>
        <v>0</v>
      </c>
      <c r="R49" s="145"/>
      <c r="S49" s="142"/>
      <c r="T49" s="134">
        <f t="shared" si="12"/>
        <v>0</v>
      </c>
      <c r="U49" s="145"/>
      <c r="V49" s="142"/>
      <c r="W49" s="134">
        <f t="shared" si="13"/>
        <v>0</v>
      </c>
      <c r="X49" s="152"/>
      <c r="Y49" s="153"/>
      <c r="Z49" s="154"/>
      <c r="AA49" s="137">
        <f t="shared" si="14"/>
        <v>0</v>
      </c>
      <c r="AB49" s="138" t="e">
        <f t="shared" si="15"/>
        <v>#DIV/0!</v>
      </c>
    </row>
    <row r="50" spans="2:28" s="109" customFormat="1" ht="21.95" customHeight="1" outlineLevel="1">
      <c r="B50" s="148" t="str">
        <f>'CPU  1'!B50</f>
        <v>E25</v>
      </c>
      <c r="C50" s="149" t="str">
        <f>'CPU  1'!C50</f>
        <v>Gerador 40KVA</v>
      </c>
      <c r="D50" s="155" t="str">
        <f>'CPU  1'!D50</f>
        <v>vb/mês</v>
      </c>
      <c r="E50" s="151">
        <f>'CPU  1'!E50</f>
        <v>3200</v>
      </c>
      <c r="F50" s="145"/>
      <c r="G50" s="142"/>
      <c r="H50" s="134">
        <f t="shared" si="8"/>
        <v>0</v>
      </c>
      <c r="I50" s="145"/>
      <c r="J50" s="142"/>
      <c r="K50" s="134">
        <f t="shared" si="9"/>
        <v>0</v>
      </c>
      <c r="L50" s="145"/>
      <c r="M50" s="142"/>
      <c r="N50" s="134">
        <f t="shared" si="10"/>
        <v>0</v>
      </c>
      <c r="O50" s="145"/>
      <c r="P50" s="142"/>
      <c r="Q50" s="134">
        <f t="shared" si="11"/>
        <v>0</v>
      </c>
      <c r="R50" s="145"/>
      <c r="S50" s="142"/>
      <c r="T50" s="134">
        <f t="shared" si="12"/>
        <v>0</v>
      </c>
      <c r="U50" s="145"/>
      <c r="V50" s="142"/>
      <c r="W50" s="134">
        <f t="shared" si="13"/>
        <v>0</v>
      </c>
      <c r="X50" s="152"/>
      <c r="Y50" s="153"/>
      <c r="Z50" s="154"/>
      <c r="AA50" s="137">
        <f t="shared" si="14"/>
        <v>0</v>
      </c>
      <c r="AB50" s="138" t="e">
        <f t="shared" si="15"/>
        <v>#DIV/0!</v>
      </c>
    </row>
    <row r="51" spans="2:28" s="109" customFormat="1" ht="21.95" customHeight="1" outlineLevel="1">
      <c r="B51" s="148" t="str">
        <f>'CPU  1'!B51</f>
        <v>E26</v>
      </c>
      <c r="C51" s="149" t="str">
        <f>'CPU  1'!C51</f>
        <v>Gerador 6KVA</v>
      </c>
      <c r="D51" s="155" t="str">
        <f>'CPU  1'!D51</f>
        <v>vb/mês</v>
      </c>
      <c r="E51" s="151">
        <f>'CPU  1'!E51</f>
        <v>1200</v>
      </c>
      <c r="F51" s="145"/>
      <c r="G51" s="142"/>
      <c r="H51" s="134">
        <f t="shared" si="8"/>
        <v>0</v>
      </c>
      <c r="I51" s="145"/>
      <c r="J51" s="142"/>
      <c r="K51" s="134">
        <f t="shared" si="9"/>
        <v>0</v>
      </c>
      <c r="L51" s="145"/>
      <c r="M51" s="142"/>
      <c r="N51" s="134">
        <f t="shared" si="10"/>
        <v>0</v>
      </c>
      <c r="O51" s="145"/>
      <c r="P51" s="142"/>
      <c r="Q51" s="134">
        <f t="shared" si="11"/>
        <v>0</v>
      </c>
      <c r="R51" s="145"/>
      <c r="S51" s="142"/>
      <c r="T51" s="134">
        <f t="shared" si="12"/>
        <v>0</v>
      </c>
      <c r="U51" s="145"/>
      <c r="V51" s="142"/>
      <c r="W51" s="134">
        <f t="shared" si="13"/>
        <v>0</v>
      </c>
      <c r="X51" s="152"/>
      <c r="Y51" s="153"/>
      <c r="Z51" s="154"/>
      <c r="AA51" s="137">
        <f t="shared" si="14"/>
        <v>0</v>
      </c>
      <c r="AB51" s="138" t="e">
        <f t="shared" si="15"/>
        <v>#DIV/0!</v>
      </c>
    </row>
    <row r="52" spans="2:28" s="109" customFormat="1" ht="21.95" customHeight="1" outlineLevel="1">
      <c r="B52" s="148" t="str">
        <f>'CPU  1'!B52</f>
        <v>E27</v>
      </c>
      <c r="C52" s="149" t="str">
        <f>'CPU  1'!C52</f>
        <v>Impressora</v>
      </c>
      <c r="D52" s="155" t="str">
        <f>'CPU  1'!D52</f>
        <v>vb/mês</v>
      </c>
      <c r="E52" s="151">
        <f>'CPU  1'!E52</f>
        <v>350</v>
      </c>
      <c r="F52" s="145"/>
      <c r="G52" s="142"/>
      <c r="H52" s="134">
        <f t="shared" si="8"/>
        <v>0</v>
      </c>
      <c r="I52" s="145"/>
      <c r="J52" s="142"/>
      <c r="K52" s="134">
        <f t="shared" si="9"/>
        <v>0</v>
      </c>
      <c r="L52" s="145"/>
      <c r="M52" s="142"/>
      <c r="N52" s="134">
        <f t="shared" si="10"/>
        <v>0</v>
      </c>
      <c r="O52" s="145"/>
      <c r="P52" s="142"/>
      <c r="Q52" s="134">
        <f t="shared" si="11"/>
        <v>0</v>
      </c>
      <c r="R52" s="145"/>
      <c r="S52" s="142"/>
      <c r="T52" s="134">
        <f t="shared" si="12"/>
        <v>0</v>
      </c>
      <c r="U52" s="145"/>
      <c r="V52" s="142"/>
      <c r="W52" s="134">
        <f t="shared" si="13"/>
        <v>0</v>
      </c>
      <c r="X52" s="152"/>
      <c r="Y52" s="153"/>
      <c r="Z52" s="154"/>
      <c r="AA52" s="137">
        <f t="shared" si="14"/>
        <v>0</v>
      </c>
      <c r="AB52" s="138" t="e">
        <f t="shared" si="15"/>
        <v>#DIV/0!</v>
      </c>
    </row>
    <row r="53" spans="2:28" s="109" customFormat="1" ht="21.95" customHeight="1" outlineLevel="1">
      <c r="B53" s="148" t="str">
        <f>'CPU  1'!B53</f>
        <v>E28</v>
      </c>
      <c r="C53" s="149" t="str">
        <f>'CPU  1'!C53</f>
        <v>Martelete demolição</v>
      </c>
      <c r="D53" s="155" t="str">
        <f>'CPU  1'!D53</f>
        <v>vb/mês</v>
      </c>
      <c r="E53" s="151">
        <f>'CPU  1'!E53</f>
        <v>900</v>
      </c>
      <c r="F53" s="145"/>
      <c r="G53" s="142"/>
      <c r="H53" s="134">
        <f t="shared" si="8"/>
        <v>0</v>
      </c>
      <c r="I53" s="145"/>
      <c r="J53" s="142"/>
      <c r="K53" s="134">
        <f t="shared" si="9"/>
        <v>0</v>
      </c>
      <c r="L53" s="145"/>
      <c r="M53" s="142"/>
      <c r="N53" s="134">
        <f t="shared" si="10"/>
        <v>0</v>
      </c>
      <c r="O53" s="145"/>
      <c r="P53" s="142"/>
      <c r="Q53" s="134">
        <f t="shared" si="11"/>
        <v>0</v>
      </c>
      <c r="R53" s="145"/>
      <c r="S53" s="142"/>
      <c r="T53" s="134">
        <f t="shared" si="12"/>
        <v>0</v>
      </c>
      <c r="U53" s="145"/>
      <c r="V53" s="142"/>
      <c r="W53" s="134">
        <f t="shared" si="13"/>
        <v>0</v>
      </c>
      <c r="X53" s="152"/>
      <c r="Y53" s="153"/>
      <c r="Z53" s="154"/>
      <c r="AA53" s="137">
        <f t="shared" si="14"/>
        <v>0</v>
      </c>
      <c r="AB53" s="138" t="e">
        <f t="shared" si="15"/>
        <v>#DIV/0!</v>
      </c>
    </row>
    <row r="54" spans="2:28" s="109" customFormat="1" ht="21.95" customHeight="1" outlineLevel="1">
      <c r="B54" s="148" t="str">
        <f>'CPU  1'!B54</f>
        <v>E29</v>
      </c>
      <c r="C54" s="149" t="str">
        <f>'CPU  1'!C54</f>
        <v>Masseira 2x1m</v>
      </c>
      <c r="D54" s="155" t="str">
        <f>'CPU  1'!D54</f>
        <v>pç</v>
      </c>
      <c r="E54" s="151">
        <f>'CPU  1'!E54</f>
        <v>486.59</v>
      </c>
      <c r="F54" s="145"/>
      <c r="G54" s="142"/>
      <c r="H54" s="134">
        <f t="shared" si="8"/>
        <v>0</v>
      </c>
      <c r="I54" s="145"/>
      <c r="J54" s="142"/>
      <c r="K54" s="134">
        <f>J54*I54*$E54</f>
        <v>0</v>
      </c>
      <c r="L54" s="145"/>
      <c r="M54" s="142"/>
      <c r="N54" s="134">
        <f>M54*L54*$E54</f>
        <v>0</v>
      </c>
      <c r="O54" s="145"/>
      <c r="P54" s="142"/>
      <c r="Q54" s="134">
        <f t="shared" si="11"/>
        <v>0</v>
      </c>
      <c r="R54" s="145"/>
      <c r="S54" s="142"/>
      <c r="T54" s="134">
        <f t="shared" si="12"/>
        <v>0</v>
      </c>
      <c r="U54" s="145"/>
      <c r="V54" s="142"/>
      <c r="W54" s="134">
        <f t="shared" si="13"/>
        <v>0</v>
      </c>
      <c r="X54" s="152"/>
      <c r="Y54" s="153"/>
      <c r="Z54" s="154"/>
      <c r="AA54" s="137">
        <f t="shared" si="14"/>
        <v>0</v>
      </c>
      <c r="AB54" s="138" t="e">
        <f t="shared" si="15"/>
        <v>#DIV/0!</v>
      </c>
    </row>
    <row r="55" spans="2:28" s="109" customFormat="1" ht="21.95" customHeight="1" outlineLevel="1">
      <c r="B55" s="148" t="str">
        <f>'CPU  1'!B55</f>
        <v>E30</v>
      </c>
      <c r="C55" s="149" t="str">
        <f>'CPU  1'!C55</f>
        <v>Misturador de argamassa</v>
      </c>
      <c r="D55" s="155" t="str">
        <f>'CPU  1'!D55</f>
        <v>pç</v>
      </c>
      <c r="E55" s="151">
        <f>'CPU  1'!E55</f>
        <v>600</v>
      </c>
      <c r="F55" s="145"/>
      <c r="G55" s="142"/>
      <c r="H55" s="134">
        <f t="shared" si="8"/>
        <v>0</v>
      </c>
      <c r="I55" s="145"/>
      <c r="J55" s="142"/>
      <c r="K55" s="134">
        <f>J55*I55*$E55</f>
        <v>0</v>
      </c>
      <c r="L55" s="145"/>
      <c r="M55" s="142"/>
      <c r="N55" s="134">
        <f>M55*L55*$E55</f>
        <v>0</v>
      </c>
      <c r="O55" s="145"/>
      <c r="P55" s="142"/>
      <c r="Q55" s="134">
        <f t="shared" si="11"/>
        <v>0</v>
      </c>
      <c r="R55" s="145"/>
      <c r="S55" s="142"/>
      <c r="T55" s="134">
        <f t="shared" si="12"/>
        <v>0</v>
      </c>
      <c r="U55" s="145"/>
      <c r="V55" s="142"/>
      <c r="W55" s="134">
        <f t="shared" si="13"/>
        <v>0</v>
      </c>
      <c r="X55" s="152"/>
      <c r="Y55" s="153"/>
      <c r="Z55" s="154"/>
      <c r="AA55" s="137">
        <f t="shared" si="14"/>
        <v>0</v>
      </c>
      <c r="AB55" s="138" t="e">
        <f t="shared" si="15"/>
        <v>#DIV/0!</v>
      </c>
    </row>
    <row r="56" spans="2:28" s="109" customFormat="1" ht="21.95" customHeight="1" outlineLevel="1">
      <c r="B56" s="148" t="str">
        <f>'CPU  1'!B56</f>
        <v>E31</v>
      </c>
      <c r="C56" s="149" t="str">
        <f>'CPU  1'!C56</f>
        <v>Mobiliario (cadeira, mesa, etc.)</v>
      </c>
      <c r="D56" s="155" t="str">
        <f>'CPU  1'!D56</f>
        <v>vb/mês</v>
      </c>
      <c r="E56" s="151">
        <f>'CPU  1'!E56</f>
        <v>6000</v>
      </c>
      <c r="F56" s="145"/>
      <c r="G56" s="142"/>
      <c r="H56" s="134">
        <f t="shared" si="8"/>
        <v>0</v>
      </c>
      <c r="I56" s="145"/>
      <c r="J56" s="142"/>
      <c r="K56" s="134">
        <f>J56*I56*$E56</f>
        <v>0</v>
      </c>
      <c r="L56" s="145"/>
      <c r="M56" s="142"/>
      <c r="N56" s="134">
        <f>M56*L56*$E56</f>
        <v>0</v>
      </c>
      <c r="O56" s="145"/>
      <c r="P56" s="142"/>
      <c r="Q56" s="134">
        <f t="shared" si="11"/>
        <v>0</v>
      </c>
      <c r="R56" s="145"/>
      <c r="S56" s="142"/>
      <c r="T56" s="134">
        <f t="shared" si="12"/>
        <v>0</v>
      </c>
      <c r="U56" s="145"/>
      <c r="V56" s="142"/>
      <c r="W56" s="134">
        <f t="shared" si="13"/>
        <v>0</v>
      </c>
      <c r="X56" s="152"/>
      <c r="Y56" s="153"/>
      <c r="Z56" s="154"/>
      <c r="AA56" s="137">
        <f t="shared" si="14"/>
        <v>0</v>
      </c>
      <c r="AB56" s="138" t="e">
        <f t="shared" si="15"/>
        <v>#DIV/0!</v>
      </c>
    </row>
    <row r="57" spans="2:28" s="109" customFormat="1" ht="21.95" customHeight="1" outlineLevel="1">
      <c r="B57" s="148" t="str">
        <f>'CPU  1'!B57</f>
        <v>E32</v>
      </c>
      <c r="C57" s="149" t="str">
        <f>'CPU  1'!C57</f>
        <v>Multimetro</v>
      </c>
      <c r="D57" s="155" t="str">
        <f>'CPU  1'!D57</f>
        <v>pç</v>
      </c>
      <c r="E57" s="151">
        <f>'CPU  1'!E57</f>
        <v>2100</v>
      </c>
      <c r="F57" s="145"/>
      <c r="G57" s="142"/>
      <c r="H57" s="134">
        <f t="shared" si="8"/>
        <v>0</v>
      </c>
      <c r="I57" s="145"/>
      <c r="J57" s="142"/>
      <c r="K57" s="134">
        <f>J57*I57*$E57</f>
        <v>0</v>
      </c>
      <c r="L57" s="145"/>
      <c r="M57" s="142"/>
      <c r="N57" s="134">
        <f>M57*L57*$E57</f>
        <v>0</v>
      </c>
      <c r="O57" s="145"/>
      <c r="P57" s="142"/>
      <c r="Q57" s="134">
        <f t="shared" si="11"/>
        <v>0</v>
      </c>
      <c r="R57" s="145"/>
      <c r="S57" s="142"/>
      <c r="T57" s="134">
        <f t="shared" si="12"/>
        <v>0</v>
      </c>
      <c r="U57" s="145"/>
      <c r="V57" s="142"/>
      <c r="W57" s="134">
        <f t="shared" si="13"/>
        <v>0</v>
      </c>
      <c r="X57" s="152"/>
      <c r="Y57" s="153"/>
      <c r="Z57" s="154"/>
      <c r="AA57" s="137">
        <f t="shared" si="14"/>
        <v>0</v>
      </c>
      <c r="AB57" s="138" t="e">
        <f t="shared" si="15"/>
        <v>#DIV/0!</v>
      </c>
    </row>
    <row r="58" spans="2:28" s="109" customFormat="1" ht="21.95" customHeight="1" outlineLevel="1">
      <c r="B58" s="148" t="str">
        <f>'CPU  1'!B58</f>
        <v>E33</v>
      </c>
      <c r="C58" s="149" t="str">
        <f>'CPU  1'!C58</f>
        <v>Painel eletrico para canteiro</v>
      </c>
      <c r="D58" s="155" t="str">
        <f>'CPU  1'!D58</f>
        <v>vb</v>
      </c>
      <c r="E58" s="151">
        <f>'CPU  1'!E58</f>
        <v>6500</v>
      </c>
      <c r="F58" s="145"/>
      <c r="G58" s="142"/>
      <c r="H58" s="134">
        <f t="shared" si="8"/>
        <v>0</v>
      </c>
      <c r="I58" s="145"/>
      <c r="J58" s="142"/>
      <c r="K58" s="134">
        <f>J58*I58*$E58</f>
        <v>0</v>
      </c>
      <c r="L58" s="145"/>
      <c r="M58" s="142"/>
      <c r="N58" s="134">
        <f>M58*L58*$E58</f>
        <v>0</v>
      </c>
      <c r="O58" s="145"/>
      <c r="P58" s="142"/>
      <c r="Q58" s="134">
        <f t="shared" si="11"/>
        <v>0</v>
      </c>
      <c r="R58" s="145"/>
      <c r="S58" s="142"/>
      <c r="T58" s="134">
        <f t="shared" si="12"/>
        <v>0</v>
      </c>
      <c r="U58" s="145"/>
      <c r="V58" s="142"/>
      <c r="W58" s="134">
        <f t="shared" si="13"/>
        <v>0</v>
      </c>
      <c r="X58" s="152"/>
      <c r="Y58" s="153"/>
      <c r="Z58" s="154"/>
      <c r="AA58" s="137">
        <f t="shared" si="14"/>
        <v>0</v>
      </c>
      <c r="AB58" s="138" t="e">
        <f t="shared" ref="AB58:AB79" si="16">AA58/$AA$162</f>
        <v>#DIV/0!</v>
      </c>
    </row>
    <row r="59" spans="2:28" s="109" customFormat="1" ht="21.95" customHeight="1" outlineLevel="1">
      <c r="B59" s="148" t="str">
        <f>'CPU  1'!B59</f>
        <v>E34</v>
      </c>
      <c r="C59" s="149" t="str">
        <f>'CPU  1'!C59</f>
        <v>Painel eletrico para frente de serviço</v>
      </c>
      <c r="D59" s="155" t="str">
        <f>'CPU  1'!D59</f>
        <v>vb</v>
      </c>
      <c r="E59" s="151">
        <f>'CPU  1'!E59</f>
        <v>3000</v>
      </c>
      <c r="F59" s="145"/>
      <c r="G59" s="142"/>
      <c r="H59" s="134">
        <f t="shared" si="8"/>
        <v>0</v>
      </c>
      <c r="I59" s="145"/>
      <c r="J59" s="142"/>
      <c r="K59" s="134">
        <f t="shared" ref="K59:K78" si="17">J59*I59*$E59</f>
        <v>0</v>
      </c>
      <c r="L59" s="145"/>
      <c r="M59" s="142"/>
      <c r="N59" s="134">
        <f t="shared" ref="N59:N78" si="18">M59*L59*$E59</f>
        <v>0</v>
      </c>
      <c r="O59" s="145"/>
      <c r="P59" s="142"/>
      <c r="Q59" s="134">
        <f t="shared" si="11"/>
        <v>0</v>
      </c>
      <c r="R59" s="145"/>
      <c r="S59" s="142"/>
      <c r="T59" s="134">
        <f t="shared" si="12"/>
        <v>0</v>
      </c>
      <c r="U59" s="145"/>
      <c r="V59" s="142"/>
      <c r="W59" s="134">
        <f t="shared" si="13"/>
        <v>0</v>
      </c>
      <c r="X59" s="152"/>
      <c r="Y59" s="153"/>
      <c r="Z59" s="154"/>
      <c r="AA59" s="137">
        <f t="shared" si="14"/>
        <v>0</v>
      </c>
      <c r="AB59" s="138" t="e">
        <f t="shared" si="16"/>
        <v>#DIV/0!</v>
      </c>
    </row>
    <row r="60" spans="2:28" s="109" customFormat="1" ht="21.95" customHeight="1" outlineLevel="1">
      <c r="B60" s="148" t="str">
        <f>'CPU  1'!B60</f>
        <v>E35</v>
      </c>
      <c r="C60" s="149" t="str">
        <f>'CPU  1'!C60</f>
        <v>Pedestais para isolamento</v>
      </c>
      <c r="D60" s="155" t="str">
        <f>'CPU  1'!D60</f>
        <v>vb</v>
      </c>
      <c r="E60" s="151">
        <f>'CPU  1'!E60</f>
        <v>150</v>
      </c>
      <c r="F60" s="145"/>
      <c r="G60" s="142"/>
      <c r="H60" s="134">
        <f t="shared" si="8"/>
        <v>0</v>
      </c>
      <c r="I60" s="145"/>
      <c r="J60" s="142"/>
      <c r="K60" s="134">
        <f t="shared" si="17"/>
        <v>0</v>
      </c>
      <c r="L60" s="145"/>
      <c r="M60" s="142"/>
      <c r="N60" s="134">
        <f t="shared" si="18"/>
        <v>0</v>
      </c>
      <c r="O60" s="145"/>
      <c r="P60" s="142"/>
      <c r="Q60" s="134">
        <f t="shared" si="11"/>
        <v>0</v>
      </c>
      <c r="R60" s="145"/>
      <c r="S60" s="142"/>
      <c r="T60" s="134">
        <f t="shared" si="12"/>
        <v>0</v>
      </c>
      <c r="U60" s="145"/>
      <c r="V60" s="142"/>
      <c r="W60" s="134">
        <f t="shared" si="13"/>
        <v>0</v>
      </c>
      <c r="X60" s="152"/>
      <c r="Y60" s="153"/>
      <c r="Z60" s="154"/>
      <c r="AA60" s="137">
        <f t="shared" si="14"/>
        <v>0</v>
      </c>
      <c r="AB60" s="138" t="e">
        <f t="shared" si="16"/>
        <v>#DIV/0!</v>
      </c>
    </row>
    <row r="61" spans="2:28" s="109" customFormat="1" ht="21.95" customHeight="1" outlineLevel="1">
      <c r="B61" s="148" t="str">
        <f>'CPU  1'!B61</f>
        <v>E36</v>
      </c>
      <c r="C61" s="149" t="str">
        <f>'CPU  1'!C61</f>
        <v>Serra circular</v>
      </c>
      <c r="D61" s="155" t="str">
        <f>'CPU  1'!D61</f>
        <v>pç</v>
      </c>
      <c r="E61" s="151">
        <f>'CPU  1'!E61</f>
        <v>850</v>
      </c>
      <c r="F61" s="145"/>
      <c r="G61" s="142"/>
      <c r="H61" s="134">
        <f t="shared" si="8"/>
        <v>0</v>
      </c>
      <c r="I61" s="145"/>
      <c r="J61" s="142"/>
      <c r="K61" s="134">
        <f t="shared" si="17"/>
        <v>0</v>
      </c>
      <c r="L61" s="145"/>
      <c r="M61" s="142"/>
      <c r="N61" s="134">
        <f t="shared" si="18"/>
        <v>0</v>
      </c>
      <c r="O61" s="145"/>
      <c r="P61" s="142"/>
      <c r="Q61" s="134">
        <f t="shared" si="11"/>
        <v>0</v>
      </c>
      <c r="R61" s="145"/>
      <c r="S61" s="142"/>
      <c r="T61" s="134">
        <f t="shared" si="12"/>
        <v>0</v>
      </c>
      <c r="U61" s="145"/>
      <c r="V61" s="142"/>
      <c r="W61" s="134">
        <f t="shared" si="13"/>
        <v>0</v>
      </c>
      <c r="X61" s="152"/>
      <c r="Y61" s="153"/>
      <c r="Z61" s="154"/>
      <c r="AA61" s="137">
        <f t="shared" si="14"/>
        <v>0</v>
      </c>
      <c r="AB61" s="138" t="e">
        <f t="shared" si="16"/>
        <v>#DIV/0!</v>
      </c>
    </row>
    <row r="62" spans="2:28" s="109" customFormat="1" ht="21.95" customHeight="1" outlineLevel="1">
      <c r="B62" s="148" t="str">
        <f>'CPU  1'!B62</f>
        <v>E37</v>
      </c>
      <c r="C62" s="149" t="str">
        <f>'CPU  1'!C62</f>
        <v>Tela cerquite</v>
      </c>
      <c r="D62" s="155" t="str">
        <f>'CPU  1'!D62</f>
        <v>pç</v>
      </c>
      <c r="E62" s="151">
        <f>'CPU  1'!E62</f>
        <v>150</v>
      </c>
      <c r="F62" s="145"/>
      <c r="G62" s="142"/>
      <c r="H62" s="134">
        <f t="shared" si="8"/>
        <v>0</v>
      </c>
      <c r="I62" s="145"/>
      <c r="J62" s="142"/>
      <c r="K62" s="134">
        <f t="shared" si="17"/>
        <v>0</v>
      </c>
      <c r="L62" s="145"/>
      <c r="M62" s="142"/>
      <c r="N62" s="134">
        <f t="shared" si="18"/>
        <v>0</v>
      </c>
      <c r="O62" s="145"/>
      <c r="P62" s="142"/>
      <c r="Q62" s="134">
        <f t="shared" si="11"/>
        <v>0</v>
      </c>
      <c r="R62" s="145"/>
      <c r="S62" s="142"/>
      <c r="T62" s="134">
        <f t="shared" si="12"/>
        <v>0</v>
      </c>
      <c r="U62" s="145"/>
      <c r="V62" s="142"/>
      <c r="W62" s="134">
        <f t="shared" si="13"/>
        <v>0</v>
      </c>
      <c r="X62" s="152"/>
      <c r="Y62" s="153"/>
      <c r="Z62" s="154"/>
      <c r="AA62" s="137">
        <f t="shared" si="14"/>
        <v>0</v>
      </c>
      <c r="AB62" s="138" t="e">
        <f t="shared" si="16"/>
        <v>#DIV/0!</v>
      </c>
    </row>
    <row r="63" spans="2:28" s="109" customFormat="1" ht="21.95" customHeight="1" outlineLevel="1">
      <c r="B63" s="148" t="str">
        <f>'CPU  1'!B63</f>
        <v>E38</v>
      </c>
      <c r="C63" s="149" t="str">
        <f>'CPU  1'!C63</f>
        <v>Tenda 10 x 10m</v>
      </c>
      <c r="D63" s="155" t="str">
        <f>'CPU  1'!D63</f>
        <v>vb/mês</v>
      </c>
      <c r="E63" s="151">
        <f>'CPU  1'!E63</f>
        <v>1800</v>
      </c>
      <c r="F63" s="145"/>
      <c r="G63" s="142"/>
      <c r="H63" s="134">
        <f t="shared" si="8"/>
        <v>0</v>
      </c>
      <c r="I63" s="145"/>
      <c r="J63" s="142"/>
      <c r="K63" s="134">
        <f t="shared" si="17"/>
        <v>0</v>
      </c>
      <c r="L63" s="145"/>
      <c r="M63" s="142"/>
      <c r="N63" s="134">
        <f t="shared" si="18"/>
        <v>0</v>
      </c>
      <c r="O63" s="145"/>
      <c r="P63" s="142"/>
      <c r="Q63" s="134">
        <f t="shared" si="11"/>
        <v>0</v>
      </c>
      <c r="R63" s="145"/>
      <c r="S63" s="142"/>
      <c r="T63" s="134">
        <f t="shared" si="12"/>
        <v>0</v>
      </c>
      <c r="U63" s="145"/>
      <c r="V63" s="142"/>
      <c r="W63" s="134">
        <f t="shared" si="13"/>
        <v>0</v>
      </c>
      <c r="X63" s="152"/>
      <c r="Y63" s="153"/>
      <c r="Z63" s="154"/>
      <c r="AA63" s="137">
        <f t="shared" si="14"/>
        <v>0</v>
      </c>
      <c r="AB63" s="138" t="e">
        <f t="shared" si="16"/>
        <v>#DIV/0!</v>
      </c>
    </row>
    <row r="64" spans="2:28" s="109" customFormat="1" ht="21.95" customHeight="1" outlineLevel="1">
      <c r="B64" s="148" t="str">
        <f>'CPU  1'!B64</f>
        <v>E39</v>
      </c>
      <c r="C64" s="149" t="str">
        <f>'CPU  1'!C64</f>
        <v>Tenda 3 x 3m</v>
      </c>
      <c r="D64" s="155" t="str">
        <f>'CPU  1'!D64</f>
        <v>vb</v>
      </c>
      <c r="E64" s="151">
        <f>'CPU  1'!E64</f>
        <v>2000</v>
      </c>
      <c r="F64" s="145"/>
      <c r="G64" s="142"/>
      <c r="H64" s="134">
        <f t="shared" si="8"/>
        <v>0</v>
      </c>
      <c r="I64" s="145"/>
      <c r="J64" s="142"/>
      <c r="K64" s="134">
        <f t="shared" si="17"/>
        <v>0</v>
      </c>
      <c r="L64" s="145"/>
      <c r="M64" s="142"/>
      <c r="N64" s="134">
        <f t="shared" si="18"/>
        <v>0</v>
      </c>
      <c r="O64" s="145"/>
      <c r="P64" s="142"/>
      <c r="Q64" s="134">
        <f t="shared" si="11"/>
        <v>0</v>
      </c>
      <c r="R64" s="145"/>
      <c r="S64" s="142"/>
      <c r="T64" s="134">
        <f t="shared" si="12"/>
        <v>0</v>
      </c>
      <c r="U64" s="145"/>
      <c r="V64" s="142"/>
      <c r="W64" s="134">
        <f t="shared" si="13"/>
        <v>0</v>
      </c>
      <c r="X64" s="152"/>
      <c r="Y64" s="153"/>
      <c r="Z64" s="154"/>
      <c r="AA64" s="137">
        <f t="shared" si="14"/>
        <v>0</v>
      </c>
      <c r="AB64" s="138" t="e">
        <f t="shared" si="16"/>
        <v>#DIV/0!</v>
      </c>
    </row>
    <row r="65" spans="2:28" s="109" customFormat="1" ht="21.95" customHeight="1" outlineLevel="1">
      <c r="B65" s="148" t="str">
        <f>'CPU  1'!B65</f>
        <v>E40</v>
      </c>
      <c r="C65" s="149" t="str">
        <f>'CPU  1'!C65</f>
        <v>Terrometro</v>
      </c>
      <c r="D65" s="155" t="str">
        <f>'CPU  1'!D65</f>
        <v>diária</v>
      </c>
      <c r="E65" s="151">
        <f>'CPU  1'!E65</f>
        <v>250</v>
      </c>
      <c r="F65" s="145"/>
      <c r="G65" s="142"/>
      <c r="H65" s="134">
        <f t="shared" si="8"/>
        <v>0</v>
      </c>
      <c r="I65" s="145"/>
      <c r="J65" s="142"/>
      <c r="K65" s="134">
        <f t="shared" si="17"/>
        <v>0</v>
      </c>
      <c r="L65" s="145"/>
      <c r="M65" s="142"/>
      <c r="N65" s="134">
        <f t="shared" si="18"/>
        <v>0</v>
      </c>
      <c r="O65" s="145"/>
      <c r="P65" s="142"/>
      <c r="Q65" s="134">
        <f t="shared" si="11"/>
        <v>0</v>
      </c>
      <c r="R65" s="145"/>
      <c r="S65" s="142"/>
      <c r="T65" s="134">
        <f t="shared" si="12"/>
        <v>0</v>
      </c>
      <c r="U65" s="145"/>
      <c r="V65" s="142"/>
      <c r="W65" s="134">
        <f t="shared" si="13"/>
        <v>0</v>
      </c>
      <c r="X65" s="152"/>
      <c r="Y65" s="153"/>
      <c r="Z65" s="154"/>
      <c r="AA65" s="137">
        <f t="shared" si="14"/>
        <v>0</v>
      </c>
      <c r="AB65" s="138" t="e">
        <f t="shared" si="16"/>
        <v>#DIV/0!</v>
      </c>
    </row>
    <row r="66" spans="2:28" s="109" customFormat="1" ht="21.95" customHeight="1" outlineLevel="1">
      <c r="B66" s="148" t="str">
        <f>'CPU  1'!B66</f>
        <v>E41</v>
      </c>
      <c r="C66" s="149" t="str">
        <f>'CPU  1'!C66</f>
        <v>Torquesa SID13</v>
      </c>
      <c r="D66" s="155" t="str">
        <f>'CPU  1'!D66</f>
        <v>und</v>
      </c>
      <c r="E66" s="151">
        <f>'CPU  1'!E66</f>
        <v>350</v>
      </c>
      <c r="F66" s="145"/>
      <c r="G66" s="142"/>
      <c r="H66" s="134">
        <f t="shared" si="8"/>
        <v>0</v>
      </c>
      <c r="I66" s="145"/>
      <c r="J66" s="142"/>
      <c r="K66" s="134">
        <f t="shared" si="17"/>
        <v>0</v>
      </c>
      <c r="L66" s="145"/>
      <c r="M66" s="142"/>
      <c r="N66" s="134">
        <f t="shared" si="18"/>
        <v>0</v>
      </c>
      <c r="O66" s="145"/>
      <c r="P66" s="142"/>
      <c r="Q66" s="134">
        <f t="shared" si="11"/>
        <v>0</v>
      </c>
      <c r="R66" s="145"/>
      <c r="S66" s="142"/>
      <c r="T66" s="134">
        <f t="shared" si="12"/>
        <v>0</v>
      </c>
      <c r="U66" s="145"/>
      <c r="V66" s="142"/>
      <c r="W66" s="134">
        <f t="shared" si="13"/>
        <v>0</v>
      </c>
      <c r="X66" s="152"/>
      <c r="Y66" s="153"/>
      <c r="Z66" s="154"/>
      <c r="AA66" s="137">
        <f t="shared" si="14"/>
        <v>0</v>
      </c>
      <c r="AB66" s="138" t="e">
        <f t="shared" si="16"/>
        <v>#DIV/0!</v>
      </c>
    </row>
    <row r="67" spans="2:28" s="109" customFormat="1" ht="21.95" customHeight="1" outlineLevel="1">
      <c r="B67" s="148" t="str">
        <f>'CPU  1'!B67</f>
        <v>E42</v>
      </c>
      <c r="C67" s="149" t="str">
        <f>'CPU  1'!C67</f>
        <v>Veiculo hatch</v>
      </c>
      <c r="D67" s="155" t="str">
        <f>'CPU  1'!D67</f>
        <v>vb/mês</v>
      </c>
      <c r="E67" s="151">
        <f>'CPU  1'!E67</f>
        <v>3300</v>
      </c>
      <c r="F67" s="145"/>
      <c r="G67" s="142"/>
      <c r="H67" s="134">
        <f t="shared" si="8"/>
        <v>0</v>
      </c>
      <c r="I67" s="145"/>
      <c r="J67" s="142"/>
      <c r="K67" s="134">
        <f t="shared" si="17"/>
        <v>0</v>
      </c>
      <c r="L67" s="145"/>
      <c r="M67" s="142"/>
      <c r="N67" s="134">
        <f t="shared" si="18"/>
        <v>0</v>
      </c>
      <c r="O67" s="145"/>
      <c r="P67" s="142"/>
      <c r="Q67" s="134">
        <f t="shared" si="11"/>
        <v>0</v>
      </c>
      <c r="R67" s="145"/>
      <c r="S67" s="142"/>
      <c r="T67" s="134">
        <f t="shared" si="12"/>
        <v>0</v>
      </c>
      <c r="U67" s="145"/>
      <c r="V67" s="142"/>
      <c r="W67" s="134">
        <f t="shared" si="13"/>
        <v>0</v>
      </c>
      <c r="X67" s="152"/>
      <c r="Y67" s="153"/>
      <c r="Z67" s="154"/>
      <c r="AA67" s="137">
        <f t="shared" si="14"/>
        <v>0</v>
      </c>
      <c r="AB67" s="138" t="e">
        <f t="shared" si="16"/>
        <v>#DIV/0!</v>
      </c>
    </row>
    <row r="68" spans="2:28" s="109" customFormat="1" ht="21.95" customHeight="1" outlineLevel="1">
      <c r="B68" s="148" t="str">
        <f>'CPU  1'!B68</f>
        <v>E43</v>
      </c>
      <c r="C68" s="149" t="str">
        <f>'CPU  1'!C68</f>
        <v>Veiculo utilitario</v>
      </c>
      <c r="D68" s="155" t="str">
        <f>'CPU  1'!D68</f>
        <v>vb/mês</v>
      </c>
      <c r="E68" s="151">
        <f>'CPU  1'!E68</f>
        <v>3800</v>
      </c>
      <c r="F68" s="145"/>
      <c r="G68" s="142"/>
      <c r="H68" s="134">
        <f t="shared" si="8"/>
        <v>0</v>
      </c>
      <c r="I68" s="145"/>
      <c r="J68" s="142"/>
      <c r="K68" s="134">
        <f t="shared" si="17"/>
        <v>0</v>
      </c>
      <c r="L68" s="145"/>
      <c r="M68" s="142"/>
      <c r="N68" s="134">
        <f t="shared" si="18"/>
        <v>0</v>
      </c>
      <c r="O68" s="145"/>
      <c r="P68" s="142"/>
      <c r="Q68" s="134">
        <f t="shared" si="11"/>
        <v>0</v>
      </c>
      <c r="R68" s="145"/>
      <c r="S68" s="142"/>
      <c r="T68" s="134">
        <f t="shared" si="12"/>
        <v>0</v>
      </c>
      <c r="U68" s="145"/>
      <c r="V68" s="142"/>
      <c r="W68" s="134">
        <f t="shared" si="13"/>
        <v>0</v>
      </c>
      <c r="X68" s="152"/>
      <c r="Y68" s="153"/>
      <c r="Z68" s="154"/>
      <c r="AA68" s="137">
        <f t="shared" si="14"/>
        <v>0</v>
      </c>
      <c r="AB68" s="138" t="e">
        <f t="shared" si="16"/>
        <v>#DIV/0!</v>
      </c>
    </row>
    <row r="69" spans="2:28" s="109" customFormat="1" ht="21.95" customHeight="1" outlineLevel="1">
      <c r="B69" s="148" t="str">
        <f>'CPU  1'!B69</f>
        <v>E44</v>
      </c>
      <c r="C69" s="149" t="str">
        <f>'CPU  1'!C69</f>
        <v>Vibrador de concreto</v>
      </c>
      <c r="D69" s="155" t="str">
        <f>'CPU  1'!D69</f>
        <v>vb</v>
      </c>
      <c r="E69" s="151">
        <f>'CPU  1'!E69</f>
        <v>500</v>
      </c>
      <c r="F69" s="145"/>
      <c r="G69" s="142"/>
      <c r="H69" s="134">
        <f t="shared" si="8"/>
        <v>0</v>
      </c>
      <c r="I69" s="145"/>
      <c r="J69" s="142"/>
      <c r="K69" s="134">
        <f t="shared" si="17"/>
        <v>0</v>
      </c>
      <c r="L69" s="145"/>
      <c r="M69" s="142"/>
      <c r="N69" s="134">
        <f t="shared" si="18"/>
        <v>0</v>
      </c>
      <c r="O69" s="145"/>
      <c r="P69" s="142"/>
      <c r="Q69" s="134">
        <f t="shared" si="11"/>
        <v>0</v>
      </c>
      <c r="R69" s="145"/>
      <c r="S69" s="142"/>
      <c r="T69" s="134">
        <f t="shared" si="12"/>
        <v>0</v>
      </c>
      <c r="U69" s="145"/>
      <c r="V69" s="142"/>
      <c r="W69" s="134">
        <f t="shared" si="13"/>
        <v>0</v>
      </c>
      <c r="X69" s="152"/>
      <c r="Y69" s="153"/>
      <c r="Z69" s="372"/>
      <c r="AA69" s="137">
        <f t="shared" si="14"/>
        <v>0</v>
      </c>
      <c r="AB69" s="138" t="e">
        <f t="shared" si="16"/>
        <v>#DIV/0!</v>
      </c>
    </row>
    <row r="70" spans="2:28" s="109" customFormat="1" ht="21.95" customHeight="1" outlineLevel="1">
      <c r="B70" s="148" t="str">
        <f>'CPU  1'!B70</f>
        <v>E45</v>
      </c>
      <c r="C70" s="149" t="str">
        <f>'CPU  1'!C70</f>
        <v>Radio de comunicação (par)</v>
      </c>
      <c r="D70" s="155" t="str">
        <f>'CPU  1'!D70</f>
        <v>und</v>
      </c>
      <c r="E70" s="151">
        <f>'CPU  1'!E70</f>
        <v>200</v>
      </c>
      <c r="F70" s="145"/>
      <c r="G70" s="142"/>
      <c r="H70" s="134">
        <f t="shared" si="8"/>
        <v>0</v>
      </c>
      <c r="I70" s="145"/>
      <c r="J70" s="142"/>
      <c r="K70" s="134">
        <f t="shared" si="17"/>
        <v>0</v>
      </c>
      <c r="L70" s="145"/>
      <c r="M70" s="142"/>
      <c r="N70" s="134">
        <f t="shared" si="18"/>
        <v>0</v>
      </c>
      <c r="O70" s="145"/>
      <c r="P70" s="142"/>
      <c r="Q70" s="134">
        <f t="shared" si="11"/>
        <v>0</v>
      </c>
      <c r="R70" s="145"/>
      <c r="S70" s="142"/>
      <c r="T70" s="134">
        <f t="shared" si="12"/>
        <v>0</v>
      </c>
      <c r="U70" s="145"/>
      <c r="V70" s="142"/>
      <c r="W70" s="134">
        <f t="shared" si="13"/>
        <v>0</v>
      </c>
      <c r="X70" s="152"/>
      <c r="Y70" s="153"/>
      <c r="Z70" s="154"/>
      <c r="AA70" s="137">
        <f t="shared" si="14"/>
        <v>0</v>
      </c>
      <c r="AB70" s="138" t="e">
        <f t="shared" si="16"/>
        <v>#DIV/0!</v>
      </c>
    </row>
    <row r="71" spans="2:28" s="109" customFormat="1" ht="21.95" customHeight="1" outlineLevel="1">
      <c r="B71" s="148" t="str">
        <f>'CPU  1'!B71</f>
        <v>E46</v>
      </c>
      <c r="C71" s="149" t="str">
        <f>'CPU  1'!C71</f>
        <v>Detector de raios</v>
      </c>
      <c r="D71" s="155" t="str">
        <f>'CPU  1'!D71</f>
        <v>und</v>
      </c>
      <c r="E71" s="151">
        <f>'CPU  1'!E71</f>
        <v>4200</v>
      </c>
      <c r="F71" s="145"/>
      <c r="G71" s="142"/>
      <c r="H71" s="134">
        <f t="shared" si="8"/>
        <v>0</v>
      </c>
      <c r="I71" s="145"/>
      <c r="J71" s="142"/>
      <c r="K71" s="134">
        <f t="shared" si="17"/>
        <v>0</v>
      </c>
      <c r="L71" s="145"/>
      <c r="M71" s="142"/>
      <c r="N71" s="134">
        <f t="shared" si="18"/>
        <v>0</v>
      </c>
      <c r="O71" s="145"/>
      <c r="P71" s="142"/>
      <c r="Q71" s="134">
        <f t="shared" si="11"/>
        <v>0</v>
      </c>
      <c r="R71" s="145"/>
      <c r="S71" s="142"/>
      <c r="T71" s="134">
        <f t="shared" si="12"/>
        <v>0</v>
      </c>
      <c r="U71" s="145"/>
      <c r="V71" s="142"/>
      <c r="W71" s="134">
        <f t="shared" si="13"/>
        <v>0</v>
      </c>
      <c r="X71" s="152"/>
      <c r="Y71" s="153"/>
      <c r="Z71" s="154"/>
      <c r="AA71" s="137">
        <f t="shared" si="14"/>
        <v>0</v>
      </c>
      <c r="AB71" s="138" t="e">
        <f t="shared" si="16"/>
        <v>#DIV/0!</v>
      </c>
    </row>
    <row r="72" spans="2:28" s="109" customFormat="1" ht="21.95" customHeight="1" outlineLevel="1">
      <c r="B72" s="148" t="str">
        <f>'CPU  1'!B72</f>
        <v>E47</v>
      </c>
      <c r="C72" s="149" t="str">
        <f>'CPU  1'!C72</f>
        <v>Luminaria de fotovoltaica canteiro</v>
      </c>
      <c r="D72" s="155" t="str">
        <f>'CPU  1'!D72</f>
        <v>und</v>
      </c>
      <c r="E72" s="151">
        <f>'CPU  1'!E72</f>
        <v>510</v>
      </c>
      <c r="F72" s="145"/>
      <c r="G72" s="142"/>
      <c r="H72" s="134">
        <f t="shared" si="8"/>
        <v>0</v>
      </c>
      <c r="I72" s="145"/>
      <c r="J72" s="142"/>
      <c r="K72" s="134">
        <f t="shared" si="17"/>
        <v>0</v>
      </c>
      <c r="L72" s="145"/>
      <c r="M72" s="142"/>
      <c r="N72" s="134">
        <f t="shared" si="18"/>
        <v>0</v>
      </c>
      <c r="O72" s="145"/>
      <c r="P72" s="142"/>
      <c r="Q72" s="134">
        <f t="shared" si="11"/>
        <v>0</v>
      </c>
      <c r="R72" s="145"/>
      <c r="S72" s="142"/>
      <c r="T72" s="134">
        <f t="shared" si="12"/>
        <v>0</v>
      </c>
      <c r="U72" s="145"/>
      <c r="V72" s="142"/>
      <c r="W72" s="134">
        <f t="shared" si="13"/>
        <v>0</v>
      </c>
      <c r="X72" s="152"/>
      <c r="Y72" s="153"/>
      <c r="Z72" s="154"/>
      <c r="AA72" s="137">
        <f t="shared" si="14"/>
        <v>0</v>
      </c>
      <c r="AB72" s="138" t="e">
        <f t="shared" si="16"/>
        <v>#DIV/0!</v>
      </c>
    </row>
    <row r="73" spans="2:28" s="109" customFormat="1" ht="21.95" customHeight="1" outlineLevel="1">
      <c r="B73" s="148" t="str">
        <f>'CPU  1'!B73</f>
        <v>E48</v>
      </c>
      <c r="C73" s="149" t="str">
        <f>'CPU  1'!C73</f>
        <v>Retroescavadeira</v>
      </c>
      <c r="D73" s="155" t="str">
        <f>'CPU  1'!D73</f>
        <v>vb/mês</v>
      </c>
      <c r="E73" s="151">
        <f>'CPU  1'!E73</f>
        <v>29000</v>
      </c>
      <c r="F73" s="145"/>
      <c r="G73" s="142"/>
      <c r="H73" s="134">
        <f t="shared" si="8"/>
        <v>0</v>
      </c>
      <c r="I73" s="145"/>
      <c r="J73" s="142"/>
      <c r="K73" s="134">
        <f t="shared" si="17"/>
        <v>0</v>
      </c>
      <c r="L73" s="145"/>
      <c r="M73" s="142"/>
      <c r="N73" s="134">
        <f t="shared" si="18"/>
        <v>0</v>
      </c>
      <c r="O73" s="145"/>
      <c r="P73" s="142"/>
      <c r="Q73" s="134">
        <f t="shared" si="11"/>
        <v>0</v>
      </c>
      <c r="R73" s="145"/>
      <c r="S73" s="142"/>
      <c r="T73" s="134">
        <f t="shared" si="12"/>
        <v>0</v>
      </c>
      <c r="U73" s="145"/>
      <c r="V73" s="142"/>
      <c r="W73" s="134">
        <f t="shared" si="13"/>
        <v>0</v>
      </c>
      <c r="X73" s="152"/>
      <c r="Y73" s="153"/>
      <c r="Z73" s="154"/>
      <c r="AA73" s="137">
        <f t="shared" si="14"/>
        <v>0</v>
      </c>
      <c r="AB73" s="138" t="e">
        <f t="shared" si="16"/>
        <v>#DIV/0!</v>
      </c>
    </row>
    <row r="74" spans="2:28" s="109" customFormat="1" ht="21.95" customHeight="1" outlineLevel="1">
      <c r="B74" s="148" t="str">
        <f>'CPU  1'!B74</f>
        <v>E49</v>
      </c>
      <c r="C74" s="149" t="str">
        <f>'CPU  1'!C74</f>
        <v>Caminhão Basculante</v>
      </c>
      <c r="D74" s="155" t="str">
        <f>'CPU  1'!D74</f>
        <v>vb/mês</v>
      </c>
      <c r="E74" s="151">
        <f>'CPU  1'!E74</f>
        <v>37000</v>
      </c>
      <c r="F74" s="145"/>
      <c r="G74" s="142"/>
      <c r="H74" s="134">
        <f t="shared" si="8"/>
        <v>0</v>
      </c>
      <c r="I74" s="145"/>
      <c r="J74" s="142"/>
      <c r="K74" s="134">
        <f t="shared" si="17"/>
        <v>0</v>
      </c>
      <c r="L74" s="145"/>
      <c r="M74" s="142"/>
      <c r="N74" s="134">
        <f t="shared" si="18"/>
        <v>0</v>
      </c>
      <c r="O74" s="145"/>
      <c r="P74" s="142"/>
      <c r="Q74" s="134">
        <f t="shared" si="11"/>
        <v>0</v>
      </c>
      <c r="R74" s="145"/>
      <c r="S74" s="142"/>
      <c r="T74" s="134">
        <f t="shared" si="12"/>
        <v>0</v>
      </c>
      <c r="U74" s="145"/>
      <c r="V74" s="142"/>
      <c r="W74" s="134">
        <f t="shared" si="13"/>
        <v>0</v>
      </c>
      <c r="X74" s="152"/>
      <c r="Y74" s="153"/>
      <c r="Z74" s="154"/>
      <c r="AA74" s="137">
        <f t="shared" si="14"/>
        <v>0</v>
      </c>
      <c r="AB74" s="138" t="e">
        <f t="shared" si="16"/>
        <v>#DIV/0!</v>
      </c>
    </row>
    <row r="75" spans="2:28" s="109" customFormat="1" ht="21.95" customHeight="1" outlineLevel="1">
      <c r="B75" s="148" t="str">
        <f>'CPU  1'!B75</f>
        <v>E50</v>
      </c>
      <c r="C75" s="149">
        <f>'CPU  1'!C75</f>
        <v>0</v>
      </c>
      <c r="D75" s="155">
        <f>'CPU  1'!D75</f>
        <v>0</v>
      </c>
      <c r="E75" s="151">
        <f>'CPU  1'!E75</f>
        <v>0</v>
      </c>
      <c r="F75" s="145"/>
      <c r="G75" s="142"/>
      <c r="H75" s="134">
        <f t="shared" si="8"/>
        <v>0</v>
      </c>
      <c r="I75" s="145"/>
      <c r="J75" s="142"/>
      <c r="K75" s="134">
        <f>J75*I75*$E75</f>
        <v>0</v>
      </c>
      <c r="L75" s="145"/>
      <c r="M75" s="142"/>
      <c r="N75" s="134">
        <f>M75*L75*$E75</f>
        <v>0</v>
      </c>
      <c r="O75" s="145"/>
      <c r="P75" s="142"/>
      <c r="Q75" s="134">
        <f t="shared" si="11"/>
        <v>0</v>
      </c>
      <c r="R75" s="145"/>
      <c r="S75" s="142"/>
      <c r="T75" s="134">
        <f t="shared" si="12"/>
        <v>0</v>
      </c>
      <c r="U75" s="145"/>
      <c r="V75" s="142"/>
      <c r="W75" s="134">
        <f t="shared" si="13"/>
        <v>0</v>
      </c>
      <c r="X75" s="152"/>
      <c r="Y75" s="153"/>
      <c r="Z75" s="154"/>
      <c r="AA75" s="137">
        <f t="shared" si="14"/>
        <v>0</v>
      </c>
      <c r="AB75" s="138" t="e">
        <f t="shared" si="16"/>
        <v>#DIV/0!</v>
      </c>
    </row>
    <row r="76" spans="2:28" s="109" customFormat="1" ht="21.95" customHeight="1" outlineLevel="1">
      <c r="B76" s="148" t="str">
        <f>'CPU  1'!B76</f>
        <v>E51</v>
      </c>
      <c r="C76" s="149">
        <f>'CPU  1'!C76</f>
        <v>0</v>
      </c>
      <c r="D76" s="155">
        <f>'CPU  1'!D76</f>
        <v>0</v>
      </c>
      <c r="E76" s="151">
        <f>'CPU  1'!E76</f>
        <v>0</v>
      </c>
      <c r="F76" s="145"/>
      <c r="G76" s="142"/>
      <c r="H76" s="134">
        <f t="shared" si="8"/>
        <v>0</v>
      </c>
      <c r="I76" s="145"/>
      <c r="J76" s="142"/>
      <c r="K76" s="134">
        <f>J76*I76*$E76</f>
        <v>0</v>
      </c>
      <c r="L76" s="145"/>
      <c r="M76" s="142"/>
      <c r="N76" s="134">
        <f>M76*L76*$E76</f>
        <v>0</v>
      </c>
      <c r="O76" s="145"/>
      <c r="P76" s="142"/>
      <c r="Q76" s="134">
        <f t="shared" si="11"/>
        <v>0</v>
      </c>
      <c r="R76" s="145"/>
      <c r="S76" s="142"/>
      <c r="T76" s="134">
        <f t="shared" si="12"/>
        <v>0</v>
      </c>
      <c r="U76" s="145"/>
      <c r="V76" s="142"/>
      <c r="W76" s="134">
        <f t="shared" si="13"/>
        <v>0</v>
      </c>
      <c r="X76" s="152"/>
      <c r="Y76" s="153"/>
      <c r="Z76" s="154"/>
      <c r="AA76" s="137">
        <f t="shared" si="14"/>
        <v>0</v>
      </c>
      <c r="AB76" s="138" t="e">
        <f t="shared" si="16"/>
        <v>#DIV/0!</v>
      </c>
    </row>
    <row r="77" spans="2:28" s="109" customFormat="1" ht="21.95" customHeight="1" outlineLevel="1">
      <c r="B77" s="148" t="str">
        <f>'CPU  1'!B77</f>
        <v>E52</v>
      </c>
      <c r="C77" s="149">
        <f>'CPU  1'!C77</f>
        <v>0</v>
      </c>
      <c r="D77" s="155">
        <f>'CPU  1'!D77</f>
        <v>0</v>
      </c>
      <c r="E77" s="151">
        <f>'CPU  1'!E77</f>
        <v>0</v>
      </c>
      <c r="F77" s="145"/>
      <c r="G77" s="142"/>
      <c r="H77" s="134">
        <f t="shared" si="8"/>
        <v>0</v>
      </c>
      <c r="I77" s="145"/>
      <c r="J77" s="142"/>
      <c r="K77" s="134">
        <f t="shared" si="17"/>
        <v>0</v>
      </c>
      <c r="L77" s="145"/>
      <c r="M77" s="142"/>
      <c r="N77" s="134">
        <f t="shared" si="18"/>
        <v>0</v>
      </c>
      <c r="O77" s="145"/>
      <c r="P77" s="142"/>
      <c r="Q77" s="134">
        <f t="shared" si="11"/>
        <v>0</v>
      </c>
      <c r="R77" s="145"/>
      <c r="S77" s="142"/>
      <c r="T77" s="134">
        <f t="shared" si="12"/>
        <v>0</v>
      </c>
      <c r="U77" s="145"/>
      <c r="V77" s="142"/>
      <c r="W77" s="134">
        <f t="shared" si="13"/>
        <v>0</v>
      </c>
      <c r="X77" s="152"/>
      <c r="Y77" s="153"/>
      <c r="Z77" s="154"/>
      <c r="AA77" s="137">
        <f t="shared" si="14"/>
        <v>0</v>
      </c>
      <c r="AB77" s="138" t="e">
        <f t="shared" si="16"/>
        <v>#DIV/0!</v>
      </c>
    </row>
    <row r="78" spans="2:28" s="109" customFormat="1" ht="21.95" customHeight="1" outlineLevel="1">
      <c r="B78" s="148" t="str">
        <f>'CPU  1'!B78</f>
        <v>E53</v>
      </c>
      <c r="C78" s="149">
        <f>'CPU  1'!C78</f>
        <v>0</v>
      </c>
      <c r="D78" s="155">
        <f>'CPU  1'!D78</f>
        <v>0</v>
      </c>
      <c r="E78" s="151">
        <f>'CPU  1'!E78</f>
        <v>0</v>
      </c>
      <c r="F78" s="145"/>
      <c r="G78" s="142"/>
      <c r="H78" s="134">
        <f t="shared" si="8"/>
        <v>0</v>
      </c>
      <c r="I78" s="145"/>
      <c r="J78" s="142"/>
      <c r="K78" s="134">
        <f t="shared" si="17"/>
        <v>0</v>
      </c>
      <c r="L78" s="145"/>
      <c r="M78" s="142"/>
      <c r="N78" s="134">
        <f t="shared" si="18"/>
        <v>0</v>
      </c>
      <c r="O78" s="145"/>
      <c r="P78" s="142"/>
      <c r="Q78" s="134">
        <f t="shared" si="11"/>
        <v>0</v>
      </c>
      <c r="R78" s="145"/>
      <c r="S78" s="142"/>
      <c r="T78" s="134">
        <f t="shared" si="12"/>
        <v>0</v>
      </c>
      <c r="U78" s="145"/>
      <c r="V78" s="142"/>
      <c r="W78" s="134">
        <f t="shared" si="13"/>
        <v>0</v>
      </c>
      <c r="X78" s="152"/>
      <c r="Y78" s="153"/>
      <c r="Z78" s="154"/>
      <c r="AA78" s="137">
        <f t="shared" si="14"/>
        <v>0</v>
      </c>
      <c r="AB78" s="138" t="e">
        <f t="shared" si="16"/>
        <v>#DIV/0!</v>
      </c>
    </row>
    <row r="79" spans="2:28" s="109" customFormat="1" ht="21.95" customHeight="1" outlineLevel="1" thickBot="1">
      <c r="B79" s="148" t="str">
        <f>'CPU  1'!B79</f>
        <v>E54</v>
      </c>
      <c r="C79" s="149">
        <f>'CPU  1'!C79</f>
        <v>0</v>
      </c>
      <c r="D79" s="155">
        <f>'CPU  1'!D79</f>
        <v>0</v>
      </c>
      <c r="E79" s="151">
        <f>'CPU  1'!E79</f>
        <v>0</v>
      </c>
      <c r="F79" s="145"/>
      <c r="G79" s="142"/>
      <c r="H79" s="134">
        <f t="shared" si="8"/>
        <v>0</v>
      </c>
      <c r="I79" s="145"/>
      <c r="J79" s="142"/>
      <c r="K79" s="134">
        <f t="shared" si="9"/>
        <v>0</v>
      </c>
      <c r="L79" s="145"/>
      <c r="M79" s="142"/>
      <c r="N79" s="134">
        <f t="shared" si="10"/>
        <v>0</v>
      </c>
      <c r="O79" s="145"/>
      <c r="P79" s="142"/>
      <c r="Q79" s="134">
        <f t="shared" si="11"/>
        <v>0</v>
      </c>
      <c r="R79" s="145"/>
      <c r="S79" s="142"/>
      <c r="T79" s="134">
        <f t="shared" si="12"/>
        <v>0</v>
      </c>
      <c r="U79" s="145"/>
      <c r="V79" s="142"/>
      <c r="W79" s="134">
        <f t="shared" si="13"/>
        <v>0</v>
      </c>
      <c r="X79" s="152"/>
      <c r="Y79" s="153"/>
      <c r="Z79" s="154"/>
      <c r="AA79" s="137">
        <f t="shared" si="14"/>
        <v>0</v>
      </c>
      <c r="AB79" s="138" t="e">
        <f t="shared" si="16"/>
        <v>#DIV/0!</v>
      </c>
    </row>
    <row r="80" spans="2:28" s="109" customFormat="1" ht="21.95" customHeight="1" thickBot="1">
      <c r="B80" s="694" t="s">
        <v>136</v>
      </c>
      <c r="C80" s="695"/>
      <c r="D80" s="695"/>
      <c r="E80" s="695" t="e">
        <f>SUM(#REF!)</f>
        <v>#REF!</v>
      </c>
      <c r="F80" s="263"/>
      <c r="G80" s="264"/>
      <c r="H80" s="265">
        <f>SUM(H26:H79)</f>
        <v>0</v>
      </c>
      <c r="I80" s="263"/>
      <c r="J80" s="264"/>
      <c r="K80" s="265">
        <f>SUM(K26:K79)</f>
        <v>0</v>
      </c>
      <c r="L80" s="263"/>
      <c r="M80" s="264"/>
      <c r="N80" s="265">
        <f>SUM(N26:N79)</f>
        <v>0</v>
      </c>
      <c r="O80" s="263"/>
      <c r="P80" s="264"/>
      <c r="Q80" s="265">
        <f>SUM(Q26:Q79)</f>
        <v>0</v>
      </c>
      <c r="R80" s="263"/>
      <c r="S80" s="264"/>
      <c r="T80" s="265">
        <f>SUM(T26:T79)</f>
        <v>0</v>
      </c>
      <c r="U80" s="263"/>
      <c r="V80" s="264"/>
      <c r="W80" s="265">
        <f>SUM(W26:W79)</f>
        <v>0</v>
      </c>
      <c r="X80" s="143"/>
      <c r="Y80" s="263"/>
      <c r="Z80" s="264"/>
      <c r="AA80" s="265">
        <f>SUM(AA26:AA79)</f>
        <v>0</v>
      </c>
      <c r="AB80" s="138"/>
    </row>
    <row r="81" spans="2:29" s="109" customFormat="1" ht="21.95" customHeight="1" thickBot="1">
      <c r="B81" s="699" t="s">
        <v>34</v>
      </c>
      <c r="C81" s="700"/>
      <c r="D81" s="700"/>
      <c r="E81" s="701"/>
      <c r="F81" s="745"/>
      <c r="G81" s="745"/>
      <c r="H81" s="745"/>
      <c r="I81" s="745"/>
      <c r="J81" s="745"/>
      <c r="K81" s="745"/>
      <c r="L81" s="745"/>
      <c r="M81" s="745"/>
      <c r="N81" s="745"/>
      <c r="O81" s="745"/>
      <c r="P81" s="745"/>
      <c r="Q81" s="745"/>
      <c r="R81" s="745"/>
      <c r="S81" s="745"/>
      <c r="T81" s="745"/>
      <c r="U81" s="745"/>
      <c r="V81" s="745"/>
      <c r="W81" s="745"/>
      <c r="X81" s="143"/>
      <c r="Y81" s="711"/>
      <c r="Z81" s="711"/>
      <c r="AA81" s="711"/>
      <c r="AB81" s="138"/>
    </row>
    <row r="82" spans="2:29" s="127" customFormat="1" ht="21.95" customHeight="1" thickBot="1">
      <c r="B82" s="258" t="s">
        <v>163</v>
      </c>
      <c r="C82" s="259" t="s">
        <v>169</v>
      </c>
      <c r="D82" s="260" t="s">
        <v>30</v>
      </c>
      <c r="E82" s="261" t="s">
        <v>31</v>
      </c>
      <c r="F82" s="258" t="s">
        <v>6</v>
      </c>
      <c r="G82" s="261" t="s">
        <v>32</v>
      </c>
      <c r="H82" s="262" t="s">
        <v>5</v>
      </c>
      <c r="I82" s="258" t="s">
        <v>6</v>
      </c>
      <c r="J82" s="261" t="s">
        <v>32</v>
      </c>
      <c r="K82" s="262" t="s">
        <v>5</v>
      </c>
      <c r="L82" s="258" t="s">
        <v>6</v>
      </c>
      <c r="M82" s="261" t="s">
        <v>32</v>
      </c>
      <c r="N82" s="262" t="s">
        <v>5</v>
      </c>
      <c r="O82" s="258" t="s">
        <v>6</v>
      </c>
      <c r="P82" s="261" t="s">
        <v>32</v>
      </c>
      <c r="Q82" s="262" t="s">
        <v>5</v>
      </c>
      <c r="R82" s="258" t="s">
        <v>6</v>
      </c>
      <c r="S82" s="261" t="s">
        <v>32</v>
      </c>
      <c r="T82" s="262" t="s">
        <v>5</v>
      </c>
      <c r="U82" s="258" t="s">
        <v>6</v>
      </c>
      <c r="V82" s="261" t="s">
        <v>32</v>
      </c>
      <c r="W82" s="262" t="s">
        <v>5</v>
      </c>
      <c r="X82" s="124"/>
      <c r="Y82" s="258" t="s">
        <v>6</v>
      </c>
      <c r="Z82" s="261" t="s">
        <v>32</v>
      </c>
      <c r="AA82" s="262" t="s">
        <v>5</v>
      </c>
      <c r="AB82" s="125"/>
      <c r="AC82" s="126"/>
    </row>
    <row r="83" spans="2:29" s="109" customFormat="1" ht="21.95" customHeight="1" outlineLevel="1">
      <c r="B83" s="148" t="str">
        <f>'CPU  1'!B83</f>
        <v>M01</v>
      </c>
      <c r="C83" s="156" t="str">
        <f>'CPU  1'!C83</f>
        <v>Aço CA-50, (ferro 8.0)</v>
      </c>
      <c r="D83" s="157" t="str">
        <f>'CPU  1'!D83</f>
        <v>kg</v>
      </c>
      <c r="E83" s="158">
        <f>'CPU  1'!E83</f>
        <v>12.5</v>
      </c>
      <c r="F83" s="145"/>
      <c r="G83" s="142"/>
      <c r="H83" s="134">
        <f t="shared" ref="H83:H131" si="19">G83*F83*$E83</f>
        <v>0</v>
      </c>
      <c r="I83" s="145"/>
      <c r="J83" s="142"/>
      <c r="K83" s="134">
        <f t="shared" ref="K83:K131" si="20">J83*I83*$E83</f>
        <v>0</v>
      </c>
      <c r="L83" s="145"/>
      <c r="M83" s="142"/>
      <c r="N83" s="134">
        <f t="shared" ref="N83:N131" si="21">M83*L83*$E83</f>
        <v>0</v>
      </c>
      <c r="O83" s="145"/>
      <c r="P83" s="142"/>
      <c r="Q83" s="134">
        <f t="shared" ref="Q83:Q131" si="22">P83*O83*$E83</f>
        <v>0</v>
      </c>
      <c r="R83" s="145"/>
      <c r="S83" s="142"/>
      <c r="T83" s="134">
        <f t="shared" ref="T83:T131" si="23">S83*R83*$E83</f>
        <v>0</v>
      </c>
      <c r="U83" s="145"/>
      <c r="V83" s="142"/>
      <c r="W83" s="134">
        <f t="shared" ref="W83:W131" si="24">V83*U83*$E83</f>
        <v>0</v>
      </c>
      <c r="X83" s="152"/>
      <c r="Y83" s="159"/>
      <c r="Z83" s="160"/>
      <c r="AA83" s="137">
        <f t="shared" ref="AA83:AA131" si="25">K83*$K$3+N83*$N$3+Q83*$Q$3+H83*$H$3+T83*$T$3+W83*$W$3</f>
        <v>0</v>
      </c>
      <c r="AB83" s="138" t="e">
        <f t="shared" ref="AB83:AB114" si="26">AA83/$AA$162</f>
        <v>#DIV/0!</v>
      </c>
    </row>
    <row r="84" spans="2:29" s="109" customFormat="1" ht="21.95" customHeight="1" outlineLevel="1">
      <c r="B84" s="148" t="str">
        <f>'CPU  1'!B84</f>
        <v>M02</v>
      </c>
      <c r="C84" s="156" t="str">
        <f>'CPU  1'!C84</f>
        <v>Agua Mineral</v>
      </c>
      <c r="D84" s="157" t="str">
        <f>'CPU  1'!D84</f>
        <v>litro</v>
      </c>
      <c r="E84" s="158">
        <f>'CPU  1'!E84</f>
        <v>1</v>
      </c>
      <c r="F84" s="145"/>
      <c r="G84" s="142"/>
      <c r="H84" s="134">
        <f t="shared" si="19"/>
        <v>0</v>
      </c>
      <c r="I84" s="145"/>
      <c r="J84" s="142"/>
      <c r="K84" s="134">
        <f t="shared" si="20"/>
        <v>0</v>
      </c>
      <c r="L84" s="145"/>
      <c r="M84" s="142"/>
      <c r="N84" s="134">
        <f t="shared" si="21"/>
        <v>0</v>
      </c>
      <c r="O84" s="145"/>
      <c r="P84" s="142"/>
      <c r="Q84" s="134">
        <f t="shared" si="22"/>
        <v>0</v>
      </c>
      <c r="R84" s="145"/>
      <c r="S84" s="142"/>
      <c r="T84" s="134">
        <f t="shared" si="23"/>
        <v>0</v>
      </c>
      <c r="U84" s="145"/>
      <c r="V84" s="142"/>
      <c r="W84" s="134">
        <f t="shared" si="24"/>
        <v>0</v>
      </c>
      <c r="X84" s="152"/>
      <c r="Y84" s="159"/>
      <c r="Z84" s="160"/>
      <c r="AA84" s="137">
        <f t="shared" si="25"/>
        <v>0</v>
      </c>
      <c r="AB84" s="138" t="e">
        <f t="shared" si="26"/>
        <v>#DIV/0!</v>
      </c>
    </row>
    <row r="85" spans="2:29" s="109" customFormat="1" ht="21.95" customHeight="1" outlineLevel="1">
      <c r="B85" s="148" t="str">
        <f>'CPU  1'!B85</f>
        <v>M03</v>
      </c>
      <c r="C85" s="156" t="str">
        <f>'CPU  1'!C85</f>
        <v>Arame ovalado zincado</v>
      </c>
      <c r="D85" s="157" t="str">
        <f>'CPU  1'!D85</f>
        <v>m</v>
      </c>
      <c r="E85" s="158">
        <f>'CPU  1'!E85</f>
        <v>1</v>
      </c>
      <c r="F85" s="145"/>
      <c r="G85" s="142"/>
      <c r="H85" s="134">
        <f t="shared" si="19"/>
        <v>0</v>
      </c>
      <c r="I85" s="145"/>
      <c r="J85" s="142"/>
      <c r="K85" s="134">
        <f t="shared" si="20"/>
        <v>0</v>
      </c>
      <c r="L85" s="145"/>
      <c r="M85" s="142"/>
      <c r="N85" s="134">
        <f t="shared" si="21"/>
        <v>0</v>
      </c>
      <c r="O85" s="145"/>
      <c r="P85" s="142"/>
      <c r="Q85" s="134">
        <f t="shared" si="22"/>
        <v>0</v>
      </c>
      <c r="R85" s="145"/>
      <c r="S85" s="142"/>
      <c r="T85" s="134">
        <f t="shared" si="23"/>
        <v>0</v>
      </c>
      <c r="U85" s="145"/>
      <c r="V85" s="142"/>
      <c r="W85" s="134">
        <f t="shared" si="24"/>
        <v>0</v>
      </c>
      <c r="X85" s="152"/>
      <c r="Y85" s="159"/>
      <c r="Z85" s="160"/>
      <c r="AA85" s="137">
        <f t="shared" si="25"/>
        <v>0</v>
      </c>
      <c r="AB85" s="138" t="e">
        <f t="shared" si="26"/>
        <v>#DIV/0!</v>
      </c>
    </row>
    <row r="86" spans="2:29" s="109" customFormat="1" ht="21.95" customHeight="1" outlineLevel="1">
      <c r="B86" s="148" t="str">
        <f>'CPU  1'!B86</f>
        <v>M04</v>
      </c>
      <c r="C86" s="156" t="str">
        <f>'CPU  1'!C86</f>
        <v>Areia</v>
      </c>
      <c r="D86" s="157" t="str">
        <f>'CPU  1'!D86</f>
        <v>m³</v>
      </c>
      <c r="E86" s="158">
        <f>'CPU  1'!E86</f>
        <v>120</v>
      </c>
      <c r="F86" s="145"/>
      <c r="G86" s="142"/>
      <c r="H86" s="134">
        <f t="shared" si="19"/>
        <v>0</v>
      </c>
      <c r="I86" s="145"/>
      <c r="J86" s="142"/>
      <c r="K86" s="134">
        <f t="shared" si="20"/>
        <v>0</v>
      </c>
      <c r="L86" s="145"/>
      <c r="M86" s="142"/>
      <c r="N86" s="134">
        <f t="shared" si="21"/>
        <v>0</v>
      </c>
      <c r="O86" s="145"/>
      <c r="P86" s="142"/>
      <c r="Q86" s="134">
        <f t="shared" si="22"/>
        <v>0</v>
      </c>
      <c r="R86" s="145"/>
      <c r="S86" s="142"/>
      <c r="T86" s="134">
        <f t="shared" si="23"/>
        <v>0</v>
      </c>
      <c r="U86" s="145"/>
      <c r="V86" s="142"/>
      <c r="W86" s="134">
        <f t="shared" si="24"/>
        <v>0</v>
      </c>
      <c r="X86" s="152"/>
      <c r="Y86" s="159"/>
      <c r="Z86" s="160"/>
      <c r="AA86" s="137">
        <f t="shared" si="25"/>
        <v>0</v>
      </c>
      <c r="AB86" s="138" t="e">
        <f t="shared" si="26"/>
        <v>#DIV/0!</v>
      </c>
    </row>
    <row r="87" spans="2:29" s="109" customFormat="1" ht="21.95" customHeight="1" outlineLevel="1">
      <c r="B87" s="148" t="str">
        <f>'CPU  1'!B87</f>
        <v>M05</v>
      </c>
      <c r="C87" s="156" t="str">
        <f>'CPU  1'!C87</f>
        <v>Arrame galganizado</v>
      </c>
      <c r="D87" s="157" t="str">
        <f>'CPU  1'!D87</f>
        <v>kg</v>
      </c>
      <c r="E87" s="158">
        <f>'CPU  1'!E87</f>
        <v>16.8</v>
      </c>
      <c r="F87" s="145"/>
      <c r="G87" s="142"/>
      <c r="H87" s="134">
        <f t="shared" si="19"/>
        <v>0</v>
      </c>
      <c r="I87" s="145"/>
      <c r="J87" s="142"/>
      <c r="K87" s="134">
        <f t="shared" si="20"/>
        <v>0</v>
      </c>
      <c r="L87" s="145"/>
      <c r="M87" s="142"/>
      <c r="N87" s="134">
        <f t="shared" si="21"/>
        <v>0</v>
      </c>
      <c r="O87" s="145"/>
      <c r="P87" s="142"/>
      <c r="Q87" s="134">
        <f t="shared" si="22"/>
        <v>0</v>
      </c>
      <c r="R87" s="145"/>
      <c r="S87" s="142"/>
      <c r="T87" s="134">
        <f t="shared" si="23"/>
        <v>0</v>
      </c>
      <c r="U87" s="145"/>
      <c r="V87" s="142"/>
      <c r="W87" s="134">
        <f t="shared" si="24"/>
        <v>0</v>
      </c>
      <c r="X87" s="152"/>
      <c r="Y87" s="159"/>
      <c r="Z87" s="160"/>
      <c r="AA87" s="137">
        <f t="shared" si="25"/>
        <v>0</v>
      </c>
      <c r="AB87" s="138" t="e">
        <f t="shared" si="26"/>
        <v>#DIV/0!</v>
      </c>
    </row>
    <row r="88" spans="2:29" s="109" customFormat="1" ht="21.95" customHeight="1" outlineLevel="1">
      <c r="B88" s="148" t="str">
        <f>'CPU  1'!B88</f>
        <v>M06</v>
      </c>
      <c r="C88" s="156" t="str">
        <f>'CPU  1'!C88</f>
        <v>Arrame recozido</v>
      </c>
      <c r="D88" s="157" t="str">
        <f>'CPU  1'!D88</f>
        <v>kg</v>
      </c>
      <c r="E88" s="158">
        <f>'CPU  1'!E88</f>
        <v>12</v>
      </c>
      <c r="F88" s="145"/>
      <c r="G88" s="142"/>
      <c r="H88" s="134">
        <f t="shared" si="19"/>
        <v>0</v>
      </c>
      <c r="I88" s="145"/>
      <c r="J88" s="142"/>
      <c r="K88" s="134">
        <f t="shared" si="20"/>
        <v>0</v>
      </c>
      <c r="L88" s="145"/>
      <c r="M88" s="142"/>
      <c r="N88" s="134">
        <f t="shared" si="21"/>
        <v>0</v>
      </c>
      <c r="O88" s="145"/>
      <c r="P88" s="142"/>
      <c r="Q88" s="134">
        <f t="shared" si="22"/>
        <v>0</v>
      </c>
      <c r="R88" s="145"/>
      <c r="S88" s="142"/>
      <c r="T88" s="134">
        <f t="shared" si="23"/>
        <v>0</v>
      </c>
      <c r="U88" s="145"/>
      <c r="V88" s="142"/>
      <c r="W88" s="134">
        <f t="shared" si="24"/>
        <v>0</v>
      </c>
      <c r="X88" s="152"/>
      <c r="Y88" s="159"/>
      <c r="Z88" s="160"/>
      <c r="AA88" s="137">
        <f t="shared" si="25"/>
        <v>0</v>
      </c>
      <c r="AB88" s="138" t="e">
        <f t="shared" si="26"/>
        <v>#DIV/0!</v>
      </c>
    </row>
    <row r="89" spans="2:29" s="109" customFormat="1" ht="21.95" customHeight="1" outlineLevel="1">
      <c r="B89" s="148" t="str">
        <f>'CPU  1'!B89</f>
        <v>M07</v>
      </c>
      <c r="C89" s="156" t="str">
        <f>'CPU  1'!C89</f>
        <v>Barrote de madeira 7x7cm</v>
      </c>
      <c r="D89" s="157" t="str">
        <f>'CPU  1'!D89</f>
        <v>m</v>
      </c>
      <c r="E89" s="158">
        <f>'CPU  1'!E89</f>
        <v>15</v>
      </c>
      <c r="F89" s="145"/>
      <c r="G89" s="142"/>
      <c r="H89" s="134">
        <f t="shared" si="19"/>
        <v>0</v>
      </c>
      <c r="I89" s="145"/>
      <c r="J89" s="142"/>
      <c r="K89" s="134">
        <f t="shared" si="20"/>
        <v>0</v>
      </c>
      <c r="L89" s="145"/>
      <c r="M89" s="142"/>
      <c r="N89" s="134">
        <f t="shared" si="21"/>
        <v>0</v>
      </c>
      <c r="O89" s="145"/>
      <c r="P89" s="142"/>
      <c r="Q89" s="134">
        <f t="shared" si="22"/>
        <v>0</v>
      </c>
      <c r="R89" s="145"/>
      <c r="S89" s="142"/>
      <c r="T89" s="134">
        <f t="shared" si="23"/>
        <v>0</v>
      </c>
      <c r="U89" s="145"/>
      <c r="V89" s="142"/>
      <c r="W89" s="134">
        <f t="shared" si="24"/>
        <v>0</v>
      </c>
      <c r="X89" s="152"/>
      <c r="Y89" s="159"/>
      <c r="Z89" s="160"/>
      <c r="AA89" s="137">
        <f t="shared" si="25"/>
        <v>0</v>
      </c>
      <c r="AB89" s="138" t="e">
        <f t="shared" si="26"/>
        <v>#DIV/0!</v>
      </c>
    </row>
    <row r="90" spans="2:29" s="109" customFormat="1" ht="21.95" customHeight="1" outlineLevel="1">
      <c r="B90" s="148" t="str">
        <f>'CPU  1'!B90</f>
        <v>M08</v>
      </c>
      <c r="C90" s="149" t="str">
        <f>'CPU  1'!C90</f>
        <v>Bloco tipo canaleta (14x19x39cm)</v>
      </c>
      <c r="D90" s="150" t="str">
        <f>'CPU  1'!D90</f>
        <v>peça</v>
      </c>
      <c r="E90" s="151">
        <f>'CPU  1'!E90</f>
        <v>8.9</v>
      </c>
      <c r="F90" s="145"/>
      <c r="G90" s="142"/>
      <c r="H90" s="134">
        <f t="shared" si="19"/>
        <v>0</v>
      </c>
      <c r="I90" s="145"/>
      <c r="J90" s="142"/>
      <c r="K90" s="134">
        <f t="shared" si="20"/>
        <v>0</v>
      </c>
      <c r="L90" s="145"/>
      <c r="M90" s="142"/>
      <c r="N90" s="134">
        <f t="shared" si="21"/>
        <v>0</v>
      </c>
      <c r="O90" s="145"/>
      <c r="P90" s="142"/>
      <c r="Q90" s="134">
        <f t="shared" si="22"/>
        <v>0</v>
      </c>
      <c r="R90" s="145"/>
      <c r="S90" s="142"/>
      <c r="T90" s="134">
        <f t="shared" si="23"/>
        <v>0</v>
      </c>
      <c r="U90" s="145"/>
      <c r="V90" s="142"/>
      <c r="W90" s="134">
        <f t="shared" si="24"/>
        <v>0</v>
      </c>
      <c r="X90" s="152"/>
      <c r="Y90" s="159"/>
      <c r="Z90" s="160"/>
      <c r="AA90" s="137">
        <f t="shared" si="25"/>
        <v>0</v>
      </c>
      <c r="AB90" s="138" t="e">
        <f t="shared" si="26"/>
        <v>#DIV/0!</v>
      </c>
    </row>
    <row r="91" spans="2:29" s="109" customFormat="1" ht="21.95" customHeight="1" outlineLevel="1">
      <c r="B91" s="148" t="str">
        <f>'CPU  1'!B91</f>
        <v>M09</v>
      </c>
      <c r="C91" s="161" t="str">
        <f>'CPU  1'!C91</f>
        <v>Brita 1</v>
      </c>
      <c r="D91" s="157" t="str">
        <f>'CPU  1'!D91</f>
        <v>m³</v>
      </c>
      <c r="E91" s="158">
        <f>'CPU  1'!E91</f>
        <v>220</v>
      </c>
      <c r="F91" s="145"/>
      <c r="G91" s="142"/>
      <c r="H91" s="134">
        <f t="shared" si="19"/>
        <v>0</v>
      </c>
      <c r="I91" s="145"/>
      <c r="J91" s="142"/>
      <c r="K91" s="134">
        <f t="shared" si="20"/>
        <v>0</v>
      </c>
      <c r="L91" s="145"/>
      <c r="M91" s="142"/>
      <c r="N91" s="134">
        <f t="shared" si="21"/>
        <v>0</v>
      </c>
      <c r="O91" s="145"/>
      <c r="P91" s="142"/>
      <c r="Q91" s="134">
        <f t="shared" si="22"/>
        <v>0</v>
      </c>
      <c r="R91" s="145"/>
      <c r="S91" s="142"/>
      <c r="T91" s="134">
        <f t="shared" si="23"/>
        <v>0</v>
      </c>
      <c r="U91" s="145"/>
      <c r="V91" s="142"/>
      <c r="W91" s="134">
        <f t="shared" si="24"/>
        <v>0</v>
      </c>
      <c r="X91" s="152"/>
      <c r="Y91" s="159"/>
      <c r="Z91" s="160"/>
      <c r="AA91" s="137">
        <f t="shared" si="25"/>
        <v>0</v>
      </c>
      <c r="AB91" s="138" t="e">
        <f t="shared" si="26"/>
        <v>#DIV/0!</v>
      </c>
    </row>
    <row r="92" spans="2:29" s="109" customFormat="1" ht="21.95" customHeight="1" outlineLevel="1">
      <c r="B92" s="148" t="str">
        <f>'CPU  1'!B92</f>
        <v>M11</v>
      </c>
      <c r="C92" s="149" t="str">
        <f>'CPU  1'!C92</f>
        <v>Caixa de passagens para aterramento h600 diâmetro 30cm</v>
      </c>
      <c r="D92" s="150" t="str">
        <f>'CPU  1'!D92</f>
        <v>und</v>
      </c>
      <c r="E92" s="151">
        <f>'CPU  1'!E92</f>
        <v>590</v>
      </c>
      <c r="F92" s="145"/>
      <c r="G92" s="142"/>
      <c r="H92" s="134">
        <f t="shared" si="19"/>
        <v>0</v>
      </c>
      <c r="I92" s="145"/>
      <c r="J92" s="142"/>
      <c r="K92" s="134">
        <f t="shared" si="20"/>
        <v>0</v>
      </c>
      <c r="L92" s="145"/>
      <c r="M92" s="142"/>
      <c r="N92" s="134">
        <f t="shared" si="21"/>
        <v>0</v>
      </c>
      <c r="O92" s="145"/>
      <c r="P92" s="142"/>
      <c r="Q92" s="134">
        <f t="shared" si="22"/>
        <v>0</v>
      </c>
      <c r="R92" s="145"/>
      <c r="S92" s="142"/>
      <c r="T92" s="134">
        <f t="shared" si="23"/>
        <v>0</v>
      </c>
      <c r="U92" s="145"/>
      <c r="V92" s="142"/>
      <c r="W92" s="134">
        <f t="shared" si="24"/>
        <v>0</v>
      </c>
      <c r="X92" s="152"/>
      <c r="Y92" s="159"/>
      <c r="Z92" s="160"/>
      <c r="AA92" s="137">
        <f t="shared" si="25"/>
        <v>0</v>
      </c>
      <c r="AB92" s="138" t="e">
        <f t="shared" si="26"/>
        <v>#DIV/0!</v>
      </c>
    </row>
    <row r="93" spans="2:29" s="109" customFormat="1" ht="21.95" customHeight="1" outlineLevel="1">
      <c r="B93" s="148" t="str">
        <f>'CPU  1'!B93</f>
        <v>M12</v>
      </c>
      <c r="C93" s="149" t="str">
        <f>'CPU  1'!C93</f>
        <v>Catoneira galvanizada 1"x1-1/4</v>
      </c>
      <c r="D93" s="150" t="str">
        <f>'CPU  1'!D93</f>
        <v>m</v>
      </c>
      <c r="E93" s="151">
        <f>'CPU  1'!E93</f>
        <v>24.999999999999996</v>
      </c>
      <c r="F93" s="145"/>
      <c r="G93" s="142"/>
      <c r="H93" s="134">
        <f t="shared" si="19"/>
        <v>0</v>
      </c>
      <c r="I93" s="145"/>
      <c r="J93" s="142"/>
      <c r="K93" s="134">
        <f t="shared" si="20"/>
        <v>0</v>
      </c>
      <c r="L93" s="145"/>
      <c r="M93" s="142"/>
      <c r="N93" s="134">
        <f t="shared" si="21"/>
        <v>0</v>
      </c>
      <c r="O93" s="145"/>
      <c r="P93" s="142"/>
      <c r="Q93" s="134">
        <f t="shared" si="22"/>
        <v>0</v>
      </c>
      <c r="R93" s="145"/>
      <c r="S93" s="142"/>
      <c r="T93" s="134">
        <f t="shared" si="23"/>
        <v>0</v>
      </c>
      <c r="U93" s="145"/>
      <c r="V93" s="142"/>
      <c r="W93" s="134">
        <f t="shared" si="24"/>
        <v>0</v>
      </c>
      <c r="X93" s="152"/>
      <c r="Y93" s="159"/>
      <c r="Z93" s="160"/>
      <c r="AA93" s="137">
        <f t="shared" si="25"/>
        <v>0</v>
      </c>
      <c r="AB93" s="138" t="e">
        <f t="shared" si="26"/>
        <v>#DIV/0!</v>
      </c>
    </row>
    <row r="94" spans="2:29" s="109" customFormat="1" ht="36" customHeight="1" outlineLevel="1">
      <c r="B94" s="148" t="str">
        <f>'CPU  1'!B94</f>
        <v>M13</v>
      </c>
      <c r="C94" s="149" t="str">
        <f>'CPU  1'!C94</f>
        <v>Cercamento e delimitação de canteiro de obra (15x30m)</v>
      </c>
      <c r="D94" s="150" t="str">
        <f>'CPU  1'!D94</f>
        <v>vb</v>
      </c>
      <c r="E94" s="151">
        <f>'CPU  1'!E94</f>
        <v>10000</v>
      </c>
      <c r="F94" s="145"/>
      <c r="G94" s="142"/>
      <c r="H94" s="134">
        <f t="shared" si="19"/>
        <v>0</v>
      </c>
      <c r="I94" s="145"/>
      <c r="J94" s="142"/>
      <c r="K94" s="134">
        <f t="shared" si="20"/>
        <v>0</v>
      </c>
      <c r="L94" s="145"/>
      <c r="M94" s="142"/>
      <c r="N94" s="134">
        <f t="shared" si="21"/>
        <v>0</v>
      </c>
      <c r="O94" s="145"/>
      <c r="P94" s="142"/>
      <c r="Q94" s="134">
        <f t="shared" si="22"/>
        <v>0</v>
      </c>
      <c r="R94" s="145"/>
      <c r="S94" s="142"/>
      <c r="T94" s="134">
        <f t="shared" si="23"/>
        <v>0</v>
      </c>
      <c r="U94" s="145"/>
      <c r="V94" s="142"/>
      <c r="W94" s="134">
        <f t="shared" si="24"/>
        <v>0</v>
      </c>
      <c r="X94" s="152"/>
      <c r="Y94" s="159"/>
      <c r="Z94" s="160"/>
      <c r="AA94" s="137">
        <f t="shared" si="25"/>
        <v>0</v>
      </c>
      <c r="AB94" s="138" t="e">
        <f t="shared" si="26"/>
        <v>#DIV/0!</v>
      </c>
    </row>
    <row r="95" spans="2:29" s="109" customFormat="1" ht="21.95" customHeight="1" outlineLevel="1">
      <c r="B95" s="148" t="str">
        <f>'CPU  1'!B95</f>
        <v>M14</v>
      </c>
      <c r="C95" s="149" t="str">
        <f>'CPU  1'!C95</f>
        <v>Cimento</v>
      </c>
      <c r="D95" s="150" t="str">
        <f>'CPU  1'!D95</f>
        <v>saco</v>
      </c>
      <c r="E95" s="151">
        <f>'CPU  1'!E95</f>
        <v>50</v>
      </c>
      <c r="F95" s="145"/>
      <c r="G95" s="142"/>
      <c r="H95" s="134">
        <f t="shared" si="19"/>
        <v>0</v>
      </c>
      <c r="I95" s="145"/>
      <c r="J95" s="142"/>
      <c r="K95" s="134">
        <f t="shared" si="20"/>
        <v>0</v>
      </c>
      <c r="L95" s="145"/>
      <c r="M95" s="142"/>
      <c r="N95" s="134">
        <f t="shared" si="21"/>
        <v>0</v>
      </c>
      <c r="O95" s="145"/>
      <c r="P95" s="142"/>
      <c r="Q95" s="134">
        <f t="shared" si="22"/>
        <v>0</v>
      </c>
      <c r="R95" s="145"/>
      <c r="S95" s="142"/>
      <c r="T95" s="134">
        <f t="shared" si="23"/>
        <v>0</v>
      </c>
      <c r="U95" s="145"/>
      <c r="V95" s="142"/>
      <c r="W95" s="134">
        <f t="shared" si="24"/>
        <v>0</v>
      </c>
      <c r="X95" s="152"/>
      <c r="Y95" s="159"/>
      <c r="Z95" s="160"/>
      <c r="AA95" s="137">
        <f t="shared" si="25"/>
        <v>0</v>
      </c>
      <c r="AB95" s="138" t="e">
        <f t="shared" si="26"/>
        <v>#DIV/0!</v>
      </c>
    </row>
    <row r="96" spans="2:29" s="109" customFormat="1" ht="21.95" customHeight="1" outlineLevel="1">
      <c r="B96" s="148" t="str">
        <f>'CPU  1'!B96</f>
        <v>M15</v>
      </c>
      <c r="C96" s="149" t="str">
        <f>'CPU  1'!C96</f>
        <v>Combustivel - Gasolina</v>
      </c>
      <c r="D96" s="150" t="str">
        <f>'CPU  1'!D96</f>
        <v>litro</v>
      </c>
      <c r="E96" s="151">
        <f>'CPU  1'!E96</f>
        <v>6.5</v>
      </c>
      <c r="F96" s="145"/>
      <c r="G96" s="142"/>
      <c r="H96" s="134">
        <f t="shared" si="19"/>
        <v>0</v>
      </c>
      <c r="I96" s="145"/>
      <c r="J96" s="142"/>
      <c r="K96" s="134">
        <f t="shared" si="20"/>
        <v>0</v>
      </c>
      <c r="L96" s="145"/>
      <c r="M96" s="142"/>
      <c r="N96" s="134">
        <f t="shared" si="21"/>
        <v>0</v>
      </c>
      <c r="O96" s="145"/>
      <c r="P96" s="142"/>
      <c r="Q96" s="134">
        <f t="shared" si="22"/>
        <v>0</v>
      </c>
      <c r="R96" s="145"/>
      <c r="S96" s="142"/>
      <c r="T96" s="134">
        <f t="shared" si="23"/>
        <v>0</v>
      </c>
      <c r="U96" s="145"/>
      <c r="V96" s="142"/>
      <c r="W96" s="134">
        <f t="shared" si="24"/>
        <v>0</v>
      </c>
      <c r="X96" s="152"/>
      <c r="Y96" s="159"/>
      <c r="Z96" s="160"/>
      <c r="AA96" s="137">
        <f t="shared" si="25"/>
        <v>0</v>
      </c>
      <c r="AB96" s="138" t="e">
        <f t="shared" si="26"/>
        <v>#DIV/0!</v>
      </c>
    </row>
    <row r="97" spans="2:28" s="109" customFormat="1" ht="21.95" customHeight="1" outlineLevel="1">
      <c r="B97" s="148" t="str">
        <f>'CPU  1'!B97</f>
        <v>M16</v>
      </c>
      <c r="C97" s="149" t="str">
        <f>'CPU  1'!C97</f>
        <v>Combustivel - Diesel</v>
      </c>
      <c r="D97" s="150" t="str">
        <f>'CPU  1'!D97</f>
        <v>litro</v>
      </c>
      <c r="E97" s="151">
        <f>'CPU  1'!E97</f>
        <v>7</v>
      </c>
      <c r="F97" s="145"/>
      <c r="G97" s="142"/>
      <c r="H97" s="134">
        <f t="shared" si="19"/>
        <v>0</v>
      </c>
      <c r="I97" s="145"/>
      <c r="J97" s="142"/>
      <c r="K97" s="134">
        <f>J97*I97*$E97</f>
        <v>0</v>
      </c>
      <c r="L97" s="145"/>
      <c r="M97" s="142"/>
      <c r="N97" s="134">
        <f>M97*L97*$E97</f>
        <v>0</v>
      </c>
      <c r="O97" s="145"/>
      <c r="P97" s="142"/>
      <c r="Q97" s="134">
        <f t="shared" si="22"/>
        <v>0</v>
      </c>
      <c r="R97" s="145"/>
      <c r="S97" s="142"/>
      <c r="T97" s="134">
        <f t="shared" si="23"/>
        <v>0</v>
      </c>
      <c r="U97" s="145"/>
      <c r="V97" s="142"/>
      <c r="W97" s="134">
        <f t="shared" si="24"/>
        <v>0</v>
      </c>
      <c r="X97" s="152"/>
      <c r="Y97" s="159"/>
      <c r="Z97" s="160"/>
      <c r="AA97" s="137">
        <f t="shared" si="25"/>
        <v>0</v>
      </c>
      <c r="AB97" s="138" t="e">
        <f t="shared" si="26"/>
        <v>#DIV/0!</v>
      </c>
    </row>
    <row r="98" spans="2:28" s="109" customFormat="1" ht="36" customHeight="1" outlineLevel="1">
      <c r="B98" s="148" t="str">
        <f>'CPU  1'!B98</f>
        <v>M17</v>
      </c>
      <c r="C98" s="149" t="str">
        <f>'CPU  1'!C98</f>
        <v>Compensado resinado espessura mínima de 10mm</v>
      </c>
      <c r="D98" s="150" t="str">
        <f>'CPU  1'!D98</f>
        <v>m²</v>
      </c>
      <c r="E98" s="151">
        <f>'CPU  1'!E98</f>
        <v>49.586776859504127</v>
      </c>
      <c r="F98" s="145"/>
      <c r="G98" s="142"/>
      <c r="H98" s="134">
        <f t="shared" si="19"/>
        <v>0</v>
      </c>
      <c r="I98" s="145"/>
      <c r="J98" s="142"/>
      <c r="K98" s="134">
        <f t="shared" si="20"/>
        <v>0</v>
      </c>
      <c r="L98" s="145"/>
      <c r="M98" s="142"/>
      <c r="N98" s="134">
        <f t="shared" si="21"/>
        <v>0</v>
      </c>
      <c r="O98" s="145"/>
      <c r="P98" s="142"/>
      <c r="Q98" s="134">
        <f t="shared" si="22"/>
        <v>0</v>
      </c>
      <c r="R98" s="145"/>
      <c r="S98" s="142"/>
      <c r="T98" s="134">
        <f t="shared" si="23"/>
        <v>0</v>
      </c>
      <c r="U98" s="145"/>
      <c r="V98" s="142"/>
      <c r="W98" s="134">
        <f t="shared" si="24"/>
        <v>0</v>
      </c>
      <c r="X98" s="152"/>
      <c r="Y98" s="159"/>
      <c r="Z98" s="160"/>
      <c r="AA98" s="137">
        <f t="shared" si="25"/>
        <v>0</v>
      </c>
      <c r="AB98" s="138" t="e">
        <f t="shared" si="26"/>
        <v>#DIV/0!</v>
      </c>
    </row>
    <row r="99" spans="2:28" s="109" customFormat="1" ht="36" customHeight="1" outlineLevel="1">
      <c r="B99" s="148" t="str">
        <f>'CPU  1'!B99</f>
        <v>M18</v>
      </c>
      <c r="C99" s="149" t="str">
        <f>'CPU  1'!C99</f>
        <v>Concertina dupla clipada 45cm perimetral galvanizada CBT 65 RL 10m com seus respectivos acessórios de fixação</v>
      </c>
      <c r="D99" s="150" t="str">
        <f>'CPU  1'!D99</f>
        <v>m</v>
      </c>
      <c r="E99" s="151">
        <f>'CPU  1'!E99</f>
        <v>42</v>
      </c>
      <c r="F99" s="145"/>
      <c r="G99" s="142"/>
      <c r="H99" s="134">
        <f t="shared" si="19"/>
        <v>0</v>
      </c>
      <c r="I99" s="145"/>
      <c r="J99" s="142"/>
      <c r="K99" s="134">
        <f t="shared" si="20"/>
        <v>0</v>
      </c>
      <c r="L99" s="145"/>
      <c r="M99" s="142"/>
      <c r="N99" s="134">
        <f t="shared" si="21"/>
        <v>0</v>
      </c>
      <c r="O99" s="145"/>
      <c r="P99" s="142"/>
      <c r="Q99" s="134">
        <f t="shared" si="22"/>
        <v>0</v>
      </c>
      <c r="R99" s="145"/>
      <c r="S99" s="142"/>
      <c r="T99" s="134">
        <f t="shared" si="23"/>
        <v>0</v>
      </c>
      <c r="U99" s="145"/>
      <c r="V99" s="142"/>
      <c r="W99" s="134">
        <f t="shared" si="24"/>
        <v>0</v>
      </c>
      <c r="X99" s="152"/>
      <c r="Y99" s="159"/>
      <c r="Z99" s="160"/>
      <c r="AA99" s="137">
        <f t="shared" si="25"/>
        <v>0</v>
      </c>
      <c r="AB99" s="138" t="e">
        <f t="shared" si="26"/>
        <v>#DIV/0!</v>
      </c>
    </row>
    <row r="100" spans="2:28" s="109" customFormat="1" ht="21.95" customHeight="1" outlineLevel="1">
      <c r="B100" s="148" t="str">
        <f>'CPU  1'!B100</f>
        <v>M19</v>
      </c>
      <c r="C100" s="149" t="str">
        <f>'CPU  1'!C100</f>
        <v>Concreto usinado 30MPa</v>
      </c>
      <c r="D100" s="150" t="str">
        <f>'CPU  1'!D100</f>
        <v>m³</v>
      </c>
      <c r="E100" s="151">
        <f>'CPU  1'!E100</f>
        <v>650</v>
      </c>
      <c r="F100" s="145"/>
      <c r="G100" s="142"/>
      <c r="H100" s="134">
        <f t="shared" si="19"/>
        <v>0</v>
      </c>
      <c r="I100" s="145"/>
      <c r="J100" s="142"/>
      <c r="K100" s="134">
        <f t="shared" si="20"/>
        <v>0</v>
      </c>
      <c r="L100" s="145"/>
      <c r="M100" s="142"/>
      <c r="N100" s="134">
        <f t="shared" si="21"/>
        <v>0</v>
      </c>
      <c r="O100" s="145"/>
      <c r="P100" s="142"/>
      <c r="Q100" s="134">
        <f t="shared" si="22"/>
        <v>0</v>
      </c>
      <c r="R100" s="145"/>
      <c r="S100" s="142"/>
      <c r="T100" s="134">
        <f t="shared" si="23"/>
        <v>0</v>
      </c>
      <c r="U100" s="145"/>
      <c r="V100" s="142"/>
      <c r="W100" s="134">
        <f t="shared" si="24"/>
        <v>0</v>
      </c>
      <c r="X100" s="152"/>
      <c r="Y100" s="159"/>
      <c r="Z100" s="160"/>
      <c r="AA100" s="137">
        <f t="shared" si="25"/>
        <v>0</v>
      </c>
      <c r="AB100" s="138" t="e">
        <f t="shared" si="26"/>
        <v>#DIV/0!</v>
      </c>
    </row>
    <row r="101" spans="2:28" s="109" customFormat="1" ht="21.95" customHeight="1" outlineLevel="1">
      <c r="B101" s="148" t="str">
        <f>'CPU  1'!B101</f>
        <v>M20</v>
      </c>
      <c r="C101" s="149" t="str">
        <f>'CPU  1'!C101</f>
        <v>Espaçadores de ferragem</v>
      </c>
      <c r="D101" s="150" t="str">
        <f>'CPU  1'!D101</f>
        <v>und</v>
      </c>
      <c r="E101" s="151">
        <f>'CPU  1'!E101</f>
        <v>2</v>
      </c>
      <c r="F101" s="145"/>
      <c r="G101" s="142"/>
      <c r="H101" s="134">
        <f t="shared" si="19"/>
        <v>0</v>
      </c>
      <c r="I101" s="145"/>
      <c r="J101" s="142"/>
      <c r="K101" s="134">
        <f t="shared" si="20"/>
        <v>0</v>
      </c>
      <c r="L101" s="145"/>
      <c r="M101" s="142"/>
      <c r="N101" s="134">
        <f t="shared" si="21"/>
        <v>0</v>
      </c>
      <c r="O101" s="145"/>
      <c r="P101" s="142"/>
      <c r="Q101" s="134">
        <f t="shared" si="22"/>
        <v>0</v>
      </c>
      <c r="R101" s="145"/>
      <c r="S101" s="142"/>
      <c r="T101" s="134">
        <f t="shared" si="23"/>
        <v>0</v>
      </c>
      <c r="U101" s="145"/>
      <c r="V101" s="142"/>
      <c r="W101" s="134">
        <f t="shared" si="24"/>
        <v>0</v>
      </c>
      <c r="X101" s="152"/>
      <c r="Y101" s="159"/>
      <c r="Z101" s="160"/>
      <c r="AA101" s="137">
        <f t="shared" si="25"/>
        <v>0</v>
      </c>
      <c r="AB101" s="138" t="e">
        <f t="shared" si="26"/>
        <v>#DIV/0!</v>
      </c>
    </row>
    <row r="102" spans="2:28" s="109" customFormat="1" ht="21.95" customHeight="1" outlineLevel="1">
      <c r="B102" s="148" t="str">
        <f>'CPU  1'!B102</f>
        <v>M21</v>
      </c>
      <c r="C102" s="149" t="str">
        <f>'CPU  1'!C102</f>
        <v>Treliça - para viga baldrame</v>
      </c>
      <c r="D102" s="150" t="str">
        <f>'CPU  1'!D102</f>
        <v>m</v>
      </c>
      <c r="E102" s="151">
        <f>'CPU  1'!E102</f>
        <v>7.5</v>
      </c>
      <c r="F102" s="145"/>
      <c r="G102" s="142"/>
      <c r="H102" s="134">
        <f t="shared" si="19"/>
        <v>0</v>
      </c>
      <c r="I102" s="145"/>
      <c r="J102" s="142"/>
      <c r="K102" s="134">
        <f t="shared" si="20"/>
        <v>0</v>
      </c>
      <c r="L102" s="145"/>
      <c r="M102" s="142"/>
      <c r="N102" s="134">
        <f t="shared" si="21"/>
        <v>0</v>
      </c>
      <c r="O102" s="145"/>
      <c r="P102" s="142"/>
      <c r="Q102" s="134">
        <f t="shared" si="22"/>
        <v>0</v>
      </c>
      <c r="R102" s="145"/>
      <c r="S102" s="142"/>
      <c r="T102" s="134">
        <f t="shared" si="23"/>
        <v>0</v>
      </c>
      <c r="U102" s="145"/>
      <c r="V102" s="142"/>
      <c r="W102" s="134">
        <f t="shared" si="24"/>
        <v>0</v>
      </c>
      <c r="X102" s="152"/>
      <c r="Y102" s="159"/>
      <c r="Z102" s="160"/>
      <c r="AA102" s="137">
        <f t="shared" si="25"/>
        <v>0</v>
      </c>
      <c r="AB102" s="138" t="e">
        <f t="shared" si="26"/>
        <v>#DIV/0!</v>
      </c>
    </row>
    <row r="103" spans="2:28" s="109" customFormat="1" ht="21.95" customHeight="1" outlineLevel="1">
      <c r="B103" s="148" t="str">
        <f>'CPU  1'!B103</f>
        <v>M22</v>
      </c>
      <c r="C103" s="149" t="str">
        <f>'CPU  1'!C103</f>
        <v>Gelo</v>
      </c>
      <c r="D103" s="150" t="str">
        <f>'CPU  1'!D103</f>
        <v>pacote</v>
      </c>
      <c r="E103" s="151">
        <f>'CPU  1'!E103</f>
        <v>5</v>
      </c>
      <c r="F103" s="145"/>
      <c r="G103" s="142"/>
      <c r="H103" s="134">
        <f t="shared" si="19"/>
        <v>0</v>
      </c>
      <c r="I103" s="145"/>
      <c r="J103" s="142"/>
      <c r="K103" s="134">
        <f t="shared" si="20"/>
        <v>0</v>
      </c>
      <c r="L103" s="145"/>
      <c r="M103" s="142"/>
      <c r="N103" s="134">
        <f t="shared" si="21"/>
        <v>0</v>
      </c>
      <c r="O103" s="145"/>
      <c r="P103" s="142"/>
      <c r="Q103" s="134">
        <f t="shared" si="22"/>
        <v>0</v>
      </c>
      <c r="R103" s="145"/>
      <c r="S103" s="142"/>
      <c r="T103" s="134">
        <f t="shared" si="23"/>
        <v>0</v>
      </c>
      <c r="U103" s="145"/>
      <c r="V103" s="142"/>
      <c r="W103" s="134">
        <f t="shared" si="24"/>
        <v>0</v>
      </c>
      <c r="X103" s="152"/>
      <c r="Y103" s="159"/>
      <c r="Z103" s="160"/>
      <c r="AA103" s="137">
        <f t="shared" si="25"/>
        <v>0</v>
      </c>
      <c r="AB103" s="138" t="e">
        <f t="shared" si="26"/>
        <v>#DIV/0!</v>
      </c>
    </row>
    <row r="104" spans="2:28" s="109" customFormat="1" ht="21.95" customHeight="1" outlineLevel="1">
      <c r="B104" s="148" t="str">
        <f>'CPU  1'!B104</f>
        <v>M23</v>
      </c>
      <c r="C104" s="149" t="str">
        <f>'CPU  1'!C104</f>
        <v>Kit ambiental</v>
      </c>
      <c r="D104" s="150" t="str">
        <f>'CPU  1'!D104</f>
        <v>vb</v>
      </c>
      <c r="E104" s="151">
        <f>'CPU  1'!E104</f>
        <v>750</v>
      </c>
      <c r="F104" s="145"/>
      <c r="G104" s="142"/>
      <c r="H104" s="134">
        <f t="shared" si="19"/>
        <v>0</v>
      </c>
      <c r="I104" s="145"/>
      <c r="J104" s="142"/>
      <c r="K104" s="134">
        <f t="shared" si="20"/>
        <v>0</v>
      </c>
      <c r="L104" s="145"/>
      <c r="M104" s="142"/>
      <c r="N104" s="134">
        <f t="shared" si="21"/>
        <v>0</v>
      </c>
      <c r="O104" s="145"/>
      <c r="P104" s="142"/>
      <c r="Q104" s="134">
        <f t="shared" si="22"/>
        <v>0</v>
      </c>
      <c r="R104" s="145"/>
      <c r="S104" s="142"/>
      <c r="T104" s="134">
        <f t="shared" si="23"/>
        <v>0</v>
      </c>
      <c r="U104" s="145"/>
      <c r="V104" s="142"/>
      <c r="W104" s="134">
        <f t="shared" si="24"/>
        <v>0</v>
      </c>
      <c r="X104" s="152"/>
      <c r="Y104" s="159"/>
      <c r="Z104" s="160"/>
      <c r="AA104" s="137">
        <f t="shared" si="25"/>
        <v>0</v>
      </c>
      <c r="AB104" s="138" t="e">
        <f t="shared" si="26"/>
        <v>#DIV/0!</v>
      </c>
    </row>
    <row r="105" spans="2:28" s="109" customFormat="1" ht="36" customHeight="1" outlineLevel="1">
      <c r="B105" s="148" t="str">
        <f>'CPU  1'!B105</f>
        <v>M24</v>
      </c>
      <c r="C105" s="149" t="str">
        <f>'CPU  1'!C105</f>
        <v>Material de escritório (papel, tinta, grampos, pastas, ...)</v>
      </c>
      <c r="D105" s="150" t="str">
        <f>'CPU  1'!D105</f>
        <v>vb/mês</v>
      </c>
      <c r="E105" s="151">
        <f>'CPU  1'!E105</f>
        <v>300</v>
      </c>
      <c r="F105" s="145"/>
      <c r="G105" s="142"/>
      <c r="H105" s="134">
        <f t="shared" si="19"/>
        <v>0</v>
      </c>
      <c r="I105" s="145"/>
      <c r="J105" s="142"/>
      <c r="K105" s="134">
        <f t="shared" si="20"/>
        <v>0</v>
      </c>
      <c r="L105" s="145"/>
      <c r="M105" s="142"/>
      <c r="N105" s="134">
        <f t="shared" si="21"/>
        <v>0</v>
      </c>
      <c r="O105" s="145"/>
      <c r="P105" s="142"/>
      <c r="Q105" s="134">
        <f t="shared" si="22"/>
        <v>0</v>
      </c>
      <c r="R105" s="145"/>
      <c r="S105" s="142"/>
      <c r="T105" s="134">
        <f t="shared" si="23"/>
        <v>0</v>
      </c>
      <c r="U105" s="145"/>
      <c r="V105" s="142"/>
      <c r="W105" s="134">
        <f t="shared" si="24"/>
        <v>0</v>
      </c>
      <c r="X105" s="152"/>
      <c r="Y105" s="159"/>
      <c r="Z105" s="160"/>
      <c r="AA105" s="137">
        <f t="shared" si="25"/>
        <v>0</v>
      </c>
      <c r="AB105" s="138" t="e">
        <f t="shared" si="26"/>
        <v>#DIV/0!</v>
      </c>
    </row>
    <row r="106" spans="2:28" s="109" customFormat="1" ht="21.95" customHeight="1" outlineLevel="1">
      <c r="B106" s="148" t="str">
        <f>'CPU  1'!B106</f>
        <v>M25</v>
      </c>
      <c r="C106" s="149" t="str">
        <f>'CPU  1'!C106</f>
        <v>Material de sinalização</v>
      </c>
      <c r="D106" s="150" t="str">
        <f>'CPU  1'!D106</f>
        <v>und</v>
      </c>
      <c r="E106" s="151">
        <f>'CPU  1'!E106</f>
        <v>550</v>
      </c>
      <c r="F106" s="145"/>
      <c r="G106" s="142"/>
      <c r="H106" s="134">
        <f t="shared" si="19"/>
        <v>0</v>
      </c>
      <c r="I106" s="145"/>
      <c r="J106" s="142"/>
      <c r="K106" s="134">
        <f t="shared" si="20"/>
        <v>0</v>
      </c>
      <c r="L106" s="145"/>
      <c r="M106" s="142"/>
      <c r="N106" s="134">
        <f t="shared" si="21"/>
        <v>0</v>
      </c>
      <c r="O106" s="145"/>
      <c r="P106" s="142"/>
      <c r="Q106" s="134">
        <f t="shared" si="22"/>
        <v>0</v>
      </c>
      <c r="R106" s="145"/>
      <c r="S106" s="142"/>
      <c r="T106" s="134">
        <f t="shared" si="23"/>
        <v>0</v>
      </c>
      <c r="U106" s="145"/>
      <c r="V106" s="142"/>
      <c r="W106" s="134">
        <f t="shared" si="24"/>
        <v>0</v>
      </c>
      <c r="X106" s="152"/>
      <c r="Y106" s="159"/>
      <c r="Z106" s="160"/>
      <c r="AA106" s="137">
        <f t="shared" si="25"/>
        <v>0</v>
      </c>
      <c r="AB106" s="138" t="e">
        <f t="shared" si="26"/>
        <v>#DIV/0!</v>
      </c>
    </row>
    <row r="107" spans="2:28" s="109" customFormat="1" ht="21.95" customHeight="1" outlineLevel="1">
      <c r="B107" s="148" t="str">
        <f>'CPU  1'!B107</f>
        <v>M26</v>
      </c>
      <c r="C107" s="149" t="str">
        <f>'CPU  1'!C107</f>
        <v>Mourão tipo Y, 13 x 13 x 313cm fck 30mpa</v>
      </c>
      <c r="D107" s="150" t="str">
        <f>'CPU  1'!D107</f>
        <v>peça</v>
      </c>
      <c r="E107" s="151">
        <f>'CPU  1'!E107</f>
        <v>248.39999999999998</v>
      </c>
      <c r="F107" s="145"/>
      <c r="G107" s="142"/>
      <c r="H107" s="134">
        <f t="shared" si="19"/>
        <v>0</v>
      </c>
      <c r="I107" s="145"/>
      <c r="J107" s="142"/>
      <c r="K107" s="134">
        <f t="shared" si="20"/>
        <v>0</v>
      </c>
      <c r="L107" s="145"/>
      <c r="M107" s="142"/>
      <c r="N107" s="134">
        <f t="shared" si="21"/>
        <v>0</v>
      </c>
      <c r="O107" s="145"/>
      <c r="P107" s="142"/>
      <c r="Q107" s="134">
        <f t="shared" si="22"/>
        <v>0</v>
      </c>
      <c r="R107" s="145"/>
      <c r="S107" s="142"/>
      <c r="T107" s="134">
        <f t="shared" si="23"/>
        <v>0</v>
      </c>
      <c r="U107" s="145"/>
      <c r="V107" s="142"/>
      <c r="W107" s="134">
        <f t="shared" si="24"/>
        <v>0</v>
      </c>
      <c r="X107" s="152"/>
      <c r="Y107" s="159"/>
      <c r="Z107" s="160"/>
      <c r="AA107" s="137">
        <f t="shared" si="25"/>
        <v>0</v>
      </c>
      <c r="AB107" s="138" t="e">
        <f t="shared" si="26"/>
        <v>#DIV/0!</v>
      </c>
    </row>
    <row r="108" spans="2:28" s="109" customFormat="1" ht="21.95" customHeight="1" outlineLevel="1">
      <c r="B108" s="148" t="str">
        <f>'CPU  1'!B108</f>
        <v>M27</v>
      </c>
      <c r="C108" s="149" t="str">
        <f>'CPU  1'!C108</f>
        <v>Mourão em eucalipto 10cm x 273cm</v>
      </c>
      <c r="D108" s="150" t="str">
        <f>'CPU  1'!D108</f>
        <v>peça</v>
      </c>
      <c r="E108" s="151">
        <f>'CPU  1'!E108</f>
        <v>104.39999999999999</v>
      </c>
      <c r="F108" s="145"/>
      <c r="G108" s="142"/>
      <c r="H108" s="134">
        <f t="shared" si="19"/>
        <v>0</v>
      </c>
      <c r="I108" s="145"/>
      <c r="J108" s="142"/>
      <c r="K108" s="134">
        <f>J108*I108*$E108</f>
        <v>0</v>
      </c>
      <c r="L108" s="145"/>
      <c r="M108" s="142"/>
      <c r="N108" s="134">
        <f>M108*L108*$E108</f>
        <v>0</v>
      </c>
      <c r="O108" s="145"/>
      <c r="P108" s="142"/>
      <c r="Q108" s="134">
        <f t="shared" si="22"/>
        <v>0</v>
      </c>
      <c r="R108" s="145"/>
      <c r="S108" s="142"/>
      <c r="T108" s="134">
        <f t="shared" si="23"/>
        <v>0</v>
      </c>
      <c r="U108" s="145"/>
      <c r="V108" s="142"/>
      <c r="W108" s="134">
        <f t="shared" si="24"/>
        <v>0</v>
      </c>
      <c r="X108" s="152"/>
      <c r="Y108" s="159"/>
      <c r="Z108" s="160"/>
      <c r="AA108" s="137">
        <f t="shared" si="25"/>
        <v>0</v>
      </c>
      <c r="AB108" s="138" t="e">
        <f t="shared" si="26"/>
        <v>#DIV/0!</v>
      </c>
    </row>
    <row r="109" spans="2:28" s="109" customFormat="1" ht="36" customHeight="1" outlineLevel="1">
      <c r="B109" s="148" t="str">
        <f>'CPU  1'!B109</f>
        <v>M28</v>
      </c>
      <c r="C109" s="149" t="str">
        <f>'CPU  1'!C109</f>
        <v>Painel tipo gradil morla 2,03 x 2,5m, fio 5,10mm revestido</v>
      </c>
      <c r="D109" s="150" t="str">
        <f>'CPU  1'!D109</f>
        <v>peça</v>
      </c>
      <c r="E109" s="151">
        <f>'CPU  1'!E109</f>
        <v>780</v>
      </c>
      <c r="F109" s="145"/>
      <c r="G109" s="142"/>
      <c r="H109" s="134">
        <f t="shared" si="19"/>
        <v>0</v>
      </c>
      <c r="I109" s="145"/>
      <c r="J109" s="142"/>
      <c r="K109" s="134">
        <f t="shared" si="20"/>
        <v>0</v>
      </c>
      <c r="L109" s="145"/>
      <c r="M109" s="142"/>
      <c r="N109" s="134">
        <f t="shared" si="21"/>
        <v>0</v>
      </c>
      <c r="O109" s="145"/>
      <c r="P109" s="142"/>
      <c r="Q109" s="134">
        <f t="shared" si="22"/>
        <v>0</v>
      </c>
      <c r="R109" s="145"/>
      <c r="S109" s="142"/>
      <c r="T109" s="134">
        <f t="shared" si="23"/>
        <v>0</v>
      </c>
      <c r="U109" s="145"/>
      <c r="V109" s="142"/>
      <c r="W109" s="134">
        <f t="shared" si="24"/>
        <v>0</v>
      </c>
      <c r="X109" s="152"/>
      <c r="Y109" s="159"/>
      <c r="Z109" s="160"/>
      <c r="AA109" s="137">
        <f t="shared" si="25"/>
        <v>0</v>
      </c>
      <c r="AB109" s="138" t="e">
        <f t="shared" si="26"/>
        <v>#DIV/0!</v>
      </c>
    </row>
    <row r="110" spans="2:28" s="109" customFormat="1" ht="36" customHeight="1" outlineLevel="1">
      <c r="B110" s="148" t="str">
        <f>'CPU  1'!B110</f>
        <v>M29</v>
      </c>
      <c r="C110" s="149" t="str">
        <f>'CPU  1'!C110</f>
        <v>Painel, tomadas, lampadas, dijuntores, cabos</v>
      </c>
      <c r="D110" s="150" t="str">
        <f>'CPU  1'!D110</f>
        <v>vb</v>
      </c>
      <c r="E110" s="151">
        <f>'CPU  1'!E110</f>
        <v>5000</v>
      </c>
      <c r="F110" s="145"/>
      <c r="G110" s="142"/>
      <c r="H110" s="134">
        <f t="shared" si="19"/>
        <v>0</v>
      </c>
      <c r="I110" s="145"/>
      <c r="J110" s="142"/>
      <c r="K110" s="134">
        <f t="shared" si="20"/>
        <v>0</v>
      </c>
      <c r="L110" s="145"/>
      <c r="M110" s="142"/>
      <c r="N110" s="134">
        <f t="shared" si="21"/>
        <v>0</v>
      </c>
      <c r="O110" s="145"/>
      <c r="P110" s="142"/>
      <c r="Q110" s="134">
        <f t="shared" si="22"/>
        <v>0</v>
      </c>
      <c r="R110" s="145"/>
      <c r="S110" s="142"/>
      <c r="T110" s="134">
        <f t="shared" si="23"/>
        <v>0</v>
      </c>
      <c r="U110" s="145"/>
      <c r="V110" s="142"/>
      <c r="W110" s="134">
        <f t="shared" si="24"/>
        <v>0</v>
      </c>
      <c r="X110" s="152"/>
      <c r="Y110" s="159"/>
      <c r="Z110" s="160"/>
      <c r="AA110" s="137">
        <f t="shared" si="25"/>
        <v>0</v>
      </c>
      <c r="AB110" s="138" t="e">
        <f t="shared" si="26"/>
        <v>#DIV/0!</v>
      </c>
    </row>
    <row r="111" spans="2:28" s="109" customFormat="1" ht="21.95" customHeight="1" outlineLevel="1">
      <c r="B111" s="148" t="str">
        <f>'CPU  1'!B111</f>
        <v>M30</v>
      </c>
      <c r="C111" s="149" t="str">
        <f>'CPU  1'!C111</f>
        <v>Placa de obra</v>
      </c>
      <c r="D111" s="150" t="str">
        <f>'CPU  1'!D111</f>
        <v>vb</v>
      </c>
      <c r="E111" s="151">
        <f>'CPU  1'!E111</f>
        <v>2000</v>
      </c>
      <c r="F111" s="145"/>
      <c r="G111" s="142"/>
      <c r="H111" s="134">
        <f t="shared" si="19"/>
        <v>0</v>
      </c>
      <c r="I111" s="145"/>
      <c r="J111" s="142"/>
      <c r="K111" s="134">
        <f t="shared" ref="K111:K128" si="27">J111*I111*$E111</f>
        <v>0</v>
      </c>
      <c r="L111" s="145"/>
      <c r="M111" s="142"/>
      <c r="N111" s="134">
        <f t="shared" ref="N111:N128" si="28">M111*L111*$E111</f>
        <v>0</v>
      </c>
      <c r="O111" s="145"/>
      <c r="P111" s="142"/>
      <c r="Q111" s="134">
        <f t="shared" si="22"/>
        <v>0</v>
      </c>
      <c r="R111" s="145"/>
      <c r="S111" s="142"/>
      <c r="T111" s="134">
        <f t="shared" si="23"/>
        <v>0</v>
      </c>
      <c r="U111" s="145"/>
      <c r="V111" s="142"/>
      <c r="W111" s="134">
        <f t="shared" si="24"/>
        <v>0</v>
      </c>
      <c r="X111" s="152"/>
      <c r="Y111" s="159"/>
      <c r="Z111" s="160"/>
      <c r="AA111" s="137">
        <f t="shared" si="25"/>
        <v>0</v>
      </c>
      <c r="AB111" s="138" t="e">
        <f t="shared" si="26"/>
        <v>#DIV/0!</v>
      </c>
    </row>
    <row r="112" spans="2:28" s="109" customFormat="1" ht="21.95" customHeight="1" outlineLevel="1">
      <c r="B112" s="148" t="str">
        <f>'CPU  1'!B112</f>
        <v>M31</v>
      </c>
      <c r="C112" s="149" t="str">
        <f>'CPU  1'!C112</f>
        <v>Prego</v>
      </c>
      <c r="D112" s="150" t="str">
        <f>'CPU  1'!D112</f>
        <v>kg</v>
      </c>
      <c r="E112" s="151">
        <f>'CPU  1'!E112</f>
        <v>25</v>
      </c>
      <c r="F112" s="145"/>
      <c r="G112" s="142"/>
      <c r="H112" s="134">
        <f t="shared" si="19"/>
        <v>0</v>
      </c>
      <c r="I112" s="145"/>
      <c r="J112" s="142"/>
      <c r="K112" s="134">
        <f t="shared" si="27"/>
        <v>0</v>
      </c>
      <c r="L112" s="145"/>
      <c r="M112" s="142"/>
      <c r="N112" s="134">
        <f t="shared" si="28"/>
        <v>0</v>
      </c>
      <c r="O112" s="145"/>
      <c r="P112" s="142"/>
      <c r="Q112" s="134">
        <f t="shared" si="22"/>
        <v>0</v>
      </c>
      <c r="R112" s="145"/>
      <c r="S112" s="142"/>
      <c r="T112" s="134">
        <f t="shared" si="23"/>
        <v>0</v>
      </c>
      <c r="U112" s="145"/>
      <c r="V112" s="142"/>
      <c r="W112" s="134">
        <f t="shared" si="24"/>
        <v>0</v>
      </c>
      <c r="X112" s="152"/>
      <c r="Y112" s="159"/>
      <c r="Z112" s="160"/>
      <c r="AA112" s="137">
        <f t="shared" si="25"/>
        <v>0</v>
      </c>
      <c r="AB112" s="138" t="e">
        <f t="shared" si="26"/>
        <v>#DIV/0!</v>
      </c>
    </row>
    <row r="113" spans="2:28" s="109" customFormat="1" ht="36" customHeight="1" outlineLevel="1">
      <c r="B113" s="148" t="str">
        <f>'CPU  1'!B113</f>
        <v>M32</v>
      </c>
      <c r="C113" s="149" t="str">
        <f>'CPU  1'!C113</f>
        <v>Sistema de fixação das telas (parafuso, porcas, arruelas, chapas), galvanizados</v>
      </c>
      <c r="D113" s="150" t="str">
        <f>'CPU  1'!D113</f>
        <v>conjunto</v>
      </c>
      <c r="E113" s="151">
        <f>'CPU  1'!E113</f>
        <v>65</v>
      </c>
      <c r="F113" s="145"/>
      <c r="G113" s="142"/>
      <c r="H113" s="134">
        <f t="shared" si="19"/>
        <v>0</v>
      </c>
      <c r="I113" s="145"/>
      <c r="J113" s="142"/>
      <c r="K113" s="134">
        <f t="shared" si="27"/>
        <v>0</v>
      </c>
      <c r="L113" s="145"/>
      <c r="M113" s="142"/>
      <c r="N113" s="134">
        <f t="shared" si="28"/>
        <v>0</v>
      </c>
      <c r="O113" s="145"/>
      <c r="P113" s="142"/>
      <c r="Q113" s="134">
        <f t="shared" si="22"/>
        <v>0</v>
      </c>
      <c r="R113" s="145"/>
      <c r="S113" s="142"/>
      <c r="T113" s="134">
        <f t="shared" si="23"/>
        <v>0</v>
      </c>
      <c r="U113" s="145"/>
      <c r="V113" s="142"/>
      <c r="W113" s="134">
        <f t="shared" si="24"/>
        <v>0</v>
      </c>
      <c r="X113" s="152"/>
      <c r="Y113" s="159"/>
      <c r="Z113" s="160"/>
      <c r="AA113" s="137">
        <f t="shared" si="25"/>
        <v>0</v>
      </c>
      <c r="AB113" s="138" t="e">
        <f t="shared" si="26"/>
        <v>#DIV/0!</v>
      </c>
    </row>
    <row r="114" spans="2:28" s="109" customFormat="1" ht="21.95" customHeight="1" outlineLevel="1">
      <c r="B114" s="148" t="str">
        <f>'CPU  1'!B114</f>
        <v>M33</v>
      </c>
      <c r="C114" s="149" t="str">
        <f>'CPU  1'!C114</f>
        <v>Materiais topográficos</v>
      </c>
      <c r="D114" s="150" t="str">
        <f>'CPU  1'!D114</f>
        <v>vb/mês</v>
      </c>
      <c r="E114" s="151">
        <f>'CPU  1'!E114</f>
        <v>200</v>
      </c>
      <c r="F114" s="145"/>
      <c r="G114" s="142"/>
      <c r="H114" s="134">
        <f t="shared" si="19"/>
        <v>0</v>
      </c>
      <c r="I114" s="145"/>
      <c r="J114" s="142"/>
      <c r="K114" s="134">
        <f t="shared" si="27"/>
        <v>0</v>
      </c>
      <c r="L114" s="145"/>
      <c r="M114" s="142"/>
      <c r="N114" s="134">
        <f t="shared" si="28"/>
        <v>0</v>
      </c>
      <c r="O114" s="145"/>
      <c r="P114" s="142"/>
      <c r="Q114" s="134">
        <f t="shared" si="22"/>
        <v>0</v>
      </c>
      <c r="R114" s="145"/>
      <c r="S114" s="142"/>
      <c r="T114" s="134">
        <f t="shared" si="23"/>
        <v>0</v>
      </c>
      <c r="U114" s="145"/>
      <c r="V114" s="142"/>
      <c r="W114" s="134">
        <f t="shared" si="24"/>
        <v>0</v>
      </c>
      <c r="X114" s="152"/>
      <c r="Y114" s="159"/>
      <c r="Z114" s="160"/>
      <c r="AA114" s="137">
        <f t="shared" si="25"/>
        <v>0</v>
      </c>
      <c r="AB114" s="138" t="e">
        <f t="shared" si="26"/>
        <v>#DIV/0!</v>
      </c>
    </row>
    <row r="115" spans="2:28" s="109" customFormat="1" ht="21.95" customHeight="1" outlineLevel="1">
      <c r="B115" s="148" t="str">
        <f>'CPU  1'!B115</f>
        <v>M34</v>
      </c>
      <c r="C115" s="149" t="str">
        <f>'CPU  1'!C115</f>
        <v>Tela ondulada em aço galvanizado 0,65mx1m</v>
      </c>
      <c r="D115" s="150" t="str">
        <f>'CPU  1'!D115</f>
        <v>m</v>
      </c>
      <c r="E115" s="151">
        <f>'CPU  1'!E115</f>
        <v>115.19999999999999</v>
      </c>
      <c r="F115" s="145"/>
      <c r="G115" s="142"/>
      <c r="H115" s="134">
        <f t="shared" si="19"/>
        <v>0</v>
      </c>
      <c r="I115" s="145"/>
      <c r="J115" s="142"/>
      <c r="K115" s="134">
        <f t="shared" si="27"/>
        <v>0</v>
      </c>
      <c r="L115" s="145"/>
      <c r="M115" s="142"/>
      <c r="N115" s="134">
        <f t="shared" si="28"/>
        <v>0</v>
      </c>
      <c r="O115" s="145"/>
      <c r="P115" s="142"/>
      <c r="Q115" s="134">
        <f t="shared" si="22"/>
        <v>0</v>
      </c>
      <c r="R115" s="145"/>
      <c r="S115" s="142"/>
      <c r="T115" s="134">
        <f t="shared" si="23"/>
        <v>0</v>
      </c>
      <c r="U115" s="145"/>
      <c r="V115" s="142"/>
      <c r="W115" s="134">
        <f t="shared" si="24"/>
        <v>0</v>
      </c>
      <c r="X115" s="152"/>
      <c r="Y115" s="159"/>
      <c r="Z115" s="160"/>
      <c r="AA115" s="137">
        <f t="shared" si="25"/>
        <v>0</v>
      </c>
      <c r="AB115" s="138" t="e">
        <f t="shared" ref="AB115:AB131" si="29">AA115/$AA$162</f>
        <v>#DIV/0!</v>
      </c>
    </row>
    <row r="116" spans="2:28" s="109" customFormat="1" ht="21.95" customHeight="1" outlineLevel="1">
      <c r="B116" s="148" t="str">
        <f>'CPU  1'!B116</f>
        <v>M35</v>
      </c>
      <c r="C116" s="149" t="str">
        <f>'CPU  1'!C116</f>
        <v>Cabo 50mm²</v>
      </c>
      <c r="D116" s="150" t="str">
        <f>'CPU  1'!D116</f>
        <v>m</v>
      </c>
      <c r="E116" s="151">
        <f>'CPU  1'!E116</f>
        <v>42</v>
      </c>
      <c r="F116" s="145"/>
      <c r="G116" s="142"/>
      <c r="H116" s="134">
        <f t="shared" si="19"/>
        <v>0</v>
      </c>
      <c r="I116" s="145"/>
      <c r="J116" s="142"/>
      <c r="K116" s="134">
        <f t="shared" si="27"/>
        <v>0</v>
      </c>
      <c r="L116" s="145"/>
      <c r="M116" s="142"/>
      <c r="N116" s="134">
        <f t="shared" si="28"/>
        <v>0</v>
      </c>
      <c r="O116" s="145"/>
      <c r="P116" s="142"/>
      <c r="Q116" s="134">
        <f t="shared" si="22"/>
        <v>0</v>
      </c>
      <c r="R116" s="145"/>
      <c r="S116" s="142"/>
      <c r="T116" s="134">
        <f t="shared" si="23"/>
        <v>0</v>
      </c>
      <c r="U116" s="145"/>
      <c r="V116" s="142"/>
      <c r="W116" s="134">
        <f t="shared" si="24"/>
        <v>0</v>
      </c>
      <c r="X116" s="152"/>
      <c r="Y116" s="159"/>
      <c r="Z116" s="160"/>
      <c r="AA116" s="137">
        <f t="shared" si="25"/>
        <v>0</v>
      </c>
      <c r="AB116" s="138" t="e">
        <f t="shared" si="29"/>
        <v>#DIV/0!</v>
      </c>
    </row>
    <row r="117" spans="2:28" s="109" customFormat="1" ht="21.95" customHeight="1" outlineLevel="1">
      <c r="B117" s="148" t="str">
        <f>'CPU  1'!B117</f>
        <v>M36</v>
      </c>
      <c r="C117" s="149" t="str">
        <f>'CPU  1'!C117</f>
        <v>Haste de aterramento</v>
      </c>
      <c r="D117" s="150" t="str">
        <f>'CPU  1'!D117</f>
        <v>pç</v>
      </c>
      <c r="E117" s="151">
        <f>'CPU  1'!E117</f>
        <v>192</v>
      </c>
      <c r="F117" s="145"/>
      <c r="G117" s="142"/>
      <c r="H117" s="134">
        <f t="shared" si="19"/>
        <v>0</v>
      </c>
      <c r="I117" s="145"/>
      <c r="J117" s="142"/>
      <c r="K117" s="134">
        <f t="shared" si="27"/>
        <v>0</v>
      </c>
      <c r="L117" s="145"/>
      <c r="M117" s="142"/>
      <c r="N117" s="134">
        <f t="shared" si="28"/>
        <v>0</v>
      </c>
      <c r="O117" s="145"/>
      <c r="P117" s="142"/>
      <c r="Q117" s="134">
        <f t="shared" si="22"/>
        <v>0</v>
      </c>
      <c r="R117" s="145"/>
      <c r="S117" s="142"/>
      <c r="T117" s="134">
        <f t="shared" si="23"/>
        <v>0</v>
      </c>
      <c r="U117" s="145"/>
      <c r="V117" s="142"/>
      <c r="W117" s="134">
        <f t="shared" si="24"/>
        <v>0</v>
      </c>
      <c r="X117" s="152"/>
      <c r="Y117" s="159"/>
      <c r="Z117" s="160"/>
      <c r="AA117" s="137">
        <f t="shared" si="25"/>
        <v>0</v>
      </c>
      <c r="AB117" s="138" t="e">
        <f t="shared" si="29"/>
        <v>#DIV/0!</v>
      </c>
    </row>
    <row r="118" spans="2:28" s="109" customFormat="1" ht="21.95" customHeight="1" outlineLevel="1">
      <c r="B118" s="148" t="str">
        <f>'CPU  1'!B118</f>
        <v>M37</v>
      </c>
      <c r="C118" s="149" t="str">
        <f>'CPU  1'!C118</f>
        <v>Grampos de aterramento</v>
      </c>
      <c r="D118" s="150" t="str">
        <f>'CPU  1'!D118</f>
        <v>pç</v>
      </c>
      <c r="E118" s="151">
        <f>'CPU  1'!E118</f>
        <v>19.8</v>
      </c>
      <c r="F118" s="145"/>
      <c r="G118" s="142"/>
      <c r="H118" s="134">
        <f t="shared" si="19"/>
        <v>0</v>
      </c>
      <c r="I118" s="145"/>
      <c r="J118" s="142"/>
      <c r="K118" s="134">
        <f t="shared" si="27"/>
        <v>0</v>
      </c>
      <c r="L118" s="145"/>
      <c r="M118" s="142"/>
      <c r="N118" s="134">
        <f t="shared" si="28"/>
        <v>0</v>
      </c>
      <c r="O118" s="145"/>
      <c r="P118" s="142"/>
      <c r="Q118" s="134">
        <f t="shared" si="22"/>
        <v>0</v>
      </c>
      <c r="R118" s="145"/>
      <c r="S118" s="142"/>
      <c r="T118" s="134">
        <f t="shared" si="23"/>
        <v>0</v>
      </c>
      <c r="U118" s="145"/>
      <c r="V118" s="142"/>
      <c r="W118" s="134">
        <f t="shared" si="24"/>
        <v>0</v>
      </c>
      <c r="X118" s="152"/>
      <c r="Y118" s="159"/>
      <c r="Z118" s="160"/>
      <c r="AA118" s="137">
        <f t="shared" si="25"/>
        <v>0</v>
      </c>
      <c r="AB118" s="138" t="e">
        <f t="shared" si="29"/>
        <v>#DIV/0!</v>
      </c>
    </row>
    <row r="119" spans="2:28" s="109" customFormat="1" ht="21.95" customHeight="1" outlineLevel="1">
      <c r="B119" s="148" t="str">
        <f>'CPU  1'!B119</f>
        <v>M38</v>
      </c>
      <c r="C119" s="149" t="str">
        <f>'CPU  1'!C119</f>
        <v>Conector split bolt 50mm</v>
      </c>
      <c r="D119" s="150" t="str">
        <f>'CPU  1'!D119</f>
        <v>pç</v>
      </c>
      <c r="E119" s="151">
        <f>'CPU  1'!E119</f>
        <v>14.399999999999999</v>
      </c>
      <c r="F119" s="145"/>
      <c r="G119" s="142"/>
      <c r="H119" s="134">
        <f t="shared" si="19"/>
        <v>0</v>
      </c>
      <c r="I119" s="145"/>
      <c r="J119" s="142"/>
      <c r="K119" s="134">
        <f t="shared" si="27"/>
        <v>0</v>
      </c>
      <c r="L119" s="145"/>
      <c r="M119" s="142"/>
      <c r="N119" s="134">
        <f t="shared" si="28"/>
        <v>0</v>
      </c>
      <c r="O119" s="145"/>
      <c r="P119" s="142"/>
      <c r="Q119" s="134">
        <f t="shared" si="22"/>
        <v>0</v>
      </c>
      <c r="R119" s="145"/>
      <c r="S119" s="142"/>
      <c r="T119" s="134">
        <f t="shared" si="23"/>
        <v>0</v>
      </c>
      <c r="U119" s="145"/>
      <c r="V119" s="142"/>
      <c r="W119" s="134">
        <f t="shared" si="24"/>
        <v>0</v>
      </c>
      <c r="X119" s="152"/>
      <c r="Y119" s="159"/>
      <c r="Z119" s="160"/>
      <c r="AA119" s="137">
        <f t="shared" si="25"/>
        <v>0</v>
      </c>
      <c r="AB119" s="138" t="e">
        <f t="shared" si="29"/>
        <v>#DIV/0!</v>
      </c>
    </row>
    <row r="120" spans="2:28" s="109" customFormat="1" ht="21.95" customHeight="1" outlineLevel="1">
      <c r="B120" s="148" t="str">
        <f>'CPU  1'!B120</f>
        <v>M39</v>
      </c>
      <c r="C120" s="149" t="str">
        <f>'CPU  1'!C120</f>
        <v>Chapa de base da cantoneira 1/8"</v>
      </c>
      <c r="D120" s="150" t="str">
        <f>'CPU  1'!D120</f>
        <v>kg</v>
      </c>
      <c r="E120" s="151">
        <f>'CPU  1'!E120</f>
        <v>18</v>
      </c>
      <c r="F120" s="145"/>
      <c r="G120" s="142"/>
      <c r="H120" s="134">
        <f t="shared" si="19"/>
        <v>0</v>
      </c>
      <c r="I120" s="145"/>
      <c r="J120" s="142"/>
      <c r="K120" s="134">
        <f t="shared" si="27"/>
        <v>0</v>
      </c>
      <c r="L120" s="145"/>
      <c r="M120" s="142"/>
      <c r="N120" s="134">
        <f t="shared" si="28"/>
        <v>0</v>
      </c>
      <c r="O120" s="145"/>
      <c r="P120" s="142"/>
      <c r="Q120" s="134">
        <f t="shared" si="22"/>
        <v>0</v>
      </c>
      <c r="R120" s="145"/>
      <c r="S120" s="142"/>
      <c r="T120" s="134">
        <f t="shared" si="23"/>
        <v>0</v>
      </c>
      <c r="U120" s="145"/>
      <c r="V120" s="142"/>
      <c r="W120" s="134">
        <f t="shared" si="24"/>
        <v>0</v>
      </c>
      <c r="X120" s="152"/>
      <c r="Y120" s="159"/>
      <c r="Z120" s="160"/>
      <c r="AA120" s="137">
        <f t="shared" si="25"/>
        <v>0</v>
      </c>
      <c r="AB120" s="138" t="e">
        <f t="shared" si="29"/>
        <v>#DIV/0!</v>
      </c>
    </row>
    <row r="121" spans="2:28" s="109" customFormat="1" ht="21.95" customHeight="1" outlineLevel="1">
      <c r="B121" s="148" t="str">
        <f>'CPU  1'!B121</f>
        <v>M40</v>
      </c>
      <c r="C121" s="149" t="str">
        <f>'CPU  1'!C121</f>
        <v>Parafuso 10mm</v>
      </c>
      <c r="D121" s="150" t="str">
        <f>'CPU  1'!D121</f>
        <v>pç</v>
      </c>
      <c r="E121" s="151">
        <f>'CPU  1'!E121</f>
        <v>1.7999999999999998</v>
      </c>
      <c r="F121" s="145"/>
      <c r="G121" s="142"/>
      <c r="H121" s="134">
        <f t="shared" si="19"/>
        <v>0</v>
      </c>
      <c r="I121" s="145"/>
      <c r="J121" s="142"/>
      <c r="K121" s="134">
        <f t="shared" si="27"/>
        <v>0</v>
      </c>
      <c r="L121" s="145"/>
      <c r="M121" s="142"/>
      <c r="N121" s="134">
        <f t="shared" si="28"/>
        <v>0</v>
      </c>
      <c r="O121" s="145"/>
      <c r="P121" s="142"/>
      <c r="Q121" s="134">
        <f t="shared" si="22"/>
        <v>0</v>
      </c>
      <c r="R121" s="145"/>
      <c r="S121" s="142"/>
      <c r="T121" s="134">
        <f t="shared" si="23"/>
        <v>0</v>
      </c>
      <c r="U121" s="145"/>
      <c r="V121" s="142"/>
      <c r="W121" s="134">
        <f t="shared" si="24"/>
        <v>0</v>
      </c>
      <c r="X121" s="152"/>
      <c r="Y121" s="159"/>
      <c r="Z121" s="160"/>
      <c r="AA121" s="137">
        <f t="shared" si="25"/>
        <v>0</v>
      </c>
      <c r="AB121" s="138" t="e">
        <f t="shared" si="29"/>
        <v>#DIV/0!</v>
      </c>
    </row>
    <row r="122" spans="2:28" s="109" customFormat="1" ht="21.95" customHeight="1" outlineLevel="1">
      <c r="B122" s="148" t="str">
        <f>'CPU  1'!B122</f>
        <v>M41</v>
      </c>
      <c r="C122" s="149">
        <f>'CPU  1'!C122</f>
        <v>0</v>
      </c>
      <c r="D122" s="150">
        <f>'CPU  1'!D122</f>
        <v>0</v>
      </c>
      <c r="E122" s="151">
        <f>'CPU  1'!E122</f>
        <v>0</v>
      </c>
      <c r="F122" s="145"/>
      <c r="G122" s="142"/>
      <c r="H122" s="134">
        <f t="shared" si="19"/>
        <v>0</v>
      </c>
      <c r="I122" s="145"/>
      <c r="J122" s="142"/>
      <c r="K122" s="134">
        <f t="shared" si="27"/>
        <v>0</v>
      </c>
      <c r="L122" s="145"/>
      <c r="M122" s="142"/>
      <c r="N122" s="134">
        <f t="shared" si="28"/>
        <v>0</v>
      </c>
      <c r="O122" s="145"/>
      <c r="P122" s="142"/>
      <c r="Q122" s="134">
        <f t="shared" si="22"/>
        <v>0</v>
      </c>
      <c r="R122" s="145"/>
      <c r="S122" s="142"/>
      <c r="T122" s="134">
        <f t="shared" si="23"/>
        <v>0</v>
      </c>
      <c r="U122" s="145"/>
      <c r="V122" s="142"/>
      <c r="W122" s="134">
        <f t="shared" si="24"/>
        <v>0</v>
      </c>
      <c r="X122" s="152"/>
      <c r="Y122" s="159"/>
      <c r="Z122" s="160"/>
      <c r="AA122" s="137">
        <f t="shared" si="25"/>
        <v>0</v>
      </c>
      <c r="AB122" s="138" t="e">
        <f t="shared" si="29"/>
        <v>#DIV/0!</v>
      </c>
    </row>
    <row r="123" spans="2:28" s="109" customFormat="1" ht="21.95" customHeight="1" outlineLevel="1">
      <c r="B123" s="148" t="str">
        <f>'CPU  1'!B123</f>
        <v>M42</v>
      </c>
      <c r="C123" s="149">
        <f>'CPU  1'!C123</f>
        <v>0</v>
      </c>
      <c r="D123" s="150">
        <f>'CPU  1'!D123</f>
        <v>0</v>
      </c>
      <c r="E123" s="151">
        <f>'CPU  1'!E123</f>
        <v>0</v>
      </c>
      <c r="F123" s="145"/>
      <c r="G123" s="142"/>
      <c r="H123" s="134">
        <f t="shared" si="19"/>
        <v>0</v>
      </c>
      <c r="I123" s="145"/>
      <c r="J123" s="142"/>
      <c r="K123" s="134">
        <f t="shared" si="27"/>
        <v>0</v>
      </c>
      <c r="L123" s="145"/>
      <c r="M123" s="142"/>
      <c r="N123" s="134">
        <f t="shared" si="28"/>
        <v>0</v>
      </c>
      <c r="O123" s="145"/>
      <c r="P123" s="142"/>
      <c r="Q123" s="134">
        <f t="shared" si="22"/>
        <v>0</v>
      </c>
      <c r="R123" s="145"/>
      <c r="S123" s="142"/>
      <c r="T123" s="134">
        <f t="shared" si="23"/>
        <v>0</v>
      </c>
      <c r="U123" s="145"/>
      <c r="V123" s="142"/>
      <c r="W123" s="134">
        <f t="shared" si="24"/>
        <v>0</v>
      </c>
      <c r="X123" s="152"/>
      <c r="Y123" s="159"/>
      <c r="Z123" s="160"/>
      <c r="AA123" s="137">
        <f t="shared" si="25"/>
        <v>0</v>
      </c>
      <c r="AB123" s="138" t="e">
        <f t="shared" si="29"/>
        <v>#DIV/0!</v>
      </c>
    </row>
    <row r="124" spans="2:28" s="109" customFormat="1" ht="21.95" customHeight="1" outlineLevel="1">
      <c r="B124" s="148" t="str">
        <f>'CPU  1'!B124</f>
        <v>M43</v>
      </c>
      <c r="C124" s="149">
        <f>'CPU  1'!C124</f>
        <v>0</v>
      </c>
      <c r="D124" s="150">
        <f>'CPU  1'!D124</f>
        <v>0</v>
      </c>
      <c r="E124" s="151">
        <f>'CPU  1'!E124</f>
        <v>0</v>
      </c>
      <c r="F124" s="145"/>
      <c r="G124" s="142"/>
      <c r="H124" s="134">
        <f t="shared" si="19"/>
        <v>0</v>
      </c>
      <c r="I124" s="145"/>
      <c r="J124" s="142"/>
      <c r="K124" s="134">
        <f t="shared" si="27"/>
        <v>0</v>
      </c>
      <c r="L124" s="145"/>
      <c r="M124" s="142"/>
      <c r="N124" s="134">
        <f t="shared" si="28"/>
        <v>0</v>
      </c>
      <c r="O124" s="145"/>
      <c r="P124" s="142"/>
      <c r="Q124" s="134">
        <f t="shared" si="22"/>
        <v>0</v>
      </c>
      <c r="R124" s="145"/>
      <c r="S124" s="142"/>
      <c r="T124" s="134">
        <f t="shared" si="23"/>
        <v>0</v>
      </c>
      <c r="U124" s="145"/>
      <c r="V124" s="142"/>
      <c r="W124" s="134">
        <f t="shared" si="24"/>
        <v>0</v>
      </c>
      <c r="X124" s="152"/>
      <c r="Y124" s="159"/>
      <c r="Z124" s="160"/>
      <c r="AA124" s="137">
        <f t="shared" si="25"/>
        <v>0</v>
      </c>
      <c r="AB124" s="138" t="e">
        <f t="shared" si="29"/>
        <v>#DIV/0!</v>
      </c>
    </row>
    <row r="125" spans="2:28" s="109" customFormat="1" ht="21.95" customHeight="1" outlineLevel="1">
      <c r="B125" s="148" t="str">
        <f>'CPU  1'!B125</f>
        <v>M44</v>
      </c>
      <c r="C125" s="149">
        <f>'CPU  1'!C125</f>
        <v>0</v>
      </c>
      <c r="D125" s="150">
        <f>'CPU  1'!D125</f>
        <v>0</v>
      </c>
      <c r="E125" s="151">
        <f>'CPU  1'!E125</f>
        <v>0</v>
      </c>
      <c r="F125" s="145"/>
      <c r="G125" s="142"/>
      <c r="H125" s="134">
        <f t="shared" si="19"/>
        <v>0</v>
      </c>
      <c r="I125" s="145"/>
      <c r="J125" s="142"/>
      <c r="K125" s="134">
        <f t="shared" si="27"/>
        <v>0</v>
      </c>
      <c r="L125" s="145"/>
      <c r="M125" s="142"/>
      <c r="N125" s="134">
        <f t="shared" si="28"/>
        <v>0</v>
      </c>
      <c r="O125" s="145"/>
      <c r="P125" s="142"/>
      <c r="Q125" s="134">
        <f t="shared" si="22"/>
        <v>0</v>
      </c>
      <c r="R125" s="145"/>
      <c r="S125" s="142"/>
      <c r="T125" s="134">
        <f t="shared" si="23"/>
        <v>0</v>
      </c>
      <c r="U125" s="145"/>
      <c r="V125" s="142"/>
      <c r="W125" s="134">
        <f t="shared" si="24"/>
        <v>0</v>
      </c>
      <c r="X125" s="152"/>
      <c r="Y125" s="159"/>
      <c r="Z125" s="160"/>
      <c r="AA125" s="137">
        <f t="shared" si="25"/>
        <v>0</v>
      </c>
      <c r="AB125" s="138" t="e">
        <f t="shared" si="29"/>
        <v>#DIV/0!</v>
      </c>
    </row>
    <row r="126" spans="2:28" s="109" customFormat="1" ht="21.95" customHeight="1" outlineLevel="1">
      <c r="B126" s="148" t="str">
        <f>'CPU  1'!B126</f>
        <v>M45</v>
      </c>
      <c r="C126" s="149">
        <f>'CPU  1'!C126</f>
        <v>0</v>
      </c>
      <c r="D126" s="150">
        <f>'CPU  1'!D126</f>
        <v>0</v>
      </c>
      <c r="E126" s="151">
        <f>'CPU  1'!E126</f>
        <v>0</v>
      </c>
      <c r="F126" s="145"/>
      <c r="G126" s="142"/>
      <c r="H126" s="134">
        <f t="shared" si="19"/>
        <v>0</v>
      </c>
      <c r="I126" s="145"/>
      <c r="J126" s="142"/>
      <c r="K126" s="134">
        <f t="shared" si="27"/>
        <v>0</v>
      </c>
      <c r="L126" s="145"/>
      <c r="M126" s="142"/>
      <c r="N126" s="134">
        <f t="shared" si="28"/>
        <v>0</v>
      </c>
      <c r="O126" s="145"/>
      <c r="P126" s="142"/>
      <c r="Q126" s="134">
        <f t="shared" si="22"/>
        <v>0</v>
      </c>
      <c r="R126" s="145"/>
      <c r="S126" s="142"/>
      <c r="T126" s="134">
        <f t="shared" si="23"/>
        <v>0</v>
      </c>
      <c r="U126" s="145"/>
      <c r="V126" s="142"/>
      <c r="W126" s="134">
        <f t="shared" si="24"/>
        <v>0</v>
      </c>
      <c r="X126" s="152"/>
      <c r="Y126" s="159"/>
      <c r="Z126" s="160"/>
      <c r="AA126" s="137">
        <f t="shared" si="25"/>
        <v>0</v>
      </c>
      <c r="AB126" s="138" t="e">
        <f t="shared" si="29"/>
        <v>#DIV/0!</v>
      </c>
    </row>
    <row r="127" spans="2:28" s="109" customFormat="1" ht="21.95" customHeight="1" outlineLevel="1">
      <c r="B127" s="148" t="str">
        <f>'CPU  1'!B127</f>
        <v>M46</v>
      </c>
      <c r="C127" s="149">
        <f>'CPU  1'!C127</f>
        <v>0</v>
      </c>
      <c r="D127" s="150">
        <f>'CPU  1'!D127</f>
        <v>0</v>
      </c>
      <c r="E127" s="151">
        <f>'CPU  1'!E127</f>
        <v>0</v>
      </c>
      <c r="F127" s="145"/>
      <c r="G127" s="142"/>
      <c r="H127" s="134">
        <f t="shared" si="19"/>
        <v>0</v>
      </c>
      <c r="I127" s="145"/>
      <c r="J127" s="142"/>
      <c r="K127" s="134">
        <f t="shared" si="27"/>
        <v>0</v>
      </c>
      <c r="L127" s="145"/>
      <c r="M127" s="142"/>
      <c r="N127" s="134">
        <f t="shared" si="28"/>
        <v>0</v>
      </c>
      <c r="O127" s="145"/>
      <c r="P127" s="142"/>
      <c r="Q127" s="134">
        <f t="shared" si="22"/>
        <v>0</v>
      </c>
      <c r="R127" s="145"/>
      <c r="S127" s="142"/>
      <c r="T127" s="134">
        <f t="shared" si="23"/>
        <v>0</v>
      </c>
      <c r="U127" s="145"/>
      <c r="V127" s="142"/>
      <c r="W127" s="134">
        <f t="shared" si="24"/>
        <v>0</v>
      </c>
      <c r="X127" s="152"/>
      <c r="Y127" s="159"/>
      <c r="Z127" s="160"/>
      <c r="AA127" s="137">
        <f t="shared" si="25"/>
        <v>0</v>
      </c>
      <c r="AB127" s="138" t="e">
        <f t="shared" si="29"/>
        <v>#DIV/0!</v>
      </c>
    </row>
    <row r="128" spans="2:28" s="109" customFormat="1" ht="21.95" customHeight="1" outlineLevel="1">
      <c r="B128" s="148" t="str">
        <f>'CPU  1'!B128</f>
        <v>M47</v>
      </c>
      <c r="C128" s="149">
        <f>'CPU  1'!C128</f>
        <v>0</v>
      </c>
      <c r="D128" s="150">
        <f>'CPU  1'!D128</f>
        <v>0</v>
      </c>
      <c r="E128" s="151">
        <f>'CPU  1'!E128</f>
        <v>0</v>
      </c>
      <c r="F128" s="145"/>
      <c r="G128" s="142"/>
      <c r="H128" s="134">
        <f t="shared" si="19"/>
        <v>0</v>
      </c>
      <c r="I128" s="145"/>
      <c r="J128" s="142"/>
      <c r="K128" s="134">
        <f t="shared" si="27"/>
        <v>0</v>
      </c>
      <c r="L128" s="145"/>
      <c r="M128" s="142"/>
      <c r="N128" s="134">
        <f t="shared" si="28"/>
        <v>0</v>
      </c>
      <c r="O128" s="145"/>
      <c r="P128" s="142"/>
      <c r="Q128" s="134">
        <f t="shared" si="22"/>
        <v>0</v>
      </c>
      <c r="R128" s="145"/>
      <c r="S128" s="142"/>
      <c r="T128" s="134">
        <f t="shared" si="23"/>
        <v>0</v>
      </c>
      <c r="U128" s="145"/>
      <c r="V128" s="142"/>
      <c r="W128" s="134">
        <f t="shared" si="24"/>
        <v>0</v>
      </c>
      <c r="X128" s="152"/>
      <c r="Y128" s="159"/>
      <c r="Z128" s="160"/>
      <c r="AA128" s="137">
        <f t="shared" si="25"/>
        <v>0</v>
      </c>
      <c r="AB128" s="138" t="e">
        <f t="shared" si="29"/>
        <v>#DIV/0!</v>
      </c>
    </row>
    <row r="129" spans="2:29" s="109" customFormat="1" ht="21.95" customHeight="1" outlineLevel="1">
      <c r="B129" s="148" t="str">
        <f>'CPU  1'!B129</f>
        <v>M48</v>
      </c>
      <c r="C129" s="149">
        <f>'CPU  1'!C129</f>
        <v>0</v>
      </c>
      <c r="D129" s="150">
        <f>'CPU  1'!D129</f>
        <v>0</v>
      </c>
      <c r="E129" s="151">
        <f>'CPU  1'!E129</f>
        <v>0</v>
      </c>
      <c r="F129" s="145"/>
      <c r="G129" s="142"/>
      <c r="H129" s="134">
        <f t="shared" si="19"/>
        <v>0</v>
      </c>
      <c r="I129" s="145"/>
      <c r="J129" s="142"/>
      <c r="K129" s="134">
        <f t="shared" si="20"/>
        <v>0</v>
      </c>
      <c r="L129" s="145"/>
      <c r="M129" s="142"/>
      <c r="N129" s="134">
        <f t="shared" si="21"/>
        <v>0</v>
      </c>
      <c r="O129" s="145"/>
      <c r="P129" s="142"/>
      <c r="Q129" s="134">
        <f t="shared" si="22"/>
        <v>0</v>
      </c>
      <c r="R129" s="145"/>
      <c r="S129" s="142"/>
      <c r="T129" s="134">
        <f t="shared" si="23"/>
        <v>0</v>
      </c>
      <c r="U129" s="145"/>
      <c r="V129" s="142"/>
      <c r="W129" s="134">
        <f t="shared" si="24"/>
        <v>0</v>
      </c>
      <c r="X129" s="152"/>
      <c r="Y129" s="159"/>
      <c r="Z129" s="160"/>
      <c r="AA129" s="137">
        <f t="shared" si="25"/>
        <v>0</v>
      </c>
      <c r="AB129" s="138" t="e">
        <f t="shared" si="29"/>
        <v>#DIV/0!</v>
      </c>
    </row>
    <row r="130" spans="2:29" s="109" customFormat="1" ht="21.95" customHeight="1" outlineLevel="1">
      <c r="B130" s="148" t="str">
        <f>'CPU  1'!B130</f>
        <v>M49</v>
      </c>
      <c r="C130" s="149">
        <f>'CPU  1'!C130</f>
        <v>0</v>
      </c>
      <c r="D130" s="150">
        <f>'CPU  1'!D130</f>
        <v>0</v>
      </c>
      <c r="E130" s="151">
        <f>'CPU  1'!E130</f>
        <v>0</v>
      </c>
      <c r="F130" s="145"/>
      <c r="G130" s="142"/>
      <c r="H130" s="134">
        <f t="shared" si="19"/>
        <v>0</v>
      </c>
      <c r="I130" s="145"/>
      <c r="J130" s="142"/>
      <c r="K130" s="134">
        <f t="shared" si="20"/>
        <v>0</v>
      </c>
      <c r="L130" s="145"/>
      <c r="M130" s="142"/>
      <c r="N130" s="134">
        <f t="shared" si="21"/>
        <v>0</v>
      </c>
      <c r="O130" s="145"/>
      <c r="P130" s="142"/>
      <c r="Q130" s="134">
        <f t="shared" si="22"/>
        <v>0</v>
      </c>
      <c r="R130" s="145"/>
      <c r="S130" s="142"/>
      <c r="T130" s="134">
        <f t="shared" si="23"/>
        <v>0</v>
      </c>
      <c r="U130" s="145"/>
      <c r="V130" s="142"/>
      <c r="W130" s="134">
        <f t="shared" si="24"/>
        <v>0</v>
      </c>
      <c r="X130" s="152"/>
      <c r="Y130" s="159"/>
      <c r="Z130" s="160"/>
      <c r="AA130" s="137">
        <f t="shared" si="25"/>
        <v>0</v>
      </c>
      <c r="AB130" s="138" t="e">
        <f t="shared" si="29"/>
        <v>#DIV/0!</v>
      </c>
    </row>
    <row r="131" spans="2:29" s="109" customFormat="1" ht="21.95" customHeight="1" outlineLevel="1" thickBot="1">
      <c r="B131" s="148" t="str">
        <f>'CPU  1'!B131</f>
        <v>M50</v>
      </c>
      <c r="C131" s="149">
        <f>'CPU  1'!C131</f>
        <v>0</v>
      </c>
      <c r="D131" s="150">
        <f>'CPU  1'!D131</f>
        <v>0</v>
      </c>
      <c r="E131" s="151">
        <f>'CPU  1'!E131</f>
        <v>0</v>
      </c>
      <c r="F131" s="145"/>
      <c r="G131" s="142"/>
      <c r="H131" s="134">
        <f t="shared" si="19"/>
        <v>0</v>
      </c>
      <c r="I131" s="145"/>
      <c r="J131" s="142"/>
      <c r="K131" s="134">
        <f t="shared" si="20"/>
        <v>0</v>
      </c>
      <c r="L131" s="145"/>
      <c r="M131" s="142"/>
      <c r="N131" s="134">
        <f t="shared" si="21"/>
        <v>0</v>
      </c>
      <c r="O131" s="145"/>
      <c r="P131" s="142"/>
      <c r="Q131" s="134">
        <f t="shared" si="22"/>
        <v>0</v>
      </c>
      <c r="R131" s="145"/>
      <c r="S131" s="142"/>
      <c r="T131" s="134">
        <f t="shared" si="23"/>
        <v>0</v>
      </c>
      <c r="U131" s="145"/>
      <c r="V131" s="142"/>
      <c r="W131" s="134">
        <f t="shared" si="24"/>
        <v>0</v>
      </c>
      <c r="X131" s="152"/>
      <c r="Y131" s="159"/>
      <c r="Z131" s="160"/>
      <c r="AA131" s="137">
        <f t="shared" si="25"/>
        <v>0</v>
      </c>
      <c r="AB131" s="138" t="e">
        <f t="shared" si="29"/>
        <v>#DIV/0!</v>
      </c>
    </row>
    <row r="132" spans="2:29" s="109" customFormat="1" ht="21.95" customHeight="1" thickBot="1">
      <c r="B132" s="694" t="s">
        <v>35</v>
      </c>
      <c r="C132" s="695"/>
      <c r="D132" s="695"/>
      <c r="E132" s="695" t="e">
        <f>SUM(#REF!)</f>
        <v>#REF!</v>
      </c>
      <c r="F132" s="263"/>
      <c r="G132" s="264"/>
      <c r="H132" s="265">
        <f>SUM(H83:H131)</f>
        <v>0</v>
      </c>
      <c r="I132" s="263"/>
      <c r="J132" s="264"/>
      <c r="K132" s="265">
        <f>SUM(K83:K131)</f>
        <v>0</v>
      </c>
      <c r="L132" s="263"/>
      <c r="M132" s="264"/>
      <c r="N132" s="265">
        <f>SUM(N83:N131)</f>
        <v>0</v>
      </c>
      <c r="O132" s="263"/>
      <c r="P132" s="264"/>
      <c r="Q132" s="265">
        <f>SUM(Q83:Q131)</f>
        <v>0</v>
      </c>
      <c r="R132" s="263"/>
      <c r="S132" s="264"/>
      <c r="T132" s="265">
        <f>SUM(T83:T131)</f>
        <v>0</v>
      </c>
      <c r="U132" s="263"/>
      <c r="V132" s="264"/>
      <c r="W132" s="265">
        <f>SUM(W83:W131)</f>
        <v>0</v>
      </c>
      <c r="X132" s="143"/>
      <c r="Y132" s="263"/>
      <c r="Z132" s="264"/>
      <c r="AA132" s="265">
        <f>SUM(AA83:AA131)</f>
        <v>0</v>
      </c>
      <c r="AB132" s="138"/>
    </row>
    <row r="133" spans="2:29" s="109" customFormat="1" ht="21.95" customHeight="1" thickBot="1">
      <c r="B133" s="699" t="s">
        <v>36</v>
      </c>
      <c r="C133" s="700"/>
      <c r="D133" s="700"/>
      <c r="E133" s="701"/>
      <c r="F133" s="745"/>
      <c r="G133" s="745"/>
      <c r="H133" s="745"/>
      <c r="I133" s="745"/>
      <c r="J133" s="745"/>
      <c r="K133" s="745"/>
      <c r="L133" s="745"/>
      <c r="M133" s="745"/>
      <c r="N133" s="745"/>
      <c r="O133" s="745"/>
      <c r="P133" s="745"/>
      <c r="Q133" s="745"/>
      <c r="R133" s="745"/>
      <c r="S133" s="745"/>
      <c r="T133" s="745"/>
      <c r="U133" s="745"/>
      <c r="V133" s="745"/>
      <c r="W133" s="745"/>
      <c r="X133" s="124"/>
      <c r="Y133" s="711"/>
      <c r="Z133" s="711"/>
      <c r="AA133" s="711"/>
      <c r="AB133" s="138"/>
    </row>
    <row r="134" spans="2:29" s="127" customFormat="1" ht="21.95" customHeight="1" thickBot="1">
      <c r="B134" s="258" t="s">
        <v>163</v>
      </c>
      <c r="C134" s="259" t="s">
        <v>169</v>
      </c>
      <c r="D134" s="260" t="s">
        <v>30</v>
      </c>
      <c r="E134" s="261" t="s">
        <v>31</v>
      </c>
      <c r="F134" s="258" t="s">
        <v>6</v>
      </c>
      <c r="G134" s="261" t="s">
        <v>32</v>
      </c>
      <c r="H134" s="262" t="s">
        <v>5</v>
      </c>
      <c r="I134" s="258" t="s">
        <v>6</v>
      </c>
      <c r="J134" s="261" t="s">
        <v>32</v>
      </c>
      <c r="K134" s="262" t="s">
        <v>5</v>
      </c>
      <c r="L134" s="258" t="s">
        <v>6</v>
      </c>
      <c r="M134" s="261" t="s">
        <v>32</v>
      </c>
      <c r="N134" s="262" t="s">
        <v>5</v>
      </c>
      <c r="O134" s="258" t="s">
        <v>6</v>
      </c>
      <c r="P134" s="261" t="s">
        <v>32</v>
      </c>
      <c r="Q134" s="262" t="s">
        <v>5</v>
      </c>
      <c r="R134" s="258" t="s">
        <v>6</v>
      </c>
      <c r="S134" s="261" t="s">
        <v>32</v>
      </c>
      <c r="T134" s="262" t="s">
        <v>5</v>
      </c>
      <c r="U134" s="258" t="s">
        <v>6</v>
      </c>
      <c r="V134" s="261" t="s">
        <v>32</v>
      </c>
      <c r="W134" s="262" t="s">
        <v>5</v>
      </c>
      <c r="X134" s="124"/>
      <c r="Y134" s="258" t="s">
        <v>6</v>
      </c>
      <c r="Z134" s="261" t="s">
        <v>32</v>
      </c>
      <c r="AA134" s="262" t="s">
        <v>5</v>
      </c>
      <c r="AB134" s="125"/>
      <c r="AC134" s="126"/>
    </row>
    <row r="135" spans="2:29" s="109" customFormat="1" ht="21.95" customHeight="1" outlineLevel="1">
      <c r="B135" s="148" t="str">
        <f>'CPU  1'!B135</f>
        <v>O01</v>
      </c>
      <c r="C135" s="156" t="str">
        <f>'CPU  1'!C135</f>
        <v>ART</v>
      </c>
      <c r="D135" s="157" t="str">
        <f>'CPU  1'!D135</f>
        <v>Vb</v>
      </c>
      <c r="E135" s="158">
        <f>'CPU  1'!E135</f>
        <v>1000</v>
      </c>
      <c r="F135" s="145"/>
      <c r="G135" s="142"/>
      <c r="H135" s="134">
        <f>G135*F135*$E135</f>
        <v>0</v>
      </c>
      <c r="I135" s="145"/>
      <c r="J135" s="142"/>
      <c r="K135" s="134">
        <f t="shared" ref="K135:K143" si="30">J135*I135*$E135</f>
        <v>0</v>
      </c>
      <c r="L135" s="145"/>
      <c r="M135" s="142"/>
      <c r="N135" s="134">
        <f>M135*L135*$E135</f>
        <v>0</v>
      </c>
      <c r="O135" s="145"/>
      <c r="P135" s="142"/>
      <c r="Q135" s="134">
        <f t="shared" ref="Q135:Q154" si="31">P135*O135*$E135</f>
        <v>0</v>
      </c>
      <c r="R135" s="145"/>
      <c r="S135" s="142"/>
      <c r="T135" s="134">
        <f t="shared" ref="T135:T154" si="32">S135*R135*$E135</f>
        <v>0</v>
      </c>
      <c r="U135" s="145"/>
      <c r="V135" s="142"/>
      <c r="W135" s="134">
        <f t="shared" ref="W135:W154" si="33">V135*U135*$E135</f>
        <v>0</v>
      </c>
      <c r="X135" s="152"/>
      <c r="Y135" s="162"/>
      <c r="Z135" s="163"/>
      <c r="AA135" s="137">
        <f t="shared" ref="AA135:AA154" si="34">K135*$K$3+N135*$N$3+Q135*$Q$3+H135*$H$3+T135*$T$3+W135*$W$3</f>
        <v>0</v>
      </c>
      <c r="AB135" s="138" t="e">
        <f t="shared" ref="AB135:AB154" si="35">AA135/$AA$162</f>
        <v>#DIV/0!</v>
      </c>
    </row>
    <row r="136" spans="2:29" s="109" customFormat="1" ht="21.95" customHeight="1" outlineLevel="1">
      <c r="B136" s="148" t="str">
        <f>'CPU  1'!B136</f>
        <v>O02</v>
      </c>
      <c r="C136" s="156" t="str">
        <f>'CPU  1'!C136</f>
        <v>Exames medicos</v>
      </c>
      <c r="D136" s="157" t="str">
        <f>'CPU  1'!D136</f>
        <v>Vb</v>
      </c>
      <c r="E136" s="158">
        <f>'CPU  1'!E136</f>
        <v>600</v>
      </c>
      <c r="F136" s="145"/>
      <c r="G136" s="142"/>
      <c r="H136" s="134">
        <f t="shared" ref="H136:H154" si="36">G136*F136*$E136</f>
        <v>0</v>
      </c>
      <c r="I136" s="145"/>
      <c r="J136" s="142"/>
      <c r="K136" s="134">
        <f t="shared" si="30"/>
        <v>0</v>
      </c>
      <c r="L136" s="145"/>
      <c r="M136" s="142"/>
      <c r="N136" s="134">
        <f t="shared" ref="N136:N143" si="37">M136*L136*$E136</f>
        <v>0</v>
      </c>
      <c r="O136" s="145"/>
      <c r="P136" s="142"/>
      <c r="Q136" s="134">
        <f t="shared" si="31"/>
        <v>0</v>
      </c>
      <c r="R136" s="145"/>
      <c r="S136" s="142"/>
      <c r="T136" s="134">
        <f t="shared" si="32"/>
        <v>0</v>
      </c>
      <c r="U136" s="145"/>
      <c r="V136" s="142"/>
      <c r="W136" s="134">
        <f t="shared" si="33"/>
        <v>0</v>
      </c>
      <c r="X136" s="152"/>
      <c r="Y136" s="162"/>
      <c r="Z136" s="163"/>
      <c r="AA136" s="137">
        <f t="shared" si="34"/>
        <v>0</v>
      </c>
      <c r="AB136" s="138" t="e">
        <f t="shared" si="35"/>
        <v>#DIV/0!</v>
      </c>
    </row>
    <row r="137" spans="2:29" s="109" customFormat="1" ht="21.95" customHeight="1" outlineLevel="1">
      <c r="B137" s="148" t="str">
        <f>'CPU  1'!B137</f>
        <v>O03</v>
      </c>
      <c r="C137" s="156" t="str">
        <f>'CPU  1'!C137</f>
        <v>Treinamentos</v>
      </c>
      <c r="D137" s="157" t="str">
        <f>'CPU  1'!D137</f>
        <v>Vb</v>
      </c>
      <c r="E137" s="158">
        <f>'CPU  1'!E137</f>
        <v>426</v>
      </c>
      <c r="F137" s="145"/>
      <c r="G137" s="142"/>
      <c r="H137" s="164">
        <f>G137*F137*$E137</f>
        <v>0</v>
      </c>
      <c r="I137" s="145"/>
      <c r="J137" s="142"/>
      <c r="K137" s="164">
        <f t="shared" si="30"/>
        <v>0</v>
      </c>
      <c r="L137" s="145"/>
      <c r="M137" s="142"/>
      <c r="N137" s="164">
        <f>M137*L137*$E137</f>
        <v>0</v>
      </c>
      <c r="O137" s="145"/>
      <c r="P137" s="142"/>
      <c r="Q137" s="164">
        <f t="shared" si="31"/>
        <v>0</v>
      </c>
      <c r="R137" s="145"/>
      <c r="S137" s="142"/>
      <c r="T137" s="164">
        <f t="shared" si="32"/>
        <v>0</v>
      </c>
      <c r="U137" s="145"/>
      <c r="V137" s="142"/>
      <c r="W137" s="164">
        <f t="shared" si="33"/>
        <v>0</v>
      </c>
      <c r="X137" s="152"/>
      <c r="Y137" s="162"/>
      <c r="Z137" s="163"/>
      <c r="AA137" s="137">
        <f t="shared" si="34"/>
        <v>0</v>
      </c>
      <c r="AB137" s="138" t="e">
        <f t="shared" si="35"/>
        <v>#DIV/0!</v>
      </c>
    </row>
    <row r="138" spans="2:29" s="109" customFormat="1" ht="21.95" customHeight="1" outlineLevel="1">
      <c r="B138" s="148" t="str">
        <f>'CPU  1'!B138</f>
        <v>O04</v>
      </c>
      <c r="C138" s="156" t="str">
        <f>'CPU  1'!C138</f>
        <v>Plano de Saude</v>
      </c>
      <c r="D138" s="157" t="str">
        <f>'CPU  1'!D138</f>
        <v>Vb/mês</v>
      </c>
      <c r="E138" s="158">
        <f>'CPU  1'!E138</f>
        <v>280</v>
      </c>
      <c r="F138" s="145"/>
      <c r="G138" s="142"/>
      <c r="H138" s="134">
        <f>G138*F138*$E138</f>
        <v>0</v>
      </c>
      <c r="I138" s="145"/>
      <c r="J138" s="142"/>
      <c r="K138" s="134">
        <f t="shared" si="30"/>
        <v>0</v>
      </c>
      <c r="L138" s="145"/>
      <c r="M138" s="142"/>
      <c r="N138" s="134">
        <f>M138*L138*$E138</f>
        <v>0</v>
      </c>
      <c r="O138" s="145"/>
      <c r="P138" s="142"/>
      <c r="Q138" s="134">
        <f t="shared" si="31"/>
        <v>0</v>
      </c>
      <c r="R138" s="145"/>
      <c r="S138" s="142"/>
      <c r="T138" s="134">
        <f t="shared" si="32"/>
        <v>0</v>
      </c>
      <c r="U138" s="145"/>
      <c r="V138" s="142"/>
      <c r="W138" s="134">
        <f t="shared" si="33"/>
        <v>0</v>
      </c>
      <c r="X138" s="152"/>
      <c r="Y138" s="162"/>
      <c r="Z138" s="163"/>
      <c r="AA138" s="137">
        <f t="shared" si="34"/>
        <v>0</v>
      </c>
      <c r="AB138" s="138" t="e">
        <f t="shared" si="35"/>
        <v>#DIV/0!</v>
      </c>
    </row>
    <row r="139" spans="2:29" s="109" customFormat="1" ht="21.95" customHeight="1" outlineLevel="1">
      <c r="B139" s="148" t="str">
        <f>'CPU  1'!B139</f>
        <v>O05</v>
      </c>
      <c r="C139" s="156" t="str">
        <f>'CPU  1'!C139</f>
        <v>Seguro de Vida</v>
      </c>
      <c r="D139" s="157" t="str">
        <f>'CPU  1'!D139</f>
        <v>Vb/mês</v>
      </c>
      <c r="E139" s="158">
        <f>'CPU  1'!E139</f>
        <v>25</v>
      </c>
      <c r="F139" s="145"/>
      <c r="G139" s="142"/>
      <c r="H139" s="134">
        <f>G139*F139*$E139</f>
        <v>0</v>
      </c>
      <c r="I139" s="145"/>
      <c r="J139" s="142"/>
      <c r="K139" s="134">
        <f t="shared" si="30"/>
        <v>0</v>
      </c>
      <c r="L139" s="145"/>
      <c r="M139" s="142"/>
      <c r="N139" s="134">
        <f>M139*L139*$E139</f>
        <v>0</v>
      </c>
      <c r="O139" s="145"/>
      <c r="P139" s="142"/>
      <c r="Q139" s="134">
        <f t="shared" si="31"/>
        <v>0</v>
      </c>
      <c r="R139" s="145"/>
      <c r="S139" s="142"/>
      <c r="T139" s="134">
        <f t="shared" si="32"/>
        <v>0</v>
      </c>
      <c r="U139" s="145"/>
      <c r="V139" s="142"/>
      <c r="W139" s="134">
        <f t="shared" si="33"/>
        <v>0</v>
      </c>
      <c r="X139" s="152"/>
      <c r="Y139" s="162"/>
      <c r="Z139" s="163"/>
      <c r="AA139" s="137">
        <f t="shared" si="34"/>
        <v>0</v>
      </c>
      <c r="AB139" s="138" t="e">
        <f t="shared" si="35"/>
        <v>#DIV/0!</v>
      </c>
    </row>
    <row r="140" spans="2:29" s="109" customFormat="1" ht="21.95" customHeight="1" outlineLevel="1">
      <c r="B140" s="148" t="str">
        <f>'CPU  1'!B140</f>
        <v>O06</v>
      </c>
      <c r="C140" s="156" t="str">
        <f>'CPU  1'!C140</f>
        <v>Ticket Alimentação</v>
      </c>
      <c r="D140" s="157" t="str">
        <f>'CPU  1'!D140</f>
        <v>Vb/mês</v>
      </c>
      <c r="E140" s="158">
        <f>'CPU  1'!E140</f>
        <v>350</v>
      </c>
      <c r="F140" s="145"/>
      <c r="G140" s="142"/>
      <c r="H140" s="134">
        <f>G140*F140*$E140</f>
        <v>0</v>
      </c>
      <c r="I140" s="145"/>
      <c r="J140" s="142"/>
      <c r="K140" s="134">
        <f t="shared" si="30"/>
        <v>0</v>
      </c>
      <c r="L140" s="145"/>
      <c r="M140" s="142"/>
      <c r="N140" s="134">
        <f>M140*L140*$E140</f>
        <v>0</v>
      </c>
      <c r="O140" s="145"/>
      <c r="P140" s="142"/>
      <c r="Q140" s="134">
        <f t="shared" si="31"/>
        <v>0</v>
      </c>
      <c r="R140" s="145"/>
      <c r="S140" s="142"/>
      <c r="T140" s="134">
        <f t="shared" si="32"/>
        <v>0</v>
      </c>
      <c r="U140" s="145"/>
      <c r="V140" s="142"/>
      <c r="W140" s="134">
        <f t="shared" si="33"/>
        <v>0</v>
      </c>
      <c r="X140" s="152"/>
      <c r="Y140" s="162"/>
      <c r="Z140" s="163"/>
      <c r="AA140" s="137">
        <f t="shared" si="34"/>
        <v>0</v>
      </c>
      <c r="AB140" s="138" t="e">
        <f t="shared" si="35"/>
        <v>#DIV/0!</v>
      </c>
    </row>
    <row r="141" spans="2:29" s="109" customFormat="1" ht="21.95" customHeight="1" outlineLevel="1">
      <c r="B141" s="148" t="str">
        <f>'CPU  1'!B141</f>
        <v>O07</v>
      </c>
      <c r="C141" s="156" t="str">
        <f>'CPU  1'!C141</f>
        <v>PCMSO / PGR / PCA / PPR</v>
      </c>
      <c r="D141" s="157" t="str">
        <f>'CPU  1'!D141</f>
        <v>Vb/ano</v>
      </c>
      <c r="E141" s="158">
        <f>'CPU  1'!E141</f>
        <v>2300</v>
      </c>
      <c r="F141" s="145"/>
      <c r="G141" s="142"/>
      <c r="H141" s="134">
        <f t="shared" si="36"/>
        <v>0</v>
      </c>
      <c r="I141" s="145"/>
      <c r="J141" s="142"/>
      <c r="K141" s="134">
        <f t="shared" si="30"/>
        <v>0</v>
      </c>
      <c r="L141" s="145"/>
      <c r="M141" s="142"/>
      <c r="N141" s="134">
        <f t="shared" si="37"/>
        <v>0</v>
      </c>
      <c r="O141" s="145"/>
      <c r="P141" s="142"/>
      <c r="Q141" s="134">
        <f t="shared" si="31"/>
        <v>0</v>
      </c>
      <c r="R141" s="145"/>
      <c r="S141" s="142"/>
      <c r="T141" s="134">
        <f t="shared" si="32"/>
        <v>0</v>
      </c>
      <c r="U141" s="145"/>
      <c r="V141" s="142"/>
      <c r="W141" s="134">
        <f t="shared" si="33"/>
        <v>0</v>
      </c>
      <c r="X141" s="152"/>
      <c r="Y141" s="162"/>
      <c r="Z141" s="163"/>
      <c r="AA141" s="137">
        <f t="shared" si="34"/>
        <v>0</v>
      </c>
      <c r="AB141" s="138" t="e">
        <f t="shared" si="35"/>
        <v>#DIV/0!</v>
      </c>
    </row>
    <row r="142" spans="2:29" s="109" customFormat="1" ht="21.95" customHeight="1" outlineLevel="1">
      <c r="B142" s="148" t="str">
        <f>'CPU  1'!B142</f>
        <v>O08</v>
      </c>
      <c r="C142" s="156" t="str">
        <f>'CPU  1'!C142</f>
        <v>Quadros DDS e Gestão a vista</v>
      </c>
      <c r="D142" s="157" t="str">
        <f>'CPU  1'!D142</f>
        <v>Vb</v>
      </c>
      <c r="E142" s="158">
        <f>'CPU  1'!E142</f>
        <v>1200</v>
      </c>
      <c r="F142" s="145"/>
      <c r="G142" s="142"/>
      <c r="H142" s="134">
        <f t="shared" si="36"/>
        <v>0</v>
      </c>
      <c r="I142" s="145"/>
      <c r="J142" s="142"/>
      <c r="K142" s="134">
        <f t="shared" si="30"/>
        <v>0</v>
      </c>
      <c r="L142" s="145"/>
      <c r="M142" s="142"/>
      <c r="N142" s="134">
        <f t="shared" si="37"/>
        <v>0</v>
      </c>
      <c r="O142" s="145"/>
      <c r="P142" s="142"/>
      <c r="Q142" s="134">
        <f t="shared" si="31"/>
        <v>0</v>
      </c>
      <c r="R142" s="145"/>
      <c r="S142" s="142"/>
      <c r="T142" s="134">
        <f t="shared" si="32"/>
        <v>0</v>
      </c>
      <c r="U142" s="145"/>
      <c r="V142" s="142"/>
      <c r="W142" s="134">
        <f t="shared" si="33"/>
        <v>0</v>
      </c>
      <c r="X142" s="152"/>
      <c r="Y142" s="162"/>
      <c r="Z142" s="163"/>
      <c r="AA142" s="137">
        <f t="shared" si="34"/>
        <v>0</v>
      </c>
      <c r="AB142" s="138" t="e">
        <f t="shared" si="35"/>
        <v>#DIV/0!</v>
      </c>
    </row>
    <row r="143" spans="2:29" s="109" customFormat="1" ht="21.95" customHeight="1" outlineLevel="1">
      <c r="B143" s="148" t="str">
        <f>'CPU  1'!B143</f>
        <v>O09</v>
      </c>
      <c r="C143" s="156" t="str">
        <f>'CPU  1'!C143</f>
        <v>Seguro Obra</v>
      </c>
      <c r="D143" s="157" t="str">
        <f>'CPU  1'!D143</f>
        <v>Vb</v>
      </c>
      <c r="E143" s="158">
        <f>'CPU  1'!E143</f>
        <v>5000</v>
      </c>
      <c r="F143" s="145"/>
      <c r="G143" s="142"/>
      <c r="H143" s="134">
        <f t="shared" si="36"/>
        <v>0</v>
      </c>
      <c r="I143" s="145"/>
      <c r="J143" s="142"/>
      <c r="K143" s="134">
        <f t="shared" si="30"/>
        <v>0</v>
      </c>
      <c r="L143" s="145"/>
      <c r="M143" s="142"/>
      <c r="N143" s="134">
        <f t="shared" si="37"/>
        <v>0</v>
      </c>
      <c r="O143" s="145"/>
      <c r="P143" s="142"/>
      <c r="Q143" s="134">
        <f t="shared" si="31"/>
        <v>0</v>
      </c>
      <c r="R143" s="145"/>
      <c r="S143" s="142"/>
      <c r="T143" s="134">
        <f t="shared" si="32"/>
        <v>0</v>
      </c>
      <c r="U143" s="145"/>
      <c r="V143" s="142"/>
      <c r="W143" s="134">
        <f t="shared" si="33"/>
        <v>0</v>
      </c>
      <c r="X143" s="152"/>
      <c r="Y143" s="162"/>
      <c r="Z143" s="163"/>
      <c r="AA143" s="137">
        <f t="shared" si="34"/>
        <v>0</v>
      </c>
      <c r="AB143" s="138" t="e">
        <f t="shared" si="35"/>
        <v>#DIV/0!</v>
      </c>
    </row>
    <row r="144" spans="2:29" s="109" customFormat="1" ht="21.95" customHeight="1" outlineLevel="1">
      <c r="B144" s="148" t="str">
        <f>'CPU  1'!B144</f>
        <v>O10</v>
      </c>
      <c r="C144" s="156" t="str">
        <f>'CPU  1'!C144</f>
        <v>Fretes</v>
      </c>
      <c r="D144" s="157" t="str">
        <f>'CPU  1'!D144</f>
        <v>ud</v>
      </c>
      <c r="E144" s="158">
        <f>'CPU  1'!E144</f>
        <v>2800</v>
      </c>
      <c r="F144" s="145"/>
      <c r="G144" s="142"/>
      <c r="H144" s="134">
        <f t="shared" si="36"/>
        <v>0</v>
      </c>
      <c r="I144" s="145"/>
      <c r="J144" s="142"/>
      <c r="K144" s="134">
        <f t="shared" ref="K144:K152" si="38">J144*I144*$E144</f>
        <v>0</v>
      </c>
      <c r="L144" s="145"/>
      <c r="M144" s="142"/>
      <c r="N144" s="134">
        <f t="shared" ref="N144:N152" si="39">M144*L144*$E144</f>
        <v>0</v>
      </c>
      <c r="O144" s="145"/>
      <c r="P144" s="142"/>
      <c r="Q144" s="134">
        <f t="shared" si="31"/>
        <v>0</v>
      </c>
      <c r="R144" s="145"/>
      <c r="S144" s="142"/>
      <c r="T144" s="134">
        <f t="shared" si="32"/>
        <v>0</v>
      </c>
      <c r="U144" s="145"/>
      <c r="V144" s="142"/>
      <c r="W144" s="134">
        <f t="shared" si="33"/>
        <v>0</v>
      </c>
      <c r="X144" s="152"/>
      <c r="Y144" s="162"/>
      <c r="Z144" s="163"/>
      <c r="AA144" s="137">
        <f t="shared" si="34"/>
        <v>0</v>
      </c>
      <c r="AB144" s="138" t="e">
        <f t="shared" si="35"/>
        <v>#DIV/0!</v>
      </c>
    </row>
    <row r="145" spans="2:28" s="109" customFormat="1" ht="21.95" customHeight="1" outlineLevel="1">
      <c r="B145" s="148" t="str">
        <f>'CPU  1'!B145</f>
        <v>O11</v>
      </c>
      <c r="C145" s="156" t="str">
        <f>'CPU  1'!C145</f>
        <v>Serviço de descarte de residuo</v>
      </c>
      <c r="D145" s="157" t="str">
        <f>'CPU  1'!D145</f>
        <v>coleta</v>
      </c>
      <c r="E145" s="158">
        <f>'CPU  1'!E145</f>
        <v>2000</v>
      </c>
      <c r="F145" s="145"/>
      <c r="G145" s="142"/>
      <c r="H145" s="134">
        <f t="shared" si="36"/>
        <v>0</v>
      </c>
      <c r="I145" s="145"/>
      <c r="J145" s="142"/>
      <c r="K145" s="134">
        <f t="shared" si="38"/>
        <v>0</v>
      </c>
      <c r="L145" s="145"/>
      <c r="M145" s="142"/>
      <c r="N145" s="134">
        <f t="shared" si="39"/>
        <v>0</v>
      </c>
      <c r="O145" s="145"/>
      <c r="P145" s="142"/>
      <c r="Q145" s="134">
        <f t="shared" si="31"/>
        <v>0</v>
      </c>
      <c r="R145" s="145"/>
      <c r="S145" s="142"/>
      <c r="T145" s="134">
        <f t="shared" si="32"/>
        <v>0</v>
      </c>
      <c r="U145" s="145"/>
      <c r="V145" s="142"/>
      <c r="W145" s="134">
        <f t="shared" si="33"/>
        <v>0</v>
      </c>
      <c r="X145" s="152"/>
      <c r="Y145" s="162"/>
      <c r="Z145" s="163"/>
      <c r="AA145" s="137">
        <f t="shared" si="34"/>
        <v>0</v>
      </c>
      <c r="AB145" s="138" t="e">
        <f t="shared" si="35"/>
        <v>#DIV/0!</v>
      </c>
    </row>
    <row r="146" spans="2:28" s="109" customFormat="1" ht="36" customHeight="1" outlineLevel="1">
      <c r="B146" s="148" t="str">
        <f>'CPU  1'!B146</f>
        <v>O12</v>
      </c>
      <c r="C146" s="156" t="str">
        <f>'CPU  1'!C146</f>
        <v>Serviço de movimentação do Banheiro Hidráulico</v>
      </c>
      <c r="D146" s="157" t="str">
        <f>'CPU  1'!D146</f>
        <v>vb</v>
      </c>
      <c r="E146" s="158">
        <f>'CPU  1'!E146</f>
        <v>200</v>
      </c>
      <c r="F146" s="145"/>
      <c r="G146" s="142"/>
      <c r="H146" s="134">
        <f t="shared" si="36"/>
        <v>0</v>
      </c>
      <c r="I146" s="145"/>
      <c r="J146" s="142"/>
      <c r="K146" s="134">
        <f t="shared" si="38"/>
        <v>0</v>
      </c>
      <c r="L146" s="145"/>
      <c r="M146" s="142"/>
      <c r="N146" s="134">
        <f t="shared" si="39"/>
        <v>0</v>
      </c>
      <c r="O146" s="145"/>
      <c r="P146" s="142"/>
      <c r="Q146" s="134">
        <f t="shared" si="31"/>
        <v>0</v>
      </c>
      <c r="R146" s="145"/>
      <c r="S146" s="142"/>
      <c r="T146" s="134">
        <f t="shared" si="32"/>
        <v>0</v>
      </c>
      <c r="U146" s="145"/>
      <c r="V146" s="142"/>
      <c r="W146" s="134">
        <f t="shared" si="33"/>
        <v>0</v>
      </c>
      <c r="X146" s="152"/>
      <c r="Y146" s="162"/>
      <c r="Z146" s="163"/>
      <c r="AA146" s="137">
        <f t="shared" si="34"/>
        <v>0</v>
      </c>
      <c r="AB146" s="138" t="e">
        <f t="shared" si="35"/>
        <v>#DIV/0!</v>
      </c>
    </row>
    <row r="147" spans="2:28" s="109" customFormat="1" ht="21.95" customHeight="1" outlineLevel="1">
      <c r="B147" s="148" t="str">
        <f>'CPU  1'!B147</f>
        <v>O13</v>
      </c>
      <c r="C147" s="156" t="str">
        <f>'CPU  1'!C147</f>
        <v>Segurança Patrimonial</v>
      </c>
      <c r="D147" s="157" t="str">
        <f>'CPU  1'!D147</f>
        <v>Vb/mês</v>
      </c>
      <c r="E147" s="158">
        <f>'CPU  1'!E147</f>
        <v>40000</v>
      </c>
      <c r="F147" s="145"/>
      <c r="G147" s="142"/>
      <c r="H147" s="134">
        <f t="shared" si="36"/>
        <v>0</v>
      </c>
      <c r="I147" s="145"/>
      <c r="J147" s="142"/>
      <c r="K147" s="134">
        <f t="shared" si="38"/>
        <v>0</v>
      </c>
      <c r="L147" s="145"/>
      <c r="M147" s="142"/>
      <c r="N147" s="134">
        <f t="shared" si="39"/>
        <v>0</v>
      </c>
      <c r="O147" s="145"/>
      <c r="P147" s="142"/>
      <c r="Q147" s="134">
        <f t="shared" si="31"/>
        <v>0</v>
      </c>
      <c r="R147" s="145"/>
      <c r="S147" s="142"/>
      <c r="T147" s="134">
        <f t="shared" si="32"/>
        <v>0</v>
      </c>
      <c r="U147" s="145"/>
      <c r="V147" s="142"/>
      <c r="W147" s="134">
        <f t="shared" si="33"/>
        <v>0</v>
      </c>
      <c r="X147" s="152"/>
      <c r="Y147" s="162"/>
      <c r="Z147" s="163"/>
      <c r="AA147" s="137">
        <f t="shared" si="34"/>
        <v>0</v>
      </c>
      <c r="AB147" s="138" t="e">
        <f t="shared" si="35"/>
        <v>#DIV/0!</v>
      </c>
    </row>
    <row r="148" spans="2:28" s="109" customFormat="1" ht="21.95" customHeight="1" outlineLevel="1">
      <c r="B148" s="148" t="str">
        <f>'CPU  1'!B148</f>
        <v>O14</v>
      </c>
      <c r="C148" s="156" t="str">
        <f>'CPU  1'!C148</f>
        <v>Solda exortémica</v>
      </c>
      <c r="D148" s="157" t="str">
        <f>'CPU  1'!D148</f>
        <v>vb</v>
      </c>
      <c r="E148" s="158">
        <f>'CPU  1'!E148</f>
        <v>455</v>
      </c>
      <c r="F148" s="145"/>
      <c r="G148" s="142"/>
      <c r="H148" s="134">
        <f t="shared" si="36"/>
        <v>0</v>
      </c>
      <c r="I148" s="145"/>
      <c r="J148" s="142"/>
      <c r="K148" s="134">
        <f t="shared" si="38"/>
        <v>0</v>
      </c>
      <c r="L148" s="145"/>
      <c r="M148" s="142"/>
      <c r="N148" s="134">
        <f t="shared" si="39"/>
        <v>0</v>
      </c>
      <c r="O148" s="145"/>
      <c r="P148" s="142"/>
      <c r="Q148" s="134">
        <f t="shared" si="31"/>
        <v>0</v>
      </c>
      <c r="R148" s="145"/>
      <c r="S148" s="142"/>
      <c r="T148" s="134">
        <f t="shared" si="32"/>
        <v>0</v>
      </c>
      <c r="U148" s="145"/>
      <c r="V148" s="142"/>
      <c r="W148" s="134">
        <f t="shared" si="33"/>
        <v>0</v>
      </c>
      <c r="X148" s="152"/>
      <c r="Y148" s="162"/>
      <c r="Z148" s="163"/>
      <c r="AA148" s="137">
        <f t="shared" si="34"/>
        <v>0</v>
      </c>
      <c r="AB148" s="138" t="e">
        <f t="shared" si="35"/>
        <v>#DIV/0!</v>
      </c>
    </row>
    <row r="149" spans="2:28" s="109" customFormat="1" ht="21.95" customHeight="1" outlineLevel="1">
      <c r="B149" s="148" t="str">
        <f>'CPU  1'!B149</f>
        <v>O15</v>
      </c>
      <c r="C149" s="156" t="str">
        <f>'CPU  1'!C149</f>
        <v>Material solda exotermica</v>
      </c>
      <c r="D149" s="157" t="str">
        <f>'CPU  1'!D149</f>
        <v>Unid</v>
      </c>
      <c r="E149" s="158">
        <f>'CPU  1'!E149</f>
        <v>60</v>
      </c>
      <c r="F149" s="145"/>
      <c r="G149" s="142"/>
      <c r="H149" s="134">
        <f t="shared" si="36"/>
        <v>0</v>
      </c>
      <c r="I149" s="145"/>
      <c r="J149" s="142"/>
      <c r="K149" s="134">
        <f t="shared" si="38"/>
        <v>0</v>
      </c>
      <c r="L149" s="145"/>
      <c r="M149" s="142"/>
      <c r="N149" s="134">
        <f t="shared" si="39"/>
        <v>0</v>
      </c>
      <c r="O149" s="145"/>
      <c r="P149" s="142"/>
      <c r="Q149" s="134">
        <f t="shared" si="31"/>
        <v>0</v>
      </c>
      <c r="R149" s="145"/>
      <c r="S149" s="142"/>
      <c r="T149" s="134">
        <f t="shared" si="32"/>
        <v>0</v>
      </c>
      <c r="U149" s="145"/>
      <c r="V149" s="142"/>
      <c r="W149" s="134">
        <f t="shared" si="33"/>
        <v>0</v>
      </c>
      <c r="X149" s="152"/>
      <c r="Y149" s="162"/>
      <c r="Z149" s="163"/>
      <c r="AA149" s="137">
        <f t="shared" si="34"/>
        <v>0</v>
      </c>
      <c r="AB149" s="138" t="e">
        <f t="shared" si="35"/>
        <v>#DIV/0!</v>
      </c>
    </row>
    <row r="150" spans="2:28" s="109" customFormat="1" ht="21.95" customHeight="1" outlineLevel="1">
      <c r="B150" s="148" t="str">
        <f>'CPU  1'!B150</f>
        <v>O16</v>
      </c>
      <c r="C150" s="156">
        <f>'CPU  1'!C150</f>
        <v>0</v>
      </c>
      <c r="D150" s="157">
        <f>'CPU  1'!D150</f>
        <v>0</v>
      </c>
      <c r="E150" s="158">
        <f>'CPU  1'!E150</f>
        <v>0</v>
      </c>
      <c r="F150" s="145"/>
      <c r="G150" s="142"/>
      <c r="H150" s="134">
        <f t="shared" si="36"/>
        <v>0</v>
      </c>
      <c r="I150" s="145"/>
      <c r="J150" s="142"/>
      <c r="K150" s="134">
        <f t="shared" si="38"/>
        <v>0</v>
      </c>
      <c r="L150" s="145"/>
      <c r="M150" s="142"/>
      <c r="N150" s="134">
        <f t="shared" si="39"/>
        <v>0</v>
      </c>
      <c r="O150" s="145"/>
      <c r="P150" s="142"/>
      <c r="Q150" s="134">
        <f t="shared" si="31"/>
        <v>0</v>
      </c>
      <c r="R150" s="145"/>
      <c r="S150" s="142"/>
      <c r="T150" s="134">
        <f t="shared" si="32"/>
        <v>0</v>
      </c>
      <c r="U150" s="145"/>
      <c r="V150" s="142"/>
      <c r="W150" s="134">
        <f t="shared" si="33"/>
        <v>0</v>
      </c>
      <c r="X150" s="152"/>
      <c r="Y150" s="162"/>
      <c r="Z150" s="163"/>
      <c r="AA150" s="137">
        <f t="shared" si="34"/>
        <v>0</v>
      </c>
      <c r="AB150" s="138" t="e">
        <f t="shared" si="35"/>
        <v>#DIV/0!</v>
      </c>
    </row>
    <row r="151" spans="2:28" s="109" customFormat="1" ht="21.95" customHeight="1" outlineLevel="1">
      <c r="B151" s="148" t="str">
        <f>'CPU  1'!B151</f>
        <v>O17</v>
      </c>
      <c r="C151" s="156">
        <f>'CPU  1'!C151</f>
        <v>0</v>
      </c>
      <c r="D151" s="157">
        <f>'CPU  1'!D151</f>
        <v>0</v>
      </c>
      <c r="E151" s="158">
        <f>'CPU  1'!E151</f>
        <v>0</v>
      </c>
      <c r="F151" s="145"/>
      <c r="G151" s="142"/>
      <c r="H151" s="134">
        <f t="shared" si="36"/>
        <v>0</v>
      </c>
      <c r="I151" s="145"/>
      <c r="J151" s="142"/>
      <c r="K151" s="134">
        <f t="shared" si="38"/>
        <v>0</v>
      </c>
      <c r="L151" s="145"/>
      <c r="M151" s="142"/>
      <c r="N151" s="134">
        <f t="shared" si="39"/>
        <v>0</v>
      </c>
      <c r="O151" s="145"/>
      <c r="P151" s="142"/>
      <c r="Q151" s="134">
        <f t="shared" si="31"/>
        <v>0</v>
      </c>
      <c r="R151" s="145"/>
      <c r="S151" s="142"/>
      <c r="T151" s="134">
        <f t="shared" si="32"/>
        <v>0</v>
      </c>
      <c r="U151" s="145"/>
      <c r="V151" s="142"/>
      <c r="W151" s="134">
        <f t="shared" si="33"/>
        <v>0</v>
      </c>
      <c r="X151" s="152"/>
      <c r="Y151" s="162"/>
      <c r="Z151" s="163"/>
      <c r="AA151" s="137">
        <f t="shared" si="34"/>
        <v>0</v>
      </c>
      <c r="AB151" s="138" t="e">
        <f t="shared" si="35"/>
        <v>#DIV/0!</v>
      </c>
    </row>
    <row r="152" spans="2:28" s="109" customFormat="1" ht="21.95" customHeight="1" outlineLevel="1">
      <c r="B152" s="148" t="str">
        <f>'CPU  1'!B152</f>
        <v>O18</v>
      </c>
      <c r="C152" s="156">
        <f>'CPU  1'!C152</f>
        <v>0</v>
      </c>
      <c r="D152" s="157">
        <f>'CPU  1'!D152</f>
        <v>0</v>
      </c>
      <c r="E152" s="158">
        <f>'CPU  1'!E152</f>
        <v>0</v>
      </c>
      <c r="F152" s="145"/>
      <c r="G152" s="142"/>
      <c r="H152" s="134">
        <f t="shared" si="36"/>
        <v>0</v>
      </c>
      <c r="I152" s="145"/>
      <c r="J152" s="142"/>
      <c r="K152" s="134">
        <f t="shared" si="38"/>
        <v>0</v>
      </c>
      <c r="L152" s="145"/>
      <c r="M152" s="142"/>
      <c r="N152" s="134">
        <f t="shared" si="39"/>
        <v>0</v>
      </c>
      <c r="O152" s="145"/>
      <c r="P152" s="142"/>
      <c r="Q152" s="134">
        <f t="shared" si="31"/>
        <v>0</v>
      </c>
      <c r="R152" s="145"/>
      <c r="S152" s="142"/>
      <c r="T152" s="134">
        <f t="shared" si="32"/>
        <v>0</v>
      </c>
      <c r="U152" s="145"/>
      <c r="V152" s="142"/>
      <c r="W152" s="134">
        <f t="shared" si="33"/>
        <v>0</v>
      </c>
      <c r="X152" s="152"/>
      <c r="Y152" s="162"/>
      <c r="Z152" s="163"/>
      <c r="AA152" s="137">
        <f t="shared" si="34"/>
        <v>0</v>
      </c>
      <c r="AB152" s="138" t="e">
        <f t="shared" si="35"/>
        <v>#DIV/0!</v>
      </c>
    </row>
    <row r="153" spans="2:28" s="109" customFormat="1" ht="21.95" customHeight="1" outlineLevel="1">
      <c r="B153" s="148" t="str">
        <f>'CPU  1'!B153</f>
        <v>O19</v>
      </c>
      <c r="C153" s="156">
        <f>'CPU  1'!C153</f>
        <v>0</v>
      </c>
      <c r="D153" s="157">
        <f>'CPU  1'!D153</f>
        <v>0</v>
      </c>
      <c r="E153" s="158">
        <f>'CPU  1'!E153</f>
        <v>0</v>
      </c>
      <c r="F153" s="145"/>
      <c r="G153" s="142"/>
      <c r="H153" s="134">
        <f t="shared" si="36"/>
        <v>0</v>
      </c>
      <c r="I153" s="145"/>
      <c r="J153" s="142"/>
      <c r="K153" s="134">
        <f>J153*I153*$E153</f>
        <v>0</v>
      </c>
      <c r="L153" s="145"/>
      <c r="M153" s="142"/>
      <c r="N153" s="134">
        <f>M153*L153*$E153</f>
        <v>0</v>
      </c>
      <c r="O153" s="145"/>
      <c r="P153" s="142"/>
      <c r="Q153" s="134">
        <f t="shared" si="31"/>
        <v>0</v>
      </c>
      <c r="R153" s="145"/>
      <c r="S153" s="142"/>
      <c r="T153" s="134">
        <f t="shared" si="32"/>
        <v>0</v>
      </c>
      <c r="U153" s="145"/>
      <c r="V153" s="142"/>
      <c r="W153" s="134">
        <f t="shared" si="33"/>
        <v>0</v>
      </c>
      <c r="X153" s="152"/>
      <c r="Y153" s="162"/>
      <c r="Z153" s="163"/>
      <c r="AA153" s="137">
        <f t="shared" si="34"/>
        <v>0</v>
      </c>
      <c r="AB153" s="138" t="e">
        <f t="shared" si="35"/>
        <v>#DIV/0!</v>
      </c>
    </row>
    <row r="154" spans="2:28" s="109" customFormat="1" ht="21.95" customHeight="1" outlineLevel="1" thickBot="1">
      <c r="B154" s="148" t="str">
        <f>'CPU  1'!B154</f>
        <v>O20</v>
      </c>
      <c r="C154" s="156">
        <f>'CPU  1'!C154</f>
        <v>0</v>
      </c>
      <c r="D154" s="157">
        <f>'CPU  1'!D154</f>
        <v>0</v>
      </c>
      <c r="E154" s="158">
        <f>'CPU  1'!E154</f>
        <v>0</v>
      </c>
      <c r="F154" s="145"/>
      <c r="G154" s="142"/>
      <c r="H154" s="134">
        <f t="shared" si="36"/>
        <v>0</v>
      </c>
      <c r="I154" s="145"/>
      <c r="J154" s="142"/>
      <c r="K154" s="134">
        <f>J154*I154*$E154</f>
        <v>0</v>
      </c>
      <c r="L154" s="145"/>
      <c r="M154" s="142"/>
      <c r="N154" s="134">
        <f>M154*L154*$E154</f>
        <v>0</v>
      </c>
      <c r="O154" s="145"/>
      <c r="P154" s="142"/>
      <c r="Q154" s="134">
        <f t="shared" si="31"/>
        <v>0</v>
      </c>
      <c r="R154" s="145"/>
      <c r="S154" s="142"/>
      <c r="T154" s="134">
        <f t="shared" si="32"/>
        <v>0</v>
      </c>
      <c r="U154" s="145"/>
      <c r="V154" s="142"/>
      <c r="W154" s="134">
        <f t="shared" si="33"/>
        <v>0</v>
      </c>
      <c r="X154" s="152"/>
      <c r="Y154" s="162"/>
      <c r="Z154" s="163"/>
      <c r="AA154" s="137">
        <f t="shared" si="34"/>
        <v>0</v>
      </c>
      <c r="AB154" s="138" t="e">
        <f t="shared" si="35"/>
        <v>#DIV/0!</v>
      </c>
    </row>
    <row r="155" spans="2:28" s="109" customFormat="1" ht="21.95" customHeight="1" thickBot="1">
      <c r="B155" s="694" t="s">
        <v>37</v>
      </c>
      <c r="C155" s="695"/>
      <c r="D155" s="695"/>
      <c r="E155" s="695" t="e">
        <f>SUM(#REF!)</f>
        <v>#REF!</v>
      </c>
      <c r="F155" s="263"/>
      <c r="G155" s="264"/>
      <c r="H155" s="265">
        <f>SUM(H135:H154)</f>
        <v>0</v>
      </c>
      <c r="I155" s="263"/>
      <c r="J155" s="264"/>
      <c r="K155" s="265">
        <f>SUM(K135:K154)</f>
        <v>0</v>
      </c>
      <c r="L155" s="263"/>
      <c r="M155" s="264"/>
      <c r="N155" s="265">
        <f>SUM(N135:N154)</f>
        <v>0</v>
      </c>
      <c r="O155" s="263"/>
      <c r="P155" s="264"/>
      <c r="Q155" s="265">
        <f>SUM(Q135:Q154)</f>
        <v>0</v>
      </c>
      <c r="R155" s="263"/>
      <c r="S155" s="264"/>
      <c r="T155" s="265">
        <f>SUM(T135:T154)</f>
        <v>0</v>
      </c>
      <c r="U155" s="263"/>
      <c r="V155" s="264"/>
      <c r="W155" s="265">
        <f>SUM(W135:W154)</f>
        <v>0</v>
      </c>
      <c r="X155" s="143"/>
      <c r="Y155" s="263"/>
      <c r="Z155" s="264"/>
      <c r="AA155" s="265">
        <f>SUM(AA135:AA154)</f>
        <v>0</v>
      </c>
      <c r="AB155" s="138"/>
    </row>
    <row r="156" spans="2:28" ht="11.25" customHeight="1" thickBot="1">
      <c r="B156" s="165"/>
      <c r="C156" s="166"/>
      <c r="D156" s="166"/>
      <c r="E156" s="165"/>
      <c r="F156" s="166"/>
      <c r="G156" s="166"/>
      <c r="H156" s="166"/>
      <c r="I156" s="166"/>
      <c r="J156" s="166"/>
      <c r="K156" s="166"/>
      <c r="L156" s="166"/>
      <c r="M156" s="166"/>
      <c r="N156" s="166"/>
      <c r="O156" s="166"/>
      <c r="P156" s="166"/>
      <c r="Q156" s="166"/>
      <c r="R156" s="166"/>
      <c r="S156" s="166"/>
      <c r="T156" s="166"/>
      <c r="U156" s="166"/>
      <c r="V156" s="166"/>
      <c r="W156" s="166"/>
      <c r="X156" s="115"/>
      <c r="Y156" s="167"/>
      <c r="Z156" s="167"/>
      <c r="AA156" s="167"/>
    </row>
    <row r="157" spans="2:28" s="109" customFormat="1" ht="18" customHeight="1">
      <c r="B157" s="266" t="s">
        <v>4</v>
      </c>
      <c r="C157" s="696" t="s">
        <v>120</v>
      </c>
      <c r="D157" s="697"/>
      <c r="E157" s="267"/>
      <c r="F157" s="266"/>
      <c r="G157" s="268" t="s">
        <v>57</v>
      </c>
      <c r="H157" s="269" t="s">
        <v>50</v>
      </c>
      <c r="I157" s="266"/>
      <c r="J157" s="268" t="s">
        <v>57</v>
      </c>
      <c r="K157" s="269" t="s">
        <v>50</v>
      </c>
      <c r="L157" s="266"/>
      <c r="M157" s="268" t="s">
        <v>57</v>
      </c>
      <c r="N157" s="269" t="s">
        <v>50</v>
      </c>
      <c r="O157" s="266"/>
      <c r="P157" s="268" t="s">
        <v>57</v>
      </c>
      <c r="Q157" s="269" t="s">
        <v>50</v>
      </c>
      <c r="R157" s="266"/>
      <c r="S157" s="268" t="s">
        <v>57</v>
      </c>
      <c r="T157" s="269" t="s">
        <v>50</v>
      </c>
      <c r="U157" s="266"/>
      <c r="V157" s="268" t="s">
        <v>57</v>
      </c>
      <c r="W157" s="269" t="s">
        <v>50</v>
      </c>
      <c r="X157" s="124"/>
      <c r="Y157" s="266"/>
      <c r="Z157" s="268" t="s">
        <v>57</v>
      </c>
      <c r="AA157" s="269" t="s">
        <v>50</v>
      </c>
      <c r="AB157" s="108"/>
    </row>
    <row r="158" spans="2:28" s="109" customFormat="1" ht="18" customHeight="1">
      <c r="B158" s="168" t="s">
        <v>2</v>
      </c>
      <c r="C158" s="169" t="s">
        <v>38</v>
      </c>
      <c r="D158" s="170"/>
      <c r="E158" s="171"/>
      <c r="F158" s="172"/>
      <c r="G158" s="173" t="e">
        <f>H158/H162</f>
        <v>#DIV/0!</v>
      </c>
      <c r="H158" s="174">
        <f>H23</f>
        <v>0</v>
      </c>
      <c r="I158" s="172"/>
      <c r="J158" s="173" t="e">
        <f>K158/K162</f>
        <v>#DIV/0!</v>
      </c>
      <c r="K158" s="174">
        <f>K23</f>
        <v>0</v>
      </c>
      <c r="L158" s="172"/>
      <c r="M158" s="173" t="e">
        <f>N158/N162</f>
        <v>#DIV/0!</v>
      </c>
      <c r="N158" s="174">
        <f>N23</f>
        <v>0</v>
      </c>
      <c r="O158" s="172"/>
      <c r="P158" s="173" t="e">
        <f>Q158/Q162</f>
        <v>#DIV/0!</v>
      </c>
      <c r="Q158" s="174">
        <f>Q23</f>
        <v>0</v>
      </c>
      <c r="R158" s="172"/>
      <c r="S158" s="173" t="e">
        <f>T158/T162</f>
        <v>#DIV/0!</v>
      </c>
      <c r="T158" s="174">
        <f>T23</f>
        <v>0</v>
      </c>
      <c r="U158" s="172"/>
      <c r="V158" s="173" t="e">
        <f>W158/W162</f>
        <v>#DIV/0!</v>
      </c>
      <c r="W158" s="174">
        <f>W23</f>
        <v>0</v>
      </c>
      <c r="X158" s="152"/>
      <c r="Y158" s="175"/>
      <c r="Z158" s="176" t="e">
        <f>AA158/AA162</f>
        <v>#DIV/0!</v>
      </c>
      <c r="AA158" s="177">
        <f>AA23</f>
        <v>0</v>
      </c>
      <c r="AB158" s="108"/>
    </row>
    <row r="159" spans="2:28" s="109" customFormat="1" ht="18" customHeight="1">
      <c r="B159" s="145" t="s">
        <v>1</v>
      </c>
      <c r="C159" s="178" t="s">
        <v>39</v>
      </c>
      <c r="D159" s="179"/>
      <c r="E159" s="180"/>
      <c r="F159" s="181"/>
      <c r="G159" s="182" t="e">
        <f>H159/H162</f>
        <v>#DIV/0!</v>
      </c>
      <c r="H159" s="134">
        <f>H80</f>
        <v>0</v>
      </c>
      <c r="I159" s="181"/>
      <c r="J159" s="182" t="e">
        <f>K159/K162</f>
        <v>#DIV/0!</v>
      </c>
      <c r="K159" s="134">
        <f>K80</f>
        <v>0</v>
      </c>
      <c r="L159" s="181"/>
      <c r="M159" s="182" t="e">
        <f>N159/N162</f>
        <v>#DIV/0!</v>
      </c>
      <c r="N159" s="134">
        <f>N80</f>
        <v>0</v>
      </c>
      <c r="O159" s="181"/>
      <c r="P159" s="182" t="e">
        <f>Q159/Q162</f>
        <v>#DIV/0!</v>
      </c>
      <c r="Q159" s="134">
        <f>Q80</f>
        <v>0</v>
      </c>
      <c r="R159" s="181"/>
      <c r="S159" s="182" t="e">
        <f>T159/T162</f>
        <v>#DIV/0!</v>
      </c>
      <c r="T159" s="134">
        <f>T80</f>
        <v>0</v>
      </c>
      <c r="U159" s="181"/>
      <c r="V159" s="182" t="e">
        <f>W159/W162</f>
        <v>#DIV/0!</v>
      </c>
      <c r="W159" s="134">
        <f>W80</f>
        <v>0</v>
      </c>
      <c r="X159" s="152"/>
      <c r="Y159" s="183"/>
      <c r="Z159" s="184" t="e">
        <f>AA159/AA162</f>
        <v>#DIV/0!</v>
      </c>
      <c r="AA159" s="185">
        <f>AA80</f>
        <v>0</v>
      </c>
      <c r="AB159" s="108"/>
    </row>
    <row r="160" spans="2:28" s="109" customFormat="1" ht="18" customHeight="1">
      <c r="B160" s="145" t="s">
        <v>0</v>
      </c>
      <c r="C160" s="178" t="s">
        <v>40</v>
      </c>
      <c r="D160" s="179"/>
      <c r="E160" s="180"/>
      <c r="F160" s="181"/>
      <c r="G160" s="182" t="e">
        <f>H160/H162</f>
        <v>#DIV/0!</v>
      </c>
      <c r="H160" s="134">
        <f>H132</f>
        <v>0</v>
      </c>
      <c r="I160" s="181"/>
      <c r="J160" s="182" t="e">
        <f>K160/K162</f>
        <v>#DIV/0!</v>
      </c>
      <c r="K160" s="134">
        <f>K132</f>
        <v>0</v>
      </c>
      <c r="L160" s="181"/>
      <c r="M160" s="182" t="e">
        <f>N160/N162</f>
        <v>#DIV/0!</v>
      </c>
      <c r="N160" s="134">
        <f>N132</f>
        <v>0</v>
      </c>
      <c r="O160" s="181"/>
      <c r="P160" s="182" t="e">
        <f>Q160/Q162</f>
        <v>#DIV/0!</v>
      </c>
      <c r="Q160" s="134">
        <f>Q132</f>
        <v>0</v>
      </c>
      <c r="R160" s="181"/>
      <c r="S160" s="182" t="e">
        <f>T160/T162</f>
        <v>#DIV/0!</v>
      </c>
      <c r="T160" s="134">
        <f>T132</f>
        <v>0</v>
      </c>
      <c r="U160" s="181"/>
      <c r="V160" s="182" t="e">
        <f>W160/W162</f>
        <v>#DIV/0!</v>
      </c>
      <c r="W160" s="134">
        <f>W132</f>
        <v>0</v>
      </c>
      <c r="X160" s="152"/>
      <c r="Y160" s="183"/>
      <c r="Z160" s="184" t="e">
        <f>AA160/AA162</f>
        <v>#DIV/0!</v>
      </c>
      <c r="AA160" s="185">
        <f>AA132</f>
        <v>0</v>
      </c>
      <c r="AB160" s="108"/>
    </row>
    <row r="161" spans="2:28" s="109" customFormat="1" ht="18" customHeight="1">
      <c r="B161" s="186" t="s">
        <v>3</v>
      </c>
      <c r="C161" s="187" t="s">
        <v>41</v>
      </c>
      <c r="D161" s="188"/>
      <c r="E161" s="189"/>
      <c r="F161" s="190"/>
      <c r="G161" s="191" t="e">
        <f>H161/H162</f>
        <v>#DIV/0!</v>
      </c>
      <c r="H161" s="192">
        <f>H155</f>
        <v>0</v>
      </c>
      <c r="I161" s="190"/>
      <c r="J161" s="191" t="e">
        <f>K161/K162</f>
        <v>#DIV/0!</v>
      </c>
      <c r="K161" s="192">
        <f>K155</f>
        <v>0</v>
      </c>
      <c r="L161" s="190"/>
      <c r="M161" s="191" t="e">
        <f>N161/N162</f>
        <v>#DIV/0!</v>
      </c>
      <c r="N161" s="192">
        <f>N155</f>
        <v>0</v>
      </c>
      <c r="O161" s="190"/>
      <c r="P161" s="191" t="e">
        <f>Q161/Q162</f>
        <v>#DIV/0!</v>
      </c>
      <c r="Q161" s="192">
        <f>Q155</f>
        <v>0</v>
      </c>
      <c r="R161" s="190"/>
      <c r="S161" s="191" t="e">
        <f>T161/T162</f>
        <v>#DIV/0!</v>
      </c>
      <c r="T161" s="192">
        <f>T155</f>
        <v>0</v>
      </c>
      <c r="U161" s="190"/>
      <c r="V161" s="191" t="e">
        <f>W161/W162</f>
        <v>#DIV/0!</v>
      </c>
      <c r="W161" s="192">
        <f>W155</f>
        <v>0</v>
      </c>
      <c r="X161" s="152"/>
      <c r="Y161" s="193"/>
      <c r="Z161" s="194" t="e">
        <f>AA161/AA162</f>
        <v>#DIV/0!</v>
      </c>
      <c r="AA161" s="195">
        <f>AA155</f>
        <v>0</v>
      </c>
      <c r="AB161" s="108"/>
    </row>
    <row r="162" spans="2:28" s="109" customFormat="1" ht="18" customHeight="1" thickBot="1">
      <c r="B162" s="270"/>
      <c r="C162" s="271" t="s">
        <v>42</v>
      </c>
      <c r="D162" s="272"/>
      <c r="E162" s="273">
        <f>SUM(E158:E161)</f>
        <v>0</v>
      </c>
      <c r="F162" s="274"/>
      <c r="G162" s="275" t="e">
        <f>SUM(G158:G161)</f>
        <v>#DIV/0!</v>
      </c>
      <c r="H162" s="276">
        <f>SUM(H158:H161)</f>
        <v>0</v>
      </c>
      <c r="I162" s="274"/>
      <c r="J162" s="275" t="e">
        <f>SUM(J158:J161)</f>
        <v>#DIV/0!</v>
      </c>
      <c r="K162" s="276">
        <f>SUM(K158:K161)</f>
        <v>0</v>
      </c>
      <c r="L162" s="274"/>
      <c r="M162" s="275" t="e">
        <f>SUM(M158:M161)</f>
        <v>#DIV/0!</v>
      </c>
      <c r="N162" s="276">
        <f>SUM(N158:N161)</f>
        <v>0</v>
      </c>
      <c r="O162" s="274"/>
      <c r="P162" s="275" t="e">
        <f>SUM(P158:P161)</f>
        <v>#DIV/0!</v>
      </c>
      <c r="Q162" s="276">
        <f>SUM(Q158:Q161)</f>
        <v>0</v>
      </c>
      <c r="R162" s="274"/>
      <c r="S162" s="275" t="e">
        <f>SUM(S158:S161)</f>
        <v>#DIV/0!</v>
      </c>
      <c r="T162" s="276">
        <f>SUM(T158:T161)</f>
        <v>0</v>
      </c>
      <c r="U162" s="274"/>
      <c r="V162" s="275" t="e">
        <f>SUM(V158:V161)</f>
        <v>#DIV/0!</v>
      </c>
      <c r="W162" s="276">
        <f>SUM(W158:W161)</f>
        <v>0</v>
      </c>
      <c r="X162" s="124"/>
      <c r="Y162" s="277"/>
      <c r="Z162" s="278" t="e">
        <f>SUM(Z158:Z161)</f>
        <v>#DIV/0!</v>
      </c>
      <c r="AA162" s="279">
        <f>SUM(AA158:AA161)</f>
        <v>0</v>
      </c>
      <c r="AB162" s="108"/>
    </row>
    <row r="163" spans="2:28" s="109" customFormat="1" ht="18" customHeight="1" thickBot="1">
      <c r="B163" s="196"/>
      <c r="C163" s="698"/>
      <c r="D163" s="698"/>
      <c r="E163" s="698"/>
      <c r="F163" s="698"/>
      <c r="G163" s="698"/>
      <c r="H163" s="698"/>
      <c r="I163" s="698"/>
      <c r="J163" s="698"/>
      <c r="K163" s="698"/>
      <c r="L163" s="698"/>
      <c r="M163" s="698"/>
      <c r="N163" s="698"/>
      <c r="O163" s="698"/>
      <c r="P163" s="698"/>
      <c r="Q163" s="698"/>
      <c r="R163" s="698"/>
      <c r="S163" s="698"/>
      <c r="T163" s="698"/>
      <c r="U163" s="698"/>
      <c r="V163" s="698"/>
      <c r="W163" s="698"/>
      <c r="X163" s="124"/>
      <c r="Y163" s="692"/>
      <c r="Z163" s="692"/>
      <c r="AA163" s="692"/>
      <c r="AB163" s="108"/>
    </row>
    <row r="164" spans="2:28" s="109" customFormat="1" ht="18" customHeight="1">
      <c r="B164" s="274" t="s">
        <v>4</v>
      </c>
      <c r="C164" s="688" t="s">
        <v>119</v>
      </c>
      <c r="D164" s="689"/>
      <c r="E164" s="273" t="s">
        <v>8</v>
      </c>
      <c r="F164" s="274"/>
      <c r="G164" s="275"/>
      <c r="H164" s="276" t="s">
        <v>50</v>
      </c>
      <c r="I164" s="274"/>
      <c r="J164" s="275"/>
      <c r="K164" s="276" t="s">
        <v>50</v>
      </c>
      <c r="L164" s="274"/>
      <c r="M164" s="275"/>
      <c r="N164" s="276" t="s">
        <v>50</v>
      </c>
      <c r="O164" s="274"/>
      <c r="P164" s="275"/>
      <c r="Q164" s="276" t="s">
        <v>50</v>
      </c>
      <c r="R164" s="274"/>
      <c r="S164" s="275"/>
      <c r="T164" s="276" t="s">
        <v>50</v>
      </c>
      <c r="U164" s="274"/>
      <c r="V164" s="275"/>
      <c r="W164" s="276" t="s">
        <v>50</v>
      </c>
      <c r="X164" s="124"/>
      <c r="Y164" s="266"/>
      <c r="Z164" s="268"/>
      <c r="AA164" s="269" t="s">
        <v>50</v>
      </c>
      <c r="AB164" s="108"/>
    </row>
    <row r="165" spans="2:28" s="109" customFormat="1" ht="18" customHeight="1">
      <c r="B165" s="197">
        <v>1</v>
      </c>
      <c r="C165" s="198" t="s">
        <v>7</v>
      </c>
      <c r="D165" s="199"/>
      <c r="E165" s="200">
        <f>'BDI-TRIBUTOS'!D8</f>
        <v>0.09</v>
      </c>
      <c r="F165" s="201"/>
      <c r="G165" s="202"/>
      <c r="H165" s="203">
        <f>H162*$E$165</f>
        <v>0</v>
      </c>
      <c r="I165" s="201"/>
      <c r="J165" s="202"/>
      <c r="K165" s="203">
        <f>K162*$E$165</f>
        <v>0</v>
      </c>
      <c r="L165" s="201"/>
      <c r="M165" s="202"/>
      <c r="N165" s="203">
        <f>N162*$E$165</f>
        <v>0</v>
      </c>
      <c r="O165" s="201"/>
      <c r="P165" s="202"/>
      <c r="Q165" s="203">
        <f>Q162*$E$165</f>
        <v>0</v>
      </c>
      <c r="R165" s="201"/>
      <c r="S165" s="202"/>
      <c r="T165" s="203">
        <f>T162*$E$165</f>
        <v>0</v>
      </c>
      <c r="U165" s="201"/>
      <c r="V165" s="202"/>
      <c r="W165" s="203">
        <f>W162*$E$165</f>
        <v>0</v>
      </c>
      <c r="X165" s="143"/>
      <c r="Y165" s="204"/>
      <c r="Z165" s="205"/>
      <c r="AA165" s="206">
        <f>AA162*$E$165</f>
        <v>0</v>
      </c>
      <c r="AB165" s="108"/>
    </row>
    <row r="166" spans="2:28" s="109" customFormat="1" ht="18" customHeight="1">
      <c r="B166" s="207">
        <v>2</v>
      </c>
      <c r="C166" s="208" t="s">
        <v>51</v>
      </c>
      <c r="D166" s="209"/>
      <c r="E166" s="210">
        <f>'BDI-TRIBUTOS'!D6</f>
        <v>0.06</v>
      </c>
      <c r="F166" s="211"/>
      <c r="G166" s="212"/>
      <c r="H166" s="213">
        <f>H162*$E$166</f>
        <v>0</v>
      </c>
      <c r="I166" s="211"/>
      <c r="J166" s="212"/>
      <c r="K166" s="213">
        <f>K162*$E$166</f>
        <v>0</v>
      </c>
      <c r="L166" s="211"/>
      <c r="M166" s="212"/>
      <c r="N166" s="213">
        <f>N162*$E$166</f>
        <v>0</v>
      </c>
      <c r="O166" s="211"/>
      <c r="P166" s="212"/>
      <c r="Q166" s="213">
        <f>Q162*$E$166</f>
        <v>0</v>
      </c>
      <c r="R166" s="211"/>
      <c r="S166" s="212"/>
      <c r="T166" s="213">
        <f>T162*$E$166</f>
        <v>0</v>
      </c>
      <c r="U166" s="211"/>
      <c r="V166" s="212"/>
      <c r="W166" s="213">
        <f>W162*$E$166</f>
        <v>0</v>
      </c>
      <c r="X166" s="143"/>
      <c r="Y166" s="214"/>
      <c r="Z166" s="215"/>
      <c r="AA166" s="216">
        <f>AA162*$E$166</f>
        <v>0</v>
      </c>
      <c r="AB166" s="108"/>
    </row>
    <row r="167" spans="2:28" s="109" customFormat="1" ht="18" customHeight="1">
      <c r="B167" s="207">
        <v>3</v>
      </c>
      <c r="C167" s="208" t="s">
        <v>137</v>
      </c>
      <c r="D167" s="209"/>
      <c r="E167" s="210">
        <f>'BDI-TRIBUTOS'!D10</f>
        <v>3.5000000000000003E-2</v>
      </c>
      <c r="F167" s="211"/>
      <c r="G167" s="212"/>
      <c r="H167" s="213">
        <f>H162*$E$167</f>
        <v>0</v>
      </c>
      <c r="I167" s="211"/>
      <c r="J167" s="212"/>
      <c r="K167" s="213">
        <f>K162*$E$167</f>
        <v>0</v>
      </c>
      <c r="L167" s="211"/>
      <c r="M167" s="212"/>
      <c r="N167" s="213">
        <f>N162*$E$167</f>
        <v>0</v>
      </c>
      <c r="O167" s="211"/>
      <c r="P167" s="212"/>
      <c r="Q167" s="213">
        <f>Q162*$E$167</f>
        <v>0</v>
      </c>
      <c r="R167" s="211"/>
      <c r="S167" s="212"/>
      <c r="T167" s="213">
        <f>T162*$E$167</f>
        <v>0</v>
      </c>
      <c r="U167" s="211"/>
      <c r="V167" s="212"/>
      <c r="W167" s="213">
        <f>W162*$E$167</f>
        <v>0</v>
      </c>
      <c r="X167" s="143"/>
      <c r="Y167" s="214"/>
      <c r="Z167" s="215"/>
      <c r="AA167" s="216">
        <f>AA162*$E$167</f>
        <v>0</v>
      </c>
      <c r="AB167" s="108"/>
    </row>
    <row r="168" spans="2:28" s="109" customFormat="1" ht="18" customHeight="1">
      <c r="B168" s="207">
        <v>4</v>
      </c>
      <c r="C168" s="208" t="s">
        <v>52</v>
      </c>
      <c r="D168" s="209"/>
      <c r="E168" s="210">
        <f>'BDI-TRIBUTOS'!D12</f>
        <v>0.02</v>
      </c>
      <c r="F168" s="211"/>
      <c r="G168" s="212"/>
      <c r="H168" s="213">
        <f>H162*$E$168</f>
        <v>0</v>
      </c>
      <c r="I168" s="211"/>
      <c r="J168" s="212"/>
      <c r="K168" s="213">
        <f>K162*$E$168</f>
        <v>0</v>
      </c>
      <c r="L168" s="211"/>
      <c r="M168" s="212"/>
      <c r="N168" s="213">
        <f>N162*$E$168</f>
        <v>0</v>
      </c>
      <c r="O168" s="211"/>
      <c r="P168" s="212"/>
      <c r="Q168" s="213">
        <f>Q162*$E$168</f>
        <v>0</v>
      </c>
      <c r="R168" s="211"/>
      <c r="S168" s="212"/>
      <c r="T168" s="213">
        <f>T162*$E$168</f>
        <v>0</v>
      </c>
      <c r="U168" s="211"/>
      <c r="V168" s="212"/>
      <c r="W168" s="213">
        <f>W162*$E$168</f>
        <v>0</v>
      </c>
      <c r="X168" s="143"/>
      <c r="Y168" s="214"/>
      <c r="Z168" s="215"/>
      <c r="AA168" s="216">
        <f>AA162*$E$168</f>
        <v>0</v>
      </c>
      <c r="AB168" s="108"/>
    </row>
    <row r="169" spans="2:28" s="109" customFormat="1" ht="18" customHeight="1">
      <c r="B169" s="207">
        <v>5</v>
      </c>
      <c r="C169" s="217" t="s">
        <v>41</v>
      </c>
      <c r="D169" s="218"/>
      <c r="E169" s="210">
        <f>'BDI-TRIBUTOS'!D14</f>
        <v>0.01</v>
      </c>
      <c r="F169" s="219"/>
      <c r="G169" s="220"/>
      <c r="H169" s="221">
        <f>H162*$E$169</f>
        <v>0</v>
      </c>
      <c r="I169" s="219"/>
      <c r="J169" s="220"/>
      <c r="K169" s="221">
        <f>K162*$E$169</f>
        <v>0</v>
      </c>
      <c r="L169" s="219"/>
      <c r="M169" s="220"/>
      <c r="N169" s="221">
        <f>N162*$E$169</f>
        <v>0</v>
      </c>
      <c r="O169" s="219"/>
      <c r="P169" s="220"/>
      <c r="Q169" s="221">
        <f>Q162*$E$169</f>
        <v>0</v>
      </c>
      <c r="R169" s="219"/>
      <c r="S169" s="220"/>
      <c r="T169" s="221">
        <f>T162*$E$169</f>
        <v>0</v>
      </c>
      <c r="U169" s="219"/>
      <c r="V169" s="220"/>
      <c r="W169" s="221">
        <f>W162*$E$169</f>
        <v>0</v>
      </c>
      <c r="X169" s="143"/>
      <c r="Y169" s="222"/>
      <c r="Z169" s="223"/>
      <c r="AA169" s="224">
        <f>AA162*$E$169</f>
        <v>0</v>
      </c>
      <c r="AB169" s="108"/>
    </row>
    <row r="170" spans="2:28" s="109" customFormat="1" ht="18" customHeight="1">
      <c r="B170" s="207">
        <v>6</v>
      </c>
      <c r="C170" s="225" t="s">
        <v>53</v>
      </c>
      <c r="D170" s="226"/>
      <c r="E170" s="227">
        <f>'BDI-TRIBUTOS'!D4</f>
        <v>0.1</v>
      </c>
      <c r="F170" s="228"/>
      <c r="G170" s="229"/>
      <c r="H170" s="230">
        <f>H182*$E$170</f>
        <v>0</v>
      </c>
      <c r="I170" s="228"/>
      <c r="J170" s="229"/>
      <c r="K170" s="230">
        <f>K182*$E$170</f>
        <v>0</v>
      </c>
      <c r="L170" s="228"/>
      <c r="M170" s="229"/>
      <c r="N170" s="230">
        <f>N182*$E$170</f>
        <v>0</v>
      </c>
      <c r="O170" s="228"/>
      <c r="P170" s="229"/>
      <c r="Q170" s="230">
        <f>Q182*$E$170</f>
        <v>0</v>
      </c>
      <c r="R170" s="228"/>
      <c r="S170" s="229"/>
      <c r="T170" s="230">
        <f>T182*$E$170</f>
        <v>0</v>
      </c>
      <c r="U170" s="228"/>
      <c r="V170" s="229"/>
      <c r="W170" s="230">
        <f>W182*$E$170</f>
        <v>0</v>
      </c>
      <c r="X170" s="143"/>
      <c r="Y170" s="231"/>
      <c r="Z170" s="232"/>
      <c r="AA170" s="233">
        <f>AA182*$E$170</f>
        <v>0</v>
      </c>
      <c r="AB170" s="108"/>
    </row>
    <row r="171" spans="2:28" s="109" customFormat="1" ht="18" customHeight="1" thickBot="1">
      <c r="B171" s="270"/>
      <c r="C171" s="271" t="s">
        <v>43</v>
      </c>
      <c r="D171" s="272"/>
      <c r="E171" s="280">
        <f>SUM(E165:E170)</f>
        <v>0.315</v>
      </c>
      <c r="F171" s="281"/>
      <c r="G171" s="282">
        <f>SUM(H165:H169)+H162</f>
        <v>0</v>
      </c>
      <c r="H171" s="276">
        <f>SUM(H165:H170)</f>
        <v>0</v>
      </c>
      <c r="I171" s="281"/>
      <c r="J171" s="282">
        <f>SUM(K165:K169)+K162</f>
        <v>0</v>
      </c>
      <c r="K171" s="276">
        <f>SUM(K165:K170)</f>
        <v>0</v>
      </c>
      <c r="L171" s="281"/>
      <c r="M171" s="282">
        <f>SUM(N165:N169)+N162</f>
        <v>0</v>
      </c>
      <c r="N171" s="276">
        <f>SUM(N165:N170)</f>
        <v>0</v>
      </c>
      <c r="O171" s="281"/>
      <c r="P171" s="282">
        <f>SUM(Q165:Q169)+Q162</f>
        <v>0</v>
      </c>
      <c r="Q171" s="276">
        <f>SUM(Q165:Q170)</f>
        <v>0</v>
      </c>
      <c r="R171" s="281"/>
      <c r="S171" s="282">
        <f>SUM(T165:T169)+T162</f>
        <v>0</v>
      </c>
      <c r="T171" s="276">
        <f>SUM(T165:T170)</f>
        <v>0</v>
      </c>
      <c r="U171" s="281"/>
      <c r="V171" s="282">
        <f>SUM(W165:W169)+W162</f>
        <v>0</v>
      </c>
      <c r="W171" s="276">
        <f>SUM(W165:W170)</f>
        <v>0</v>
      </c>
      <c r="X171" s="124"/>
      <c r="Y171" s="283"/>
      <c r="Z171" s="284">
        <f>SUM(AA165:AA169)+AA162</f>
        <v>0</v>
      </c>
      <c r="AA171" s="279">
        <f>SUM(AA165:AA170)</f>
        <v>0</v>
      </c>
      <c r="AB171" s="108"/>
    </row>
    <row r="172" spans="2:28" s="109" customFormat="1" ht="18" customHeight="1" thickBot="1">
      <c r="B172" s="196"/>
      <c r="C172" s="234"/>
      <c r="D172" s="235"/>
      <c r="E172" s="236"/>
      <c r="F172" s="746" t="e">
        <f>H171/H162</f>
        <v>#DIV/0!</v>
      </c>
      <c r="G172" s="746"/>
      <c r="H172" s="746"/>
      <c r="I172" s="746" t="e">
        <f>K171/K162</f>
        <v>#DIV/0!</v>
      </c>
      <c r="J172" s="746"/>
      <c r="K172" s="746"/>
      <c r="L172" s="746" t="e">
        <f>N171/N162</f>
        <v>#DIV/0!</v>
      </c>
      <c r="M172" s="746"/>
      <c r="N172" s="746"/>
      <c r="O172" s="746" t="e">
        <f>Q171/Q162</f>
        <v>#DIV/0!</v>
      </c>
      <c r="P172" s="746"/>
      <c r="Q172" s="746"/>
      <c r="R172" s="746" t="e">
        <f>T171/T162</f>
        <v>#DIV/0!</v>
      </c>
      <c r="S172" s="746"/>
      <c r="T172" s="746"/>
      <c r="U172" s="746" t="e">
        <f>W171/W162</f>
        <v>#DIV/0!</v>
      </c>
      <c r="V172" s="746"/>
      <c r="W172" s="746"/>
      <c r="X172" s="237"/>
      <c r="Y172" s="693" t="e">
        <f>AA171/AA162</f>
        <v>#DIV/0!</v>
      </c>
      <c r="Z172" s="693"/>
      <c r="AA172" s="693"/>
      <c r="AB172" s="108"/>
    </row>
    <row r="173" spans="2:28" s="109" customFormat="1" ht="18" customHeight="1">
      <c r="B173" s="274" t="s">
        <v>4</v>
      </c>
      <c r="C173" s="688" t="s">
        <v>23</v>
      </c>
      <c r="D173" s="689"/>
      <c r="E173" s="273" t="s">
        <v>8</v>
      </c>
      <c r="F173" s="274"/>
      <c r="G173" s="275"/>
      <c r="H173" s="276" t="s">
        <v>50</v>
      </c>
      <c r="I173" s="274"/>
      <c r="J173" s="275"/>
      <c r="K173" s="276" t="s">
        <v>50</v>
      </c>
      <c r="L173" s="274"/>
      <c r="M173" s="275"/>
      <c r="N173" s="276" t="s">
        <v>50</v>
      </c>
      <c r="O173" s="274"/>
      <c r="P173" s="275"/>
      <c r="Q173" s="276" t="s">
        <v>50</v>
      </c>
      <c r="R173" s="274"/>
      <c r="S173" s="275"/>
      <c r="T173" s="276" t="s">
        <v>50</v>
      </c>
      <c r="U173" s="274"/>
      <c r="V173" s="275"/>
      <c r="W173" s="276" t="s">
        <v>50</v>
      </c>
      <c r="X173" s="124"/>
      <c r="Y173" s="266"/>
      <c r="Z173" s="268"/>
      <c r="AA173" s="269" t="s">
        <v>50</v>
      </c>
      <c r="AB173" s="108"/>
    </row>
    <row r="174" spans="2:28" s="109" customFormat="1" ht="18" customHeight="1">
      <c r="B174" s="197">
        <v>1</v>
      </c>
      <c r="C174" s="198" t="s">
        <v>54</v>
      </c>
      <c r="D174" s="199"/>
      <c r="E174" s="200">
        <f>'BDI-TRIBUTOS'!D20</f>
        <v>0.05</v>
      </c>
      <c r="F174" s="238"/>
      <c r="G174" s="239"/>
      <c r="H174" s="203">
        <f t="shared" ref="H174:H179" si="40">H$182*$E174</f>
        <v>0</v>
      </c>
      <c r="I174" s="238"/>
      <c r="J174" s="239"/>
      <c r="K174" s="203">
        <f t="shared" ref="K174:K179" si="41">K$182*$E174</f>
        <v>0</v>
      </c>
      <c r="L174" s="238"/>
      <c r="M174" s="239"/>
      <c r="N174" s="203">
        <f t="shared" ref="N174:N179" si="42">N$182*$E174</f>
        <v>0</v>
      </c>
      <c r="O174" s="238"/>
      <c r="P174" s="239"/>
      <c r="Q174" s="203">
        <f t="shared" ref="Q174:Q179" si="43">Q$182*$E174</f>
        <v>0</v>
      </c>
      <c r="R174" s="238"/>
      <c r="S174" s="239"/>
      <c r="T174" s="203">
        <f t="shared" ref="T174:T179" si="44">T$182*$E174</f>
        <v>0</v>
      </c>
      <c r="U174" s="238"/>
      <c r="V174" s="239"/>
      <c r="W174" s="203">
        <f t="shared" ref="W174:W179" si="45">W$182*$E174</f>
        <v>0</v>
      </c>
      <c r="X174" s="143"/>
      <c r="Y174" s="240"/>
      <c r="Z174" s="241"/>
      <c r="AA174" s="206">
        <f t="shared" ref="AA174:AA179" si="46">$AA$182*E174</f>
        <v>0</v>
      </c>
      <c r="AB174" s="108"/>
    </row>
    <row r="175" spans="2:28" s="109" customFormat="1" ht="18" customHeight="1">
      <c r="B175" s="207">
        <v>2</v>
      </c>
      <c r="C175" s="208" t="s">
        <v>24</v>
      </c>
      <c r="D175" s="209"/>
      <c r="E175" s="210">
        <f>'BDI-TRIBUTOS'!D21</f>
        <v>0.03</v>
      </c>
      <c r="F175" s="242"/>
      <c r="G175" s="243"/>
      <c r="H175" s="213">
        <f t="shared" si="40"/>
        <v>0</v>
      </c>
      <c r="I175" s="242"/>
      <c r="J175" s="243"/>
      <c r="K175" s="213">
        <f t="shared" si="41"/>
        <v>0</v>
      </c>
      <c r="L175" s="242"/>
      <c r="M175" s="243"/>
      <c r="N175" s="213">
        <f t="shared" si="42"/>
        <v>0</v>
      </c>
      <c r="O175" s="242"/>
      <c r="P175" s="243"/>
      <c r="Q175" s="213">
        <f t="shared" si="43"/>
        <v>0</v>
      </c>
      <c r="R175" s="242"/>
      <c r="S175" s="243"/>
      <c r="T175" s="213">
        <f t="shared" si="44"/>
        <v>0</v>
      </c>
      <c r="U175" s="242"/>
      <c r="V175" s="243"/>
      <c r="W175" s="213">
        <f t="shared" si="45"/>
        <v>0</v>
      </c>
      <c r="X175" s="143"/>
      <c r="Y175" s="244"/>
      <c r="Z175" s="245"/>
      <c r="AA175" s="216">
        <f t="shared" si="46"/>
        <v>0</v>
      </c>
      <c r="AB175" s="108"/>
    </row>
    <row r="176" spans="2:28" s="109" customFormat="1" ht="18" customHeight="1">
      <c r="B176" s="207">
        <v>3</v>
      </c>
      <c r="C176" s="208" t="s">
        <v>25</v>
      </c>
      <c r="D176" s="209"/>
      <c r="E176" s="210">
        <f>'BDI-TRIBUTOS'!D22</f>
        <v>6.4999999999999997E-3</v>
      </c>
      <c r="F176" s="242"/>
      <c r="G176" s="243"/>
      <c r="H176" s="213">
        <f t="shared" si="40"/>
        <v>0</v>
      </c>
      <c r="I176" s="242"/>
      <c r="J176" s="243"/>
      <c r="K176" s="213">
        <f t="shared" si="41"/>
        <v>0</v>
      </c>
      <c r="L176" s="242"/>
      <c r="M176" s="243"/>
      <c r="N176" s="213">
        <f t="shared" si="42"/>
        <v>0</v>
      </c>
      <c r="O176" s="242"/>
      <c r="P176" s="243"/>
      <c r="Q176" s="213">
        <f t="shared" si="43"/>
        <v>0</v>
      </c>
      <c r="R176" s="242"/>
      <c r="S176" s="243"/>
      <c r="T176" s="213">
        <f t="shared" si="44"/>
        <v>0</v>
      </c>
      <c r="U176" s="242"/>
      <c r="V176" s="243"/>
      <c r="W176" s="213">
        <f t="shared" si="45"/>
        <v>0</v>
      </c>
      <c r="X176" s="143"/>
      <c r="Y176" s="244"/>
      <c r="Z176" s="245"/>
      <c r="AA176" s="216">
        <f t="shared" si="46"/>
        <v>0</v>
      </c>
      <c r="AB176" s="108"/>
    </row>
    <row r="177" spans="2:28" s="109" customFormat="1" ht="18" customHeight="1">
      <c r="B177" s="207">
        <v>4</v>
      </c>
      <c r="C177" s="208" t="s">
        <v>26</v>
      </c>
      <c r="D177" s="209"/>
      <c r="E177" s="210">
        <f>'BDI-TRIBUTOS'!D23</f>
        <v>2.8799999999999999E-2</v>
      </c>
      <c r="F177" s="242"/>
      <c r="G177" s="243"/>
      <c r="H177" s="213">
        <f t="shared" si="40"/>
        <v>0</v>
      </c>
      <c r="I177" s="242"/>
      <c r="J177" s="243"/>
      <c r="K177" s="213">
        <f t="shared" si="41"/>
        <v>0</v>
      </c>
      <c r="L177" s="242"/>
      <c r="M177" s="243"/>
      <c r="N177" s="213">
        <f t="shared" si="42"/>
        <v>0</v>
      </c>
      <c r="O177" s="242"/>
      <c r="P177" s="243"/>
      <c r="Q177" s="213">
        <f t="shared" si="43"/>
        <v>0</v>
      </c>
      <c r="R177" s="242"/>
      <c r="S177" s="243"/>
      <c r="T177" s="213">
        <f t="shared" si="44"/>
        <v>0</v>
      </c>
      <c r="U177" s="242"/>
      <c r="V177" s="243"/>
      <c r="W177" s="213">
        <f t="shared" si="45"/>
        <v>0</v>
      </c>
      <c r="X177" s="143"/>
      <c r="Y177" s="244"/>
      <c r="Z177" s="245"/>
      <c r="AA177" s="216">
        <f t="shared" si="46"/>
        <v>0</v>
      </c>
      <c r="AB177" s="108"/>
    </row>
    <row r="178" spans="2:28" s="109" customFormat="1" ht="18" customHeight="1">
      <c r="B178" s="207">
        <v>5</v>
      </c>
      <c r="C178" s="208" t="s">
        <v>27</v>
      </c>
      <c r="D178" s="209"/>
      <c r="E178" s="210">
        <f>'BDI-TRIBUTOS'!D24</f>
        <v>4.8000000000000001E-2</v>
      </c>
      <c r="F178" s="242"/>
      <c r="G178" s="243"/>
      <c r="H178" s="213">
        <f t="shared" si="40"/>
        <v>0</v>
      </c>
      <c r="I178" s="242"/>
      <c r="J178" s="243"/>
      <c r="K178" s="213">
        <f t="shared" si="41"/>
        <v>0</v>
      </c>
      <c r="L178" s="242"/>
      <c r="M178" s="243"/>
      <c r="N178" s="213">
        <f t="shared" si="42"/>
        <v>0</v>
      </c>
      <c r="O178" s="242"/>
      <c r="P178" s="243"/>
      <c r="Q178" s="213">
        <f t="shared" si="43"/>
        <v>0</v>
      </c>
      <c r="R178" s="242"/>
      <c r="S178" s="243"/>
      <c r="T178" s="213">
        <f t="shared" si="44"/>
        <v>0</v>
      </c>
      <c r="U178" s="242"/>
      <c r="V178" s="243"/>
      <c r="W178" s="213">
        <f t="shared" si="45"/>
        <v>0</v>
      </c>
      <c r="X178" s="143"/>
      <c r="Y178" s="244"/>
      <c r="Z178" s="245"/>
      <c r="AA178" s="224">
        <f t="shared" si="46"/>
        <v>0</v>
      </c>
      <c r="AB178" s="108"/>
    </row>
    <row r="179" spans="2:28" s="109" customFormat="1" ht="18" customHeight="1">
      <c r="B179" s="207">
        <v>6</v>
      </c>
      <c r="C179" s="208" t="s">
        <v>138</v>
      </c>
      <c r="D179" s="209"/>
      <c r="E179" s="210">
        <f>'BDI-TRIBUTOS'!D25</f>
        <v>3.1800000000000002E-2</v>
      </c>
      <c r="F179" s="242"/>
      <c r="G179" s="243"/>
      <c r="H179" s="213">
        <f t="shared" si="40"/>
        <v>0</v>
      </c>
      <c r="I179" s="242"/>
      <c r="J179" s="243"/>
      <c r="K179" s="213">
        <f t="shared" si="41"/>
        <v>0</v>
      </c>
      <c r="L179" s="242"/>
      <c r="M179" s="243"/>
      <c r="N179" s="213">
        <f t="shared" si="42"/>
        <v>0</v>
      </c>
      <c r="O179" s="242"/>
      <c r="P179" s="243"/>
      <c r="Q179" s="213">
        <f t="shared" si="43"/>
        <v>0</v>
      </c>
      <c r="R179" s="242"/>
      <c r="S179" s="243"/>
      <c r="T179" s="213">
        <f t="shared" si="44"/>
        <v>0</v>
      </c>
      <c r="U179" s="242"/>
      <c r="V179" s="243"/>
      <c r="W179" s="213">
        <f t="shared" si="45"/>
        <v>0</v>
      </c>
      <c r="X179" s="143"/>
      <c r="Y179" s="244"/>
      <c r="Z179" s="245"/>
      <c r="AA179" s="224">
        <f t="shared" si="46"/>
        <v>0</v>
      </c>
      <c r="AB179" s="108"/>
    </row>
    <row r="180" spans="2:28" s="109" customFormat="1" ht="18" customHeight="1">
      <c r="B180" s="246">
        <v>7</v>
      </c>
      <c r="C180" s="225" t="s">
        <v>56</v>
      </c>
      <c r="D180" s="226"/>
      <c r="E180" s="210">
        <f>'BDI-TRIBUTOS'!D26</f>
        <v>0</v>
      </c>
      <c r="F180" s="247"/>
      <c r="G180" s="248"/>
      <c r="H180" s="230"/>
      <c r="I180" s="247"/>
      <c r="J180" s="248"/>
      <c r="K180" s="230"/>
      <c r="L180" s="247"/>
      <c r="M180" s="248"/>
      <c r="N180" s="230"/>
      <c r="O180" s="247"/>
      <c r="P180" s="248"/>
      <c r="Q180" s="230"/>
      <c r="R180" s="247"/>
      <c r="S180" s="248"/>
      <c r="T180" s="230"/>
      <c r="U180" s="247"/>
      <c r="V180" s="248"/>
      <c r="W180" s="230"/>
      <c r="X180" s="143"/>
      <c r="Y180" s="249"/>
      <c r="Z180" s="250"/>
      <c r="AA180" s="224"/>
      <c r="AB180" s="108"/>
    </row>
    <row r="181" spans="2:28" s="109" customFormat="1" ht="18" customHeight="1">
      <c r="B181" s="270"/>
      <c r="C181" s="271" t="s">
        <v>55</v>
      </c>
      <c r="D181" s="272"/>
      <c r="E181" s="280">
        <f>SUM(E174:E180)</f>
        <v>0.1951</v>
      </c>
      <c r="F181" s="281"/>
      <c r="G181" s="285"/>
      <c r="H181" s="276">
        <f>H182*$E$181</f>
        <v>0</v>
      </c>
      <c r="I181" s="281"/>
      <c r="J181" s="285"/>
      <c r="K181" s="276">
        <f>K182*$E$181</f>
        <v>0</v>
      </c>
      <c r="L181" s="281"/>
      <c r="M181" s="285"/>
      <c r="N181" s="276">
        <f>N182*$E$181</f>
        <v>0</v>
      </c>
      <c r="O181" s="281"/>
      <c r="P181" s="285"/>
      <c r="Q181" s="276">
        <f>Q182*$E$181</f>
        <v>0</v>
      </c>
      <c r="R181" s="281"/>
      <c r="S181" s="285"/>
      <c r="T181" s="276">
        <f>T182*$E$181</f>
        <v>0</v>
      </c>
      <c r="U181" s="281"/>
      <c r="V181" s="285"/>
      <c r="W181" s="276">
        <f>W182*$E$181</f>
        <v>0</v>
      </c>
      <c r="X181" s="124"/>
      <c r="Y181" s="286"/>
      <c r="Z181" s="287"/>
      <c r="AA181" s="276">
        <f>AA182*$E$181</f>
        <v>0</v>
      </c>
      <c r="AB181" s="108"/>
    </row>
    <row r="182" spans="2:28" s="109" customFormat="1" ht="27" customHeight="1" thickBot="1">
      <c r="B182" s="288"/>
      <c r="C182" s="690" t="s">
        <v>121</v>
      </c>
      <c r="D182" s="690"/>
      <c r="E182" s="690"/>
      <c r="F182" s="289">
        <f>ROUND(H182,2)</f>
        <v>0</v>
      </c>
      <c r="G182" s="290"/>
      <c r="H182" s="291">
        <f>G171/(1-$E$181-$E$170)</f>
        <v>0</v>
      </c>
      <c r="I182" s="289">
        <f>ROUND(K182,2)</f>
        <v>0</v>
      </c>
      <c r="J182" s="290"/>
      <c r="K182" s="291">
        <f>J171/(1-$E$181-$E$170)</f>
        <v>0</v>
      </c>
      <c r="L182" s="289">
        <f>ROUND(N182,2)</f>
        <v>0</v>
      </c>
      <c r="M182" s="290"/>
      <c r="N182" s="291">
        <f>M171/(1-$E$181-$E$170)</f>
        <v>0</v>
      </c>
      <c r="O182" s="289">
        <f>ROUND(Q182,2)</f>
        <v>0</v>
      </c>
      <c r="P182" s="290"/>
      <c r="Q182" s="291">
        <f>P171/(1-$E$181-$E$170)</f>
        <v>0</v>
      </c>
      <c r="R182" s="289">
        <f>ROUND(T182,2)</f>
        <v>0</v>
      </c>
      <c r="S182" s="290"/>
      <c r="T182" s="291">
        <f>S171/(1-$E$181-$E$170)</f>
        <v>0</v>
      </c>
      <c r="U182" s="289">
        <f>ROUND(W182,2)</f>
        <v>0</v>
      </c>
      <c r="V182" s="290"/>
      <c r="W182" s="291">
        <f>V171/(1-$E$181-$E$170)</f>
        <v>0</v>
      </c>
      <c r="X182" s="292"/>
      <c r="Y182" s="293"/>
      <c r="Z182" s="294"/>
      <c r="AA182" s="295">
        <f>Z171/(1-$E$181-$E$170)</f>
        <v>0</v>
      </c>
      <c r="AB182" s="108"/>
    </row>
    <row r="183" spans="2:28" s="251" customFormat="1" ht="20.25" customHeight="1">
      <c r="C183" s="747"/>
      <c r="D183" s="747"/>
      <c r="E183" s="747"/>
      <c r="F183" s="252"/>
      <c r="G183" s="252"/>
      <c r="H183" s="253" t="e">
        <f>H182/H162</f>
        <v>#DIV/0!</v>
      </c>
      <c r="I183" s="252"/>
      <c r="J183" s="252"/>
      <c r="K183" s="253" t="e">
        <f>K182/K162</f>
        <v>#DIV/0!</v>
      </c>
      <c r="L183" s="252"/>
      <c r="M183" s="252"/>
      <c r="N183" s="253" t="e">
        <f>N182/N162</f>
        <v>#DIV/0!</v>
      </c>
      <c r="O183" s="252"/>
      <c r="P183" s="252"/>
      <c r="Q183" s="253" t="e">
        <f>Q182/Q162</f>
        <v>#DIV/0!</v>
      </c>
      <c r="R183" s="252"/>
      <c r="S183" s="252"/>
      <c r="T183" s="253" t="e">
        <f>T182/T162</f>
        <v>#DIV/0!</v>
      </c>
      <c r="U183" s="252"/>
      <c r="V183" s="252"/>
      <c r="W183" s="253" t="e">
        <f>W182/W162</f>
        <v>#DIV/0!</v>
      </c>
      <c r="X183" s="253"/>
      <c r="Y183" s="253"/>
      <c r="Z183" s="253"/>
      <c r="AA183" s="253" t="e">
        <f>AA182/AA162</f>
        <v>#DIV/0!</v>
      </c>
      <c r="AB183" s="254"/>
    </row>
    <row r="184" spans="2:28" s="255" customFormat="1" ht="18" customHeight="1">
      <c r="Y184" s="256"/>
      <c r="Z184" s="256"/>
      <c r="AA184" s="256"/>
      <c r="AB184" s="257"/>
    </row>
    <row r="185" spans="2:28" s="255" customFormat="1" ht="18" customHeight="1">
      <c r="Y185" s="256"/>
      <c r="Z185" s="256"/>
      <c r="AA185" s="256"/>
      <c r="AB185" s="257"/>
    </row>
    <row r="186" spans="2:28" s="255" customFormat="1" ht="18" customHeight="1">
      <c r="Y186" s="256"/>
      <c r="Z186" s="256"/>
      <c r="AA186" s="256"/>
      <c r="AB186" s="257"/>
    </row>
    <row r="187" spans="2:28" s="255" customFormat="1" ht="18" customHeight="1">
      <c r="Y187" s="256"/>
      <c r="Z187" s="256"/>
      <c r="AA187" s="256"/>
      <c r="AB187" s="257"/>
    </row>
    <row r="188" spans="2:28" s="255" customFormat="1" ht="18" customHeight="1">
      <c r="Y188" s="256"/>
      <c r="Z188" s="256"/>
      <c r="AA188" s="256"/>
      <c r="AB188" s="257"/>
    </row>
  </sheetData>
  <sheetProtection selectLockedCells="1" selectUnlockedCells="1"/>
  <mergeCells count="61">
    <mergeCell ref="Y2:AA2"/>
    <mergeCell ref="B3:E3"/>
    <mergeCell ref="Y3:Z3"/>
    <mergeCell ref="Y1:AA1"/>
    <mergeCell ref="B2:E2"/>
    <mergeCell ref="I2:K2"/>
    <mergeCell ref="L2:N2"/>
    <mergeCell ref="U2:W2"/>
    <mergeCell ref="B1:C1"/>
    <mergeCell ref="J1:K1"/>
    <mergeCell ref="M1:N1"/>
    <mergeCell ref="V1:W1"/>
    <mergeCell ref="S1:T1"/>
    <mergeCell ref="R2:T2"/>
    <mergeCell ref="G1:H1"/>
    <mergeCell ref="F2:H2"/>
    <mergeCell ref="U133:W133"/>
    <mergeCell ref="U81:W81"/>
    <mergeCell ref="Y81:AA81"/>
    <mergeCell ref="B132:E132"/>
    <mergeCell ref="B5:E5"/>
    <mergeCell ref="Y5:AA5"/>
    <mergeCell ref="B23:E23"/>
    <mergeCell ref="B24:E24"/>
    <mergeCell ref="B80:E80"/>
    <mergeCell ref="B81:E81"/>
    <mergeCell ref="I81:K81"/>
    <mergeCell ref="L81:N81"/>
    <mergeCell ref="O133:Q133"/>
    <mergeCell ref="Y133:AA133"/>
    <mergeCell ref="R81:T81"/>
    <mergeCell ref="R133:T133"/>
    <mergeCell ref="B155:E155"/>
    <mergeCell ref="C157:D157"/>
    <mergeCell ref="B133:E133"/>
    <mergeCell ref="I133:K133"/>
    <mergeCell ref="L133:N133"/>
    <mergeCell ref="C183:E183"/>
    <mergeCell ref="Y172:AA172"/>
    <mergeCell ref="C173:D173"/>
    <mergeCell ref="C182:E182"/>
    <mergeCell ref="Y163:AA163"/>
    <mergeCell ref="C164:D164"/>
    <mergeCell ref="I172:K172"/>
    <mergeCell ref="L172:N172"/>
    <mergeCell ref="U172:W172"/>
    <mergeCell ref="C163:E163"/>
    <mergeCell ref="I163:K163"/>
    <mergeCell ref="L163:N163"/>
    <mergeCell ref="U163:W163"/>
    <mergeCell ref="F172:H172"/>
    <mergeCell ref="R163:T163"/>
    <mergeCell ref="R172:T172"/>
    <mergeCell ref="F81:H81"/>
    <mergeCell ref="F133:H133"/>
    <mergeCell ref="F163:H163"/>
    <mergeCell ref="O172:Q172"/>
    <mergeCell ref="P1:Q1"/>
    <mergeCell ref="O2:Q2"/>
    <mergeCell ref="O81:Q81"/>
    <mergeCell ref="O163:Q163"/>
  </mergeCells>
  <conditionalFormatting sqref="AB135:AB155 AB7:AB24 AB83:AB133 AB26:AB81">
    <cfRule type="dataBar" priority="1">
      <dataBar>
        <cfvo type="min"/>
        <cfvo type="max"/>
        <color rgb="FFFF555A"/>
      </dataBar>
      <extLst>
        <ext xmlns:x14="http://schemas.microsoft.com/office/spreadsheetml/2009/9/main" uri="{B025F937-C7B1-47D3-B67F-A62EFF666E3E}">
          <x14:id>{FA50270A-6D66-44AE-AC54-8A67FC161B33}</x14:id>
        </ext>
      </extLst>
    </cfRule>
  </conditionalFormatting>
  <printOptions horizontalCentered="1"/>
  <pageMargins left="0.39000000000000007" right="0.39000000000000007" top="0.39000000000000007" bottom="0.39000000000000007" header="0.51" footer="0.51"/>
  <pageSetup paperSize="9"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FA50270A-6D66-44AE-AC54-8A67FC161B33}">
            <x14:dataBar minLength="0" maxLength="100" border="1" negativeBarBorderColorSameAsPositive="0">
              <x14:cfvo type="autoMin"/>
              <x14:cfvo type="autoMax"/>
              <x14:borderColor rgb="FFFF555A"/>
              <x14:negativeFillColor rgb="FFFF0000"/>
              <x14:negativeBorderColor rgb="FFFF0000"/>
              <x14:axisColor rgb="FF000000"/>
            </x14:dataBar>
          </x14:cfRule>
          <xm:sqref>AB135:AB155 AB7:AB24 AB83:AB133 AB26:AB81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0EA0E-987F-4F18-9C61-56A78A0A977B}">
  <sheetPr>
    <pageSetUpPr fitToPage="1"/>
  </sheetPr>
  <dimension ref="B1:AE188"/>
  <sheetViews>
    <sheetView showGridLines="0" zoomScale="80" zoomScaleNormal="80" zoomScaleSheetLayoutView="80" zoomScalePageLayoutView="125" workbookViewId="0">
      <pane xSplit="5" ySplit="4" topLeftCell="F5" activePane="bottomRight" state="frozen"/>
      <selection sqref="A1:A6"/>
      <selection pane="topRight" sqref="A1:A6"/>
      <selection pane="bottomLeft" sqref="A1:A6"/>
      <selection pane="bottomRight" sqref="A1:A6"/>
    </sheetView>
  </sheetViews>
  <sheetFormatPr defaultColWidth="8.7109375" defaultRowHeight="18" customHeight="1" outlineLevelRow="1"/>
  <cols>
    <col min="1" max="1" width="0.85546875" style="111" customWidth="1"/>
    <col min="2" max="2" width="8.140625" style="111" customWidth="1"/>
    <col min="3" max="3" width="42.28515625" style="111" customWidth="1"/>
    <col min="4" max="4" width="11" style="111" customWidth="1"/>
    <col min="5" max="5" width="13.85546875" style="111" customWidth="1"/>
    <col min="6" max="6" width="13.7109375" style="111" customWidth="1"/>
    <col min="7" max="7" width="14.28515625" style="111" customWidth="1"/>
    <col min="8" max="8" width="14" style="111" bestFit="1" customWidth="1"/>
    <col min="9" max="9" width="12.7109375" style="111" customWidth="1"/>
    <col min="10" max="10" width="10.7109375" style="111" customWidth="1"/>
    <col min="11" max="11" width="14" style="111" bestFit="1" customWidth="1"/>
    <col min="12" max="12" width="13" style="111" bestFit="1" customWidth="1"/>
    <col min="13" max="13" width="10.7109375" style="111" customWidth="1"/>
    <col min="14" max="14" width="13.7109375" style="111" bestFit="1" customWidth="1"/>
    <col min="15" max="15" width="12" style="111" customWidth="1"/>
    <col min="16" max="16" width="10.7109375" style="111" customWidth="1"/>
    <col min="17" max="17" width="14" style="111" bestFit="1" customWidth="1"/>
    <col min="18" max="18" width="12" style="111" customWidth="1"/>
    <col min="19" max="19" width="10.7109375" style="111" customWidth="1"/>
    <col min="20" max="20" width="14" style="111" bestFit="1" customWidth="1"/>
    <col min="21" max="21" width="12" style="111" customWidth="1"/>
    <col min="22" max="22" width="10.7109375" style="111" customWidth="1"/>
    <col min="23" max="23" width="14" style="111" bestFit="1" customWidth="1"/>
    <col min="24" max="24" width="5.85546875" style="111" customWidth="1"/>
    <col min="25" max="25" width="9.85546875" style="256" bestFit="1" customWidth="1"/>
    <col min="26" max="26" width="13.5703125" style="256" bestFit="1" customWidth="1"/>
    <col min="27" max="27" width="19.5703125" style="256" customWidth="1"/>
    <col min="28" max="28" width="16" style="108" customWidth="1"/>
    <col min="29" max="30" width="8.7109375" style="111"/>
    <col min="31" max="31" width="14.7109375" style="111" customWidth="1"/>
    <col min="32" max="162" width="8.7109375" style="111"/>
    <col min="163" max="163" width="3.42578125" style="111" customWidth="1"/>
    <col min="164" max="164" width="7" style="111" customWidth="1"/>
    <col min="165" max="165" width="25.42578125" style="111" customWidth="1"/>
    <col min="166" max="166" width="12" style="111" customWidth="1"/>
    <col min="167" max="167" width="12.7109375" style="111" bestFit="1" customWidth="1"/>
    <col min="168" max="168" width="7.42578125" style="111" bestFit="1" customWidth="1"/>
    <col min="169" max="169" width="7.7109375" style="111" bestFit="1" customWidth="1"/>
    <col min="170" max="170" width="15" style="111" customWidth="1"/>
    <col min="171" max="171" width="7.42578125" style="111" bestFit="1" customWidth="1"/>
    <col min="172" max="172" width="7.7109375" style="111" bestFit="1" customWidth="1"/>
    <col min="173" max="173" width="15" style="111" bestFit="1" customWidth="1"/>
    <col min="174" max="174" width="7.42578125" style="111" bestFit="1" customWidth="1"/>
    <col min="175" max="175" width="7.7109375" style="111" bestFit="1" customWidth="1"/>
    <col min="176" max="176" width="9.42578125" style="111" bestFit="1" customWidth="1"/>
    <col min="177" max="177" width="8" style="111" bestFit="1" customWidth="1"/>
    <col min="178" max="178" width="7.7109375" style="111" bestFit="1" customWidth="1"/>
    <col min="179" max="179" width="10.42578125" style="111" bestFit="1" customWidth="1"/>
    <col min="180" max="180" width="8" style="111" bestFit="1" customWidth="1"/>
    <col min="181" max="181" width="7.7109375" style="111" bestFit="1" customWidth="1"/>
    <col min="182" max="182" width="10.42578125" style="111" bestFit="1" customWidth="1"/>
    <col min="183" max="183" width="7.42578125" style="111" bestFit="1" customWidth="1"/>
    <col min="184" max="184" width="7.7109375" style="111" bestFit="1" customWidth="1"/>
    <col min="185" max="185" width="10.42578125" style="111" bestFit="1" customWidth="1"/>
    <col min="186" max="186" width="8" style="111" bestFit="1" customWidth="1"/>
    <col min="187" max="187" width="7.7109375" style="111" bestFit="1" customWidth="1"/>
    <col min="188" max="188" width="10.42578125" style="111" bestFit="1" customWidth="1"/>
    <col min="189" max="189" width="7.42578125" style="111" bestFit="1" customWidth="1"/>
    <col min="190" max="190" width="7.7109375" style="111" bestFit="1" customWidth="1"/>
    <col min="191" max="191" width="10.42578125" style="111" bestFit="1" customWidth="1"/>
    <col min="192" max="192" width="7.42578125" style="111" bestFit="1" customWidth="1"/>
    <col min="193" max="193" width="7.7109375" style="111" bestFit="1" customWidth="1"/>
    <col min="194" max="194" width="10.42578125" style="111" bestFit="1" customWidth="1"/>
    <col min="195" max="195" width="5.140625" style="111" customWidth="1"/>
    <col min="196" max="418" width="8.7109375" style="111"/>
    <col min="419" max="419" width="3.42578125" style="111" customWidth="1"/>
    <col min="420" max="420" width="7" style="111" customWidth="1"/>
    <col min="421" max="421" width="25.42578125" style="111" customWidth="1"/>
    <col min="422" max="422" width="12" style="111" customWidth="1"/>
    <col min="423" max="423" width="12.7109375" style="111" bestFit="1" customWidth="1"/>
    <col min="424" max="424" width="7.42578125" style="111" bestFit="1" customWidth="1"/>
    <col min="425" max="425" width="7.7109375" style="111" bestFit="1" customWidth="1"/>
    <col min="426" max="426" width="15" style="111" customWidth="1"/>
    <col min="427" max="427" width="7.42578125" style="111" bestFit="1" customWidth="1"/>
    <col min="428" max="428" width="7.7109375" style="111" bestFit="1" customWidth="1"/>
    <col min="429" max="429" width="15" style="111" bestFit="1" customWidth="1"/>
    <col min="430" max="430" width="7.42578125" style="111" bestFit="1" customWidth="1"/>
    <col min="431" max="431" width="7.7109375" style="111" bestFit="1" customWidth="1"/>
    <col min="432" max="432" width="9.42578125" style="111" bestFit="1" customWidth="1"/>
    <col min="433" max="433" width="8" style="111" bestFit="1" customWidth="1"/>
    <col min="434" max="434" width="7.7109375" style="111" bestFit="1" customWidth="1"/>
    <col min="435" max="435" width="10.42578125" style="111" bestFit="1" customWidth="1"/>
    <col min="436" max="436" width="8" style="111" bestFit="1" customWidth="1"/>
    <col min="437" max="437" width="7.7109375" style="111" bestFit="1" customWidth="1"/>
    <col min="438" max="438" width="10.42578125" style="111" bestFit="1" customWidth="1"/>
    <col min="439" max="439" width="7.42578125" style="111" bestFit="1" customWidth="1"/>
    <col min="440" max="440" width="7.7109375" style="111" bestFit="1" customWidth="1"/>
    <col min="441" max="441" width="10.42578125" style="111" bestFit="1" customWidth="1"/>
    <col min="442" max="442" width="8" style="111" bestFit="1" customWidth="1"/>
    <col min="443" max="443" width="7.7109375" style="111" bestFit="1" customWidth="1"/>
    <col min="444" max="444" width="10.42578125" style="111" bestFit="1" customWidth="1"/>
    <col min="445" max="445" width="7.42578125" style="111" bestFit="1" customWidth="1"/>
    <col min="446" max="446" width="7.7109375" style="111" bestFit="1" customWidth="1"/>
    <col min="447" max="447" width="10.42578125" style="111" bestFit="1" customWidth="1"/>
    <col min="448" max="448" width="7.42578125" style="111" bestFit="1" customWidth="1"/>
    <col min="449" max="449" width="7.7109375" style="111" bestFit="1" customWidth="1"/>
    <col min="450" max="450" width="10.42578125" style="111" bestFit="1" customWidth="1"/>
    <col min="451" max="451" width="5.140625" style="111" customWidth="1"/>
    <col min="452" max="674" width="8.7109375" style="111"/>
    <col min="675" max="675" width="3.42578125" style="111" customWidth="1"/>
    <col min="676" max="676" width="7" style="111" customWidth="1"/>
    <col min="677" max="677" width="25.42578125" style="111" customWidth="1"/>
    <col min="678" max="678" width="12" style="111" customWidth="1"/>
    <col min="679" max="679" width="12.7109375" style="111" bestFit="1" customWidth="1"/>
    <col min="680" max="680" width="7.42578125" style="111" bestFit="1" customWidth="1"/>
    <col min="681" max="681" width="7.7109375" style="111" bestFit="1" customWidth="1"/>
    <col min="682" max="682" width="15" style="111" customWidth="1"/>
    <col min="683" max="683" width="7.42578125" style="111" bestFit="1" customWidth="1"/>
    <col min="684" max="684" width="7.7109375" style="111" bestFit="1" customWidth="1"/>
    <col min="685" max="685" width="15" style="111" bestFit="1" customWidth="1"/>
    <col min="686" max="686" width="7.42578125" style="111" bestFit="1" customWidth="1"/>
    <col min="687" max="687" width="7.7109375" style="111" bestFit="1" customWidth="1"/>
    <col min="688" max="688" width="9.42578125" style="111" bestFit="1" customWidth="1"/>
    <col min="689" max="689" width="8" style="111" bestFit="1" customWidth="1"/>
    <col min="690" max="690" width="7.7109375" style="111" bestFit="1" customWidth="1"/>
    <col min="691" max="691" width="10.42578125" style="111" bestFit="1" customWidth="1"/>
    <col min="692" max="692" width="8" style="111" bestFit="1" customWidth="1"/>
    <col min="693" max="693" width="7.7109375" style="111" bestFit="1" customWidth="1"/>
    <col min="694" max="694" width="10.42578125" style="111" bestFit="1" customWidth="1"/>
    <col min="695" max="695" width="7.42578125" style="111" bestFit="1" customWidth="1"/>
    <col min="696" max="696" width="7.7109375" style="111" bestFit="1" customWidth="1"/>
    <col min="697" max="697" width="10.42578125" style="111" bestFit="1" customWidth="1"/>
    <col min="698" max="698" width="8" style="111" bestFit="1" customWidth="1"/>
    <col min="699" max="699" width="7.7109375" style="111" bestFit="1" customWidth="1"/>
    <col min="700" max="700" width="10.42578125" style="111" bestFit="1" customWidth="1"/>
    <col min="701" max="701" width="7.42578125" style="111" bestFit="1" customWidth="1"/>
    <col min="702" max="702" width="7.7109375" style="111" bestFit="1" customWidth="1"/>
    <col min="703" max="703" width="10.42578125" style="111" bestFit="1" customWidth="1"/>
    <col min="704" max="704" width="7.42578125" style="111" bestFit="1" customWidth="1"/>
    <col min="705" max="705" width="7.7109375" style="111" bestFit="1" customWidth="1"/>
    <col min="706" max="706" width="10.42578125" style="111" bestFit="1" customWidth="1"/>
    <col min="707" max="707" width="5.140625" style="111" customWidth="1"/>
    <col min="708" max="930" width="8.7109375" style="111"/>
    <col min="931" max="931" width="3.42578125" style="111" customWidth="1"/>
    <col min="932" max="932" width="7" style="111" customWidth="1"/>
    <col min="933" max="933" width="25.42578125" style="111" customWidth="1"/>
    <col min="934" max="934" width="12" style="111" customWidth="1"/>
    <col min="935" max="935" width="12.7109375" style="111" bestFit="1" customWidth="1"/>
    <col min="936" max="936" width="7.42578125" style="111" bestFit="1" customWidth="1"/>
    <col min="937" max="937" width="7.7109375" style="111" bestFit="1" customWidth="1"/>
    <col min="938" max="938" width="15" style="111" customWidth="1"/>
    <col min="939" max="939" width="7.42578125" style="111" bestFit="1" customWidth="1"/>
    <col min="940" max="940" width="7.7109375" style="111" bestFit="1" customWidth="1"/>
    <col min="941" max="941" width="15" style="111" bestFit="1" customWidth="1"/>
    <col min="942" max="942" width="7.42578125" style="111" bestFit="1" customWidth="1"/>
    <col min="943" max="943" width="7.7109375" style="111" bestFit="1" customWidth="1"/>
    <col min="944" max="944" width="9.42578125" style="111" bestFit="1" customWidth="1"/>
    <col min="945" max="945" width="8" style="111" bestFit="1" customWidth="1"/>
    <col min="946" max="946" width="7.7109375" style="111" bestFit="1" customWidth="1"/>
    <col min="947" max="947" width="10.42578125" style="111" bestFit="1" customWidth="1"/>
    <col min="948" max="948" width="8" style="111" bestFit="1" customWidth="1"/>
    <col min="949" max="949" width="7.7109375" style="111" bestFit="1" customWidth="1"/>
    <col min="950" max="950" width="10.42578125" style="111" bestFit="1" customWidth="1"/>
    <col min="951" max="951" width="7.42578125" style="111" bestFit="1" customWidth="1"/>
    <col min="952" max="952" width="7.7109375" style="111" bestFit="1" customWidth="1"/>
    <col min="953" max="953" width="10.42578125" style="111" bestFit="1" customWidth="1"/>
    <col min="954" max="954" width="8" style="111" bestFit="1" customWidth="1"/>
    <col min="955" max="955" width="7.7109375" style="111" bestFit="1" customWidth="1"/>
    <col min="956" max="956" width="10.42578125" style="111" bestFit="1" customWidth="1"/>
    <col min="957" max="957" width="7.42578125" style="111" bestFit="1" customWidth="1"/>
    <col min="958" max="958" width="7.7109375" style="111" bestFit="1" customWidth="1"/>
    <col min="959" max="959" width="10.42578125" style="111" bestFit="1" customWidth="1"/>
    <col min="960" max="960" width="7.42578125" style="111" bestFit="1" customWidth="1"/>
    <col min="961" max="961" width="7.7109375" style="111" bestFit="1" customWidth="1"/>
    <col min="962" max="962" width="10.42578125" style="111" bestFit="1" customWidth="1"/>
    <col min="963" max="963" width="5.140625" style="111" customWidth="1"/>
    <col min="964" max="1186" width="8.7109375" style="111"/>
    <col min="1187" max="1187" width="3.42578125" style="111" customWidth="1"/>
    <col min="1188" max="1188" width="7" style="111" customWidth="1"/>
    <col min="1189" max="1189" width="25.42578125" style="111" customWidth="1"/>
    <col min="1190" max="1190" width="12" style="111" customWidth="1"/>
    <col min="1191" max="1191" width="12.7109375" style="111" bestFit="1" customWidth="1"/>
    <col min="1192" max="1192" width="7.42578125" style="111" bestFit="1" customWidth="1"/>
    <col min="1193" max="1193" width="7.7109375" style="111" bestFit="1" customWidth="1"/>
    <col min="1194" max="1194" width="15" style="111" customWidth="1"/>
    <col min="1195" max="1195" width="7.42578125" style="111" bestFit="1" customWidth="1"/>
    <col min="1196" max="1196" width="7.7109375" style="111" bestFit="1" customWidth="1"/>
    <col min="1197" max="1197" width="15" style="111" bestFit="1" customWidth="1"/>
    <col min="1198" max="1198" width="7.42578125" style="111" bestFit="1" customWidth="1"/>
    <col min="1199" max="1199" width="7.7109375" style="111" bestFit="1" customWidth="1"/>
    <col min="1200" max="1200" width="9.42578125" style="111" bestFit="1" customWidth="1"/>
    <col min="1201" max="1201" width="8" style="111" bestFit="1" customWidth="1"/>
    <col min="1202" max="1202" width="7.7109375" style="111" bestFit="1" customWidth="1"/>
    <col min="1203" max="1203" width="10.42578125" style="111" bestFit="1" customWidth="1"/>
    <col min="1204" max="1204" width="8" style="111" bestFit="1" customWidth="1"/>
    <col min="1205" max="1205" width="7.7109375" style="111" bestFit="1" customWidth="1"/>
    <col min="1206" max="1206" width="10.42578125" style="111" bestFit="1" customWidth="1"/>
    <col min="1207" max="1207" width="7.42578125" style="111" bestFit="1" customWidth="1"/>
    <col min="1208" max="1208" width="7.7109375" style="111" bestFit="1" customWidth="1"/>
    <col min="1209" max="1209" width="10.42578125" style="111" bestFit="1" customWidth="1"/>
    <col min="1210" max="1210" width="8" style="111" bestFit="1" customWidth="1"/>
    <col min="1211" max="1211" width="7.7109375" style="111" bestFit="1" customWidth="1"/>
    <col min="1212" max="1212" width="10.42578125" style="111" bestFit="1" customWidth="1"/>
    <col min="1213" max="1213" width="7.42578125" style="111" bestFit="1" customWidth="1"/>
    <col min="1214" max="1214" width="7.7109375" style="111" bestFit="1" customWidth="1"/>
    <col min="1215" max="1215" width="10.42578125" style="111" bestFit="1" customWidth="1"/>
    <col min="1216" max="1216" width="7.42578125" style="111" bestFit="1" customWidth="1"/>
    <col min="1217" max="1217" width="7.7109375" style="111" bestFit="1" customWidth="1"/>
    <col min="1218" max="1218" width="10.42578125" style="111" bestFit="1" customWidth="1"/>
    <col min="1219" max="1219" width="5.140625" style="111" customWidth="1"/>
    <col min="1220" max="1442" width="8.7109375" style="111"/>
    <col min="1443" max="1443" width="3.42578125" style="111" customWidth="1"/>
    <col min="1444" max="1444" width="7" style="111" customWidth="1"/>
    <col min="1445" max="1445" width="25.42578125" style="111" customWidth="1"/>
    <col min="1446" max="1446" width="12" style="111" customWidth="1"/>
    <col min="1447" max="1447" width="12.7109375" style="111" bestFit="1" customWidth="1"/>
    <col min="1448" max="1448" width="7.42578125" style="111" bestFit="1" customWidth="1"/>
    <col min="1449" max="1449" width="7.7109375" style="111" bestFit="1" customWidth="1"/>
    <col min="1450" max="1450" width="15" style="111" customWidth="1"/>
    <col min="1451" max="1451" width="7.42578125" style="111" bestFit="1" customWidth="1"/>
    <col min="1452" max="1452" width="7.7109375" style="111" bestFit="1" customWidth="1"/>
    <col min="1453" max="1453" width="15" style="111" bestFit="1" customWidth="1"/>
    <col min="1454" max="1454" width="7.42578125" style="111" bestFit="1" customWidth="1"/>
    <col min="1455" max="1455" width="7.7109375" style="111" bestFit="1" customWidth="1"/>
    <col min="1456" max="1456" width="9.42578125" style="111" bestFit="1" customWidth="1"/>
    <col min="1457" max="1457" width="8" style="111" bestFit="1" customWidth="1"/>
    <col min="1458" max="1458" width="7.7109375" style="111" bestFit="1" customWidth="1"/>
    <col min="1459" max="1459" width="10.42578125" style="111" bestFit="1" customWidth="1"/>
    <col min="1460" max="1460" width="8" style="111" bestFit="1" customWidth="1"/>
    <col min="1461" max="1461" width="7.7109375" style="111" bestFit="1" customWidth="1"/>
    <col min="1462" max="1462" width="10.42578125" style="111" bestFit="1" customWidth="1"/>
    <col min="1463" max="1463" width="7.42578125" style="111" bestFit="1" customWidth="1"/>
    <col min="1464" max="1464" width="7.7109375" style="111" bestFit="1" customWidth="1"/>
    <col min="1465" max="1465" width="10.42578125" style="111" bestFit="1" customWidth="1"/>
    <col min="1466" max="1466" width="8" style="111" bestFit="1" customWidth="1"/>
    <col min="1467" max="1467" width="7.7109375" style="111" bestFit="1" customWidth="1"/>
    <col min="1468" max="1468" width="10.42578125" style="111" bestFit="1" customWidth="1"/>
    <col min="1469" max="1469" width="7.42578125" style="111" bestFit="1" customWidth="1"/>
    <col min="1470" max="1470" width="7.7109375" style="111" bestFit="1" customWidth="1"/>
    <col min="1471" max="1471" width="10.42578125" style="111" bestFit="1" customWidth="1"/>
    <col min="1472" max="1472" width="7.42578125" style="111" bestFit="1" customWidth="1"/>
    <col min="1473" max="1473" width="7.7109375" style="111" bestFit="1" customWidth="1"/>
    <col min="1474" max="1474" width="10.42578125" style="111" bestFit="1" customWidth="1"/>
    <col min="1475" max="1475" width="5.140625" style="111" customWidth="1"/>
    <col min="1476" max="1698" width="8.7109375" style="111"/>
    <col min="1699" max="1699" width="3.42578125" style="111" customWidth="1"/>
    <col min="1700" max="1700" width="7" style="111" customWidth="1"/>
    <col min="1701" max="1701" width="25.42578125" style="111" customWidth="1"/>
    <col min="1702" max="1702" width="12" style="111" customWidth="1"/>
    <col min="1703" max="1703" width="12.7109375" style="111" bestFit="1" customWidth="1"/>
    <col min="1704" max="1704" width="7.42578125" style="111" bestFit="1" customWidth="1"/>
    <col min="1705" max="1705" width="7.7109375" style="111" bestFit="1" customWidth="1"/>
    <col min="1706" max="1706" width="15" style="111" customWidth="1"/>
    <col min="1707" max="1707" width="7.42578125" style="111" bestFit="1" customWidth="1"/>
    <col min="1708" max="1708" width="7.7109375" style="111" bestFit="1" customWidth="1"/>
    <col min="1709" max="1709" width="15" style="111" bestFit="1" customWidth="1"/>
    <col min="1710" max="1710" width="7.42578125" style="111" bestFit="1" customWidth="1"/>
    <col min="1711" max="1711" width="7.7109375" style="111" bestFit="1" customWidth="1"/>
    <col min="1712" max="1712" width="9.42578125" style="111" bestFit="1" customWidth="1"/>
    <col min="1713" max="1713" width="8" style="111" bestFit="1" customWidth="1"/>
    <col min="1714" max="1714" width="7.7109375" style="111" bestFit="1" customWidth="1"/>
    <col min="1715" max="1715" width="10.42578125" style="111" bestFit="1" customWidth="1"/>
    <col min="1716" max="1716" width="8" style="111" bestFit="1" customWidth="1"/>
    <col min="1717" max="1717" width="7.7109375" style="111" bestFit="1" customWidth="1"/>
    <col min="1718" max="1718" width="10.42578125" style="111" bestFit="1" customWidth="1"/>
    <col min="1719" max="1719" width="7.42578125" style="111" bestFit="1" customWidth="1"/>
    <col min="1720" max="1720" width="7.7109375" style="111" bestFit="1" customWidth="1"/>
    <col min="1721" max="1721" width="10.42578125" style="111" bestFit="1" customWidth="1"/>
    <col min="1722" max="1722" width="8" style="111" bestFit="1" customWidth="1"/>
    <col min="1723" max="1723" width="7.7109375" style="111" bestFit="1" customWidth="1"/>
    <col min="1724" max="1724" width="10.42578125" style="111" bestFit="1" customWidth="1"/>
    <col min="1725" max="1725" width="7.42578125" style="111" bestFit="1" customWidth="1"/>
    <col min="1726" max="1726" width="7.7109375" style="111" bestFit="1" customWidth="1"/>
    <col min="1727" max="1727" width="10.42578125" style="111" bestFit="1" customWidth="1"/>
    <col min="1728" max="1728" width="7.42578125" style="111" bestFit="1" customWidth="1"/>
    <col min="1729" max="1729" width="7.7109375" style="111" bestFit="1" customWidth="1"/>
    <col min="1730" max="1730" width="10.42578125" style="111" bestFit="1" customWidth="1"/>
    <col min="1731" max="1731" width="5.140625" style="111" customWidth="1"/>
    <col min="1732" max="1954" width="8.7109375" style="111"/>
    <col min="1955" max="1955" width="3.42578125" style="111" customWidth="1"/>
    <col min="1956" max="1956" width="7" style="111" customWidth="1"/>
    <col min="1957" max="1957" width="25.42578125" style="111" customWidth="1"/>
    <col min="1958" max="1958" width="12" style="111" customWidth="1"/>
    <col min="1959" max="1959" width="12.7109375" style="111" bestFit="1" customWidth="1"/>
    <col min="1960" max="1960" width="7.42578125" style="111" bestFit="1" customWidth="1"/>
    <col min="1961" max="1961" width="7.7109375" style="111" bestFit="1" customWidth="1"/>
    <col min="1962" max="1962" width="15" style="111" customWidth="1"/>
    <col min="1963" max="1963" width="7.42578125" style="111" bestFit="1" customWidth="1"/>
    <col min="1964" max="1964" width="7.7109375" style="111" bestFit="1" customWidth="1"/>
    <col min="1965" max="1965" width="15" style="111" bestFit="1" customWidth="1"/>
    <col min="1966" max="1966" width="7.42578125" style="111" bestFit="1" customWidth="1"/>
    <col min="1967" max="1967" width="7.7109375" style="111" bestFit="1" customWidth="1"/>
    <col min="1968" max="1968" width="9.42578125" style="111" bestFit="1" customWidth="1"/>
    <col min="1969" max="1969" width="8" style="111" bestFit="1" customWidth="1"/>
    <col min="1970" max="1970" width="7.7109375" style="111" bestFit="1" customWidth="1"/>
    <col min="1971" max="1971" width="10.42578125" style="111" bestFit="1" customWidth="1"/>
    <col min="1972" max="1972" width="8" style="111" bestFit="1" customWidth="1"/>
    <col min="1973" max="1973" width="7.7109375" style="111" bestFit="1" customWidth="1"/>
    <col min="1974" max="1974" width="10.42578125" style="111" bestFit="1" customWidth="1"/>
    <col min="1975" max="1975" width="7.42578125" style="111" bestFit="1" customWidth="1"/>
    <col min="1976" max="1976" width="7.7109375" style="111" bestFit="1" customWidth="1"/>
    <col min="1977" max="1977" width="10.42578125" style="111" bestFit="1" customWidth="1"/>
    <col min="1978" max="1978" width="8" style="111" bestFit="1" customWidth="1"/>
    <col min="1979" max="1979" width="7.7109375" style="111" bestFit="1" customWidth="1"/>
    <col min="1980" max="1980" width="10.42578125" style="111" bestFit="1" customWidth="1"/>
    <col min="1981" max="1981" width="7.42578125" style="111" bestFit="1" customWidth="1"/>
    <col min="1982" max="1982" width="7.7109375" style="111" bestFit="1" customWidth="1"/>
    <col min="1983" max="1983" width="10.42578125" style="111" bestFit="1" customWidth="1"/>
    <col min="1984" max="1984" width="7.42578125" style="111" bestFit="1" customWidth="1"/>
    <col min="1985" max="1985" width="7.7109375" style="111" bestFit="1" customWidth="1"/>
    <col min="1986" max="1986" width="10.42578125" style="111" bestFit="1" customWidth="1"/>
    <col min="1987" max="1987" width="5.140625" style="111" customWidth="1"/>
    <col min="1988" max="2210" width="8.7109375" style="111"/>
    <col min="2211" max="2211" width="3.42578125" style="111" customWidth="1"/>
    <col min="2212" max="2212" width="7" style="111" customWidth="1"/>
    <col min="2213" max="2213" width="25.42578125" style="111" customWidth="1"/>
    <col min="2214" max="2214" width="12" style="111" customWidth="1"/>
    <col min="2215" max="2215" width="12.7109375" style="111" bestFit="1" customWidth="1"/>
    <col min="2216" max="2216" width="7.42578125" style="111" bestFit="1" customWidth="1"/>
    <col min="2217" max="2217" width="7.7109375" style="111" bestFit="1" customWidth="1"/>
    <col min="2218" max="2218" width="15" style="111" customWidth="1"/>
    <col min="2219" max="2219" width="7.42578125" style="111" bestFit="1" customWidth="1"/>
    <col min="2220" max="2220" width="7.7109375" style="111" bestFit="1" customWidth="1"/>
    <col min="2221" max="2221" width="15" style="111" bestFit="1" customWidth="1"/>
    <col min="2222" max="2222" width="7.42578125" style="111" bestFit="1" customWidth="1"/>
    <col min="2223" max="2223" width="7.7109375" style="111" bestFit="1" customWidth="1"/>
    <col min="2224" max="2224" width="9.42578125" style="111" bestFit="1" customWidth="1"/>
    <col min="2225" max="2225" width="8" style="111" bestFit="1" customWidth="1"/>
    <col min="2226" max="2226" width="7.7109375" style="111" bestFit="1" customWidth="1"/>
    <col min="2227" max="2227" width="10.42578125" style="111" bestFit="1" customWidth="1"/>
    <col min="2228" max="2228" width="8" style="111" bestFit="1" customWidth="1"/>
    <col min="2229" max="2229" width="7.7109375" style="111" bestFit="1" customWidth="1"/>
    <col min="2230" max="2230" width="10.42578125" style="111" bestFit="1" customWidth="1"/>
    <col min="2231" max="2231" width="7.42578125" style="111" bestFit="1" customWidth="1"/>
    <col min="2232" max="2232" width="7.7109375" style="111" bestFit="1" customWidth="1"/>
    <col min="2233" max="2233" width="10.42578125" style="111" bestFit="1" customWidth="1"/>
    <col min="2234" max="2234" width="8" style="111" bestFit="1" customWidth="1"/>
    <col min="2235" max="2235" width="7.7109375" style="111" bestFit="1" customWidth="1"/>
    <col min="2236" max="2236" width="10.42578125" style="111" bestFit="1" customWidth="1"/>
    <col min="2237" max="2237" width="7.42578125" style="111" bestFit="1" customWidth="1"/>
    <col min="2238" max="2238" width="7.7109375" style="111" bestFit="1" customWidth="1"/>
    <col min="2239" max="2239" width="10.42578125" style="111" bestFit="1" customWidth="1"/>
    <col min="2240" max="2240" width="7.42578125" style="111" bestFit="1" customWidth="1"/>
    <col min="2241" max="2241" width="7.7109375" style="111" bestFit="1" customWidth="1"/>
    <col min="2242" max="2242" width="10.42578125" style="111" bestFit="1" customWidth="1"/>
    <col min="2243" max="2243" width="5.140625" style="111" customWidth="1"/>
    <col min="2244" max="2466" width="8.7109375" style="111"/>
    <col min="2467" max="2467" width="3.42578125" style="111" customWidth="1"/>
    <col min="2468" max="2468" width="7" style="111" customWidth="1"/>
    <col min="2469" max="2469" width="25.42578125" style="111" customWidth="1"/>
    <col min="2470" max="2470" width="12" style="111" customWidth="1"/>
    <col min="2471" max="2471" width="12.7109375" style="111" bestFit="1" customWidth="1"/>
    <col min="2472" max="2472" width="7.42578125" style="111" bestFit="1" customWidth="1"/>
    <col min="2473" max="2473" width="7.7109375" style="111" bestFit="1" customWidth="1"/>
    <col min="2474" max="2474" width="15" style="111" customWidth="1"/>
    <col min="2475" max="2475" width="7.42578125" style="111" bestFit="1" customWidth="1"/>
    <col min="2476" max="2476" width="7.7109375" style="111" bestFit="1" customWidth="1"/>
    <col min="2477" max="2477" width="15" style="111" bestFit="1" customWidth="1"/>
    <col min="2478" max="2478" width="7.42578125" style="111" bestFit="1" customWidth="1"/>
    <col min="2479" max="2479" width="7.7109375" style="111" bestFit="1" customWidth="1"/>
    <col min="2480" max="2480" width="9.42578125" style="111" bestFit="1" customWidth="1"/>
    <col min="2481" max="2481" width="8" style="111" bestFit="1" customWidth="1"/>
    <col min="2482" max="2482" width="7.7109375" style="111" bestFit="1" customWidth="1"/>
    <col min="2483" max="2483" width="10.42578125" style="111" bestFit="1" customWidth="1"/>
    <col min="2484" max="2484" width="8" style="111" bestFit="1" customWidth="1"/>
    <col min="2485" max="2485" width="7.7109375" style="111" bestFit="1" customWidth="1"/>
    <col min="2486" max="2486" width="10.42578125" style="111" bestFit="1" customWidth="1"/>
    <col min="2487" max="2487" width="7.42578125" style="111" bestFit="1" customWidth="1"/>
    <col min="2488" max="2488" width="7.7109375" style="111" bestFit="1" customWidth="1"/>
    <col min="2489" max="2489" width="10.42578125" style="111" bestFit="1" customWidth="1"/>
    <col min="2490" max="2490" width="8" style="111" bestFit="1" customWidth="1"/>
    <col min="2491" max="2491" width="7.7109375" style="111" bestFit="1" customWidth="1"/>
    <col min="2492" max="2492" width="10.42578125" style="111" bestFit="1" customWidth="1"/>
    <col min="2493" max="2493" width="7.42578125" style="111" bestFit="1" customWidth="1"/>
    <col min="2494" max="2494" width="7.7109375" style="111" bestFit="1" customWidth="1"/>
    <col min="2495" max="2495" width="10.42578125" style="111" bestFit="1" customWidth="1"/>
    <col min="2496" max="2496" width="7.42578125" style="111" bestFit="1" customWidth="1"/>
    <col min="2497" max="2497" width="7.7109375" style="111" bestFit="1" customWidth="1"/>
    <col min="2498" max="2498" width="10.42578125" style="111" bestFit="1" customWidth="1"/>
    <col min="2499" max="2499" width="5.140625" style="111" customWidth="1"/>
    <col min="2500" max="2722" width="8.7109375" style="111"/>
    <col min="2723" max="2723" width="3.42578125" style="111" customWidth="1"/>
    <col min="2724" max="2724" width="7" style="111" customWidth="1"/>
    <col min="2725" max="2725" width="25.42578125" style="111" customWidth="1"/>
    <col min="2726" max="2726" width="12" style="111" customWidth="1"/>
    <col min="2727" max="2727" width="12.7109375" style="111" bestFit="1" customWidth="1"/>
    <col min="2728" max="2728" width="7.42578125" style="111" bestFit="1" customWidth="1"/>
    <col min="2729" max="2729" width="7.7109375" style="111" bestFit="1" customWidth="1"/>
    <col min="2730" max="2730" width="15" style="111" customWidth="1"/>
    <col min="2731" max="2731" width="7.42578125" style="111" bestFit="1" customWidth="1"/>
    <col min="2732" max="2732" width="7.7109375" style="111" bestFit="1" customWidth="1"/>
    <col min="2733" max="2733" width="15" style="111" bestFit="1" customWidth="1"/>
    <col min="2734" max="2734" width="7.42578125" style="111" bestFit="1" customWidth="1"/>
    <col min="2735" max="2735" width="7.7109375" style="111" bestFit="1" customWidth="1"/>
    <col min="2736" max="2736" width="9.42578125" style="111" bestFit="1" customWidth="1"/>
    <col min="2737" max="2737" width="8" style="111" bestFit="1" customWidth="1"/>
    <col min="2738" max="2738" width="7.7109375" style="111" bestFit="1" customWidth="1"/>
    <col min="2739" max="2739" width="10.42578125" style="111" bestFit="1" customWidth="1"/>
    <col min="2740" max="2740" width="8" style="111" bestFit="1" customWidth="1"/>
    <col min="2741" max="2741" width="7.7109375" style="111" bestFit="1" customWidth="1"/>
    <col min="2742" max="2742" width="10.42578125" style="111" bestFit="1" customWidth="1"/>
    <col min="2743" max="2743" width="7.42578125" style="111" bestFit="1" customWidth="1"/>
    <col min="2744" max="2744" width="7.7109375" style="111" bestFit="1" customWidth="1"/>
    <col min="2745" max="2745" width="10.42578125" style="111" bestFit="1" customWidth="1"/>
    <col min="2746" max="2746" width="8" style="111" bestFit="1" customWidth="1"/>
    <col min="2747" max="2747" width="7.7109375" style="111" bestFit="1" customWidth="1"/>
    <col min="2748" max="2748" width="10.42578125" style="111" bestFit="1" customWidth="1"/>
    <col min="2749" max="2749" width="7.42578125" style="111" bestFit="1" customWidth="1"/>
    <col min="2750" max="2750" width="7.7109375" style="111" bestFit="1" customWidth="1"/>
    <col min="2751" max="2751" width="10.42578125" style="111" bestFit="1" customWidth="1"/>
    <col min="2752" max="2752" width="7.42578125" style="111" bestFit="1" customWidth="1"/>
    <col min="2753" max="2753" width="7.7109375" style="111" bestFit="1" customWidth="1"/>
    <col min="2754" max="2754" width="10.42578125" style="111" bestFit="1" customWidth="1"/>
    <col min="2755" max="2755" width="5.140625" style="111" customWidth="1"/>
    <col min="2756" max="2978" width="8.7109375" style="111"/>
    <col min="2979" max="2979" width="3.42578125" style="111" customWidth="1"/>
    <col min="2980" max="2980" width="7" style="111" customWidth="1"/>
    <col min="2981" max="2981" width="25.42578125" style="111" customWidth="1"/>
    <col min="2982" max="2982" width="12" style="111" customWidth="1"/>
    <col min="2983" max="2983" width="12.7109375" style="111" bestFit="1" customWidth="1"/>
    <col min="2984" max="2984" width="7.42578125" style="111" bestFit="1" customWidth="1"/>
    <col min="2985" max="2985" width="7.7109375" style="111" bestFit="1" customWidth="1"/>
    <col min="2986" max="2986" width="15" style="111" customWidth="1"/>
    <col min="2987" max="2987" width="7.42578125" style="111" bestFit="1" customWidth="1"/>
    <col min="2988" max="2988" width="7.7109375" style="111" bestFit="1" customWidth="1"/>
    <col min="2989" max="2989" width="15" style="111" bestFit="1" customWidth="1"/>
    <col min="2990" max="2990" width="7.42578125" style="111" bestFit="1" customWidth="1"/>
    <col min="2991" max="2991" width="7.7109375" style="111" bestFit="1" customWidth="1"/>
    <col min="2992" max="2992" width="9.42578125" style="111" bestFit="1" customWidth="1"/>
    <col min="2993" max="2993" width="8" style="111" bestFit="1" customWidth="1"/>
    <col min="2994" max="2994" width="7.7109375" style="111" bestFit="1" customWidth="1"/>
    <col min="2995" max="2995" width="10.42578125" style="111" bestFit="1" customWidth="1"/>
    <col min="2996" max="2996" width="8" style="111" bestFit="1" customWidth="1"/>
    <col min="2997" max="2997" width="7.7109375" style="111" bestFit="1" customWidth="1"/>
    <col min="2998" max="2998" width="10.42578125" style="111" bestFit="1" customWidth="1"/>
    <col min="2999" max="2999" width="7.42578125" style="111" bestFit="1" customWidth="1"/>
    <col min="3000" max="3000" width="7.7109375" style="111" bestFit="1" customWidth="1"/>
    <col min="3001" max="3001" width="10.42578125" style="111" bestFit="1" customWidth="1"/>
    <col min="3002" max="3002" width="8" style="111" bestFit="1" customWidth="1"/>
    <col min="3003" max="3003" width="7.7109375" style="111" bestFit="1" customWidth="1"/>
    <col min="3004" max="3004" width="10.42578125" style="111" bestFit="1" customWidth="1"/>
    <col min="3005" max="3005" width="7.42578125" style="111" bestFit="1" customWidth="1"/>
    <col min="3006" max="3006" width="7.7109375" style="111" bestFit="1" customWidth="1"/>
    <col min="3007" max="3007" width="10.42578125" style="111" bestFit="1" customWidth="1"/>
    <col min="3008" max="3008" width="7.42578125" style="111" bestFit="1" customWidth="1"/>
    <col min="3009" max="3009" width="7.7109375" style="111" bestFit="1" customWidth="1"/>
    <col min="3010" max="3010" width="10.42578125" style="111" bestFit="1" customWidth="1"/>
    <col min="3011" max="3011" width="5.140625" style="111" customWidth="1"/>
    <col min="3012" max="3234" width="8.7109375" style="111"/>
    <col min="3235" max="3235" width="3.42578125" style="111" customWidth="1"/>
    <col min="3236" max="3236" width="7" style="111" customWidth="1"/>
    <col min="3237" max="3237" width="25.42578125" style="111" customWidth="1"/>
    <col min="3238" max="3238" width="12" style="111" customWidth="1"/>
    <col min="3239" max="3239" width="12.7109375" style="111" bestFit="1" customWidth="1"/>
    <col min="3240" max="3240" width="7.42578125" style="111" bestFit="1" customWidth="1"/>
    <col min="3241" max="3241" width="7.7109375" style="111" bestFit="1" customWidth="1"/>
    <col min="3242" max="3242" width="15" style="111" customWidth="1"/>
    <col min="3243" max="3243" width="7.42578125" style="111" bestFit="1" customWidth="1"/>
    <col min="3244" max="3244" width="7.7109375" style="111" bestFit="1" customWidth="1"/>
    <col min="3245" max="3245" width="15" style="111" bestFit="1" customWidth="1"/>
    <col min="3246" max="3246" width="7.42578125" style="111" bestFit="1" customWidth="1"/>
    <col min="3247" max="3247" width="7.7109375" style="111" bestFit="1" customWidth="1"/>
    <col min="3248" max="3248" width="9.42578125" style="111" bestFit="1" customWidth="1"/>
    <col min="3249" max="3249" width="8" style="111" bestFit="1" customWidth="1"/>
    <col min="3250" max="3250" width="7.7109375" style="111" bestFit="1" customWidth="1"/>
    <col min="3251" max="3251" width="10.42578125" style="111" bestFit="1" customWidth="1"/>
    <col min="3252" max="3252" width="8" style="111" bestFit="1" customWidth="1"/>
    <col min="3253" max="3253" width="7.7109375" style="111" bestFit="1" customWidth="1"/>
    <col min="3254" max="3254" width="10.42578125" style="111" bestFit="1" customWidth="1"/>
    <col min="3255" max="3255" width="7.42578125" style="111" bestFit="1" customWidth="1"/>
    <col min="3256" max="3256" width="7.7109375" style="111" bestFit="1" customWidth="1"/>
    <col min="3257" max="3257" width="10.42578125" style="111" bestFit="1" customWidth="1"/>
    <col min="3258" max="3258" width="8" style="111" bestFit="1" customWidth="1"/>
    <col min="3259" max="3259" width="7.7109375" style="111" bestFit="1" customWidth="1"/>
    <col min="3260" max="3260" width="10.42578125" style="111" bestFit="1" customWidth="1"/>
    <col min="3261" max="3261" width="7.42578125" style="111" bestFit="1" customWidth="1"/>
    <col min="3262" max="3262" width="7.7109375" style="111" bestFit="1" customWidth="1"/>
    <col min="3263" max="3263" width="10.42578125" style="111" bestFit="1" customWidth="1"/>
    <col min="3264" max="3264" width="7.42578125" style="111" bestFit="1" customWidth="1"/>
    <col min="3265" max="3265" width="7.7109375" style="111" bestFit="1" customWidth="1"/>
    <col min="3266" max="3266" width="10.42578125" style="111" bestFit="1" customWidth="1"/>
    <col min="3267" max="3267" width="5.140625" style="111" customWidth="1"/>
    <col min="3268" max="3490" width="8.7109375" style="111"/>
    <col min="3491" max="3491" width="3.42578125" style="111" customWidth="1"/>
    <col min="3492" max="3492" width="7" style="111" customWidth="1"/>
    <col min="3493" max="3493" width="25.42578125" style="111" customWidth="1"/>
    <col min="3494" max="3494" width="12" style="111" customWidth="1"/>
    <col min="3495" max="3495" width="12.7109375" style="111" bestFit="1" customWidth="1"/>
    <col min="3496" max="3496" width="7.42578125" style="111" bestFit="1" customWidth="1"/>
    <col min="3497" max="3497" width="7.7109375" style="111" bestFit="1" customWidth="1"/>
    <col min="3498" max="3498" width="15" style="111" customWidth="1"/>
    <col min="3499" max="3499" width="7.42578125" style="111" bestFit="1" customWidth="1"/>
    <col min="3500" max="3500" width="7.7109375" style="111" bestFit="1" customWidth="1"/>
    <col min="3501" max="3501" width="15" style="111" bestFit="1" customWidth="1"/>
    <col min="3502" max="3502" width="7.42578125" style="111" bestFit="1" customWidth="1"/>
    <col min="3503" max="3503" width="7.7109375" style="111" bestFit="1" customWidth="1"/>
    <col min="3504" max="3504" width="9.42578125" style="111" bestFit="1" customWidth="1"/>
    <col min="3505" max="3505" width="8" style="111" bestFit="1" customWidth="1"/>
    <col min="3506" max="3506" width="7.7109375" style="111" bestFit="1" customWidth="1"/>
    <col min="3507" max="3507" width="10.42578125" style="111" bestFit="1" customWidth="1"/>
    <col min="3508" max="3508" width="8" style="111" bestFit="1" customWidth="1"/>
    <col min="3509" max="3509" width="7.7109375" style="111" bestFit="1" customWidth="1"/>
    <col min="3510" max="3510" width="10.42578125" style="111" bestFit="1" customWidth="1"/>
    <col min="3511" max="3511" width="7.42578125" style="111" bestFit="1" customWidth="1"/>
    <col min="3512" max="3512" width="7.7109375" style="111" bestFit="1" customWidth="1"/>
    <col min="3513" max="3513" width="10.42578125" style="111" bestFit="1" customWidth="1"/>
    <col min="3514" max="3514" width="8" style="111" bestFit="1" customWidth="1"/>
    <col min="3515" max="3515" width="7.7109375" style="111" bestFit="1" customWidth="1"/>
    <col min="3516" max="3516" width="10.42578125" style="111" bestFit="1" customWidth="1"/>
    <col min="3517" max="3517" width="7.42578125" style="111" bestFit="1" customWidth="1"/>
    <col min="3518" max="3518" width="7.7109375" style="111" bestFit="1" customWidth="1"/>
    <col min="3519" max="3519" width="10.42578125" style="111" bestFit="1" customWidth="1"/>
    <col min="3520" max="3520" width="7.42578125" style="111" bestFit="1" customWidth="1"/>
    <col min="3521" max="3521" width="7.7109375" style="111" bestFit="1" customWidth="1"/>
    <col min="3522" max="3522" width="10.42578125" style="111" bestFit="1" customWidth="1"/>
    <col min="3523" max="3523" width="5.140625" style="111" customWidth="1"/>
    <col min="3524" max="3746" width="8.7109375" style="111"/>
    <col min="3747" max="3747" width="3.42578125" style="111" customWidth="1"/>
    <col min="3748" max="3748" width="7" style="111" customWidth="1"/>
    <col min="3749" max="3749" width="25.42578125" style="111" customWidth="1"/>
    <col min="3750" max="3750" width="12" style="111" customWidth="1"/>
    <col min="3751" max="3751" width="12.7109375" style="111" bestFit="1" customWidth="1"/>
    <col min="3752" max="3752" width="7.42578125" style="111" bestFit="1" customWidth="1"/>
    <col min="3753" max="3753" width="7.7109375" style="111" bestFit="1" customWidth="1"/>
    <col min="3754" max="3754" width="15" style="111" customWidth="1"/>
    <col min="3755" max="3755" width="7.42578125" style="111" bestFit="1" customWidth="1"/>
    <col min="3756" max="3756" width="7.7109375" style="111" bestFit="1" customWidth="1"/>
    <col min="3757" max="3757" width="15" style="111" bestFit="1" customWidth="1"/>
    <col min="3758" max="3758" width="7.42578125" style="111" bestFit="1" customWidth="1"/>
    <col min="3759" max="3759" width="7.7109375" style="111" bestFit="1" customWidth="1"/>
    <col min="3760" max="3760" width="9.42578125" style="111" bestFit="1" customWidth="1"/>
    <col min="3761" max="3761" width="8" style="111" bestFit="1" customWidth="1"/>
    <col min="3762" max="3762" width="7.7109375" style="111" bestFit="1" customWidth="1"/>
    <col min="3763" max="3763" width="10.42578125" style="111" bestFit="1" customWidth="1"/>
    <col min="3764" max="3764" width="8" style="111" bestFit="1" customWidth="1"/>
    <col min="3765" max="3765" width="7.7109375" style="111" bestFit="1" customWidth="1"/>
    <col min="3766" max="3766" width="10.42578125" style="111" bestFit="1" customWidth="1"/>
    <col min="3767" max="3767" width="7.42578125" style="111" bestFit="1" customWidth="1"/>
    <col min="3768" max="3768" width="7.7109375" style="111" bestFit="1" customWidth="1"/>
    <col min="3769" max="3769" width="10.42578125" style="111" bestFit="1" customWidth="1"/>
    <col min="3770" max="3770" width="8" style="111" bestFit="1" customWidth="1"/>
    <col min="3771" max="3771" width="7.7109375" style="111" bestFit="1" customWidth="1"/>
    <col min="3772" max="3772" width="10.42578125" style="111" bestFit="1" customWidth="1"/>
    <col min="3773" max="3773" width="7.42578125" style="111" bestFit="1" customWidth="1"/>
    <col min="3774" max="3774" width="7.7109375" style="111" bestFit="1" customWidth="1"/>
    <col min="3775" max="3775" width="10.42578125" style="111" bestFit="1" customWidth="1"/>
    <col min="3776" max="3776" width="7.42578125" style="111" bestFit="1" customWidth="1"/>
    <col min="3777" max="3777" width="7.7109375" style="111" bestFit="1" customWidth="1"/>
    <col min="3778" max="3778" width="10.42578125" style="111" bestFit="1" customWidth="1"/>
    <col min="3779" max="3779" width="5.140625" style="111" customWidth="1"/>
    <col min="3780" max="4002" width="8.7109375" style="111"/>
    <col min="4003" max="4003" width="3.42578125" style="111" customWidth="1"/>
    <col min="4004" max="4004" width="7" style="111" customWidth="1"/>
    <col min="4005" max="4005" width="25.42578125" style="111" customWidth="1"/>
    <col min="4006" max="4006" width="12" style="111" customWidth="1"/>
    <col min="4007" max="4007" width="12.7109375" style="111" bestFit="1" customWidth="1"/>
    <col min="4008" max="4008" width="7.42578125" style="111" bestFit="1" customWidth="1"/>
    <col min="4009" max="4009" width="7.7109375" style="111" bestFit="1" customWidth="1"/>
    <col min="4010" max="4010" width="15" style="111" customWidth="1"/>
    <col min="4011" max="4011" width="7.42578125" style="111" bestFit="1" customWidth="1"/>
    <col min="4012" max="4012" width="7.7109375" style="111" bestFit="1" customWidth="1"/>
    <col min="4013" max="4013" width="15" style="111" bestFit="1" customWidth="1"/>
    <col min="4014" max="4014" width="7.42578125" style="111" bestFit="1" customWidth="1"/>
    <col min="4015" max="4015" width="7.7109375" style="111" bestFit="1" customWidth="1"/>
    <col min="4016" max="4016" width="9.42578125" style="111" bestFit="1" customWidth="1"/>
    <col min="4017" max="4017" width="8" style="111" bestFit="1" customWidth="1"/>
    <col min="4018" max="4018" width="7.7109375" style="111" bestFit="1" customWidth="1"/>
    <col min="4019" max="4019" width="10.42578125" style="111" bestFit="1" customWidth="1"/>
    <col min="4020" max="4020" width="8" style="111" bestFit="1" customWidth="1"/>
    <col min="4021" max="4021" width="7.7109375" style="111" bestFit="1" customWidth="1"/>
    <col min="4022" max="4022" width="10.42578125" style="111" bestFit="1" customWidth="1"/>
    <col min="4023" max="4023" width="7.42578125" style="111" bestFit="1" customWidth="1"/>
    <col min="4024" max="4024" width="7.7109375" style="111" bestFit="1" customWidth="1"/>
    <col min="4025" max="4025" width="10.42578125" style="111" bestFit="1" customWidth="1"/>
    <col min="4026" max="4026" width="8" style="111" bestFit="1" customWidth="1"/>
    <col min="4027" max="4027" width="7.7109375" style="111" bestFit="1" customWidth="1"/>
    <col min="4028" max="4028" width="10.42578125" style="111" bestFit="1" customWidth="1"/>
    <col min="4029" max="4029" width="7.42578125" style="111" bestFit="1" customWidth="1"/>
    <col min="4030" max="4030" width="7.7109375" style="111" bestFit="1" customWidth="1"/>
    <col min="4031" max="4031" width="10.42578125" style="111" bestFit="1" customWidth="1"/>
    <col min="4032" max="4032" width="7.42578125" style="111" bestFit="1" customWidth="1"/>
    <col min="4033" max="4033" width="7.7109375" style="111" bestFit="1" customWidth="1"/>
    <col min="4034" max="4034" width="10.42578125" style="111" bestFit="1" customWidth="1"/>
    <col min="4035" max="4035" width="5.140625" style="111" customWidth="1"/>
    <col min="4036" max="4258" width="8.7109375" style="111"/>
    <col min="4259" max="4259" width="3.42578125" style="111" customWidth="1"/>
    <col min="4260" max="4260" width="7" style="111" customWidth="1"/>
    <col min="4261" max="4261" width="25.42578125" style="111" customWidth="1"/>
    <col min="4262" max="4262" width="12" style="111" customWidth="1"/>
    <col min="4263" max="4263" width="12.7109375" style="111" bestFit="1" customWidth="1"/>
    <col min="4264" max="4264" width="7.42578125" style="111" bestFit="1" customWidth="1"/>
    <col min="4265" max="4265" width="7.7109375" style="111" bestFit="1" customWidth="1"/>
    <col min="4266" max="4266" width="15" style="111" customWidth="1"/>
    <col min="4267" max="4267" width="7.42578125" style="111" bestFit="1" customWidth="1"/>
    <col min="4268" max="4268" width="7.7109375" style="111" bestFit="1" customWidth="1"/>
    <col min="4269" max="4269" width="15" style="111" bestFit="1" customWidth="1"/>
    <col min="4270" max="4270" width="7.42578125" style="111" bestFit="1" customWidth="1"/>
    <col min="4271" max="4271" width="7.7109375" style="111" bestFit="1" customWidth="1"/>
    <col min="4272" max="4272" width="9.42578125" style="111" bestFit="1" customWidth="1"/>
    <col min="4273" max="4273" width="8" style="111" bestFit="1" customWidth="1"/>
    <col min="4274" max="4274" width="7.7109375" style="111" bestFit="1" customWidth="1"/>
    <col min="4275" max="4275" width="10.42578125" style="111" bestFit="1" customWidth="1"/>
    <col min="4276" max="4276" width="8" style="111" bestFit="1" customWidth="1"/>
    <col min="4277" max="4277" width="7.7109375" style="111" bestFit="1" customWidth="1"/>
    <col min="4278" max="4278" width="10.42578125" style="111" bestFit="1" customWidth="1"/>
    <col min="4279" max="4279" width="7.42578125" style="111" bestFit="1" customWidth="1"/>
    <col min="4280" max="4280" width="7.7109375" style="111" bestFit="1" customWidth="1"/>
    <col min="4281" max="4281" width="10.42578125" style="111" bestFit="1" customWidth="1"/>
    <col min="4282" max="4282" width="8" style="111" bestFit="1" customWidth="1"/>
    <col min="4283" max="4283" width="7.7109375" style="111" bestFit="1" customWidth="1"/>
    <col min="4284" max="4284" width="10.42578125" style="111" bestFit="1" customWidth="1"/>
    <col min="4285" max="4285" width="7.42578125" style="111" bestFit="1" customWidth="1"/>
    <col min="4286" max="4286" width="7.7109375" style="111" bestFit="1" customWidth="1"/>
    <col min="4287" max="4287" width="10.42578125" style="111" bestFit="1" customWidth="1"/>
    <col min="4288" max="4288" width="7.42578125" style="111" bestFit="1" customWidth="1"/>
    <col min="4289" max="4289" width="7.7109375" style="111" bestFit="1" customWidth="1"/>
    <col min="4290" max="4290" width="10.42578125" style="111" bestFit="1" customWidth="1"/>
    <col min="4291" max="4291" width="5.140625" style="111" customWidth="1"/>
    <col min="4292" max="4514" width="8.7109375" style="111"/>
    <col min="4515" max="4515" width="3.42578125" style="111" customWidth="1"/>
    <col min="4516" max="4516" width="7" style="111" customWidth="1"/>
    <col min="4517" max="4517" width="25.42578125" style="111" customWidth="1"/>
    <col min="4518" max="4518" width="12" style="111" customWidth="1"/>
    <col min="4519" max="4519" width="12.7109375" style="111" bestFit="1" customWidth="1"/>
    <col min="4520" max="4520" width="7.42578125" style="111" bestFit="1" customWidth="1"/>
    <col min="4521" max="4521" width="7.7109375" style="111" bestFit="1" customWidth="1"/>
    <col min="4522" max="4522" width="15" style="111" customWidth="1"/>
    <col min="4523" max="4523" width="7.42578125" style="111" bestFit="1" customWidth="1"/>
    <col min="4524" max="4524" width="7.7109375" style="111" bestFit="1" customWidth="1"/>
    <col min="4525" max="4525" width="15" style="111" bestFit="1" customWidth="1"/>
    <col min="4526" max="4526" width="7.42578125" style="111" bestFit="1" customWidth="1"/>
    <col min="4527" max="4527" width="7.7109375" style="111" bestFit="1" customWidth="1"/>
    <col min="4528" max="4528" width="9.42578125" style="111" bestFit="1" customWidth="1"/>
    <col min="4529" max="4529" width="8" style="111" bestFit="1" customWidth="1"/>
    <col min="4530" max="4530" width="7.7109375" style="111" bestFit="1" customWidth="1"/>
    <col min="4531" max="4531" width="10.42578125" style="111" bestFit="1" customWidth="1"/>
    <col min="4532" max="4532" width="8" style="111" bestFit="1" customWidth="1"/>
    <col min="4533" max="4533" width="7.7109375" style="111" bestFit="1" customWidth="1"/>
    <col min="4534" max="4534" width="10.42578125" style="111" bestFit="1" customWidth="1"/>
    <col min="4535" max="4535" width="7.42578125" style="111" bestFit="1" customWidth="1"/>
    <col min="4536" max="4536" width="7.7109375" style="111" bestFit="1" customWidth="1"/>
    <col min="4537" max="4537" width="10.42578125" style="111" bestFit="1" customWidth="1"/>
    <col min="4538" max="4538" width="8" style="111" bestFit="1" customWidth="1"/>
    <col min="4539" max="4539" width="7.7109375" style="111" bestFit="1" customWidth="1"/>
    <col min="4540" max="4540" width="10.42578125" style="111" bestFit="1" customWidth="1"/>
    <col min="4541" max="4541" width="7.42578125" style="111" bestFit="1" customWidth="1"/>
    <col min="4542" max="4542" width="7.7109375" style="111" bestFit="1" customWidth="1"/>
    <col min="4543" max="4543" width="10.42578125" style="111" bestFit="1" customWidth="1"/>
    <col min="4544" max="4544" width="7.42578125" style="111" bestFit="1" customWidth="1"/>
    <col min="4545" max="4545" width="7.7109375" style="111" bestFit="1" customWidth="1"/>
    <col min="4546" max="4546" width="10.42578125" style="111" bestFit="1" customWidth="1"/>
    <col min="4547" max="4547" width="5.140625" style="111" customWidth="1"/>
    <col min="4548" max="4770" width="8.7109375" style="111"/>
    <col min="4771" max="4771" width="3.42578125" style="111" customWidth="1"/>
    <col min="4772" max="4772" width="7" style="111" customWidth="1"/>
    <col min="4773" max="4773" width="25.42578125" style="111" customWidth="1"/>
    <col min="4774" max="4774" width="12" style="111" customWidth="1"/>
    <col min="4775" max="4775" width="12.7109375" style="111" bestFit="1" customWidth="1"/>
    <col min="4776" max="4776" width="7.42578125" style="111" bestFit="1" customWidth="1"/>
    <col min="4777" max="4777" width="7.7109375" style="111" bestFit="1" customWidth="1"/>
    <col min="4778" max="4778" width="15" style="111" customWidth="1"/>
    <col min="4779" max="4779" width="7.42578125" style="111" bestFit="1" customWidth="1"/>
    <col min="4780" max="4780" width="7.7109375" style="111" bestFit="1" customWidth="1"/>
    <col min="4781" max="4781" width="15" style="111" bestFit="1" customWidth="1"/>
    <col min="4782" max="4782" width="7.42578125" style="111" bestFit="1" customWidth="1"/>
    <col min="4783" max="4783" width="7.7109375" style="111" bestFit="1" customWidth="1"/>
    <col min="4784" max="4784" width="9.42578125" style="111" bestFit="1" customWidth="1"/>
    <col min="4785" max="4785" width="8" style="111" bestFit="1" customWidth="1"/>
    <col min="4786" max="4786" width="7.7109375" style="111" bestFit="1" customWidth="1"/>
    <col min="4787" max="4787" width="10.42578125" style="111" bestFit="1" customWidth="1"/>
    <col min="4788" max="4788" width="8" style="111" bestFit="1" customWidth="1"/>
    <col min="4789" max="4789" width="7.7109375" style="111" bestFit="1" customWidth="1"/>
    <col min="4790" max="4790" width="10.42578125" style="111" bestFit="1" customWidth="1"/>
    <col min="4791" max="4791" width="7.42578125" style="111" bestFit="1" customWidth="1"/>
    <col min="4792" max="4792" width="7.7109375" style="111" bestFit="1" customWidth="1"/>
    <col min="4793" max="4793" width="10.42578125" style="111" bestFit="1" customWidth="1"/>
    <col min="4794" max="4794" width="8" style="111" bestFit="1" customWidth="1"/>
    <col min="4795" max="4795" width="7.7109375" style="111" bestFit="1" customWidth="1"/>
    <col min="4796" max="4796" width="10.42578125" style="111" bestFit="1" customWidth="1"/>
    <col min="4797" max="4797" width="7.42578125" style="111" bestFit="1" customWidth="1"/>
    <col min="4798" max="4798" width="7.7109375" style="111" bestFit="1" customWidth="1"/>
    <col min="4799" max="4799" width="10.42578125" style="111" bestFit="1" customWidth="1"/>
    <col min="4800" max="4800" width="7.42578125" style="111" bestFit="1" customWidth="1"/>
    <col min="4801" max="4801" width="7.7109375" style="111" bestFit="1" customWidth="1"/>
    <col min="4802" max="4802" width="10.42578125" style="111" bestFit="1" customWidth="1"/>
    <col min="4803" max="4803" width="5.140625" style="111" customWidth="1"/>
    <col min="4804" max="5026" width="8.7109375" style="111"/>
    <col min="5027" max="5027" width="3.42578125" style="111" customWidth="1"/>
    <col min="5028" max="5028" width="7" style="111" customWidth="1"/>
    <col min="5029" max="5029" width="25.42578125" style="111" customWidth="1"/>
    <col min="5030" max="5030" width="12" style="111" customWidth="1"/>
    <col min="5031" max="5031" width="12.7109375" style="111" bestFit="1" customWidth="1"/>
    <col min="5032" max="5032" width="7.42578125" style="111" bestFit="1" customWidth="1"/>
    <col min="5033" max="5033" width="7.7109375" style="111" bestFit="1" customWidth="1"/>
    <col min="5034" max="5034" width="15" style="111" customWidth="1"/>
    <col min="5035" max="5035" width="7.42578125" style="111" bestFit="1" customWidth="1"/>
    <col min="5036" max="5036" width="7.7109375" style="111" bestFit="1" customWidth="1"/>
    <col min="5037" max="5037" width="15" style="111" bestFit="1" customWidth="1"/>
    <col min="5038" max="5038" width="7.42578125" style="111" bestFit="1" customWidth="1"/>
    <col min="5039" max="5039" width="7.7109375" style="111" bestFit="1" customWidth="1"/>
    <col min="5040" max="5040" width="9.42578125" style="111" bestFit="1" customWidth="1"/>
    <col min="5041" max="5041" width="8" style="111" bestFit="1" customWidth="1"/>
    <col min="5042" max="5042" width="7.7109375" style="111" bestFit="1" customWidth="1"/>
    <col min="5043" max="5043" width="10.42578125" style="111" bestFit="1" customWidth="1"/>
    <col min="5044" max="5044" width="8" style="111" bestFit="1" customWidth="1"/>
    <col min="5045" max="5045" width="7.7109375" style="111" bestFit="1" customWidth="1"/>
    <col min="5046" max="5046" width="10.42578125" style="111" bestFit="1" customWidth="1"/>
    <col min="5047" max="5047" width="7.42578125" style="111" bestFit="1" customWidth="1"/>
    <col min="5048" max="5048" width="7.7109375" style="111" bestFit="1" customWidth="1"/>
    <col min="5049" max="5049" width="10.42578125" style="111" bestFit="1" customWidth="1"/>
    <col min="5050" max="5050" width="8" style="111" bestFit="1" customWidth="1"/>
    <col min="5051" max="5051" width="7.7109375" style="111" bestFit="1" customWidth="1"/>
    <col min="5052" max="5052" width="10.42578125" style="111" bestFit="1" customWidth="1"/>
    <col min="5053" max="5053" width="7.42578125" style="111" bestFit="1" customWidth="1"/>
    <col min="5054" max="5054" width="7.7109375" style="111" bestFit="1" customWidth="1"/>
    <col min="5055" max="5055" width="10.42578125" style="111" bestFit="1" customWidth="1"/>
    <col min="5056" max="5056" width="7.42578125" style="111" bestFit="1" customWidth="1"/>
    <col min="5057" max="5057" width="7.7109375" style="111" bestFit="1" customWidth="1"/>
    <col min="5058" max="5058" width="10.42578125" style="111" bestFit="1" customWidth="1"/>
    <col min="5059" max="5059" width="5.140625" style="111" customWidth="1"/>
    <col min="5060" max="5282" width="8.7109375" style="111"/>
    <col min="5283" max="5283" width="3.42578125" style="111" customWidth="1"/>
    <col min="5284" max="5284" width="7" style="111" customWidth="1"/>
    <col min="5285" max="5285" width="25.42578125" style="111" customWidth="1"/>
    <col min="5286" max="5286" width="12" style="111" customWidth="1"/>
    <col min="5287" max="5287" width="12.7109375" style="111" bestFit="1" customWidth="1"/>
    <col min="5288" max="5288" width="7.42578125" style="111" bestFit="1" customWidth="1"/>
    <col min="5289" max="5289" width="7.7109375" style="111" bestFit="1" customWidth="1"/>
    <col min="5290" max="5290" width="15" style="111" customWidth="1"/>
    <col min="5291" max="5291" width="7.42578125" style="111" bestFit="1" customWidth="1"/>
    <col min="5292" max="5292" width="7.7109375" style="111" bestFit="1" customWidth="1"/>
    <col min="5293" max="5293" width="15" style="111" bestFit="1" customWidth="1"/>
    <col min="5294" max="5294" width="7.42578125" style="111" bestFit="1" customWidth="1"/>
    <col min="5295" max="5295" width="7.7109375" style="111" bestFit="1" customWidth="1"/>
    <col min="5296" max="5296" width="9.42578125" style="111" bestFit="1" customWidth="1"/>
    <col min="5297" max="5297" width="8" style="111" bestFit="1" customWidth="1"/>
    <col min="5298" max="5298" width="7.7109375" style="111" bestFit="1" customWidth="1"/>
    <col min="5299" max="5299" width="10.42578125" style="111" bestFit="1" customWidth="1"/>
    <col min="5300" max="5300" width="8" style="111" bestFit="1" customWidth="1"/>
    <col min="5301" max="5301" width="7.7109375" style="111" bestFit="1" customWidth="1"/>
    <col min="5302" max="5302" width="10.42578125" style="111" bestFit="1" customWidth="1"/>
    <col min="5303" max="5303" width="7.42578125" style="111" bestFit="1" customWidth="1"/>
    <col min="5304" max="5304" width="7.7109375" style="111" bestFit="1" customWidth="1"/>
    <col min="5305" max="5305" width="10.42578125" style="111" bestFit="1" customWidth="1"/>
    <col min="5306" max="5306" width="8" style="111" bestFit="1" customWidth="1"/>
    <col min="5307" max="5307" width="7.7109375" style="111" bestFit="1" customWidth="1"/>
    <col min="5308" max="5308" width="10.42578125" style="111" bestFit="1" customWidth="1"/>
    <col min="5309" max="5309" width="7.42578125" style="111" bestFit="1" customWidth="1"/>
    <col min="5310" max="5310" width="7.7109375" style="111" bestFit="1" customWidth="1"/>
    <col min="5311" max="5311" width="10.42578125" style="111" bestFit="1" customWidth="1"/>
    <col min="5312" max="5312" width="7.42578125" style="111" bestFit="1" customWidth="1"/>
    <col min="5313" max="5313" width="7.7109375" style="111" bestFit="1" customWidth="1"/>
    <col min="5314" max="5314" width="10.42578125" style="111" bestFit="1" customWidth="1"/>
    <col min="5315" max="5315" width="5.140625" style="111" customWidth="1"/>
    <col min="5316" max="5538" width="8.7109375" style="111"/>
    <col min="5539" max="5539" width="3.42578125" style="111" customWidth="1"/>
    <col min="5540" max="5540" width="7" style="111" customWidth="1"/>
    <col min="5541" max="5541" width="25.42578125" style="111" customWidth="1"/>
    <col min="5542" max="5542" width="12" style="111" customWidth="1"/>
    <col min="5543" max="5543" width="12.7109375" style="111" bestFit="1" customWidth="1"/>
    <col min="5544" max="5544" width="7.42578125" style="111" bestFit="1" customWidth="1"/>
    <col min="5545" max="5545" width="7.7109375" style="111" bestFit="1" customWidth="1"/>
    <col min="5546" max="5546" width="15" style="111" customWidth="1"/>
    <col min="5547" max="5547" width="7.42578125" style="111" bestFit="1" customWidth="1"/>
    <col min="5548" max="5548" width="7.7109375" style="111" bestFit="1" customWidth="1"/>
    <col min="5549" max="5549" width="15" style="111" bestFit="1" customWidth="1"/>
    <col min="5550" max="5550" width="7.42578125" style="111" bestFit="1" customWidth="1"/>
    <col min="5551" max="5551" width="7.7109375" style="111" bestFit="1" customWidth="1"/>
    <col min="5552" max="5552" width="9.42578125" style="111" bestFit="1" customWidth="1"/>
    <col min="5553" max="5553" width="8" style="111" bestFit="1" customWidth="1"/>
    <col min="5554" max="5554" width="7.7109375" style="111" bestFit="1" customWidth="1"/>
    <col min="5555" max="5555" width="10.42578125" style="111" bestFit="1" customWidth="1"/>
    <col min="5556" max="5556" width="8" style="111" bestFit="1" customWidth="1"/>
    <col min="5557" max="5557" width="7.7109375" style="111" bestFit="1" customWidth="1"/>
    <col min="5558" max="5558" width="10.42578125" style="111" bestFit="1" customWidth="1"/>
    <col min="5559" max="5559" width="7.42578125" style="111" bestFit="1" customWidth="1"/>
    <col min="5560" max="5560" width="7.7109375" style="111" bestFit="1" customWidth="1"/>
    <col min="5561" max="5561" width="10.42578125" style="111" bestFit="1" customWidth="1"/>
    <col min="5562" max="5562" width="8" style="111" bestFit="1" customWidth="1"/>
    <col min="5563" max="5563" width="7.7109375" style="111" bestFit="1" customWidth="1"/>
    <col min="5564" max="5564" width="10.42578125" style="111" bestFit="1" customWidth="1"/>
    <col min="5565" max="5565" width="7.42578125" style="111" bestFit="1" customWidth="1"/>
    <col min="5566" max="5566" width="7.7109375" style="111" bestFit="1" customWidth="1"/>
    <col min="5567" max="5567" width="10.42578125" style="111" bestFit="1" customWidth="1"/>
    <col min="5568" max="5568" width="7.42578125" style="111" bestFit="1" customWidth="1"/>
    <col min="5569" max="5569" width="7.7109375" style="111" bestFit="1" customWidth="1"/>
    <col min="5570" max="5570" width="10.42578125" style="111" bestFit="1" customWidth="1"/>
    <col min="5571" max="5571" width="5.140625" style="111" customWidth="1"/>
    <col min="5572" max="5794" width="8.7109375" style="111"/>
    <col min="5795" max="5795" width="3.42578125" style="111" customWidth="1"/>
    <col min="5796" max="5796" width="7" style="111" customWidth="1"/>
    <col min="5797" max="5797" width="25.42578125" style="111" customWidth="1"/>
    <col min="5798" max="5798" width="12" style="111" customWidth="1"/>
    <col min="5799" max="5799" width="12.7109375" style="111" bestFit="1" customWidth="1"/>
    <col min="5800" max="5800" width="7.42578125" style="111" bestFit="1" customWidth="1"/>
    <col min="5801" max="5801" width="7.7109375" style="111" bestFit="1" customWidth="1"/>
    <col min="5802" max="5802" width="15" style="111" customWidth="1"/>
    <col min="5803" max="5803" width="7.42578125" style="111" bestFit="1" customWidth="1"/>
    <col min="5804" max="5804" width="7.7109375" style="111" bestFit="1" customWidth="1"/>
    <col min="5805" max="5805" width="15" style="111" bestFit="1" customWidth="1"/>
    <col min="5806" max="5806" width="7.42578125" style="111" bestFit="1" customWidth="1"/>
    <col min="5807" max="5807" width="7.7109375" style="111" bestFit="1" customWidth="1"/>
    <col min="5808" max="5808" width="9.42578125" style="111" bestFit="1" customWidth="1"/>
    <col min="5809" max="5809" width="8" style="111" bestFit="1" customWidth="1"/>
    <col min="5810" max="5810" width="7.7109375" style="111" bestFit="1" customWidth="1"/>
    <col min="5811" max="5811" width="10.42578125" style="111" bestFit="1" customWidth="1"/>
    <col min="5812" max="5812" width="8" style="111" bestFit="1" customWidth="1"/>
    <col min="5813" max="5813" width="7.7109375" style="111" bestFit="1" customWidth="1"/>
    <col min="5814" max="5814" width="10.42578125" style="111" bestFit="1" customWidth="1"/>
    <col min="5815" max="5815" width="7.42578125" style="111" bestFit="1" customWidth="1"/>
    <col min="5816" max="5816" width="7.7109375" style="111" bestFit="1" customWidth="1"/>
    <col min="5817" max="5817" width="10.42578125" style="111" bestFit="1" customWidth="1"/>
    <col min="5818" max="5818" width="8" style="111" bestFit="1" customWidth="1"/>
    <col min="5819" max="5819" width="7.7109375" style="111" bestFit="1" customWidth="1"/>
    <col min="5820" max="5820" width="10.42578125" style="111" bestFit="1" customWidth="1"/>
    <col min="5821" max="5821" width="7.42578125" style="111" bestFit="1" customWidth="1"/>
    <col min="5822" max="5822" width="7.7109375" style="111" bestFit="1" customWidth="1"/>
    <col min="5823" max="5823" width="10.42578125" style="111" bestFit="1" customWidth="1"/>
    <col min="5824" max="5824" width="7.42578125" style="111" bestFit="1" customWidth="1"/>
    <col min="5825" max="5825" width="7.7109375" style="111" bestFit="1" customWidth="1"/>
    <col min="5826" max="5826" width="10.42578125" style="111" bestFit="1" customWidth="1"/>
    <col min="5827" max="5827" width="5.140625" style="111" customWidth="1"/>
    <col min="5828" max="6050" width="8.7109375" style="111"/>
    <col min="6051" max="6051" width="3.42578125" style="111" customWidth="1"/>
    <col min="6052" max="6052" width="7" style="111" customWidth="1"/>
    <col min="6053" max="6053" width="25.42578125" style="111" customWidth="1"/>
    <col min="6054" max="6054" width="12" style="111" customWidth="1"/>
    <col min="6055" max="6055" width="12.7109375" style="111" bestFit="1" customWidth="1"/>
    <col min="6056" max="6056" width="7.42578125" style="111" bestFit="1" customWidth="1"/>
    <col min="6057" max="6057" width="7.7109375" style="111" bestFit="1" customWidth="1"/>
    <col min="6058" max="6058" width="15" style="111" customWidth="1"/>
    <col min="6059" max="6059" width="7.42578125" style="111" bestFit="1" customWidth="1"/>
    <col min="6060" max="6060" width="7.7109375" style="111" bestFit="1" customWidth="1"/>
    <col min="6061" max="6061" width="15" style="111" bestFit="1" customWidth="1"/>
    <col min="6062" max="6062" width="7.42578125" style="111" bestFit="1" customWidth="1"/>
    <col min="6063" max="6063" width="7.7109375" style="111" bestFit="1" customWidth="1"/>
    <col min="6064" max="6064" width="9.42578125" style="111" bestFit="1" customWidth="1"/>
    <col min="6065" max="6065" width="8" style="111" bestFit="1" customWidth="1"/>
    <col min="6066" max="6066" width="7.7109375" style="111" bestFit="1" customWidth="1"/>
    <col min="6067" max="6067" width="10.42578125" style="111" bestFit="1" customWidth="1"/>
    <col min="6068" max="6068" width="8" style="111" bestFit="1" customWidth="1"/>
    <col min="6069" max="6069" width="7.7109375" style="111" bestFit="1" customWidth="1"/>
    <col min="6070" max="6070" width="10.42578125" style="111" bestFit="1" customWidth="1"/>
    <col min="6071" max="6071" width="7.42578125" style="111" bestFit="1" customWidth="1"/>
    <col min="6072" max="6072" width="7.7109375" style="111" bestFit="1" customWidth="1"/>
    <col min="6073" max="6073" width="10.42578125" style="111" bestFit="1" customWidth="1"/>
    <col min="6074" max="6074" width="8" style="111" bestFit="1" customWidth="1"/>
    <col min="6075" max="6075" width="7.7109375" style="111" bestFit="1" customWidth="1"/>
    <col min="6076" max="6076" width="10.42578125" style="111" bestFit="1" customWidth="1"/>
    <col min="6077" max="6077" width="7.42578125" style="111" bestFit="1" customWidth="1"/>
    <col min="6078" max="6078" width="7.7109375" style="111" bestFit="1" customWidth="1"/>
    <col min="6079" max="6079" width="10.42578125" style="111" bestFit="1" customWidth="1"/>
    <col min="6080" max="6080" width="7.42578125" style="111" bestFit="1" customWidth="1"/>
    <col min="6081" max="6081" width="7.7109375" style="111" bestFit="1" customWidth="1"/>
    <col min="6082" max="6082" width="10.42578125" style="111" bestFit="1" customWidth="1"/>
    <col min="6083" max="6083" width="5.140625" style="111" customWidth="1"/>
    <col min="6084" max="6306" width="8.7109375" style="111"/>
    <col min="6307" max="6307" width="3.42578125" style="111" customWidth="1"/>
    <col min="6308" max="6308" width="7" style="111" customWidth="1"/>
    <col min="6309" max="6309" width="25.42578125" style="111" customWidth="1"/>
    <col min="6310" max="6310" width="12" style="111" customWidth="1"/>
    <col min="6311" max="6311" width="12.7109375" style="111" bestFit="1" customWidth="1"/>
    <col min="6312" max="6312" width="7.42578125" style="111" bestFit="1" customWidth="1"/>
    <col min="6313" max="6313" width="7.7109375" style="111" bestFit="1" customWidth="1"/>
    <col min="6314" max="6314" width="15" style="111" customWidth="1"/>
    <col min="6315" max="6315" width="7.42578125" style="111" bestFit="1" customWidth="1"/>
    <col min="6316" max="6316" width="7.7109375" style="111" bestFit="1" customWidth="1"/>
    <col min="6317" max="6317" width="15" style="111" bestFit="1" customWidth="1"/>
    <col min="6318" max="6318" width="7.42578125" style="111" bestFit="1" customWidth="1"/>
    <col min="6319" max="6319" width="7.7109375" style="111" bestFit="1" customWidth="1"/>
    <col min="6320" max="6320" width="9.42578125" style="111" bestFit="1" customWidth="1"/>
    <col min="6321" max="6321" width="8" style="111" bestFit="1" customWidth="1"/>
    <col min="6322" max="6322" width="7.7109375" style="111" bestFit="1" customWidth="1"/>
    <col min="6323" max="6323" width="10.42578125" style="111" bestFit="1" customWidth="1"/>
    <col min="6324" max="6324" width="8" style="111" bestFit="1" customWidth="1"/>
    <col min="6325" max="6325" width="7.7109375" style="111" bestFit="1" customWidth="1"/>
    <col min="6326" max="6326" width="10.42578125" style="111" bestFit="1" customWidth="1"/>
    <col min="6327" max="6327" width="7.42578125" style="111" bestFit="1" customWidth="1"/>
    <col min="6328" max="6328" width="7.7109375" style="111" bestFit="1" customWidth="1"/>
    <col min="6329" max="6329" width="10.42578125" style="111" bestFit="1" customWidth="1"/>
    <col min="6330" max="6330" width="8" style="111" bestFit="1" customWidth="1"/>
    <col min="6331" max="6331" width="7.7109375" style="111" bestFit="1" customWidth="1"/>
    <col min="6332" max="6332" width="10.42578125" style="111" bestFit="1" customWidth="1"/>
    <col min="6333" max="6333" width="7.42578125" style="111" bestFit="1" customWidth="1"/>
    <col min="6334" max="6334" width="7.7109375" style="111" bestFit="1" customWidth="1"/>
    <col min="6335" max="6335" width="10.42578125" style="111" bestFit="1" customWidth="1"/>
    <col min="6336" max="6336" width="7.42578125" style="111" bestFit="1" customWidth="1"/>
    <col min="6337" max="6337" width="7.7109375" style="111" bestFit="1" customWidth="1"/>
    <col min="6338" max="6338" width="10.42578125" style="111" bestFit="1" customWidth="1"/>
    <col min="6339" max="6339" width="5.140625" style="111" customWidth="1"/>
    <col min="6340" max="6562" width="8.7109375" style="111"/>
    <col min="6563" max="6563" width="3.42578125" style="111" customWidth="1"/>
    <col min="6564" max="6564" width="7" style="111" customWidth="1"/>
    <col min="6565" max="6565" width="25.42578125" style="111" customWidth="1"/>
    <col min="6566" max="6566" width="12" style="111" customWidth="1"/>
    <col min="6567" max="6567" width="12.7109375" style="111" bestFit="1" customWidth="1"/>
    <col min="6568" max="6568" width="7.42578125" style="111" bestFit="1" customWidth="1"/>
    <col min="6569" max="6569" width="7.7109375" style="111" bestFit="1" customWidth="1"/>
    <col min="6570" max="6570" width="15" style="111" customWidth="1"/>
    <col min="6571" max="6571" width="7.42578125" style="111" bestFit="1" customWidth="1"/>
    <col min="6572" max="6572" width="7.7109375" style="111" bestFit="1" customWidth="1"/>
    <col min="6573" max="6573" width="15" style="111" bestFit="1" customWidth="1"/>
    <col min="6574" max="6574" width="7.42578125" style="111" bestFit="1" customWidth="1"/>
    <col min="6575" max="6575" width="7.7109375" style="111" bestFit="1" customWidth="1"/>
    <col min="6576" max="6576" width="9.42578125" style="111" bestFit="1" customWidth="1"/>
    <col min="6577" max="6577" width="8" style="111" bestFit="1" customWidth="1"/>
    <col min="6578" max="6578" width="7.7109375" style="111" bestFit="1" customWidth="1"/>
    <col min="6579" max="6579" width="10.42578125" style="111" bestFit="1" customWidth="1"/>
    <col min="6580" max="6580" width="8" style="111" bestFit="1" customWidth="1"/>
    <col min="6581" max="6581" width="7.7109375" style="111" bestFit="1" customWidth="1"/>
    <col min="6582" max="6582" width="10.42578125" style="111" bestFit="1" customWidth="1"/>
    <col min="6583" max="6583" width="7.42578125" style="111" bestFit="1" customWidth="1"/>
    <col min="6584" max="6584" width="7.7109375" style="111" bestFit="1" customWidth="1"/>
    <col min="6585" max="6585" width="10.42578125" style="111" bestFit="1" customWidth="1"/>
    <col min="6586" max="6586" width="8" style="111" bestFit="1" customWidth="1"/>
    <col min="6587" max="6587" width="7.7109375" style="111" bestFit="1" customWidth="1"/>
    <col min="6588" max="6588" width="10.42578125" style="111" bestFit="1" customWidth="1"/>
    <col min="6589" max="6589" width="7.42578125" style="111" bestFit="1" customWidth="1"/>
    <col min="6590" max="6590" width="7.7109375" style="111" bestFit="1" customWidth="1"/>
    <col min="6591" max="6591" width="10.42578125" style="111" bestFit="1" customWidth="1"/>
    <col min="6592" max="6592" width="7.42578125" style="111" bestFit="1" customWidth="1"/>
    <col min="6593" max="6593" width="7.7109375" style="111" bestFit="1" customWidth="1"/>
    <col min="6594" max="6594" width="10.42578125" style="111" bestFit="1" customWidth="1"/>
    <col min="6595" max="6595" width="5.140625" style="111" customWidth="1"/>
    <col min="6596" max="6818" width="8.7109375" style="111"/>
    <col min="6819" max="6819" width="3.42578125" style="111" customWidth="1"/>
    <col min="6820" max="6820" width="7" style="111" customWidth="1"/>
    <col min="6821" max="6821" width="25.42578125" style="111" customWidth="1"/>
    <col min="6822" max="6822" width="12" style="111" customWidth="1"/>
    <col min="6823" max="6823" width="12.7109375" style="111" bestFit="1" customWidth="1"/>
    <col min="6824" max="6824" width="7.42578125" style="111" bestFit="1" customWidth="1"/>
    <col min="6825" max="6825" width="7.7109375" style="111" bestFit="1" customWidth="1"/>
    <col min="6826" max="6826" width="15" style="111" customWidth="1"/>
    <col min="6827" max="6827" width="7.42578125" style="111" bestFit="1" customWidth="1"/>
    <col min="6828" max="6828" width="7.7109375" style="111" bestFit="1" customWidth="1"/>
    <col min="6829" max="6829" width="15" style="111" bestFit="1" customWidth="1"/>
    <col min="6830" max="6830" width="7.42578125" style="111" bestFit="1" customWidth="1"/>
    <col min="6831" max="6831" width="7.7109375" style="111" bestFit="1" customWidth="1"/>
    <col min="6832" max="6832" width="9.42578125" style="111" bestFit="1" customWidth="1"/>
    <col min="6833" max="6833" width="8" style="111" bestFit="1" customWidth="1"/>
    <col min="6834" max="6834" width="7.7109375" style="111" bestFit="1" customWidth="1"/>
    <col min="6835" max="6835" width="10.42578125" style="111" bestFit="1" customWidth="1"/>
    <col min="6836" max="6836" width="8" style="111" bestFit="1" customWidth="1"/>
    <col min="6837" max="6837" width="7.7109375" style="111" bestFit="1" customWidth="1"/>
    <col min="6838" max="6838" width="10.42578125" style="111" bestFit="1" customWidth="1"/>
    <col min="6839" max="6839" width="7.42578125" style="111" bestFit="1" customWidth="1"/>
    <col min="6840" max="6840" width="7.7109375" style="111" bestFit="1" customWidth="1"/>
    <col min="6841" max="6841" width="10.42578125" style="111" bestFit="1" customWidth="1"/>
    <col min="6842" max="6842" width="8" style="111" bestFit="1" customWidth="1"/>
    <col min="6843" max="6843" width="7.7109375" style="111" bestFit="1" customWidth="1"/>
    <col min="6844" max="6844" width="10.42578125" style="111" bestFit="1" customWidth="1"/>
    <col min="6845" max="6845" width="7.42578125" style="111" bestFit="1" customWidth="1"/>
    <col min="6846" max="6846" width="7.7109375" style="111" bestFit="1" customWidth="1"/>
    <col min="6847" max="6847" width="10.42578125" style="111" bestFit="1" customWidth="1"/>
    <col min="6848" max="6848" width="7.42578125" style="111" bestFit="1" customWidth="1"/>
    <col min="6849" max="6849" width="7.7109375" style="111" bestFit="1" customWidth="1"/>
    <col min="6850" max="6850" width="10.42578125" style="111" bestFit="1" customWidth="1"/>
    <col min="6851" max="6851" width="5.140625" style="111" customWidth="1"/>
    <col min="6852" max="7074" width="8.7109375" style="111"/>
    <col min="7075" max="7075" width="3.42578125" style="111" customWidth="1"/>
    <col min="7076" max="7076" width="7" style="111" customWidth="1"/>
    <col min="7077" max="7077" width="25.42578125" style="111" customWidth="1"/>
    <col min="7078" max="7078" width="12" style="111" customWidth="1"/>
    <col min="7079" max="7079" width="12.7109375" style="111" bestFit="1" customWidth="1"/>
    <col min="7080" max="7080" width="7.42578125" style="111" bestFit="1" customWidth="1"/>
    <col min="7081" max="7081" width="7.7109375" style="111" bestFit="1" customWidth="1"/>
    <col min="7082" max="7082" width="15" style="111" customWidth="1"/>
    <col min="7083" max="7083" width="7.42578125" style="111" bestFit="1" customWidth="1"/>
    <col min="7084" max="7084" width="7.7109375" style="111" bestFit="1" customWidth="1"/>
    <col min="7085" max="7085" width="15" style="111" bestFit="1" customWidth="1"/>
    <col min="7086" max="7086" width="7.42578125" style="111" bestFit="1" customWidth="1"/>
    <col min="7087" max="7087" width="7.7109375" style="111" bestFit="1" customWidth="1"/>
    <col min="7088" max="7088" width="9.42578125" style="111" bestFit="1" customWidth="1"/>
    <col min="7089" max="7089" width="8" style="111" bestFit="1" customWidth="1"/>
    <col min="7090" max="7090" width="7.7109375" style="111" bestFit="1" customWidth="1"/>
    <col min="7091" max="7091" width="10.42578125" style="111" bestFit="1" customWidth="1"/>
    <col min="7092" max="7092" width="8" style="111" bestFit="1" customWidth="1"/>
    <col min="7093" max="7093" width="7.7109375" style="111" bestFit="1" customWidth="1"/>
    <col min="7094" max="7094" width="10.42578125" style="111" bestFit="1" customWidth="1"/>
    <col min="7095" max="7095" width="7.42578125" style="111" bestFit="1" customWidth="1"/>
    <col min="7096" max="7096" width="7.7109375" style="111" bestFit="1" customWidth="1"/>
    <col min="7097" max="7097" width="10.42578125" style="111" bestFit="1" customWidth="1"/>
    <col min="7098" max="7098" width="8" style="111" bestFit="1" customWidth="1"/>
    <col min="7099" max="7099" width="7.7109375" style="111" bestFit="1" customWidth="1"/>
    <col min="7100" max="7100" width="10.42578125" style="111" bestFit="1" customWidth="1"/>
    <col min="7101" max="7101" width="7.42578125" style="111" bestFit="1" customWidth="1"/>
    <col min="7102" max="7102" width="7.7109375" style="111" bestFit="1" customWidth="1"/>
    <col min="7103" max="7103" width="10.42578125" style="111" bestFit="1" customWidth="1"/>
    <col min="7104" max="7104" width="7.42578125" style="111" bestFit="1" customWidth="1"/>
    <col min="7105" max="7105" width="7.7109375" style="111" bestFit="1" customWidth="1"/>
    <col min="7106" max="7106" width="10.42578125" style="111" bestFit="1" customWidth="1"/>
    <col min="7107" max="7107" width="5.140625" style="111" customWidth="1"/>
    <col min="7108" max="7330" width="8.7109375" style="111"/>
    <col min="7331" max="7331" width="3.42578125" style="111" customWidth="1"/>
    <col min="7332" max="7332" width="7" style="111" customWidth="1"/>
    <col min="7333" max="7333" width="25.42578125" style="111" customWidth="1"/>
    <col min="7334" max="7334" width="12" style="111" customWidth="1"/>
    <col min="7335" max="7335" width="12.7109375" style="111" bestFit="1" customWidth="1"/>
    <col min="7336" max="7336" width="7.42578125" style="111" bestFit="1" customWidth="1"/>
    <col min="7337" max="7337" width="7.7109375" style="111" bestFit="1" customWidth="1"/>
    <col min="7338" max="7338" width="15" style="111" customWidth="1"/>
    <col min="7339" max="7339" width="7.42578125" style="111" bestFit="1" customWidth="1"/>
    <col min="7340" max="7340" width="7.7109375" style="111" bestFit="1" customWidth="1"/>
    <col min="7341" max="7341" width="15" style="111" bestFit="1" customWidth="1"/>
    <col min="7342" max="7342" width="7.42578125" style="111" bestFit="1" customWidth="1"/>
    <col min="7343" max="7343" width="7.7109375" style="111" bestFit="1" customWidth="1"/>
    <col min="7344" max="7344" width="9.42578125" style="111" bestFit="1" customWidth="1"/>
    <col min="7345" max="7345" width="8" style="111" bestFit="1" customWidth="1"/>
    <col min="7346" max="7346" width="7.7109375" style="111" bestFit="1" customWidth="1"/>
    <col min="7347" max="7347" width="10.42578125" style="111" bestFit="1" customWidth="1"/>
    <col min="7348" max="7348" width="8" style="111" bestFit="1" customWidth="1"/>
    <col min="7349" max="7349" width="7.7109375" style="111" bestFit="1" customWidth="1"/>
    <col min="7350" max="7350" width="10.42578125" style="111" bestFit="1" customWidth="1"/>
    <col min="7351" max="7351" width="7.42578125" style="111" bestFit="1" customWidth="1"/>
    <col min="7352" max="7352" width="7.7109375" style="111" bestFit="1" customWidth="1"/>
    <col min="7353" max="7353" width="10.42578125" style="111" bestFit="1" customWidth="1"/>
    <col min="7354" max="7354" width="8" style="111" bestFit="1" customWidth="1"/>
    <col min="7355" max="7355" width="7.7109375" style="111" bestFit="1" customWidth="1"/>
    <col min="7356" max="7356" width="10.42578125" style="111" bestFit="1" customWidth="1"/>
    <col min="7357" max="7357" width="7.42578125" style="111" bestFit="1" customWidth="1"/>
    <col min="7358" max="7358" width="7.7109375" style="111" bestFit="1" customWidth="1"/>
    <col min="7359" max="7359" width="10.42578125" style="111" bestFit="1" customWidth="1"/>
    <col min="7360" max="7360" width="7.42578125" style="111" bestFit="1" customWidth="1"/>
    <col min="7361" max="7361" width="7.7109375" style="111" bestFit="1" customWidth="1"/>
    <col min="7362" max="7362" width="10.42578125" style="111" bestFit="1" customWidth="1"/>
    <col min="7363" max="7363" width="5.140625" style="111" customWidth="1"/>
    <col min="7364" max="7586" width="8.7109375" style="111"/>
    <col min="7587" max="7587" width="3.42578125" style="111" customWidth="1"/>
    <col min="7588" max="7588" width="7" style="111" customWidth="1"/>
    <col min="7589" max="7589" width="25.42578125" style="111" customWidth="1"/>
    <col min="7590" max="7590" width="12" style="111" customWidth="1"/>
    <col min="7591" max="7591" width="12.7109375" style="111" bestFit="1" customWidth="1"/>
    <col min="7592" max="7592" width="7.42578125" style="111" bestFit="1" customWidth="1"/>
    <col min="7593" max="7593" width="7.7109375" style="111" bestFit="1" customWidth="1"/>
    <col min="7594" max="7594" width="15" style="111" customWidth="1"/>
    <col min="7595" max="7595" width="7.42578125" style="111" bestFit="1" customWidth="1"/>
    <col min="7596" max="7596" width="7.7109375" style="111" bestFit="1" customWidth="1"/>
    <col min="7597" max="7597" width="15" style="111" bestFit="1" customWidth="1"/>
    <col min="7598" max="7598" width="7.42578125" style="111" bestFit="1" customWidth="1"/>
    <col min="7599" max="7599" width="7.7109375" style="111" bestFit="1" customWidth="1"/>
    <col min="7600" max="7600" width="9.42578125" style="111" bestFit="1" customWidth="1"/>
    <col min="7601" max="7601" width="8" style="111" bestFit="1" customWidth="1"/>
    <col min="7602" max="7602" width="7.7109375" style="111" bestFit="1" customWidth="1"/>
    <col min="7603" max="7603" width="10.42578125" style="111" bestFit="1" customWidth="1"/>
    <col min="7604" max="7604" width="8" style="111" bestFit="1" customWidth="1"/>
    <col min="7605" max="7605" width="7.7109375" style="111" bestFit="1" customWidth="1"/>
    <col min="7606" max="7606" width="10.42578125" style="111" bestFit="1" customWidth="1"/>
    <col min="7607" max="7607" width="7.42578125" style="111" bestFit="1" customWidth="1"/>
    <col min="7608" max="7608" width="7.7109375" style="111" bestFit="1" customWidth="1"/>
    <col min="7609" max="7609" width="10.42578125" style="111" bestFit="1" customWidth="1"/>
    <col min="7610" max="7610" width="8" style="111" bestFit="1" customWidth="1"/>
    <col min="7611" max="7611" width="7.7109375" style="111" bestFit="1" customWidth="1"/>
    <col min="7612" max="7612" width="10.42578125" style="111" bestFit="1" customWidth="1"/>
    <col min="7613" max="7613" width="7.42578125" style="111" bestFit="1" customWidth="1"/>
    <col min="7614" max="7614" width="7.7109375" style="111" bestFit="1" customWidth="1"/>
    <col min="7615" max="7615" width="10.42578125" style="111" bestFit="1" customWidth="1"/>
    <col min="7616" max="7616" width="7.42578125" style="111" bestFit="1" customWidth="1"/>
    <col min="7617" max="7617" width="7.7109375" style="111" bestFit="1" customWidth="1"/>
    <col min="7618" max="7618" width="10.42578125" style="111" bestFit="1" customWidth="1"/>
    <col min="7619" max="7619" width="5.140625" style="111" customWidth="1"/>
    <col min="7620" max="7842" width="8.7109375" style="111"/>
    <col min="7843" max="7843" width="3.42578125" style="111" customWidth="1"/>
    <col min="7844" max="7844" width="7" style="111" customWidth="1"/>
    <col min="7845" max="7845" width="25.42578125" style="111" customWidth="1"/>
    <col min="7846" max="7846" width="12" style="111" customWidth="1"/>
    <col min="7847" max="7847" width="12.7109375" style="111" bestFit="1" customWidth="1"/>
    <col min="7848" max="7848" width="7.42578125" style="111" bestFit="1" customWidth="1"/>
    <col min="7849" max="7849" width="7.7109375" style="111" bestFit="1" customWidth="1"/>
    <col min="7850" max="7850" width="15" style="111" customWidth="1"/>
    <col min="7851" max="7851" width="7.42578125" style="111" bestFit="1" customWidth="1"/>
    <col min="7852" max="7852" width="7.7109375" style="111" bestFit="1" customWidth="1"/>
    <col min="7853" max="7853" width="15" style="111" bestFit="1" customWidth="1"/>
    <col min="7854" max="7854" width="7.42578125" style="111" bestFit="1" customWidth="1"/>
    <col min="7855" max="7855" width="7.7109375" style="111" bestFit="1" customWidth="1"/>
    <col min="7856" max="7856" width="9.42578125" style="111" bestFit="1" customWidth="1"/>
    <col min="7857" max="7857" width="8" style="111" bestFit="1" customWidth="1"/>
    <col min="7858" max="7858" width="7.7109375" style="111" bestFit="1" customWidth="1"/>
    <col min="7859" max="7859" width="10.42578125" style="111" bestFit="1" customWidth="1"/>
    <col min="7860" max="7860" width="8" style="111" bestFit="1" customWidth="1"/>
    <col min="7861" max="7861" width="7.7109375" style="111" bestFit="1" customWidth="1"/>
    <col min="7862" max="7862" width="10.42578125" style="111" bestFit="1" customWidth="1"/>
    <col min="7863" max="7863" width="7.42578125" style="111" bestFit="1" customWidth="1"/>
    <col min="7864" max="7864" width="7.7109375" style="111" bestFit="1" customWidth="1"/>
    <col min="7865" max="7865" width="10.42578125" style="111" bestFit="1" customWidth="1"/>
    <col min="7866" max="7866" width="8" style="111" bestFit="1" customWidth="1"/>
    <col min="7867" max="7867" width="7.7109375" style="111" bestFit="1" customWidth="1"/>
    <col min="7868" max="7868" width="10.42578125" style="111" bestFit="1" customWidth="1"/>
    <col min="7869" max="7869" width="7.42578125" style="111" bestFit="1" customWidth="1"/>
    <col min="7870" max="7870" width="7.7109375" style="111" bestFit="1" customWidth="1"/>
    <col min="7871" max="7871" width="10.42578125" style="111" bestFit="1" customWidth="1"/>
    <col min="7872" max="7872" width="7.42578125" style="111" bestFit="1" customWidth="1"/>
    <col min="7873" max="7873" width="7.7109375" style="111" bestFit="1" customWidth="1"/>
    <col min="7874" max="7874" width="10.42578125" style="111" bestFit="1" customWidth="1"/>
    <col min="7875" max="7875" width="5.140625" style="111" customWidth="1"/>
    <col min="7876" max="8098" width="8.7109375" style="111"/>
    <col min="8099" max="8099" width="3.42578125" style="111" customWidth="1"/>
    <col min="8100" max="8100" width="7" style="111" customWidth="1"/>
    <col min="8101" max="8101" width="25.42578125" style="111" customWidth="1"/>
    <col min="8102" max="8102" width="12" style="111" customWidth="1"/>
    <col min="8103" max="8103" width="12.7109375" style="111" bestFit="1" customWidth="1"/>
    <col min="8104" max="8104" width="7.42578125" style="111" bestFit="1" customWidth="1"/>
    <col min="8105" max="8105" width="7.7109375" style="111" bestFit="1" customWidth="1"/>
    <col min="8106" max="8106" width="15" style="111" customWidth="1"/>
    <col min="8107" max="8107" width="7.42578125" style="111" bestFit="1" customWidth="1"/>
    <col min="8108" max="8108" width="7.7109375" style="111" bestFit="1" customWidth="1"/>
    <col min="8109" max="8109" width="15" style="111" bestFit="1" customWidth="1"/>
    <col min="8110" max="8110" width="7.42578125" style="111" bestFit="1" customWidth="1"/>
    <col min="8111" max="8111" width="7.7109375" style="111" bestFit="1" customWidth="1"/>
    <col min="8112" max="8112" width="9.42578125" style="111" bestFit="1" customWidth="1"/>
    <col min="8113" max="8113" width="8" style="111" bestFit="1" customWidth="1"/>
    <col min="8114" max="8114" width="7.7109375" style="111" bestFit="1" customWidth="1"/>
    <col min="8115" max="8115" width="10.42578125" style="111" bestFit="1" customWidth="1"/>
    <col min="8116" max="8116" width="8" style="111" bestFit="1" customWidth="1"/>
    <col min="8117" max="8117" width="7.7109375" style="111" bestFit="1" customWidth="1"/>
    <col min="8118" max="8118" width="10.42578125" style="111" bestFit="1" customWidth="1"/>
    <col min="8119" max="8119" width="7.42578125" style="111" bestFit="1" customWidth="1"/>
    <col min="8120" max="8120" width="7.7109375" style="111" bestFit="1" customWidth="1"/>
    <col min="8121" max="8121" width="10.42578125" style="111" bestFit="1" customWidth="1"/>
    <col min="8122" max="8122" width="8" style="111" bestFit="1" customWidth="1"/>
    <col min="8123" max="8123" width="7.7109375" style="111" bestFit="1" customWidth="1"/>
    <col min="8124" max="8124" width="10.42578125" style="111" bestFit="1" customWidth="1"/>
    <col min="8125" max="8125" width="7.42578125" style="111" bestFit="1" customWidth="1"/>
    <col min="8126" max="8126" width="7.7109375" style="111" bestFit="1" customWidth="1"/>
    <col min="8127" max="8127" width="10.42578125" style="111" bestFit="1" customWidth="1"/>
    <col min="8128" max="8128" width="7.42578125" style="111" bestFit="1" customWidth="1"/>
    <col min="8129" max="8129" width="7.7109375" style="111" bestFit="1" customWidth="1"/>
    <col min="8130" max="8130" width="10.42578125" style="111" bestFit="1" customWidth="1"/>
    <col min="8131" max="8131" width="5.140625" style="111" customWidth="1"/>
    <col min="8132" max="8354" width="8.7109375" style="111"/>
    <col min="8355" max="8355" width="3.42578125" style="111" customWidth="1"/>
    <col min="8356" max="8356" width="7" style="111" customWidth="1"/>
    <col min="8357" max="8357" width="25.42578125" style="111" customWidth="1"/>
    <col min="8358" max="8358" width="12" style="111" customWidth="1"/>
    <col min="8359" max="8359" width="12.7109375" style="111" bestFit="1" customWidth="1"/>
    <col min="8360" max="8360" width="7.42578125" style="111" bestFit="1" customWidth="1"/>
    <col min="8361" max="8361" width="7.7109375" style="111" bestFit="1" customWidth="1"/>
    <col min="8362" max="8362" width="15" style="111" customWidth="1"/>
    <col min="8363" max="8363" width="7.42578125" style="111" bestFit="1" customWidth="1"/>
    <col min="8364" max="8364" width="7.7109375" style="111" bestFit="1" customWidth="1"/>
    <col min="8365" max="8365" width="15" style="111" bestFit="1" customWidth="1"/>
    <col min="8366" max="8366" width="7.42578125" style="111" bestFit="1" customWidth="1"/>
    <col min="8367" max="8367" width="7.7109375" style="111" bestFit="1" customWidth="1"/>
    <col min="8368" max="8368" width="9.42578125" style="111" bestFit="1" customWidth="1"/>
    <col min="8369" max="8369" width="8" style="111" bestFit="1" customWidth="1"/>
    <col min="8370" max="8370" width="7.7109375" style="111" bestFit="1" customWidth="1"/>
    <col min="8371" max="8371" width="10.42578125" style="111" bestFit="1" customWidth="1"/>
    <col min="8372" max="8372" width="8" style="111" bestFit="1" customWidth="1"/>
    <col min="8373" max="8373" width="7.7109375" style="111" bestFit="1" customWidth="1"/>
    <col min="8374" max="8374" width="10.42578125" style="111" bestFit="1" customWidth="1"/>
    <col min="8375" max="8375" width="7.42578125" style="111" bestFit="1" customWidth="1"/>
    <col min="8376" max="8376" width="7.7109375" style="111" bestFit="1" customWidth="1"/>
    <col min="8377" max="8377" width="10.42578125" style="111" bestFit="1" customWidth="1"/>
    <col min="8378" max="8378" width="8" style="111" bestFit="1" customWidth="1"/>
    <col min="8379" max="8379" width="7.7109375" style="111" bestFit="1" customWidth="1"/>
    <col min="8380" max="8380" width="10.42578125" style="111" bestFit="1" customWidth="1"/>
    <col min="8381" max="8381" width="7.42578125" style="111" bestFit="1" customWidth="1"/>
    <col min="8382" max="8382" width="7.7109375" style="111" bestFit="1" customWidth="1"/>
    <col min="8383" max="8383" width="10.42578125" style="111" bestFit="1" customWidth="1"/>
    <col min="8384" max="8384" width="7.42578125" style="111" bestFit="1" customWidth="1"/>
    <col min="8385" max="8385" width="7.7109375" style="111" bestFit="1" customWidth="1"/>
    <col min="8386" max="8386" width="10.42578125" style="111" bestFit="1" customWidth="1"/>
    <col min="8387" max="8387" width="5.140625" style="111" customWidth="1"/>
    <col min="8388" max="8610" width="8.7109375" style="111"/>
    <col min="8611" max="8611" width="3.42578125" style="111" customWidth="1"/>
    <col min="8612" max="8612" width="7" style="111" customWidth="1"/>
    <col min="8613" max="8613" width="25.42578125" style="111" customWidth="1"/>
    <col min="8614" max="8614" width="12" style="111" customWidth="1"/>
    <col min="8615" max="8615" width="12.7109375" style="111" bestFit="1" customWidth="1"/>
    <col min="8616" max="8616" width="7.42578125" style="111" bestFit="1" customWidth="1"/>
    <col min="8617" max="8617" width="7.7109375" style="111" bestFit="1" customWidth="1"/>
    <col min="8618" max="8618" width="15" style="111" customWidth="1"/>
    <col min="8619" max="8619" width="7.42578125" style="111" bestFit="1" customWidth="1"/>
    <col min="8620" max="8620" width="7.7109375" style="111" bestFit="1" customWidth="1"/>
    <col min="8621" max="8621" width="15" style="111" bestFit="1" customWidth="1"/>
    <col min="8622" max="8622" width="7.42578125" style="111" bestFit="1" customWidth="1"/>
    <col min="8623" max="8623" width="7.7109375" style="111" bestFit="1" customWidth="1"/>
    <col min="8624" max="8624" width="9.42578125" style="111" bestFit="1" customWidth="1"/>
    <col min="8625" max="8625" width="8" style="111" bestFit="1" customWidth="1"/>
    <col min="8626" max="8626" width="7.7109375" style="111" bestFit="1" customWidth="1"/>
    <col min="8627" max="8627" width="10.42578125" style="111" bestFit="1" customWidth="1"/>
    <col min="8628" max="8628" width="8" style="111" bestFit="1" customWidth="1"/>
    <col min="8629" max="8629" width="7.7109375" style="111" bestFit="1" customWidth="1"/>
    <col min="8630" max="8630" width="10.42578125" style="111" bestFit="1" customWidth="1"/>
    <col min="8631" max="8631" width="7.42578125" style="111" bestFit="1" customWidth="1"/>
    <col min="8632" max="8632" width="7.7109375" style="111" bestFit="1" customWidth="1"/>
    <col min="8633" max="8633" width="10.42578125" style="111" bestFit="1" customWidth="1"/>
    <col min="8634" max="8634" width="8" style="111" bestFit="1" customWidth="1"/>
    <col min="8635" max="8635" width="7.7109375" style="111" bestFit="1" customWidth="1"/>
    <col min="8636" max="8636" width="10.42578125" style="111" bestFit="1" customWidth="1"/>
    <col min="8637" max="8637" width="7.42578125" style="111" bestFit="1" customWidth="1"/>
    <col min="8638" max="8638" width="7.7109375" style="111" bestFit="1" customWidth="1"/>
    <col min="8639" max="8639" width="10.42578125" style="111" bestFit="1" customWidth="1"/>
    <col min="8640" max="8640" width="7.42578125" style="111" bestFit="1" customWidth="1"/>
    <col min="8641" max="8641" width="7.7109375" style="111" bestFit="1" customWidth="1"/>
    <col min="8642" max="8642" width="10.42578125" style="111" bestFit="1" customWidth="1"/>
    <col min="8643" max="8643" width="5.140625" style="111" customWidth="1"/>
    <col min="8644" max="8866" width="8.7109375" style="111"/>
    <col min="8867" max="8867" width="3.42578125" style="111" customWidth="1"/>
    <col min="8868" max="8868" width="7" style="111" customWidth="1"/>
    <col min="8869" max="8869" width="25.42578125" style="111" customWidth="1"/>
    <col min="8870" max="8870" width="12" style="111" customWidth="1"/>
    <col min="8871" max="8871" width="12.7109375" style="111" bestFit="1" customWidth="1"/>
    <col min="8872" max="8872" width="7.42578125" style="111" bestFit="1" customWidth="1"/>
    <col min="8873" max="8873" width="7.7109375" style="111" bestFit="1" customWidth="1"/>
    <col min="8874" max="8874" width="15" style="111" customWidth="1"/>
    <col min="8875" max="8875" width="7.42578125" style="111" bestFit="1" customWidth="1"/>
    <col min="8876" max="8876" width="7.7109375" style="111" bestFit="1" customWidth="1"/>
    <col min="8877" max="8877" width="15" style="111" bestFit="1" customWidth="1"/>
    <col min="8878" max="8878" width="7.42578125" style="111" bestFit="1" customWidth="1"/>
    <col min="8879" max="8879" width="7.7109375" style="111" bestFit="1" customWidth="1"/>
    <col min="8880" max="8880" width="9.42578125" style="111" bestFit="1" customWidth="1"/>
    <col min="8881" max="8881" width="8" style="111" bestFit="1" customWidth="1"/>
    <col min="8882" max="8882" width="7.7109375" style="111" bestFit="1" customWidth="1"/>
    <col min="8883" max="8883" width="10.42578125" style="111" bestFit="1" customWidth="1"/>
    <col min="8884" max="8884" width="8" style="111" bestFit="1" customWidth="1"/>
    <col min="8885" max="8885" width="7.7109375" style="111" bestFit="1" customWidth="1"/>
    <col min="8886" max="8886" width="10.42578125" style="111" bestFit="1" customWidth="1"/>
    <col min="8887" max="8887" width="7.42578125" style="111" bestFit="1" customWidth="1"/>
    <col min="8888" max="8888" width="7.7109375" style="111" bestFit="1" customWidth="1"/>
    <col min="8889" max="8889" width="10.42578125" style="111" bestFit="1" customWidth="1"/>
    <col min="8890" max="8890" width="8" style="111" bestFit="1" customWidth="1"/>
    <col min="8891" max="8891" width="7.7109375" style="111" bestFit="1" customWidth="1"/>
    <col min="8892" max="8892" width="10.42578125" style="111" bestFit="1" customWidth="1"/>
    <col min="8893" max="8893" width="7.42578125" style="111" bestFit="1" customWidth="1"/>
    <col min="8894" max="8894" width="7.7109375" style="111" bestFit="1" customWidth="1"/>
    <col min="8895" max="8895" width="10.42578125" style="111" bestFit="1" customWidth="1"/>
    <col min="8896" max="8896" width="7.42578125" style="111" bestFit="1" customWidth="1"/>
    <col min="8897" max="8897" width="7.7109375" style="111" bestFit="1" customWidth="1"/>
    <col min="8898" max="8898" width="10.42578125" style="111" bestFit="1" customWidth="1"/>
    <col min="8899" max="8899" width="5.140625" style="111" customWidth="1"/>
    <col min="8900" max="9122" width="8.7109375" style="111"/>
    <col min="9123" max="9123" width="3.42578125" style="111" customWidth="1"/>
    <col min="9124" max="9124" width="7" style="111" customWidth="1"/>
    <col min="9125" max="9125" width="25.42578125" style="111" customWidth="1"/>
    <col min="9126" max="9126" width="12" style="111" customWidth="1"/>
    <col min="9127" max="9127" width="12.7109375" style="111" bestFit="1" customWidth="1"/>
    <col min="9128" max="9128" width="7.42578125" style="111" bestFit="1" customWidth="1"/>
    <col min="9129" max="9129" width="7.7109375" style="111" bestFit="1" customWidth="1"/>
    <col min="9130" max="9130" width="15" style="111" customWidth="1"/>
    <col min="9131" max="9131" width="7.42578125" style="111" bestFit="1" customWidth="1"/>
    <col min="9132" max="9132" width="7.7109375" style="111" bestFit="1" customWidth="1"/>
    <col min="9133" max="9133" width="15" style="111" bestFit="1" customWidth="1"/>
    <col min="9134" max="9134" width="7.42578125" style="111" bestFit="1" customWidth="1"/>
    <col min="9135" max="9135" width="7.7109375" style="111" bestFit="1" customWidth="1"/>
    <col min="9136" max="9136" width="9.42578125" style="111" bestFit="1" customWidth="1"/>
    <col min="9137" max="9137" width="8" style="111" bestFit="1" customWidth="1"/>
    <col min="9138" max="9138" width="7.7109375" style="111" bestFit="1" customWidth="1"/>
    <col min="9139" max="9139" width="10.42578125" style="111" bestFit="1" customWidth="1"/>
    <col min="9140" max="9140" width="8" style="111" bestFit="1" customWidth="1"/>
    <col min="9141" max="9141" width="7.7109375" style="111" bestFit="1" customWidth="1"/>
    <col min="9142" max="9142" width="10.42578125" style="111" bestFit="1" customWidth="1"/>
    <col min="9143" max="9143" width="7.42578125" style="111" bestFit="1" customWidth="1"/>
    <col min="9144" max="9144" width="7.7109375" style="111" bestFit="1" customWidth="1"/>
    <col min="9145" max="9145" width="10.42578125" style="111" bestFit="1" customWidth="1"/>
    <col min="9146" max="9146" width="8" style="111" bestFit="1" customWidth="1"/>
    <col min="9147" max="9147" width="7.7109375" style="111" bestFit="1" customWidth="1"/>
    <col min="9148" max="9148" width="10.42578125" style="111" bestFit="1" customWidth="1"/>
    <col min="9149" max="9149" width="7.42578125" style="111" bestFit="1" customWidth="1"/>
    <col min="9150" max="9150" width="7.7109375" style="111" bestFit="1" customWidth="1"/>
    <col min="9151" max="9151" width="10.42578125" style="111" bestFit="1" customWidth="1"/>
    <col min="9152" max="9152" width="7.42578125" style="111" bestFit="1" customWidth="1"/>
    <col min="9153" max="9153" width="7.7109375" style="111" bestFit="1" customWidth="1"/>
    <col min="9154" max="9154" width="10.42578125" style="111" bestFit="1" customWidth="1"/>
    <col min="9155" max="9155" width="5.140625" style="111" customWidth="1"/>
    <col min="9156" max="9378" width="8.7109375" style="111"/>
    <col min="9379" max="9379" width="3.42578125" style="111" customWidth="1"/>
    <col min="9380" max="9380" width="7" style="111" customWidth="1"/>
    <col min="9381" max="9381" width="25.42578125" style="111" customWidth="1"/>
    <col min="9382" max="9382" width="12" style="111" customWidth="1"/>
    <col min="9383" max="9383" width="12.7109375" style="111" bestFit="1" customWidth="1"/>
    <col min="9384" max="9384" width="7.42578125" style="111" bestFit="1" customWidth="1"/>
    <col min="9385" max="9385" width="7.7109375" style="111" bestFit="1" customWidth="1"/>
    <col min="9386" max="9386" width="15" style="111" customWidth="1"/>
    <col min="9387" max="9387" width="7.42578125" style="111" bestFit="1" customWidth="1"/>
    <col min="9388" max="9388" width="7.7109375" style="111" bestFit="1" customWidth="1"/>
    <col min="9389" max="9389" width="15" style="111" bestFit="1" customWidth="1"/>
    <col min="9390" max="9390" width="7.42578125" style="111" bestFit="1" customWidth="1"/>
    <col min="9391" max="9391" width="7.7109375" style="111" bestFit="1" customWidth="1"/>
    <col min="9392" max="9392" width="9.42578125" style="111" bestFit="1" customWidth="1"/>
    <col min="9393" max="9393" width="8" style="111" bestFit="1" customWidth="1"/>
    <col min="9394" max="9394" width="7.7109375" style="111" bestFit="1" customWidth="1"/>
    <col min="9395" max="9395" width="10.42578125" style="111" bestFit="1" customWidth="1"/>
    <col min="9396" max="9396" width="8" style="111" bestFit="1" customWidth="1"/>
    <col min="9397" max="9397" width="7.7109375" style="111" bestFit="1" customWidth="1"/>
    <col min="9398" max="9398" width="10.42578125" style="111" bestFit="1" customWidth="1"/>
    <col min="9399" max="9399" width="7.42578125" style="111" bestFit="1" customWidth="1"/>
    <col min="9400" max="9400" width="7.7109375" style="111" bestFit="1" customWidth="1"/>
    <col min="9401" max="9401" width="10.42578125" style="111" bestFit="1" customWidth="1"/>
    <col min="9402" max="9402" width="8" style="111" bestFit="1" customWidth="1"/>
    <col min="9403" max="9403" width="7.7109375" style="111" bestFit="1" customWidth="1"/>
    <col min="9404" max="9404" width="10.42578125" style="111" bestFit="1" customWidth="1"/>
    <col min="9405" max="9405" width="7.42578125" style="111" bestFit="1" customWidth="1"/>
    <col min="9406" max="9406" width="7.7109375" style="111" bestFit="1" customWidth="1"/>
    <col min="9407" max="9407" width="10.42578125" style="111" bestFit="1" customWidth="1"/>
    <col min="9408" max="9408" width="7.42578125" style="111" bestFit="1" customWidth="1"/>
    <col min="9409" max="9409" width="7.7109375" style="111" bestFit="1" customWidth="1"/>
    <col min="9410" max="9410" width="10.42578125" style="111" bestFit="1" customWidth="1"/>
    <col min="9411" max="9411" width="5.140625" style="111" customWidth="1"/>
    <col min="9412" max="9634" width="8.7109375" style="111"/>
    <col min="9635" max="9635" width="3.42578125" style="111" customWidth="1"/>
    <col min="9636" max="9636" width="7" style="111" customWidth="1"/>
    <col min="9637" max="9637" width="25.42578125" style="111" customWidth="1"/>
    <col min="9638" max="9638" width="12" style="111" customWidth="1"/>
    <col min="9639" max="9639" width="12.7109375" style="111" bestFit="1" customWidth="1"/>
    <col min="9640" max="9640" width="7.42578125" style="111" bestFit="1" customWidth="1"/>
    <col min="9641" max="9641" width="7.7109375" style="111" bestFit="1" customWidth="1"/>
    <col min="9642" max="9642" width="15" style="111" customWidth="1"/>
    <col min="9643" max="9643" width="7.42578125" style="111" bestFit="1" customWidth="1"/>
    <col min="9644" max="9644" width="7.7109375" style="111" bestFit="1" customWidth="1"/>
    <col min="9645" max="9645" width="15" style="111" bestFit="1" customWidth="1"/>
    <col min="9646" max="9646" width="7.42578125" style="111" bestFit="1" customWidth="1"/>
    <col min="9647" max="9647" width="7.7109375" style="111" bestFit="1" customWidth="1"/>
    <col min="9648" max="9648" width="9.42578125" style="111" bestFit="1" customWidth="1"/>
    <col min="9649" max="9649" width="8" style="111" bestFit="1" customWidth="1"/>
    <col min="9650" max="9650" width="7.7109375" style="111" bestFit="1" customWidth="1"/>
    <col min="9651" max="9651" width="10.42578125" style="111" bestFit="1" customWidth="1"/>
    <col min="9652" max="9652" width="8" style="111" bestFit="1" customWidth="1"/>
    <col min="9653" max="9653" width="7.7109375" style="111" bestFit="1" customWidth="1"/>
    <col min="9654" max="9654" width="10.42578125" style="111" bestFit="1" customWidth="1"/>
    <col min="9655" max="9655" width="7.42578125" style="111" bestFit="1" customWidth="1"/>
    <col min="9656" max="9656" width="7.7109375" style="111" bestFit="1" customWidth="1"/>
    <col min="9657" max="9657" width="10.42578125" style="111" bestFit="1" customWidth="1"/>
    <col min="9658" max="9658" width="8" style="111" bestFit="1" customWidth="1"/>
    <col min="9659" max="9659" width="7.7109375" style="111" bestFit="1" customWidth="1"/>
    <col min="9660" max="9660" width="10.42578125" style="111" bestFit="1" customWidth="1"/>
    <col min="9661" max="9661" width="7.42578125" style="111" bestFit="1" customWidth="1"/>
    <col min="9662" max="9662" width="7.7109375" style="111" bestFit="1" customWidth="1"/>
    <col min="9663" max="9663" width="10.42578125" style="111" bestFit="1" customWidth="1"/>
    <col min="9664" max="9664" width="7.42578125" style="111" bestFit="1" customWidth="1"/>
    <col min="9665" max="9665" width="7.7109375" style="111" bestFit="1" customWidth="1"/>
    <col min="9666" max="9666" width="10.42578125" style="111" bestFit="1" customWidth="1"/>
    <col min="9667" max="9667" width="5.140625" style="111" customWidth="1"/>
    <col min="9668" max="9890" width="8.7109375" style="111"/>
    <col min="9891" max="9891" width="3.42578125" style="111" customWidth="1"/>
    <col min="9892" max="9892" width="7" style="111" customWidth="1"/>
    <col min="9893" max="9893" width="25.42578125" style="111" customWidth="1"/>
    <col min="9894" max="9894" width="12" style="111" customWidth="1"/>
    <col min="9895" max="9895" width="12.7109375" style="111" bestFit="1" customWidth="1"/>
    <col min="9896" max="9896" width="7.42578125" style="111" bestFit="1" customWidth="1"/>
    <col min="9897" max="9897" width="7.7109375" style="111" bestFit="1" customWidth="1"/>
    <col min="9898" max="9898" width="15" style="111" customWidth="1"/>
    <col min="9899" max="9899" width="7.42578125" style="111" bestFit="1" customWidth="1"/>
    <col min="9900" max="9900" width="7.7109375" style="111" bestFit="1" customWidth="1"/>
    <col min="9901" max="9901" width="15" style="111" bestFit="1" customWidth="1"/>
    <col min="9902" max="9902" width="7.42578125" style="111" bestFit="1" customWidth="1"/>
    <col min="9903" max="9903" width="7.7109375" style="111" bestFit="1" customWidth="1"/>
    <col min="9904" max="9904" width="9.42578125" style="111" bestFit="1" customWidth="1"/>
    <col min="9905" max="9905" width="8" style="111" bestFit="1" customWidth="1"/>
    <col min="9906" max="9906" width="7.7109375" style="111" bestFit="1" customWidth="1"/>
    <col min="9907" max="9907" width="10.42578125" style="111" bestFit="1" customWidth="1"/>
    <col min="9908" max="9908" width="8" style="111" bestFit="1" customWidth="1"/>
    <col min="9909" max="9909" width="7.7109375" style="111" bestFit="1" customWidth="1"/>
    <col min="9910" max="9910" width="10.42578125" style="111" bestFit="1" customWidth="1"/>
    <col min="9911" max="9911" width="7.42578125" style="111" bestFit="1" customWidth="1"/>
    <col min="9912" max="9912" width="7.7109375" style="111" bestFit="1" customWidth="1"/>
    <col min="9913" max="9913" width="10.42578125" style="111" bestFit="1" customWidth="1"/>
    <col min="9914" max="9914" width="8" style="111" bestFit="1" customWidth="1"/>
    <col min="9915" max="9915" width="7.7109375" style="111" bestFit="1" customWidth="1"/>
    <col min="9916" max="9916" width="10.42578125" style="111" bestFit="1" customWidth="1"/>
    <col min="9917" max="9917" width="7.42578125" style="111" bestFit="1" customWidth="1"/>
    <col min="9918" max="9918" width="7.7109375" style="111" bestFit="1" customWidth="1"/>
    <col min="9919" max="9919" width="10.42578125" style="111" bestFit="1" customWidth="1"/>
    <col min="9920" max="9920" width="7.42578125" style="111" bestFit="1" customWidth="1"/>
    <col min="9921" max="9921" width="7.7109375" style="111" bestFit="1" customWidth="1"/>
    <col min="9922" max="9922" width="10.42578125" style="111" bestFit="1" customWidth="1"/>
    <col min="9923" max="9923" width="5.140625" style="111" customWidth="1"/>
    <col min="9924" max="10146" width="8.7109375" style="111"/>
    <col min="10147" max="10147" width="3.42578125" style="111" customWidth="1"/>
    <col min="10148" max="10148" width="7" style="111" customWidth="1"/>
    <col min="10149" max="10149" width="25.42578125" style="111" customWidth="1"/>
    <col min="10150" max="10150" width="12" style="111" customWidth="1"/>
    <col min="10151" max="10151" width="12.7109375" style="111" bestFit="1" customWidth="1"/>
    <col min="10152" max="10152" width="7.42578125" style="111" bestFit="1" customWidth="1"/>
    <col min="10153" max="10153" width="7.7109375" style="111" bestFit="1" customWidth="1"/>
    <col min="10154" max="10154" width="15" style="111" customWidth="1"/>
    <col min="10155" max="10155" width="7.42578125" style="111" bestFit="1" customWidth="1"/>
    <col min="10156" max="10156" width="7.7109375" style="111" bestFit="1" customWidth="1"/>
    <col min="10157" max="10157" width="15" style="111" bestFit="1" customWidth="1"/>
    <col min="10158" max="10158" width="7.42578125" style="111" bestFit="1" customWidth="1"/>
    <col min="10159" max="10159" width="7.7109375" style="111" bestFit="1" customWidth="1"/>
    <col min="10160" max="10160" width="9.42578125" style="111" bestFit="1" customWidth="1"/>
    <col min="10161" max="10161" width="8" style="111" bestFit="1" customWidth="1"/>
    <col min="10162" max="10162" width="7.7109375" style="111" bestFit="1" customWidth="1"/>
    <col min="10163" max="10163" width="10.42578125" style="111" bestFit="1" customWidth="1"/>
    <col min="10164" max="10164" width="8" style="111" bestFit="1" customWidth="1"/>
    <col min="10165" max="10165" width="7.7109375" style="111" bestFit="1" customWidth="1"/>
    <col min="10166" max="10166" width="10.42578125" style="111" bestFit="1" customWidth="1"/>
    <col min="10167" max="10167" width="7.42578125" style="111" bestFit="1" customWidth="1"/>
    <col min="10168" max="10168" width="7.7109375" style="111" bestFit="1" customWidth="1"/>
    <col min="10169" max="10169" width="10.42578125" style="111" bestFit="1" customWidth="1"/>
    <col min="10170" max="10170" width="8" style="111" bestFit="1" customWidth="1"/>
    <col min="10171" max="10171" width="7.7109375" style="111" bestFit="1" customWidth="1"/>
    <col min="10172" max="10172" width="10.42578125" style="111" bestFit="1" customWidth="1"/>
    <col min="10173" max="10173" width="7.42578125" style="111" bestFit="1" customWidth="1"/>
    <col min="10174" max="10174" width="7.7109375" style="111" bestFit="1" customWidth="1"/>
    <col min="10175" max="10175" width="10.42578125" style="111" bestFit="1" customWidth="1"/>
    <col min="10176" max="10176" width="7.42578125" style="111" bestFit="1" customWidth="1"/>
    <col min="10177" max="10177" width="7.7109375" style="111" bestFit="1" customWidth="1"/>
    <col min="10178" max="10178" width="10.42578125" style="111" bestFit="1" customWidth="1"/>
    <col min="10179" max="10179" width="5.140625" style="111" customWidth="1"/>
    <col min="10180" max="10402" width="8.7109375" style="111"/>
    <col min="10403" max="10403" width="3.42578125" style="111" customWidth="1"/>
    <col min="10404" max="10404" width="7" style="111" customWidth="1"/>
    <col min="10405" max="10405" width="25.42578125" style="111" customWidth="1"/>
    <col min="10406" max="10406" width="12" style="111" customWidth="1"/>
    <col min="10407" max="10407" width="12.7109375" style="111" bestFit="1" customWidth="1"/>
    <col min="10408" max="10408" width="7.42578125" style="111" bestFit="1" customWidth="1"/>
    <col min="10409" max="10409" width="7.7109375" style="111" bestFit="1" customWidth="1"/>
    <col min="10410" max="10410" width="15" style="111" customWidth="1"/>
    <col min="10411" max="10411" width="7.42578125" style="111" bestFit="1" customWidth="1"/>
    <col min="10412" max="10412" width="7.7109375" style="111" bestFit="1" customWidth="1"/>
    <col min="10413" max="10413" width="15" style="111" bestFit="1" customWidth="1"/>
    <col min="10414" max="10414" width="7.42578125" style="111" bestFit="1" customWidth="1"/>
    <col min="10415" max="10415" width="7.7109375" style="111" bestFit="1" customWidth="1"/>
    <col min="10416" max="10416" width="9.42578125" style="111" bestFit="1" customWidth="1"/>
    <col min="10417" max="10417" width="8" style="111" bestFit="1" customWidth="1"/>
    <col min="10418" max="10418" width="7.7109375" style="111" bestFit="1" customWidth="1"/>
    <col min="10419" max="10419" width="10.42578125" style="111" bestFit="1" customWidth="1"/>
    <col min="10420" max="10420" width="8" style="111" bestFit="1" customWidth="1"/>
    <col min="10421" max="10421" width="7.7109375" style="111" bestFit="1" customWidth="1"/>
    <col min="10422" max="10422" width="10.42578125" style="111" bestFit="1" customWidth="1"/>
    <col min="10423" max="10423" width="7.42578125" style="111" bestFit="1" customWidth="1"/>
    <col min="10424" max="10424" width="7.7109375" style="111" bestFit="1" customWidth="1"/>
    <col min="10425" max="10425" width="10.42578125" style="111" bestFit="1" customWidth="1"/>
    <col min="10426" max="10426" width="8" style="111" bestFit="1" customWidth="1"/>
    <col min="10427" max="10427" width="7.7109375" style="111" bestFit="1" customWidth="1"/>
    <col min="10428" max="10428" width="10.42578125" style="111" bestFit="1" customWidth="1"/>
    <col min="10429" max="10429" width="7.42578125" style="111" bestFit="1" customWidth="1"/>
    <col min="10430" max="10430" width="7.7109375" style="111" bestFit="1" customWidth="1"/>
    <col min="10431" max="10431" width="10.42578125" style="111" bestFit="1" customWidth="1"/>
    <col min="10432" max="10432" width="7.42578125" style="111" bestFit="1" customWidth="1"/>
    <col min="10433" max="10433" width="7.7109375" style="111" bestFit="1" customWidth="1"/>
    <col min="10434" max="10434" width="10.42578125" style="111" bestFit="1" customWidth="1"/>
    <col min="10435" max="10435" width="5.140625" style="111" customWidth="1"/>
    <col min="10436" max="10658" width="8.7109375" style="111"/>
    <col min="10659" max="10659" width="3.42578125" style="111" customWidth="1"/>
    <col min="10660" max="10660" width="7" style="111" customWidth="1"/>
    <col min="10661" max="10661" width="25.42578125" style="111" customWidth="1"/>
    <col min="10662" max="10662" width="12" style="111" customWidth="1"/>
    <col min="10663" max="10663" width="12.7109375" style="111" bestFit="1" customWidth="1"/>
    <col min="10664" max="10664" width="7.42578125" style="111" bestFit="1" customWidth="1"/>
    <col min="10665" max="10665" width="7.7109375" style="111" bestFit="1" customWidth="1"/>
    <col min="10666" max="10666" width="15" style="111" customWidth="1"/>
    <col min="10667" max="10667" width="7.42578125" style="111" bestFit="1" customWidth="1"/>
    <col min="10668" max="10668" width="7.7109375" style="111" bestFit="1" customWidth="1"/>
    <col min="10669" max="10669" width="15" style="111" bestFit="1" customWidth="1"/>
    <col min="10670" max="10670" width="7.42578125" style="111" bestFit="1" customWidth="1"/>
    <col min="10671" max="10671" width="7.7109375" style="111" bestFit="1" customWidth="1"/>
    <col min="10672" max="10672" width="9.42578125" style="111" bestFit="1" customWidth="1"/>
    <col min="10673" max="10673" width="8" style="111" bestFit="1" customWidth="1"/>
    <col min="10674" max="10674" width="7.7109375" style="111" bestFit="1" customWidth="1"/>
    <col min="10675" max="10675" width="10.42578125" style="111" bestFit="1" customWidth="1"/>
    <col min="10676" max="10676" width="8" style="111" bestFit="1" customWidth="1"/>
    <col min="10677" max="10677" width="7.7109375" style="111" bestFit="1" customWidth="1"/>
    <col min="10678" max="10678" width="10.42578125" style="111" bestFit="1" customWidth="1"/>
    <col min="10679" max="10679" width="7.42578125" style="111" bestFit="1" customWidth="1"/>
    <col min="10680" max="10680" width="7.7109375" style="111" bestFit="1" customWidth="1"/>
    <col min="10681" max="10681" width="10.42578125" style="111" bestFit="1" customWidth="1"/>
    <col min="10682" max="10682" width="8" style="111" bestFit="1" customWidth="1"/>
    <col min="10683" max="10683" width="7.7109375" style="111" bestFit="1" customWidth="1"/>
    <col min="10684" max="10684" width="10.42578125" style="111" bestFit="1" customWidth="1"/>
    <col min="10685" max="10685" width="7.42578125" style="111" bestFit="1" customWidth="1"/>
    <col min="10686" max="10686" width="7.7109375" style="111" bestFit="1" customWidth="1"/>
    <col min="10687" max="10687" width="10.42578125" style="111" bestFit="1" customWidth="1"/>
    <col min="10688" max="10688" width="7.42578125" style="111" bestFit="1" customWidth="1"/>
    <col min="10689" max="10689" width="7.7109375" style="111" bestFit="1" customWidth="1"/>
    <col min="10690" max="10690" width="10.42578125" style="111" bestFit="1" customWidth="1"/>
    <col min="10691" max="10691" width="5.140625" style="111" customWidth="1"/>
    <col min="10692" max="10914" width="8.7109375" style="111"/>
    <col min="10915" max="10915" width="3.42578125" style="111" customWidth="1"/>
    <col min="10916" max="10916" width="7" style="111" customWidth="1"/>
    <col min="10917" max="10917" width="25.42578125" style="111" customWidth="1"/>
    <col min="10918" max="10918" width="12" style="111" customWidth="1"/>
    <col min="10919" max="10919" width="12.7109375" style="111" bestFit="1" customWidth="1"/>
    <col min="10920" max="10920" width="7.42578125" style="111" bestFit="1" customWidth="1"/>
    <col min="10921" max="10921" width="7.7109375" style="111" bestFit="1" customWidth="1"/>
    <col min="10922" max="10922" width="15" style="111" customWidth="1"/>
    <col min="10923" max="10923" width="7.42578125" style="111" bestFit="1" customWidth="1"/>
    <col min="10924" max="10924" width="7.7109375" style="111" bestFit="1" customWidth="1"/>
    <col min="10925" max="10925" width="15" style="111" bestFit="1" customWidth="1"/>
    <col min="10926" max="10926" width="7.42578125" style="111" bestFit="1" customWidth="1"/>
    <col min="10927" max="10927" width="7.7109375" style="111" bestFit="1" customWidth="1"/>
    <col min="10928" max="10928" width="9.42578125" style="111" bestFit="1" customWidth="1"/>
    <col min="10929" max="10929" width="8" style="111" bestFit="1" customWidth="1"/>
    <col min="10930" max="10930" width="7.7109375" style="111" bestFit="1" customWidth="1"/>
    <col min="10931" max="10931" width="10.42578125" style="111" bestFit="1" customWidth="1"/>
    <col min="10932" max="10932" width="8" style="111" bestFit="1" customWidth="1"/>
    <col min="10933" max="10933" width="7.7109375" style="111" bestFit="1" customWidth="1"/>
    <col min="10934" max="10934" width="10.42578125" style="111" bestFit="1" customWidth="1"/>
    <col min="10935" max="10935" width="7.42578125" style="111" bestFit="1" customWidth="1"/>
    <col min="10936" max="10936" width="7.7109375" style="111" bestFit="1" customWidth="1"/>
    <col min="10937" max="10937" width="10.42578125" style="111" bestFit="1" customWidth="1"/>
    <col min="10938" max="10938" width="8" style="111" bestFit="1" customWidth="1"/>
    <col min="10939" max="10939" width="7.7109375" style="111" bestFit="1" customWidth="1"/>
    <col min="10940" max="10940" width="10.42578125" style="111" bestFit="1" customWidth="1"/>
    <col min="10941" max="10941" width="7.42578125" style="111" bestFit="1" customWidth="1"/>
    <col min="10942" max="10942" width="7.7109375" style="111" bestFit="1" customWidth="1"/>
    <col min="10943" max="10943" width="10.42578125" style="111" bestFit="1" customWidth="1"/>
    <col min="10944" max="10944" width="7.42578125" style="111" bestFit="1" customWidth="1"/>
    <col min="10945" max="10945" width="7.7109375" style="111" bestFit="1" customWidth="1"/>
    <col min="10946" max="10946" width="10.42578125" style="111" bestFit="1" customWidth="1"/>
    <col min="10947" max="10947" width="5.140625" style="111" customWidth="1"/>
    <col min="10948" max="11170" width="8.7109375" style="111"/>
    <col min="11171" max="11171" width="3.42578125" style="111" customWidth="1"/>
    <col min="11172" max="11172" width="7" style="111" customWidth="1"/>
    <col min="11173" max="11173" width="25.42578125" style="111" customWidth="1"/>
    <col min="11174" max="11174" width="12" style="111" customWidth="1"/>
    <col min="11175" max="11175" width="12.7109375" style="111" bestFit="1" customWidth="1"/>
    <col min="11176" max="11176" width="7.42578125" style="111" bestFit="1" customWidth="1"/>
    <col min="11177" max="11177" width="7.7109375" style="111" bestFit="1" customWidth="1"/>
    <col min="11178" max="11178" width="15" style="111" customWidth="1"/>
    <col min="11179" max="11179" width="7.42578125" style="111" bestFit="1" customWidth="1"/>
    <col min="11180" max="11180" width="7.7109375" style="111" bestFit="1" customWidth="1"/>
    <col min="11181" max="11181" width="15" style="111" bestFit="1" customWidth="1"/>
    <col min="11182" max="11182" width="7.42578125" style="111" bestFit="1" customWidth="1"/>
    <col min="11183" max="11183" width="7.7109375" style="111" bestFit="1" customWidth="1"/>
    <col min="11184" max="11184" width="9.42578125" style="111" bestFit="1" customWidth="1"/>
    <col min="11185" max="11185" width="8" style="111" bestFit="1" customWidth="1"/>
    <col min="11186" max="11186" width="7.7109375" style="111" bestFit="1" customWidth="1"/>
    <col min="11187" max="11187" width="10.42578125" style="111" bestFit="1" customWidth="1"/>
    <col min="11188" max="11188" width="8" style="111" bestFit="1" customWidth="1"/>
    <col min="11189" max="11189" width="7.7109375" style="111" bestFit="1" customWidth="1"/>
    <col min="11190" max="11190" width="10.42578125" style="111" bestFit="1" customWidth="1"/>
    <col min="11191" max="11191" width="7.42578125" style="111" bestFit="1" customWidth="1"/>
    <col min="11192" max="11192" width="7.7109375" style="111" bestFit="1" customWidth="1"/>
    <col min="11193" max="11193" width="10.42578125" style="111" bestFit="1" customWidth="1"/>
    <col min="11194" max="11194" width="8" style="111" bestFit="1" customWidth="1"/>
    <col min="11195" max="11195" width="7.7109375" style="111" bestFit="1" customWidth="1"/>
    <col min="11196" max="11196" width="10.42578125" style="111" bestFit="1" customWidth="1"/>
    <col min="11197" max="11197" width="7.42578125" style="111" bestFit="1" customWidth="1"/>
    <col min="11198" max="11198" width="7.7109375" style="111" bestFit="1" customWidth="1"/>
    <col min="11199" max="11199" width="10.42578125" style="111" bestFit="1" customWidth="1"/>
    <col min="11200" max="11200" width="7.42578125" style="111" bestFit="1" customWidth="1"/>
    <col min="11201" max="11201" width="7.7109375" style="111" bestFit="1" customWidth="1"/>
    <col min="11202" max="11202" width="10.42578125" style="111" bestFit="1" customWidth="1"/>
    <col min="11203" max="11203" width="5.140625" style="111" customWidth="1"/>
    <col min="11204" max="11426" width="8.7109375" style="111"/>
    <col min="11427" max="11427" width="3.42578125" style="111" customWidth="1"/>
    <col min="11428" max="11428" width="7" style="111" customWidth="1"/>
    <col min="11429" max="11429" width="25.42578125" style="111" customWidth="1"/>
    <col min="11430" max="11430" width="12" style="111" customWidth="1"/>
    <col min="11431" max="11431" width="12.7109375" style="111" bestFit="1" customWidth="1"/>
    <col min="11432" max="11432" width="7.42578125" style="111" bestFit="1" customWidth="1"/>
    <col min="11433" max="11433" width="7.7109375" style="111" bestFit="1" customWidth="1"/>
    <col min="11434" max="11434" width="15" style="111" customWidth="1"/>
    <col min="11435" max="11435" width="7.42578125" style="111" bestFit="1" customWidth="1"/>
    <col min="11436" max="11436" width="7.7109375" style="111" bestFit="1" customWidth="1"/>
    <col min="11437" max="11437" width="15" style="111" bestFit="1" customWidth="1"/>
    <col min="11438" max="11438" width="7.42578125" style="111" bestFit="1" customWidth="1"/>
    <col min="11439" max="11439" width="7.7109375" style="111" bestFit="1" customWidth="1"/>
    <col min="11440" max="11440" width="9.42578125" style="111" bestFit="1" customWidth="1"/>
    <col min="11441" max="11441" width="8" style="111" bestFit="1" customWidth="1"/>
    <col min="11442" max="11442" width="7.7109375" style="111" bestFit="1" customWidth="1"/>
    <col min="11443" max="11443" width="10.42578125" style="111" bestFit="1" customWidth="1"/>
    <col min="11444" max="11444" width="8" style="111" bestFit="1" customWidth="1"/>
    <col min="11445" max="11445" width="7.7109375" style="111" bestFit="1" customWidth="1"/>
    <col min="11446" max="11446" width="10.42578125" style="111" bestFit="1" customWidth="1"/>
    <col min="11447" max="11447" width="7.42578125" style="111" bestFit="1" customWidth="1"/>
    <col min="11448" max="11448" width="7.7109375" style="111" bestFit="1" customWidth="1"/>
    <col min="11449" max="11449" width="10.42578125" style="111" bestFit="1" customWidth="1"/>
    <col min="11450" max="11450" width="8" style="111" bestFit="1" customWidth="1"/>
    <col min="11451" max="11451" width="7.7109375" style="111" bestFit="1" customWidth="1"/>
    <col min="11452" max="11452" width="10.42578125" style="111" bestFit="1" customWidth="1"/>
    <col min="11453" max="11453" width="7.42578125" style="111" bestFit="1" customWidth="1"/>
    <col min="11454" max="11454" width="7.7109375" style="111" bestFit="1" customWidth="1"/>
    <col min="11455" max="11455" width="10.42578125" style="111" bestFit="1" customWidth="1"/>
    <col min="11456" max="11456" width="7.42578125" style="111" bestFit="1" customWidth="1"/>
    <col min="11457" max="11457" width="7.7109375" style="111" bestFit="1" customWidth="1"/>
    <col min="11458" max="11458" width="10.42578125" style="111" bestFit="1" customWidth="1"/>
    <col min="11459" max="11459" width="5.140625" style="111" customWidth="1"/>
    <col min="11460" max="11682" width="8.7109375" style="111"/>
    <col min="11683" max="11683" width="3.42578125" style="111" customWidth="1"/>
    <col min="11684" max="11684" width="7" style="111" customWidth="1"/>
    <col min="11685" max="11685" width="25.42578125" style="111" customWidth="1"/>
    <col min="11686" max="11686" width="12" style="111" customWidth="1"/>
    <col min="11687" max="11687" width="12.7109375" style="111" bestFit="1" customWidth="1"/>
    <col min="11688" max="11688" width="7.42578125" style="111" bestFit="1" customWidth="1"/>
    <col min="11689" max="11689" width="7.7109375" style="111" bestFit="1" customWidth="1"/>
    <col min="11690" max="11690" width="15" style="111" customWidth="1"/>
    <col min="11691" max="11691" width="7.42578125" style="111" bestFit="1" customWidth="1"/>
    <col min="11692" max="11692" width="7.7109375" style="111" bestFit="1" customWidth="1"/>
    <col min="11693" max="11693" width="15" style="111" bestFit="1" customWidth="1"/>
    <col min="11694" max="11694" width="7.42578125" style="111" bestFit="1" customWidth="1"/>
    <col min="11695" max="11695" width="7.7109375" style="111" bestFit="1" customWidth="1"/>
    <col min="11696" max="11696" width="9.42578125" style="111" bestFit="1" customWidth="1"/>
    <col min="11697" max="11697" width="8" style="111" bestFit="1" customWidth="1"/>
    <col min="11698" max="11698" width="7.7109375" style="111" bestFit="1" customWidth="1"/>
    <col min="11699" max="11699" width="10.42578125" style="111" bestFit="1" customWidth="1"/>
    <col min="11700" max="11700" width="8" style="111" bestFit="1" customWidth="1"/>
    <col min="11701" max="11701" width="7.7109375" style="111" bestFit="1" customWidth="1"/>
    <col min="11702" max="11702" width="10.42578125" style="111" bestFit="1" customWidth="1"/>
    <col min="11703" max="11703" width="7.42578125" style="111" bestFit="1" customWidth="1"/>
    <col min="11704" max="11704" width="7.7109375" style="111" bestFit="1" customWidth="1"/>
    <col min="11705" max="11705" width="10.42578125" style="111" bestFit="1" customWidth="1"/>
    <col min="11706" max="11706" width="8" style="111" bestFit="1" customWidth="1"/>
    <col min="11707" max="11707" width="7.7109375" style="111" bestFit="1" customWidth="1"/>
    <col min="11708" max="11708" width="10.42578125" style="111" bestFit="1" customWidth="1"/>
    <col min="11709" max="11709" width="7.42578125" style="111" bestFit="1" customWidth="1"/>
    <col min="11710" max="11710" width="7.7109375" style="111" bestFit="1" customWidth="1"/>
    <col min="11711" max="11711" width="10.42578125" style="111" bestFit="1" customWidth="1"/>
    <col min="11712" max="11712" width="7.42578125" style="111" bestFit="1" customWidth="1"/>
    <col min="11713" max="11713" width="7.7109375" style="111" bestFit="1" customWidth="1"/>
    <col min="11714" max="11714" width="10.42578125" style="111" bestFit="1" customWidth="1"/>
    <col min="11715" max="11715" width="5.140625" style="111" customWidth="1"/>
    <col min="11716" max="11938" width="8.7109375" style="111"/>
    <col min="11939" max="11939" width="3.42578125" style="111" customWidth="1"/>
    <col min="11940" max="11940" width="7" style="111" customWidth="1"/>
    <col min="11941" max="11941" width="25.42578125" style="111" customWidth="1"/>
    <col min="11942" max="11942" width="12" style="111" customWidth="1"/>
    <col min="11943" max="11943" width="12.7109375" style="111" bestFit="1" customWidth="1"/>
    <col min="11944" max="11944" width="7.42578125" style="111" bestFit="1" customWidth="1"/>
    <col min="11945" max="11945" width="7.7109375" style="111" bestFit="1" customWidth="1"/>
    <col min="11946" max="11946" width="15" style="111" customWidth="1"/>
    <col min="11947" max="11947" width="7.42578125" style="111" bestFit="1" customWidth="1"/>
    <col min="11948" max="11948" width="7.7109375" style="111" bestFit="1" customWidth="1"/>
    <col min="11949" max="11949" width="15" style="111" bestFit="1" customWidth="1"/>
    <col min="11950" max="11950" width="7.42578125" style="111" bestFit="1" customWidth="1"/>
    <col min="11951" max="11951" width="7.7109375" style="111" bestFit="1" customWidth="1"/>
    <col min="11952" max="11952" width="9.42578125" style="111" bestFit="1" customWidth="1"/>
    <col min="11953" max="11953" width="8" style="111" bestFit="1" customWidth="1"/>
    <col min="11954" max="11954" width="7.7109375" style="111" bestFit="1" customWidth="1"/>
    <col min="11955" max="11955" width="10.42578125" style="111" bestFit="1" customWidth="1"/>
    <col min="11956" max="11956" width="8" style="111" bestFit="1" customWidth="1"/>
    <col min="11957" max="11957" width="7.7109375" style="111" bestFit="1" customWidth="1"/>
    <col min="11958" max="11958" width="10.42578125" style="111" bestFit="1" customWidth="1"/>
    <col min="11959" max="11959" width="7.42578125" style="111" bestFit="1" customWidth="1"/>
    <col min="11960" max="11960" width="7.7109375" style="111" bestFit="1" customWidth="1"/>
    <col min="11961" max="11961" width="10.42578125" style="111" bestFit="1" customWidth="1"/>
    <col min="11962" max="11962" width="8" style="111" bestFit="1" customWidth="1"/>
    <col min="11963" max="11963" width="7.7109375" style="111" bestFit="1" customWidth="1"/>
    <col min="11964" max="11964" width="10.42578125" style="111" bestFit="1" customWidth="1"/>
    <col min="11965" max="11965" width="7.42578125" style="111" bestFit="1" customWidth="1"/>
    <col min="11966" max="11966" width="7.7109375" style="111" bestFit="1" customWidth="1"/>
    <col min="11967" max="11967" width="10.42578125" style="111" bestFit="1" customWidth="1"/>
    <col min="11968" max="11968" width="7.42578125" style="111" bestFit="1" customWidth="1"/>
    <col min="11969" max="11969" width="7.7109375" style="111" bestFit="1" customWidth="1"/>
    <col min="11970" max="11970" width="10.42578125" style="111" bestFit="1" customWidth="1"/>
    <col min="11971" max="11971" width="5.140625" style="111" customWidth="1"/>
    <col min="11972" max="12194" width="8.7109375" style="111"/>
    <col min="12195" max="12195" width="3.42578125" style="111" customWidth="1"/>
    <col min="12196" max="12196" width="7" style="111" customWidth="1"/>
    <col min="12197" max="12197" width="25.42578125" style="111" customWidth="1"/>
    <col min="12198" max="12198" width="12" style="111" customWidth="1"/>
    <col min="12199" max="12199" width="12.7109375" style="111" bestFit="1" customWidth="1"/>
    <col min="12200" max="12200" width="7.42578125" style="111" bestFit="1" customWidth="1"/>
    <col min="12201" max="12201" width="7.7109375" style="111" bestFit="1" customWidth="1"/>
    <col min="12202" max="12202" width="15" style="111" customWidth="1"/>
    <col min="12203" max="12203" width="7.42578125" style="111" bestFit="1" customWidth="1"/>
    <col min="12204" max="12204" width="7.7109375" style="111" bestFit="1" customWidth="1"/>
    <col min="12205" max="12205" width="15" style="111" bestFit="1" customWidth="1"/>
    <col min="12206" max="12206" width="7.42578125" style="111" bestFit="1" customWidth="1"/>
    <col min="12207" max="12207" width="7.7109375" style="111" bestFit="1" customWidth="1"/>
    <col min="12208" max="12208" width="9.42578125" style="111" bestFit="1" customWidth="1"/>
    <col min="12209" max="12209" width="8" style="111" bestFit="1" customWidth="1"/>
    <col min="12210" max="12210" width="7.7109375" style="111" bestFit="1" customWidth="1"/>
    <col min="12211" max="12211" width="10.42578125" style="111" bestFit="1" customWidth="1"/>
    <col min="12212" max="12212" width="8" style="111" bestFit="1" customWidth="1"/>
    <col min="12213" max="12213" width="7.7109375" style="111" bestFit="1" customWidth="1"/>
    <col min="12214" max="12214" width="10.42578125" style="111" bestFit="1" customWidth="1"/>
    <col min="12215" max="12215" width="7.42578125" style="111" bestFit="1" customWidth="1"/>
    <col min="12216" max="12216" width="7.7109375" style="111" bestFit="1" customWidth="1"/>
    <col min="12217" max="12217" width="10.42578125" style="111" bestFit="1" customWidth="1"/>
    <col min="12218" max="12218" width="8" style="111" bestFit="1" customWidth="1"/>
    <col min="12219" max="12219" width="7.7109375" style="111" bestFit="1" customWidth="1"/>
    <col min="12220" max="12220" width="10.42578125" style="111" bestFit="1" customWidth="1"/>
    <col min="12221" max="12221" width="7.42578125" style="111" bestFit="1" customWidth="1"/>
    <col min="12222" max="12222" width="7.7109375" style="111" bestFit="1" customWidth="1"/>
    <col min="12223" max="12223" width="10.42578125" style="111" bestFit="1" customWidth="1"/>
    <col min="12224" max="12224" width="7.42578125" style="111" bestFit="1" customWidth="1"/>
    <col min="12225" max="12225" width="7.7109375" style="111" bestFit="1" customWidth="1"/>
    <col min="12226" max="12226" width="10.42578125" style="111" bestFit="1" customWidth="1"/>
    <col min="12227" max="12227" width="5.140625" style="111" customWidth="1"/>
    <col min="12228" max="12450" width="8.7109375" style="111"/>
    <col min="12451" max="12451" width="3.42578125" style="111" customWidth="1"/>
    <col min="12452" max="12452" width="7" style="111" customWidth="1"/>
    <col min="12453" max="12453" width="25.42578125" style="111" customWidth="1"/>
    <col min="12454" max="12454" width="12" style="111" customWidth="1"/>
    <col min="12455" max="12455" width="12.7109375" style="111" bestFit="1" customWidth="1"/>
    <col min="12456" max="12456" width="7.42578125" style="111" bestFit="1" customWidth="1"/>
    <col min="12457" max="12457" width="7.7109375" style="111" bestFit="1" customWidth="1"/>
    <col min="12458" max="12458" width="15" style="111" customWidth="1"/>
    <col min="12459" max="12459" width="7.42578125" style="111" bestFit="1" customWidth="1"/>
    <col min="12460" max="12460" width="7.7109375" style="111" bestFit="1" customWidth="1"/>
    <col min="12461" max="12461" width="15" style="111" bestFit="1" customWidth="1"/>
    <col min="12462" max="12462" width="7.42578125" style="111" bestFit="1" customWidth="1"/>
    <col min="12463" max="12463" width="7.7109375" style="111" bestFit="1" customWidth="1"/>
    <col min="12464" max="12464" width="9.42578125" style="111" bestFit="1" customWidth="1"/>
    <col min="12465" max="12465" width="8" style="111" bestFit="1" customWidth="1"/>
    <col min="12466" max="12466" width="7.7109375" style="111" bestFit="1" customWidth="1"/>
    <col min="12467" max="12467" width="10.42578125" style="111" bestFit="1" customWidth="1"/>
    <col min="12468" max="12468" width="8" style="111" bestFit="1" customWidth="1"/>
    <col min="12469" max="12469" width="7.7109375" style="111" bestFit="1" customWidth="1"/>
    <col min="12470" max="12470" width="10.42578125" style="111" bestFit="1" customWidth="1"/>
    <col min="12471" max="12471" width="7.42578125" style="111" bestFit="1" customWidth="1"/>
    <col min="12472" max="12472" width="7.7109375" style="111" bestFit="1" customWidth="1"/>
    <col min="12473" max="12473" width="10.42578125" style="111" bestFit="1" customWidth="1"/>
    <col min="12474" max="12474" width="8" style="111" bestFit="1" customWidth="1"/>
    <col min="12475" max="12475" width="7.7109375" style="111" bestFit="1" customWidth="1"/>
    <col min="12476" max="12476" width="10.42578125" style="111" bestFit="1" customWidth="1"/>
    <col min="12477" max="12477" width="7.42578125" style="111" bestFit="1" customWidth="1"/>
    <col min="12478" max="12478" width="7.7109375" style="111" bestFit="1" customWidth="1"/>
    <col min="12479" max="12479" width="10.42578125" style="111" bestFit="1" customWidth="1"/>
    <col min="12480" max="12480" width="7.42578125" style="111" bestFit="1" customWidth="1"/>
    <col min="12481" max="12481" width="7.7109375" style="111" bestFit="1" customWidth="1"/>
    <col min="12482" max="12482" width="10.42578125" style="111" bestFit="1" customWidth="1"/>
    <col min="12483" max="12483" width="5.140625" style="111" customWidth="1"/>
    <col min="12484" max="12706" width="8.7109375" style="111"/>
    <col min="12707" max="12707" width="3.42578125" style="111" customWidth="1"/>
    <col min="12708" max="12708" width="7" style="111" customWidth="1"/>
    <col min="12709" max="12709" width="25.42578125" style="111" customWidth="1"/>
    <col min="12710" max="12710" width="12" style="111" customWidth="1"/>
    <col min="12711" max="12711" width="12.7109375" style="111" bestFit="1" customWidth="1"/>
    <col min="12712" max="12712" width="7.42578125" style="111" bestFit="1" customWidth="1"/>
    <col min="12713" max="12713" width="7.7109375" style="111" bestFit="1" customWidth="1"/>
    <col min="12714" max="12714" width="15" style="111" customWidth="1"/>
    <col min="12715" max="12715" width="7.42578125" style="111" bestFit="1" customWidth="1"/>
    <col min="12716" max="12716" width="7.7109375" style="111" bestFit="1" customWidth="1"/>
    <col min="12717" max="12717" width="15" style="111" bestFit="1" customWidth="1"/>
    <col min="12718" max="12718" width="7.42578125" style="111" bestFit="1" customWidth="1"/>
    <col min="12719" max="12719" width="7.7109375" style="111" bestFit="1" customWidth="1"/>
    <col min="12720" max="12720" width="9.42578125" style="111" bestFit="1" customWidth="1"/>
    <col min="12721" max="12721" width="8" style="111" bestFit="1" customWidth="1"/>
    <col min="12722" max="12722" width="7.7109375" style="111" bestFit="1" customWidth="1"/>
    <col min="12723" max="12723" width="10.42578125" style="111" bestFit="1" customWidth="1"/>
    <col min="12724" max="12724" width="8" style="111" bestFit="1" customWidth="1"/>
    <col min="12725" max="12725" width="7.7109375" style="111" bestFit="1" customWidth="1"/>
    <col min="12726" max="12726" width="10.42578125" style="111" bestFit="1" customWidth="1"/>
    <col min="12727" max="12727" width="7.42578125" style="111" bestFit="1" customWidth="1"/>
    <col min="12728" max="12728" width="7.7109375" style="111" bestFit="1" customWidth="1"/>
    <col min="12729" max="12729" width="10.42578125" style="111" bestFit="1" customWidth="1"/>
    <col min="12730" max="12730" width="8" style="111" bestFit="1" customWidth="1"/>
    <col min="12731" max="12731" width="7.7109375" style="111" bestFit="1" customWidth="1"/>
    <col min="12732" max="12732" width="10.42578125" style="111" bestFit="1" customWidth="1"/>
    <col min="12733" max="12733" width="7.42578125" style="111" bestFit="1" customWidth="1"/>
    <col min="12734" max="12734" width="7.7109375" style="111" bestFit="1" customWidth="1"/>
    <col min="12735" max="12735" width="10.42578125" style="111" bestFit="1" customWidth="1"/>
    <col min="12736" max="12736" width="7.42578125" style="111" bestFit="1" customWidth="1"/>
    <col min="12737" max="12737" width="7.7109375" style="111" bestFit="1" customWidth="1"/>
    <col min="12738" max="12738" width="10.42578125" style="111" bestFit="1" customWidth="1"/>
    <col min="12739" max="12739" width="5.140625" style="111" customWidth="1"/>
    <col min="12740" max="12962" width="8.7109375" style="111"/>
    <col min="12963" max="12963" width="3.42578125" style="111" customWidth="1"/>
    <col min="12964" max="12964" width="7" style="111" customWidth="1"/>
    <col min="12965" max="12965" width="25.42578125" style="111" customWidth="1"/>
    <col min="12966" max="12966" width="12" style="111" customWidth="1"/>
    <col min="12967" max="12967" width="12.7109375" style="111" bestFit="1" customWidth="1"/>
    <col min="12968" max="12968" width="7.42578125" style="111" bestFit="1" customWidth="1"/>
    <col min="12969" max="12969" width="7.7109375" style="111" bestFit="1" customWidth="1"/>
    <col min="12970" max="12970" width="15" style="111" customWidth="1"/>
    <col min="12971" max="12971" width="7.42578125" style="111" bestFit="1" customWidth="1"/>
    <col min="12972" max="12972" width="7.7109375" style="111" bestFit="1" customWidth="1"/>
    <col min="12973" max="12973" width="15" style="111" bestFit="1" customWidth="1"/>
    <col min="12974" max="12974" width="7.42578125" style="111" bestFit="1" customWidth="1"/>
    <col min="12975" max="12975" width="7.7109375" style="111" bestFit="1" customWidth="1"/>
    <col min="12976" max="12976" width="9.42578125" style="111" bestFit="1" customWidth="1"/>
    <col min="12977" max="12977" width="8" style="111" bestFit="1" customWidth="1"/>
    <col min="12978" max="12978" width="7.7109375" style="111" bestFit="1" customWidth="1"/>
    <col min="12979" max="12979" width="10.42578125" style="111" bestFit="1" customWidth="1"/>
    <col min="12980" max="12980" width="8" style="111" bestFit="1" customWidth="1"/>
    <col min="12981" max="12981" width="7.7109375" style="111" bestFit="1" customWidth="1"/>
    <col min="12982" max="12982" width="10.42578125" style="111" bestFit="1" customWidth="1"/>
    <col min="12983" max="12983" width="7.42578125" style="111" bestFit="1" customWidth="1"/>
    <col min="12984" max="12984" width="7.7109375" style="111" bestFit="1" customWidth="1"/>
    <col min="12985" max="12985" width="10.42578125" style="111" bestFit="1" customWidth="1"/>
    <col min="12986" max="12986" width="8" style="111" bestFit="1" customWidth="1"/>
    <col min="12987" max="12987" width="7.7109375" style="111" bestFit="1" customWidth="1"/>
    <col min="12988" max="12988" width="10.42578125" style="111" bestFit="1" customWidth="1"/>
    <col min="12989" max="12989" width="7.42578125" style="111" bestFit="1" customWidth="1"/>
    <col min="12990" max="12990" width="7.7109375" style="111" bestFit="1" customWidth="1"/>
    <col min="12991" max="12991" width="10.42578125" style="111" bestFit="1" customWidth="1"/>
    <col min="12992" max="12992" width="7.42578125" style="111" bestFit="1" customWidth="1"/>
    <col min="12993" max="12993" width="7.7109375" style="111" bestFit="1" customWidth="1"/>
    <col min="12994" max="12994" width="10.42578125" style="111" bestFit="1" customWidth="1"/>
    <col min="12995" max="12995" width="5.140625" style="111" customWidth="1"/>
    <col min="12996" max="13218" width="8.7109375" style="111"/>
    <col min="13219" max="13219" width="3.42578125" style="111" customWidth="1"/>
    <col min="13220" max="13220" width="7" style="111" customWidth="1"/>
    <col min="13221" max="13221" width="25.42578125" style="111" customWidth="1"/>
    <col min="13222" max="13222" width="12" style="111" customWidth="1"/>
    <col min="13223" max="13223" width="12.7109375" style="111" bestFit="1" customWidth="1"/>
    <col min="13224" max="13224" width="7.42578125" style="111" bestFit="1" customWidth="1"/>
    <col min="13225" max="13225" width="7.7109375" style="111" bestFit="1" customWidth="1"/>
    <col min="13226" max="13226" width="15" style="111" customWidth="1"/>
    <col min="13227" max="13227" width="7.42578125" style="111" bestFit="1" customWidth="1"/>
    <col min="13228" max="13228" width="7.7109375" style="111" bestFit="1" customWidth="1"/>
    <col min="13229" max="13229" width="15" style="111" bestFit="1" customWidth="1"/>
    <col min="13230" max="13230" width="7.42578125" style="111" bestFit="1" customWidth="1"/>
    <col min="13231" max="13231" width="7.7109375" style="111" bestFit="1" customWidth="1"/>
    <col min="13232" max="13232" width="9.42578125" style="111" bestFit="1" customWidth="1"/>
    <col min="13233" max="13233" width="8" style="111" bestFit="1" customWidth="1"/>
    <col min="13234" max="13234" width="7.7109375" style="111" bestFit="1" customWidth="1"/>
    <col min="13235" max="13235" width="10.42578125" style="111" bestFit="1" customWidth="1"/>
    <col min="13236" max="13236" width="8" style="111" bestFit="1" customWidth="1"/>
    <col min="13237" max="13237" width="7.7109375" style="111" bestFit="1" customWidth="1"/>
    <col min="13238" max="13238" width="10.42578125" style="111" bestFit="1" customWidth="1"/>
    <col min="13239" max="13239" width="7.42578125" style="111" bestFit="1" customWidth="1"/>
    <col min="13240" max="13240" width="7.7109375" style="111" bestFit="1" customWidth="1"/>
    <col min="13241" max="13241" width="10.42578125" style="111" bestFit="1" customWidth="1"/>
    <col min="13242" max="13242" width="8" style="111" bestFit="1" customWidth="1"/>
    <col min="13243" max="13243" width="7.7109375" style="111" bestFit="1" customWidth="1"/>
    <col min="13244" max="13244" width="10.42578125" style="111" bestFit="1" customWidth="1"/>
    <col min="13245" max="13245" width="7.42578125" style="111" bestFit="1" customWidth="1"/>
    <col min="13246" max="13246" width="7.7109375" style="111" bestFit="1" customWidth="1"/>
    <col min="13247" max="13247" width="10.42578125" style="111" bestFit="1" customWidth="1"/>
    <col min="13248" max="13248" width="7.42578125" style="111" bestFit="1" customWidth="1"/>
    <col min="13249" max="13249" width="7.7109375" style="111" bestFit="1" customWidth="1"/>
    <col min="13250" max="13250" width="10.42578125" style="111" bestFit="1" customWidth="1"/>
    <col min="13251" max="13251" width="5.140625" style="111" customWidth="1"/>
    <col min="13252" max="13474" width="8.7109375" style="111"/>
    <col min="13475" max="13475" width="3.42578125" style="111" customWidth="1"/>
    <col min="13476" max="13476" width="7" style="111" customWidth="1"/>
    <col min="13477" max="13477" width="25.42578125" style="111" customWidth="1"/>
    <col min="13478" max="13478" width="12" style="111" customWidth="1"/>
    <col min="13479" max="13479" width="12.7109375" style="111" bestFit="1" customWidth="1"/>
    <col min="13480" max="13480" width="7.42578125" style="111" bestFit="1" customWidth="1"/>
    <col min="13481" max="13481" width="7.7109375" style="111" bestFit="1" customWidth="1"/>
    <col min="13482" max="13482" width="15" style="111" customWidth="1"/>
    <col min="13483" max="13483" width="7.42578125" style="111" bestFit="1" customWidth="1"/>
    <col min="13484" max="13484" width="7.7109375" style="111" bestFit="1" customWidth="1"/>
    <col min="13485" max="13485" width="15" style="111" bestFit="1" customWidth="1"/>
    <col min="13486" max="13486" width="7.42578125" style="111" bestFit="1" customWidth="1"/>
    <col min="13487" max="13487" width="7.7109375" style="111" bestFit="1" customWidth="1"/>
    <col min="13488" max="13488" width="9.42578125" style="111" bestFit="1" customWidth="1"/>
    <col min="13489" max="13489" width="8" style="111" bestFit="1" customWidth="1"/>
    <col min="13490" max="13490" width="7.7109375" style="111" bestFit="1" customWidth="1"/>
    <col min="13491" max="13491" width="10.42578125" style="111" bestFit="1" customWidth="1"/>
    <col min="13492" max="13492" width="8" style="111" bestFit="1" customWidth="1"/>
    <col min="13493" max="13493" width="7.7109375" style="111" bestFit="1" customWidth="1"/>
    <col min="13494" max="13494" width="10.42578125" style="111" bestFit="1" customWidth="1"/>
    <col min="13495" max="13495" width="7.42578125" style="111" bestFit="1" customWidth="1"/>
    <col min="13496" max="13496" width="7.7109375" style="111" bestFit="1" customWidth="1"/>
    <col min="13497" max="13497" width="10.42578125" style="111" bestFit="1" customWidth="1"/>
    <col min="13498" max="13498" width="8" style="111" bestFit="1" customWidth="1"/>
    <col min="13499" max="13499" width="7.7109375" style="111" bestFit="1" customWidth="1"/>
    <col min="13500" max="13500" width="10.42578125" style="111" bestFit="1" customWidth="1"/>
    <col min="13501" max="13501" width="7.42578125" style="111" bestFit="1" customWidth="1"/>
    <col min="13502" max="13502" width="7.7109375" style="111" bestFit="1" customWidth="1"/>
    <col min="13503" max="13503" width="10.42578125" style="111" bestFit="1" customWidth="1"/>
    <col min="13504" max="13504" width="7.42578125" style="111" bestFit="1" customWidth="1"/>
    <col min="13505" max="13505" width="7.7109375" style="111" bestFit="1" customWidth="1"/>
    <col min="13506" max="13506" width="10.42578125" style="111" bestFit="1" customWidth="1"/>
    <col min="13507" max="13507" width="5.140625" style="111" customWidth="1"/>
    <col min="13508" max="13730" width="8.7109375" style="111"/>
    <col min="13731" max="13731" width="3.42578125" style="111" customWidth="1"/>
    <col min="13732" max="13732" width="7" style="111" customWidth="1"/>
    <col min="13733" max="13733" width="25.42578125" style="111" customWidth="1"/>
    <col min="13734" max="13734" width="12" style="111" customWidth="1"/>
    <col min="13735" max="13735" width="12.7109375" style="111" bestFit="1" customWidth="1"/>
    <col min="13736" max="13736" width="7.42578125" style="111" bestFit="1" customWidth="1"/>
    <col min="13737" max="13737" width="7.7109375" style="111" bestFit="1" customWidth="1"/>
    <col min="13738" max="13738" width="15" style="111" customWidth="1"/>
    <col min="13739" max="13739" width="7.42578125" style="111" bestFit="1" customWidth="1"/>
    <col min="13740" max="13740" width="7.7109375" style="111" bestFit="1" customWidth="1"/>
    <col min="13741" max="13741" width="15" style="111" bestFit="1" customWidth="1"/>
    <col min="13742" max="13742" width="7.42578125" style="111" bestFit="1" customWidth="1"/>
    <col min="13743" max="13743" width="7.7109375" style="111" bestFit="1" customWidth="1"/>
    <col min="13744" max="13744" width="9.42578125" style="111" bestFit="1" customWidth="1"/>
    <col min="13745" max="13745" width="8" style="111" bestFit="1" customWidth="1"/>
    <col min="13746" max="13746" width="7.7109375" style="111" bestFit="1" customWidth="1"/>
    <col min="13747" max="13747" width="10.42578125" style="111" bestFit="1" customWidth="1"/>
    <col min="13748" max="13748" width="8" style="111" bestFit="1" customWidth="1"/>
    <col min="13749" max="13749" width="7.7109375" style="111" bestFit="1" customWidth="1"/>
    <col min="13750" max="13750" width="10.42578125" style="111" bestFit="1" customWidth="1"/>
    <col min="13751" max="13751" width="7.42578125" style="111" bestFit="1" customWidth="1"/>
    <col min="13752" max="13752" width="7.7109375" style="111" bestFit="1" customWidth="1"/>
    <col min="13753" max="13753" width="10.42578125" style="111" bestFit="1" customWidth="1"/>
    <col min="13754" max="13754" width="8" style="111" bestFit="1" customWidth="1"/>
    <col min="13755" max="13755" width="7.7109375" style="111" bestFit="1" customWidth="1"/>
    <col min="13756" max="13756" width="10.42578125" style="111" bestFit="1" customWidth="1"/>
    <col min="13757" max="13757" width="7.42578125" style="111" bestFit="1" customWidth="1"/>
    <col min="13758" max="13758" width="7.7109375" style="111" bestFit="1" customWidth="1"/>
    <col min="13759" max="13759" width="10.42578125" style="111" bestFit="1" customWidth="1"/>
    <col min="13760" max="13760" width="7.42578125" style="111" bestFit="1" customWidth="1"/>
    <col min="13761" max="13761" width="7.7109375" style="111" bestFit="1" customWidth="1"/>
    <col min="13762" max="13762" width="10.42578125" style="111" bestFit="1" customWidth="1"/>
    <col min="13763" max="13763" width="5.140625" style="111" customWidth="1"/>
    <col min="13764" max="13986" width="8.7109375" style="111"/>
    <col min="13987" max="13987" width="3.42578125" style="111" customWidth="1"/>
    <col min="13988" max="13988" width="7" style="111" customWidth="1"/>
    <col min="13989" max="13989" width="25.42578125" style="111" customWidth="1"/>
    <col min="13990" max="13990" width="12" style="111" customWidth="1"/>
    <col min="13991" max="13991" width="12.7109375" style="111" bestFit="1" customWidth="1"/>
    <col min="13992" max="13992" width="7.42578125" style="111" bestFit="1" customWidth="1"/>
    <col min="13993" max="13993" width="7.7109375" style="111" bestFit="1" customWidth="1"/>
    <col min="13994" max="13994" width="15" style="111" customWidth="1"/>
    <col min="13995" max="13995" width="7.42578125" style="111" bestFit="1" customWidth="1"/>
    <col min="13996" max="13996" width="7.7109375" style="111" bestFit="1" customWidth="1"/>
    <col min="13997" max="13997" width="15" style="111" bestFit="1" customWidth="1"/>
    <col min="13998" max="13998" width="7.42578125" style="111" bestFit="1" customWidth="1"/>
    <col min="13999" max="13999" width="7.7109375" style="111" bestFit="1" customWidth="1"/>
    <col min="14000" max="14000" width="9.42578125" style="111" bestFit="1" customWidth="1"/>
    <col min="14001" max="14001" width="8" style="111" bestFit="1" customWidth="1"/>
    <col min="14002" max="14002" width="7.7109375" style="111" bestFit="1" customWidth="1"/>
    <col min="14003" max="14003" width="10.42578125" style="111" bestFit="1" customWidth="1"/>
    <col min="14004" max="14004" width="8" style="111" bestFit="1" customWidth="1"/>
    <col min="14005" max="14005" width="7.7109375" style="111" bestFit="1" customWidth="1"/>
    <col min="14006" max="14006" width="10.42578125" style="111" bestFit="1" customWidth="1"/>
    <col min="14007" max="14007" width="7.42578125" style="111" bestFit="1" customWidth="1"/>
    <col min="14008" max="14008" width="7.7109375" style="111" bestFit="1" customWidth="1"/>
    <col min="14009" max="14009" width="10.42578125" style="111" bestFit="1" customWidth="1"/>
    <col min="14010" max="14010" width="8" style="111" bestFit="1" customWidth="1"/>
    <col min="14011" max="14011" width="7.7109375" style="111" bestFit="1" customWidth="1"/>
    <col min="14012" max="14012" width="10.42578125" style="111" bestFit="1" customWidth="1"/>
    <col min="14013" max="14013" width="7.42578125" style="111" bestFit="1" customWidth="1"/>
    <col min="14014" max="14014" width="7.7109375" style="111" bestFit="1" customWidth="1"/>
    <col min="14015" max="14015" width="10.42578125" style="111" bestFit="1" customWidth="1"/>
    <col min="14016" max="14016" width="7.42578125" style="111" bestFit="1" customWidth="1"/>
    <col min="14017" max="14017" width="7.7109375" style="111" bestFit="1" customWidth="1"/>
    <col min="14018" max="14018" width="10.42578125" style="111" bestFit="1" customWidth="1"/>
    <col min="14019" max="14019" width="5.140625" style="111" customWidth="1"/>
    <col min="14020" max="14242" width="8.7109375" style="111"/>
    <col min="14243" max="14243" width="3.42578125" style="111" customWidth="1"/>
    <col min="14244" max="14244" width="7" style="111" customWidth="1"/>
    <col min="14245" max="14245" width="25.42578125" style="111" customWidth="1"/>
    <col min="14246" max="14246" width="12" style="111" customWidth="1"/>
    <col min="14247" max="14247" width="12.7109375" style="111" bestFit="1" customWidth="1"/>
    <col min="14248" max="14248" width="7.42578125" style="111" bestFit="1" customWidth="1"/>
    <col min="14249" max="14249" width="7.7109375" style="111" bestFit="1" customWidth="1"/>
    <col min="14250" max="14250" width="15" style="111" customWidth="1"/>
    <col min="14251" max="14251" width="7.42578125" style="111" bestFit="1" customWidth="1"/>
    <col min="14252" max="14252" width="7.7109375" style="111" bestFit="1" customWidth="1"/>
    <col min="14253" max="14253" width="15" style="111" bestFit="1" customWidth="1"/>
    <col min="14254" max="14254" width="7.42578125" style="111" bestFit="1" customWidth="1"/>
    <col min="14255" max="14255" width="7.7109375" style="111" bestFit="1" customWidth="1"/>
    <col min="14256" max="14256" width="9.42578125" style="111" bestFit="1" customWidth="1"/>
    <col min="14257" max="14257" width="8" style="111" bestFit="1" customWidth="1"/>
    <col min="14258" max="14258" width="7.7109375" style="111" bestFit="1" customWidth="1"/>
    <col min="14259" max="14259" width="10.42578125" style="111" bestFit="1" customWidth="1"/>
    <col min="14260" max="14260" width="8" style="111" bestFit="1" customWidth="1"/>
    <col min="14261" max="14261" width="7.7109375" style="111" bestFit="1" customWidth="1"/>
    <col min="14262" max="14262" width="10.42578125" style="111" bestFit="1" customWidth="1"/>
    <col min="14263" max="14263" width="7.42578125" style="111" bestFit="1" customWidth="1"/>
    <col min="14264" max="14264" width="7.7109375" style="111" bestFit="1" customWidth="1"/>
    <col min="14265" max="14265" width="10.42578125" style="111" bestFit="1" customWidth="1"/>
    <col min="14266" max="14266" width="8" style="111" bestFit="1" customWidth="1"/>
    <col min="14267" max="14267" width="7.7109375" style="111" bestFit="1" customWidth="1"/>
    <col min="14268" max="14268" width="10.42578125" style="111" bestFit="1" customWidth="1"/>
    <col min="14269" max="14269" width="7.42578125" style="111" bestFit="1" customWidth="1"/>
    <col min="14270" max="14270" width="7.7109375" style="111" bestFit="1" customWidth="1"/>
    <col min="14271" max="14271" width="10.42578125" style="111" bestFit="1" customWidth="1"/>
    <col min="14272" max="14272" width="7.42578125" style="111" bestFit="1" customWidth="1"/>
    <col min="14273" max="14273" width="7.7109375" style="111" bestFit="1" customWidth="1"/>
    <col min="14274" max="14274" width="10.42578125" style="111" bestFit="1" customWidth="1"/>
    <col min="14275" max="14275" width="5.140625" style="111" customWidth="1"/>
    <col min="14276" max="14498" width="8.7109375" style="111"/>
    <col min="14499" max="14499" width="3.42578125" style="111" customWidth="1"/>
    <col min="14500" max="14500" width="7" style="111" customWidth="1"/>
    <col min="14501" max="14501" width="25.42578125" style="111" customWidth="1"/>
    <col min="14502" max="14502" width="12" style="111" customWidth="1"/>
    <col min="14503" max="14503" width="12.7109375" style="111" bestFit="1" customWidth="1"/>
    <col min="14504" max="14504" width="7.42578125" style="111" bestFit="1" customWidth="1"/>
    <col min="14505" max="14505" width="7.7109375" style="111" bestFit="1" customWidth="1"/>
    <col min="14506" max="14506" width="15" style="111" customWidth="1"/>
    <col min="14507" max="14507" width="7.42578125" style="111" bestFit="1" customWidth="1"/>
    <col min="14508" max="14508" width="7.7109375" style="111" bestFit="1" customWidth="1"/>
    <col min="14509" max="14509" width="15" style="111" bestFit="1" customWidth="1"/>
    <col min="14510" max="14510" width="7.42578125" style="111" bestFit="1" customWidth="1"/>
    <col min="14511" max="14511" width="7.7109375" style="111" bestFit="1" customWidth="1"/>
    <col min="14512" max="14512" width="9.42578125" style="111" bestFit="1" customWidth="1"/>
    <col min="14513" max="14513" width="8" style="111" bestFit="1" customWidth="1"/>
    <col min="14514" max="14514" width="7.7109375" style="111" bestFit="1" customWidth="1"/>
    <col min="14515" max="14515" width="10.42578125" style="111" bestFit="1" customWidth="1"/>
    <col min="14516" max="14516" width="8" style="111" bestFit="1" customWidth="1"/>
    <col min="14517" max="14517" width="7.7109375" style="111" bestFit="1" customWidth="1"/>
    <col min="14518" max="14518" width="10.42578125" style="111" bestFit="1" customWidth="1"/>
    <col min="14519" max="14519" width="7.42578125" style="111" bestFit="1" customWidth="1"/>
    <col min="14520" max="14520" width="7.7109375" style="111" bestFit="1" customWidth="1"/>
    <col min="14521" max="14521" width="10.42578125" style="111" bestFit="1" customWidth="1"/>
    <col min="14522" max="14522" width="8" style="111" bestFit="1" customWidth="1"/>
    <col min="14523" max="14523" width="7.7109375" style="111" bestFit="1" customWidth="1"/>
    <col min="14524" max="14524" width="10.42578125" style="111" bestFit="1" customWidth="1"/>
    <col min="14525" max="14525" width="7.42578125" style="111" bestFit="1" customWidth="1"/>
    <col min="14526" max="14526" width="7.7109375" style="111" bestFit="1" customWidth="1"/>
    <col min="14527" max="14527" width="10.42578125" style="111" bestFit="1" customWidth="1"/>
    <col min="14528" max="14528" width="7.42578125" style="111" bestFit="1" customWidth="1"/>
    <col min="14529" max="14529" width="7.7109375" style="111" bestFit="1" customWidth="1"/>
    <col min="14530" max="14530" width="10.42578125" style="111" bestFit="1" customWidth="1"/>
    <col min="14531" max="14531" width="5.140625" style="111" customWidth="1"/>
    <col min="14532" max="14754" width="8.7109375" style="111"/>
    <col min="14755" max="14755" width="3.42578125" style="111" customWidth="1"/>
    <col min="14756" max="14756" width="7" style="111" customWidth="1"/>
    <col min="14757" max="14757" width="25.42578125" style="111" customWidth="1"/>
    <col min="14758" max="14758" width="12" style="111" customWidth="1"/>
    <col min="14759" max="14759" width="12.7109375" style="111" bestFit="1" customWidth="1"/>
    <col min="14760" max="14760" width="7.42578125" style="111" bestFit="1" customWidth="1"/>
    <col min="14761" max="14761" width="7.7109375" style="111" bestFit="1" customWidth="1"/>
    <col min="14762" max="14762" width="15" style="111" customWidth="1"/>
    <col min="14763" max="14763" width="7.42578125" style="111" bestFit="1" customWidth="1"/>
    <col min="14764" max="14764" width="7.7109375" style="111" bestFit="1" customWidth="1"/>
    <col min="14765" max="14765" width="15" style="111" bestFit="1" customWidth="1"/>
    <col min="14766" max="14766" width="7.42578125" style="111" bestFit="1" customWidth="1"/>
    <col min="14767" max="14767" width="7.7109375" style="111" bestFit="1" customWidth="1"/>
    <col min="14768" max="14768" width="9.42578125" style="111" bestFit="1" customWidth="1"/>
    <col min="14769" max="14769" width="8" style="111" bestFit="1" customWidth="1"/>
    <col min="14770" max="14770" width="7.7109375" style="111" bestFit="1" customWidth="1"/>
    <col min="14771" max="14771" width="10.42578125" style="111" bestFit="1" customWidth="1"/>
    <col min="14772" max="14772" width="8" style="111" bestFit="1" customWidth="1"/>
    <col min="14773" max="14773" width="7.7109375" style="111" bestFit="1" customWidth="1"/>
    <col min="14774" max="14774" width="10.42578125" style="111" bestFit="1" customWidth="1"/>
    <col min="14775" max="14775" width="7.42578125" style="111" bestFit="1" customWidth="1"/>
    <col min="14776" max="14776" width="7.7109375" style="111" bestFit="1" customWidth="1"/>
    <col min="14777" max="14777" width="10.42578125" style="111" bestFit="1" customWidth="1"/>
    <col min="14778" max="14778" width="8" style="111" bestFit="1" customWidth="1"/>
    <col min="14779" max="14779" width="7.7109375" style="111" bestFit="1" customWidth="1"/>
    <col min="14780" max="14780" width="10.42578125" style="111" bestFit="1" customWidth="1"/>
    <col min="14781" max="14781" width="7.42578125" style="111" bestFit="1" customWidth="1"/>
    <col min="14782" max="14782" width="7.7109375" style="111" bestFit="1" customWidth="1"/>
    <col min="14783" max="14783" width="10.42578125" style="111" bestFit="1" customWidth="1"/>
    <col min="14784" max="14784" width="7.42578125" style="111" bestFit="1" customWidth="1"/>
    <col min="14785" max="14785" width="7.7109375" style="111" bestFit="1" customWidth="1"/>
    <col min="14786" max="14786" width="10.42578125" style="111" bestFit="1" customWidth="1"/>
    <col min="14787" max="14787" width="5.140625" style="111" customWidth="1"/>
    <col min="14788" max="15010" width="8.7109375" style="111"/>
    <col min="15011" max="15011" width="3.42578125" style="111" customWidth="1"/>
    <col min="15012" max="15012" width="7" style="111" customWidth="1"/>
    <col min="15013" max="15013" width="25.42578125" style="111" customWidth="1"/>
    <col min="15014" max="15014" width="12" style="111" customWidth="1"/>
    <col min="15015" max="15015" width="12.7109375" style="111" bestFit="1" customWidth="1"/>
    <col min="15016" max="15016" width="7.42578125" style="111" bestFit="1" customWidth="1"/>
    <col min="15017" max="15017" width="7.7109375" style="111" bestFit="1" customWidth="1"/>
    <col min="15018" max="15018" width="15" style="111" customWidth="1"/>
    <col min="15019" max="15019" width="7.42578125" style="111" bestFit="1" customWidth="1"/>
    <col min="15020" max="15020" width="7.7109375" style="111" bestFit="1" customWidth="1"/>
    <col min="15021" max="15021" width="15" style="111" bestFit="1" customWidth="1"/>
    <col min="15022" max="15022" width="7.42578125" style="111" bestFit="1" customWidth="1"/>
    <col min="15023" max="15023" width="7.7109375" style="111" bestFit="1" customWidth="1"/>
    <col min="15024" max="15024" width="9.42578125" style="111" bestFit="1" customWidth="1"/>
    <col min="15025" max="15025" width="8" style="111" bestFit="1" customWidth="1"/>
    <col min="15026" max="15026" width="7.7109375" style="111" bestFit="1" customWidth="1"/>
    <col min="15027" max="15027" width="10.42578125" style="111" bestFit="1" customWidth="1"/>
    <col min="15028" max="15028" width="8" style="111" bestFit="1" customWidth="1"/>
    <col min="15029" max="15029" width="7.7109375" style="111" bestFit="1" customWidth="1"/>
    <col min="15030" max="15030" width="10.42578125" style="111" bestFit="1" customWidth="1"/>
    <col min="15031" max="15031" width="7.42578125" style="111" bestFit="1" customWidth="1"/>
    <col min="15032" max="15032" width="7.7109375" style="111" bestFit="1" customWidth="1"/>
    <col min="15033" max="15033" width="10.42578125" style="111" bestFit="1" customWidth="1"/>
    <col min="15034" max="15034" width="8" style="111" bestFit="1" customWidth="1"/>
    <col min="15035" max="15035" width="7.7109375" style="111" bestFit="1" customWidth="1"/>
    <col min="15036" max="15036" width="10.42578125" style="111" bestFit="1" customWidth="1"/>
    <col min="15037" max="15037" width="7.42578125" style="111" bestFit="1" customWidth="1"/>
    <col min="15038" max="15038" width="7.7109375" style="111" bestFit="1" customWidth="1"/>
    <col min="15039" max="15039" width="10.42578125" style="111" bestFit="1" customWidth="1"/>
    <col min="15040" max="15040" width="7.42578125" style="111" bestFit="1" customWidth="1"/>
    <col min="15041" max="15041" width="7.7109375" style="111" bestFit="1" customWidth="1"/>
    <col min="15042" max="15042" width="10.42578125" style="111" bestFit="1" customWidth="1"/>
    <col min="15043" max="15043" width="5.140625" style="111" customWidth="1"/>
    <col min="15044" max="15266" width="8.7109375" style="111"/>
    <col min="15267" max="15267" width="3.42578125" style="111" customWidth="1"/>
    <col min="15268" max="15268" width="7" style="111" customWidth="1"/>
    <col min="15269" max="15269" width="25.42578125" style="111" customWidth="1"/>
    <col min="15270" max="15270" width="12" style="111" customWidth="1"/>
    <col min="15271" max="15271" width="12.7109375" style="111" bestFit="1" customWidth="1"/>
    <col min="15272" max="15272" width="7.42578125" style="111" bestFit="1" customWidth="1"/>
    <col min="15273" max="15273" width="7.7109375" style="111" bestFit="1" customWidth="1"/>
    <col min="15274" max="15274" width="15" style="111" customWidth="1"/>
    <col min="15275" max="15275" width="7.42578125" style="111" bestFit="1" customWidth="1"/>
    <col min="15276" max="15276" width="7.7109375" style="111" bestFit="1" customWidth="1"/>
    <col min="15277" max="15277" width="15" style="111" bestFit="1" customWidth="1"/>
    <col min="15278" max="15278" width="7.42578125" style="111" bestFit="1" customWidth="1"/>
    <col min="15279" max="15279" width="7.7109375" style="111" bestFit="1" customWidth="1"/>
    <col min="15280" max="15280" width="9.42578125" style="111" bestFit="1" customWidth="1"/>
    <col min="15281" max="15281" width="8" style="111" bestFit="1" customWidth="1"/>
    <col min="15282" max="15282" width="7.7109375" style="111" bestFit="1" customWidth="1"/>
    <col min="15283" max="15283" width="10.42578125" style="111" bestFit="1" customWidth="1"/>
    <col min="15284" max="15284" width="8" style="111" bestFit="1" customWidth="1"/>
    <col min="15285" max="15285" width="7.7109375" style="111" bestFit="1" customWidth="1"/>
    <col min="15286" max="15286" width="10.42578125" style="111" bestFit="1" customWidth="1"/>
    <col min="15287" max="15287" width="7.42578125" style="111" bestFit="1" customWidth="1"/>
    <col min="15288" max="15288" width="7.7109375" style="111" bestFit="1" customWidth="1"/>
    <col min="15289" max="15289" width="10.42578125" style="111" bestFit="1" customWidth="1"/>
    <col min="15290" max="15290" width="8" style="111" bestFit="1" customWidth="1"/>
    <col min="15291" max="15291" width="7.7109375" style="111" bestFit="1" customWidth="1"/>
    <col min="15292" max="15292" width="10.42578125" style="111" bestFit="1" customWidth="1"/>
    <col min="15293" max="15293" width="7.42578125" style="111" bestFit="1" customWidth="1"/>
    <col min="15294" max="15294" width="7.7109375" style="111" bestFit="1" customWidth="1"/>
    <col min="15295" max="15295" width="10.42578125" style="111" bestFit="1" customWidth="1"/>
    <col min="15296" max="15296" width="7.42578125" style="111" bestFit="1" customWidth="1"/>
    <col min="15297" max="15297" width="7.7109375" style="111" bestFit="1" customWidth="1"/>
    <col min="15298" max="15298" width="10.42578125" style="111" bestFit="1" customWidth="1"/>
    <col min="15299" max="15299" width="5.140625" style="111" customWidth="1"/>
    <col min="15300" max="15522" width="8.7109375" style="111"/>
    <col min="15523" max="15523" width="3.42578125" style="111" customWidth="1"/>
    <col min="15524" max="15524" width="7" style="111" customWidth="1"/>
    <col min="15525" max="15525" width="25.42578125" style="111" customWidth="1"/>
    <col min="15526" max="15526" width="12" style="111" customWidth="1"/>
    <col min="15527" max="15527" width="12.7109375" style="111" bestFit="1" customWidth="1"/>
    <col min="15528" max="15528" width="7.42578125" style="111" bestFit="1" customWidth="1"/>
    <col min="15529" max="15529" width="7.7109375" style="111" bestFit="1" customWidth="1"/>
    <col min="15530" max="15530" width="15" style="111" customWidth="1"/>
    <col min="15531" max="15531" width="7.42578125" style="111" bestFit="1" customWidth="1"/>
    <col min="15532" max="15532" width="7.7109375" style="111" bestFit="1" customWidth="1"/>
    <col min="15533" max="15533" width="15" style="111" bestFit="1" customWidth="1"/>
    <col min="15534" max="15534" width="7.42578125" style="111" bestFit="1" customWidth="1"/>
    <col min="15535" max="15535" width="7.7109375" style="111" bestFit="1" customWidth="1"/>
    <col min="15536" max="15536" width="9.42578125" style="111" bestFit="1" customWidth="1"/>
    <col min="15537" max="15537" width="8" style="111" bestFit="1" customWidth="1"/>
    <col min="15538" max="15538" width="7.7109375" style="111" bestFit="1" customWidth="1"/>
    <col min="15539" max="15539" width="10.42578125" style="111" bestFit="1" customWidth="1"/>
    <col min="15540" max="15540" width="8" style="111" bestFit="1" customWidth="1"/>
    <col min="15541" max="15541" width="7.7109375" style="111" bestFit="1" customWidth="1"/>
    <col min="15542" max="15542" width="10.42578125" style="111" bestFit="1" customWidth="1"/>
    <col min="15543" max="15543" width="7.42578125" style="111" bestFit="1" customWidth="1"/>
    <col min="15544" max="15544" width="7.7109375" style="111" bestFit="1" customWidth="1"/>
    <col min="15545" max="15545" width="10.42578125" style="111" bestFit="1" customWidth="1"/>
    <col min="15546" max="15546" width="8" style="111" bestFit="1" customWidth="1"/>
    <col min="15547" max="15547" width="7.7109375" style="111" bestFit="1" customWidth="1"/>
    <col min="15548" max="15548" width="10.42578125" style="111" bestFit="1" customWidth="1"/>
    <col min="15549" max="15549" width="7.42578125" style="111" bestFit="1" customWidth="1"/>
    <col min="15550" max="15550" width="7.7109375" style="111" bestFit="1" customWidth="1"/>
    <col min="15551" max="15551" width="10.42578125" style="111" bestFit="1" customWidth="1"/>
    <col min="15552" max="15552" width="7.42578125" style="111" bestFit="1" customWidth="1"/>
    <col min="15553" max="15553" width="7.7109375" style="111" bestFit="1" customWidth="1"/>
    <col min="15554" max="15554" width="10.42578125" style="111" bestFit="1" customWidth="1"/>
    <col min="15555" max="15555" width="5.140625" style="111" customWidth="1"/>
    <col min="15556" max="15778" width="8.7109375" style="111"/>
    <col min="15779" max="15779" width="3.42578125" style="111" customWidth="1"/>
    <col min="15780" max="15780" width="7" style="111" customWidth="1"/>
    <col min="15781" max="15781" width="25.42578125" style="111" customWidth="1"/>
    <col min="15782" max="15782" width="12" style="111" customWidth="1"/>
    <col min="15783" max="15783" width="12.7109375" style="111" bestFit="1" customWidth="1"/>
    <col min="15784" max="15784" width="7.42578125" style="111" bestFit="1" customWidth="1"/>
    <col min="15785" max="15785" width="7.7109375" style="111" bestFit="1" customWidth="1"/>
    <col min="15786" max="15786" width="15" style="111" customWidth="1"/>
    <col min="15787" max="15787" width="7.42578125" style="111" bestFit="1" customWidth="1"/>
    <col min="15788" max="15788" width="7.7109375" style="111" bestFit="1" customWidth="1"/>
    <col min="15789" max="15789" width="15" style="111" bestFit="1" customWidth="1"/>
    <col min="15790" max="15790" width="7.42578125" style="111" bestFit="1" customWidth="1"/>
    <col min="15791" max="15791" width="7.7109375" style="111" bestFit="1" customWidth="1"/>
    <col min="15792" max="15792" width="9.42578125" style="111" bestFit="1" customWidth="1"/>
    <col min="15793" max="15793" width="8" style="111" bestFit="1" customWidth="1"/>
    <col min="15794" max="15794" width="7.7109375" style="111" bestFit="1" customWidth="1"/>
    <col min="15795" max="15795" width="10.42578125" style="111" bestFit="1" customWidth="1"/>
    <col min="15796" max="15796" width="8" style="111" bestFit="1" customWidth="1"/>
    <col min="15797" max="15797" width="7.7109375" style="111" bestFit="1" customWidth="1"/>
    <col min="15798" max="15798" width="10.42578125" style="111" bestFit="1" customWidth="1"/>
    <col min="15799" max="15799" width="7.42578125" style="111" bestFit="1" customWidth="1"/>
    <col min="15800" max="15800" width="7.7109375" style="111" bestFit="1" customWidth="1"/>
    <col min="15801" max="15801" width="10.42578125" style="111" bestFit="1" customWidth="1"/>
    <col min="15802" max="15802" width="8" style="111" bestFit="1" customWidth="1"/>
    <col min="15803" max="15803" width="7.7109375" style="111" bestFit="1" customWidth="1"/>
    <col min="15804" max="15804" width="10.42578125" style="111" bestFit="1" customWidth="1"/>
    <col min="15805" max="15805" width="7.42578125" style="111" bestFit="1" customWidth="1"/>
    <col min="15806" max="15806" width="7.7109375" style="111" bestFit="1" customWidth="1"/>
    <col min="15807" max="15807" width="10.42578125" style="111" bestFit="1" customWidth="1"/>
    <col min="15808" max="15808" width="7.42578125" style="111" bestFit="1" customWidth="1"/>
    <col min="15809" max="15809" width="7.7109375" style="111" bestFit="1" customWidth="1"/>
    <col min="15810" max="15810" width="10.42578125" style="111" bestFit="1" customWidth="1"/>
    <col min="15811" max="15811" width="5.140625" style="111" customWidth="1"/>
    <col min="15812" max="16034" width="8.7109375" style="111"/>
    <col min="16035" max="16035" width="3.42578125" style="111" customWidth="1"/>
    <col min="16036" max="16036" width="7" style="111" customWidth="1"/>
    <col min="16037" max="16037" width="25.42578125" style="111" customWidth="1"/>
    <col min="16038" max="16038" width="12" style="111" customWidth="1"/>
    <col min="16039" max="16039" width="12.7109375" style="111" bestFit="1" customWidth="1"/>
    <col min="16040" max="16040" width="7.42578125" style="111" bestFit="1" customWidth="1"/>
    <col min="16041" max="16041" width="7.7109375" style="111" bestFit="1" customWidth="1"/>
    <col min="16042" max="16042" width="15" style="111" customWidth="1"/>
    <col min="16043" max="16043" width="7.42578125" style="111" bestFit="1" customWidth="1"/>
    <col min="16044" max="16044" width="7.7109375" style="111" bestFit="1" customWidth="1"/>
    <col min="16045" max="16045" width="15" style="111" bestFit="1" customWidth="1"/>
    <col min="16046" max="16046" width="7.42578125" style="111" bestFit="1" customWidth="1"/>
    <col min="16047" max="16047" width="7.7109375" style="111" bestFit="1" customWidth="1"/>
    <col min="16048" max="16048" width="9.42578125" style="111" bestFit="1" customWidth="1"/>
    <col min="16049" max="16049" width="8" style="111" bestFit="1" customWidth="1"/>
    <col min="16050" max="16050" width="7.7109375" style="111" bestFit="1" customWidth="1"/>
    <col min="16051" max="16051" width="10.42578125" style="111" bestFit="1" customWidth="1"/>
    <col min="16052" max="16052" width="8" style="111" bestFit="1" customWidth="1"/>
    <col min="16053" max="16053" width="7.7109375" style="111" bestFit="1" customWidth="1"/>
    <col min="16054" max="16054" width="10.42578125" style="111" bestFit="1" customWidth="1"/>
    <col min="16055" max="16055" width="7.42578125" style="111" bestFit="1" customWidth="1"/>
    <col min="16056" max="16056" width="7.7109375" style="111" bestFit="1" customWidth="1"/>
    <col min="16057" max="16057" width="10.42578125" style="111" bestFit="1" customWidth="1"/>
    <col min="16058" max="16058" width="8" style="111" bestFit="1" customWidth="1"/>
    <col min="16059" max="16059" width="7.7109375" style="111" bestFit="1" customWidth="1"/>
    <col min="16060" max="16060" width="10.42578125" style="111" bestFit="1" customWidth="1"/>
    <col min="16061" max="16061" width="7.42578125" style="111" bestFit="1" customWidth="1"/>
    <col min="16062" max="16062" width="7.7109375" style="111" bestFit="1" customWidth="1"/>
    <col min="16063" max="16063" width="10.42578125" style="111" bestFit="1" customWidth="1"/>
    <col min="16064" max="16064" width="7.42578125" style="111" bestFit="1" customWidth="1"/>
    <col min="16065" max="16065" width="7.7109375" style="111" bestFit="1" customWidth="1"/>
    <col min="16066" max="16066" width="10.42578125" style="111" bestFit="1" customWidth="1"/>
    <col min="16067" max="16067" width="5.140625" style="111" customWidth="1"/>
    <col min="16068" max="16270" width="8.7109375" style="111"/>
    <col min="16271" max="16277" width="9.140625" style="111" customWidth="1"/>
    <col min="16278" max="16384" width="8.7109375" style="111"/>
  </cols>
  <sheetData>
    <row r="1" spans="2:31" s="109" customFormat="1" ht="21.95" customHeight="1" thickBot="1">
      <c r="B1" s="702">
        <f>QQP!G44</f>
        <v>0</v>
      </c>
      <c r="C1" s="703"/>
      <c r="D1" s="296" t="s">
        <v>225</v>
      </c>
      <c r="E1" s="297">
        <v>4</v>
      </c>
      <c r="F1" s="106" t="str">
        <f>QQP!B29</f>
        <v>2.4.1</v>
      </c>
      <c r="G1" s="748">
        <f>H182</f>
        <v>0</v>
      </c>
      <c r="H1" s="748"/>
      <c r="I1" s="106" t="str">
        <f>QQP!B30</f>
        <v>2.4.2</v>
      </c>
      <c r="J1" s="748">
        <f>K182</f>
        <v>0</v>
      </c>
      <c r="K1" s="748"/>
      <c r="L1" s="106" t="str">
        <f>QQP!B31</f>
        <v>2.4.3</v>
      </c>
      <c r="M1" s="748">
        <f>N182</f>
        <v>0</v>
      </c>
      <c r="N1" s="748"/>
      <c r="O1" s="106" t="str">
        <f>QQP!B32</f>
        <v>2.4.4</v>
      </c>
      <c r="P1" s="748">
        <f>Q182</f>
        <v>0</v>
      </c>
      <c r="Q1" s="748"/>
      <c r="R1" s="106" t="str">
        <f>QQP!B34</f>
        <v>2.5.1</v>
      </c>
      <c r="S1" s="748">
        <f>T182</f>
        <v>0</v>
      </c>
      <c r="T1" s="748"/>
      <c r="U1" s="106" t="str">
        <f>QQP!B35</f>
        <v>2.5.2</v>
      </c>
      <c r="V1" s="748">
        <f>W182</f>
        <v>0</v>
      </c>
      <c r="W1" s="748"/>
      <c r="X1" s="107"/>
      <c r="Y1" s="704"/>
      <c r="Z1" s="704"/>
      <c r="AA1" s="704"/>
      <c r="AB1" s="108"/>
    </row>
    <row r="2" spans="2:31" ht="75.75" customHeight="1" thickBot="1">
      <c r="B2" s="705" t="s">
        <v>122</v>
      </c>
      <c r="C2" s="706"/>
      <c r="D2" s="706"/>
      <c r="E2" s="707"/>
      <c r="F2" s="749" t="str">
        <f>_xlfn.XLOOKUP(F1,QQP!$B$8:$B$43,QQP!$C$8:$C$43)</f>
        <v>XXXXXXXXXXXXXXXXXXXXXXXXXXXXXXXXXXXXXXXXXX</v>
      </c>
      <c r="G2" s="750"/>
      <c r="H2" s="751"/>
      <c r="I2" s="749" t="str">
        <f>_xlfn.XLOOKUP(I1,QQP!$B$8:$B$43,QQP!$C$8:$C$43)</f>
        <v>XXXXXXXXXXXXXXXXXXXXXXXXXXXXXXXXXXXXXXXXXX</v>
      </c>
      <c r="J2" s="750"/>
      <c r="K2" s="751"/>
      <c r="L2" s="749" t="str">
        <f>_xlfn.XLOOKUP(L1,QQP!$B$8:$B$43,QQP!$C$8:$C$43)</f>
        <v>XXXXXXXXXXXXXXXXXXXXXXXXXXXXXXXXXXXXXXXXXX</v>
      </c>
      <c r="M2" s="750"/>
      <c r="N2" s="751"/>
      <c r="O2" s="749" t="str">
        <f>_xlfn.XLOOKUP(O1,QQP!$B$8:$B$43,QQP!$C$8:$C$43)</f>
        <v>XXXXXXXXXXXXXXXXXXXXXXXXXXXXXXXXXXXXXXXXXX</v>
      </c>
      <c r="P2" s="750"/>
      <c r="Q2" s="751"/>
      <c r="R2" s="749" t="str">
        <f>_xlfn.XLOOKUP(R1,QQP!$B$8:$B$43,QQP!$C$8:$C$43)</f>
        <v>XXXXXXXXXXXXXXXXXXXXXXXXXXXXXXXXXXXXXXXXXX</v>
      </c>
      <c r="S2" s="750"/>
      <c r="T2" s="751"/>
      <c r="U2" s="749" t="str">
        <f>_xlfn.XLOOKUP(U1,QQP!$B$8:$B$43,QQP!$C$8:$C$43)</f>
        <v>XXXXXXXXXXXXXXXXXXXXXXXXXXXXXXXXXXXXXXXXXX</v>
      </c>
      <c r="V2" s="750"/>
      <c r="W2" s="751"/>
      <c r="X2" s="110"/>
      <c r="Y2" s="752" t="s">
        <v>200</v>
      </c>
      <c r="Z2" s="753"/>
      <c r="AA2" s="754"/>
    </row>
    <row r="3" spans="2:31" ht="20.25" customHeight="1">
      <c r="B3" s="712"/>
      <c r="C3" s="712"/>
      <c r="D3" s="712"/>
      <c r="E3" s="712"/>
      <c r="F3" s="112"/>
      <c r="G3" s="113" t="str">
        <f>_xlfn.XLOOKUP(F1,QQP!$B$8:$B$43,QQP!$D$8:$D$43)</f>
        <v>xx</v>
      </c>
      <c r="H3" s="114">
        <f>_xlfn.XLOOKUP(F1,QQP!$B$8:$B$43,QQP!$E$8:$E$43)</f>
        <v>1</v>
      </c>
      <c r="I3" s="112"/>
      <c r="J3" s="113" t="str">
        <f>_xlfn.XLOOKUP(I1,QQP!$B$8:$B$43,QQP!$D$8:$D$43)</f>
        <v>xx</v>
      </c>
      <c r="K3" s="114">
        <f>_xlfn.XLOOKUP(I1,QQP!$B$8:$B$43,QQP!$E$8:$E$43)</f>
        <v>1</v>
      </c>
      <c r="L3" s="112"/>
      <c r="M3" s="113" t="str">
        <f>_xlfn.XLOOKUP(L1,QQP!$B$8:$B$43,QQP!$D$8:$D$43)</f>
        <v>xx</v>
      </c>
      <c r="N3" s="114">
        <f>_xlfn.XLOOKUP(L1,QQP!$B$8:$B$43,QQP!$E$8:$E$43)</f>
        <v>1</v>
      </c>
      <c r="O3" s="112"/>
      <c r="P3" s="113" t="str">
        <f>_xlfn.XLOOKUP(O1,QQP!$B$8:$B$43,QQP!$D$8:$D$43)</f>
        <v>xx</v>
      </c>
      <c r="Q3" s="114">
        <f>_xlfn.XLOOKUP(O1,QQP!$B$8:$B$43,QQP!$E$8:$E$43)</f>
        <v>1</v>
      </c>
      <c r="R3" s="112"/>
      <c r="S3" s="113" t="str">
        <f>_xlfn.XLOOKUP(R1,QQP!$B$8:$B$43,QQP!$D$8:$D$43)</f>
        <v>xx</v>
      </c>
      <c r="T3" s="114">
        <f>_xlfn.XLOOKUP(R1,QQP!$B$8:$B$43,QQP!$E$8:$E$43)</f>
        <v>1</v>
      </c>
      <c r="U3" s="112"/>
      <c r="V3" s="113" t="str">
        <f>_xlfn.XLOOKUP(U1,QQP!$B$8:$B$43,QQP!$D$8:$D$43)</f>
        <v>xx</v>
      </c>
      <c r="W3" s="114">
        <f>_xlfn.XLOOKUP(U1,QQP!$B$8:$B$43,QQP!$E$8:$E$43)</f>
        <v>1</v>
      </c>
      <c r="X3" s="115"/>
      <c r="Y3" s="713"/>
      <c r="Z3" s="714"/>
      <c r="AA3" s="116"/>
    </row>
    <row r="4" spans="2:31" ht="15.75" customHeight="1" thickBot="1">
      <c r="B4" s="117"/>
      <c r="C4" s="117"/>
      <c r="D4" s="117"/>
      <c r="E4" s="117"/>
      <c r="F4" s="118"/>
      <c r="G4" s="385"/>
      <c r="H4" s="119"/>
      <c r="I4" s="120"/>
      <c r="J4" s="385"/>
      <c r="K4" s="119"/>
      <c r="L4" s="120"/>
      <c r="M4" s="385"/>
      <c r="N4" s="119"/>
      <c r="O4" s="120"/>
      <c r="P4" s="385"/>
      <c r="Q4" s="119"/>
      <c r="R4" s="120"/>
      <c r="S4" s="385"/>
      <c r="T4" s="119"/>
      <c r="U4" s="120"/>
      <c r="V4" s="385"/>
      <c r="W4" s="119"/>
      <c r="X4" s="115"/>
      <c r="Y4" s="121"/>
      <c r="Z4" s="122"/>
      <c r="AA4" s="116"/>
    </row>
    <row r="5" spans="2:31" ht="21.95" customHeight="1" thickBot="1">
      <c r="B5" s="699" t="s">
        <v>114</v>
      </c>
      <c r="C5" s="700"/>
      <c r="D5" s="700"/>
      <c r="E5" s="701"/>
      <c r="F5" s="120"/>
      <c r="G5" s="120"/>
      <c r="H5" s="120"/>
      <c r="I5" s="120"/>
      <c r="J5" s="120"/>
      <c r="K5" s="120"/>
      <c r="L5" s="120"/>
      <c r="M5" s="120"/>
      <c r="N5" s="120"/>
      <c r="O5" s="120"/>
      <c r="P5" s="120"/>
      <c r="Q5" s="120"/>
      <c r="R5" s="120"/>
      <c r="S5" s="120"/>
      <c r="T5" s="120"/>
      <c r="U5" s="120"/>
      <c r="V5" s="120"/>
      <c r="W5" s="120"/>
      <c r="X5" s="123"/>
      <c r="Y5" s="715"/>
      <c r="Z5" s="715"/>
      <c r="AA5" s="715"/>
    </row>
    <row r="6" spans="2:31" s="127" customFormat="1" ht="21.95" customHeight="1" thickBot="1">
      <c r="B6" s="258" t="s">
        <v>163</v>
      </c>
      <c r="C6" s="259" t="s">
        <v>169</v>
      </c>
      <c r="D6" s="260" t="s">
        <v>30</v>
      </c>
      <c r="E6" s="261" t="s">
        <v>31</v>
      </c>
      <c r="F6" s="258" t="s">
        <v>6</v>
      </c>
      <c r="G6" s="261" t="s">
        <v>32</v>
      </c>
      <c r="H6" s="262" t="s">
        <v>5</v>
      </c>
      <c r="I6" s="258" t="s">
        <v>6</v>
      </c>
      <c r="J6" s="261" t="s">
        <v>32</v>
      </c>
      <c r="K6" s="262" t="s">
        <v>5</v>
      </c>
      <c r="L6" s="258" t="s">
        <v>6</v>
      </c>
      <c r="M6" s="261" t="s">
        <v>32</v>
      </c>
      <c r="N6" s="262" t="s">
        <v>5</v>
      </c>
      <c r="O6" s="258" t="s">
        <v>6</v>
      </c>
      <c r="P6" s="261" t="s">
        <v>32</v>
      </c>
      <c r="Q6" s="262" t="s">
        <v>5</v>
      </c>
      <c r="R6" s="258" t="s">
        <v>6</v>
      </c>
      <c r="S6" s="261" t="s">
        <v>32</v>
      </c>
      <c r="T6" s="262" t="s">
        <v>5</v>
      </c>
      <c r="U6" s="258" t="s">
        <v>6</v>
      </c>
      <c r="V6" s="261" t="s">
        <v>32</v>
      </c>
      <c r="W6" s="262" t="s">
        <v>5</v>
      </c>
      <c r="X6" s="124"/>
      <c r="Y6" s="258" t="s">
        <v>6</v>
      </c>
      <c r="Z6" s="261" t="s">
        <v>32</v>
      </c>
      <c r="AA6" s="262" t="s">
        <v>5</v>
      </c>
      <c r="AB6" s="125"/>
      <c r="AC6" s="126"/>
    </row>
    <row r="7" spans="2:31" s="109" customFormat="1" ht="21.95" customHeight="1" outlineLevel="1">
      <c r="B7" s="128" t="str">
        <f>'CPU  1'!B7</f>
        <v>P01</v>
      </c>
      <c r="C7" s="129" t="str">
        <f>'CPU  1'!C7</f>
        <v>Supervisor</v>
      </c>
      <c r="D7" s="130" t="str">
        <f>'CPU  1'!D7</f>
        <v>hh</v>
      </c>
      <c r="E7" s="131">
        <f>'CPU  1'!E7</f>
        <v>75.068181818181813</v>
      </c>
      <c r="F7" s="132"/>
      <c r="G7" s="133"/>
      <c r="H7" s="134">
        <f>G7*F7*$E7</f>
        <v>0</v>
      </c>
      <c r="I7" s="132"/>
      <c r="J7" s="133"/>
      <c r="K7" s="134">
        <f t="shared" ref="K7:K22" si="0">J7*I7*$E7</f>
        <v>0</v>
      </c>
      <c r="L7" s="132"/>
      <c r="M7" s="133"/>
      <c r="N7" s="134">
        <f t="shared" ref="N7:N22" si="1">M7*L7*$E7</f>
        <v>0</v>
      </c>
      <c r="O7" s="132"/>
      <c r="P7" s="133"/>
      <c r="Q7" s="134">
        <f t="shared" ref="Q7:Q22" si="2">P7*O7*$E7</f>
        <v>0</v>
      </c>
      <c r="R7" s="132"/>
      <c r="S7" s="133"/>
      <c r="T7" s="134">
        <f t="shared" ref="T7:T22" si="3">S7*R7*$E7</f>
        <v>0</v>
      </c>
      <c r="U7" s="132"/>
      <c r="V7" s="133"/>
      <c r="W7" s="134">
        <f t="shared" ref="W7:W22" si="4">V7*U7*$E7</f>
        <v>0</v>
      </c>
      <c r="X7" s="124"/>
      <c r="Y7" s="135"/>
      <c r="Z7" s="136"/>
      <c r="AA7" s="137">
        <f>K7*$K$3+N7*$N$3+Q7*$Q$3+H7*$H$3+T7*$T$3+W7*$W$3</f>
        <v>0</v>
      </c>
      <c r="AB7" s="138" t="e">
        <f t="shared" ref="AB7:AB22" si="5">AA7/$AA$162</f>
        <v>#DIV/0!</v>
      </c>
      <c r="AC7" s="139"/>
    </row>
    <row r="8" spans="2:31" s="109" customFormat="1" ht="21.95" customHeight="1" outlineLevel="1">
      <c r="B8" s="128" t="str">
        <f>'CPU  1'!B8</f>
        <v>P02</v>
      </c>
      <c r="C8" s="140" t="str">
        <f>'CPU  1'!C8</f>
        <v>Encarregado</v>
      </c>
      <c r="D8" s="141" t="str">
        <f>'CPU  1'!D8</f>
        <v>hh</v>
      </c>
      <c r="E8" s="131">
        <f>'CPU  1'!E8</f>
        <v>40.036363636363632</v>
      </c>
      <c r="F8" s="132"/>
      <c r="G8" s="142"/>
      <c r="H8" s="134">
        <f t="shared" ref="H8:H22" si="6">G8*F8*$E8</f>
        <v>0</v>
      </c>
      <c r="I8" s="132"/>
      <c r="J8" s="142"/>
      <c r="K8" s="134">
        <f t="shared" si="0"/>
        <v>0</v>
      </c>
      <c r="L8" s="132"/>
      <c r="M8" s="142"/>
      <c r="N8" s="134">
        <f t="shared" si="1"/>
        <v>0</v>
      </c>
      <c r="O8" s="132"/>
      <c r="P8" s="142"/>
      <c r="Q8" s="134">
        <f t="shared" si="2"/>
        <v>0</v>
      </c>
      <c r="R8" s="132"/>
      <c r="S8" s="142"/>
      <c r="T8" s="134">
        <f t="shared" si="3"/>
        <v>0</v>
      </c>
      <c r="U8" s="132"/>
      <c r="V8" s="142"/>
      <c r="W8" s="134">
        <f t="shared" si="4"/>
        <v>0</v>
      </c>
      <c r="X8" s="143"/>
      <c r="Y8" s="135"/>
      <c r="Z8" s="136"/>
      <c r="AA8" s="137">
        <f t="shared" ref="AA8:AA22" si="7">K8*$K$3+N8*$N$3+Q8*$Q$3+H8*$H$3+T8*$T$3+W8*$W$3</f>
        <v>0</v>
      </c>
      <c r="AB8" s="138" t="e">
        <f t="shared" si="5"/>
        <v>#DIV/0!</v>
      </c>
    </row>
    <row r="9" spans="2:31" s="109" customFormat="1" ht="21.95" customHeight="1" outlineLevel="1">
      <c r="B9" s="128" t="str">
        <f>'CPU  1'!B9</f>
        <v>P03</v>
      </c>
      <c r="C9" s="140" t="str">
        <f>'CPU  1'!C9</f>
        <v>Técnico SSMA</v>
      </c>
      <c r="D9" s="141" t="str">
        <f>'CPU  1'!D9</f>
        <v>hh</v>
      </c>
      <c r="E9" s="131">
        <f>'CPU  1'!E9</f>
        <v>40.036363636363632</v>
      </c>
      <c r="F9" s="132"/>
      <c r="G9" s="133"/>
      <c r="H9" s="134">
        <f t="shared" si="6"/>
        <v>0</v>
      </c>
      <c r="I9" s="132"/>
      <c r="J9" s="133"/>
      <c r="K9" s="134">
        <f t="shared" si="0"/>
        <v>0</v>
      </c>
      <c r="L9" s="132"/>
      <c r="M9" s="133"/>
      <c r="N9" s="134">
        <f t="shared" si="1"/>
        <v>0</v>
      </c>
      <c r="O9" s="132"/>
      <c r="P9" s="133"/>
      <c r="Q9" s="134">
        <f t="shared" si="2"/>
        <v>0</v>
      </c>
      <c r="R9" s="132"/>
      <c r="S9" s="133"/>
      <c r="T9" s="134">
        <f t="shared" si="3"/>
        <v>0</v>
      </c>
      <c r="U9" s="132"/>
      <c r="V9" s="133"/>
      <c r="W9" s="134">
        <f t="shared" si="4"/>
        <v>0</v>
      </c>
      <c r="X9" s="124"/>
      <c r="Y9" s="135"/>
      <c r="Z9" s="136"/>
      <c r="AA9" s="137">
        <f t="shared" si="7"/>
        <v>0</v>
      </c>
      <c r="AB9" s="138" t="e">
        <f t="shared" si="5"/>
        <v>#DIV/0!</v>
      </c>
      <c r="AC9" s="139"/>
      <c r="AE9" s="144"/>
    </row>
    <row r="10" spans="2:31" s="109" customFormat="1" ht="21.95" customHeight="1" outlineLevel="1">
      <c r="B10" s="128" t="str">
        <f>'CPU  1'!B10</f>
        <v>P04</v>
      </c>
      <c r="C10" s="140" t="str">
        <f>'CPU  1'!C10</f>
        <v>Pedreiro</v>
      </c>
      <c r="D10" s="141" t="str">
        <f>'CPU  1'!D10</f>
        <v>hh</v>
      </c>
      <c r="E10" s="131">
        <f>'CPU  1'!E10</f>
        <v>19.767954545454543</v>
      </c>
      <c r="F10" s="132"/>
      <c r="G10" s="371"/>
      <c r="H10" s="134">
        <f t="shared" si="6"/>
        <v>0</v>
      </c>
      <c r="I10" s="132"/>
      <c r="J10" s="371"/>
      <c r="K10" s="134">
        <f t="shared" si="0"/>
        <v>0</v>
      </c>
      <c r="L10" s="132"/>
      <c r="M10" s="371"/>
      <c r="N10" s="134">
        <f t="shared" si="1"/>
        <v>0</v>
      </c>
      <c r="O10" s="132"/>
      <c r="P10" s="371"/>
      <c r="Q10" s="134">
        <f t="shared" si="2"/>
        <v>0</v>
      </c>
      <c r="R10" s="132"/>
      <c r="S10" s="371"/>
      <c r="T10" s="134">
        <f t="shared" si="3"/>
        <v>0</v>
      </c>
      <c r="U10" s="132"/>
      <c r="V10" s="371"/>
      <c r="W10" s="134">
        <f t="shared" si="4"/>
        <v>0</v>
      </c>
      <c r="X10" s="124"/>
      <c r="Y10" s="135"/>
      <c r="Z10" s="136">
        <f>AA10/E10/176/3</f>
        <v>0</v>
      </c>
      <c r="AA10" s="137">
        <f t="shared" si="7"/>
        <v>0</v>
      </c>
      <c r="AB10" s="138" t="e">
        <f t="shared" si="5"/>
        <v>#DIV/0!</v>
      </c>
    </row>
    <row r="11" spans="2:31" s="109" customFormat="1" ht="21.95" customHeight="1" outlineLevel="1">
      <c r="B11" s="128" t="str">
        <f>'CPU  1'!B11</f>
        <v>P05</v>
      </c>
      <c r="C11" s="140" t="str">
        <f>'CPU  1'!C11</f>
        <v>Carpinteiro</v>
      </c>
      <c r="D11" s="141" t="str">
        <f>'CPU  1'!D11</f>
        <v>hh</v>
      </c>
      <c r="E11" s="131">
        <f>'CPU  1'!E11</f>
        <v>19.767954545454543</v>
      </c>
      <c r="F11" s="132"/>
      <c r="G11" s="133"/>
      <c r="H11" s="134">
        <f t="shared" si="6"/>
        <v>0</v>
      </c>
      <c r="I11" s="132"/>
      <c r="J11" s="142"/>
      <c r="K11" s="134">
        <f t="shared" si="0"/>
        <v>0</v>
      </c>
      <c r="L11" s="132"/>
      <c r="M11" s="142"/>
      <c r="N11" s="134">
        <f t="shared" si="1"/>
        <v>0</v>
      </c>
      <c r="O11" s="132"/>
      <c r="P11" s="142"/>
      <c r="Q11" s="134">
        <f t="shared" si="2"/>
        <v>0</v>
      </c>
      <c r="R11" s="132"/>
      <c r="S11" s="142"/>
      <c r="T11" s="134">
        <f t="shared" si="3"/>
        <v>0</v>
      </c>
      <c r="U11" s="132"/>
      <c r="V11" s="142"/>
      <c r="W11" s="134">
        <f t="shared" si="4"/>
        <v>0</v>
      </c>
      <c r="X11" s="143"/>
      <c r="Y11" s="135"/>
      <c r="Z11" s="136"/>
      <c r="AA11" s="137">
        <f t="shared" si="7"/>
        <v>0</v>
      </c>
      <c r="AB11" s="138" t="e">
        <f t="shared" si="5"/>
        <v>#DIV/0!</v>
      </c>
    </row>
    <row r="12" spans="2:31" s="109" customFormat="1" ht="21.95" customHeight="1" outlineLevel="1">
      <c r="B12" s="128" t="str">
        <f>'CPU  1'!B12</f>
        <v>P06</v>
      </c>
      <c r="C12" s="140" t="str">
        <f>'CPU  1'!C12</f>
        <v>Eletricista</v>
      </c>
      <c r="D12" s="141" t="str">
        <f>'CPU  1'!D12</f>
        <v>hh</v>
      </c>
      <c r="E12" s="131">
        <f>'CPU  1'!E12</f>
        <v>26.023636363636363</v>
      </c>
      <c r="F12" s="132"/>
      <c r="G12" s="133"/>
      <c r="H12" s="134">
        <f t="shared" si="6"/>
        <v>0</v>
      </c>
      <c r="I12" s="132"/>
      <c r="J12" s="142"/>
      <c r="K12" s="134">
        <f t="shared" si="0"/>
        <v>0</v>
      </c>
      <c r="L12" s="132"/>
      <c r="M12" s="142"/>
      <c r="N12" s="134">
        <f t="shared" si="1"/>
        <v>0</v>
      </c>
      <c r="O12" s="132"/>
      <c r="P12" s="142"/>
      <c r="Q12" s="134">
        <f t="shared" si="2"/>
        <v>0</v>
      </c>
      <c r="R12" s="132"/>
      <c r="S12" s="142"/>
      <c r="T12" s="134">
        <f t="shared" si="3"/>
        <v>0</v>
      </c>
      <c r="U12" s="132"/>
      <c r="V12" s="142"/>
      <c r="W12" s="134">
        <f t="shared" si="4"/>
        <v>0</v>
      </c>
      <c r="X12" s="143"/>
      <c r="Y12" s="135"/>
      <c r="Z12" s="136"/>
      <c r="AA12" s="137">
        <f t="shared" si="7"/>
        <v>0</v>
      </c>
      <c r="AB12" s="138" t="e">
        <f t="shared" si="5"/>
        <v>#DIV/0!</v>
      </c>
    </row>
    <row r="13" spans="2:31" s="109" customFormat="1" ht="21.95" customHeight="1" outlineLevel="1">
      <c r="B13" s="128" t="str">
        <f>'CPU  1'!B13</f>
        <v>P07</v>
      </c>
      <c r="C13" s="140" t="str">
        <f>'CPU  1'!C13</f>
        <v>Ajudante</v>
      </c>
      <c r="D13" s="141" t="str">
        <f>'CPU  1'!D13</f>
        <v>hh</v>
      </c>
      <c r="E13" s="131">
        <f>'CPU  1'!E13</f>
        <v>13.962681818181817</v>
      </c>
      <c r="F13" s="132"/>
      <c r="G13" s="133"/>
      <c r="H13" s="134">
        <f t="shared" si="6"/>
        <v>0</v>
      </c>
      <c r="I13" s="132"/>
      <c r="J13" s="133"/>
      <c r="K13" s="134">
        <f t="shared" si="0"/>
        <v>0</v>
      </c>
      <c r="L13" s="132"/>
      <c r="M13" s="133"/>
      <c r="N13" s="134">
        <f t="shared" si="1"/>
        <v>0</v>
      </c>
      <c r="O13" s="132"/>
      <c r="P13" s="133"/>
      <c r="Q13" s="134">
        <f t="shared" si="2"/>
        <v>0</v>
      </c>
      <c r="R13" s="132"/>
      <c r="S13" s="133"/>
      <c r="T13" s="134">
        <f t="shared" si="3"/>
        <v>0</v>
      </c>
      <c r="U13" s="132"/>
      <c r="V13" s="133"/>
      <c r="W13" s="134">
        <f t="shared" si="4"/>
        <v>0</v>
      </c>
      <c r="X13" s="143"/>
      <c r="Y13" s="135"/>
      <c r="Z13" s="136"/>
      <c r="AA13" s="137">
        <f t="shared" si="7"/>
        <v>0</v>
      </c>
      <c r="AB13" s="138" t="e">
        <f t="shared" si="5"/>
        <v>#DIV/0!</v>
      </c>
    </row>
    <row r="14" spans="2:31" s="109" customFormat="1" ht="21.95" customHeight="1" outlineLevel="1">
      <c r="B14" s="128" t="str">
        <f>'CPU  1'!B14</f>
        <v>P08</v>
      </c>
      <c r="C14" s="140" t="str">
        <f>'CPU  1'!C14</f>
        <v>Armador</v>
      </c>
      <c r="D14" s="141" t="str">
        <f>'CPU  1'!D14</f>
        <v>hh</v>
      </c>
      <c r="E14" s="131">
        <f>'CPU  1'!E14</f>
        <v>19.767954545454543</v>
      </c>
      <c r="F14" s="132"/>
      <c r="G14" s="133"/>
      <c r="H14" s="134">
        <f t="shared" si="6"/>
        <v>0</v>
      </c>
      <c r="I14" s="145"/>
      <c r="J14" s="133"/>
      <c r="K14" s="134">
        <f t="shared" si="0"/>
        <v>0</v>
      </c>
      <c r="L14" s="132"/>
      <c r="M14" s="133"/>
      <c r="N14" s="134">
        <f t="shared" si="1"/>
        <v>0</v>
      </c>
      <c r="O14" s="145"/>
      <c r="P14" s="133"/>
      <c r="Q14" s="134">
        <f t="shared" si="2"/>
        <v>0</v>
      </c>
      <c r="R14" s="145"/>
      <c r="S14" s="133"/>
      <c r="T14" s="134">
        <f t="shared" si="3"/>
        <v>0</v>
      </c>
      <c r="U14" s="145"/>
      <c r="V14" s="133"/>
      <c r="W14" s="134">
        <f t="shared" si="4"/>
        <v>0</v>
      </c>
      <c r="X14" s="143"/>
      <c r="Y14" s="135"/>
      <c r="Z14" s="136"/>
      <c r="AA14" s="137">
        <f t="shared" si="7"/>
        <v>0</v>
      </c>
      <c r="AB14" s="138" t="e">
        <f t="shared" si="5"/>
        <v>#DIV/0!</v>
      </c>
    </row>
    <row r="15" spans="2:31" s="109" customFormat="1" ht="21.95" customHeight="1" outlineLevel="1">
      <c r="B15" s="128" t="str">
        <f>'CPU  1'!B15</f>
        <v>P09</v>
      </c>
      <c r="C15" s="140" t="str">
        <f>'CPU  1'!C15</f>
        <v>Engenheiro</v>
      </c>
      <c r="D15" s="141" t="str">
        <f>'CPU  1'!D15</f>
        <v>hh</v>
      </c>
      <c r="E15" s="131">
        <f>'CPU  1'!E15</f>
        <v>112.30200000000001</v>
      </c>
      <c r="F15" s="132"/>
      <c r="G15" s="133"/>
      <c r="H15" s="134">
        <f t="shared" si="6"/>
        <v>0</v>
      </c>
      <c r="I15" s="145"/>
      <c r="J15" s="133"/>
      <c r="K15" s="134">
        <f t="shared" si="0"/>
        <v>0</v>
      </c>
      <c r="L15" s="132"/>
      <c r="M15" s="133"/>
      <c r="N15" s="134">
        <f t="shared" si="1"/>
        <v>0</v>
      </c>
      <c r="O15" s="145"/>
      <c r="P15" s="133"/>
      <c r="Q15" s="134">
        <f t="shared" si="2"/>
        <v>0</v>
      </c>
      <c r="R15" s="145"/>
      <c r="S15" s="133"/>
      <c r="T15" s="134">
        <f t="shared" si="3"/>
        <v>0</v>
      </c>
      <c r="U15" s="145"/>
      <c r="V15" s="133"/>
      <c r="W15" s="134">
        <f t="shared" si="4"/>
        <v>0</v>
      </c>
      <c r="X15" s="143"/>
      <c r="Y15" s="135"/>
      <c r="Z15" s="136"/>
      <c r="AA15" s="137">
        <f t="shared" si="7"/>
        <v>0</v>
      </c>
      <c r="AB15" s="138" t="e">
        <f t="shared" si="5"/>
        <v>#DIV/0!</v>
      </c>
    </row>
    <row r="16" spans="2:31" s="109" customFormat="1" ht="21.95" customHeight="1" outlineLevel="1">
      <c r="B16" s="128" t="str">
        <f>'CPU  1'!B16</f>
        <v>P10</v>
      </c>
      <c r="C16" s="140" t="str">
        <f>'CPU  1'!C16</f>
        <v>Planejador</v>
      </c>
      <c r="D16" s="141" t="str">
        <f>'CPU  1'!D16</f>
        <v>hh</v>
      </c>
      <c r="E16" s="131">
        <f>'CPU  1'!E16</f>
        <v>60.054545454545455</v>
      </c>
      <c r="F16" s="132"/>
      <c r="G16" s="133"/>
      <c r="H16" s="134">
        <f t="shared" si="6"/>
        <v>0</v>
      </c>
      <c r="I16" s="145"/>
      <c r="J16" s="133"/>
      <c r="K16" s="134">
        <f t="shared" si="0"/>
        <v>0</v>
      </c>
      <c r="L16" s="132"/>
      <c r="M16" s="133"/>
      <c r="N16" s="134">
        <f t="shared" si="1"/>
        <v>0</v>
      </c>
      <c r="O16" s="145"/>
      <c r="P16" s="133"/>
      <c r="Q16" s="134">
        <f t="shared" si="2"/>
        <v>0</v>
      </c>
      <c r="R16" s="145"/>
      <c r="S16" s="133"/>
      <c r="T16" s="134">
        <f t="shared" si="3"/>
        <v>0</v>
      </c>
      <c r="U16" s="145"/>
      <c r="V16" s="133"/>
      <c r="W16" s="134">
        <f t="shared" si="4"/>
        <v>0</v>
      </c>
      <c r="X16" s="143"/>
      <c r="Y16" s="135"/>
      <c r="Z16" s="136"/>
      <c r="AA16" s="137">
        <f t="shared" si="7"/>
        <v>0</v>
      </c>
      <c r="AB16" s="138" t="e">
        <f t="shared" si="5"/>
        <v>#DIV/0!</v>
      </c>
    </row>
    <row r="17" spans="2:29" s="109" customFormat="1" ht="21.95" customHeight="1" outlineLevel="1">
      <c r="B17" s="128" t="str">
        <f>'CPU  1'!B17</f>
        <v>P11</v>
      </c>
      <c r="C17" s="140" t="str">
        <f>'CPU  1'!C17</f>
        <v>Tópografo</v>
      </c>
      <c r="D17" s="141" t="str">
        <f>'CPU  1'!D17</f>
        <v>hh</v>
      </c>
      <c r="E17" s="131">
        <f>'CPU  1'!E17</f>
        <v>38.034545454545452</v>
      </c>
      <c r="F17" s="132"/>
      <c r="G17" s="133"/>
      <c r="H17" s="134">
        <f t="shared" si="6"/>
        <v>0</v>
      </c>
      <c r="I17" s="145"/>
      <c r="J17" s="133"/>
      <c r="K17" s="134">
        <f t="shared" si="0"/>
        <v>0</v>
      </c>
      <c r="L17" s="132"/>
      <c r="M17" s="133"/>
      <c r="N17" s="134">
        <f t="shared" si="1"/>
        <v>0</v>
      </c>
      <c r="O17" s="145"/>
      <c r="P17" s="133"/>
      <c r="Q17" s="134">
        <f t="shared" si="2"/>
        <v>0</v>
      </c>
      <c r="R17" s="145"/>
      <c r="S17" s="133"/>
      <c r="T17" s="134">
        <f t="shared" si="3"/>
        <v>0</v>
      </c>
      <c r="U17" s="145"/>
      <c r="V17" s="133"/>
      <c r="W17" s="134">
        <f t="shared" si="4"/>
        <v>0</v>
      </c>
      <c r="X17" s="143"/>
      <c r="Y17" s="135"/>
      <c r="Z17" s="136"/>
      <c r="AA17" s="137">
        <f t="shared" si="7"/>
        <v>0</v>
      </c>
      <c r="AB17" s="138" t="e">
        <f t="shared" si="5"/>
        <v>#DIV/0!</v>
      </c>
    </row>
    <row r="18" spans="2:29" s="109" customFormat="1" ht="21.95" customHeight="1" outlineLevel="1">
      <c r="B18" s="128" t="str">
        <f>'CPU  1'!B18</f>
        <v>P12</v>
      </c>
      <c r="C18" s="140" t="str">
        <f>'CPU  1'!C18</f>
        <v>Auxiliar de Topografia</v>
      </c>
      <c r="D18" s="141" t="str">
        <f>'CPU  1'!D18</f>
        <v>hh</v>
      </c>
      <c r="E18" s="131">
        <f>'CPU  1'!E18</f>
        <v>17.015454545454546</v>
      </c>
      <c r="F18" s="132"/>
      <c r="G18" s="133"/>
      <c r="H18" s="134">
        <f t="shared" si="6"/>
        <v>0</v>
      </c>
      <c r="I18" s="145"/>
      <c r="J18" s="133"/>
      <c r="K18" s="134">
        <f t="shared" si="0"/>
        <v>0</v>
      </c>
      <c r="L18" s="132"/>
      <c r="M18" s="133"/>
      <c r="N18" s="134">
        <f t="shared" si="1"/>
        <v>0</v>
      </c>
      <c r="O18" s="145"/>
      <c r="P18" s="133"/>
      <c r="Q18" s="134">
        <f t="shared" si="2"/>
        <v>0</v>
      </c>
      <c r="R18" s="145"/>
      <c r="S18" s="133"/>
      <c r="T18" s="134">
        <f t="shared" si="3"/>
        <v>0</v>
      </c>
      <c r="U18" s="145"/>
      <c r="V18" s="133"/>
      <c r="W18" s="134">
        <f t="shared" si="4"/>
        <v>0</v>
      </c>
      <c r="X18" s="143"/>
      <c r="Y18" s="135"/>
      <c r="Z18" s="136"/>
      <c r="AA18" s="137">
        <f t="shared" si="7"/>
        <v>0</v>
      </c>
      <c r="AB18" s="138" t="e">
        <f t="shared" si="5"/>
        <v>#DIV/0!</v>
      </c>
    </row>
    <row r="19" spans="2:29" s="109" customFormat="1" ht="21.95" customHeight="1" outlineLevel="1">
      <c r="B19" s="128" t="str">
        <f>'CPU  1'!B19</f>
        <v>P13</v>
      </c>
      <c r="C19" s="140" t="str">
        <f>'CPU  1'!C19</f>
        <v>Projetista</v>
      </c>
      <c r="D19" s="141" t="str">
        <f>'CPU  1'!D19</f>
        <v>hh</v>
      </c>
      <c r="E19" s="131">
        <f>'CPU  1'!E19</f>
        <v>70.063636363636363</v>
      </c>
      <c r="F19" s="132"/>
      <c r="G19" s="133"/>
      <c r="H19" s="134">
        <f t="shared" si="6"/>
        <v>0</v>
      </c>
      <c r="I19" s="145"/>
      <c r="J19" s="133"/>
      <c r="K19" s="134">
        <f t="shared" si="0"/>
        <v>0</v>
      </c>
      <c r="L19" s="132"/>
      <c r="M19" s="133"/>
      <c r="N19" s="134">
        <f t="shared" si="1"/>
        <v>0</v>
      </c>
      <c r="O19" s="145"/>
      <c r="P19" s="133"/>
      <c r="Q19" s="134">
        <f t="shared" si="2"/>
        <v>0</v>
      </c>
      <c r="R19" s="145"/>
      <c r="S19" s="133"/>
      <c r="T19" s="134">
        <f t="shared" si="3"/>
        <v>0</v>
      </c>
      <c r="U19" s="145"/>
      <c r="V19" s="133"/>
      <c r="W19" s="134">
        <f t="shared" si="4"/>
        <v>0</v>
      </c>
      <c r="X19" s="143"/>
      <c r="Y19" s="135"/>
      <c r="Z19" s="136"/>
      <c r="AA19" s="137">
        <f t="shared" si="7"/>
        <v>0</v>
      </c>
      <c r="AB19" s="138" t="e">
        <f t="shared" si="5"/>
        <v>#DIV/0!</v>
      </c>
    </row>
    <row r="20" spans="2:29" s="109" customFormat="1" ht="21.95" customHeight="1" outlineLevel="1">
      <c r="B20" s="128" t="str">
        <f>'CPU  1'!B20</f>
        <v>P14</v>
      </c>
      <c r="C20" s="140" t="str">
        <f>'CPU  1'!C20</f>
        <v>Operador/motorista</v>
      </c>
      <c r="D20" s="141" t="str">
        <f>'CPU  1'!D20</f>
        <v>hh</v>
      </c>
      <c r="E20" s="131">
        <f>'CPU  1'!E20</f>
        <v>25.022727272727273</v>
      </c>
      <c r="F20" s="132"/>
      <c r="G20" s="133"/>
      <c r="H20" s="134">
        <f t="shared" si="6"/>
        <v>0</v>
      </c>
      <c r="I20" s="145"/>
      <c r="J20" s="133"/>
      <c r="K20" s="134">
        <f t="shared" si="0"/>
        <v>0</v>
      </c>
      <c r="L20" s="132"/>
      <c r="M20" s="133"/>
      <c r="N20" s="134">
        <f t="shared" si="1"/>
        <v>0</v>
      </c>
      <c r="O20" s="145"/>
      <c r="P20" s="133"/>
      <c r="Q20" s="134">
        <f t="shared" si="2"/>
        <v>0</v>
      </c>
      <c r="R20" s="145"/>
      <c r="S20" s="133"/>
      <c r="T20" s="134">
        <f t="shared" si="3"/>
        <v>0</v>
      </c>
      <c r="U20" s="145"/>
      <c r="V20" s="133"/>
      <c r="W20" s="134">
        <f t="shared" si="4"/>
        <v>0</v>
      </c>
      <c r="X20" s="143"/>
      <c r="Y20" s="135"/>
      <c r="Z20" s="136"/>
      <c r="AA20" s="137">
        <f t="shared" si="7"/>
        <v>0</v>
      </c>
      <c r="AB20" s="138" t="e">
        <f t="shared" si="5"/>
        <v>#DIV/0!</v>
      </c>
    </row>
    <row r="21" spans="2:29" s="109" customFormat="1" ht="21.95" customHeight="1" outlineLevel="1">
      <c r="B21" s="128" t="str">
        <f>'CPU  1'!B21</f>
        <v>P15</v>
      </c>
      <c r="C21" s="140">
        <f>'CPU  1'!C21</f>
        <v>0</v>
      </c>
      <c r="D21" s="141" t="str">
        <f>'CPU  1'!D21</f>
        <v>hh</v>
      </c>
      <c r="E21" s="131">
        <f>'CPU  1'!E21</f>
        <v>0</v>
      </c>
      <c r="F21" s="132"/>
      <c r="G21" s="133"/>
      <c r="H21" s="134">
        <f t="shared" si="6"/>
        <v>0</v>
      </c>
      <c r="I21" s="145"/>
      <c r="J21" s="133"/>
      <c r="K21" s="134">
        <f t="shared" si="0"/>
        <v>0</v>
      </c>
      <c r="L21" s="132"/>
      <c r="M21" s="133"/>
      <c r="N21" s="134">
        <f t="shared" si="1"/>
        <v>0</v>
      </c>
      <c r="O21" s="145"/>
      <c r="P21" s="133"/>
      <c r="Q21" s="134">
        <f t="shared" si="2"/>
        <v>0</v>
      </c>
      <c r="R21" s="145"/>
      <c r="S21" s="133"/>
      <c r="T21" s="134">
        <f t="shared" si="3"/>
        <v>0</v>
      </c>
      <c r="U21" s="145"/>
      <c r="V21" s="133"/>
      <c r="W21" s="134">
        <f t="shared" si="4"/>
        <v>0</v>
      </c>
      <c r="X21" s="143"/>
      <c r="Y21" s="135"/>
      <c r="Z21" s="136"/>
      <c r="AA21" s="137">
        <f t="shared" si="7"/>
        <v>0</v>
      </c>
      <c r="AB21" s="138" t="e">
        <f t="shared" si="5"/>
        <v>#DIV/0!</v>
      </c>
    </row>
    <row r="22" spans="2:29" s="109" customFormat="1" ht="21.95" customHeight="1" outlineLevel="1" thickBot="1">
      <c r="B22" s="128" t="str">
        <f>'CPU  1'!B22</f>
        <v>P16</v>
      </c>
      <c r="C22" s="140">
        <f>'CPU  1'!C22</f>
        <v>0</v>
      </c>
      <c r="D22" s="141" t="str">
        <f>'CPU  1'!D22</f>
        <v>hh</v>
      </c>
      <c r="E22" s="131">
        <f>'CPU  1'!E22</f>
        <v>0</v>
      </c>
      <c r="F22" s="132"/>
      <c r="G22" s="133"/>
      <c r="H22" s="134">
        <f t="shared" si="6"/>
        <v>0</v>
      </c>
      <c r="I22" s="145"/>
      <c r="J22" s="133"/>
      <c r="K22" s="134">
        <f t="shared" si="0"/>
        <v>0</v>
      </c>
      <c r="L22" s="132"/>
      <c r="M22" s="133"/>
      <c r="N22" s="134">
        <f t="shared" si="1"/>
        <v>0</v>
      </c>
      <c r="O22" s="145"/>
      <c r="P22" s="133"/>
      <c r="Q22" s="134">
        <f t="shared" si="2"/>
        <v>0</v>
      </c>
      <c r="R22" s="145"/>
      <c r="S22" s="133"/>
      <c r="T22" s="134">
        <f t="shared" si="3"/>
        <v>0</v>
      </c>
      <c r="U22" s="145"/>
      <c r="V22" s="133"/>
      <c r="W22" s="134">
        <f t="shared" si="4"/>
        <v>0</v>
      </c>
      <c r="X22" s="143"/>
      <c r="Y22" s="135"/>
      <c r="Z22" s="136"/>
      <c r="AA22" s="137">
        <f t="shared" si="7"/>
        <v>0</v>
      </c>
      <c r="AB22" s="138" t="e">
        <f t="shared" si="5"/>
        <v>#DIV/0!</v>
      </c>
    </row>
    <row r="23" spans="2:29" s="109" customFormat="1" ht="21.95" customHeight="1" thickBot="1">
      <c r="B23" s="694" t="s">
        <v>33</v>
      </c>
      <c r="C23" s="695"/>
      <c r="D23" s="695"/>
      <c r="E23" s="695"/>
      <c r="F23" s="263">
        <f>SUM(F7:F22)</f>
        <v>0</v>
      </c>
      <c r="G23" s="264">
        <f>SUM(G7:G22)*H3</f>
        <v>0</v>
      </c>
      <c r="H23" s="265">
        <f>SUM(H7:H22)</f>
        <v>0</v>
      </c>
      <c r="I23" s="263">
        <f>SUM(I7:I22)</f>
        <v>0</v>
      </c>
      <c r="J23" s="264">
        <f>SUM(J7:J22)*K3</f>
        <v>0</v>
      </c>
      <c r="K23" s="265">
        <f>SUM(K7:K22)</f>
        <v>0</v>
      </c>
      <c r="L23" s="263">
        <f>SUM(L7:L22)</f>
        <v>0</v>
      </c>
      <c r="M23" s="264">
        <f>SUM(M7:M22)*N3</f>
        <v>0</v>
      </c>
      <c r="N23" s="265">
        <f>SUM(N7:N22)</f>
        <v>0</v>
      </c>
      <c r="O23" s="263">
        <f>SUM(O7:O22)</f>
        <v>0</v>
      </c>
      <c r="P23" s="264">
        <f>SUM(P7:P22)*Q3</f>
        <v>0</v>
      </c>
      <c r="Q23" s="265">
        <f>SUM(Q7:Q22)</f>
        <v>0</v>
      </c>
      <c r="R23" s="263">
        <f>SUM(R7:R22)</f>
        <v>0</v>
      </c>
      <c r="S23" s="264">
        <f>SUM(S7:S22)*T3</f>
        <v>0</v>
      </c>
      <c r="T23" s="265">
        <f>SUM(T7:T22)</f>
        <v>0</v>
      </c>
      <c r="U23" s="263">
        <f>SUM(U7:U22)</f>
        <v>0</v>
      </c>
      <c r="V23" s="264">
        <f>SUM(V7:V22)*W3</f>
        <v>0</v>
      </c>
      <c r="W23" s="265">
        <f>SUM(W7:W22)</f>
        <v>0</v>
      </c>
      <c r="X23" s="143"/>
      <c r="Y23" s="263">
        <f>SUM(Y7:Y22)</f>
        <v>0</v>
      </c>
      <c r="Z23" s="264">
        <f>SUM(Z7:Z22)</f>
        <v>0</v>
      </c>
      <c r="AA23" s="265">
        <f>SUM(AA7:AA22)</f>
        <v>0</v>
      </c>
      <c r="AB23" s="138"/>
    </row>
    <row r="24" spans="2:29" s="109" customFormat="1" ht="21.95" customHeight="1" thickBot="1">
      <c r="B24" s="699" t="s">
        <v>124</v>
      </c>
      <c r="C24" s="700"/>
      <c r="D24" s="700"/>
      <c r="E24" s="701"/>
      <c r="F24" s="146"/>
      <c r="G24" s="146"/>
      <c r="H24" s="146"/>
      <c r="I24" s="146"/>
      <c r="J24" s="146"/>
      <c r="K24" s="146"/>
      <c r="L24" s="146"/>
      <c r="M24" s="146"/>
      <c r="N24" s="146"/>
      <c r="P24" s="146"/>
      <c r="Q24" s="146"/>
      <c r="S24" s="146"/>
      <c r="T24" s="146"/>
      <c r="V24" s="146"/>
      <c r="W24" s="146"/>
      <c r="X24" s="143"/>
      <c r="Y24" s="147"/>
      <c r="Z24" s="147"/>
      <c r="AA24" s="147"/>
      <c r="AB24" s="138"/>
    </row>
    <row r="25" spans="2:29" s="127" customFormat="1" ht="21.95" customHeight="1" thickBot="1">
      <c r="B25" s="258" t="s">
        <v>163</v>
      </c>
      <c r="C25" s="259" t="s">
        <v>169</v>
      </c>
      <c r="D25" s="260" t="s">
        <v>30</v>
      </c>
      <c r="E25" s="261" t="s">
        <v>31</v>
      </c>
      <c r="F25" s="258" t="s">
        <v>6</v>
      </c>
      <c r="G25" s="261" t="s">
        <v>32</v>
      </c>
      <c r="H25" s="262" t="s">
        <v>5</v>
      </c>
      <c r="I25" s="258" t="s">
        <v>6</v>
      </c>
      <c r="J25" s="261" t="s">
        <v>32</v>
      </c>
      <c r="K25" s="262" t="s">
        <v>5</v>
      </c>
      <c r="L25" s="258" t="s">
        <v>6</v>
      </c>
      <c r="M25" s="261" t="s">
        <v>32</v>
      </c>
      <c r="N25" s="262" t="s">
        <v>5</v>
      </c>
      <c r="O25" s="258" t="s">
        <v>6</v>
      </c>
      <c r="P25" s="261" t="s">
        <v>32</v>
      </c>
      <c r="Q25" s="262" t="s">
        <v>5</v>
      </c>
      <c r="R25" s="258" t="s">
        <v>6</v>
      </c>
      <c r="S25" s="261" t="s">
        <v>32</v>
      </c>
      <c r="T25" s="262" t="s">
        <v>5</v>
      </c>
      <c r="U25" s="258" t="s">
        <v>6</v>
      </c>
      <c r="V25" s="261" t="s">
        <v>32</v>
      </c>
      <c r="W25" s="262" t="s">
        <v>5</v>
      </c>
      <c r="X25" s="124"/>
      <c r="Y25" s="258" t="s">
        <v>6</v>
      </c>
      <c r="Z25" s="261" t="s">
        <v>32</v>
      </c>
      <c r="AA25" s="262" t="s">
        <v>5</v>
      </c>
      <c r="AB25" s="125"/>
      <c r="AC25" s="126"/>
    </row>
    <row r="26" spans="2:29" s="109" customFormat="1" ht="21.95" customHeight="1" outlineLevel="1">
      <c r="B26" s="148" t="str">
        <f>'CPU  1'!B26</f>
        <v>E01</v>
      </c>
      <c r="C26" s="149" t="str">
        <f>'CPU  1'!C26</f>
        <v>Alavanca, picareta, enxada, cavador, pá</v>
      </c>
      <c r="D26" s="150" t="str">
        <f>'CPU  1'!D26</f>
        <v>vb</v>
      </c>
      <c r="E26" s="151">
        <f>'CPU  1'!E26</f>
        <v>790</v>
      </c>
      <c r="F26" s="145"/>
      <c r="G26" s="142"/>
      <c r="H26" s="134">
        <f t="shared" ref="H26:H79" si="8">G26*F26*$E26</f>
        <v>0</v>
      </c>
      <c r="I26" s="145"/>
      <c r="J26" s="142"/>
      <c r="K26" s="134">
        <f t="shared" ref="K26:K79" si="9">J26*I26*$E26</f>
        <v>0</v>
      </c>
      <c r="L26" s="145"/>
      <c r="M26" s="142"/>
      <c r="N26" s="134">
        <f t="shared" ref="N26:N79" si="10">M26*L26*$E26</f>
        <v>0</v>
      </c>
      <c r="O26" s="145"/>
      <c r="P26" s="142"/>
      <c r="Q26" s="134">
        <f t="shared" ref="Q26:Q79" si="11">P26*O26*$E26</f>
        <v>0</v>
      </c>
      <c r="R26" s="145"/>
      <c r="S26" s="142"/>
      <c r="T26" s="134">
        <f t="shared" ref="T26:T79" si="12">S26*R26*$E26</f>
        <v>0</v>
      </c>
      <c r="U26" s="145"/>
      <c r="V26" s="142"/>
      <c r="W26" s="134">
        <f t="shared" ref="W26:W79" si="13">V26*U26*$E26</f>
        <v>0</v>
      </c>
      <c r="X26" s="152"/>
      <c r="Y26" s="153"/>
      <c r="Z26" s="154"/>
      <c r="AA26" s="137">
        <f t="shared" ref="AA26:AA79" si="14">K26*$K$3+N26*$N$3+Q26*$Q$3+H26*$H$3+T26*$T$3+W26*$W$3</f>
        <v>0</v>
      </c>
      <c r="AB26" s="138" t="e">
        <f t="shared" ref="AB26:AB79" si="15">AA26/$AA$162</f>
        <v>#DIV/0!</v>
      </c>
    </row>
    <row r="27" spans="2:29" s="109" customFormat="1" ht="21.95" customHeight="1" outlineLevel="1">
      <c r="B27" s="148" t="str">
        <f>'CPU  1'!B27</f>
        <v>E02</v>
      </c>
      <c r="C27" s="149" t="str">
        <f>'CPU  1'!C27</f>
        <v>Banheiro hidraulico - locação</v>
      </c>
      <c r="D27" s="150" t="str">
        <f>'CPU  1'!D27</f>
        <v>vb/mês</v>
      </c>
      <c r="E27" s="151">
        <f>'CPU  1'!E27</f>
        <v>4000</v>
      </c>
      <c r="F27" s="145"/>
      <c r="G27" s="142"/>
      <c r="H27" s="134">
        <f t="shared" si="8"/>
        <v>0</v>
      </c>
      <c r="I27" s="145"/>
      <c r="J27" s="142"/>
      <c r="K27" s="134">
        <f t="shared" si="9"/>
        <v>0</v>
      </c>
      <c r="L27" s="145"/>
      <c r="M27" s="142"/>
      <c r="N27" s="134">
        <f t="shared" si="10"/>
        <v>0</v>
      </c>
      <c r="O27" s="145"/>
      <c r="P27" s="142"/>
      <c r="Q27" s="134">
        <f t="shared" si="11"/>
        <v>0</v>
      </c>
      <c r="R27" s="145"/>
      <c r="S27" s="142"/>
      <c r="T27" s="134">
        <f t="shared" si="12"/>
        <v>0</v>
      </c>
      <c r="U27" s="145"/>
      <c r="V27" s="142"/>
      <c r="W27" s="134">
        <f t="shared" si="13"/>
        <v>0</v>
      </c>
      <c r="X27" s="152"/>
      <c r="Y27" s="153"/>
      <c r="Z27" s="154"/>
      <c r="AA27" s="137">
        <f t="shared" si="14"/>
        <v>0</v>
      </c>
      <c r="AB27" s="138" t="e">
        <f t="shared" si="15"/>
        <v>#DIV/0!</v>
      </c>
    </row>
    <row r="28" spans="2:29" s="109" customFormat="1" ht="21.95" customHeight="1" outlineLevel="1">
      <c r="B28" s="148" t="str">
        <f>'CPU  1'!B28</f>
        <v>E03</v>
      </c>
      <c r="C28" s="149" t="str">
        <f>'CPU  1'!C28</f>
        <v>Barreira física metalica</v>
      </c>
      <c r="D28" s="150" t="str">
        <f>'CPU  1'!D28</f>
        <v>pç</v>
      </c>
      <c r="E28" s="151">
        <f>'CPU  1'!E28</f>
        <v>350</v>
      </c>
      <c r="F28" s="145"/>
      <c r="G28" s="142"/>
      <c r="H28" s="134">
        <f t="shared" si="8"/>
        <v>0</v>
      </c>
      <c r="I28" s="145"/>
      <c r="J28" s="142"/>
      <c r="K28" s="134">
        <f t="shared" si="9"/>
        <v>0</v>
      </c>
      <c r="L28" s="145"/>
      <c r="M28" s="142"/>
      <c r="N28" s="134">
        <f t="shared" si="10"/>
        <v>0</v>
      </c>
      <c r="O28" s="145"/>
      <c r="P28" s="142"/>
      <c r="Q28" s="134">
        <f t="shared" si="11"/>
        <v>0</v>
      </c>
      <c r="R28" s="145"/>
      <c r="S28" s="142"/>
      <c r="T28" s="134">
        <f t="shared" si="12"/>
        <v>0</v>
      </c>
      <c r="U28" s="145"/>
      <c r="V28" s="142"/>
      <c r="W28" s="134">
        <f t="shared" si="13"/>
        <v>0</v>
      </c>
      <c r="X28" s="152"/>
      <c r="Y28" s="153"/>
      <c r="Z28" s="154"/>
      <c r="AA28" s="137">
        <f t="shared" si="14"/>
        <v>0</v>
      </c>
      <c r="AB28" s="138" t="e">
        <f t="shared" si="15"/>
        <v>#DIV/0!</v>
      </c>
    </row>
    <row r="29" spans="2:29" s="109" customFormat="1" ht="21.95" customHeight="1" outlineLevel="1">
      <c r="B29" s="148" t="str">
        <f>'CPU  1'!B29</f>
        <v>E04</v>
      </c>
      <c r="C29" s="149" t="str">
        <f>'CPU  1'!C29</f>
        <v>Bebedouro 4 torneiras 50L</v>
      </c>
      <c r="D29" s="150" t="str">
        <f>'CPU  1'!D29</f>
        <v>unid</v>
      </c>
      <c r="E29" s="151">
        <f>'CPU  1'!E29</f>
        <v>3500</v>
      </c>
      <c r="F29" s="145"/>
      <c r="G29" s="142"/>
      <c r="H29" s="134">
        <f t="shared" si="8"/>
        <v>0</v>
      </c>
      <c r="I29" s="145"/>
      <c r="J29" s="142"/>
      <c r="K29" s="134">
        <f t="shared" si="9"/>
        <v>0</v>
      </c>
      <c r="L29" s="145"/>
      <c r="M29" s="142"/>
      <c r="N29" s="134">
        <f t="shared" si="10"/>
        <v>0</v>
      </c>
      <c r="O29" s="145"/>
      <c r="P29" s="142"/>
      <c r="Q29" s="134">
        <f t="shared" si="11"/>
        <v>0</v>
      </c>
      <c r="R29" s="145"/>
      <c r="S29" s="142"/>
      <c r="T29" s="134">
        <f t="shared" si="12"/>
        <v>0</v>
      </c>
      <c r="U29" s="145"/>
      <c r="V29" s="142"/>
      <c r="W29" s="134">
        <f t="shared" si="13"/>
        <v>0</v>
      </c>
      <c r="X29" s="152"/>
      <c r="Y29" s="153"/>
      <c r="Z29" s="154"/>
      <c r="AA29" s="137">
        <f t="shared" si="14"/>
        <v>0</v>
      </c>
      <c r="AB29" s="138" t="e">
        <f t="shared" si="15"/>
        <v>#DIV/0!</v>
      </c>
    </row>
    <row r="30" spans="2:29" s="109" customFormat="1" ht="21.95" customHeight="1" outlineLevel="1">
      <c r="B30" s="148" t="str">
        <f>'CPU  1'!B30</f>
        <v>E05</v>
      </c>
      <c r="C30" s="149" t="str">
        <f>'CPU  1'!C30</f>
        <v>Caçamba de entulho 4m³</v>
      </c>
      <c r="D30" s="150" t="str">
        <f>'CPU  1'!D30</f>
        <v>Vb/mês</v>
      </c>
      <c r="E30" s="151">
        <f>'CPU  1'!E30</f>
        <v>800</v>
      </c>
      <c r="F30" s="145"/>
      <c r="G30" s="142"/>
      <c r="H30" s="134">
        <f t="shared" si="8"/>
        <v>0</v>
      </c>
      <c r="I30" s="145"/>
      <c r="J30" s="142"/>
      <c r="K30" s="134">
        <f t="shared" si="9"/>
        <v>0</v>
      </c>
      <c r="L30" s="145"/>
      <c r="M30" s="142"/>
      <c r="N30" s="134">
        <f t="shared" si="10"/>
        <v>0</v>
      </c>
      <c r="O30" s="145"/>
      <c r="P30" s="142"/>
      <c r="Q30" s="134">
        <f t="shared" si="11"/>
        <v>0</v>
      </c>
      <c r="R30" s="145"/>
      <c r="S30" s="142"/>
      <c r="T30" s="134">
        <f t="shared" si="12"/>
        <v>0</v>
      </c>
      <c r="U30" s="145"/>
      <c r="V30" s="142"/>
      <c r="W30" s="134">
        <f t="shared" si="13"/>
        <v>0</v>
      </c>
      <c r="X30" s="152"/>
      <c r="Y30" s="153"/>
      <c r="Z30" s="154"/>
      <c r="AA30" s="137">
        <f t="shared" si="14"/>
        <v>0</v>
      </c>
      <c r="AB30" s="138" t="e">
        <f t="shared" si="15"/>
        <v>#DIV/0!</v>
      </c>
    </row>
    <row r="31" spans="2:29" s="109" customFormat="1" ht="21.95" customHeight="1" outlineLevel="1">
      <c r="B31" s="148" t="str">
        <f>'CPU  1'!B31</f>
        <v>E06</v>
      </c>
      <c r="C31" s="149" t="str">
        <f>'CPU  1'!C31</f>
        <v>Cadinho solda exotermica</v>
      </c>
      <c r="D31" s="150" t="str">
        <f>'CPU  1'!D31</f>
        <v>pç</v>
      </c>
      <c r="E31" s="151">
        <f>'CPU  1'!E31</f>
        <v>420</v>
      </c>
      <c r="F31" s="145"/>
      <c r="G31" s="142"/>
      <c r="H31" s="134">
        <f t="shared" si="8"/>
        <v>0</v>
      </c>
      <c r="I31" s="145"/>
      <c r="J31" s="142"/>
      <c r="K31" s="134">
        <f t="shared" si="9"/>
        <v>0</v>
      </c>
      <c r="L31" s="145"/>
      <c r="M31" s="142"/>
      <c r="N31" s="134">
        <f t="shared" si="10"/>
        <v>0</v>
      </c>
      <c r="O31" s="145"/>
      <c r="P31" s="142"/>
      <c r="Q31" s="134">
        <f t="shared" si="11"/>
        <v>0</v>
      </c>
      <c r="R31" s="145"/>
      <c r="S31" s="142"/>
      <c r="T31" s="134">
        <f t="shared" si="12"/>
        <v>0</v>
      </c>
      <c r="U31" s="145"/>
      <c r="V31" s="142"/>
      <c r="W31" s="134">
        <f t="shared" si="13"/>
        <v>0</v>
      </c>
      <c r="X31" s="152"/>
      <c r="Y31" s="153"/>
      <c r="Z31" s="154"/>
      <c r="AA31" s="137">
        <f t="shared" si="14"/>
        <v>0</v>
      </c>
      <c r="AB31" s="138" t="e">
        <f t="shared" si="15"/>
        <v>#DIV/0!</v>
      </c>
    </row>
    <row r="32" spans="2:29" s="109" customFormat="1" ht="21.95" customHeight="1" outlineLevel="1">
      <c r="B32" s="148" t="str">
        <f>'CPU  1'!B32</f>
        <v>E07</v>
      </c>
      <c r="C32" s="149" t="str">
        <f>'CPU  1'!C32</f>
        <v>Caixa dágua 1000L</v>
      </c>
      <c r="D32" s="150" t="str">
        <f>'CPU  1'!D32</f>
        <v>pç</v>
      </c>
      <c r="E32" s="151">
        <f>'CPU  1'!E32</f>
        <v>480</v>
      </c>
      <c r="F32" s="145"/>
      <c r="G32" s="142"/>
      <c r="H32" s="134">
        <f t="shared" si="8"/>
        <v>0</v>
      </c>
      <c r="I32" s="145"/>
      <c r="J32" s="142"/>
      <c r="K32" s="134">
        <f t="shared" si="9"/>
        <v>0</v>
      </c>
      <c r="L32" s="145"/>
      <c r="M32" s="142"/>
      <c r="N32" s="134">
        <f t="shared" si="10"/>
        <v>0</v>
      </c>
      <c r="O32" s="145"/>
      <c r="P32" s="142"/>
      <c r="Q32" s="134">
        <f t="shared" si="11"/>
        <v>0</v>
      </c>
      <c r="R32" s="145"/>
      <c r="S32" s="142"/>
      <c r="T32" s="134">
        <f t="shared" si="12"/>
        <v>0</v>
      </c>
      <c r="U32" s="145"/>
      <c r="V32" s="142"/>
      <c r="W32" s="134">
        <f t="shared" si="13"/>
        <v>0</v>
      </c>
      <c r="X32" s="152"/>
      <c r="Y32" s="153"/>
      <c r="Z32" s="154"/>
      <c r="AA32" s="137">
        <f t="shared" si="14"/>
        <v>0</v>
      </c>
      <c r="AB32" s="138" t="e">
        <f t="shared" si="15"/>
        <v>#DIV/0!</v>
      </c>
    </row>
    <row r="33" spans="2:28" s="109" customFormat="1" ht="21.95" customHeight="1" outlineLevel="1">
      <c r="B33" s="148" t="str">
        <f>'CPU  1'!B33</f>
        <v>E08</v>
      </c>
      <c r="C33" s="149" t="str">
        <f>'CPU  1'!C33</f>
        <v>Caixa dágua 500L</v>
      </c>
      <c r="D33" s="155" t="str">
        <f>'CPU  1'!D33</f>
        <v>pç</v>
      </c>
      <c r="E33" s="151">
        <f>'CPU  1'!E33</f>
        <v>250</v>
      </c>
      <c r="F33" s="145"/>
      <c r="G33" s="142"/>
      <c r="H33" s="134">
        <f t="shared" si="8"/>
        <v>0</v>
      </c>
      <c r="I33" s="145"/>
      <c r="J33" s="142"/>
      <c r="K33" s="134">
        <f t="shared" si="9"/>
        <v>0</v>
      </c>
      <c r="L33" s="145"/>
      <c r="M33" s="142"/>
      <c r="N33" s="134">
        <f t="shared" si="10"/>
        <v>0</v>
      </c>
      <c r="O33" s="145"/>
      <c r="P33" s="142"/>
      <c r="Q33" s="134">
        <f t="shared" si="11"/>
        <v>0</v>
      </c>
      <c r="R33" s="145"/>
      <c r="S33" s="142"/>
      <c r="T33" s="134">
        <f t="shared" si="12"/>
        <v>0</v>
      </c>
      <c r="U33" s="145"/>
      <c r="V33" s="142"/>
      <c r="W33" s="134">
        <f t="shared" si="13"/>
        <v>0</v>
      </c>
      <c r="X33" s="152"/>
      <c r="Y33" s="153"/>
      <c r="Z33" s="154"/>
      <c r="AA33" s="137">
        <f t="shared" si="14"/>
        <v>0</v>
      </c>
      <c r="AB33" s="138" t="e">
        <f t="shared" si="15"/>
        <v>#DIV/0!</v>
      </c>
    </row>
    <row r="34" spans="2:28" s="109" customFormat="1" ht="21.95" customHeight="1" outlineLevel="1">
      <c r="B34" s="148" t="str">
        <f>'CPU  1'!B34</f>
        <v>E09</v>
      </c>
      <c r="C34" s="149" t="str">
        <f>'CPU  1'!C34</f>
        <v>Caminhão munck</v>
      </c>
      <c r="D34" s="155" t="str">
        <f>'CPU  1'!D34</f>
        <v>vb/mês</v>
      </c>
      <c r="E34" s="151">
        <f>'CPU  1'!E34</f>
        <v>40000</v>
      </c>
      <c r="F34" s="145"/>
      <c r="G34" s="142"/>
      <c r="H34" s="134">
        <f t="shared" si="8"/>
        <v>0</v>
      </c>
      <c r="I34" s="145"/>
      <c r="J34" s="142"/>
      <c r="K34" s="134">
        <f t="shared" si="9"/>
        <v>0</v>
      </c>
      <c r="L34" s="145"/>
      <c r="M34" s="142"/>
      <c r="N34" s="134">
        <f t="shared" si="10"/>
        <v>0</v>
      </c>
      <c r="O34" s="145"/>
      <c r="P34" s="142"/>
      <c r="Q34" s="134">
        <f t="shared" si="11"/>
        <v>0</v>
      </c>
      <c r="R34" s="145"/>
      <c r="S34" s="142"/>
      <c r="T34" s="134">
        <f t="shared" si="12"/>
        <v>0</v>
      </c>
      <c r="U34" s="145"/>
      <c r="V34" s="142"/>
      <c r="W34" s="134">
        <f t="shared" si="13"/>
        <v>0</v>
      </c>
      <c r="X34" s="152"/>
      <c r="Y34" s="153"/>
      <c r="Z34" s="372"/>
      <c r="AA34" s="137">
        <f t="shared" si="14"/>
        <v>0</v>
      </c>
      <c r="AB34" s="138" t="e">
        <f t="shared" si="15"/>
        <v>#DIV/0!</v>
      </c>
    </row>
    <row r="35" spans="2:28" s="109" customFormat="1" ht="21.95" customHeight="1" outlineLevel="1">
      <c r="B35" s="148" t="str">
        <f>'CPU  1'!B35</f>
        <v>E10</v>
      </c>
      <c r="C35" s="149" t="str">
        <f>'CPU  1'!C35</f>
        <v>Carro de mão</v>
      </c>
      <c r="D35" s="155" t="str">
        <f>'CPU  1'!D35</f>
        <v>pç</v>
      </c>
      <c r="E35" s="151">
        <f>'CPU  1'!E35</f>
        <v>450</v>
      </c>
      <c r="F35" s="145"/>
      <c r="G35" s="142"/>
      <c r="H35" s="134">
        <f t="shared" si="8"/>
        <v>0</v>
      </c>
      <c r="I35" s="145"/>
      <c r="J35" s="142"/>
      <c r="K35" s="134">
        <f t="shared" si="9"/>
        <v>0</v>
      </c>
      <c r="L35" s="145"/>
      <c r="M35" s="142"/>
      <c r="N35" s="134">
        <f t="shared" si="10"/>
        <v>0</v>
      </c>
      <c r="O35" s="145"/>
      <c r="P35" s="142"/>
      <c r="Q35" s="134">
        <f t="shared" si="11"/>
        <v>0</v>
      </c>
      <c r="R35" s="145"/>
      <c r="S35" s="142"/>
      <c r="T35" s="134">
        <f t="shared" si="12"/>
        <v>0</v>
      </c>
      <c r="U35" s="145"/>
      <c r="V35" s="142"/>
      <c r="W35" s="134">
        <f t="shared" si="13"/>
        <v>0</v>
      </c>
      <c r="X35" s="152"/>
      <c r="Y35" s="153"/>
      <c r="Z35" s="154"/>
      <c r="AA35" s="137">
        <f t="shared" si="14"/>
        <v>0</v>
      </c>
      <c r="AB35" s="138" t="e">
        <f t="shared" si="15"/>
        <v>#DIV/0!</v>
      </c>
    </row>
    <row r="36" spans="2:28" s="109" customFormat="1" ht="21.95" customHeight="1" outlineLevel="1">
      <c r="B36" s="148" t="str">
        <f>'CPU  1'!B36</f>
        <v>E11</v>
      </c>
      <c r="C36" s="149" t="str">
        <f>'CPU  1'!C36</f>
        <v>Carro plataforma</v>
      </c>
      <c r="D36" s="155" t="str">
        <f>'CPU  1'!D36</f>
        <v>pç</v>
      </c>
      <c r="E36" s="151">
        <f>'CPU  1'!E36</f>
        <v>1200</v>
      </c>
      <c r="F36" s="145"/>
      <c r="G36" s="142"/>
      <c r="H36" s="134">
        <f t="shared" si="8"/>
        <v>0</v>
      </c>
      <c r="I36" s="145"/>
      <c r="J36" s="142"/>
      <c r="K36" s="134">
        <f t="shared" si="9"/>
        <v>0</v>
      </c>
      <c r="L36" s="145"/>
      <c r="M36" s="142"/>
      <c r="N36" s="134">
        <f t="shared" si="10"/>
        <v>0</v>
      </c>
      <c r="O36" s="145"/>
      <c r="P36" s="142"/>
      <c r="Q36" s="134">
        <f t="shared" si="11"/>
        <v>0</v>
      </c>
      <c r="R36" s="145"/>
      <c r="S36" s="142"/>
      <c r="T36" s="134">
        <f t="shared" si="12"/>
        <v>0</v>
      </c>
      <c r="U36" s="145"/>
      <c r="V36" s="142"/>
      <c r="W36" s="134">
        <f t="shared" si="13"/>
        <v>0</v>
      </c>
      <c r="X36" s="152"/>
      <c r="Y36" s="153"/>
      <c r="Z36" s="154"/>
      <c r="AA36" s="137">
        <f t="shared" si="14"/>
        <v>0</v>
      </c>
      <c r="AB36" s="138" t="e">
        <f t="shared" si="15"/>
        <v>#DIV/0!</v>
      </c>
    </row>
    <row r="37" spans="2:28" s="109" customFormat="1" ht="36" customHeight="1" outlineLevel="1">
      <c r="B37" s="148" t="str">
        <f>'CPU  1'!B37</f>
        <v>E12</v>
      </c>
      <c r="C37" s="149" t="str">
        <f>'CPU  1'!C37</f>
        <v>Coletor de resíduo com pedal - 50L (V,V,A,A)</v>
      </c>
      <c r="D37" s="155" t="str">
        <f>'CPU  1'!D37</f>
        <v>kit</v>
      </c>
      <c r="E37" s="151">
        <f>'CPU  1'!E37</f>
        <v>1200</v>
      </c>
      <c r="F37" s="145"/>
      <c r="G37" s="142"/>
      <c r="H37" s="134">
        <f t="shared" si="8"/>
        <v>0</v>
      </c>
      <c r="I37" s="145"/>
      <c r="J37" s="142"/>
      <c r="K37" s="134">
        <f t="shared" si="9"/>
        <v>0</v>
      </c>
      <c r="L37" s="145"/>
      <c r="M37" s="142"/>
      <c r="N37" s="134">
        <f t="shared" si="10"/>
        <v>0</v>
      </c>
      <c r="O37" s="145"/>
      <c r="P37" s="142"/>
      <c r="Q37" s="134">
        <f t="shared" si="11"/>
        <v>0</v>
      </c>
      <c r="R37" s="145"/>
      <c r="S37" s="142"/>
      <c r="T37" s="134">
        <f t="shared" si="12"/>
        <v>0</v>
      </c>
      <c r="U37" s="145"/>
      <c r="V37" s="142"/>
      <c r="W37" s="134">
        <f t="shared" si="13"/>
        <v>0</v>
      </c>
      <c r="X37" s="152"/>
      <c r="Y37" s="153"/>
      <c r="Z37" s="154"/>
      <c r="AA37" s="137">
        <f t="shared" si="14"/>
        <v>0</v>
      </c>
      <c r="AB37" s="138" t="e">
        <f t="shared" si="15"/>
        <v>#DIV/0!</v>
      </c>
    </row>
    <row r="38" spans="2:28" s="109" customFormat="1" ht="21.95" customHeight="1" outlineLevel="1">
      <c r="B38" s="148" t="str">
        <f>'CPU  1'!B38</f>
        <v>E13</v>
      </c>
      <c r="C38" s="149" t="str">
        <f>'CPU  1'!C38</f>
        <v>Compactador de solo manual</v>
      </c>
      <c r="D38" s="155" t="str">
        <f>'CPU  1'!D38</f>
        <v>vb</v>
      </c>
      <c r="E38" s="151">
        <f>'CPU  1'!E38</f>
        <v>180</v>
      </c>
      <c r="F38" s="145"/>
      <c r="G38" s="142"/>
      <c r="H38" s="134">
        <f t="shared" si="8"/>
        <v>0</v>
      </c>
      <c r="I38" s="145"/>
      <c r="J38" s="142"/>
      <c r="K38" s="134">
        <f t="shared" si="9"/>
        <v>0</v>
      </c>
      <c r="L38" s="145"/>
      <c r="M38" s="142"/>
      <c r="N38" s="134">
        <f t="shared" si="10"/>
        <v>0</v>
      </c>
      <c r="O38" s="145"/>
      <c r="P38" s="142"/>
      <c r="Q38" s="134">
        <f t="shared" si="11"/>
        <v>0</v>
      </c>
      <c r="R38" s="145"/>
      <c r="S38" s="142"/>
      <c r="T38" s="134">
        <f t="shared" si="12"/>
        <v>0</v>
      </c>
      <c r="U38" s="145"/>
      <c r="V38" s="142"/>
      <c r="W38" s="134">
        <f t="shared" si="13"/>
        <v>0</v>
      </c>
      <c r="X38" s="152"/>
      <c r="Y38" s="153"/>
      <c r="Z38" s="154"/>
      <c r="AA38" s="137">
        <f t="shared" si="14"/>
        <v>0</v>
      </c>
      <c r="AB38" s="138" t="e">
        <f t="shared" si="15"/>
        <v>#DIV/0!</v>
      </c>
    </row>
    <row r="39" spans="2:28" s="109" customFormat="1" ht="21.95" customHeight="1" outlineLevel="1">
      <c r="B39" s="148" t="str">
        <f>'CPU  1'!B39</f>
        <v>E14</v>
      </c>
      <c r="C39" s="149" t="str">
        <f>'CPU  1'!C39</f>
        <v>Computador</v>
      </c>
      <c r="D39" s="155" t="str">
        <f>'CPU  1'!D39</f>
        <v>vb/mês</v>
      </c>
      <c r="E39" s="151">
        <f>'CPU  1'!E39</f>
        <v>350</v>
      </c>
      <c r="F39" s="145"/>
      <c r="G39" s="142"/>
      <c r="H39" s="134">
        <f t="shared" si="8"/>
        <v>0</v>
      </c>
      <c r="I39" s="145"/>
      <c r="J39" s="142"/>
      <c r="K39" s="134">
        <f t="shared" si="9"/>
        <v>0</v>
      </c>
      <c r="L39" s="145"/>
      <c r="M39" s="142"/>
      <c r="N39" s="134">
        <f t="shared" si="10"/>
        <v>0</v>
      </c>
      <c r="O39" s="145"/>
      <c r="P39" s="142"/>
      <c r="Q39" s="134">
        <f t="shared" si="11"/>
        <v>0</v>
      </c>
      <c r="R39" s="145"/>
      <c r="S39" s="142"/>
      <c r="T39" s="134">
        <f t="shared" si="12"/>
        <v>0</v>
      </c>
      <c r="U39" s="145"/>
      <c r="V39" s="142"/>
      <c r="W39" s="134">
        <f t="shared" si="13"/>
        <v>0</v>
      </c>
      <c r="X39" s="152"/>
      <c r="Y39" s="153"/>
      <c r="Z39" s="154"/>
      <c r="AA39" s="137">
        <f t="shared" si="14"/>
        <v>0</v>
      </c>
      <c r="AB39" s="138" t="e">
        <f t="shared" si="15"/>
        <v>#DIV/0!</v>
      </c>
    </row>
    <row r="40" spans="2:28" s="109" customFormat="1" ht="21.95" customHeight="1" outlineLevel="1">
      <c r="B40" s="148" t="str">
        <f>'CPU  1'!B40</f>
        <v>E15</v>
      </c>
      <c r="C40" s="149" t="str">
        <f>'CPU  1'!C40</f>
        <v>Container Almoxarifado</v>
      </c>
      <c r="D40" s="155" t="str">
        <f>'CPU  1'!D40</f>
        <v>vb/mês</v>
      </c>
      <c r="E40" s="151">
        <f>'CPU  1'!E40</f>
        <v>1200</v>
      </c>
      <c r="F40" s="145"/>
      <c r="G40" s="142"/>
      <c r="H40" s="134">
        <f t="shared" si="8"/>
        <v>0</v>
      </c>
      <c r="I40" s="145"/>
      <c r="J40" s="142"/>
      <c r="K40" s="134">
        <f t="shared" si="9"/>
        <v>0</v>
      </c>
      <c r="L40" s="145"/>
      <c r="M40" s="142"/>
      <c r="N40" s="134">
        <f t="shared" si="10"/>
        <v>0</v>
      </c>
      <c r="O40" s="145"/>
      <c r="P40" s="142"/>
      <c r="Q40" s="134">
        <f t="shared" si="11"/>
        <v>0</v>
      </c>
      <c r="R40" s="145"/>
      <c r="S40" s="142"/>
      <c r="T40" s="134">
        <f t="shared" si="12"/>
        <v>0</v>
      </c>
      <c r="U40" s="145"/>
      <c r="V40" s="142"/>
      <c r="W40" s="134">
        <f t="shared" si="13"/>
        <v>0</v>
      </c>
      <c r="X40" s="152"/>
      <c r="Y40" s="153"/>
      <c r="Z40" s="154"/>
      <c r="AA40" s="137">
        <f t="shared" si="14"/>
        <v>0</v>
      </c>
      <c r="AB40" s="138" t="e">
        <f t="shared" si="15"/>
        <v>#DIV/0!</v>
      </c>
    </row>
    <row r="41" spans="2:28" s="109" customFormat="1" ht="21.95" customHeight="1" outlineLevel="1">
      <c r="B41" s="148" t="str">
        <f>'CPU  1'!B41</f>
        <v>E16</v>
      </c>
      <c r="C41" s="149" t="str">
        <f>'CPU  1'!C41</f>
        <v>Container escritorio</v>
      </c>
      <c r="D41" s="155" t="str">
        <f>'CPU  1'!D41</f>
        <v>vb/mês</v>
      </c>
      <c r="E41" s="151">
        <f>'CPU  1'!E41</f>
        <v>900</v>
      </c>
      <c r="F41" s="145"/>
      <c r="G41" s="142"/>
      <c r="H41" s="134">
        <f t="shared" si="8"/>
        <v>0</v>
      </c>
      <c r="I41" s="145"/>
      <c r="J41" s="142"/>
      <c r="K41" s="134">
        <f t="shared" si="9"/>
        <v>0</v>
      </c>
      <c r="L41" s="145"/>
      <c r="M41" s="142"/>
      <c r="N41" s="134">
        <f t="shared" si="10"/>
        <v>0</v>
      </c>
      <c r="O41" s="145"/>
      <c r="P41" s="142"/>
      <c r="Q41" s="134">
        <f t="shared" si="11"/>
        <v>0</v>
      </c>
      <c r="R41" s="145"/>
      <c r="S41" s="142"/>
      <c r="T41" s="134">
        <f t="shared" si="12"/>
        <v>0</v>
      </c>
      <c r="U41" s="145"/>
      <c r="V41" s="142"/>
      <c r="W41" s="134">
        <f t="shared" si="13"/>
        <v>0</v>
      </c>
      <c r="X41" s="152"/>
      <c r="Y41" s="153"/>
      <c r="Z41" s="154"/>
      <c r="AA41" s="137">
        <f t="shared" si="14"/>
        <v>0</v>
      </c>
      <c r="AB41" s="138" t="e">
        <f t="shared" si="15"/>
        <v>#DIV/0!</v>
      </c>
    </row>
    <row r="42" spans="2:28" s="109" customFormat="1" ht="21.95" customHeight="1" outlineLevel="1">
      <c r="B42" s="148" t="str">
        <f>'CPU  1'!B42</f>
        <v>E17</v>
      </c>
      <c r="C42" s="149" t="str">
        <f>'CPU  1'!C42</f>
        <v>EPIs</v>
      </c>
      <c r="D42" s="155" t="str">
        <f>'CPU  1'!D42</f>
        <v>vb/mês</v>
      </c>
      <c r="E42" s="151">
        <f>'CPU  1'!E42</f>
        <v>328.76666666666671</v>
      </c>
      <c r="F42" s="145"/>
      <c r="G42" s="142"/>
      <c r="H42" s="134">
        <f t="shared" si="8"/>
        <v>0</v>
      </c>
      <c r="I42" s="145"/>
      <c r="J42" s="142"/>
      <c r="K42" s="134">
        <f t="shared" si="9"/>
        <v>0</v>
      </c>
      <c r="L42" s="145"/>
      <c r="M42" s="142"/>
      <c r="N42" s="134">
        <f t="shared" si="10"/>
        <v>0</v>
      </c>
      <c r="O42" s="145"/>
      <c r="P42" s="142"/>
      <c r="Q42" s="134">
        <f t="shared" si="11"/>
        <v>0</v>
      </c>
      <c r="R42" s="145"/>
      <c r="S42" s="142"/>
      <c r="T42" s="134">
        <f t="shared" si="12"/>
        <v>0</v>
      </c>
      <c r="U42" s="145"/>
      <c r="V42" s="142"/>
      <c r="W42" s="134">
        <f t="shared" si="13"/>
        <v>0</v>
      </c>
      <c r="X42" s="152"/>
      <c r="Y42" s="153"/>
      <c r="Z42" s="154"/>
      <c r="AA42" s="137">
        <f t="shared" si="14"/>
        <v>0</v>
      </c>
      <c r="AB42" s="138" t="e">
        <f t="shared" si="15"/>
        <v>#DIV/0!</v>
      </c>
    </row>
    <row r="43" spans="2:28" s="109" customFormat="1" ht="21.95" customHeight="1" outlineLevel="1">
      <c r="B43" s="148" t="str">
        <f>'CPU  1'!B43</f>
        <v>E18</v>
      </c>
      <c r="C43" s="149" t="str">
        <f>'CPU  1'!C43</f>
        <v>Esmerilhadeira 4-1/2"</v>
      </c>
      <c r="D43" s="155" t="str">
        <f>'CPU  1'!D43</f>
        <v>und</v>
      </c>
      <c r="E43" s="151">
        <f>'CPU  1'!E43</f>
        <v>2000</v>
      </c>
      <c r="F43" s="145"/>
      <c r="G43" s="142"/>
      <c r="H43" s="134">
        <f t="shared" si="8"/>
        <v>0</v>
      </c>
      <c r="I43" s="145"/>
      <c r="J43" s="142"/>
      <c r="K43" s="134">
        <f t="shared" si="9"/>
        <v>0</v>
      </c>
      <c r="L43" s="145"/>
      <c r="M43" s="142"/>
      <c r="N43" s="134">
        <f t="shared" si="10"/>
        <v>0</v>
      </c>
      <c r="O43" s="145"/>
      <c r="P43" s="142"/>
      <c r="Q43" s="134">
        <f t="shared" si="11"/>
        <v>0</v>
      </c>
      <c r="R43" s="145"/>
      <c r="S43" s="142"/>
      <c r="T43" s="134">
        <f t="shared" si="12"/>
        <v>0</v>
      </c>
      <c r="U43" s="145"/>
      <c r="V43" s="142"/>
      <c r="W43" s="134">
        <f t="shared" si="13"/>
        <v>0</v>
      </c>
      <c r="X43" s="152"/>
      <c r="Y43" s="153"/>
      <c r="Z43" s="154"/>
      <c r="AA43" s="137">
        <f t="shared" si="14"/>
        <v>0</v>
      </c>
      <c r="AB43" s="138" t="e">
        <f t="shared" si="15"/>
        <v>#DIV/0!</v>
      </c>
    </row>
    <row r="44" spans="2:28" s="109" customFormat="1" ht="21.95" customHeight="1" outlineLevel="1">
      <c r="B44" s="148" t="str">
        <f>'CPU  1'!B44</f>
        <v>E19</v>
      </c>
      <c r="C44" s="149" t="str">
        <f>'CPU  1'!C44</f>
        <v>Estação total (com acessorios)</v>
      </c>
      <c r="D44" s="155" t="str">
        <f>'CPU  1'!D44</f>
        <v>vb/mês</v>
      </c>
      <c r="E44" s="151">
        <f>'CPU  1'!E44</f>
        <v>1350</v>
      </c>
      <c r="F44" s="145"/>
      <c r="G44" s="142"/>
      <c r="H44" s="134">
        <f t="shared" si="8"/>
        <v>0</v>
      </c>
      <c r="I44" s="145"/>
      <c r="J44" s="142"/>
      <c r="K44" s="134">
        <f t="shared" si="9"/>
        <v>0</v>
      </c>
      <c r="L44" s="145"/>
      <c r="M44" s="142"/>
      <c r="N44" s="134">
        <f t="shared" si="10"/>
        <v>0</v>
      </c>
      <c r="O44" s="145"/>
      <c r="P44" s="142"/>
      <c r="Q44" s="134">
        <f t="shared" si="11"/>
        <v>0</v>
      </c>
      <c r="R44" s="145"/>
      <c r="S44" s="142"/>
      <c r="T44" s="134">
        <f t="shared" si="12"/>
        <v>0</v>
      </c>
      <c r="U44" s="145"/>
      <c r="V44" s="142"/>
      <c r="W44" s="134">
        <f t="shared" si="13"/>
        <v>0</v>
      </c>
      <c r="X44" s="152"/>
      <c r="Y44" s="153"/>
      <c r="Z44" s="154"/>
      <c r="AA44" s="137">
        <f t="shared" si="14"/>
        <v>0</v>
      </c>
      <c r="AB44" s="138" t="e">
        <f t="shared" si="15"/>
        <v>#DIV/0!</v>
      </c>
    </row>
    <row r="45" spans="2:28" s="109" customFormat="1" ht="36" customHeight="1" outlineLevel="1">
      <c r="B45" s="148" t="str">
        <f>'CPU  1'!B45</f>
        <v>E20</v>
      </c>
      <c r="C45" s="149" t="str">
        <f>'CPU  1'!C45</f>
        <v>Extensões eletricas (plug steck + DJ + DR) 40m</v>
      </c>
      <c r="D45" s="155" t="str">
        <f>'CPU  1'!D45</f>
        <v>vb</v>
      </c>
      <c r="E45" s="151">
        <f>'CPU  1'!E45</f>
        <v>1087.8</v>
      </c>
      <c r="F45" s="145"/>
      <c r="G45" s="142"/>
      <c r="H45" s="134">
        <f t="shared" si="8"/>
        <v>0</v>
      </c>
      <c r="I45" s="145"/>
      <c r="J45" s="142"/>
      <c r="K45" s="134">
        <f t="shared" si="9"/>
        <v>0</v>
      </c>
      <c r="L45" s="145"/>
      <c r="M45" s="142"/>
      <c r="N45" s="134">
        <f t="shared" si="10"/>
        <v>0</v>
      </c>
      <c r="O45" s="145"/>
      <c r="P45" s="142"/>
      <c r="Q45" s="134">
        <f t="shared" si="11"/>
        <v>0</v>
      </c>
      <c r="R45" s="145"/>
      <c r="S45" s="142"/>
      <c r="T45" s="134">
        <f t="shared" si="12"/>
        <v>0</v>
      </c>
      <c r="U45" s="145"/>
      <c r="V45" s="142"/>
      <c r="W45" s="134">
        <f t="shared" si="13"/>
        <v>0</v>
      </c>
      <c r="X45" s="152"/>
      <c r="Y45" s="153"/>
      <c r="Z45" s="154"/>
      <c r="AA45" s="137">
        <f t="shared" si="14"/>
        <v>0</v>
      </c>
      <c r="AB45" s="138" t="e">
        <f t="shared" si="15"/>
        <v>#DIV/0!</v>
      </c>
    </row>
    <row r="46" spans="2:28" s="109" customFormat="1" ht="21.95" customHeight="1" outlineLevel="1">
      <c r="B46" s="148" t="str">
        <f>'CPU  1'!B46</f>
        <v>E21</v>
      </c>
      <c r="C46" s="149" t="str">
        <f>'CPU  1'!C46</f>
        <v>Ferramentas gerais para obra</v>
      </c>
      <c r="D46" s="155" t="str">
        <f>'CPU  1'!D46</f>
        <v>vb</v>
      </c>
      <c r="E46" s="151">
        <f>'CPU  1'!E46</f>
        <v>5000</v>
      </c>
      <c r="F46" s="145"/>
      <c r="G46" s="142"/>
      <c r="H46" s="134">
        <f t="shared" si="8"/>
        <v>0</v>
      </c>
      <c r="I46" s="145"/>
      <c r="J46" s="142"/>
      <c r="K46" s="134">
        <f t="shared" si="9"/>
        <v>0</v>
      </c>
      <c r="L46" s="145"/>
      <c r="M46" s="142"/>
      <c r="N46" s="134">
        <f t="shared" si="10"/>
        <v>0</v>
      </c>
      <c r="O46" s="145"/>
      <c r="P46" s="142"/>
      <c r="Q46" s="134">
        <f t="shared" si="11"/>
        <v>0</v>
      </c>
      <c r="R46" s="145"/>
      <c r="S46" s="142"/>
      <c r="T46" s="134">
        <f t="shared" si="12"/>
        <v>0</v>
      </c>
      <c r="U46" s="145"/>
      <c r="V46" s="142"/>
      <c r="W46" s="134">
        <f t="shared" si="13"/>
        <v>0</v>
      </c>
      <c r="X46" s="152"/>
      <c r="Y46" s="153"/>
      <c r="Z46" s="154"/>
      <c r="AA46" s="137">
        <f t="shared" si="14"/>
        <v>0</v>
      </c>
      <c r="AB46" s="138" t="e">
        <f t="shared" si="15"/>
        <v>#DIV/0!</v>
      </c>
    </row>
    <row r="47" spans="2:28" s="109" customFormat="1" ht="21.95" customHeight="1" outlineLevel="1">
      <c r="B47" s="148" t="str">
        <f>'CPU  1'!B47</f>
        <v>E22</v>
      </c>
      <c r="C47" s="149" t="str">
        <f>'CPU  1'!C47</f>
        <v>Freezer 300L</v>
      </c>
      <c r="D47" s="155" t="str">
        <f>'CPU  1'!D47</f>
        <v>vb</v>
      </c>
      <c r="E47" s="151">
        <f>'CPU  1'!E47</f>
        <v>2500</v>
      </c>
      <c r="F47" s="145"/>
      <c r="G47" s="142"/>
      <c r="H47" s="134">
        <f t="shared" si="8"/>
        <v>0</v>
      </c>
      <c r="I47" s="145"/>
      <c r="J47" s="142"/>
      <c r="K47" s="134">
        <f t="shared" si="9"/>
        <v>0</v>
      </c>
      <c r="L47" s="145"/>
      <c r="M47" s="142"/>
      <c r="N47" s="134">
        <f t="shared" si="10"/>
        <v>0</v>
      </c>
      <c r="O47" s="145"/>
      <c r="P47" s="142"/>
      <c r="Q47" s="134">
        <f t="shared" si="11"/>
        <v>0</v>
      </c>
      <c r="R47" s="145"/>
      <c r="S47" s="142"/>
      <c r="T47" s="134">
        <f t="shared" si="12"/>
        <v>0</v>
      </c>
      <c r="U47" s="145"/>
      <c r="V47" s="142"/>
      <c r="W47" s="134">
        <f t="shared" si="13"/>
        <v>0</v>
      </c>
      <c r="X47" s="152"/>
      <c r="Y47" s="153"/>
      <c r="Z47" s="154"/>
      <c r="AA47" s="137">
        <f t="shared" si="14"/>
        <v>0</v>
      </c>
      <c r="AB47" s="138" t="e">
        <f t="shared" si="15"/>
        <v>#DIV/0!</v>
      </c>
    </row>
    <row r="48" spans="2:28" s="109" customFormat="1" ht="21.95" customHeight="1" outlineLevel="1">
      <c r="B48" s="148" t="str">
        <f>'CPU  1'!B48</f>
        <v>E23</v>
      </c>
      <c r="C48" s="149" t="str">
        <f>'CPU  1'!C48</f>
        <v>Furadeira</v>
      </c>
      <c r="D48" s="155" t="str">
        <f>'CPU  1'!D48</f>
        <v>pç</v>
      </c>
      <c r="E48" s="151">
        <f>'CPU  1'!E48</f>
        <v>800</v>
      </c>
      <c r="F48" s="145"/>
      <c r="G48" s="142"/>
      <c r="H48" s="134">
        <f t="shared" si="8"/>
        <v>0</v>
      </c>
      <c r="I48" s="145"/>
      <c r="J48" s="142"/>
      <c r="K48" s="134">
        <f t="shared" si="9"/>
        <v>0</v>
      </c>
      <c r="L48" s="145"/>
      <c r="M48" s="142"/>
      <c r="N48" s="134">
        <f t="shared" si="10"/>
        <v>0</v>
      </c>
      <c r="O48" s="145"/>
      <c r="P48" s="142"/>
      <c r="Q48" s="134">
        <f t="shared" si="11"/>
        <v>0</v>
      </c>
      <c r="R48" s="145"/>
      <c r="S48" s="142"/>
      <c r="T48" s="134">
        <f t="shared" si="12"/>
        <v>0</v>
      </c>
      <c r="U48" s="145"/>
      <c r="V48" s="142"/>
      <c r="W48" s="134">
        <f t="shared" si="13"/>
        <v>0</v>
      </c>
      <c r="X48" s="152"/>
      <c r="Y48" s="153"/>
      <c r="Z48" s="154"/>
      <c r="AA48" s="137">
        <f t="shared" si="14"/>
        <v>0</v>
      </c>
      <c r="AB48" s="138" t="e">
        <f t="shared" si="15"/>
        <v>#DIV/0!</v>
      </c>
    </row>
    <row r="49" spans="2:28" s="109" customFormat="1" ht="21.95" customHeight="1" outlineLevel="1">
      <c r="B49" s="148" t="str">
        <f>'CPU  1'!B49</f>
        <v>E24</v>
      </c>
      <c r="C49" s="149" t="str">
        <f>'CPU  1'!C49</f>
        <v>Garrafa térmica 12 L</v>
      </c>
      <c r="D49" s="155" t="str">
        <f>'CPU  1'!D49</f>
        <v>pç</v>
      </c>
      <c r="E49" s="151">
        <f>'CPU  1'!E49</f>
        <v>210</v>
      </c>
      <c r="F49" s="145"/>
      <c r="G49" s="142"/>
      <c r="H49" s="134">
        <f t="shared" si="8"/>
        <v>0</v>
      </c>
      <c r="I49" s="145"/>
      <c r="J49" s="142"/>
      <c r="K49" s="134">
        <f t="shared" si="9"/>
        <v>0</v>
      </c>
      <c r="L49" s="145"/>
      <c r="M49" s="142"/>
      <c r="N49" s="134">
        <f t="shared" si="10"/>
        <v>0</v>
      </c>
      <c r="O49" s="145"/>
      <c r="P49" s="142"/>
      <c r="Q49" s="134">
        <f t="shared" si="11"/>
        <v>0</v>
      </c>
      <c r="R49" s="145"/>
      <c r="S49" s="142"/>
      <c r="T49" s="134">
        <f t="shared" si="12"/>
        <v>0</v>
      </c>
      <c r="U49" s="145"/>
      <c r="V49" s="142"/>
      <c r="W49" s="134">
        <f t="shared" si="13"/>
        <v>0</v>
      </c>
      <c r="X49" s="152"/>
      <c r="Y49" s="153"/>
      <c r="Z49" s="154"/>
      <c r="AA49" s="137">
        <f t="shared" si="14"/>
        <v>0</v>
      </c>
      <c r="AB49" s="138" t="e">
        <f t="shared" si="15"/>
        <v>#DIV/0!</v>
      </c>
    </row>
    <row r="50" spans="2:28" s="109" customFormat="1" ht="21.95" customHeight="1" outlineLevel="1">
      <c r="B50" s="148" t="str">
        <f>'CPU  1'!B50</f>
        <v>E25</v>
      </c>
      <c r="C50" s="149" t="str">
        <f>'CPU  1'!C50</f>
        <v>Gerador 40KVA</v>
      </c>
      <c r="D50" s="155" t="str">
        <f>'CPU  1'!D50</f>
        <v>vb/mês</v>
      </c>
      <c r="E50" s="151">
        <f>'CPU  1'!E50</f>
        <v>3200</v>
      </c>
      <c r="F50" s="145"/>
      <c r="G50" s="142"/>
      <c r="H50" s="134">
        <f t="shared" si="8"/>
        <v>0</v>
      </c>
      <c r="I50" s="145"/>
      <c r="J50" s="142"/>
      <c r="K50" s="134">
        <f t="shared" si="9"/>
        <v>0</v>
      </c>
      <c r="L50" s="145"/>
      <c r="M50" s="142"/>
      <c r="N50" s="134">
        <f t="shared" si="10"/>
        <v>0</v>
      </c>
      <c r="O50" s="145"/>
      <c r="P50" s="142"/>
      <c r="Q50" s="134">
        <f t="shared" si="11"/>
        <v>0</v>
      </c>
      <c r="R50" s="145"/>
      <c r="S50" s="142"/>
      <c r="T50" s="134">
        <f t="shared" si="12"/>
        <v>0</v>
      </c>
      <c r="U50" s="145"/>
      <c r="V50" s="142"/>
      <c r="W50" s="134">
        <f t="shared" si="13"/>
        <v>0</v>
      </c>
      <c r="X50" s="152"/>
      <c r="Y50" s="153"/>
      <c r="Z50" s="154"/>
      <c r="AA50" s="137">
        <f t="shared" si="14"/>
        <v>0</v>
      </c>
      <c r="AB50" s="138" t="e">
        <f t="shared" si="15"/>
        <v>#DIV/0!</v>
      </c>
    </row>
    <row r="51" spans="2:28" s="109" customFormat="1" ht="21.95" customHeight="1" outlineLevel="1">
      <c r="B51" s="148" t="str">
        <f>'CPU  1'!B51</f>
        <v>E26</v>
      </c>
      <c r="C51" s="149" t="str">
        <f>'CPU  1'!C51</f>
        <v>Gerador 6KVA</v>
      </c>
      <c r="D51" s="155" t="str">
        <f>'CPU  1'!D51</f>
        <v>vb/mês</v>
      </c>
      <c r="E51" s="151">
        <f>'CPU  1'!E51</f>
        <v>1200</v>
      </c>
      <c r="F51" s="145"/>
      <c r="G51" s="142"/>
      <c r="H51" s="134">
        <f t="shared" si="8"/>
        <v>0</v>
      </c>
      <c r="I51" s="145"/>
      <c r="J51" s="142"/>
      <c r="K51" s="134">
        <f t="shared" si="9"/>
        <v>0</v>
      </c>
      <c r="L51" s="145"/>
      <c r="M51" s="142"/>
      <c r="N51" s="134">
        <f t="shared" si="10"/>
        <v>0</v>
      </c>
      <c r="O51" s="145"/>
      <c r="P51" s="142"/>
      <c r="Q51" s="134">
        <f t="shared" si="11"/>
        <v>0</v>
      </c>
      <c r="R51" s="145"/>
      <c r="S51" s="142"/>
      <c r="T51" s="134">
        <f t="shared" si="12"/>
        <v>0</v>
      </c>
      <c r="U51" s="145"/>
      <c r="V51" s="142"/>
      <c r="W51" s="134">
        <f t="shared" si="13"/>
        <v>0</v>
      </c>
      <c r="X51" s="152"/>
      <c r="Y51" s="153"/>
      <c r="Z51" s="154"/>
      <c r="AA51" s="137">
        <f t="shared" si="14"/>
        <v>0</v>
      </c>
      <c r="AB51" s="138" t="e">
        <f t="shared" si="15"/>
        <v>#DIV/0!</v>
      </c>
    </row>
    <row r="52" spans="2:28" s="109" customFormat="1" ht="21.95" customHeight="1" outlineLevel="1">
      <c r="B52" s="148" t="str">
        <f>'CPU  1'!B52</f>
        <v>E27</v>
      </c>
      <c r="C52" s="149" t="str">
        <f>'CPU  1'!C52</f>
        <v>Impressora</v>
      </c>
      <c r="D52" s="155" t="str">
        <f>'CPU  1'!D52</f>
        <v>vb/mês</v>
      </c>
      <c r="E52" s="151">
        <f>'CPU  1'!E52</f>
        <v>350</v>
      </c>
      <c r="F52" s="145"/>
      <c r="G52" s="142"/>
      <c r="H52" s="134">
        <f t="shared" si="8"/>
        <v>0</v>
      </c>
      <c r="I52" s="145"/>
      <c r="J52" s="142"/>
      <c r="K52" s="134">
        <f t="shared" si="9"/>
        <v>0</v>
      </c>
      <c r="L52" s="145"/>
      <c r="M52" s="142"/>
      <c r="N52" s="134">
        <f t="shared" si="10"/>
        <v>0</v>
      </c>
      <c r="O52" s="145"/>
      <c r="P52" s="142"/>
      <c r="Q52" s="134">
        <f t="shared" si="11"/>
        <v>0</v>
      </c>
      <c r="R52" s="145"/>
      <c r="S52" s="142"/>
      <c r="T52" s="134">
        <f t="shared" si="12"/>
        <v>0</v>
      </c>
      <c r="U52" s="145"/>
      <c r="V52" s="142"/>
      <c r="W52" s="134">
        <f t="shared" si="13"/>
        <v>0</v>
      </c>
      <c r="X52" s="152"/>
      <c r="Y52" s="153"/>
      <c r="Z52" s="154"/>
      <c r="AA52" s="137">
        <f t="shared" si="14"/>
        <v>0</v>
      </c>
      <c r="AB52" s="138" t="e">
        <f t="shared" si="15"/>
        <v>#DIV/0!</v>
      </c>
    </row>
    <row r="53" spans="2:28" s="109" customFormat="1" ht="21.95" customHeight="1" outlineLevel="1">
      <c r="B53" s="148" t="str">
        <f>'CPU  1'!B53</f>
        <v>E28</v>
      </c>
      <c r="C53" s="149" t="str">
        <f>'CPU  1'!C53</f>
        <v>Martelete demolição</v>
      </c>
      <c r="D53" s="155" t="str">
        <f>'CPU  1'!D53</f>
        <v>vb/mês</v>
      </c>
      <c r="E53" s="151">
        <f>'CPU  1'!E53</f>
        <v>900</v>
      </c>
      <c r="F53" s="145"/>
      <c r="G53" s="142"/>
      <c r="H53" s="134">
        <f t="shared" si="8"/>
        <v>0</v>
      </c>
      <c r="I53" s="145"/>
      <c r="J53" s="142"/>
      <c r="K53" s="134">
        <f t="shared" si="9"/>
        <v>0</v>
      </c>
      <c r="L53" s="145"/>
      <c r="M53" s="142"/>
      <c r="N53" s="134">
        <f t="shared" si="10"/>
        <v>0</v>
      </c>
      <c r="O53" s="145"/>
      <c r="P53" s="142"/>
      <c r="Q53" s="134">
        <f t="shared" si="11"/>
        <v>0</v>
      </c>
      <c r="R53" s="145"/>
      <c r="S53" s="142"/>
      <c r="T53" s="134">
        <f t="shared" si="12"/>
        <v>0</v>
      </c>
      <c r="U53" s="145"/>
      <c r="V53" s="142"/>
      <c r="W53" s="134">
        <f t="shared" si="13"/>
        <v>0</v>
      </c>
      <c r="X53" s="152"/>
      <c r="Y53" s="153"/>
      <c r="Z53" s="154"/>
      <c r="AA53" s="137">
        <f t="shared" si="14"/>
        <v>0</v>
      </c>
      <c r="AB53" s="138" t="e">
        <f t="shared" si="15"/>
        <v>#DIV/0!</v>
      </c>
    </row>
    <row r="54" spans="2:28" s="109" customFormat="1" ht="21.95" customHeight="1" outlineLevel="1">
      <c r="B54" s="148" t="str">
        <f>'CPU  1'!B54</f>
        <v>E29</v>
      </c>
      <c r="C54" s="149" t="str">
        <f>'CPU  1'!C54</f>
        <v>Masseira 2x1m</v>
      </c>
      <c r="D54" s="155" t="str">
        <f>'CPU  1'!D54</f>
        <v>pç</v>
      </c>
      <c r="E54" s="151">
        <f>'CPU  1'!E54</f>
        <v>486.59</v>
      </c>
      <c r="F54" s="145"/>
      <c r="G54" s="142"/>
      <c r="H54" s="134">
        <f t="shared" si="8"/>
        <v>0</v>
      </c>
      <c r="I54" s="145"/>
      <c r="J54" s="142"/>
      <c r="K54" s="134">
        <f t="shared" si="9"/>
        <v>0</v>
      </c>
      <c r="L54" s="145"/>
      <c r="M54" s="142"/>
      <c r="N54" s="134">
        <f t="shared" si="10"/>
        <v>0</v>
      </c>
      <c r="O54" s="145"/>
      <c r="P54" s="142"/>
      <c r="Q54" s="134">
        <f t="shared" si="11"/>
        <v>0</v>
      </c>
      <c r="R54" s="145"/>
      <c r="S54" s="142"/>
      <c r="T54" s="134">
        <f t="shared" si="12"/>
        <v>0</v>
      </c>
      <c r="U54" s="145"/>
      <c r="V54" s="142"/>
      <c r="W54" s="134">
        <f t="shared" si="13"/>
        <v>0</v>
      </c>
      <c r="X54" s="152"/>
      <c r="Y54" s="153"/>
      <c r="Z54" s="154"/>
      <c r="AA54" s="137">
        <f t="shared" si="14"/>
        <v>0</v>
      </c>
      <c r="AB54" s="138" t="e">
        <f t="shared" si="15"/>
        <v>#DIV/0!</v>
      </c>
    </row>
    <row r="55" spans="2:28" s="109" customFormat="1" ht="21.95" customHeight="1" outlineLevel="1">
      <c r="B55" s="148" t="str">
        <f>'CPU  1'!B55</f>
        <v>E30</v>
      </c>
      <c r="C55" s="149" t="str">
        <f>'CPU  1'!C55</f>
        <v>Misturador de argamassa</v>
      </c>
      <c r="D55" s="155" t="str">
        <f>'CPU  1'!D55</f>
        <v>pç</v>
      </c>
      <c r="E55" s="151">
        <f>'CPU  1'!E55</f>
        <v>600</v>
      </c>
      <c r="F55" s="145"/>
      <c r="G55" s="142"/>
      <c r="H55" s="134">
        <f t="shared" si="8"/>
        <v>0</v>
      </c>
      <c r="I55" s="145"/>
      <c r="J55" s="142"/>
      <c r="K55" s="134">
        <f t="shared" si="9"/>
        <v>0</v>
      </c>
      <c r="L55" s="145"/>
      <c r="M55" s="142"/>
      <c r="N55" s="134">
        <f t="shared" si="10"/>
        <v>0</v>
      </c>
      <c r="O55" s="145"/>
      <c r="P55" s="142"/>
      <c r="Q55" s="134">
        <f t="shared" si="11"/>
        <v>0</v>
      </c>
      <c r="R55" s="145"/>
      <c r="S55" s="142"/>
      <c r="T55" s="134">
        <f t="shared" si="12"/>
        <v>0</v>
      </c>
      <c r="U55" s="145"/>
      <c r="V55" s="142"/>
      <c r="W55" s="134">
        <f t="shared" si="13"/>
        <v>0</v>
      </c>
      <c r="X55" s="152"/>
      <c r="Y55" s="153"/>
      <c r="Z55" s="154"/>
      <c r="AA55" s="137">
        <f t="shared" si="14"/>
        <v>0</v>
      </c>
      <c r="AB55" s="138" t="e">
        <f t="shared" si="15"/>
        <v>#DIV/0!</v>
      </c>
    </row>
    <row r="56" spans="2:28" s="109" customFormat="1" ht="21.95" customHeight="1" outlineLevel="1">
      <c r="B56" s="148" t="str">
        <f>'CPU  1'!B56</f>
        <v>E31</v>
      </c>
      <c r="C56" s="149" t="str">
        <f>'CPU  1'!C56</f>
        <v>Mobiliario (cadeira, mesa, etc.)</v>
      </c>
      <c r="D56" s="155" t="str">
        <f>'CPU  1'!D56</f>
        <v>vb/mês</v>
      </c>
      <c r="E56" s="151">
        <f>'CPU  1'!E56</f>
        <v>6000</v>
      </c>
      <c r="F56" s="145"/>
      <c r="G56" s="142"/>
      <c r="H56" s="134">
        <f t="shared" si="8"/>
        <v>0</v>
      </c>
      <c r="I56" s="145"/>
      <c r="J56" s="142"/>
      <c r="K56" s="134">
        <f t="shared" si="9"/>
        <v>0</v>
      </c>
      <c r="L56" s="145"/>
      <c r="M56" s="142"/>
      <c r="N56" s="134">
        <f t="shared" si="10"/>
        <v>0</v>
      </c>
      <c r="O56" s="145"/>
      <c r="P56" s="142"/>
      <c r="Q56" s="134">
        <f t="shared" si="11"/>
        <v>0</v>
      </c>
      <c r="R56" s="145"/>
      <c r="S56" s="142"/>
      <c r="T56" s="134">
        <f t="shared" si="12"/>
        <v>0</v>
      </c>
      <c r="U56" s="145"/>
      <c r="V56" s="142"/>
      <c r="W56" s="134">
        <f t="shared" si="13"/>
        <v>0</v>
      </c>
      <c r="X56" s="152"/>
      <c r="Y56" s="153"/>
      <c r="Z56" s="154"/>
      <c r="AA56" s="137">
        <f t="shared" si="14"/>
        <v>0</v>
      </c>
      <c r="AB56" s="138" t="e">
        <f t="shared" si="15"/>
        <v>#DIV/0!</v>
      </c>
    </row>
    <row r="57" spans="2:28" s="109" customFormat="1" ht="21.95" customHeight="1" outlineLevel="1">
      <c r="B57" s="148" t="str">
        <f>'CPU  1'!B57</f>
        <v>E32</v>
      </c>
      <c r="C57" s="149" t="str">
        <f>'CPU  1'!C57</f>
        <v>Multimetro</v>
      </c>
      <c r="D57" s="155" t="str">
        <f>'CPU  1'!D57</f>
        <v>pç</v>
      </c>
      <c r="E57" s="151">
        <f>'CPU  1'!E57</f>
        <v>2100</v>
      </c>
      <c r="F57" s="145"/>
      <c r="G57" s="142"/>
      <c r="H57" s="134">
        <f t="shared" si="8"/>
        <v>0</v>
      </c>
      <c r="I57" s="145"/>
      <c r="J57" s="142"/>
      <c r="K57" s="134">
        <f t="shared" si="9"/>
        <v>0</v>
      </c>
      <c r="L57" s="145"/>
      <c r="M57" s="142"/>
      <c r="N57" s="134">
        <f t="shared" si="10"/>
        <v>0</v>
      </c>
      <c r="O57" s="145"/>
      <c r="P57" s="142"/>
      <c r="Q57" s="134">
        <f t="shared" si="11"/>
        <v>0</v>
      </c>
      <c r="R57" s="145"/>
      <c r="S57" s="142"/>
      <c r="T57" s="134">
        <f t="shared" si="12"/>
        <v>0</v>
      </c>
      <c r="U57" s="145"/>
      <c r="V57" s="142"/>
      <c r="W57" s="134">
        <f t="shared" si="13"/>
        <v>0</v>
      </c>
      <c r="X57" s="152"/>
      <c r="Y57" s="153"/>
      <c r="Z57" s="154"/>
      <c r="AA57" s="137">
        <f t="shared" si="14"/>
        <v>0</v>
      </c>
      <c r="AB57" s="138" t="e">
        <f t="shared" si="15"/>
        <v>#DIV/0!</v>
      </c>
    </row>
    <row r="58" spans="2:28" s="109" customFormat="1" ht="21.95" customHeight="1" outlineLevel="1">
      <c r="B58" s="148" t="str">
        <f>'CPU  1'!B58</f>
        <v>E33</v>
      </c>
      <c r="C58" s="149" t="str">
        <f>'CPU  1'!C58</f>
        <v>Painel eletrico para canteiro</v>
      </c>
      <c r="D58" s="155" t="str">
        <f>'CPU  1'!D58</f>
        <v>vb</v>
      </c>
      <c r="E58" s="151">
        <f>'CPU  1'!E58</f>
        <v>6500</v>
      </c>
      <c r="F58" s="145"/>
      <c r="G58" s="142"/>
      <c r="H58" s="134">
        <f t="shared" si="8"/>
        <v>0</v>
      </c>
      <c r="I58" s="145"/>
      <c r="J58" s="142"/>
      <c r="K58" s="134">
        <f t="shared" si="9"/>
        <v>0</v>
      </c>
      <c r="L58" s="145"/>
      <c r="M58" s="142"/>
      <c r="N58" s="134">
        <f t="shared" si="10"/>
        <v>0</v>
      </c>
      <c r="O58" s="145"/>
      <c r="P58" s="142"/>
      <c r="Q58" s="134">
        <f t="shared" si="11"/>
        <v>0</v>
      </c>
      <c r="R58" s="145"/>
      <c r="S58" s="142"/>
      <c r="T58" s="134">
        <f t="shared" si="12"/>
        <v>0</v>
      </c>
      <c r="U58" s="145"/>
      <c r="V58" s="142"/>
      <c r="W58" s="134">
        <f t="shared" si="13"/>
        <v>0</v>
      </c>
      <c r="X58" s="152"/>
      <c r="Y58" s="153"/>
      <c r="Z58" s="154"/>
      <c r="AA58" s="137">
        <f t="shared" si="14"/>
        <v>0</v>
      </c>
      <c r="AB58" s="138" t="e">
        <f t="shared" si="15"/>
        <v>#DIV/0!</v>
      </c>
    </row>
    <row r="59" spans="2:28" s="109" customFormat="1" ht="21.95" customHeight="1" outlineLevel="1">
      <c r="B59" s="148" t="str">
        <f>'CPU  1'!B59</f>
        <v>E34</v>
      </c>
      <c r="C59" s="149" t="str">
        <f>'CPU  1'!C59</f>
        <v>Painel eletrico para frente de serviço</v>
      </c>
      <c r="D59" s="155" t="str">
        <f>'CPU  1'!D59</f>
        <v>vb</v>
      </c>
      <c r="E59" s="151">
        <f>'CPU  1'!E59</f>
        <v>3000</v>
      </c>
      <c r="F59" s="145"/>
      <c r="G59" s="142"/>
      <c r="H59" s="134">
        <f t="shared" si="8"/>
        <v>0</v>
      </c>
      <c r="I59" s="145"/>
      <c r="J59" s="142"/>
      <c r="K59" s="134">
        <f t="shared" si="9"/>
        <v>0</v>
      </c>
      <c r="L59" s="145"/>
      <c r="M59" s="142"/>
      <c r="N59" s="134">
        <f t="shared" si="10"/>
        <v>0</v>
      </c>
      <c r="O59" s="145"/>
      <c r="P59" s="142"/>
      <c r="Q59" s="134">
        <f t="shared" si="11"/>
        <v>0</v>
      </c>
      <c r="R59" s="145"/>
      <c r="S59" s="142"/>
      <c r="T59" s="134">
        <f t="shared" si="12"/>
        <v>0</v>
      </c>
      <c r="U59" s="145"/>
      <c r="V59" s="142"/>
      <c r="W59" s="134">
        <f t="shared" si="13"/>
        <v>0</v>
      </c>
      <c r="X59" s="152"/>
      <c r="Y59" s="153"/>
      <c r="Z59" s="154"/>
      <c r="AA59" s="137">
        <f t="shared" si="14"/>
        <v>0</v>
      </c>
      <c r="AB59" s="138" t="e">
        <f t="shared" si="15"/>
        <v>#DIV/0!</v>
      </c>
    </row>
    <row r="60" spans="2:28" s="109" customFormat="1" ht="21.95" customHeight="1" outlineLevel="1">
      <c r="B60" s="148" t="str">
        <f>'CPU  1'!B60</f>
        <v>E35</v>
      </c>
      <c r="C60" s="149" t="str">
        <f>'CPU  1'!C60</f>
        <v>Pedestais para isolamento</v>
      </c>
      <c r="D60" s="155" t="str">
        <f>'CPU  1'!D60</f>
        <v>vb</v>
      </c>
      <c r="E60" s="151">
        <f>'CPU  1'!E60</f>
        <v>150</v>
      </c>
      <c r="F60" s="145"/>
      <c r="G60" s="142"/>
      <c r="H60" s="134">
        <f t="shared" si="8"/>
        <v>0</v>
      </c>
      <c r="I60" s="145"/>
      <c r="J60" s="142"/>
      <c r="K60" s="134">
        <f t="shared" si="9"/>
        <v>0</v>
      </c>
      <c r="L60" s="145"/>
      <c r="M60" s="142"/>
      <c r="N60" s="134">
        <f t="shared" si="10"/>
        <v>0</v>
      </c>
      <c r="O60" s="145"/>
      <c r="P60" s="142"/>
      <c r="Q60" s="134">
        <f t="shared" si="11"/>
        <v>0</v>
      </c>
      <c r="R60" s="145"/>
      <c r="S60" s="142"/>
      <c r="T60" s="134">
        <f t="shared" si="12"/>
        <v>0</v>
      </c>
      <c r="U60" s="145"/>
      <c r="V60" s="142"/>
      <c r="W60" s="134">
        <f t="shared" si="13"/>
        <v>0</v>
      </c>
      <c r="X60" s="152"/>
      <c r="Y60" s="153"/>
      <c r="Z60" s="154"/>
      <c r="AA60" s="137">
        <f t="shared" si="14"/>
        <v>0</v>
      </c>
      <c r="AB60" s="138" t="e">
        <f t="shared" si="15"/>
        <v>#DIV/0!</v>
      </c>
    </row>
    <row r="61" spans="2:28" s="109" customFormat="1" ht="21.95" customHeight="1" outlineLevel="1">
      <c r="B61" s="148" t="str">
        <f>'CPU  1'!B61</f>
        <v>E36</v>
      </c>
      <c r="C61" s="149" t="str">
        <f>'CPU  1'!C61</f>
        <v>Serra circular</v>
      </c>
      <c r="D61" s="155" t="str">
        <f>'CPU  1'!D61</f>
        <v>pç</v>
      </c>
      <c r="E61" s="151">
        <f>'CPU  1'!E61</f>
        <v>850</v>
      </c>
      <c r="F61" s="145"/>
      <c r="G61" s="142"/>
      <c r="H61" s="134">
        <f t="shared" si="8"/>
        <v>0</v>
      </c>
      <c r="I61" s="145"/>
      <c r="J61" s="142"/>
      <c r="K61" s="134">
        <f t="shared" si="9"/>
        <v>0</v>
      </c>
      <c r="L61" s="145"/>
      <c r="M61" s="142"/>
      <c r="N61" s="134">
        <f t="shared" si="10"/>
        <v>0</v>
      </c>
      <c r="O61" s="145"/>
      <c r="P61" s="142"/>
      <c r="Q61" s="134">
        <f t="shared" si="11"/>
        <v>0</v>
      </c>
      <c r="R61" s="145"/>
      <c r="S61" s="142"/>
      <c r="T61" s="134">
        <f t="shared" si="12"/>
        <v>0</v>
      </c>
      <c r="U61" s="145"/>
      <c r="V61" s="142"/>
      <c r="W61" s="134">
        <f t="shared" si="13"/>
        <v>0</v>
      </c>
      <c r="X61" s="152"/>
      <c r="Y61" s="153"/>
      <c r="Z61" s="154"/>
      <c r="AA61" s="137">
        <f t="shared" si="14"/>
        <v>0</v>
      </c>
      <c r="AB61" s="138" t="e">
        <f t="shared" si="15"/>
        <v>#DIV/0!</v>
      </c>
    </row>
    <row r="62" spans="2:28" s="109" customFormat="1" ht="21.95" customHeight="1" outlineLevel="1">
      <c r="B62" s="148" t="str">
        <f>'CPU  1'!B62</f>
        <v>E37</v>
      </c>
      <c r="C62" s="149" t="str">
        <f>'CPU  1'!C62</f>
        <v>Tela cerquite</v>
      </c>
      <c r="D62" s="155" t="str">
        <f>'CPU  1'!D62</f>
        <v>pç</v>
      </c>
      <c r="E62" s="151">
        <f>'CPU  1'!E62</f>
        <v>150</v>
      </c>
      <c r="F62" s="145"/>
      <c r="G62" s="142"/>
      <c r="H62" s="134">
        <f t="shared" si="8"/>
        <v>0</v>
      </c>
      <c r="I62" s="145"/>
      <c r="J62" s="142"/>
      <c r="K62" s="134">
        <f t="shared" si="9"/>
        <v>0</v>
      </c>
      <c r="L62" s="145"/>
      <c r="M62" s="142"/>
      <c r="N62" s="134">
        <f t="shared" si="10"/>
        <v>0</v>
      </c>
      <c r="O62" s="145"/>
      <c r="P62" s="142"/>
      <c r="Q62" s="134">
        <f t="shared" si="11"/>
        <v>0</v>
      </c>
      <c r="R62" s="145"/>
      <c r="S62" s="142"/>
      <c r="T62" s="134">
        <f t="shared" si="12"/>
        <v>0</v>
      </c>
      <c r="U62" s="145"/>
      <c r="V62" s="142"/>
      <c r="W62" s="134">
        <f t="shared" si="13"/>
        <v>0</v>
      </c>
      <c r="X62" s="152"/>
      <c r="Y62" s="153"/>
      <c r="Z62" s="154"/>
      <c r="AA62" s="137">
        <f t="shared" si="14"/>
        <v>0</v>
      </c>
      <c r="AB62" s="138" t="e">
        <f t="shared" si="15"/>
        <v>#DIV/0!</v>
      </c>
    </row>
    <row r="63" spans="2:28" s="109" customFormat="1" ht="21.95" customHeight="1" outlineLevel="1">
      <c r="B63" s="148" t="str">
        <f>'CPU  1'!B63</f>
        <v>E38</v>
      </c>
      <c r="C63" s="149" t="str">
        <f>'CPU  1'!C63</f>
        <v>Tenda 10 x 10m</v>
      </c>
      <c r="D63" s="155" t="str">
        <f>'CPU  1'!D63</f>
        <v>vb/mês</v>
      </c>
      <c r="E63" s="151">
        <f>'CPU  1'!E63</f>
        <v>1800</v>
      </c>
      <c r="F63" s="145"/>
      <c r="G63" s="142"/>
      <c r="H63" s="134">
        <f t="shared" si="8"/>
        <v>0</v>
      </c>
      <c r="I63" s="145"/>
      <c r="J63" s="142"/>
      <c r="K63" s="134">
        <f t="shared" si="9"/>
        <v>0</v>
      </c>
      <c r="L63" s="145"/>
      <c r="M63" s="142"/>
      <c r="N63" s="134">
        <f t="shared" si="10"/>
        <v>0</v>
      </c>
      <c r="O63" s="145"/>
      <c r="P63" s="142"/>
      <c r="Q63" s="134">
        <f t="shared" si="11"/>
        <v>0</v>
      </c>
      <c r="R63" s="145"/>
      <c r="S63" s="142"/>
      <c r="T63" s="134">
        <f t="shared" si="12"/>
        <v>0</v>
      </c>
      <c r="U63" s="145"/>
      <c r="V63" s="142"/>
      <c r="W63" s="134">
        <f t="shared" si="13"/>
        <v>0</v>
      </c>
      <c r="X63" s="152"/>
      <c r="Y63" s="153"/>
      <c r="Z63" s="154"/>
      <c r="AA63" s="137">
        <f t="shared" si="14"/>
        <v>0</v>
      </c>
      <c r="AB63" s="138" t="e">
        <f t="shared" si="15"/>
        <v>#DIV/0!</v>
      </c>
    </row>
    <row r="64" spans="2:28" s="109" customFormat="1" ht="21.95" customHeight="1" outlineLevel="1">
      <c r="B64" s="148" t="str">
        <f>'CPU  1'!B64</f>
        <v>E39</v>
      </c>
      <c r="C64" s="149" t="str">
        <f>'CPU  1'!C64</f>
        <v>Tenda 3 x 3m</v>
      </c>
      <c r="D64" s="155" t="str">
        <f>'CPU  1'!D64</f>
        <v>vb</v>
      </c>
      <c r="E64" s="151">
        <f>'CPU  1'!E64</f>
        <v>2000</v>
      </c>
      <c r="F64" s="145"/>
      <c r="G64" s="142"/>
      <c r="H64" s="134">
        <f t="shared" si="8"/>
        <v>0</v>
      </c>
      <c r="I64" s="145"/>
      <c r="J64" s="142"/>
      <c r="K64" s="134">
        <f t="shared" si="9"/>
        <v>0</v>
      </c>
      <c r="L64" s="145"/>
      <c r="M64" s="142"/>
      <c r="N64" s="134">
        <f t="shared" si="10"/>
        <v>0</v>
      </c>
      <c r="O64" s="145"/>
      <c r="P64" s="142"/>
      <c r="Q64" s="134">
        <f t="shared" si="11"/>
        <v>0</v>
      </c>
      <c r="R64" s="145"/>
      <c r="S64" s="142"/>
      <c r="T64" s="134">
        <f t="shared" si="12"/>
        <v>0</v>
      </c>
      <c r="U64" s="145"/>
      <c r="V64" s="142"/>
      <c r="W64" s="134">
        <f t="shared" si="13"/>
        <v>0</v>
      </c>
      <c r="X64" s="152"/>
      <c r="Y64" s="153"/>
      <c r="Z64" s="154"/>
      <c r="AA64" s="137">
        <f t="shared" si="14"/>
        <v>0</v>
      </c>
      <c r="AB64" s="138" t="e">
        <f t="shared" si="15"/>
        <v>#DIV/0!</v>
      </c>
    </row>
    <row r="65" spans="2:28" s="109" customFormat="1" ht="21.95" customHeight="1" outlineLevel="1">
      <c r="B65" s="148" t="str">
        <f>'CPU  1'!B65</f>
        <v>E40</v>
      </c>
      <c r="C65" s="149" t="str">
        <f>'CPU  1'!C65</f>
        <v>Terrometro</v>
      </c>
      <c r="D65" s="155" t="str">
        <f>'CPU  1'!D65</f>
        <v>diária</v>
      </c>
      <c r="E65" s="151">
        <f>'CPU  1'!E65</f>
        <v>250</v>
      </c>
      <c r="F65" s="145"/>
      <c r="G65" s="142"/>
      <c r="H65" s="134">
        <f t="shared" si="8"/>
        <v>0</v>
      </c>
      <c r="I65" s="145"/>
      <c r="J65" s="142"/>
      <c r="K65" s="134">
        <f t="shared" si="9"/>
        <v>0</v>
      </c>
      <c r="L65" s="145"/>
      <c r="M65" s="142"/>
      <c r="N65" s="134">
        <f t="shared" si="10"/>
        <v>0</v>
      </c>
      <c r="O65" s="145"/>
      <c r="P65" s="142"/>
      <c r="Q65" s="134">
        <f t="shared" si="11"/>
        <v>0</v>
      </c>
      <c r="R65" s="145"/>
      <c r="S65" s="142"/>
      <c r="T65" s="134">
        <f t="shared" si="12"/>
        <v>0</v>
      </c>
      <c r="U65" s="145"/>
      <c r="V65" s="142"/>
      <c r="W65" s="134">
        <f t="shared" si="13"/>
        <v>0</v>
      </c>
      <c r="X65" s="152"/>
      <c r="Y65" s="153"/>
      <c r="Z65" s="154"/>
      <c r="AA65" s="137">
        <f t="shared" si="14"/>
        <v>0</v>
      </c>
      <c r="AB65" s="138" t="e">
        <f t="shared" si="15"/>
        <v>#DIV/0!</v>
      </c>
    </row>
    <row r="66" spans="2:28" s="109" customFormat="1" ht="21.95" customHeight="1" outlineLevel="1">
      <c r="B66" s="148" t="str">
        <f>'CPU  1'!B66</f>
        <v>E41</v>
      </c>
      <c r="C66" s="149" t="str">
        <f>'CPU  1'!C66</f>
        <v>Torquesa SID13</v>
      </c>
      <c r="D66" s="155" t="str">
        <f>'CPU  1'!D66</f>
        <v>und</v>
      </c>
      <c r="E66" s="151">
        <f>'CPU  1'!E66</f>
        <v>350</v>
      </c>
      <c r="F66" s="145"/>
      <c r="G66" s="142"/>
      <c r="H66" s="134">
        <f t="shared" si="8"/>
        <v>0</v>
      </c>
      <c r="I66" s="145"/>
      <c r="J66" s="142"/>
      <c r="K66" s="134">
        <f t="shared" si="9"/>
        <v>0</v>
      </c>
      <c r="L66" s="145"/>
      <c r="M66" s="142"/>
      <c r="N66" s="134">
        <f t="shared" si="10"/>
        <v>0</v>
      </c>
      <c r="O66" s="145"/>
      <c r="P66" s="142"/>
      <c r="Q66" s="134">
        <f t="shared" si="11"/>
        <v>0</v>
      </c>
      <c r="R66" s="145"/>
      <c r="S66" s="142"/>
      <c r="T66" s="134">
        <f t="shared" si="12"/>
        <v>0</v>
      </c>
      <c r="U66" s="145"/>
      <c r="V66" s="142"/>
      <c r="W66" s="134">
        <f t="shared" si="13"/>
        <v>0</v>
      </c>
      <c r="X66" s="152"/>
      <c r="Y66" s="153"/>
      <c r="Z66" s="154"/>
      <c r="AA66" s="137">
        <f t="shared" si="14"/>
        <v>0</v>
      </c>
      <c r="AB66" s="138" t="e">
        <f t="shared" si="15"/>
        <v>#DIV/0!</v>
      </c>
    </row>
    <row r="67" spans="2:28" s="109" customFormat="1" ht="21.95" customHeight="1" outlineLevel="1">
      <c r="B67" s="148" t="str">
        <f>'CPU  1'!B67</f>
        <v>E42</v>
      </c>
      <c r="C67" s="149" t="str">
        <f>'CPU  1'!C67</f>
        <v>Veiculo hatch</v>
      </c>
      <c r="D67" s="155" t="str">
        <f>'CPU  1'!D67</f>
        <v>vb/mês</v>
      </c>
      <c r="E67" s="151">
        <f>'CPU  1'!E67</f>
        <v>3300</v>
      </c>
      <c r="F67" s="145"/>
      <c r="G67" s="142"/>
      <c r="H67" s="134">
        <f t="shared" si="8"/>
        <v>0</v>
      </c>
      <c r="I67" s="145"/>
      <c r="J67" s="142"/>
      <c r="K67" s="134">
        <f t="shared" si="9"/>
        <v>0</v>
      </c>
      <c r="L67" s="145"/>
      <c r="M67" s="142"/>
      <c r="N67" s="134">
        <f t="shared" si="10"/>
        <v>0</v>
      </c>
      <c r="O67" s="145"/>
      <c r="P67" s="142"/>
      <c r="Q67" s="134">
        <f t="shared" si="11"/>
        <v>0</v>
      </c>
      <c r="R67" s="145"/>
      <c r="S67" s="142"/>
      <c r="T67" s="134">
        <f t="shared" si="12"/>
        <v>0</v>
      </c>
      <c r="U67" s="145"/>
      <c r="V67" s="142"/>
      <c r="W67" s="134">
        <f t="shared" si="13"/>
        <v>0</v>
      </c>
      <c r="X67" s="152"/>
      <c r="Y67" s="153"/>
      <c r="Z67" s="154"/>
      <c r="AA67" s="137">
        <f t="shared" si="14"/>
        <v>0</v>
      </c>
      <c r="AB67" s="138" t="e">
        <f t="shared" si="15"/>
        <v>#DIV/0!</v>
      </c>
    </row>
    <row r="68" spans="2:28" s="109" customFormat="1" ht="21.95" customHeight="1" outlineLevel="1">
      <c r="B68" s="148" t="str">
        <f>'CPU  1'!B68</f>
        <v>E43</v>
      </c>
      <c r="C68" s="149" t="str">
        <f>'CPU  1'!C68</f>
        <v>Veiculo utilitario</v>
      </c>
      <c r="D68" s="155" t="str">
        <f>'CPU  1'!D68</f>
        <v>vb/mês</v>
      </c>
      <c r="E68" s="151">
        <f>'CPU  1'!E68</f>
        <v>3800</v>
      </c>
      <c r="F68" s="145"/>
      <c r="G68" s="142"/>
      <c r="H68" s="134">
        <f t="shared" si="8"/>
        <v>0</v>
      </c>
      <c r="I68" s="145"/>
      <c r="J68" s="142"/>
      <c r="K68" s="134">
        <f t="shared" si="9"/>
        <v>0</v>
      </c>
      <c r="L68" s="145"/>
      <c r="M68" s="142"/>
      <c r="N68" s="134">
        <f t="shared" si="10"/>
        <v>0</v>
      </c>
      <c r="O68" s="145"/>
      <c r="P68" s="142"/>
      <c r="Q68" s="134">
        <f t="shared" si="11"/>
        <v>0</v>
      </c>
      <c r="R68" s="145"/>
      <c r="S68" s="142"/>
      <c r="T68" s="134">
        <f t="shared" si="12"/>
        <v>0</v>
      </c>
      <c r="U68" s="145"/>
      <c r="V68" s="142"/>
      <c r="W68" s="134">
        <f t="shared" si="13"/>
        <v>0</v>
      </c>
      <c r="X68" s="152"/>
      <c r="Y68" s="153"/>
      <c r="Z68" s="154"/>
      <c r="AA68" s="137">
        <f t="shared" si="14"/>
        <v>0</v>
      </c>
      <c r="AB68" s="138" t="e">
        <f t="shared" si="15"/>
        <v>#DIV/0!</v>
      </c>
    </row>
    <row r="69" spans="2:28" s="109" customFormat="1" ht="21.95" customHeight="1" outlineLevel="1">
      <c r="B69" s="148" t="str">
        <f>'CPU  1'!B69</f>
        <v>E44</v>
      </c>
      <c r="C69" s="149" t="str">
        <f>'CPU  1'!C69</f>
        <v>Vibrador de concreto</v>
      </c>
      <c r="D69" s="155" t="str">
        <f>'CPU  1'!D69</f>
        <v>vb</v>
      </c>
      <c r="E69" s="151">
        <f>'CPU  1'!E69</f>
        <v>500</v>
      </c>
      <c r="F69" s="145"/>
      <c r="G69" s="142"/>
      <c r="H69" s="134">
        <f t="shared" si="8"/>
        <v>0</v>
      </c>
      <c r="I69" s="145"/>
      <c r="J69" s="142"/>
      <c r="K69" s="134">
        <f t="shared" si="9"/>
        <v>0</v>
      </c>
      <c r="L69" s="145"/>
      <c r="M69" s="142"/>
      <c r="N69" s="134">
        <f t="shared" si="10"/>
        <v>0</v>
      </c>
      <c r="O69" s="145"/>
      <c r="P69" s="142"/>
      <c r="Q69" s="134">
        <f t="shared" si="11"/>
        <v>0</v>
      </c>
      <c r="R69" s="145"/>
      <c r="S69" s="142"/>
      <c r="T69" s="134">
        <f t="shared" si="12"/>
        <v>0</v>
      </c>
      <c r="U69" s="145"/>
      <c r="V69" s="142"/>
      <c r="W69" s="134">
        <f t="shared" si="13"/>
        <v>0</v>
      </c>
      <c r="X69" s="152"/>
      <c r="Y69" s="153"/>
      <c r="Z69" s="372"/>
      <c r="AA69" s="137">
        <f t="shared" si="14"/>
        <v>0</v>
      </c>
      <c r="AB69" s="138" t="e">
        <f t="shared" si="15"/>
        <v>#DIV/0!</v>
      </c>
    </row>
    <row r="70" spans="2:28" s="109" customFormat="1" ht="21.95" customHeight="1" outlineLevel="1">
      <c r="B70" s="148" t="str">
        <f>'CPU  1'!B70</f>
        <v>E45</v>
      </c>
      <c r="C70" s="149" t="str">
        <f>'CPU  1'!C70</f>
        <v>Radio de comunicação (par)</v>
      </c>
      <c r="D70" s="155" t="str">
        <f>'CPU  1'!D70</f>
        <v>und</v>
      </c>
      <c r="E70" s="151">
        <f>'CPU  1'!E70</f>
        <v>200</v>
      </c>
      <c r="F70" s="145"/>
      <c r="G70" s="142"/>
      <c r="H70" s="134">
        <f t="shared" si="8"/>
        <v>0</v>
      </c>
      <c r="I70" s="145"/>
      <c r="J70" s="142"/>
      <c r="K70" s="134">
        <f t="shared" si="9"/>
        <v>0</v>
      </c>
      <c r="L70" s="145"/>
      <c r="M70" s="142"/>
      <c r="N70" s="134">
        <f t="shared" si="10"/>
        <v>0</v>
      </c>
      <c r="O70" s="145"/>
      <c r="P70" s="142"/>
      <c r="Q70" s="134">
        <f t="shared" si="11"/>
        <v>0</v>
      </c>
      <c r="R70" s="145"/>
      <c r="S70" s="142"/>
      <c r="T70" s="134">
        <f t="shared" si="12"/>
        <v>0</v>
      </c>
      <c r="U70" s="145"/>
      <c r="V70" s="142"/>
      <c r="W70" s="134">
        <f t="shared" si="13"/>
        <v>0</v>
      </c>
      <c r="X70" s="152"/>
      <c r="Y70" s="153"/>
      <c r="Z70" s="154"/>
      <c r="AA70" s="137">
        <f t="shared" si="14"/>
        <v>0</v>
      </c>
      <c r="AB70" s="138" t="e">
        <f t="shared" si="15"/>
        <v>#DIV/0!</v>
      </c>
    </row>
    <row r="71" spans="2:28" s="109" customFormat="1" ht="21.95" customHeight="1" outlineLevel="1">
      <c r="B71" s="148" t="str">
        <f>'CPU  1'!B71</f>
        <v>E46</v>
      </c>
      <c r="C71" s="149" t="str">
        <f>'CPU  1'!C71</f>
        <v>Detector de raios</v>
      </c>
      <c r="D71" s="155" t="str">
        <f>'CPU  1'!D71</f>
        <v>und</v>
      </c>
      <c r="E71" s="151">
        <f>'CPU  1'!E71</f>
        <v>4200</v>
      </c>
      <c r="F71" s="145"/>
      <c r="G71" s="142"/>
      <c r="H71" s="134">
        <f t="shared" si="8"/>
        <v>0</v>
      </c>
      <c r="I71" s="145"/>
      <c r="J71" s="142"/>
      <c r="K71" s="134">
        <f t="shared" si="9"/>
        <v>0</v>
      </c>
      <c r="L71" s="145"/>
      <c r="M71" s="142"/>
      <c r="N71" s="134">
        <f t="shared" si="10"/>
        <v>0</v>
      </c>
      <c r="O71" s="145"/>
      <c r="P71" s="142"/>
      <c r="Q71" s="134">
        <f t="shared" si="11"/>
        <v>0</v>
      </c>
      <c r="R71" s="145"/>
      <c r="S71" s="142"/>
      <c r="T71" s="134">
        <f t="shared" si="12"/>
        <v>0</v>
      </c>
      <c r="U71" s="145"/>
      <c r="V71" s="142"/>
      <c r="W71" s="134">
        <f t="shared" si="13"/>
        <v>0</v>
      </c>
      <c r="X71" s="152"/>
      <c r="Y71" s="153"/>
      <c r="Z71" s="154"/>
      <c r="AA71" s="137">
        <f t="shared" si="14"/>
        <v>0</v>
      </c>
      <c r="AB71" s="138" t="e">
        <f t="shared" si="15"/>
        <v>#DIV/0!</v>
      </c>
    </row>
    <row r="72" spans="2:28" s="109" customFormat="1" ht="21.95" customHeight="1" outlineLevel="1">
      <c r="B72" s="148" t="str">
        <f>'CPU  1'!B72</f>
        <v>E47</v>
      </c>
      <c r="C72" s="149" t="str">
        <f>'CPU  1'!C72</f>
        <v>Luminaria de fotovoltaica canteiro</v>
      </c>
      <c r="D72" s="155" t="str">
        <f>'CPU  1'!D72</f>
        <v>und</v>
      </c>
      <c r="E72" s="151">
        <f>'CPU  1'!E72</f>
        <v>510</v>
      </c>
      <c r="F72" s="145"/>
      <c r="G72" s="142"/>
      <c r="H72" s="134">
        <f t="shared" si="8"/>
        <v>0</v>
      </c>
      <c r="I72" s="145"/>
      <c r="J72" s="142"/>
      <c r="K72" s="134">
        <f t="shared" si="9"/>
        <v>0</v>
      </c>
      <c r="L72" s="145"/>
      <c r="M72" s="142"/>
      <c r="N72" s="134">
        <f t="shared" si="10"/>
        <v>0</v>
      </c>
      <c r="O72" s="145"/>
      <c r="P72" s="142"/>
      <c r="Q72" s="134">
        <f t="shared" si="11"/>
        <v>0</v>
      </c>
      <c r="R72" s="145"/>
      <c r="S72" s="142"/>
      <c r="T72" s="134">
        <f t="shared" si="12"/>
        <v>0</v>
      </c>
      <c r="U72" s="145"/>
      <c r="V72" s="142"/>
      <c r="W72" s="134">
        <f t="shared" si="13"/>
        <v>0</v>
      </c>
      <c r="X72" s="152"/>
      <c r="Y72" s="153"/>
      <c r="Z72" s="154"/>
      <c r="AA72" s="137">
        <f t="shared" si="14"/>
        <v>0</v>
      </c>
      <c r="AB72" s="138" t="e">
        <f t="shared" si="15"/>
        <v>#DIV/0!</v>
      </c>
    </row>
    <row r="73" spans="2:28" s="109" customFormat="1" ht="21.95" customHeight="1" outlineLevel="1">
      <c r="B73" s="148" t="str">
        <f>'CPU  1'!B73</f>
        <v>E48</v>
      </c>
      <c r="C73" s="149" t="str">
        <f>'CPU  1'!C73</f>
        <v>Retroescavadeira</v>
      </c>
      <c r="D73" s="155" t="str">
        <f>'CPU  1'!D73</f>
        <v>vb/mês</v>
      </c>
      <c r="E73" s="151">
        <f>'CPU  1'!E73</f>
        <v>29000</v>
      </c>
      <c r="F73" s="145"/>
      <c r="G73" s="142"/>
      <c r="H73" s="134">
        <f t="shared" si="8"/>
        <v>0</v>
      </c>
      <c r="I73" s="145"/>
      <c r="J73" s="142"/>
      <c r="K73" s="134">
        <f t="shared" si="9"/>
        <v>0</v>
      </c>
      <c r="L73" s="145"/>
      <c r="M73" s="142"/>
      <c r="N73" s="134">
        <f t="shared" si="10"/>
        <v>0</v>
      </c>
      <c r="O73" s="145"/>
      <c r="P73" s="142"/>
      <c r="Q73" s="134">
        <f t="shared" si="11"/>
        <v>0</v>
      </c>
      <c r="R73" s="145"/>
      <c r="S73" s="142"/>
      <c r="T73" s="134">
        <f t="shared" si="12"/>
        <v>0</v>
      </c>
      <c r="U73" s="145"/>
      <c r="V73" s="142"/>
      <c r="W73" s="134">
        <f t="shared" si="13"/>
        <v>0</v>
      </c>
      <c r="X73" s="152"/>
      <c r="Y73" s="153"/>
      <c r="Z73" s="154"/>
      <c r="AA73" s="137">
        <f t="shared" si="14"/>
        <v>0</v>
      </c>
      <c r="AB73" s="138" t="e">
        <f t="shared" si="15"/>
        <v>#DIV/0!</v>
      </c>
    </row>
    <row r="74" spans="2:28" s="109" customFormat="1" ht="21.95" customHeight="1" outlineLevel="1">
      <c r="B74" s="148" t="str">
        <f>'CPU  1'!B74</f>
        <v>E49</v>
      </c>
      <c r="C74" s="149" t="str">
        <f>'CPU  1'!C74</f>
        <v>Caminhão Basculante</v>
      </c>
      <c r="D74" s="155" t="str">
        <f>'CPU  1'!D74</f>
        <v>vb/mês</v>
      </c>
      <c r="E74" s="151">
        <f>'CPU  1'!E74</f>
        <v>37000</v>
      </c>
      <c r="F74" s="145"/>
      <c r="G74" s="142"/>
      <c r="H74" s="134">
        <f t="shared" si="8"/>
        <v>0</v>
      </c>
      <c r="I74" s="145"/>
      <c r="J74" s="142"/>
      <c r="K74" s="134">
        <f t="shared" si="9"/>
        <v>0</v>
      </c>
      <c r="L74" s="145"/>
      <c r="M74" s="142"/>
      <c r="N74" s="134">
        <f t="shared" si="10"/>
        <v>0</v>
      </c>
      <c r="O74" s="145"/>
      <c r="P74" s="142"/>
      <c r="Q74" s="134">
        <f t="shared" si="11"/>
        <v>0</v>
      </c>
      <c r="R74" s="145"/>
      <c r="S74" s="142"/>
      <c r="T74" s="134">
        <f t="shared" si="12"/>
        <v>0</v>
      </c>
      <c r="U74" s="145"/>
      <c r="V74" s="142"/>
      <c r="W74" s="134">
        <f t="shared" si="13"/>
        <v>0</v>
      </c>
      <c r="X74" s="152"/>
      <c r="Y74" s="153"/>
      <c r="Z74" s="154"/>
      <c r="AA74" s="137">
        <f t="shared" si="14"/>
        <v>0</v>
      </c>
      <c r="AB74" s="138" t="e">
        <f t="shared" si="15"/>
        <v>#DIV/0!</v>
      </c>
    </row>
    <row r="75" spans="2:28" s="109" customFormat="1" ht="21.95" customHeight="1" outlineLevel="1">
      <c r="B75" s="148" t="str">
        <f>'CPU  1'!B75</f>
        <v>E50</v>
      </c>
      <c r="C75" s="149">
        <f>'CPU  1'!C75</f>
        <v>0</v>
      </c>
      <c r="D75" s="155">
        <f>'CPU  1'!D75</f>
        <v>0</v>
      </c>
      <c r="E75" s="151">
        <f>'CPU  1'!E75</f>
        <v>0</v>
      </c>
      <c r="F75" s="145"/>
      <c r="G75" s="142"/>
      <c r="H75" s="134">
        <f t="shared" si="8"/>
        <v>0</v>
      </c>
      <c r="I75" s="145"/>
      <c r="J75" s="142"/>
      <c r="K75" s="134">
        <f t="shared" si="9"/>
        <v>0</v>
      </c>
      <c r="L75" s="145"/>
      <c r="M75" s="142"/>
      <c r="N75" s="134">
        <f t="shared" si="10"/>
        <v>0</v>
      </c>
      <c r="O75" s="145"/>
      <c r="P75" s="142"/>
      <c r="Q75" s="134">
        <f t="shared" si="11"/>
        <v>0</v>
      </c>
      <c r="R75" s="145"/>
      <c r="S75" s="142"/>
      <c r="T75" s="134">
        <f t="shared" si="12"/>
        <v>0</v>
      </c>
      <c r="U75" s="145"/>
      <c r="V75" s="142"/>
      <c r="W75" s="134">
        <f t="shared" si="13"/>
        <v>0</v>
      </c>
      <c r="X75" s="152"/>
      <c r="Y75" s="153"/>
      <c r="Z75" s="154"/>
      <c r="AA75" s="137">
        <f t="shared" si="14"/>
        <v>0</v>
      </c>
      <c r="AB75" s="138" t="e">
        <f t="shared" si="15"/>
        <v>#DIV/0!</v>
      </c>
    </row>
    <row r="76" spans="2:28" s="109" customFormat="1" ht="21.95" customHeight="1" outlineLevel="1">
      <c r="B76" s="148" t="str">
        <f>'CPU  1'!B76</f>
        <v>E51</v>
      </c>
      <c r="C76" s="149">
        <f>'CPU  1'!C76</f>
        <v>0</v>
      </c>
      <c r="D76" s="155">
        <f>'CPU  1'!D76</f>
        <v>0</v>
      </c>
      <c r="E76" s="151">
        <f>'CPU  1'!E76</f>
        <v>0</v>
      </c>
      <c r="F76" s="145"/>
      <c r="G76" s="142"/>
      <c r="H76" s="134">
        <f t="shared" si="8"/>
        <v>0</v>
      </c>
      <c r="I76" s="145"/>
      <c r="J76" s="142"/>
      <c r="K76" s="134">
        <f t="shared" si="9"/>
        <v>0</v>
      </c>
      <c r="L76" s="145"/>
      <c r="M76" s="142"/>
      <c r="N76" s="134">
        <f t="shared" si="10"/>
        <v>0</v>
      </c>
      <c r="O76" s="145"/>
      <c r="P76" s="142"/>
      <c r="Q76" s="134">
        <f t="shared" si="11"/>
        <v>0</v>
      </c>
      <c r="R76" s="145"/>
      <c r="S76" s="142"/>
      <c r="T76" s="134">
        <f t="shared" si="12"/>
        <v>0</v>
      </c>
      <c r="U76" s="145"/>
      <c r="V76" s="142"/>
      <c r="W76" s="134">
        <f t="shared" si="13"/>
        <v>0</v>
      </c>
      <c r="X76" s="152"/>
      <c r="Y76" s="153"/>
      <c r="Z76" s="154"/>
      <c r="AA76" s="137">
        <f t="shared" si="14"/>
        <v>0</v>
      </c>
      <c r="AB76" s="138" t="e">
        <f t="shared" si="15"/>
        <v>#DIV/0!</v>
      </c>
    </row>
    <row r="77" spans="2:28" s="109" customFormat="1" ht="21.95" customHeight="1" outlineLevel="1">
      <c r="B77" s="148" t="str">
        <f>'CPU  1'!B77</f>
        <v>E52</v>
      </c>
      <c r="C77" s="149">
        <f>'CPU  1'!C77</f>
        <v>0</v>
      </c>
      <c r="D77" s="155">
        <f>'CPU  1'!D77</f>
        <v>0</v>
      </c>
      <c r="E77" s="151">
        <f>'CPU  1'!E77</f>
        <v>0</v>
      </c>
      <c r="F77" s="145"/>
      <c r="G77" s="142"/>
      <c r="H77" s="134">
        <f t="shared" si="8"/>
        <v>0</v>
      </c>
      <c r="I77" s="145"/>
      <c r="J77" s="142"/>
      <c r="K77" s="134">
        <f t="shared" si="9"/>
        <v>0</v>
      </c>
      <c r="L77" s="145"/>
      <c r="M77" s="142"/>
      <c r="N77" s="134">
        <f t="shared" si="10"/>
        <v>0</v>
      </c>
      <c r="O77" s="145"/>
      <c r="P77" s="142"/>
      <c r="Q77" s="134">
        <f t="shared" si="11"/>
        <v>0</v>
      </c>
      <c r="R77" s="145"/>
      <c r="S77" s="142"/>
      <c r="T77" s="134">
        <f t="shared" si="12"/>
        <v>0</v>
      </c>
      <c r="U77" s="145"/>
      <c r="V77" s="142"/>
      <c r="W77" s="134">
        <f t="shared" si="13"/>
        <v>0</v>
      </c>
      <c r="X77" s="152"/>
      <c r="Y77" s="153"/>
      <c r="Z77" s="154"/>
      <c r="AA77" s="137">
        <f t="shared" si="14"/>
        <v>0</v>
      </c>
      <c r="AB77" s="138" t="e">
        <f t="shared" si="15"/>
        <v>#DIV/0!</v>
      </c>
    </row>
    <row r="78" spans="2:28" s="109" customFormat="1" ht="21.95" customHeight="1" outlineLevel="1">
      <c r="B78" s="148" t="str">
        <f>'CPU  1'!B78</f>
        <v>E53</v>
      </c>
      <c r="C78" s="149">
        <f>'CPU  1'!C78</f>
        <v>0</v>
      </c>
      <c r="D78" s="155">
        <f>'CPU  1'!D78</f>
        <v>0</v>
      </c>
      <c r="E78" s="151">
        <f>'CPU  1'!E78</f>
        <v>0</v>
      </c>
      <c r="F78" s="145"/>
      <c r="G78" s="142"/>
      <c r="H78" s="134">
        <f t="shared" si="8"/>
        <v>0</v>
      </c>
      <c r="I78" s="145"/>
      <c r="J78" s="142"/>
      <c r="K78" s="134">
        <f t="shared" si="9"/>
        <v>0</v>
      </c>
      <c r="L78" s="145"/>
      <c r="M78" s="142"/>
      <c r="N78" s="134">
        <f t="shared" si="10"/>
        <v>0</v>
      </c>
      <c r="O78" s="145"/>
      <c r="P78" s="142"/>
      <c r="Q78" s="134">
        <f t="shared" si="11"/>
        <v>0</v>
      </c>
      <c r="R78" s="145"/>
      <c r="S78" s="142"/>
      <c r="T78" s="134">
        <f t="shared" si="12"/>
        <v>0</v>
      </c>
      <c r="U78" s="145"/>
      <c r="V78" s="142"/>
      <c r="W78" s="134">
        <f t="shared" si="13"/>
        <v>0</v>
      </c>
      <c r="X78" s="152"/>
      <c r="Y78" s="153"/>
      <c r="Z78" s="154"/>
      <c r="AA78" s="137">
        <f t="shared" si="14"/>
        <v>0</v>
      </c>
      <c r="AB78" s="138" t="e">
        <f t="shared" si="15"/>
        <v>#DIV/0!</v>
      </c>
    </row>
    <row r="79" spans="2:28" s="109" customFormat="1" ht="21.95" customHeight="1" outlineLevel="1" thickBot="1">
      <c r="B79" s="148" t="str">
        <f>'CPU  1'!B79</f>
        <v>E54</v>
      </c>
      <c r="C79" s="149">
        <f>'CPU  1'!C79</f>
        <v>0</v>
      </c>
      <c r="D79" s="155">
        <f>'CPU  1'!D79</f>
        <v>0</v>
      </c>
      <c r="E79" s="151">
        <f>'CPU  1'!E79</f>
        <v>0</v>
      </c>
      <c r="F79" s="145"/>
      <c r="G79" s="142"/>
      <c r="H79" s="134">
        <f t="shared" si="8"/>
        <v>0</v>
      </c>
      <c r="I79" s="145"/>
      <c r="J79" s="142"/>
      <c r="K79" s="134">
        <f t="shared" si="9"/>
        <v>0</v>
      </c>
      <c r="L79" s="145"/>
      <c r="M79" s="142"/>
      <c r="N79" s="134">
        <f t="shared" si="10"/>
        <v>0</v>
      </c>
      <c r="O79" s="145"/>
      <c r="P79" s="142"/>
      <c r="Q79" s="134">
        <f t="shared" si="11"/>
        <v>0</v>
      </c>
      <c r="R79" s="145"/>
      <c r="S79" s="142"/>
      <c r="T79" s="134">
        <f t="shared" si="12"/>
        <v>0</v>
      </c>
      <c r="U79" s="145"/>
      <c r="V79" s="142"/>
      <c r="W79" s="134">
        <f t="shared" si="13"/>
        <v>0</v>
      </c>
      <c r="X79" s="152"/>
      <c r="Y79" s="153"/>
      <c r="Z79" s="154"/>
      <c r="AA79" s="137">
        <f t="shared" si="14"/>
        <v>0</v>
      </c>
      <c r="AB79" s="138" t="e">
        <f t="shared" si="15"/>
        <v>#DIV/0!</v>
      </c>
    </row>
    <row r="80" spans="2:28" s="109" customFormat="1" ht="21.95" customHeight="1" thickBot="1">
      <c r="B80" s="694" t="s">
        <v>136</v>
      </c>
      <c r="C80" s="695"/>
      <c r="D80" s="695"/>
      <c r="E80" s="695" t="e">
        <f>SUM(#REF!)</f>
        <v>#REF!</v>
      </c>
      <c r="F80" s="263"/>
      <c r="G80" s="264"/>
      <c r="H80" s="265">
        <f>SUM(H26:H79)</f>
        <v>0</v>
      </c>
      <c r="I80" s="263"/>
      <c r="J80" s="264"/>
      <c r="K80" s="265">
        <f>SUM(K26:K79)</f>
        <v>0</v>
      </c>
      <c r="L80" s="263"/>
      <c r="M80" s="264"/>
      <c r="N80" s="265">
        <f>SUM(N26:N79)</f>
        <v>0</v>
      </c>
      <c r="O80" s="263"/>
      <c r="P80" s="264"/>
      <c r="Q80" s="265">
        <f>SUM(Q26:Q79)</f>
        <v>0</v>
      </c>
      <c r="R80" s="263"/>
      <c r="S80" s="264"/>
      <c r="T80" s="265">
        <f>SUM(T26:T79)</f>
        <v>0</v>
      </c>
      <c r="U80" s="263"/>
      <c r="V80" s="264"/>
      <c r="W80" s="265">
        <f>SUM(W26:W79)</f>
        <v>0</v>
      </c>
      <c r="X80" s="143"/>
      <c r="Y80" s="263"/>
      <c r="Z80" s="264"/>
      <c r="AA80" s="265">
        <f>SUM(AA26:AA79)</f>
        <v>0</v>
      </c>
      <c r="AB80" s="138"/>
    </row>
    <row r="81" spans="2:29" s="109" customFormat="1" ht="21.95" customHeight="1" thickBot="1">
      <c r="B81" s="699" t="s">
        <v>34</v>
      </c>
      <c r="C81" s="700"/>
      <c r="D81" s="700"/>
      <c r="E81" s="701"/>
      <c r="F81" s="745"/>
      <c r="G81" s="745"/>
      <c r="H81" s="745"/>
      <c r="I81" s="745"/>
      <c r="J81" s="745"/>
      <c r="K81" s="745"/>
      <c r="L81" s="745"/>
      <c r="M81" s="745"/>
      <c r="N81" s="745"/>
      <c r="O81" s="745"/>
      <c r="P81" s="745"/>
      <c r="Q81" s="745"/>
      <c r="R81" s="745"/>
      <c r="S81" s="745"/>
      <c r="T81" s="745"/>
      <c r="U81" s="745"/>
      <c r="V81" s="745"/>
      <c r="W81" s="745"/>
      <c r="X81" s="143"/>
      <c r="Y81" s="711"/>
      <c r="Z81" s="711"/>
      <c r="AA81" s="711"/>
      <c r="AB81" s="138"/>
    </row>
    <row r="82" spans="2:29" s="127" customFormat="1" ht="21.95" customHeight="1" thickBot="1">
      <c r="B82" s="258" t="s">
        <v>163</v>
      </c>
      <c r="C82" s="259" t="s">
        <v>169</v>
      </c>
      <c r="D82" s="260" t="s">
        <v>30</v>
      </c>
      <c r="E82" s="261" t="s">
        <v>31</v>
      </c>
      <c r="F82" s="258" t="s">
        <v>6</v>
      </c>
      <c r="G82" s="261" t="s">
        <v>32</v>
      </c>
      <c r="H82" s="262" t="s">
        <v>5</v>
      </c>
      <c r="I82" s="258" t="s">
        <v>6</v>
      </c>
      <c r="J82" s="261" t="s">
        <v>32</v>
      </c>
      <c r="K82" s="262" t="s">
        <v>5</v>
      </c>
      <c r="L82" s="258" t="s">
        <v>6</v>
      </c>
      <c r="M82" s="261" t="s">
        <v>32</v>
      </c>
      <c r="N82" s="262" t="s">
        <v>5</v>
      </c>
      <c r="O82" s="258" t="s">
        <v>6</v>
      </c>
      <c r="P82" s="261" t="s">
        <v>32</v>
      </c>
      <c r="Q82" s="262" t="s">
        <v>5</v>
      </c>
      <c r="R82" s="258" t="s">
        <v>6</v>
      </c>
      <c r="S82" s="261" t="s">
        <v>32</v>
      </c>
      <c r="T82" s="262" t="s">
        <v>5</v>
      </c>
      <c r="U82" s="258" t="s">
        <v>6</v>
      </c>
      <c r="V82" s="261" t="s">
        <v>32</v>
      </c>
      <c r="W82" s="262" t="s">
        <v>5</v>
      </c>
      <c r="X82" s="124"/>
      <c r="Y82" s="258" t="s">
        <v>6</v>
      </c>
      <c r="Z82" s="261" t="s">
        <v>32</v>
      </c>
      <c r="AA82" s="262" t="s">
        <v>5</v>
      </c>
      <c r="AB82" s="125"/>
      <c r="AC82" s="126"/>
    </row>
    <row r="83" spans="2:29" s="109" customFormat="1" ht="21.95" customHeight="1" outlineLevel="1">
      <c r="B83" s="148" t="str">
        <f>'CPU  1'!B83</f>
        <v>M01</v>
      </c>
      <c r="C83" s="156" t="str">
        <f>'CPU  1'!C83</f>
        <v>Aço CA-50, (ferro 8.0)</v>
      </c>
      <c r="D83" s="157" t="str">
        <f>'CPU  1'!D83</f>
        <v>kg</v>
      </c>
      <c r="E83" s="158">
        <f>'CPU  1'!E83</f>
        <v>12.5</v>
      </c>
      <c r="F83" s="145"/>
      <c r="G83" s="142"/>
      <c r="H83" s="134">
        <f t="shared" ref="H83:H131" si="16">G83*F83*$E83</f>
        <v>0</v>
      </c>
      <c r="I83" s="145"/>
      <c r="J83" s="142"/>
      <c r="K83" s="134">
        <f t="shared" ref="K83:K131" si="17">J83*I83*$E83</f>
        <v>0</v>
      </c>
      <c r="L83" s="145"/>
      <c r="M83" s="142"/>
      <c r="N83" s="134">
        <f t="shared" ref="N83:N131" si="18">M83*L83*$E83</f>
        <v>0</v>
      </c>
      <c r="O83" s="145"/>
      <c r="P83" s="142"/>
      <c r="Q83" s="134">
        <f t="shared" ref="Q83:Q131" si="19">P83*O83*$E83</f>
        <v>0</v>
      </c>
      <c r="R83" s="145"/>
      <c r="S83" s="142"/>
      <c r="T83" s="134">
        <f t="shared" ref="T83:T131" si="20">S83*R83*$E83</f>
        <v>0</v>
      </c>
      <c r="U83" s="145"/>
      <c r="V83" s="142"/>
      <c r="W83" s="134">
        <f t="shared" ref="W83:W131" si="21">V83*U83*$E83</f>
        <v>0</v>
      </c>
      <c r="X83" s="152"/>
      <c r="Y83" s="159"/>
      <c r="Z83" s="160"/>
      <c r="AA83" s="137">
        <f t="shared" ref="AA83:AA131" si="22">K83*$K$3+N83*$N$3+Q83*$Q$3+H83*$H$3+T83*$T$3+W83*$W$3</f>
        <v>0</v>
      </c>
      <c r="AB83" s="138" t="e">
        <f t="shared" ref="AB83:AB131" si="23">AA83/$AA$162</f>
        <v>#DIV/0!</v>
      </c>
    </row>
    <row r="84" spans="2:29" s="109" customFormat="1" ht="21.95" customHeight="1" outlineLevel="1">
      <c r="B84" s="148" t="str">
        <f>'CPU  1'!B84</f>
        <v>M02</v>
      </c>
      <c r="C84" s="156" t="str">
        <f>'CPU  1'!C84</f>
        <v>Agua Mineral</v>
      </c>
      <c r="D84" s="157" t="str">
        <f>'CPU  1'!D84</f>
        <v>litro</v>
      </c>
      <c r="E84" s="158">
        <f>'CPU  1'!E84</f>
        <v>1</v>
      </c>
      <c r="F84" s="145"/>
      <c r="G84" s="142"/>
      <c r="H84" s="134">
        <f t="shared" si="16"/>
        <v>0</v>
      </c>
      <c r="I84" s="145"/>
      <c r="J84" s="142"/>
      <c r="K84" s="134">
        <f t="shared" si="17"/>
        <v>0</v>
      </c>
      <c r="L84" s="145"/>
      <c r="M84" s="142"/>
      <c r="N84" s="134">
        <f t="shared" si="18"/>
        <v>0</v>
      </c>
      <c r="O84" s="145"/>
      <c r="P84" s="142"/>
      <c r="Q84" s="134">
        <f t="shared" si="19"/>
        <v>0</v>
      </c>
      <c r="R84" s="145"/>
      <c r="S84" s="142"/>
      <c r="T84" s="134">
        <f t="shared" si="20"/>
        <v>0</v>
      </c>
      <c r="U84" s="145"/>
      <c r="V84" s="142"/>
      <c r="W84" s="134">
        <f t="shared" si="21"/>
        <v>0</v>
      </c>
      <c r="X84" s="152"/>
      <c r="Y84" s="159"/>
      <c r="Z84" s="160"/>
      <c r="AA84" s="137">
        <f t="shared" si="22"/>
        <v>0</v>
      </c>
      <c r="AB84" s="138" t="e">
        <f t="shared" si="23"/>
        <v>#DIV/0!</v>
      </c>
    </row>
    <row r="85" spans="2:29" s="109" customFormat="1" ht="21.95" customHeight="1" outlineLevel="1">
      <c r="B85" s="148" t="str">
        <f>'CPU  1'!B85</f>
        <v>M03</v>
      </c>
      <c r="C85" s="156" t="str">
        <f>'CPU  1'!C85</f>
        <v>Arame ovalado zincado</v>
      </c>
      <c r="D85" s="157" t="str">
        <f>'CPU  1'!D85</f>
        <v>m</v>
      </c>
      <c r="E85" s="158">
        <f>'CPU  1'!E85</f>
        <v>1</v>
      </c>
      <c r="F85" s="145"/>
      <c r="G85" s="142"/>
      <c r="H85" s="134">
        <f t="shared" si="16"/>
        <v>0</v>
      </c>
      <c r="I85" s="145"/>
      <c r="J85" s="142"/>
      <c r="K85" s="134">
        <f t="shared" si="17"/>
        <v>0</v>
      </c>
      <c r="L85" s="145"/>
      <c r="M85" s="142"/>
      <c r="N85" s="134">
        <f t="shared" si="18"/>
        <v>0</v>
      </c>
      <c r="O85" s="145"/>
      <c r="P85" s="142"/>
      <c r="Q85" s="134">
        <f t="shared" si="19"/>
        <v>0</v>
      </c>
      <c r="R85" s="145"/>
      <c r="S85" s="142"/>
      <c r="T85" s="134">
        <f t="shared" si="20"/>
        <v>0</v>
      </c>
      <c r="U85" s="145"/>
      <c r="V85" s="142"/>
      <c r="W85" s="134">
        <f t="shared" si="21"/>
        <v>0</v>
      </c>
      <c r="X85" s="152"/>
      <c r="Y85" s="159"/>
      <c r="Z85" s="160"/>
      <c r="AA85" s="137">
        <f t="shared" si="22"/>
        <v>0</v>
      </c>
      <c r="AB85" s="138" t="e">
        <f t="shared" si="23"/>
        <v>#DIV/0!</v>
      </c>
    </row>
    <row r="86" spans="2:29" s="109" customFormat="1" ht="21.95" customHeight="1" outlineLevel="1">
      <c r="B86" s="148" t="str">
        <f>'CPU  1'!B86</f>
        <v>M04</v>
      </c>
      <c r="C86" s="156" t="str">
        <f>'CPU  1'!C86</f>
        <v>Areia</v>
      </c>
      <c r="D86" s="157" t="str">
        <f>'CPU  1'!D86</f>
        <v>m³</v>
      </c>
      <c r="E86" s="158">
        <f>'CPU  1'!E86</f>
        <v>120</v>
      </c>
      <c r="F86" s="145"/>
      <c r="G86" s="142"/>
      <c r="H86" s="134">
        <f t="shared" si="16"/>
        <v>0</v>
      </c>
      <c r="I86" s="145"/>
      <c r="J86" s="142"/>
      <c r="K86" s="134">
        <f t="shared" si="17"/>
        <v>0</v>
      </c>
      <c r="L86" s="145"/>
      <c r="M86" s="142"/>
      <c r="N86" s="134">
        <f t="shared" si="18"/>
        <v>0</v>
      </c>
      <c r="O86" s="145"/>
      <c r="P86" s="142"/>
      <c r="Q86" s="134">
        <f t="shared" si="19"/>
        <v>0</v>
      </c>
      <c r="R86" s="145"/>
      <c r="S86" s="142"/>
      <c r="T86" s="134">
        <f t="shared" si="20"/>
        <v>0</v>
      </c>
      <c r="U86" s="145"/>
      <c r="V86" s="142"/>
      <c r="W86" s="134">
        <f t="shared" si="21"/>
        <v>0</v>
      </c>
      <c r="X86" s="152"/>
      <c r="Y86" s="159"/>
      <c r="Z86" s="160"/>
      <c r="AA86" s="137">
        <f t="shared" si="22"/>
        <v>0</v>
      </c>
      <c r="AB86" s="138" t="e">
        <f t="shared" si="23"/>
        <v>#DIV/0!</v>
      </c>
    </row>
    <row r="87" spans="2:29" s="109" customFormat="1" ht="21.95" customHeight="1" outlineLevel="1">
      <c r="B87" s="148" t="str">
        <f>'CPU  1'!B87</f>
        <v>M05</v>
      </c>
      <c r="C87" s="156" t="str">
        <f>'CPU  1'!C87</f>
        <v>Arrame galganizado</v>
      </c>
      <c r="D87" s="157" t="str">
        <f>'CPU  1'!D87</f>
        <v>kg</v>
      </c>
      <c r="E87" s="158">
        <f>'CPU  1'!E87</f>
        <v>16.8</v>
      </c>
      <c r="F87" s="145"/>
      <c r="G87" s="142"/>
      <c r="H87" s="134">
        <f t="shared" si="16"/>
        <v>0</v>
      </c>
      <c r="I87" s="145"/>
      <c r="J87" s="142"/>
      <c r="K87" s="134">
        <f t="shared" si="17"/>
        <v>0</v>
      </c>
      <c r="L87" s="145"/>
      <c r="M87" s="142"/>
      <c r="N87" s="134">
        <f t="shared" si="18"/>
        <v>0</v>
      </c>
      <c r="O87" s="145"/>
      <c r="P87" s="142"/>
      <c r="Q87" s="134">
        <f t="shared" si="19"/>
        <v>0</v>
      </c>
      <c r="R87" s="145"/>
      <c r="S87" s="142"/>
      <c r="T87" s="134">
        <f t="shared" si="20"/>
        <v>0</v>
      </c>
      <c r="U87" s="145"/>
      <c r="V87" s="142"/>
      <c r="W87" s="134">
        <f t="shared" si="21"/>
        <v>0</v>
      </c>
      <c r="X87" s="152"/>
      <c r="Y87" s="159"/>
      <c r="Z87" s="160"/>
      <c r="AA87" s="137">
        <f t="shared" si="22"/>
        <v>0</v>
      </c>
      <c r="AB87" s="138" t="e">
        <f t="shared" si="23"/>
        <v>#DIV/0!</v>
      </c>
    </row>
    <row r="88" spans="2:29" s="109" customFormat="1" ht="21.95" customHeight="1" outlineLevel="1">
      <c r="B88" s="148" t="str">
        <f>'CPU  1'!B88</f>
        <v>M06</v>
      </c>
      <c r="C88" s="156" t="str">
        <f>'CPU  1'!C88</f>
        <v>Arrame recozido</v>
      </c>
      <c r="D88" s="157" t="str">
        <f>'CPU  1'!D88</f>
        <v>kg</v>
      </c>
      <c r="E88" s="158">
        <f>'CPU  1'!E88</f>
        <v>12</v>
      </c>
      <c r="F88" s="145"/>
      <c r="G88" s="142"/>
      <c r="H88" s="134">
        <f t="shared" si="16"/>
        <v>0</v>
      </c>
      <c r="I88" s="145"/>
      <c r="J88" s="142"/>
      <c r="K88" s="134">
        <f t="shared" si="17"/>
        <v>0</v>
      </c>
      <c r="L88" s="145"/>
      <c r="M88" s="142"/>
      <c r="N88" s="134">
        <f t="shared" si="18"/>
        <v>0</v>
      </c>
      <c r="O88" s="145"/>
      <c r="P88" s="142"/>
      <c r="Q88" s="134">
        <f t="shared" si="19"/>
        <v>0</v>
      </c>
      <c r="R88" s="145"/>
      <c r="S88" s="142"/>
      <c r="T88" s="134">
        <f t="shared" si="20"/>
        <v>0</v>
      </c>
      <c r="U88" s="145"/>
      <c r="V88" s="142"/>
      <c r="W88" s="134">
        <f t="shared" si="21"/>
        <v>0</v>
      </c>
      <c r="X88" s="152"/>
      <c r="Y88" s="159"/>
      <c r="Z88" s="160"/>
      <c r="AA88" s="137">
        <f t="shared" si="22"/>
        <v>0</v>
      </c>
      <c r="AB88" s="138" t="e">
        <f t="shared" si="23"/>
        <v>#DIV/0!</v>
      </c>
    </row>
    <row r="89" spans="2:29" s="109" customFormat="1" ht="21.95" customHeight="1" outlineLevel="1">
      <c r="B89" s="148" t="str">
        <f>'CPU  1'!B89</f>
        <v>M07</v>
      </c>
      <c r="C89" s="156" t="str">
        <f>'CPU  1'!C89</f>
        <v>Barrote de madeira 7x7cm</v>
      </c>
      <c r="D89" s="157" t="str">
        <f>'CPU  1'!D89</f>
        <v>m</v>
      </c>
      <c r="E89" s="158">
        <f>'CPU  1'!E89</f>
        <v>15</v>
      </c>
      <c r="F89" s="145"/>
      <c r="G89" s="142"/>
      <c r="H89" s="134">
        <f t="shared" si="16"/>
        <v>0</v>
      </c>
      <c r="I89" s="145"/>
      <c r="J89" s="142"/>
      <c r="K89" s="134">
        <f t="shared" si="17"/>
        <v>0</v>
      </c>
      <c r="L89" s="145"/>
      <c r="M89" s="142"/>
      <c r="N89" s="134">
        <f t="shared" si="18"/>
        <v>0</v>
      </c>
      <c r="O89" s="145"/>
      <c r="P89" s="142"/>
      <c r="Q89" s="134">
        <f t="shared" si="19"/>
        <v>0</v>
      </c>
      <c r="R89" s="145"/>
      <c r="S89" s="142"/>
      <c r="T89" s="134">
        <f t="shared" si="20"/>
        <v>0</v>
      </c>
      <c r="U89" s="145"/>
      <c r="V89" s="142"/>
      <c r="W89" s="134">
        <f t="shared" si="21"/>
        <v>0</v>
      </c>
      <c r="X89" s="152"/>
      <c r="Y89" s="159"/>
      <c r="Z89" s="160"/>
      <c r="AA89" s="137">
        <f t="shared" si="22"/>
        <v>0</v>
      </c>
      <c r="AB89" s="138" t="e">
        <f t="shared" si="23"/>
        <v>#DIV/0!</v>
      </c>
    </row>
    <row r="90" spans="2:29" s="109" customFormat="1" ht="21.95" customHeight="1" outlineLevel="1">
      <c r="B90" s="148" t="str">
        <f>'CPU  1'!B90</f>
        <v>M08</v>
      </c>
      <c r="C90" s="149" t="str">
        <f>'CPU  1'!C90</f>
        <v>Bloco tipo canaleta (14x19x39cm)</v>
      </c>
      <c r="D90" s="150" t="str">
        <f>'CPU  1'!D90</f>
        <v>peça</v>
      </c>
      <c r="E90" s="151">
        <f>'CPU  1'!E90</f>
        <v>8.9</v>
      </c>
      <c r="F90" s="145"/>
      <c r="G90" s="142"/>
      <c r="H90" s="134">
        <f t="shared" si="16"/>
        <v>0</v>
      </c>
      <c r="I90" s="145"/>
      <c r="J90" s="142"/>
      <c r="K90" s="134">
        <f t="shared" si="17"/>
        <v>0</v>
      </c>
      <c r="L90" s="145"/>
      <c r="M90" s="142"/>
      <c r="N90" s="134">
        <f t="shared" si="18"/>
        <v>0</v>
      </c>
      <c r="O90" s="145"/>
      <c r="P90" s="142"/>
      <c r="Q90" s="134">
        <f t="shared" si="19"/>
        <v>0</v>
      </c>
      <c r="R90" s="145"/>
      <c r="S90" s="142"/>
      <c r="T90" s="134">
        <f t="shared" si="20"/>
        <v>0</v>
      </c>
      <c r="U90" s="145"/>
      <c r="V90" s="142"/>
      <c r="W90" s="134">
        <f t="shared" si="21"/>
        <v>0</v>
      </c>
      <c r="X90" s="152"/>
      <c r="Y90" s="159"/>
      <c r="Z90" s="160"/>
      <c r="AA90" s="137">
        <f t="shared" si="22"/>
        <v>0</v>
      </c>
      <c r="AB90" s="138" t="e">
        <f t="shared" si="23"/>
        <v>#DIV/0!</v>
      </c>
    </row>
    <row r="91" spans="2:29" s="109" customFormat="1" ht="21.95" customHeight="1" outlineLevel="1">
      <c r="B91" s="148" t="str">
        <f>'CPU  1'!B91</f>
        <v>M09</v>
      </c>
      <c r="C91" s="161" t="str">
        <f>'CPU  1'!C91</f>
        <v>Brita 1</v>
      </c>
      <c r="D91" s="157" t="str">
        <f>'CPU  1'!D91</f>
        <v>m³</v>
      </c>
      <c r="E91" s="158">
        <f>'CPU  1'!E91</f>
        <v>220</v>
      </c>
      <c r="F91" s="145"/>
      <c r="G91" s="142"/>
      <c r="H91" s="134">
        <f t="shared" si="16"/>
        <v>0</v>
      </c>
      <c r="I91" s="145"/>
      <c r="J91" s="142"/>
      <c r="K91" s="134">
        <f t="shared" si="17"/>
        <v>0</v>
      </c>
      <c r="L91" s="145"/>
      <c r="M91" s="142"/>
      <c r="N91" s="134">
        <f t="shared" si="18"/>
        <v>0</v>
      </c>
      <c r="O91" s="145"/>
      <c r="P91" s="142"/>
      <c r="Q91" s="134">
        <f t="shared" si="19"/>
        <v>0</v>
      </c>
      <c r="R91" s="145"/>
      <c r="S91" s="142"/>
      <c r="T91" s="134">
        <f t="shared" si="20"/>
        <v>0</v>
      </c>
      <c r="U91" s="145"/>
      <c r="V91" s="142"/>
      <c r="W91" s="134">
        <f t="shared" si="21"/>
        <v>0</v>
      </c>
      <c r="X91" s="152"/>
      <c r="Y91" s="159"/>
      <c r="Z91" s="160"/>
      <c r="AA91" s="137">
        <f t="shared" si="22"/>
        <v>0</v>
      </c>
      <c r="AB91" s="138" t="e">
        <f t="shared" si="23"/>
        <v>#DIV/0!</v>
      </c>
    </row>
    <row r="92" spans="2:29" s="109" customFormat="1" ht="21.95" customHeight="1" outlineLevel="1">
      <c r="B92" s="148" t="str">
        <f>'CPU  1'!B92</f>
        <v>M11</v>
      </c>
      <c r="C92" s="149" t="str">
        <f>'CPU  1'!C92</f>
        <v>Caixa de passagens para aterramento h600 diâmetro 30cm</v>
      </c>
      <c r="D92" s="150" t="str">
        <f>'CPU  1'!D92</f>
        <v>und</v>
      </c>
      <c r="E92" s="151">
        <f>'CPU  1'!E92</f>
        <v>590</v>
      </c>
      <c r="F92" s="145"/>
      <c r="G92" s="142"/>
      <c r="H92" s="134">
        <f t="shared" si="16"/>
        <v>0</v>
      </c>
      <c r="I92" s="145"/>
      <c r="J92" s="142"/>
      <c r="K92" s="134">
        <f t="shared" si="17"/>
        <v>0</v>
      </c>
      <c r="L92" s="145"/>
      <c r="M92" s="142"/>
      <c r="N92" s="134">
        <f t="shared" si="18"/>
        <v>0</v>
      </c>
      <c r="O92" s="145"/>
      <c r="P92" s="142"/>
      <c r="Q92" s="134">
        <f t="shared" si="19"/>
        <v>0</v>
      </c>
      <c r="R92" s="145"/>
      <c r="S92" s="142"/>
      <c r="T92" s="134">
        <f t="shared" si="20"/>
        <v>0</v>
      </c>
      <c r="U92" s="145"/>
      <c r="V92" s="142"/>
      <c r="W92" s="134">
        <f t="shared" si="21"/>
        <v>0</v>
      </c>
      <c r="X92" s="152"/>
      <c r="Y92" s="159"/>
      <c r="Z92" s="160"/>
      <c r="AA92" s="137">
        <f t="shared" si="22"/>
        <v>0</v>
      </c>
      <c r="AB92" s="138" t="e">
        <f t="shared" si="23"/>
        <v>#DIV/0!</v>
      </c>
    </row>
    <row r="93" spans="2:29" s="109" customFormat="1" ht="21.95" customHeight="1" outlineLevel="1">
      <c r="B93" s="148" t="str">
        <f>'CPU  1'!B93</f>
        <v>M12</v>
      </c>
      <c r="C93" s="149" t="str">
        <f>'CPU  1'!C93</f>
        <v>Catoneira galvanizada 1"x1-1/4</v>
      </c>
      <c r="D93" s="150" t="str">
        <f>'CPU  1'!D93</f>
        <v>m</v>
      </c>
      <c r="E93" s="151">
        <f>'CPU  1'!E93</f>
        <v>24.999999999999996</v>
      </c>
      <c r="F93" s="145"/>
      <c r="G93" s="142"/>
      <c r="H93" s="134">
        <f t="shared" si="16"/>
        <v>0</v>
      </c>
      <c r="I93" s="145"/>
      <c r="J93" s="142"/>
      <c r="K93" s="134">
        <f t="shared" si="17"/>
        <v>0</v>
      </c>
      <c r="L93" s="145"/>
      <c r="M93" s="142"/>
      <c r="N93" s="134">
        <f t="shared" si="18"/>
        <v>0</v>
      </c>
      <c r="O93" s="145"/>
      <c r="P93" s="142"/>
      <c r="Q93" s="134">
        <f t="shared" si="19"/>
        <v>0</v>
      </c>
      <c r="R93" s="145"/>
      <c r="S93" s="142"/>
      <c r="T93" s="134">
        <f t="shared" si="20"/>
        <v>0</v>
      </c>
      <c r="U93" s="145"/>
      <c r="V93" s="142"/>
      <c r="W93" s="134">
        <f t="shared" si="21"/>
        <v>0</v>
      </c>
      <c r="X93" s="152"/>
      <c r="Y93" s="159"/>
      <c r="Z93" s="160"/>
      <c r="AA93" s="137">
        <f t="shared" si="22"/>
        <v>0</v>
      </c>
      <c r="AB93" s="138" t="e">
        <f t="shared" si="23"/>
        <v>#DIV/0!</v>
      </c>
    </row>
    <row r="94" spans="2:29" s="109" customFormat="1" ht="36" customHeight="1" outlineLevel="1">
      <c r="B94" s="148" t="str">
        <f>'CPU  1'!B94</f>
        <v>M13</v>
      </c>
      <c r="C94" s="149" t="str">
        <f>'CPU  1'!C94</f>
        <v>Cercamento e delimitação de canteiro de obra (15x30m)</v>
      </c>
      <c r="D94" s="150" t="str">
        <f>'CPU  1'!D94</f>
        <v>vb</v>
      </c>
      <c r="E94" s="151">
        <f>'CPU  1'!E94</f>
        <v>10000</v>
      </c>
      <c r="F94" s="145"/>
      <c r="G94" s="142"/>
      <c r="H94" s="134">
        <f t="shared" si="16"/>
        <v>0</v>
      </c>
      <c r="I94" s="145"/>
      <c r="J94" s="142"/>
      <c r="K94" s="134">
        <f t="shared" si="17"/>
        <v>0</v>
      </c>
      <c r="L94" s="145"/>
      <c r="M94" s="142"/>
      <c r="N94" s="134">
        <f t="shared" si="18"/>
        <v>0</v>
      </c>
      <c r="O94" s="145"/>
      <c r="P94" s="142"/>
      <c r="Q94" s="134">
        <f t="shared" si="19"/>
        <v>0</v>
      </c>
      <c r="R94" s="145"/>
      <c r="S94" s="142"/>
      <c r="T94" s="134">
        <f t="shared" si="20"/>
        <v>0</v>
      </c>
      <c r="U94" s="145"/>
      <c r="V94" s="142"/>
      <c r="W94" s="134">
        <f t="shared" si="21"/>
        <v>0</v>
      </c>
      <c r="X94" s="152"/>
      <c r="Y94" s="159"/>
      <c r="Z94" s="160"/>
      <c r="AA94" s="137">
        <f t="shared" si="22"/>
        <v>0</v>
      </c>
      <c r="AB94" s="138" t="e">
        <f t="shared" si="23"/>
        <v>#DIV/0!</v>
      </c>
    </row>
    <row r="95" spans="2:29" s="109" customFormat="1" ht="21.95" customHeight="1" outlineLevel="1">
      <c r="B95" s="148" t="str">
        <f>'CPU  1'!B95</f>
        <v>M14</v>
      </c>
      <c r="C95" s="149" t="str">
        <f>'CPU  1'!C95</f>
        <v>Cimento</v>
      </c>
      <c r="D95" s="150" t="str">
        <f>'CPU  1'!D95</f>
        <v>saco</v>
      </c>
      <c r="E95" s="151">
        <f>'CPU  1'!E95</f>
        <v>50</v>
      </c>
      <c r="F95" s="145"/>
      <c r="G95" s="142"/>
      <c r="H95" s="134">
        <f t="shared" si="16"/>
        <v>0</v>
      </c>
      <c r="I95" s="145"/>
      <c r="J95" s="142"/>
      <c r="K95" s="134">
        <f t="shared" si="17"/>
        <v>0</v>
      </c>
      <c r="L95" s="145"/>
      <c r="M95" s="142"/>
      <c r="N95" s="134">
        <f t="shared" si="18"/>
        <v>0</v>
      </c>
      <c r="O95" s="145"/>
      <c r="P95" s="142"/>
      <c r="Q95" s="134">
        <f t="shared" si="19"/>
        <v>0</v>
      </c>
      <c r="R95" s="145"/>
      <c r="S95" s="142"/>
      <c r="T95" s="134">
        <f t="shared" si="20"/>
        <v>0</v>
      </c>
      <c r="U95" s="145"/>
      <c r="V95" s="142"/>
      <c r="W95" s="134">
        <f t="shared" si="21"/>
        <v>0</v>
      </c>
      <c r="X95" s="152"/>
      <c r="Y95" s="159"/>
      <c r="Z95" s="160"/>
      <c r="AA95" s="137">
        <f t="shared" si="22"/>
        <v>0</v>
      </c>
      <c r="AB95" s="138" t="e">
        <f t="shared" si="23"/>
        <v>#DIV/0!</v>
      </c>
    </row>
    <row r="96" spans="2:29" s="109" customFormat="1" ht="21.95" customHeight="1" outlineLevel="1">
      <c r="B96" s="148" t="str">
        <f>'CPU  1'!B96</f>
        <v>M15</v>
      </c>
      <c r="C96" s="149" t="str">
        <f>'CPU  1'!C96</f>
        <v>Combustivel - Gasolina</v>
      </c>
      <c r="D96" s="150" t="str">
        <f>'CPU  1'!D96</f>
        <v>litro</v>
      </c>
      <c r="E96" s="151">
        <f>'CPU  1'!E96</f>
        <v>6.5</v>
      </c>
      <c r="F96" s="145"/>
      <c r="G96" s="142"/>
      <c r="H96" s="134">
        <f t="shared" si="16"/>
        <v>0</v>
      </c>
      <c r="I96" s="145"/>
      <c r="J96" s="142"/>
      <c r="K96" s="134">
        <f t="shared" si="17"/>
        <v>0</v>
      </c>
      <c r="L96" s="145"/>
      <c r="M96" s="142"/>
      <c r="N96" s="134">
        <f t="shared" si="18"/>
        <v>0</v>
      </c>
      <c r="O96" s="145"/>
      <c r="P96" s="142"/>
      <c r="Q96" s="134">
        <f t="shared" si="19"/>
        <v>0</v>
      </c>
      <c r="R96" s="145"/>
      <c r="S96" s="142"/>
      <c r="T96" s="134">
        <f t="shared" si="20"/>
        <v>0</v>
      </c>
      <c r="U96" s="145"/>
      <c r="V96" s="142"/>
      <c r="W96" s="134">
        <f t="shared" si="21"/>
        <v>0</v>
      </c>
      <c r="X96" s="152"/>
      <c r="Y96" s="159"/>
      <c r="Z96" s="160"/>
      <c r="AA96" s="137">
        <f t="shared" si="22"/>
        <v>0</v>
      </c>
      <c r="AB96" s="138" t="e">
        <f t="shared" si="23"/>
        <v>#DIV/0!</v>
      </c>
    </row>
    <row r="97" spans="2:28" s="109" customFormat="1" ht="21.95" customHeight="1" outlineLevel="1">
      <c r="B97" s="148" t="str">
        <f>'CPU  1'!B97</f>
        <v>M16</v>
      </c>
      <c r="C97" s="149" t="str">
        <f>'CPU  1'!C97</f>
        <v>Combustivel - Diesel</v>
      </c>
      <c r="D97" s="150" t="str">
        <f>'CPU  1'!D97</f>
        <v>litro</v>
      </c>
      <c r="E97" s="151">
        <f>'CPU  1'!E97</f>
        <v>7</v>
      </c>
      <c r="F97" s="145"/>
      <c r="G97" s="142"/>
      <c r="H97" s="134">
        <f t="shared" si="16"/>
        <v>0</v>
      </c>
      <c r="I97" s="145"/>
      <c r="J97" s="142"/>
      <c r="K97" s="134">
        <f t="shared" si="17"/>
        <v>0</v>
      </c>
      <c r="L97" s="145"/>
      <c r="M97" s="142"/>
      <c r="N97" s="134">
        <f t="shared" si="18"/>
        <v>0</v>
      </c>
      <c r="O97" s="145"/>
      <c r="P97" s="142"/>
      <c r="Q97" s="134">
        <f t="shared" si="19"/>
        <v>0</v>
      </c>
      <c r="R97" s="145"/>
      <c r="S97" s="142"/>
      <c r="T97" s="134">
        <f t="shared" si="20"/>
        <v>0</v>
      </c>
      <c r="U97" s="145"/>
      <c r="V97" s="142"/>
      <c r="W97" s="134">
        <f t="shared" si="21"/>
        <v>0</v>
      </c>
      <c r="X97" s="152"/>
      <c r="Y97" s="159"/>
      <c r="Z97" s="160"/>
      <c r="AA97" s="137">
        <f t="shared" si="22"/>
        <v>0</v>
      </c>
      <c r="AB97" s="138" t="e">
        <f t="shared" si="23"/>
        <v>#DIV/0!</v>
      </c>
    </row>
    <row r="98" spans="2:28" s="109" customFormat="1" ht="36" customHeight="1" outlineLevel="1">
      <c r="B98" s="148" t="str">
        <f>'CPU  1'!B98</f>
        <v>M17</v>
      </c>
      <c r="C98" s="149" t="str">
        <f>'CPU  1'!C98</f>
        <v>Compensado resinado espessura mínima de 10mm</v>
      </c>
      <c r="D98" s="150" t="str">
        <f>'CPU  1'!D98</f>
        <v>m²</v>
      </c>
      <c r="E98" s="151">
        <f>'CPU  1'!E98</f>
        <v>49.586776859504127</v>
      </c>
      <c r="F98" s="145"/>
      <c r="G98" s="142"/>
      <c r="H98" s="134">
        <f t="shared" si="16"/>
        <v>0</v>
      </c>
      <c r="I98" s="145"/>
      <c r="J98" s="142"/>
      <c r="K98" s="134">
        <f t="shared" si="17"/>
        <v>0</v>
      </c>
      <c r="L98" s="145"/>
      <c r="M98" s="142"/>
      <c r="N98" s="134">
        <f t="shared" si="18"/>
        <v>0</v>
      </c>
      <c r="O98" s="145"/>
      <c r="P98" s="142"/>
      <c r="Q98" s="134">
        <f t="shared" si="19"/>
        <v>0</v>
      </c>
      <c r="R98" s="145"/>
      <c r="S98" s="142"/>
      <c r="T98" s="134">
        <f t="shared" si="20"/>
        <v>0</v>
      </c>
      <c r="U98" s="145"/>
      <c r="V98" s="142"/>
      <c r="W98" s="134">
        <f t="shared" si="21"/>
        <v>0</v>
      </c>
      <c r="X98" s="152"/>
      <c r="Y98" s="159"/>
      <c r="Z98" s="160"/>
      <c r="AA98" s="137">
        <f t="shared" si="22"/>
        <v>0</v>
      </c>
      <c r="AB98" s="138" t="e">
        <f t="shared" si="23"/>
        <v>#DIV/0!</v>
      </c>
    </row>
    <row r="99" spans="2:28" s="109" customFormat="1" ht="36" customHeight="1" outlineLevel="1">
      <c r="B99" s="148" t="str">
        <f>'CPU  1'!B99</f>
        <v>M18</v>
      </c>
      <c r="C99" s="149" t="str">
        <f>'CPU  1'!C99</f>
        <v>Concertina dupla clipada 45cm perimetral galvanizada CBT 65 RL 10m com seus respectivos acessórios de fixação</v>
      </c>
      <c r="D99" s="150" t="str">
        <f>'CPU  1'!D99</f>
        <v>m</v>
      </c>
      <c r="E99" s="151">
        <f>'CPU  1'!E99</f>
        <v>42</v>
      </c>
      <c r="F99" s="145"/>
      <c r="G99" s="142"/>
      <c r="H99" s="134">
        <f t="shared" si="16"/>
        <v>0</v>
      </c>
      <c r="I99" s="145"/>
      <c r="J99" s="142"/>
      <c r="K99" s="134">
        <f t="shared" si="17"/>
        <v>0</v>
      </c>
      <c r="L99" s="145"/>
      <c r="M99" s="142"/>
      <c r="N99" s="134">
        <f t="shared" si="18"/>
        <v>0</v>
      </c>
      <c r="O99" s="145"/>
      <c r="P99" s="142"/>
      <c r="Q99" s="134">
        <f t="shared" si="19"/>
        <v>0</v>
      </c>
      <c r="R99" s="145"/>
      <c r="S99" s="142"/>
      <c r="T99" s="134">
        <f t="shared" si="20"/>
        <v>0</v>
      </c>
      <c r="U99" s="145"/>
      <c r="V99" s="142"/>
      <c r="W99" s="134">
        <f t="shared" si="21"/>
        <v>0</v>
      </c>
      <c r="X99" s="152"/>
      <c r="Y99" s="159"/>
      <c r="Z99" s="160"/>
      <c r="AA99" s="137">
        <f t="shared" si="22"/>
        <v>0</v>
      </c>
      <c r="AB99" s="138" t="e">
        <f t="shared" si="23"/>
        <v>#DIV/0!</v>
      </c>
    </row>
    <row r="100" spans="2:28" s="109" customFormat="1" ht="21.95" customHeight="1" outlineLevel="1">
      <c r="B100" s="148" t="str">
        <f>'CPU  1'!B100</f>
        <v>M19</v>
      </c>
      <c r="C100" s="149" t="str">
        <f>'CPU  1'!C100</f>
        <v>Concreto usinado 30MPa</v>
      </c>
      <c r="D100" s="150" t="str">
        <f>'CPU  1'!D100</f>
        <v>m³</v>
      </c>
      <c r="E100" s="151">
        <f>'CPU  1'!E100</f>
        <v>650</v>
      </c>
      <c r="F100" s="145"/>
      <c r="G100" s="142"/>
      <c r="H100" s="134">
        <f t="shared" si="16"/>
        <v>0</v>
      </c>
      <c r="I100" s="145"/>
      <c r="J100" s="142"/>
      <c r="K100" s="134">
        <f t="shared" si="17"/>
        <v>0</v>
      </c>
      <c r="L100" s="145"/>
      <c r="M100" s="142"/>
      <c r="N100" s="134">
        <f t="shared" si="18"/>
        <v>0</v>
      </c>
      <c r="O100" s="145"/>
      <c r="P100" s="142"/>
      <c r="Q100" s="134">
        <f t="shared" si="19"/>
        <v>0</v>
      </c>
      <c r="R100" s="145"/>
      <c r="S100" s="142"/>
      <c r="T100" s="134">
        <f t="shared" si="20"/>
        <v>0</v>
      </c>
      <c r="U100" s="145"/>
      <c r="V100" s="142"/>
      <c r="W100" s="134">
        <f t="shared" si="21"/>
        <v>0</v>
      </c>
      <c r="X100" s="152"/>
      <c r="Y100" s="159"/>
      <c r="Z100" s="160"/>
      <c r="AA100" s="137">
        <f t="shared" si="22"/>
        <v>0</v>
      </c>
      <c r="AB100" s="138" t="e">
        <f t="shared" si="23"/>
        <v>#DIV/0!</v>
      </c>
    </row>
    <row r="101" spans="2:28" s="109" customFormat="1" ht="21.95" customHeight="1" outlineLevel="1">
      <c r="B101" s="148" t="str">
        <f>'CPU  1'!B101</f>
        <v>M20</v>
      </c>
      <c r="C101" s="149" t="str">
        <f>'CPU  1'!C101</f>
        <v>Espaçadores de ferragem</v>
      </c>
      <c r="D101" s="150" t="str">
        <f>'CPU  1'!D101</f>
        <v>und</v>
      </c>
      <c r="E101" s="151">
        <f>'CPU  1'!E101</f>
        <v>2</v>
      </c>
      <c r="F101" s="145"/>
      <c r="G101" s="142"/>
      <c r="H101" s="134">
        <f t="shared" si="16"/>
        <v>0</v>
      </c>
      <c r="I101" s="145"/>
      <c r="J101" s="142"/>
      <c r="K101" s="134">
        <f t="shared" si="17"/>
        <v>0</v>
      </c>
      <c r="L101" s="145"/>
      <c r="M101" s="142"/>
      <c r="N101" s="134">
        <f t="shared" si="18"/>
        <v>0</v>
      </c>
      <c r="O101" s="145"/>
      <c r="P101" s="142"/>
      <c r="Q101" s="134">
        <f t="shared" si="19"/>
        <v>0</v>
      </c>
      <c r="R101" s="145"/>
      <c r="S101" s="142"/>
      <c r="T101" s="134">
        <f t="shared" si="20"/>
        <v>0</v>
      </c>
      <c r="U101" s="145"/>
      <c r="V101" s="142"/>
      <c r="W101" s="134">
        <f t="shared" si="21"/>
        <v>0</v>
      </c>
      <c r="X101" s="152"/>
      <c r="Y101" s="159"/>
      <c r="Z101" s="160"/>
      <c r="AA101" s="137">
        <f t="shared" si="22"/>
        <v>0</v>
      </c>
      <c r="AB101" s="138" t="e">
        <f t="shared" si="23"/>
        <v>#DIV/0!</v>
      </c>
    </row>
    <row r="102" spans="2:28" s="109" customFormat="1" ht="21.95" customHeight="1" outlineLevel="1">
      <c r="B102" s="148" t="str">
        <f>'CPU  1'!B102</f>
        <v>M21</v>
      </c>
      <c r="C102" s="149" t="str">
        <f>'CPU  1'!C102</f>
        <v>Treliça - para viga baldrame</v>
      </c>
      <c r="D102" s="150" t="str">
        <f>'CPU  1'!D102</f>
        <v>m</v>
      </c>
      <c r="E102" s="151">
        <f>'CPU  1'!E102</f>
        <v>7.5</v>
      </c>
      <c r="F102" s="145"/>
      <c r="G102" s="142"/>
      <c r="H102" s="134">
        <f t="shared" si="16"/>
        <v>0</v>
      </c>
      <c r="I102" s="145"/>
      <c r="J102" s="142"/>
      <c r="K102" s="134">
        <f t="shared" si="17"/>
        <v>0</v>
      </c>
      <c r="L102" s="145"/>
      <c r="M102" s="142"/>
      <c r="N102" s="134">
        <f t="shared" si="18"/>
        <v>0</v>
      </c>
      <c r="O102" s="145"/>
      <c r="P102" s="142"/>
      <c r="Q102" s="134">
        <f t="shared" si="19"/>
        <v>0</v>
      </c>
      <c r="R102" s="145"/>
      <c r="S102" s="142"/>
      <c r="T102" s="134">
        <f t="shared" si="20"/>
        <v>0</v>
      </c>
      <c r="U102" s="145"/>
      <c r="V102" s="142"/>
      <c r="W102" s="134">
        <f t="shared" si="21"/>
        <v>0</v>
      </c>
      <c r="X102" s="152"/>
      <c r="Y102" s="159"/>
      <c r="Z102" s="160"/>
      <c r="AA102" s="137">
        <f t="shared" si="22"/>
        <v>0</v>
      </c>
      <c r="AB102" s="138" t="e">
        <f t="shared" si="23"/>
        <v>#DIV/0!</v>
      </c>
    </row>
    <row r="103" spans="2:28" s="109" customFormat="1" ht="21.95" customHeight="1" outlineLevel="1">
      <c r="B103" s="148" t="str">
        <f>'CPU  1'!B103</f>
        <v>M22</v>
      </c>
      <c r="C103" s="149" t="str">
        <f>'CPU  1'!C103</f>
        <v>Gelo</v>
      </c>
      <c r="D103" s="150" t="str">
        <f>'CPU  1'!D103</f>
        <v>pacote</v>
      </c>
      <c r="E103" s="151">
        <f>'CPU  1'!E103</f>
        <v>5</v>
      </c>
      <c r="F103" s="145"/>
      <c r="G103" s="142"/>
      <c r="H103" s="134">
        <f t="shared" si="16"/>
        <v>0</v>
      </c>
      <c r="I103" s="145"/>
      <c r="J103" s="142"/>
      <c r="K103" s="134">
        <f t="shared" si="17"/>
        <v>0</v>
      </c>
      <c r="L103" s="145"/>
      <c r="M103" s="142"/>
      <c r="N103" s="134">
        <f t="shared" si="18"/>
        <v>0</v>
      </c>
      <c r="O103" s="145"/>
      <c r="P103" s="142"/>
      <c r="Q103" s="134">
        <f t="shared" si="19"/>
        <v>0</v>
      </c>
      <c r="R103" s="145"/>
      <c r="S103" s="142"/>
      <c r="T103" s="134">
        <f t="shared" si="20"/>
        <v>0</v>
      </c>
      <c r="U103" s="145"/>
      <c r="V103" s="142"/>
      <c r="W103" s="134">
        <f t="shared" si="21"/>
        <v>0</v>
      </c>
      <c r="X103" s="152"/>
      <c r="Y103" s="159"/>
      <c r="Z103" s="160"/>
      <c r="AA103" s="137">
        <f t="shared" si="22"/>
        <v>0</v>
      </c>
      <c r="AB103" s="138" t="e">
        <f t="shared" si="23"/>
        <v>#DIV/0!</v>
      </c>
    </row>
    <row r="104" spans="2:28" s="109" customFormat="1" ht="21.95" customHeight="1" outlineLevel="1">
      <c r="B104" s="148" t="str">
        <f>'CPU  1'!B104</f>
        <v>M23</v>
      </c>
      <c r="C104" s="149" t="str">
        <f>'CPU  1'!C104</f>
        <v>Kit ambiental</v>
      </c>
      <c r="D104" s="150" t="str">
        <f>'CPU  1'!D104</f>
        <v>vb</v>
      </c>
      <c r="E104" s="151">
        <f>'CPU  1'!E104</f>
        <v>750</v>
      </c>
      <c r="F104" s="145"/>
      <c r="G104" s="142"/>
      <c r="H104" s="134">
        <f t="shared" si="16"/>
        <v>0</v>
      </c>
      <c r="I104" s="145"/>
      <c r="J104" s="142"/>
      <c r="K104" s="134">
        <f t="shared" si="17"/>
        <v>0</v>
      </c>
      <c r="L104" s="145"/>
      <c r="M104" s="142"/>
      <c r="N104" s="134">
        <f t="shared" si="18"/>
        <v>0</v>
      </c>
      <c r="O104" s="145"/>
      <c r="P104" s="142"/>
      <c r="Q104" s="134">
        <f t="shared" si="19"/>
        <v>0</v>
      </c>
      <c r="R104" s="145"/>
      <c r="S104" s="142"/>
      <c r="T104" s="134">
        <f t="shared" si="20"/>
        <v>0</v>
      </c>
      <c r="U104" s="145"/>
      <c r="V104" s="142"/>
      <c r="W104" s="134">
        <f t="shared" si="21"/>
        <v>0</v>
      </c>
      <c r="X104" s="152"/>
      <c r="Y104" s="159"/>
      <c r="Z104" s="160"/>
      <c r="AA104" s="137">
        <f t="shared" si="22"/>
        <v>0</v>
      </c>
      <c r="AB104" s="138" t="e">
        <f t="shared" si="23"/>
        <v>#DIV/0!</v>
      </c>
    </row>
    <row r="105" spans="2:28" s="109" customFormat="1" ht="36" customHeight="1" outlineLevel="1">
      <c r="B105" s="148" t="str">
        <f>'CPU  1'!B105</f>
        <v>M24</v>
      </c>
      <c r="C105" s="149" t="str">
        <f>'CPU  1'!C105</f>
        <v>Material de escritório (papel, tinta, grampos, pastas, ...)</v>
      </c>
      <c r="D105" s="150" t="str">
        <f>'CPU  1'!D105</f>
        <v>vb/mês</v>
      </c>
      <c r="E105" s="151">
        <f>'CPU  1'!E105</f>
        <v>300</v>
      </c>
      <c r="F105" s="145"/>
      <c r="G105" s="142"/>
      <c r="H105" s="134">
        <f t="shared" si="16"/>
        <v>0</v>
      </c>
      <c r="I105" s="145"/>
      <c r="J105" s="142"/>
      <c r="K105" s="134">
        <f t="shared" si="17"/>
        <v>0</v>
      </c>
      <c r="L105" s="145"/>
      <c r="M105" s="142"/>
      <c r="N105" s="134">
        <f t="shared" si="18"/>
        <v>0</v>
      </c>
      <c r="O105" s="145"/>
      <c r="P105" s="142"/>
      <c r="Q105" s="134">
        <f t="shared" si="19"/>
        <v>0</v>
      </c>
      <c r="R105" s="145"/>
      <c r="S105" s="142"/>
      <c r="T105" s="134">
        <f t="shared" si="20"/>
        <v>0</v>
      </c>
      <c r="U105" s="145"/>
      <c r="V105" s="142"/>
      <c r="W105" s="134">
        <f t="shared" si="21"/>
        <v>0</v>
      </c>
      <c r="X105" s="152"/>
      <c r="Y105" s="159"/>
      <c r="Z105" s="160"/>
      <c r="AA105" s="137">
        <f t="shared" si="22"/>
        <v>0</v>
      </c>
      <c r="AB105" s="138" t="e">
        <f t="shared" si="23"/>
        <v>#DIV/0!</v>
      </c>
    </row>
    <row r="106" spans="2:28" s="109" customFormat="1" ht="21.95" customHeight="1" outlineLevel="1">
      <c r="B106" s="148" t="str">
        <f>'CPU  1'!B106</f>
        <v>M25</v>
      </c>
      <c r="C106" s="149" t="str">
        <f>'CPU  1'!C106</f>
        <v>Material de sinalização</v>
      </c>
      <c r="D106" s="150" t="str">
        <f>'CPU  1'!D106</f>
        <v>und</v>
      </c>
      <c r="E106" s="151">
        <f>'CPU  1'!E106</f>
        <v>550</v>
      </c>
      <c r="F106" s="145"/>
      <c r="G106" s="142"/>
      <c r="H106" s="134">
        <f t="shared" si="16"/>
        <v>0</v>
      </c>
      <c r="I106" s="145"/>
      <c r="J106" s="142"/>
      <c r="K106" s="134">
        <f t="shared" si="17"/>
        <v>0</v>
      </c>
      <c r="L106" s="145"/>
      <c r="M106" s="142"/>
      <c r="N106" s="134">
        <f t="shared" si="18"/>
        <v>0</v>
      </c>
      <c r="O106" s="145"/>
      <c r="P106" s="142"/>
      <c r="Q106" s="134">
        <f t="shared" si="19"/>
        <v>0</v>
      </c>
      <c r="R106" s="145"/>
      <c r="S106" s="142"/>
      <c r="T106" s="134">
        <f t="shared" si="20"/>
        <v>0</v>
      </c>
      <c r="U106" s="145"/>
      <c r="V106" s="142"/>
      <c r="W106" s="134">
        <f t="shared" si="21"/>
        <v>0</v>
      </c>
      <c r="X106" s="152"/>
      <c r="Y106" s="159"/>
      <c r="Z106" s="160"/>
      <c r="AA106" s="137">
        <f t="shared" si="22"/>
        <v>0</v>
      </c>
      <c r="AB106" s="138" t="e">
        <f t="shared" si="23"/>
        <v>#DIV/0!</v>
      </c>
    </row>
    <row r="107" spans="2:28" s="109" customFormat="1" ht="21.95" customHeight="1" outlineLevel="1">
      <c r="B107" s="148" t="str">
        <f>'CPU  1'!B107</f>
        <v>M26</v>
      </c>
      <c r="C107" s="149" t="str">
        <f>'CPU  1'!C107</f>
        <v>Mourão tipo Y, 13 x 13 x 313cm fck 30mpa</v>
      </c>
      <c r="D107" s="150" t="str">
        <f>'CPU  1'!D107</f>
        <v>peça</v>
      </c>
      <c r="E107" s="151">
        <f>'CPU  1'!E107</f>
        <v>248.39999999999998</v>
      </c>
      <c r="F107" s="145"/>
      <c r="G107" s="142"/>
      <c r="H107" s="134">
        <f t="shared" si="16"/>
        <v>0</v>
      </c>
      <c r="I107" s="145"/>
      <c r="J107" s="142"/>
      <c r="K107" s="134">
        <f t="shared" si="17"/>
        <v>0</v>
      </c>
      <c r="L107" s="145"/>
      <c r="M107" s="142"/>
      <c r="N107" s="134">
        <f t="shared" si="18"/>
        <v>0</v>
      </c>
      <c r="O107" s="145"/>
      <c r="P107" s="142"/>
      <c r="Q107" s="134">
        <f t="shared" si="19"/>
        <v>0</v>
      </c>
      <c r="R107" s="145"/>
      <c r="S107" s="142"/>
      <c r="T107" s="134">
        <f t="shared" si="20"/>
        <v>0</v>
      </c>
      <c r="U107" s="145"/>
      <c r="V107" s="142"/>
      <c r="W107" s="134">
        <f t="shared" si="21"/>
        <v>0</v>
      </c>
      <c r="X107" s="152"/>
      <c r="Y107" s="159"/>
      <c r="Z107" s="160"/>
      <c r="AA107" s="137">
        <f t="shared" si="22"/>
        <v>0</v>
      </c>
      <c r="AB107" s="138" t="e">
        <f t="shared" si="23"/>
        <v>#DIV/0!</v>
      </c>
    </row>
    <row r="108" spans="2:28" s="109" customFormat="1" ht="21.95" customHeight="1" outlineLevel="1">
      <c r="B108" s="148" t="str">
        <f>'CPU  1'!B108</f>
        <v>M27</v>
      </c>
      <c r="C108" s="149" t="str">
        <f>'CPU  1'!C108</f>
        <v>Mourão em eucalipto 10cm x 273cm</v>
      </c>
      <c r="D108" s="150" t="str">
        <f>'CPU  1'!D108</f>
        <v>peça</v>
      </c>
      <c r="E108" s="151">
        <f>'CPU  1'!E108</f>
        <v>104.39999999999999</v>
      </c>
      <c r="F108" s="145"/>
      <c r="G108" s="142"/>
      <c r="H108" s="134">
        <f t="shared" si="16"/>
        <v>0</v>
      </c>
      <c r="I108" s="145"/>
      <c r="J108" s="142"/>
      <c r="K108" s="134">
        <f t="shared" si="17"/>
        <v>0</v>
      </c>
      <c r="L108" s="145"/>
      <c r="M108" s="142"/>
      <c r="N108" s="134">
        <f t="shared" si="18"/>
        <v>0</v>
      </c>
      <c r="O108" s="145"/>
      <c r="P108" s="142"/>
      <c r="Q108" s="134">
        <f t="shared" si="19"/>
        <v>0</v>
      </c>
      <c r="R108" s="145"/>
      <c r="S108" s="142"/>
      <c r="T108" s="134">
        <f t="shared" si="20"/>
        <v>0</v>
      </c>
      <c r="U108" s="145"/>
      <c r="V108" s="142"/>
      <c r="W108" s="134">
        <f t="shared" si="21"/>
        <v>0</v>
      </c>
      <c r="X108" s="152"/>
      <c r="Y108" s="159"/>
      <c r="Z108" s="160"/>
      <c r="AA108" s="137">
        <f t="shared" si="22"/>
        <v>0</v>
      </c>
      <c r="AB108" s="138" t="e">
        <f t="shared" si="23"/>
        <v>#DIV/0!</v>
      </c>
    </row>
    <row r="109" spans="2:28" s="109" customFormat="1" ht="36" customHeight="1" outlineLevel="1">
      <c r="B109" s="148" t="str">
        <f>'CPU  1'!B109</f>
        <v>M28</v>
      </c>
      <c r="C109" s="149" t="str">
        <f>'CPU  1'!C109</f>
        <v>Painel tipo gradil morla 2,03 x 2,5m, fio 5,10mm revestido</v>
      </c>
      <c r="D109" s="150" t="str">
        <f>'CPU  1'!D109</f>
        <v>peça</v>
      </c>
      <c r="E109" s="151">
        <f>'CPU  1'!E109</f>
        <v>780</v>
      </c>
      <c r="F109" s="145"/>
      <c r="G109" s="142"/>
      <c r="H109" s="134">
        <f t="shared" si="16"/>
        <v>0</v>
      </c>
      <c r="I109" s="145"/>
      <c r="J109" s="142"/>
      <c r="K109" s="134">
        <f t="shared" si="17"/>
        <v>0</v>
      </c>
      <c r="L109" s="145"/>
      <c r="M109" s="142"/>
      <c r="N109" s="134">
        <f t="shared" si="18"/>
        <v>0</v>
      </c>
      <c r="O109" s="145"/>
      <c r="P109" s="142"/>
      <c r="Q109" s="134">
        <f t="shared" si="19"/>
        <v>0</v>
      </c>
      <c r="R109" s="145"/>
      <c r="S109" s="142"/>
      <c r="T109" s="134">
        <f t="shared" si="20"/>
        <v>0</v>
      </c>
      <c r="U109" s="145"/>
      <c r="V109" s="142"/>
      <c r="W109" s="134">
        <f t="shared" si="21"/>
        <v>0</v>
      </c>
      <c r="X109" s="152"/>
      <c r="Y109" s="159"/>
      <c r="Z109" s="160"/>
      <c r="AA109" s="137">
        <f t="shared" si="22"/>
        <v>0</v>
      </c>
      <c r="AB109" s="138" t="e">
        <f t="shared" si="23"/>
        <v>#DIV/0!</v>
      </c>
    </row>
    <row r="110" spans="2:28" s="109" customFormat="1" ht="36" customHeight="1" outlineLevel="1">
      <c r="B110" s="148" t="str">
        <f>'CPU  1'!B110</f>
        <v>M29</v>
      </c>
      <c r="C110" s="149" t="str">
        <f>'CPU  1'!C110</f>
        <v>Painel, tomadas, lampadas, dijuntores, cabos</v>
      </c>
      <c r="D110" s="150" t="str">
        <f>'CPU  1'!D110</f>
        <v>vb</v>
      </c>
      <c r="E110" s="151">
        <f>'CPU  1'!E110</f>
        <v>5000</v>
      </c>
      <c r="F110" s="145"/>
      <c r="G110" s="142"/>
      <c r="H110" s="134">
        <f t="shared" si="16"/>
        <v>0</v>
      </c>
      <c r="I110" s="145"/>
      <c r="J110" s="142"/>
      <c r="K110" s="134">
        <f t="shared" si="17"/>
        <v>0</v>
      </c>
      <c r="L110" s="145"/>
      <c r="M110" s="142"/>
      <c r="N110" s="134">
        <f t="shared" si="18"/>
        <v>0</v>
      </c>
      <c r="O110" s="145"/>
      <c r="P110" s="142"/>
      <c r="Q110" s="134">
        <f t="shared" si="19"/>
        <v>0</v>
      </c>
      <c r="R110" s="145"/>
      <c r="S110" s="142"/>
      <c r="T110" s="134">
        <f t="shared" si="20"/>
        <v>0</v>
      </c>
      <c r="U110" s="145"/>
      <c r="V110" s="142"/>
      <c r="W110" s="134">
        <f t="shared" si="21"/>
        <v>0</v>
      </c>
      <c r="X110" s="152"/>
      <c r="Y110" s="159"/>
      <c r="Z110" s="160"/>
      <c r="AA110" s="137">
        <f t="shared" si="22"/>
        <v>0</v>
      </c>
      <c r="AB110" s="138" t="e">
        <f t="shared" si="23"/>
        <v>#DIV/0!</v>
      </c>
    </row>
    <row r="111" spans="2:28" s="109" customFormat="1" ht="21.95" customHeight="1" outlineLevel="1">
      <c r="B111" s="148" t="str">
        <f>'CPU  1'!B111</f>
        <v>M30</v>
      </c>
      <c r="C111" s="149" t="str">
        <f>'CPU  1'!C111</f>
        <v>Placa de obra</v>
      </c>
      <c r="D111" s="150" t="str">
        <f>'CPU  1'!D111</f>
        <v>vb</v>
      </c>
      <c r="E111" s="151">
        <f>'CPU  1'!E111</f>
        <v>2000</v>
      </c>
      <c r="F111" s="145"/>
      <c r="G111" s="142"/>
      <c r="H111" s="134">
        <f t="shared" si="16"/>
        <v>0</v>
      </c>
      <c r="I111" s="145"/>
      <c r="J111" s="142"/>
      <c r="K111" s="134">
        <f t="shared" si="17"/>
        <v>0</v>
      </c>
      <c r="L111" s="145"/>
      <c r="M111" s="142"/>
      <c r="N111" s="134">
        <f t="shared" si="18"/>
        <v>0</v>
      </c>
      <c r="O111" s="145"/>
      <c r="P111" s="142"/>
      <c r="Q111" s="134">
        <f t="shared" si="19"/>
        <v>0</v>
      </c>
      <c r="R111" s="145"/>
      <c r="S111" s="142"/>
      <c r="T111" s="134">
        <f t="shared" si="20"/>
        <v>0</v>
      </c>
      <c r="U111" s="145"/>
      <c r="V111" s="142"/>
      <c r="W111" s="134">
        <f t="shared" si="21"/>
        <v>0</v>
      </c>
      <c r="X111" s="152"/>
      <c r="Y111" s="159"/>
      <c r="Z111" s="160"/>
      <c r="AA111" s="137">
        <f t="shared" si="22"/>
        <v>0</v>
      </c>
      <c r="AB111" s="138" t="e">
        <f t="shared" si="23"/>
        <v>#DIV/0!</v>
      </c>
    </row>
    <row r="112" spans="2:28" s="109" customFormat="1" ht="21.95" customHeight="1" outlineLevel="1">
      <c r="B112" s="148" t="str">
        <f>'CPU  1'!B112</f>
        <v>M31</v>
      </c>
      <c r="C112" s="149" t="str">
        <f>'CPU  1'!C112</f>
        <v>Prego</v>
      </c>
      <c r="D112" s="150" t="str">
        <f>'CPU  1'!D112</f>
        <v>kg</v>
      </c>
      <c r="E112" s="151">
        <f>'CPU  1'!E112</f>
        <v>25</v>
      </c>
      <c r="F112" s="145"/>
      <c r="G112" s="142"/>
      <c r="H112" s="134">
        <f t="shared" si="16"/>
        <v>0</v>
      </c>
      <c r="I112" s="145"/>
      <c r="J112" s="142"/>
      <c r="K112" s="134">
        <f t="shared" si="17"/>
        <v>0</v>
      </c>
      <c r="L112" s="145"/>
      <c r="M112" s="142"/>
      <c r="N112" s="134">
        <f t="shared" si="18"/>
        <v>0</v>
      </c>
      <c r="O112" s="145"/>
      <c r="P112" s="142"/>
      <c r="Q112" s="134">
        <f t="shared" si="19"/>
        <v>0</v>
      </c>
      <c r="R112" s="145"/>
      <c r="S112" s="142"/>
      <c r="T112" s="134">
        <f t="shared" si="20"/>
        <v>0</v>
      </c>
      <c r="U112" s="145"/>
      <c r="V112" s="142"/>
      <c r="W112" s="134">
        <f t="shared" si="21"/>
        <v>0</v>
      </c>
      <c r="X112" s="152"/>
      <c r="Y112" s="159"/>
      <c r="Z112" s="160"/>
      <c r="AA112" s="137">
        <f t="shared" si="22"/>
        <v>0</v>
      </c>
      <c r="AB112" s="138" t="e">
        <f t="shared" si="23"/>
        <v>#DIV/0!</v>
      </c>
    </row>
    <row r="113" spans="2:28" s="109" customFormat="1" ht="36" customHeight="1" outlineLevel="1">
      <c r="B113" s="148" t="str">
        <f>'CPU  1'!B113</f>
        <v>M32</v>
      </c>
      <c r="C113" s="149" t="str">
        <f>'CPU  1'!C113</f>
        <v>Sistema de fixação das telas (parafuso, porcas, arruelas, chapas), galvanizados</v>
      </c>
      <c r="D113" s="150" t="str">
        <f>'CPU  1'!D113</f>
        <v>conjunto</v>
      </c>
      <c r="E113" s="151">
        <f>'CPU  1'!E113</f>
        <v>65</v>
      </c>
      <c r="F113" s="145"/>
      <c r="G113" s="142"/>
      <c r="H113" s="134">
        <f t="shared" si="16"/>
        <v>0</v>
      </c>
      <c r="I113" s="145"/>
      <c r="J113" s="142"/>
      <c r="K113" s="134">
        <f t="shared" si="17"/>
        <v>0</v>
      </c>
      <c r="L113" s="145"/>
      <c r="M113" s="142"/>
      <c r="N113" s="134">
        <f t="shared" si="18"/>
        <v>0</v>
      </c>
      <c r="O113" s="145"/>
      <c r="P113" s="142"/>
      <c r="Q113" s="134">
        <f t="shared" si="19"/>
        <v>0</v>
      </c>
      <c r="R113" s="145"/>
      <c r="S113" s="142"/>
      <c r="T113" s="134">
        <f t="shared" si="20"/>
        <v>0</v>
      </c>
      <c r="U113" s="145"/>
      <c r="V113" s="142"/>
      <c r="W113" s="134">
        <f t="shared" si="21"/>
        <v>0</v>
      </c>
      <c r="X113" s="152"/>
      <c r="Y113" s="159"/>
      <c r="Z113" s="160"/>
      <c r="AA113" s="137">
        <f t="shared" si="22"/>
        <v>0</v>
      </c>
      <c r="AB113" s="138" t="e">
        <f t="shared" si="23"/>
        <v>#DIV/0!</v>
      </c>
    </row>
    <row r="114" spans="2:28" s="109" customFormat="1" ht="21.95" customHeight="1" outlineLevel="1">
      <c r="B114" s="148" t="str">
        <f>'CPU  1'!B114</f>
        <v>M33</v>
      </c>
      <c r="C114" s="149" t="str">
        <f>'CPU  1'!C114</f>
        <v>Materiais topográficos</v>
      </c>
      <c r="D114" s="150" t="str">
        <f>'CPU  1'!D114</f>
        <v>vb/mês</v>
      </c>
      <c r="E114" s="151">
        <f>'CPU  1'!E114</f>
        <v>200</v>
      </c>
      <c r="F114" s="145"/>
      <c r="G114" s="142"/>
      <c r="H114" s="134">
        <f t="shared" si="16"/>
        <v>0</v>
      </c>
      <c r="I114" s="145"/>
      <c r="J114" s="142"/>
      <c r="K114" s="134">
        <f t="shared" si="17"/>
        <v>0</v>
      </c>
      <c r="L114" s="145"/>
      <c r="M114" s="142"/>
      <c r="N114" s="134">
        <f t="shared" si="18"/>
        <v>0</v>
      </c>
      <c r="O114" s="145"/>
      <c r="P114" s="142"/>
      <c r="Q114" s="134">
        <f t="shared" si="19"/>
        <v>0</v>
      </c>
      <c r="R114" s="145"/>
      <c r="S114" s="142"/>
      <c r="T114" s="134">
        <f t="shared" si="20"/>
        <v>0</v>
      </c>
      <c r="U114" s="145"/>
      <c r="V114" s="142"/>
      <c r="W114" s="134">
        <f t="shared" si="21"/>
        <v>0</v>
      </c>
      <c r="X114" s="152"/>
      <c r="Y114" s="159"/>
      <c r="Z114" s="160"/>
      <c r="AA114" s="137">
        <f t="shared" si="22"/>
        <v>0</v>
      </c>
      <c r="AB114" s="138" t="e">
        <f t="shared" si="23"/>
        <v>#DIV/0!</v>
      </c>
    </row>
    <row r="115" spans="2:28" s="109" customFormat="1" ht="21.95" customHeight="1" outlineLevel="1">
      <c r="B115" s="148" t="str">
        <f>'CPU  1'!B115</f>
        <v>M34</v>
      </c>
      <c r="C115" s="149" t="str">
        <f>'CPU  1'!C115</f>
        <v>Tela ondulada em aço galvanizado 0,65mx1m</v>
      </c>
      <c r="D115" s="150" t="str">
        <f>'CPU  1'!D115</f>
        <v>m</v>
      </c>
      <c r="E115" s="151">
        <f>'CPU  1'!E115</f>
        <v>115.19999999999999</v>
      </c>
      <c r="F115" s="145"/>
      <c r="G115" s="142"/>
      <c r="H115" s="134">
        <f t="shared" si="16"/>
        <v>0</v>
      </c>
      <c r="I115" s="145"/>
      <c r="J115" s="142"/>
      <c r="K115" s="134">
        <f t="shared" si="17"/>
        <v>0</v>
      </c>
      <c r="L115" s="145"/>
      <c r="M115" s="142"/>
      <c r="N115" s="134">
        <f t="shared" si="18"/>
        <v>0</v>
      </c>
      <c r="O115" s="145"/>
      <c r="P115" s="142"/>
      <c r="Q115" s="134">
        <f t="shared" si="19"/>
        <v>0</v>
      </c>
      <c r="R115" s="145"/>
      <c r="S115" s="142"/>
      <c r="T115" s="134">
        <f t="shared" si="20"/>
        <v>0</v>
      </c>
      <c r="U115" s="145"/>
      <c r="V115" s="142"/>
      <c r="W115" s="134">
        <f t="shared" si="21"/>
        <v>0</v>
      </c>
      <c r="X115" s="152"/>
      <c r="Y115" s="159"/>
      <c r="Z115" s="160"/>
      <c r="AA115" s="137">
        <f t="shared" si="22"/>
        <v>0</v>
      </c>
      <c r="AB115" s="138" t="e">
        <f t="shared" si="23"/>
        <v>#DIV/0!</v>
      </c>
    </row>
    <row r="116" spans="2:28" s="109" customFormat="1" ht="21.95" customHeight="1" outlineLevel="1">
      <c r="B116" s="148" t="str">
        <f>'CPU  1'!B116</f>
        <v>M35</v>
      </c>
      <c r="C116" s="149" t="str">
        <f>'CPU  1'!C116</f>
        <v>Cabo 50mm²</v>
      </c>
      <c r="D116" s="150" t="str">
        <f>'CPU  1'!D116</f>
        <v>m</v>
      </c>
      <c r="E116" s="151">
        <f>'CPU  1'!E116</f>
        <v>42</v>
      </c>
      <c r="F116" s="145"/>
      <c r="G116" s="142"/>
      <c r="H116" s="134">
        <f t="shared" si="16"/>
        <v>0</v>
      </c>
      <c r="I116" s="145"/>
      <c r="J116" s="142"/>
      <c r="K116" s="134">
        <f t="shared" si="17"/>
        <v>0</v>
      </c>
      <c r="L116" s="145"/>
      <c r="M116" s="142"/>
      <c r="N116" s="134">
        <f t="shared" si="18"/>
        <v>0</v>
      </c>
      <c r="O116" s="145"/>
      <c r="P116" s="142"/>
      <c r="Q116" s="134">
        <f t="shared" si="19"/>
        <v>0</v>
      </c>
      <c r="R116" s="145"/>
      <c r="S116" s="142"/>
      <c r="T116" s="134">
        <f t="shared" si="20"/>
        <v>0</v>
      </c>
      <c r="U116" s="145"/>
      <c r="V116" s="142"/>
      <c r="W116" s="134">
        <f t="shared" si="21"/>
        <v>0</v>
      </c>
      <c r="X116" s="152"/>
      <c r="Y116" s="159"/>
      <c r="Z116" s="160"/>
      <c r="AA116" s="137">
        <f t="shared" si="22"/>
        <v>0</v>
      </c>
      <c r="AB116" s="138" t="e">
        <f t="shared" si="23"/>
        <v>#DIV/0!</v>
      </c>
    </row>
    <row r="117" spans="2:28" s="109" customFormat="1" ht="21.95" customHeight="1" outlineLevel="1">
      <c r="B117" s="148" t="str">
        <f>'CPU  1'!B117</f>
        <v>M36</v>
      </c>
      <c r="C117" s="149" t="str">
        <f>'CPU  1'!C117</f>
        <v>Haste de aterramento</v>
      </c>
      <c r="D117" s="150" t="str">
        <f>'CPU  1'!D117</f>
        <v>pç</v>
      </c>
      <c r="E117" s="151">
        <f>'CPU  1'!E117</f>
        <v>192</v>
      </c>
      <c r="F117" s="145"/>
      <c r="G117" s="142"/>
      <c r="H117" s="134">
        <f t="shared" si="16"/>
        <v>0</v>
      </c>
      <c r="I117" s="145"/>
      <c r="J117" s="142"/>
      <c r="K117" s="134">
        <f t="shared" si="17"/>
        <v>0</v>
      </c>
      <c r="L117" s="145"/>
      <c r="M117" s="142"/>
      <c r="N117" s="134">
        <f t="shared" si="18"/>
        <v>0</v>
      </c>
      <c r="O117" s="145"/>
      <c r="P117" s="142"/>
      <c r="Q117" s="134">
        <f t="shared" si="19"/>
        <v>0</v>
      </c>
      <c r="R117" s="145"/>
      <c r="S117" s="142"/>
      <c r="T117" s="134">
        <f t="shared" si="20"/>
        <v>0</v>
      </c>
      <c r="U117" s="145"/>
      <c r="V117" s="142"/>
      <c r="W117" s="134">
        <f t="shared" si="21"/>
        <v>0</v>
      </c>
      <c r="X117" s="152"/>
      <c r="Y117" s="159"/>
      <c r="Z117" s="160"/>
      <c r="AA117" s="137">
        <f t="shared" si="22"/>
        <v>0</v>
      </c>
      <c r="AB117" s="138" t="e">
        <f t="shared" si="23"/>
        <v>#DIV/0!</v>
      </c>
    </row>
    <row r="118" spans="2:28" s="109" customFormat="1" ht="21.95" customHeight="1" outlineLevel="1">
      <c r="B118" s="148" t="str">
        <f>'CPU  1'!B118</f>
        <v>M37</v>
      </c>
      <c r="C118" s="149" t="str">
        <f>'CPU  1'!C118</f>
        <v>Grampos de aterramento</v>
      </c>
      <c r="D118" s="150" t="str">
        <f>'CPU  1'!D118</f>
        <v>pç</v>
      </c>
      <c r="E118" s="151">
        <f>'CPU  1'!E118</f>
        <v>19.8</v>
      </c>
      <c r="F118" s="145"/>
      <c r="G118" s="142"/>
      <c r="H118" s="134">
        <f t="shared" si="16"/>
        <v>0</v>
      </c>
      <c r="I118" s="145"/>
      <c r="J118" s="142"/>
      <c r="K118" s="134">
        <f t="shared" si="17"/>
        <v>0</v>
      </c>
      <c r="L118" s="145"/>
      <c r="M118" s="142"/>
      <c r="N118" s="134">
        <f t="shared" si="18"/>
        <v>0</v>
      </c>
      <c r="O118" s="145"/>
      <c r="P118" s="142"/>
      <c r="Q118" s="134">
        <f t="shared" si="19"/>
        <v>0</v>
      </c>
      <c r="R118" s="145"/>
      <c r="S118" s="142"/>
      <c r="T118" s="134">
        <f t="shared" si="20"/>
        <v>0</v>
      </c>
      <c r="U118" s="145"/>
      <c r="V118" s="142"/>
      <c r="W118" s="134">
        <f t="shared" si="21"/>
        <v>0</v>
      </c>
      <c r="X118" s="152"/>
      <c r="Y118" s="159"/>
      <c r="Z118" s="160"/>
      <c r="AA118" s="137">
        <f t="shared" si="22"/>
        <v>0</v>
      </c>
      <c r="AB118" s="138" t="e">
        <f t="shared" si="23"/>
        <v>#DIV/0!</v>
      </c>
    </row>
    <row r="119" spans="2:28" s="109" customFormat="1" ht="21.95" customHeight="1" outlineLevel="1">
      <c r="B119" s="148" t="str">
        <f>'CPU  1'!B119</f>
        <v>M38</v>
      </c>
      <c r="C119" s="149" t="str">
        <f>'CPU  1'!C119</f>
        <v>Conector split bolt 50mm</v>
      </c>
      <c r="D119" s="150" t="str">
        <f>'CPU  1'!D119</f>
        <v>pç</v>
      </c>
      <c r="E119" s="151">
        <f>'CPU  1'!E119</f>
        <v>14.399999999999999</v>
      </c>
      <c r="F119" s="145"/>
      <c r="G119" s="142"/>
      <c r="H119" s="134">
        <f t="shared" si="16"/>
        <v>0</v>
      </c>
      <c r="I119" s="145"/>
      <c r="J119" s="142"/>
      <c r="K119" s="134">
        <f t="shared" si="17"/>
        <v>0</v>
      </c>
      <c r="L119" s="145"/>
      <c r="M119" s="142"/>
      <c r="N119" s="134">
        <f t="shared" si="18"/>
        <v>0</v>
      </c>
      <c r="O119" s="145"/>
      <c r="P119" s="142"/>
      <c r="Q119" s="134">
        <f t="shared" si="19"/>
        <v>0</v>
      </c>
      <c r="R119" s="145"/>
      <c r="S119" s="142"/>
      <c r="T119" s="134">
        <f t="shared" si="20"/>
        <v>0</v>
      </c>
      <c r="U119" s="145"/>
      <c r="V119" s="142"/>
      <c r="W119" s="134">
        <f t="shared" si="21"/>
        <v>0</v>
      </c>
      <c r="X119" s="152"/>
      <c r="Y119" s="159"/>
      <c r="Z119" s="160"/>
      <c r="AA119" s="137">
        <f t="shared" si="22"/>
        <v>0</v>
      </c>
      <c r="AB119" s="138" t="e">
        <f t="shared" si="23"/>
        <v>#DIV/0!</v>
      </c>
    </row>
    <row r="120" spans="2:28" s="109" customFormat="1" ht="21.95" customHeight="1" outlineLevel="1">
      <c r="B120" s="148" t="str">
        <f>'CPU  1'!B120</f>
        <v>M39</v>
      </c>
      <c r="C120" s="149" t="str">
        <f>'CPU  1'!C120</f>
        <v>Chapa de base da cantoneira 1/8"</v>
      </c>
      <c r="D120" s="150" t="str">
        <f>'CPU  1'!D120</f>
        <v>kg</v>
      </c>
      <c r="E120" s="151">
        <f>'CPU  1'!E120</f>
        <v>18</v>
      </c>
      <c r="F120" s="145"/>
      <c r="G120" s="142"/>
      <c r="H120" s="134">
        <f t="shared" si="16"/>
        <v>0</v>
      </c>
      <c r="I120" s="145"/>
      <c r="J120" s="142"/>
      <c r="K120" s="134">
        <f t="shared" si="17"/>
        <v>0</v>
      </c>
      <c r="L120" s="145"/>
      <c r="M120" s="142"/>
      <c r="N120" s="134">
        <f t="shared" si="18"/>
        <v>0</v>
      </c>
      <c r="O120" s="145"/>
      <c r="P120" s="142"/>
      <c r="Q120" s="134">
        <f t="shared" si="19"/>
        <v>0</v>
      </c>
      <c r="R120" s="145"/>
      <c r="S120" s="142"/>
      <c r="T120" s="134">
        <f t="shared" si="20"/>
        <v>0</v>
      </c>
      <c r="U120" s="145"/>
      <c r="V120" s="142"/>
      <c r="W120" s="134">
        <f t="shared" si="21"/>
        <v>0</v>
      </c>
      <c r="X120" s="152"/>
      <c r="Y120" s="159"/>
      <c r="Z120" s="160"/>
      <c r="AA120" s="137">
        <f t="shared" si="22"/>
        <v>0</v>
      </c>
      <c r="AB120" s="138" t="e">
        <f t="shared" si="23"/>
        <v>#DIV/0!</v>
      </c>
    </row>
    <row r="121" spans="2:28" s="109" customFormat="1" ht="21.95" customHeight="1" outlineLevel="1">
      <c r="B121" s="148" t="str">
        <f>'CPU  1'!B121</f>
        <v>M40</v>
      </c>
      <c r="C121" s="149" t="str">
        <f>'CPU  1'!C121</f>
        <v>Parafuso 10mm</v>
      </c>
      <c r="D121" s="150" t="str">
        <f>'CPU  1'!D121</f>
        <v>pç</v>
      </c>
      <c r="E121" s="151">
        <f>'CPU  1'!E121</f>
        <v>1.7999999999999998</v>
      </c>
      <c r="F121" s="145"/>
      <c r="G121" s="142"/>
      <c r="H121" s="134">
        <f t="shared" si="16"/>
        <v>0</v>
      </c>
      <c r="I121" s="145"/>
      <c r="J121" s="142"/>
      <c r="K121" s="134">
        <f t="shared" si="17"/>
        <v>0</v>
      </c>
      <c r="L121" s="145"/>
      <c r="M121" s="142"/>
      <c r="N121" s="134">
        <f t="shared" si="18"/>
        <v>0</v>
      </c>
      <c r="O121" s="145"/>
      <c r="P121" s="142"/>
      <c r="Q121" s="134">
        <f t="shared" si="19"/>
        <v>0</v>
      </c>
      <c r="R121" s="145"/>
      <c r="S121" s="142"/>
      <c r="T121" s="134">
        <f t="shared" si="20"/>
        <v>0</v>
      </c>
      <c r="U121" s="145"/>
      <c r="V121" s="142"/>
      <c r="W121" s="134">
        <f t="shared" si="21"/>
        <v>0</v>
      </c>
      <c r="X121" s="152"/>
      <c r="Y121" s="159"/>
      <c r="Z121" s="160"/>
      <c r="AA121" s="137">
        <f t="shared" si="22"/>
        <v>0</v>
      </c>
      <c r="AB121" s="138" t="e">
        <f t="shared" si="23"/>
        <v>#DIV/0!</v>
      </c>
    </row>
    <row r="122" spans="2:28" s="109" customFormat="1" ht="21.95" customHeight="1" outlineLevel="1">
      <c r="B122" s="148" t="str">
        <f>'CPU  1'!B122</f>
        <v>M41</v>
      </c>
      <c r="C122" s="149">
        <f>'CPU  1'!C122</f>
        <v>0</v>
      </c>
      <c r="D122" s="150">
        <f>'CPU  1'!D122</f>
        <v>0</v>
      </c>
      <c r="E122" s="151">
        <f>'CPU  1'!E122</f>
        <v>0</v>
      </c>
      <c r="F122" s="145"/>
      <c r="G122" s="142"/>
      <c r="H122" s="134">
        <f t="shared" si="16"/>
        <v>0</v>
      </c>
      <c r="I122" s="145"/>
      <c r="J122" s="142"/>
      <c r="K122" s="134">
        <f t="shared" si="17"/>
        <v>0</v>
      </c>
      <c r="L122" s="145"/>
      <c r="M122" s="142"/>
      <c r="N122" s="134">
        <f t="shared" si="18"/>
        <v>0</v>
      </c>
      <c r="O122" s="145"/>
      <c r="P122" s="142"/>
      <c r="Q122" s="134">
        <f t="shared" si="19"/>
        <v>0</v>
      </c>
      <c r="R122" s="145"/>
      <c r="S122" s="142"/>
      <c r="T122" s="134">
        <f t="shared" si="20"/>
        <v>0</v>
      </c>
      <c r="U122" s="145"/>
      <c r="V122" s="142"/>
      <c r="W122" s="134">
        <f t="shared" si="21"/>
        <v>0</v>
      </c>
      <c r="X122" s="152"/>
      <c r="Y122" s="159"/>
      <c r="Z122" s="160"/>
      <c r="AA122" s="137">
        <f t="shared" si="22"/>
        <v>0</v>
      </c>
      <c r="AB122" s="138" t="e">
        <f t="shared" si="23"/>
        <v>#DIV/0!</v>
      </c>
    </row>
    <row r="123" spans="2:28" s="109" customFormat="1" ht="21.95" customHeight="1" outlineLevel="1">
      <c r="B123" s="148" t="str">
        <f>'CPU  1'!B123</f>
        <v>M42</v>
      </c>
      <c r="C123" s="149">
        <f>'CPU  1'!C123</f>
        <v>0</v>
      </c>
      <c r="D123" s="150">
        <f>'CPU  1'!D123</f>
        <v>0</v>
      </c>
      <c r="E123" s="151">
        <f>'CPU  1'!E123</f>
        <v>0</v>
      </c>
      <c r="F123" s="145"/>
      <c r="G123" s="142"/>
      <c r="H123" s="134">
        <f t="shared" si="16"/>
        <v>0</v>
      </c>
      <c r="I123" s="145"/>
      <c r="J123" s="142"/>
      <c r="K123" s="134">
        <f t="shared" si="17"/>
        <v>0</v>
      </c>
      <c r="L123" s="145"/>
      <c r="M123" s="142"/>
      <c r="N123" s="134">
        <f t="shared" si="18"/>
        <v>0</v>
      </c>
      <c r="O123" s="145"/>
      <c r="P123" s="142"/>
      <c r="Q123" s="134">
        <f t="shared" si="19"/>
        <v>0</v>
      </c>
      <c r="R123" s="145"/>
      <c r="S123" s="142"/>
      <c r="T123" s="134">
        <f t="shared" si="20"/>
        <v>0</v>
      </c>
      <c r="U123" s="145"/>
      <c r="V123" s="142"/>
      <c r="W123" s="134">
        <f t="shared" si="21"/>
        <v>0</v>
      </c>
      <c r="X123" s="152"/>
      <c r="Y123" s="159"/>
      <c r="Z123" s="160"/>
      <c r="AA123" s="137">
        <f t="shared" si="22"/>
        <v>0</v>
      </c>
      <c r="AB123" s="138" t="e">
        <f t="shared" si="23"/>
        <v>#DIV/0!</v>
      </c>
    </row>
    <row r="124" spans="2:28" s="109" customFormat="1" ht="21.95" customHeight="1" outlineLevel="1">
      <c r="B124" s="148" t="str">
        <f>'CPU  1'!B124</f>
        <v>M43</v>
      </c>
      <c r="C124" s="149">
        <f>'CPU  1'!C124</f>
        <v>0</v>
      </c>
      <c r="D124" s="150">
        <f>'CPU  1'!D124</f>
        <v>0</v>
      </c>
      <c r="E124" s="151">
        <f>'CPU  1'!E124</f>
        <v>0</v>
      </c>
      <c r="F124" s="145"/>
      <c r="G124" s="142"/>
      <c r="H124" s="134">
        <f t="shared" si="16"/>
        <v>0</v>
      </c>
      <c r="I124" s="145"/>
      <c r="J124" s="142"/>
      <c r="K124" s="134">
        <f t="shared" si="17"/>
        <v>0</v>
      </c>
      <c r="L124" s="145"/>
      <c r="M124" s="142"/>
      <c r="N124" s="134">
        <f t="shared" si="18"/>
        <v>0</v>
      </c>
      <c r="O124" s="145"/>
      <c r="P124" s="142"/>
      <c r="Q124" s="134">
        <f t="shared" si="19"/>
        <v>0</v>
      </c>
      <c r="R124" s="145"/>
      <c r="S124" s="142"/>
      <c r="T124" s="134">
        <f t="shared" si="20"/>
        <v>0</v>
      </c>
      <c r="U124" s="145"/>
      <c r="V124" s="142"/>
      <c r="W124" s="134">
        <f t="shared" si="21"/>
        <v>0</v>
      </c>
      <c r="X124" s="152"/>
      <c r="Y124" s="159"/>
      <c r="Z124" s="160"/>
      <c r="AA124" s="137">
        <f t="shared" si="22"/>
        <v>0</v>
      </c>
      <c r="AB124" s="138" t="e">
        <f t="shared" si="23"/>
        <v>#DIV/0!</v>
      </c>
    </row>
    <row r="125" spans="2:28" s="109" customFormat="1" ht="21.95" customHeight="1" outlineLevel="1">
      <c r="B125" s="148" t="str">
        <f>'CPU  1'!B125</f>
        <v>M44</v>
      </c>
      <c r="C125" s="149">
        <f>'CPU  1'!C125</f>
        <v>0</v>
      </c>
      <c r="D125" s="150">
        <f>'CPU  1'!D125</f>
        <v>0</v>
      </c>
      <c r="E125" s="151">
        <f>'CPU  1'!E125</f>
        <v>0</v>
      </c>
      <c r="F125" s="145"/>
      <c r="G125" s="142"/>
      <c r="H125" s="134">
        <f t="shared" si="16"/>
        <v>0</v>
      </c>
      <c r="I125" s="145"/>
      <c r="J125" s="142"/>
      <c r="K125" s="134">
        <f t="shared" si="17"/>
        <v>0</v>
      </c>
      <c r="L125" s="145"/>
      <c r="M125" s="142"/>
      <c r="N125" s="134">
        <f t="shared" si="18"/>
        <v>0</v>
      </c>
      <c r="O125" s="145"/>
      <c r="P125" s="142"/>
      <c r="Q125" s="134">
        <f t="shared" si="19"/>
        <v>0</v>
      </c>
      <c r="R125" s="145"/>
      <c r="S125" s="142"/>
      <c r="T125" s="134">
        <f t="shared" si="20"/>
        <v>0</v>
      </c>
      <c r="U125" s="145"/>
      <c r="V125" s="142"/>
      <c r="W125" s="134">
        <f t="shared" si="21"/>
        <v>0</v>
      </c>
      <c r="X125" s="152"/>
      <c r="Y125" s="159"/>
      <c r="Z125" s="160"/>
      <c r="AA125" s="137">
        <f t="shared" si="22"/>
        <v>0</v>
      </c>
      <c r="AB125" s="138" t="e">
        <f t="shared" si="23"/>
        <v>#DIV/0!</v>
      </c>
    </row>
    <row r="126" spans="2:28" s="109" customFormat="1" ht="21.95" customHeight="1" outlineLevel="1">
      <c r="B126" s="148" t="str">
        <f>'CPU  1'!B126</f>
        <v>M45</v>
      </c>
      <c r="C126" s="149">
        <f>'CPU  1'!C126</f>
        <v>0</v>
      </c>
      <c r="D126" s="150">
        <f>'CPU  1'!D126</f>
        <v>0</v>
      </c>
      <c r="E126" s="151">
        <f>'CPU  1'!E126</f>
        <v>0</v>
      </c>
      <c r="F126" s="145"/>
      <c r="G126" s="142"/>
      <c r="H126" s="134">
        <f t="shared" si="16"/>
        <v>0</v>
      </c>
      <c r="I126" s="145"/>
      <c r="J126" s="142"/>
      <c r="K126" s="134">
        <f t="shared" si="17"/>
        <v>0</v>
      </c>
      <c r="L126" s="145"/>
      <c r="M126" s="142"/>
      <c r="N126" s="134">
        <f t="shared" si="18"/>
        <v>0</v>
      </c>
      <c r="O126" s="145"/>
      <c r="P126" s="142"/>
      <c r="Q126" s="134">
        <f t="shared" si="19"/>
        <v>0</v>
      </c>
      <c r="R126" s="145"/>
      <c r="S126" s="142"/>
      <c r="T126" s="134">
        <f t="shared" si="20"/>
        <v>0</v>
      </c>
      <c r="U126" s="145"/>
      <c r="V126" s="142"/>
      <c r="W126" s="134">
        <f t="shared" si="21"/>
        <v>0</v>
      </c>
      <c r="X126" s="152"/>
      <c r="Y126" s="159"/>
      <c r="Z126" s="160"/>
      <c r="AA126" s="137">
        <f t="shared" si="22"/>
        <v>0</v>
      </c>
      <c r="AB126" s="138" t="e">
        <f t="shared" si="23"/>
        <v>#DIV/0!</v>
      </c>
    </row>
    <row r="127" spans="2:28" s="109" customFormat="1" ht="21.95" customHeight="1" outlineLevel="1">
      <c r="B127" s="148" t="str">
        <f>'CPU  1'!B127</f>
        <v>M46</v>
      </c>
      <c r="C127" s="149">
        <f>'CPU  1'!C127</f>
        <v>0</v>
      </c>
      <c r="D127" s="150">
        <f>'CPU  1'!D127</f>
        <v>0</v>
      </c>
      <c r="E127" s="151">
        <f>'CPU  1'!E127</f>
        <v>0</v>
      </c>
      <c r="F127" s="145"/>
      <c r="G127" s="142"/>
      <c r="H127" s="134">
        <f t="shared" si="16"/>
        <v>0</v>
      </c>
      <c r="I127" s="145"/>
      <c r="J127" s="142"/>
      <c r="K127" s="134">
        <f t="shared" si="17"/>
        <v>0</v>
      </c>
      <c r="L127" s="145"/>
      <c r="M127" s="142"/>
      <c r="N127" s="134">
        <f t="shared" si="18"/>
        <v>0</v>
      </c>
      <c r="O127" s="145"/>
      <c r="P127" s="142"/>
      <c r="Q127" s="134">
        <f t="shared" si="19"/>
        <v>0</v>
      </c>
      <c r="R127" s="145"/>
      <c r="S127" s="142"/>
      <c r="T127" s="134">
        <f t="shared" si="20"/>
        <v>0</v>
      </c>
      <c r="U127" s="145"/>
      <c r="V127" s="142"/>
      <c r="W127" s="134">
        <f t="shared" si="21"/>
        <v>0</v>
      </c>
      <c r="X127" s="152"/>
      <c r="Y127" s="159"/>
      <c r="Z127" s="160"/>
      <c r="AA127" s="137">
        <f t="shared" si="22"/>
        <v>0</v>
      </c>
      <c r="AB127" s="138" t="e">
        <f t="shared" si="23"/>
        <v>#DIV/0!</v>
      </c>
    </row>
    <row r="128" spans="2:28" s="109" customFormat="1" ht="21.95" customHeight="1" outlineLevel="1">
      <c r="B128" s="148" t="str">
        <f>'CPU  1'!B128</f>
        <v>M47</v>
      </c>
      <c r="C128" s="149">
        <f>'CPU  1'!C128</f>
        <v>0</v>
      </c>
      <c r="D128" s="150">
        <f>'CPU  1'!D128</f>
        <v>0</v>
      </c>
      <c r="E128" s="151">
        <f>'CPU  1'!E128</f>
        <v>0</v>
      </c>
      <c r="F128" s="145"/>
      <c r="G128" s="142"/>
      <c r="H128" s="134">
        <f t="shared" si="16"/>
        <v>0</v>
      </c>
      <c r="I128" s="145"/>
      <c r="J128" s="142"/>
      <c r="K128" s="134">
        <f t="shared" si="17"/>
        <v>0</v>
      </c>
      <c r="L128" s="145"/>
      <c r="M128" s="142"/>
      <c r="N128" s="134">
        <f t="shared" si="18"/>
        <v>0</v>
      </c>
      <c r="O128" s="145"/>
      <c r="P128" s="142"/>
      <c r="Q128" s="134">
        <f t="shared" si="19"/>
        <v>0</v>
      </c>
      <c r="R128" s="145"/>
      <c r="S128" s="142"/>
      <c r="T128" s="134">
        <f t="shared" si="20"/>
        <v>0</v>
      </c>
      <c r="U128" s="145"/>
      <c r="V128" s="142"/>
      <c r="W128" s="134">
        <f t="shared" si="21"/>
        <v>0</v>
      </c>
      <c r="X128" s="152"/>
      <c r="Y128" s="159"/>
      <c r="Z128" s="160"/>
      <c r="AA128" s="137">
        <f t="shared" si="22"/>
        <v>0</v>
      </c>
      <c r="AB128" s="138" t="e">
        <f t="shared" si="23"/>
        <v>#DIV/0!</v>
      </c>
    </row>
    <row r="129" spans="2:29" s="109" customFormat="1" ht="21.95" customHeight="1" outlineLevel="1">
      <c r="B129" s="148" t="str">
        <f>'CPU  1'!B129</f>
        <v>M48</v>
      </c>
      <c r="C129" s="149">
        <f>'CPU  1'!C129</f>
        <v>0</v>
      </c>
      <c r="D129" s="150">
        <f>'CPU  1'!D129</f>
        <v>0</v>
      </c>
      <c r="E129" s="151">
        <f>'CPU  1'!E129</f>
        <v>0</v>
      </c>
      <c r="F129" s="145"/>
      <c r="G129" s="142"/>
      <c r="H129" s="134">
        <f t="shared" si="16"/>
        <v>0</v>
      </c>
      <c r="I129" s="145"/>
      <c r="J129" s="142"/>
      <c r="K129" s="134">
        <f t="shared" si="17"/>
        <v>0</v>
      </c>
      <c r="L129" s="145"/>
      <c r="M129" s="142"/>
      <c r="N129" s="134">
        <f t="shared" si="18"/>
        <v>0</v>
      </c>
      <c r="O129" s="145"/>
      <c r="P129" s="142"/>
      <c r="Q129" s="134">
        <f t="shared" si="19"/>
        <v>0</v>
      </c>
      <c r="R129" s="145"/>
      <c r="S129" s="142"/>
      <c r="T129" s="134">
        <f t="shared" si="20"/>
        <v>0</v>
      </c>
      <c r="U129" s="145"/>
      <c r="V129" s="142"/>
      <c r="W129" s="134">
        <f t="shared" si="21"/>
        <v>0</v>
      </c>
      <c r="X129" s="152"/>
      <c r="Y129" s="159"/>
      <c r="Z129" s="160"/>
      <c r="AA129" s="137">
        <f t="shared" si="22"/>
        <v>0</v>
      </c>
      <c r="AB129" s="138" t="e">
        <f t="shared" si="23"/>
        <v>#DIV/0!</v>
      </c>
    </row>
    <row r="130" spans="2:29" s="109" customFormat="1" ht="21.95" customHeight="1" outlineLevel="1">
      <c r="B130" s="148" t="str">
        <f>'CPU  1'!B130</f>
        <v>M49</v>
      </c>
      <c r="C130" s="149">
        <f>'CPU  1'!C130</f>
        <v>0</v>
      </c>
      <c r="D130" s="150">
        <f>'CPU  1'!D130</f>
        <v>0</v>
      </c>
      <c r="E130" s="151">
        <f>'CPU  1'!E130</f>
        <v>0</v>
      </c>
      <c r="F130" s="145"/>
      <c r="G130" s="142"/>
      <c r="H130" s="134">
        <f t="shared" si="16"/>
        <v>0</v>
      </c>
      <c r="I130" s="145"/>
      <c r="J130" s="142"/>
      <c r="K130" s="134">
        <f t="shared" si="17"/>
        <v>0</v>
      </c>
      <c r="L130" s="145"/>
      <c r="M130" s="142"/>
      <c r="N130" s="134">
        <f t="shared" si="18"/>
        <v>0</v>
      </c>
      <c r="O130" s="145"/>
      <c r="P130" s="142"/>
      <c r="Q130" s="134">
        <f t="shared" si="19"/>
        <v>0</v>
      </c>
      <c r="R130" s="145"/>
      <c r="S130" s="142"/>
      <c r="T130" s="134">
        <f t="shared" si="20"/>
        <v>0</v>
      </c>
      <c r="U130" s="145"/>
      <c r="V130" s="142"/>
      <c r="W130" s="134">
        <f t="shared" si="21"/>
        <v>0</v>
      </c>
      <c r="X130" s="152"/>
      <c r="Y130" s="159"/>
      <c r="Z130" s="160"/>
      <c r="AA130" s="137">
        <f t="shared" si="22"/>
        <v>0</v>
      </c>
      <c r="AB130" s="138" t="e">
        <f t="shared" si="23"/>
        <v>#DIV/0!</v>
      </c>
    </row>
    <row r="131" spans="2:29" s="109" customFormat="1" ht="21.95" customHeight="1" outlineLevel="1" thickBot="1">
      <c r="B131" s="148" t="str">
        <f>'CPU  1'!B131</f>
        <v>M50</v>
      </c>
      <c r="C131" s="149">
        <f>'CPU  1'!C131</f>
        <v>0</v>
      </c>
      <c r="D131" s="150">
        <f>'CPU  1'!D131</f>
        <v>0</v>
      </c>
      <c r="E131" s="151">
        <f>'CPU  1'!E131</f>
        <v>0</v>
      </c>
      <c r="F131" s="145"/>
      <c r="G131" s="142"/>
      <c r="H131" s="134">
        <f t="shared" si="16"/>
        <v>0</v>
      </c>
      <c r="I131" s="145"/>
      <c r="J131" s="142"/>
      <c r="K131" s="134">
        <f t="shared" si="17"/>
        <v>0</v>
      </c>
      <c r="L131" s="145"/>
      <c r="M131" s="142"/>
      <c r="N131" s="134">
        <f t="shared" si="18"/>
        <v>0</v>
      </c>
      <c r="O131" s="145"/>
      <c r="P131" s="142"/>
      <c r="Q131" s="134">
        <f t="shared" si="19"/>
        <v>0</v>
      </c>
      <c r="R131" s="145"/>
      <c r="S131" s="142"/>
      <c r="T131" s="134">
        <f t="shared" si="20"/>
        <v>0</v>
      </c>
      <c r="U131" s="145"/>
      <c r="V131" s="142"/>
      <c r="W131" s="134">
        <f t="shared" si="21"/>
        <v>0</v>
      </c>
      <c r="X131" s="152"/>
      <c r="Y131" s="159"/>
      <c r="Z131" s="160"/>
      <c r="AA131" s="137">
        <f t="shared" si="22"/>
        <v>0</v>
      </c>
      <c r="AB131" s="138" t="e">
        <f t="shared" si="23"/>
        <v>#DIV/0!</v>
      </c>
    </row>
    <row r="132" spans="2:29" s="109" customFormat="1" ht="21.95" customHeight="1" thickBot="1">
      <c r="B132" s="694" t="s">
        <v>35</v>
      </c>
      <c r="C132" s="695"/>
      <c r="D132" s="695"/>
      <c r="E132" s="695" t="e">
        <f>SUM(#REF!)</f>
        <v>#REF!</v>
      </c>
      <c r="F132" s="263"/>
      <c r="G132" s="264"/>
      <c r="H132" s="265">
        <f>SUM(H83:H131)</f>
        <v>0</v>
      </c>
      <c r="I132" s="263"/>
      <c r="J132" s="264"/>
      <c r="K132" s="265">
        <f>SUM(K83:K131)</f>
        <v>0</v>
      </c>
      <c r="L132" s="263"/>
      <c r="M132" s="264"/>
      <c r="N132" s="265">
        <f>SUM(N83:N131)</f>
        <v>0</v>
      </c>
      <c r="O132" s="263"/>
      <c r="P132" s="264"/>
      <c r="Q132" s="265">
        <f>SUM(Q83:Q131)</f>
        <v>0</v>
      </c>
      <c r="R132" s="263"/>
      <c r="S132" s="264"/>
      <c r="T132" s="265">
        <f>SUM(T83:T131)</f>
        <v>0</v>
      </c>
      <c r="U132" s="263"/>
      <c r="V132" s="264"/>
      <c r="W132" s="265">
        <f>SUM(W83:W131)</f>
        <v>0</v>
      </c>
      <c r="X132" s="143"/>
      <c r="Y132" s="263"/>
      <c r="Z132" s="264"/>
      <c r="AA132" s="265">
        <f>SUM(AA83:AA131)</f>
        <v>0</v>
      </c>
      <c r="AB132" s="138"/>
    </row>
    <row r="133" spans="2:29" s="109" customFormat="1" ht="21.95" customHeight="1" thickBot="1">
      <c r="B133" s="699" t="s">
        <v>36</v>
      </c>
      <c r="C133" s="700"/>
      <c r="D133" s="700"/>
      <c r="E133" s="701"/>
      <c r="F133" s="745"/>
      <c r="G133" s="745"/>
      <c r="H133" s="745"/>
      <c r="I133" s="745"/>
      <c r="J133" s="745"/>
      <c r="K133" s="745"/>
      <c r="L133" s="745"/>
      <c r="M133" s="745"/>
      <c r="N133" s="745"/>
      <c r="O133" s="745"/>
      <c r="P133" s="745"/>
      <c r="Q133" s="745"/>
      <c r="R133" s="745"/>
      <c r="S133" s="745"/>
      <c r="T133" s="745"/>
      <c r="U133" s="745"/>
      <c r="V133" s="745"/>
      <c r="W133" s="745"/>
      <c r="X133" s="124"/>
      <c r="Y133" s="711"/>
      <c r="Z133" s="711"/>
      <c r="AA133" s="711"/>
      <c r="AB133" s="138"/>
    </row>
    <row r="134" spans="2:29" s="127" customFormat="1" ht="21.95" customHeight="1" thickBot="1">
      <c r="B134" s="258" t="s">
        <v>163</v>
      </c>
      <c r="C134" s="259" t="s">
        <v>169</v>
      </c>
      <c r="D134" s="260" t="s">
        <v>30</v>
      </c>
      <c r="E134" s="261" t="s">
        <v>31</v>
      </c>
      <c r="F134" s="258" t="s">
        <v>6</v>
      </c>
      <c r="G134" s="261" t="s">
        <v>32</v>
      </c>
      <c r="H134" s="262" t="s">
        <v>5</v>
      </c>
      <c r="I134" s="258" t="s">
        <v>6</v>
      </c>
      <c r="J134" s="261" t="s">
        <v>32</v>
      </c>
      <c r="K134" s="262" t="s">
        <v>5</v>
      </c>
      <c r="L134" s="258" t="s">
        <v>6</v>
      </c>
      <c r="M134" s="261" t="s">
        <v>32</v>
      </c>
      <c r="N134" s="262" t="s">
        <v>5</v>
      </c>
      <c r="O134" s="258" t="s">
        <v>6</v>
      </c>
      <c r="P134" s="261" t="s">
        <v>32</v>
      </c>
      <c r="Q134" s="262" t="s">
        <v>5</v>
      </c>
      <c r="R134" s="258" t="s">
        <v>6</v>
      </c>
      <c r="S134" s="261" t="s">
        <v>32</v>
      </c>
      <c r="T134" s="262" t="s">
        <v>5</v>
      </c>
      <c r="U134" s="258" t="s">
        <v>6</v>
      </c>
      <c r="V134" s="261" t="s">
        <v>32</v>
      </c>
      <c r="W134" s="262" t="s">
        <v>5</v>
      </c>
      <c r="X134" s="124"/>
      <c r="Y134" s="258" t="s">
        <v>6</v>
      </c>
      <c r="Z134" s="261" t="s">
        <v>32</v>
      </c>
      <c r="AA134" s="262" t="s">
        <v>5</v>
      </c>
      <c r="AB134" s="125"/>
      <c r="AC134" s="126"/>
    </row>
    <row r="135" spans="2:29" s="109" customFormat="1" ht="21.95" customHeight="1" outlineLevel="1">
      <c r="B135" s="148" t="str">
        <f>'CPU  1'!B135</f>
        <v>O01</v>
      </c>
      <c r="C135" s="156" t="str">
        <f>'CPU  1'!C135</f>
        <v>ART</v>
      </c>
      <c r="D135" s="157" t="str">
        <f>'CPU  1'!D135</f>
        <v>Vb</v>
      </c>
      <c r="E135" s="158">
        <f>'CPU  1'!E135</f>
        <v>1000</v>
      </c>
      <c r="F135" s="145"/>
      <c r="G135" s="142"/>
      <c r="H135" s="134">
        <f>G135*F135*$E135</f>
        <v>0</v>
      </c>
      <c r="I135" s="145"/>
      <c r="J135" s="142"/>
      <c r="K135" s="134">
        <f t="shared" ref="K135:K140" si="24">J135*I135*$E135</f>
        <v>0</v>
      </c>
      <c r="L135" s="145"/>
      <c r="M135" s="142"/>
      <c r="N135" s="134">
        <f>M135*L135*$E135</f>
        <v>0</v>
      </c>
      <c r="O135" s="145"/>
      <c r="P135" s="142"/>
      <c r="Q135" s="134">
        <f t="shared" ref="Q135:Q154" si="25">P135*O135*$E135</f>
        <v>0</v>
      </c>
      <c r="R135" s="145"/>
      <c r="S135" s="142"/>
      <c r="T135" s="134">
        <f t="shared" ref="T135:T154" si="26">S135*R135*$E135</f>
        <v>0</v>
      </c>
      <c r="U135" s="145"/>
      <c r="V135" s="142"/>
      <c r="W135" s="134">
        <f t="shared" ref="W135:W154" si="27">V135*U135*$E135</f>
        <v>0</v>
      </c>
      <c r="X135" s="152"/>
      <c r="Y135" s="162"/>
      <c r="Z135" s="163"/>
      <c r="AA135" s="137">
        <f t="shared" ref="AA135:AA154" si="28">K135*$K$3+N135*$N$3+Q135*$Q$3+H135*$H$3+T135*$T$3+W135*$W$3</f>
        <v>0</v>
      </c>
      <c r="AB135" s="138" t="e">
        <f t="shared" ref="AB135:AB154" si="29">AA135/$AA$162</f>
        <v>#DIV/0!</v>
      </c>
    </row>
    <row r="136" spans="2:29" s="109" customFormat="1" ht="21.95" customHeight="1" outlineLevel="1">
      <c r="B136" s="148" t="str">
        <f>'CPU  1'!B136</f>
        <v>O02</v>
      </c>
      <c r="C136" s="156" t="str">
        <f>'CPU  1'!C136</f>
        <v>Exames medicos</v>
      </c>
      <c r="D136" s="157" t="str">
        <f>'CPU  1'!D136</f>
        <v>Vb</v>
      </c>
      <c r="E136" s="158">
        <f>'CPU  1'!E136</f>
        <v>600</v>
      </c>
      <c r="F136" s="145"/>
      <c r="G136" s="142"/>
      <c r="H136" s="134">
        <f t="shared" ref="H136:H154" si="30">G136*F136*$E136</f>
        <v>0</v>
      </c>
      <c r="I136" s="145"/>
      <c r="J136" s="142"/>
      <c r="K136" s="134">
        <f t="shared" si="24"/>
        <v>0</v>
      </c>
      <c r="L136" s="145"/>
      <c r="M136" s="142"/>
      <c r="N136" s="134">
        <f t="shared" ref="N136:N154" si="31">M136*L136*$E136</f>
        <v>0</v>
      </c>
      <c r="O136" s="145"/>
      <c r="P136" s="142"/>
      <c r="Q136" s="134">
        <f t="shared" si="25"/>
        <v>0</v>
      </c>
      <c r="R136" s="145"/>
      <c r="S136" s="142"/>
      <c r="T136" s="134">
        <f t="shared" si="26"/>
        <v>0</v>
      </c>
      <c r="U136" s="145"/>
      <c r="V136" s="142"/>
      <c r="W136" s="134">
        <f t="shared" si="27"/>
        <v>0</v>
      </c>
      <c r="X136" s="152"/>
      <c r="Y136" s="162"/>
      <c r="Z136" s="163"/>
      <c r="AA136" s="137">
        <f t="shared" si="28"/>
        <v>0</v>
      </c>
      <c r="AB136" s="138" t="e">
        <f t="shared" si="29"/>
        <v>#DIV/0!</v>
      </c>
    </row>
    <row r="137" spans="2:29" s="109" customFormat="1" ht="21.95" customHeight="1" outlineLevel="1">
      <c r="B137" s="148" t="str">
        <f>'CPU  1'!B137</f>
        <v>O03</v>
      </c>
      <c r="C137" s="156" t="str">
        <f>'CPU  1'!C137</f>
        <v>Treinamentos</v>
      </c>
      <c r="D137" s="157" t="str">
        <f>'CPU  1'!D137</f>
        <v>Vb</v>
      </c>
      <c r="E137" s="158">
        <f>'CPU  1'!E137</f>
        <v>426</v>
      </c>
      <c r="F137" s="145"/>
      <c r="G137" s="142"/>
      <c r="H137" s="164">
        <f>G137*F137*$E137</f>
        <v>0</v>
      </c>
      <c r="I137" s="145"/>
      <c r="J137" s="142"/>
      <c r="K137" s="164">
        <f t="shared" si="24"/>
        <v>0</v>
      </c>
      <c r="L137" s="145"/>
      <c r="M137" s="142"/>
      <c r="N137" s="164">
        <f>M137*L137*$E137</f>
        <v>0</v>
      </c>
      <c r="O137" s="145"/>
      <c r="P137" s="142"/>
      <c r="Q137" s="164">
        <f t="shared" si="25"/>
        <v>0</v>
      </c>
      <c r="R137" s="145"/>
      <c r="S137" s="142"/>
      <c r="T137" s="164">
        <f t="shared" si="26"/>
        <v>0</v>
      </c>
      <c r="U137" s="145"/>
      <c r="V137" s="142"/>
      <c r="W137" s="164">
        <f t="shared" si="27"/>
        <v>0</v>
      </c>
      <c r="X137" s="152"/>
      <c r="Y137" s="162"/>
      <c r="Z137" s="163"/>
      <c r="AA137" s="137">
        <f t="shared" si="28"/>
        <v>0</v>
      </c>
      <c r="AB137" s="138" t="e">
        <f t="shared" si="29"/>
        <v>#DIV/0!</v>
      </c>
    </row>
    <row r="138" spans="2:29" s="109" customFormat="1" ht="21.95" customHeight="1" outlineLevel="1">
      <c r="B138" s="148" t="str">
        <f>'CPU  1'!B138</f>
        <v>O04</v>
      </c>
      <c r="C138" s="156" t="str">
        <f>'CPU  1'!C138</f>
        <v>Plano de Saude</v>
      </c>
      <c r="D138" s="157" t="str">
        <f>'CPU  1'!D138</f>
        <v>Vb/mês</v>
      </c>
      <c r="E138" s="158">
        <f>'CPU  1'!E138</f>
        <v>280</v>
      </c>
      <c r="F138" s="145"/>
      <c r="G138" s="142"/>
      <c r="H138" s="134">
        <f>G138*F138*$E138</f>
        <v>0</v>
      </c>
      <c r="I138" s="145"/>
      <c r="J138" s="142"/>
      <c r="K138" s="134">
        <f t="shared" si="24"/>
        <v>0</v>
      </c>
      <c r="L138" s="145"/>
      <c r="M138" s="142"/>
      <c r="N138" s="134">
        <f>M138*L138*$E138</f>
        <v>0</v>
      </c>
      <c r="O138" s="145"/>
      <c r="P138" s="142"/>
      <c r="Q138" s="134">
        <f t="shared" si="25"/>
        <v>0</v>
      </c>
      <c r="R138" s="145"/>
      <c r="S138" s="142"/>
      <c r="T138" s="134">
        <f t="shared" si="26"/>
        <v>0</v>
      </c>
      <c r="U138" s="145"/>
      <c r="V138" s="142"/>
      <c r="W138" s="134">
        <f t="shared" si="27"/>
        <v>0</v>
      </c>
      <c r="X138" s="152"/>
      <c r="Y138" s="162"/>
      <c r="Z138" s="163"/>
      <c r="AA138" s="137">
        <f t="shared" si="28"/>
        <v>0</v>
      </c>
      <c r="AB138" s="138" t="e">
        <f t="shared" si="29"/>
        <v>#DIV/0!</v>
      </c>
    </row>
    <row r="139" spans="2:29" s="109" customFormat="1" ht="21.95" customHeight="1" outlineLevel="1">
      <c r="B139" s="148" t="str">
        <f>'CPU  1'!B139</f>
        <v>O05</v>
      </c>
      <c r="C139" s="156" t="str">
        <f>'CPU  1'!C139</f>
        <v>Seguro de Vida</v>
      </c>
      <c r="D139" s="157" t="str">
        <f>'CPU  1'!D139</f>
        <v>Vb/mês</v>
      </c>
      <c r="E139" s="158">
        <f>'CPU  1'!E139</f>
        <v>25</v>
      </c>
      <c r="F139" s="145"/>
      <c r="G139" s="142"/>
      <c r="H139" s="134">
        <f>G139*F139*$E139</f>
        <v>0</v>
      </c>
      <c r="I139" s="145"/>
      <c r="J139" s="142"/>
      <c r="K139" s="134">
        <f t="shared" si="24"/>
        <v>0</v>
      </c>
      <c r="L139" s="145"/>
      <c r="M139" s="142"/>
      <c r="N139" s="134">
        <f>M139*L139*$E139</f>
        <v>0</v>
      </c>
      <c r="O139" s="145"/>
      <c r="P139" s="142"/>
      <c r="Q139" s="134">
        <f t="shared" si="25"/>
        <v>0</v>
      </c>
      <c r="R139" s="145"/>
      <c r="S139" s="142"/>
      <c r="T139" s="134">
        <f t="shared" si="26"/>
        <v>0</v>
      </c>
      <c r="U139" s="145"/>
      <c r="V139" s="142"/>
      <c r="W139" s="134">
        <f t="shared" si="27"/>
        <v>0</v>
      </c>
      <c r="X139" s="152"/>
      <c r="Y139" s="162"/>
      <c r="Z139" s="163"/>
      <c r="AA139" s="137">
        <f t="shared" si="28"/>
        <v>0</v>
      </c>
      <c r="AB139" s="138" t="e">
        <f t="shared" si="29"/>
        <v>#DIV/0!</v>
      </c>
    </row>
    <row r="140" spans="2:29" s="109" customFormat="1" ht="21.95" customHeight="1" outlineLevel="1">
      <c r="B140" s="148" t="str">
        <f>'CPU  1'!B140</f>
        <v>O06</v>
      </c>
      <c r="C140" s="156" t="str">
        <f>'CPU  1'!C140</f>
        <v>Ticket Alimentação</v>
      </c>
      <c r="D140" s="157" t="str">
        <f>'CPU  1'!D140</f>
        <v>Vb/mês</v>
      </c>
      <c r="E140" s="158">
        <f>'CPU  1'!E140</f>
        <v>350</v>
      </c>
      <c r="F140" s="145"/>
      <c r="G140" s="142"/>
      <c r="H140" s="134">
        <f>G140*F140*$E140</f>
        <v>0</v>
      </c>
      <c r="I140" s="145"/>
      <c r="J140" s="142"/>
      <c r="K140" s="134">
        <f t="shared" si="24"/>
        <v>0</v>
      </c>
      <c r="L140" s="145"/>
      <c r="M140" s="142"/>
      <c r="N140" s="134">
        <f>M140*L140*$E140</f>
        <v>0</v>
      </c>
      <c r="O140" s="145"/>
      <c r="P140" s="142"/>
      <c r="Q140" s="134">
        <f t="shared" si="25"/>
        <v>0</v>
      </c>
      <c r="R140" s="145"/>
      <c r="S140" s="142"/>
      <c r="T140" s="134">
        <f t="shared" si="26"/>
        <v>0</v>
      </c>
      <c r="U140" s="145"/>
      <c r="V140" s="142"/>
      <c r="W140" s="134">
        <f t="shared" si="27"/>
        <v>0</v>
      </c>
      <c r="X140" s="152"/>
      <c r="Y140" s="162"/>
      <c r="Z140" s="163"/>
      <c r="AA140" s="137">
        <f t="shared" si="28"/>
        <v>0</v>
      </c>
      <c r="AB140" s="138" t="e">
        <f t="shared" si="29"/>
        <v>#DIV/0!</v>
      </c>
    </row>
    <row r="141" spans="2:29" s="109" customFormat="1" ht="21.95" customHeight="1" outlineLevel="1">
      <c r="B141" s="148" t="str">
        <f>'CPU  1'!B141</f>
        <v>O07</v>
      </c>
      <c r="C141" s="156" t="str">
        <f>'CPU  1'!C141</f>
        <v>PCMSO / PGR / PCA / PPR</v>
      </c>
      <c r="D141" s="157" t="str">
        <f>'CPU  1'!D141</f>
        <v>Vb/ano</v>
      </c>
      <c r="E141" s="158">
        <f>'CPU  1'!E141</f>
        <v>2300</v>
      </c>
      <c r="F141" s="145"/>
      <c r="G141" s="142"/>
      <c r="H141" s="134">
        <f t="shared" si="30"/>
        <v>0</v>
      </c>
      <c r="I141" s="145"/>
      <c r="J141" s="142"/>
      <c r="K141" s="134">
        <f t="shared" ref="K141:K154" si="32">J141*I141*$E141</f>
        <v>0</v>
      </c>
      <c r="L141" s="145"/>
      <c r="M141" s="142"/>
      <c r="N141" s="134">
        <f t="shared" si="31"/>
        <v>0</v>
      </c>
      <c r="O141" s="145"/>
      <c r="P141" s="142"/>
      <c r="Q141" s="134">
        <f t="shared" si="25"/>
        <v>0</v>
      </c>
      <c r="R141" s="145"/>
      <c r="S141" s="142"/>
      <c r="T141" s="134">
        <f t="shared" si="26"/>
        <v>0</v>
      </c>
      <c r="U141" s="145"/>
      <c r="V141" s="142"/>
      <c r="W141" s="134">
        <f t="shared" si="27"/>
        <v>0</v>
      </c>
      <c r="X141" s="152"/>
      <c r="Y141" s="162"/>
      <c r="Z141" s="163"/>
      <c r="AA141" s="137">
        <f t="shared" si="28"/>
        <v>0</v>
      </c>
      <c r="AB141" s="138" t="e">
        <f t="shared" si="29"/>
        <v>#DIV/0!</v>
      </c>
    </row>
    <row r="142" spans="2:29" s="109" customFormat="1" ht="21.95" customHeight="1" outlineLevel="1">
      <c r="B142" s="148" t="str">
        <f>'CPU  1'!B142</f>
        <v>O08</v>
      </c>
      <c r="C142" s="156" t="str">
        <f>'CPU  1'!C142</f>
        <v>Quadros DDS e Gestão a vista</v>
      </c>
      <c r="D142" s="157" t="str">
        <f>'CPU  1'!D142</f>
        <v>Vb</v>
      </c>
      <c r="E142" s="158">
        <f>'CPU  1'!E142</f>
        <v>1200</v>
      </c>
      <c r="F142" s="145"/>
      <c r="G142" s="142"/>
      <c r="H142" s="134">
        <f t="shared" si="30"/>
        <v>0</v>
      </c>
      <c r="I142" s="145"/>
      <c r="J142" s="142"/>
      <c r="K142" s="134">
        <f t="shared" si="32"/>
        <v>0</v>
      </c>
      <c r="L142" s="145"/>
      <c r="M142" s="142"/>
      <c r="N142" s="134">
        <f t="shared" si="31"/>
        <v>0</v>
      </c>
      <c r="O142" s="145"/>
      <c r="P142" s="142"/>
      <c r="Q142" s="134">
        <f t="shared" si="25"/>
        <v>0</v>
      </c>
      <c r="R142" s="145"/>
      <c r="S142" s="142"/>
      <c r="T142" s="134">
        <f t="shared" si="26"/>
        <v>0</v>
      </c>
      <c r="U142" s="145"/>
      <c r="V142" s="142"/>
      <c r="W142" s="134">
        <f t="shared" si="27"/>
        <v>0</v>
      </c>
      <c r="X142" s="152"/>
      <c r="Y142" s="162"/>
      <c r="Z142" s="163"/>
      <c r="AA142" s="137">
        <f t="shared" si="28"/>
        <v>0</v>
      </c>
      <c r="AB142" s="138" t="e">
        <f t="shared" si="29"/>
        <v>#DIV/0!</v>
      </c>
    </row>
    <row r="143" spans="2:29" s="109" customFormat="1" ht="21.95" customHeight="1" outlineLevel="1">
      <c r="B143" s="148" t="str">
        <f>'CPU  1'!B143</f>
        <v>O09</v>
      </c>
      <c r="C143" s="156" t="str">
        <f>'CPU  1'!C143</f>
        <v>Seguro Obra</v>
      </c>
      <c r="D143" s="157" t="str">
        <f>'CPU  1'!D143</f>
        <v>Vb</v>
      </c>
      <c r="E143" s="158">
        <f>'CPU  1'!E143</f>
        <v>5000</v>
      </c>
      <c r="F143" s="145"/>
      <c r="G143" s="142"/>
      <c r="H143" s="134">
        <f t="shared" si="30"/>
        <v>0</v>
      </c>
      <c r="I143" s="145"/>
      <c r="J143" s="142"/>
      <c r="K143" s="134">
        <f t="shared" si="32"/>
        <v>0</v>
      </c>
      <c r="L143" s="145"/>
      <c r="M143" s="142"/>
      <c r="N143" s="134">
        <f t="shared" si="31"/>
        <v>0</v>
      </c>
      <c r="O143" s="145"/>
      <c r="P143" s="142"/>
      <c r="Q143" s="134">
        <f t="shared" si="25"/>
        <v>0</v>
      </c>
      <c r="R143" s="145"/>
      <c r="S143" s="142"/>
      <c r="T143" s="134">
        <f t="shared" si="26"/>
        <v>0</v>
      </c>
      <c r="U143" s="145"/>
      <c r="V143" s="142"/>
      <c r="W143" s="134">
        <f t="shared" si="27"/>
        <v>0</v>
      </c>
      <c r="X143" s="152"/>
      <c r="Y143" s="162"/>
      <c r="Z143" s="163"/>
      <c r="AA143" s="137">
        <f t="shared" si="28"/>
        <v>0</v>
      </c>
      <c r="AB143" s="138" t="e">
        <f t="shared" si="29"/>
        <v>#DIV/0!</v>
      </c>
    </row>
    <row r="144" spans="2:29" s="109" customFormat="1" ht="21.95" customHeight="1" outlineLevel="1">
      <c r="B144" s="148" t="str">
        <f>'CPU  1'!B144</f>
        <v>O10</v>
      </c>
      <c r="C144" s="156" t="str">
        <f>'CPU  1'!C144</f>
        <v>Fretes</v>
      </c>
      <c r="D144" s="157" t="str">
        <f>'CPU  1'!D144</f>
        <v>ud</v>
      </c>
      <c r="E144" s="158">
        <f>'CPU  1'!E144</f>
        <v>2800</v>
      </c>
      <c r="F144" s="145"/>
      <c r="G144" s="142"/>
      <c r="H144" s="134">
        <f t="shared" si="30"/>
        <v>0</v>
      </c>
      <c r="I144" s="145"/>
      <c r="J144" s="142"/>
      <c r="K144" s="134">
        <f t="shared" si="32"/>
        <v>0</v>
      </c>
      <c r="L144" s="145"/>
      <c r="M144" s="142"/>
      <c r="N144" s="134">
        <f t="shared" si="31"/>
        <v>0</v>
      </c>
      <c r="O144" s="145"/>
      <c r="P144" s="142"/>
      <c r="Q144" s="134">
        <f t="shared" si="25"/>
        <v>0</v>
      </c>
      <c r="R144" s="145"/>
      <c r="S144" s="142"/>
      <c r="T144" s="134">
        <f t="shared" si="26"/>
        <v>0</v>
      </c>
      <c r="U144" s="145"/>
      <c r="V144" s="142"/>
      <c r="W144" s="134">
        <f t="shared" si="27"/>
        <v>0</v>
      </c>
      <c r="X144" s="152"/>
      <c r="Y144" s="162"/>
      <c r="Z144" s="163"/>
      <c r="AA144" s="137">
        <f t="shared" si="28"/>
        <v>0</v>
      </c>
      <c r="AB144" s="138" t="e">
        <f t="shared" si="29"/>
        <v>#DIV/0!</v>
      </c>
    </row>
    <row r="145" spans="2:28" s="109" customFormat="1" ht="21.95" customHeight="1" outlineLevel="1">
      <c r="B145" s="148" t="str">
        <f>'CPU  1'!B145</f>
        <v>O11</v>
      </c>
      <c r="C145" s="156" t="str">
        <f>'CPU  1'!C145</f>
        <v>Serviço de descarte de residuo</v>
      </c>
      <c r="D145" s="157" t="str">
        <f>'CPU  1'!D145</f>
        <v>coleta</v>
      </c>
      <c r="E145" s="158">
        <f>'CPU  1'!E145</f>
        <v>2000</v>
      </c>
      <c r="F145" s="145"/>
      <c r="G145" s="142"/>
      <c r="H145" s="134">
        <f t="shared" si="30"/>
        <v>0</v>
      </c>
      <c r="I145" s="145"/>
      <c r="J145" s="142"/>
      <c r="K145" s="134">
        <f t="shared" si="32"/>
        <v>0</v>
      </c>
      <c r="L145" s="145"/>
      <c r="M145" s="142"/>
      <c r="N145" s="134">
        <f t="shared" si="31"/>
        <v>0</v>
      </c>
      <c r="O145" s="145"/>
      <c r="P145" s="142"/>
      <c r="Q145" s="134">
        <f t="shared" si="25"/>
        <v>0</v>
      </c>
      <c r="R145" s="145"/>
      <c r="S145" s="142"/>
      <c r="T145" s="134">
        <f t="shared" si="26"/>
        <v>0</v>
      </c>
      <c r="U145" s="145"/>
      <c r="V145" s="142"/>
      <c r="W145" s="134">
        <f t="shared" si="27"/>
        <v>0</v>
      </c>
      <c r="X145" s="152"/>
      <c r="Y145" s="162"/>
      <c r="Z145" s="163"/>
      <c r="AA145" s="137">
        <f t="shared" si="28"/>
        <v>0</v>
      </c>
      <c r="AB145" s="138" t="e">
        <f t="shared" si="29"/>
        <v>#DIV/0!</v>
      </c>
    </row>
    <row r="146" spans="2:28" s="109" customFormat="1" ht="36" customHeight="1" outlineLevel="1">
      <c r="B146" s="148" t="str">
        <f>'CPU  1'!B146</f>
        <v>O12</v>
      </c>
      <c r="C146" s="156" t="str">
        <f>'CPU  1'!C146</f>
        <v>Serviço de movimentação do Banheiro Hidráulico</v>
      </c>
      <c r="D146" s="157" t="str">
        <f>'CPU  1'!D146</f>
        <v>vb</v>
      </c>
      <c r="E146" s="158">
        <f>'CPU  1'!E146</f>
        <v>200</v>
      </c>
      <c r="F146" s="145"/>
      <c r="G146" s="142"/>
      <c r="H146" s="134">
        <f t="shared" si="30"/>
        <v>0</v>
      </c>
      <c r="I146" s="145"/>
      <c r="J146" s="142"/>
      <c r="K146" s="134">
        <f t="shared" si="32"/>
        <v>0</v>
      </c>
      <c r="L146" s="145"/>
      <c r="M146" s="142"/>
      <c r="N146" s="134">
        <f t="shared" si="31"/>
        <v>0</v>
      </c>
      <c r="O146" s="145"/>
      <c r="P146" s="142"/>
      <c r="Q146" s="134">
        <f t="shared" si="25"/>
        <v>0</v>
      </c>
      <c r="R146" s="145"/>
      <c r="S146" s="142"/>
      <c r="T146" s="134">
        <f t="shared" si="26"/>
        <v>0</v>
      </c>
      <c r="U146" s="145"/>
      <c r="V146" s="142"/>
      <c r="W146" s="134">
        <f t="shared" si="27"/>
        <v>0</v>
      </c>
      <c r="X146" s="152"/>
      <c r="Y146" s="162"/>
      <c r="Z146" s="163"/>
      <c r="AA146" s="137">
        <f t="shared" si="28"/>
        <v>0</v>
      </c>
      <c r="AB146" s="138" t="e">
        <f t="shared" si="29"/>
        <v>#DIV/0!</v>
      </c>
    </row>
    <row r="147" spans="2:28" s="109" customFormat="1" ht="21.95" customHeight="1" outlineLevel="1">
      <c r="B147" s="148" t="str">
        <f>'CPU  1'!B147</f>
        <v>O13</v>
      </c>
      <c r="C147" s="156" t="str">
        <f>'CPU  1'!C147</f>
        <v>Segurança Patrimonial</v>
      </c>
      <c r="D147" s="157" t="str">
        <f>'CPU  1'!D147</f>
        <v>Vb/mês</v>
      </c>
      <c r="E147" s="158">
        <f>'CPU  1'!E147</f>
        <v>40000</v>
      </c>
      <c r="F147" s="145"/>
      <c r="G147" s="142"/>
      <c r="H147" s="134">
        <f t="shared" si="30"/>
        <v>0</v>
      </c>
      <c r="I147" s="145"/>
      <c r="J147" s="142"/>
      <c r="K147" s="134">
        <f t="shared" si="32"/>
        <v>0</v>
      </c>
      <c r="L147" s="145"/>
      <c r="M147" s="142"/>
      <c r="N147" s="134">
        <f t="shared" si="31"/>
        <v>0</v>
      </c>
      <c r="O147" s="145"/>
      <c r="P147" s="142"/>
      <c r="Q147" s="134">
        <f t="shared" si="25"/>
        <v>0</v>
      </c>
      <c r="R147" s="145"/>
      <c r="S147" s="142"/>
      <c r="T147" s="134">
        <f t="shared" si="26"/>
        <v>0</v>
      </c>
      <c r="U147" s="145"/>
      <c r="V147" s="142"/>
      <c r="W147" s="134">
        <f t="shared" si="27"/>
        <v>0</v>
      </c>
      <c r="X147" s="152"/>
      <c r="Y147" s="162"/>
      <c r="Z147" s="163"/>
      <c r="AA147" s="137">
        <f t="shared" si="28"/>
        <v>0</v>
      </c>
      <c r="AB147" s="138" t="e">
        <f t="shared" si="29"/>
        <v>#DIV/0!</v>
      </c>
    </row>
    <row r="148" spans="2:28" s="109" customFormat="1" ht="21.95" customHeight="1" outlineLevel="1">
      <c r="B148" s="148" t="str">
        <f>'CPU  1'!B148</f>
        <v>O14</v>
      </c>
      <c r="C148" s="156" t="str">
        <f>'CPU  1'!C148</f>
        <v>Solda exortémica</v>
      </c>
      <c r="D148" s="157" t="str">
        <f>'CPU  1'!D148</f>
        <v>vb</v>
      </c>
      <c r="E148" s="158">
        <f>'CPU  1'!E148</f>
        <v>455</v>
      </c>
      <c r="F148" s="145"/>
      <c r="G148" s="142"/>
      <c r="H148" s="134">
        <f t="shared" si="30"/>
        <v>0</v>
      </c>
      <c r="I148" s="145"/>
      <c r="J148" s="142"/>
      <c r="K148" s="134">
        <f t="shared" si="32"/>
        <v>0</v>
      </c>
      <c r="L148" s="145"/>
      <c r="M148" s="142"/>
      <c r="N148" s="134">
        <f t="shared" si="31"/>
        <v>0</v>
      </c>
      <c r="O148" s="145"/>
      <c r="P148" s="142"/>
      <c r="Q148" s="134">
        <f t="shared" si="25"/>
        <v>0</v>
      </c>
      <c r="R148" s="145"/>
      <c r="S148" s="142"/>
      <c r="T148" s="134">
        <f t="shared" si="26"/>
        <v>0</v>
      </c>
      <c r="U148" s="145"/>
      <c r="V148" s="142"/>
      <c r="W148" s="134">
        <f t="shared" si="27"/>
        <v>0</v>
      </c>
      <c r="X148" s="152"/>
      <c r="Y148" s="162"/>
      <c r="Z148" s="163"/>
      <c r="AA148" s="137">
        <f t="shared" si="28"/>
        <v>0</v>
      </c>
      <c r="AB148" s="138" t="e">
        <f t="shared" si="29"/>
        <v>#DIV/0!</v>
      </c>
    </row>
    <row r="149" spans="2:28" s="109" customFormat="1" ht="21.95" customHeight="1" outlineLevel="1">
      <c r="B149" s="148" t="str">
        <f>'CPU  1'!B149</f>
        <v>O15</v>
      </c>
      <c r="C149" s="156" t="str">
        <f>'CPU  1'!C149</f>
        <v>Material solda exotermica</v>
      </c>
      <c r="D149" s="157" t="str">
        <f>'CPU  1'!D149</f>
        <v>Unid</v>
      </c>
      <c r="E149" s="158">
        <f>'CPU  1'!E149</f>
        <v>60</v>
      </c>
      <c r="F149" s="145"/>
      <c r="G149" s="142"/>
      <c r="H149" s="134">
        <f t="shared" si="30"/>
        <v>0</v>
      </c>
      <c r="I149" s="145"/>
      <c r="J149" s="142"/>
      <c r="K149" s="134">
        <f t="shared" si="32"/>
        <v>0</v>
      </c>
      <c r="L149" s="145"/>
      <c r="M149" s="142"/>
      <c r="N149" s="134">
        <f t="shared" si="31"/>
        <v>0</v>
      </c>
      <c r="O149" s="145"/>
      <c r="P149" s="142"/>
      <c r="Q149" s="134">
        <f t="shared" si="25"/>
        <v>0</v>
      </c>
      <c r="R149" s="145"/>
      <c r="S149" s="142"/>
      <c r="T149" s="134">
        <f t="shared" si="26"/>
        <v>0</v>
      </c>
      <c r="U149" s="145"/>
      <c r="V149" s="142"/>
      <c r="W149" s="134">
        <f t="shared" si="27"/>
        <v>0</v>
      </c>
      <c r="X149" s="152"/>
      <c r="Y149" s="162"/>
      <c r="Z149" s="163"/>
      <c r="AA149" s="137">
        <f t="shared" si="28"/>
        <v>0</v>
      </c>
      <c r="AB149" s="138" t="e">
        <f t="shared" si="29"/>
        <v>#DIV/0!</v>
      </c>
    </row>
    <row r="150" spans="2:28" s="109" customFormat="1" ht="21.95" customHeight="1" outlineLevel="1">
      <c r="B150" s="148" t="str">
        <f>'CPU  1'!B150</f>
        <v>O16</v>
      </c>
      <c r="C150" s="156">
        <f>'CPU  1'!C150</f>
        <v>0</v>
      </c>
      <c r="D150" s="157">
        <f>'CPU  1'!D150</f>
        <v>0</v>
      </c>
      <c r="E150" s="158">
        <f>'CPU  1'!E150</f>
        <v>0</v>
      </c>
      <c r="F150" s="145"/>
      <c r="G150" s="142"/>
      <c r="H150" s="134">
        <f t="shared" si="30"/>
        <v>0</v>
      </c>
      <c r="I150" s="145"/>
      <c r="J150" s="142"/>
      <c r="K150" s="134">
        <f t="shared" si="32"/>
        <v>0</v>
      </c>
      <c r="L150" s="145"/>
      <c r="M150" s="142"/>
      <c r="N150" s="134">
        <f t="shared" si="31"/>
        <v>0</v>
      </c>
      <c r="O150" s="145"/>
      <c r="P150" s="142"/>
      <c r="Q150" s="134">
        <f t="shared" si="25"/>
        <v>0</v>
      </c>
      <c r="R150" s="145"/>
      <c r="S150" s="142"/>
      <c r="T150" s="134">
        <f t="shared" si="26"/>
        <v>0</v>
      </c>
      <c r="U150" s="145"/>
      <c r="V150" s="142"/>
      <c r="W150" s="134">
        <f t="shared" si="27"/>
        <v>0</v>
      </c>
      <c r="X150" s="152"/>
      <c r="Y150" s="162"/>
      <c r="Z150" s="163"/>
      <c r="AA150" s="137">
        <f t="shared" si="28"/>
        <v>0</v>
      </c>
      <c r="AB150" s="138" t="e">
        <f t="shared" si="29"/>
        <v>#DIV/0!</v>
      </c>
    </row>
    <row r="151" spans="2:28" s="109" customFormat="1" ht="21.95" customHeight="1" outlineLevel="1">
      <c r="B151" s="148" t="str">
        <f>'CPU  1'!B151</f>
        <v>O17</v>
      </c>
      <c r="C151" s="156">
        <f>'CPU  1'!C151</f>
        <v>0</v>
      </c>
      <c r="D151" s="157">
        <f>'CPU  1'!D151</f>
        <v>0</v>
      </c>
      <c r="E151" s="158">
        <f>'CPU  1'!E151</f>
        <v>0</v>
      </c>
      <c r="F151" s="145"/>
      <c r="G151" s="142"/>
      <c r="H151" s="134">
        <f t="shared" si="30"/>
        <v>0</v>
      </c>
      <c r="I151" s="145"/>
      <c r="J151" s="142"/>
      <c r="K151" s="134">
        <f t="shared" si="32"/>
        <v>0</v>
      </c>
      <c r="L151" s="145"/>
      <c r="M151" s="142"/>
      <c r="N151" s="134">
        <f t="shared" si="31"/>
        <v>0</v>
      </c>
      <c r="O151" s="145"/>
      <c r="P151" s="142"/>
      <c r="Q151" s="134">
        <f t="shared" si="25"/>
        <v>0</v>
      </c>
      <c r="R151" s="145"/>
      <c r="S151" s="142"/>
      <c r="T151" s="134">
        <f t="shared" si="26"/>
        <v>0</v>
      </c>
      <c r="U151" s="145"/>
      <c r="V151" s="142"/>
      <c r="W151" s="134">
        <f t="shared" si="27"/>
        <v>0</v>
      </c>
      <c r="X151" s="152"/>
      <c r="Y151" s="162"/>
      <c r="Z151" s="163"/>
      <c r="AA151" s="137">
        <f t="shared" si="28"/>
        <v>0</v>
      </c>
      <c r="AB151" s="138" t="e">
        <f t="shared" si="29"/>
        <v>#DIV/0!</v>
      </c>
    </row>
    <row r="152" spans="2:28" s="109" customFormat="1" ht="21.95" customHeight="1" outlineLevel="1">
      <c r="B152" s="148" t="str">
        <f>'CPU  1'!B152</f>
        <v>O18</v>
      </c>
      <c r="C152" s="156">
        <f>'CPU  1'!C152</f>
        <v>0</v>
      </c>
      <c r="D152" s="157">
        <f>'CPU  1'!D152</f>
        <v>0</v>
      </c>
      <c r="E152" s="158">
        <f>'CPU  1'!E152</f>
        <v>0</v>
      </c>
      <c r="F152" s="145"/>
      <c r="G152" s="142"/>
      <c r="H152" s="134">
        <f t="shared" si="30"/>
        <v>0</v>
      </c>
      <c r="I152" s="145"/>
      <c r="J152" s="142"/>
      <c r="K152" s="134">
        <f t="shared" si="32"/>
        <v>0</v>
      </c>
      <c r="L152" s="145"/>
      <c r="M152" s="142"/>
      <c r="N152" s="134">
        <f t="shared" si="31"/>
        <v>0</v>
      </c>
      <c r="O152" s="145"/>
      <c r="P152" s="142"/>
      <c r="Q152" s="134">
        <f t="shared" si="25"/>
        <v>0</v>
      </c>
      <c r="R152" s="145"/>
      <c r="S152" s="142"/>
      <c r="T152" s="134">
        <f t="shared" si="26"/>
        <v>0</v>
      </c>
      <c r="U152" s="145"/>
      <c r="V152" s="142"/>
      <c r="W152" s="134">
        <f t="shared" si="27"/>
        <v>0</v>
      </c>
      <c r="X152" s="152"/>
      <c r="Y152" s="162"/>
      <c r="Z152" s="163"/>
      <c r="AA152" s="137">
        <f t="shared" si="28"/>
        <v>0</v>
      </c>
      <c r="AB152" s="138" t="e">
        <f t="shared" si="29"/>
        <v>#DIV/0!</v>
      </c>
    </row>
    <row r="153" spans="2:28" s="109" customFormat="1" ht="21.95" customHeight="1" outlineLevel="1">
      <c r="B153" s="148" t="str">
        <f>'CPU  1'!B153</f>
        <v>O19</v>
      </c>
      <c r="C153" s="156">
        <f>'CPU  1'!C153</f>
        <v>0</v>
      </c>
      <c r="D153" s="157">
        <f>'CPU  1'!D153</f>
        <v>0</v>
      </c>
      <c r="E153" s="158">
        <f>'CPU  1'!E153</f>
        <v>0</v>
      </c>
      <c r="F153" s="145"/>
      <c r="G153" s="142"/>
      <c r="H153" s="134">
        <f t="shared" si="30"/>
        <v>0</v>
      </c>
      <c r="I153" s="145"/>
      <c r="J153" s="142"/>
      <c r="K153" s="134">
        <f t="shared" si="32"/>
        <v>0</v>
      </c>
      <c r="L153" s="145"/>
      <c r="M153" s="142"/>
      <c r="N153" s="134">
        <f t="shared" si="31"/>
        <v>0</v>
      </c>
      <c r="O153" s="145"/>
      <c r="P153" s="142"/>
      <c r="Q153" s="134">
        <f t="shared" si="25"/>
        <v>0</v>
      </c>
      <c r="R153" s="145"/>
      <c r="S153" s="142"/>
      <c r="T153" s="134">
        <f t="shared" si="26"/>
        <v>0</v>
      </c>
      <c r="U153" s="145"/>
      <c r="V153" s="142"/>
      <c r="W153" s="134">
        <f t="shared" si="27"/>
        <v>0</v>
      </c>
      <c r="X153" s="152"/>
      <c r="Y153" s="162"/>
      <c r="Z153" s="163"/>
      <c r="AA153" s="137">
        <f t="shared" si="28"/>
        <v>0</v>
      </c>
      <c r="AB153" s="138" t="e">
        <f t="shared" si="29"/>
        <v>#DIV/0!</v>
      </c>
    </row>
    <row r="154" spans="2:28" s="109" customFormat="1" ht="21.95" customHeight="1" outlineLevel="1" thickBot="1">
      <c r="B154" s="148" t="str">
        <f>'CPU  1'!B154</f>
        <v>O20</v>
      </c>
      <c r="C154" s="156">
        <f>'CPU  1'!C154</f>
        <v>0</v>
      </c>
      <c r="D154" s="157">
        <f>'CPU  1'!D154</f>
        <v>0</v>
      </c>
      <c r="E154" s="158">
        <f>'CPU  1'!E154</f>
        <v>0</v>
      </c>
      <c r="F154" s="145"/>
      <c r="G154" s="142"/>
      <c r="H154" s="134">
        <f t="shared" si="30"/>
        <v>0</v>
      </c>
      <c r="I154" s="145"/>
      <c r="J154" s="142"/>
      <c r="K154" s="134">
        <f t="shared" si="32"/>
        <v>0</v>
      </c>
      <c r="L154" s="145"/>
      <c r="M154" s="142"/>
      <c r="N154" s="134">
        <f t="shared" si="31"/>
        <v>0</v>
      </c>
      <c r="O154" s="145"/>
      <c r="P154" s="142"/>
      <c r="Q154" s="134">
        <f t="shared" si="25"/>
        <v>0</v>
      </c>
      <c r="R154" s="145"/>
      <c r="S154" s="142"/>
      <c r="T154" s="134">
        <f t="shared" si="26"/>
        <v>0</v>
      </c>
      <c r="U154" s="145"/>
      <c r="V154" s="142"/>
      <c r="W154" s="134">
        <f t="shared" si="27"/>
        <v>0</v>
      </c>
      <c r="X154" s="152"/>
      <c r="Y154" s="162"/>
      <c r="Z154" s="163"/>
      <c r="AA154" s="137">
        <f t="shared" si="28"/>
        <v>0</v>
      </c>
      <c r="AB154" s="138" t="e">
        <f t="shared" si="29"/>
        <v>#DIV/0!</v>
      </c>
    </row>
    <row r="155" spans="2:28" s="109" customFormat="1" ht="21.95" customHeight="1" thickBot="1">
      <c r="B155" s="694" t="s">
        <v>37</v>
      </c>
      <c r="C155" s="695"/>
      <c r="D155" s="695"/>
      <c r="E155" s="695" t="e">
        <f>SUM(#REF!)</f>
        <v>#REF!</v>
      </c>
      <c r="F155" s="263"/>
      <c r="G155" s="264"/>
      <c r="H155" s="265">
        <f>SUM(H135:H154)</f>
        <v>0</v>
      </c>
      <c r="I155" s="263"/>
      <c r="J155" s="264"/>
      <c r="K155" s="265">
        <f>SUM(K135:K154)</f>
        <v>0</v>
      </c>
      <c r="L155" s="263"/>
      <c r="M155" s="264"/>
      <c r="N155" s="265">
        <f>SUM(N135:N154)</f>
        <v>0</v>
      </c>
      <c r="O155" s="263"/>
      <c r="P155" s="264"/>
      <c r="Q155" s="265">
        <f>SUM(Q135:Q154)</f>
        <v>0</v>
      </c>
      <c r="R155" s="263"/>
      <c r="S155" s="264"/>
      <c r="T155" s="265">
        <f>SUM(T135:T154)</f>
        <v>0</v>
      </c>
      <c r="U155" s="263"/>
      <c r="V155" s="264"/>
      <c r="W155" s="265">
        <f>SUM(W135:W154)</f>
        <v>0</v>
      </c>
      <c r="X155" s="143"/>
      <c r="Y155" s="263"/>
      <c r="Z155" s="264"/>
      <c r="AA155" s="265">
        <f>SUM(AA135:AA154)</f>
        <v>0</v>
      </c>
      <c r="AB155" s="138"/>
    </row>
    <row r="156" spans="2:28" ht="11.25" customHeight="1" thickBot="1">
      <c r="B156" s="165"/>
      <c r="C156" s="166"/>
      <c r="D156" s="166"/>
      <c r="E156" s="165"/>
      <c r="F156" s="166"/>
      <c r="G156" s="166"/>
      <c r="H156" s="166"/>
      <c r="I156" s="166"/>
      <c r="J156" s="166"/>
      <c r="K156" s="166"/>
      <c r="L156" s="166"/>
      <c r="M156" s="166"/>
      <c r="N156" s="166"/>
      <c r="O156" s="166"/>
      <c r="P156" s="166"/>
      <c r="Q156" s="166"/>
      <c r="R156" s="166"/>
      <c r="S156" s="166"/>
      <c r="T156" s="166"/>
      <c r="U156" s="166"/>
      <c r="V156" s="166"/>
      <c r="W156" s="166"/>
      <c r="X156" s="115"/>
      <c r="Y156" s="167"/>
      <c r="Z156" s="167"/>
      <c r="AA156" s="167"/>
    </row>
    <row r="157" spans="2:28" s="109" customFormat="1" ht="18" customHeight="1">
      <c r="B157" s="266" t="s">
        <v>4</v>
      </c>
      <c r="C157" s="696" t="s">
        <v>120</v>
      </c>
      <c r="D157" s="697"/>
      <c r="E157" s="267"/>
      <c r="F157" s="266"/>
      <c r="G157" s="268" t="s">
        <v>57</v>
      </c>
      <c r="H157" s="269" t="s">
        <v>50</v>
      </c>
      <c r="I157" s="266"/>
      <c r="J157" s="268" t="s">
        <v>57</v>
      </c>
      <c r="K157" s="269" t="s">
        <v>50</v>
      </c>
      <c r="L157" s="266"/>
      <c r="M157" s="268" t="s">
        <v>57</v>
      </c>
      <c r="N157" s="269" t="s">
        <v>50</v>
      </c>
      <c r="O157" s="266"/>
      <c r="P157" s="268" t="s">
        <v>57</v>
      </c>
      <c r="Q157" s="269" t="s">
        <v>50</v>
      </c>
      <c r="R157" s="266"/>
      <c r="S157" s="268" t="s">
        <v>57</v>
      </c>
      <c r="T157" s="269" t="s">
        <v>50</v>
      </c>
      <c r="U157" s="266"/>
      <c r="V157" s="268" t="s">
        <v>57</v>
      </c>
      <c r="W157" s="269" t="s">
        <v>50</v>
      </c>
      <c r="X157" s="124"/>
      <c r="Y157" s="266"/>
      <c r="Z157" s="268" t="s">
        <v>57</v>
      </c>
      <c r="AA157" s="269" t="s">
        <v>50</v>
      </c>
      <c r="AB157" s="108"/>
    </row>
    <row r="158" spans="2:28" s="109" customFormat="1" ht="18" customHeight="1">
      <c r="B158" s="168" t="s">
        <v>2</v>
      </c>
      <c r="C158" s="169" t="s">
        <v>38</v>
      </c>
      <c r="D158" s="170"/>
      <c r="E158" s="171"/>
      <c r="F158" s="172"/>
      <c r="G158" s="173" t="e">
        <f>H158/H162</f>
        <v>#DIV/0!</v>
      </c>
      <c r="H158" s="174">
        <f>H23</f>
        <v>0</v>
      </c>
      <c r="I158" s="172"/>
      <c r="J158" s="173" t="e">
        <f>K158/K162</f>
        <v>#DIV/0!</v>
      </c>
      <c r="K158" s="174">
        <f>K23</f>
        <v>0</v>
      </c>
      <c r="L158" s="172"/>
      <c r="M158" s="173" t="e">
        <f>N158/N162</f>
        <v>#DIV/0!</v>
      </c>
      <c r="N158" s="174">
        <f>N23</f>
        <v>0</v>
      </c>
      <c r="O158" s="172"/>
      <c r="P158" s="173" t="e">
        <f>Q158/Q162</f>
        <v>#DIV/0!</v>
      </c>
      <c r="Q158" s="174">
        <f>Q23</f>
        <v>0</v>
      </c>
      <c r="R158" s="172"/>
      <c r="S158" s="173" t="e">
        <f>T158/T162</f>
        <v>#DIV/0!</v>
      </c>
      <c r="T158" s="174">
        <f>T23</f>
        <v>0</v>
      </c>
      <c r="U158" s="172"/>
      <c r="V158" s="173" t="e">
        <f>W158/W162</f>
        <v>#DIV/0!</v>
      </c>
      <c r="W158" s="174">
        <f>W23</f>
        <v>0</v>
      </c>
      <c r="X158" s="152"/>
      <c r="Y158" s="175"/>
      <c r="Z158" s="176" t="e">
        <f>AA158/AA162</f>
        <v>#DIV/0!</v>
      </c>
      <c r="AA158" s="177">
        <f>AA23</f>
        <v>0</v>
      </c>
      <c r="AB158" s="108"/>
    </row>
    <row r="159" spans="2:28" s="109" customFormat="1" ht="18" customHeight="1">
      <c r="B159" s="145" t="s">
        <v>1</v>
      </c>
      <c r="C159" s="178" t="s">
        <v>39</v>
      </c>
      <c r="D159" s="179"/>
      <c r="E159" s="180"/>
      <c r="F159" s="181"/>
      <c r="G159" s="182" t="e">
        <f>H159/H162</f>
        <v>#DIV/0!</v>
      </c>
      <c r="H159" s="134">
        <f>H80</f>
        <v>0</v>
      </c>
      <c r="I159" s="181"/>
      <c r="J159" s="182" t="e">
        <f>K159/K162</f>
        <v>#DIV/0!</v>
      </c>
      <c r="K159" s="134">
        <f>K80</f>
        <v>0</v>
      </c>
      <c r="L159" s="181"/>
      <c r="M159" s="182" t="e">
        <f>N159/N162</f>
        <v>#DIV/0!</v>
      </c>
      <c r="N159" s="134">
        <f>N80</f>
        <v>0</v>
      </c>
      <c r="O159" s="181"/>
      <c r="P159" s="182" t="e">
        <f>Q159/Q162</f>
        <v>#DIV/0!</v>
      </c>
      <c r="Q159" s="134">
        <f>Q80</f>
        <v>0</v>
      </c>
      <c r="R159" s="181"/>
      <c r="S159" s="182" t="e">
        <f>T159/T162</f>
        <v>#DIV/0!</v>
      </c>
      <c r="T159" s="134">
        <f>T80</f>
        <v>0</v>
      </c>
      <c r="U159" s="181"/>
      <c r="V159" s="182" t="e">
        <f>W159/W162</f>
        <v>#DIV/0!</v>
      </c>
      <c r="W159" s="134">
        <f>W80</f>
        <v>0</v>
      </c>
      <c r="X159" s="152"/>
      <c r="Y159" s="183"/>
      <c r="Z159" s="184" t="e">
        <f>AA159/AA162</f>
        <v>#DIV/0!</v>
      </c>
      <c r="AA159" s="185">
        <f>AA80</f>
        <v>0</v>
      </c>
      <c r="AB159" s="108"/>
    </row>
    <row r="160" spans="2:28" s="109" customFormat="1" ht="18" customHeight="1">
      <c r="B160" s="145" t="s">
        <v>0</v>
      </c>
      <c r="C160" s="178" t="s">
        <v>40</v>
      </c>
      <c r="D160" s="179"/>
      <c r="E160" s="180"/>
      <c r="F160" s="181"/>
      <c r="G160" s="182" t="e">
        <f>H160/H162</f>
        <v>#DIV/0!</v>
      </c>
      <c r="H160" s="134">
        <f>H132</f>
        <v>0</v>
      </c>
      <c r="I160" s="181"/>
      <c r="J160" s="182" t="e">
        <f>K160/K162</f>
        <v>#DIV/0!</v>
      </c>
      <c r="K160" s="134">
        <f>K132</f>
        <v>0</v>
      </c>
      <c r="L160" s="181"/>
      <c r="M160" s="182" t="e">
        <f>N160/N162</f>
        <v>#DIV/0!</v>
      </c>
      <c r="N160" s="134">
        <f>N132</f>
        <v>0</v>
      </c>
      <c r="O160" s="181"/>
      <c r="P160" s="182" t="e">
        <f>Q160/Q162</f>
        <v>#DIV/0!</v>
      </c>
      <c r="Q160" s="134">
        <f>Q132</f>
        <v>0</v>
      </c>
      <c r="R160" s="181"/>
      <c r="S160" s="182" t="e">
        <f>T160/T162</f>
        <v>#DIV/0!</v>
      </c>
      <c r="T160" s="134">
        <f>T132</f>
        <v>0</v>
      </c>
      <c r="U160" s="181"/>
      <c r="V160" s="182" t="e">
        <f>W160/W162</f>
        <v>#DIV/0!</v>
      </c>
      <c r="W160" s="134">
        <f>W132</f>
        <v>0</v>
      </c>
      <c r="X160" s="152"/>
      <c r="Y160" s="183"/>
      <c r="Z160" s="184" t="e">
        <f>AA160/AA162</f>
        <v>#DIV/0!</v>
      </c>
      <c r="AA160" s="185">
        <f>AA132</f>
        <v>0</v>
      </c>
      <c r="AB160" s="108"/>
    </row>
    <row r="161" spans="2:28" s="109" customFormat="1" ht="18" customHeight="1">
      <c r="B161" s="186" t="s">
        <v>3</v>
      </c>
      <c r="C161" s="187" t="s">
        <v>41</v>
      </c>
      <c r="D161" s="188"/>
      <c r="E161" s="189"/>
      <c r="F161" s="190"/>
      <c r="G161" s="191" t="e">
        <f>H161/H162</f>
        <v>#DIV/0!</v>
      </c>
      <c r="H161" s="192">
        <f>H155</f>
        <v>0</v>
      </c>
      <c r="I161" s="190"/>
      <c r="J161" s="191" t="e">
        <f>K161/K162</f>
        <v>#DIV/0!</v>
      </c>
      <c r="K161" s="192">
        <f>K155</f>
        <v>0</v>
      </c>
      <c r="L161" s="190"/>
      <c r="M161" s="191" t="e">
        <f>N161/N162</f>
        <v>#DIV/0!</v>
      </c>
      <c r="N161" s="192">
        <f>N155</f>
        <v>0</v>
      </c>
      <c r="O161" s="190"/>
      <c r="P161" s="191" t="e">
        <f>Q161/Q162</f>
        <v>#DIV/0!</v>
      </c>
      <c r="Q161" s="192">
        <f>Q155</f>
        <v>0</v>
      </c>
      <c r="R161" s="190"/>
      <c r="S161" s="191" t="e">
        <f>T161/T162</f>
        <v>#DIV/0!</v>
      </c>
      <c r="T161" s="192">
        <f>T155</f>
        <v>0</v>
      </c>
      <c r="U161" s="190"/>
      <c r="V161" s="191" t="e">
        <f>W161/W162</f>
        <v>#DIV/0!</v>
      </c>
      <c r="W161" s="192">
        <f>W155</f>
        <v>0</v>
      </c>
      <c r="X161" s="152"/>
      <c r="Y161" s="193"/>
      <c r="Z161" s="194" t="e">
        <f>AA161/AA162</f>
        <v>#DIV/0!</v>
      </c>
      <c r="AA161" s="195">
        <f>AA155</f>
        <v>0</v>
      </c>
      <c r="AB161" s="108"/>
    </row>
    <row r="162" spans="2:28" s="109" customFormat="1" ht="18" customHeight="1" thickBot="1">
      <c r="B162" s="270"/>
      <c r="C162" s="271" t="s">
        <v>42</v>
      </c>
      <c r="D162" s="272"/>
      <c r="E162" s="273">
        <f>SUM(E158:E161)</f>
        <v>0</v>
      </c>
      <c r="F162" s="274"/>
      <c r="G162" s="275" t="e">
        <f>SUM(G158:G161)</f>
        <v>#DIV/0!</v>
      </c>
      <c r="H162" s="276">
        <f>SUM(H158:H161)</f>
        <v>0</v>
      </c>
      <c r="I162" s="274"/>
      <c r="J162" s="275" t="e">
        <f>SUM(J158:J161)</f>
        <v>#DIV/0!</v>
      </c>
      <c r="K162" s="276">
        <f>SUM(K158:K161)</f>
        <v>0</v>
      </c>
      <c r="L162" s="274"/>
      <c r="M162" s="275" t="e">
        <f>SUM(M158:M161)</f>
        <v>#DIV/0!</v>
      </c>
      <c r="N162" s="276">
        <f>SUM(N158:N161)</f>
        <v>0</v>
      </c>
      <c r="O162" s="274"/>
      <c r="P162" s="275" t="e">
        <f>SUM(P158:P161)</f>
        <v>#DIV/0!</v>
      </c>
      <c r="Q162" s="276">
        <f>SUM(Q158:Q161)</f>
        <v>0</v>
      </c>
      <c r="R162" s="274"/>
      <c r="S162" s="275" t="e">
        <f>SUM(S158:S161)</f>
        <v>#DIV/0!</v>
      </c>
      <c r="T162" s="276">
        <f>SUM(T158:T161)</f>
        <v>0</v>
      </c>
      <c r="U162" s="274"/>
      <c r="V162" s="275" t="e">
        <f>SUM(V158:V161)</f>
        <v>#DIV/0!</v>
      </c>
      <c r="W162" s="276">
        <f>SUM(W158:W161)</f>
        <v>0</v>
      </c>
      <c r="X162" s="124"/>
      <c r="Y162" s="277"/>
      <c r="Z162" s="278" t="e">
        <f>SUM(Z158:Z161)</f>
        <v>#DIV/0!</v>
      </c>
      <c r="AA162" s="279">
        <f>SUM(AA158:AA161)</f>
        <v>0</v>
      </c>
      <c r="AB162" s="108"/>
    </row>
    <row r="163" spans="2:28" s="109" customFormat="1" ht="18" customHeight="1" thickBot="1">
      <c r="B163" s="196"/>
      <c r="C163" s="698"/>
      <c r="D163" s="698"/>
      <c r="E163" s="698"/>
      <c r="F163" s="698"/>
      <c r="G163" s="698"/>
      <c r="H163" s="698"/>
      <c r="I163" s="698"/>
      <c r="J163" s="698"/>
      <c r="K163" s="698"/>
      <c r="L163" s="698"/>
      <c r="M163" s="698"/>
      <c r="N163" s="698"/>
      <c r="O163" s="698"/>
      <c r="P163" s="698"/>
      <c r="Q163" s="698"/>
      <c r="R163" s="698"/>
      <c r="S163" s="698"/>
      <c r="T163" s="698"/>
      <c r="U163" s="698"/>
      <c r="V163" s="698"/>
      <c r="W163" s="698"/>
      <c r="X163" s="124"/>
      <c r="Y163" s="692"/>
      <c r="Z163" s="692"/>
      <c r="AA163" s="692"/>
      <c r="AB163" s="108"/>
    </row>
    <row r="164" spans="2:28" s="109" customFormat="1" ht="18" customHeight="1">
      <c r="B164" s="274" t="s">
        <v>4</v>
      </c>
      <c r="C164" s="688" t="s">
        <v>119</v>
      </c>
      <c r="D164" s="689"/>
      <c r="E164" s="273" t="s">
        <v>8</v>
      </c>
      <c r="F164" s="274"/>
      <c r="G164" s="275"/>
      <c r="H164" s="276" t="s">
        <v>50</v>
      </c>
      <c r="I164" s="274"/>
      <c r="J164" s="275"/>
      <c r="K164" s="276" t="s">
        <v>50</v>
      </c>
      <c r="L164" s="274"/>
      <c r="M164" s="275"/>
      <c r="N164" s="276" t="s">
        <v>50</v>
      </c>
      <c r="O164" s="274"/>
      <c r="P164" s="275"/>
      <c r="Q164" s="276" t="s">
        <v>50</v>
      </c>
      <c r="R164" s="274"/>
      <c r="S164" s="275"/>
      <c r="T164" s="276" t="s">
        <v>50</v>
      </c>
      <c r="U164" s="274"/>
      <c r="V164" s="275"/>
      <c r="W164" s="276" t="s">
        <v>50</v>
      </c>
      <c r="X164" s="124"/>
      <c r="Y164" s="266"/>
      <c r="Z164" s="268"/>
      <c r="AA164" s="269" t="s">
        <v>50</v>
      </c>
      <c r="AB164" s="108"/>
    </row>
    <row r="165" spans="2:28" s="109" customFormat="1" ht="18" customHeight="1">
      <c r="B165" s="197">
        <v>1</v>
      </c>
      <c r="C165" s="198" t="s">
        <v>7</v>
      </c>
      <c r="D165" s="199"/>
      <c r="E165" s="200">
        <f>'BDI-TRIBUTOS'!D8</f>
        <v>0.09</v>
      </c>
      <c r="F165" s="201"/>
      <c r="G165" s="202"/>
      <c r="H165" s="203">
        <f>H162*$E$165</f>
        <v>0</v>
      </c>
      <c r="I165" s="201"/>
      <c r="J165" s="202"/>
      <c r="K165" s="203">
        <f>K162*$E$165</f>
        <v>0</v>
      </c>
      <c r="L165" s="201"/>
      <c r="M165" s="202"/>
      <c r="N165" s="203">
        <f>N162*$E$165</f>
        <v>0</v>
      </c>
      <c r="O165" s="201"/>
      <c r="P165" s="202"/>
      <c r="Q165" s="203">
        <f>Q162*$E$165</f>
        <v>0</v>
      </c>
      <c r="R165" s="201"/>
      <c r="S165" s="202"/>
      <c r="T165" s="203">
        <f>T162*$E$165</f>
        <v>0</v>
      </c>
      <c r="U165" s="201"/>
      <c r="V165" s="202"/>
      <c r="W165" s="203">
        <f>W162*$E$165</f>
        <v>0</v>
      </c>
      <c r="X165" s="143"/>
      <c r="Y165" s="204"/>
      <c r="Z165" s="205"/>
      <c r="AA165" s="206">
        <f>AA162*$E$165</f>
        <v>0</v>
      </c>
      <c r="AB165" s="108"/>
    </row>
    <row r="166" spans="2:28" s="109" customFormat="1" ht="18" customHeight="1">
      <c r="B166" s="207">
        <v>2</v>
      </c>
      <c r="C166" s="208" t="s">
        <v>51</v>
      </c>
      <c r="D166" s="209"/>
      <c r="E166" s="210">
        <f>'BDI-TRIBUTOS'!D6</f>
        <v>0.06</v>
      </c>
      <c r="F166" s="211"/>
      <c r="G166" s="212"/>
      <c r="H166" s="213">
        <f>H162*$E$166</f>
        <v>0</v>
      </c>
      <c r="I166" s="211"/>
      <c r="J166" s="212"/>
      <c r="K166" s="213">
        <f>K162*$E$166</f>
        <v>0</v>
      </c>
      <c r="L166" s="211"/>
      <c r="M166" s="212"/>
      <c r="N166" s="213">
        <f>N162*$E$166</f>
        <v>0</v>
      </c>
      <c r="O166" s="211"/>
      <c r="P166" s="212"/>
      <c r="Q166" s="213">
        <f>Q162*$E$166</f>
        <v>0</v>
      </c>
      <c r="R166" s="211"/>
      <c r="S166" s="212"/>
      <c r="T166" s="213">
        <f>T162*$E$166</f>
        <v>0</v>
      </c>
      <c r="U166" s="211"/>
      <c r="V166" s="212"/>
      <c r="W166" s="213">
        <f>W162*$E$166</f>
        <v>0</v>
      </c>
      <c r="X166" s="143"/>
      <c r="Y166" s="214"/>
      <c r="Z166" s="215"/>
      <c r="AA166" s="216">
        <f>AA162*$E$166</f>
        <v>0</v>
      </c>
      <c r="AB166" s="108"/>
    </row>
    <row r="167" spans="2:28" s="109" customFormat="1" ht="18" customHeight="1">
      <c r="B167" s="207">
        <v>3</v>
      </c>
      <c r="C167" s="208" t="s">
        <v>137</v>
      </c>
      <c r="D167" s="209"/>
      <c r="E167" s="210">
        <f>'BDI-TRIBUTOS'!D10</f>
        <v>3.5000000000000003E-2</v>
      </c>
      <c r="F167" s="211"/>
      <c r="G167" s="212"/>
      <c r="H167" s="213">
        <f>H162*$E$167</f>
        <v>0</v>
      </c>
      <c r="I167" s="211"/>
      <c r="J167" s="212"/>
      <c r="K167" s="213">
        <f>K162*$E$167</f>
        <v>0</v>
      </c>
      <c r="L167" s="211"/>
      <c r="M167" s="212"/>
      <c r="N167" s="213">
        <f>N162*$E$167</f>
        <v>0</v>
      </c>
      <c r="O167" s="211"/>
      <c r="P167" s="212"/>
      <c r="Q167" s="213">
        <f>Q162*$E$167</f>
        <v>0</v>
      </c>
      <c r="R167" s="211"/>
      <c r="S167" s="212"/>
      <c r="T167" s="213">
        <f>T162*$E$167</f>
        <v>0</v>
      </c>
      <c r="U167" s="211"/>
      <c r="V167" s="212"/>
      <c r="W167" s="213">
        <f>W162*$E$167</f>
        <v>0</v>
      </c>
      <c r="X167" s="143"/>
      <c r="Y167" s="214"/>
      <c r="Z167" s="215"/>
      <c r="AA167" s="216">
        <f>AA162*$E$167</f>
        <v>0</v>
      </c>
      <c r="AB167" s="108"/>
    </row>
    <row r="168" spans="2:28" s="109" customFormat="1" ht="18" customHeight="1">
      <c r="B168" s="207">
        <v>4</v>
      </c>
      <c r="C168" s="208" t="s">
        <v>52</v>
      </c>
      <c r="D168" s="209"/>
      <c r="E168" s="210">
        <f>'BDI-TRIBUTOS'!D12</f>
        <v>0.02</v>
      </c>
      <c r="F168" s="211"/>
      <c r="G168" s="212"/>
      <c r="H168" s="213">
        <f>H162*$E$168</f>
        <v>0</v>
      </c>
      <c r="I168" s="211"/>
      <c r="J168" s="212"/>
      <c r="K168" s="213">
        <f>K162*$E$168</f>
        <v>0</v>
      </c>
      <c r="L168" s="211"/>
      <c r="M168" s="212"/>
      <c r="N168" s="213">
        <f>N162*$E$168</f>
        <v>0</v>
      </c>
      <c r="O168" s="211"/>
      <c r="P168" s="212"/>
      <c r="Q168" s="213">
        <f>Q162*$E$168</f>
        <v>0</v>
      </c>
      <c r="R168" s="211"/>
      <c r="S168" s="212"/>
      <c r="T168" s="213">
        <f>T162*$E$168</f>
        <v>0</v>
      </c>
      <c r="U168" s="211"/>
      <c r="V168" s="212"/>
      <c r="W168" s="213">
        <f>W162*$E$168</f>
        <v>0</v>
      </c>
      <c r="X168" s="143"/>
      <c r="Y168" s="214"/>
      <c r="Z168" s="215"/>
      <c r="AA168" s="216">
        <f>AA162*$E$168</f>
        <v>0</v>
      </c>
      <c r="AB168" s="108"/>
    </row>
    <row r="169" spans="2:28" s="109" customFormat="1" ht="18" customHeight="1">
      <c r="B169" s="207">
        <v>5</v>
      </c>
      <c r="C169" s="217" t="s">
        <v>41</v>
      </c>
      <c r="D169" s="218"/>
      <c r="E169" s="210">
        <f>'BDI-TRIBUTOS'!D14</f>
        <v>0.01</v>
      </c>
      <c r="F169" s="219"/>
      <c r="G169" s="220"/>
      <c r="H169" s="221">
        <f>H162*$E$169</f>
        <v>0</v>
      </c>
      <c r="I169" s="219"/>
      <c r="J169" s="220"/>
      <c r="K169" s="221">
        <f>K162*$E$169</f>
        <v>0</v>
      </c>
      <c r="L169" s="219"/>
      <c r="M169" s="220"/>
      <c r="N169" s="221">
        <f>N162*$E$169</f>
        <v>0</v>
      </c>
      <c r="O169" s="219"/>
      <c r="P169" s="220"/>
      <c r="Q169" s="221">
        <f>Q162*$E$169</f>
        <v>0</v>
      </c>
      <c r="R169" s="219"/>
      <c r="S169" s="220"/>
      <c r="T169" s="221">
        <f>T162*$E$169</f>
        <v>0</v>
      </c>
      <c r="U169" s="219"/>
      <c r="V169" s="220"/>
      <c r="W169" s="221">
        <f>W162*$E$169</f>
        <v>0</v>
      </c>
      <c r="X169" s="143"/>
      <c r="Y169" s="222"/>
      <c r="Z169" s="223"/>
      <c r="AA169" s="224">
        <f>AA162*$E$169</f>
        <v>0</v>
      </c>
      <c r="AB169" s="108"/>
    </row>
    <row r="170" spans="2:28" s="109" customFormat="1" ht="18" customHeight="1">
      <c r="B170" s="207">
        <v>6</v>
      </c>
      <c r="C170" s="225" t="s">
        <v>53</v>
      </c>
      <c r="D170" s="226"/>
      <c r="E170" s="227">
        <f>'BDI-TRIBUTOS'!D4</f>
        <v>0.1</v>
      </c>
      <c r="F170" s="228"/>
      <c r="G170" s="229"/>
      <c r="H170" s="230">
        <f>H182*$E$170</f>
        <v>0</v>
      </c>
      <c r="I170" s="228"/>
      <c r="J170" s="229"/>
      <c r="K170" s="230">
        <f>K182*$E$170</f>
        <v>0</v>
      </c>
      <c r="L170" s="228"/>
      <c r="M170" s="229"/>
      <c r="N170" s="230">
        <f>N182*$E$170</f>
        <v>0</v>
      </c>
      <c r="O170" s="228"/>
      <c r="P170" s="229"/>
      <c r="Q170" s="230">
        <f>Q182*$E$170</f>
        <v>0</v>
      </c>
      <c r="R170" s="228"/>
      <c r="S170" s="229"/>
      <c r="T170" s="230">
        <f>T182*$E$170</f>
        <v>0</v>
      </c>
      <c r="U170" s="228"/>
      <c r="V170" s="229"/>
      <c r="W170" s="230">
        <f>W182*$E$170</f>
        <v>0</v>
      </c>
      <c r="X170" s="143"/>
      <c r="Y170" s="231"/>
      <c r="Z170" s="232"/>
      <c r="AA170" s="233">
        <f>AA182*$E$170</f>
        <v>0</v>
      </c>
      <c r="AB170" s="108"/>
    </row>
    <row r="171" spans="2:28" s="109" customFormat="1" ht="18" customHeight="1" thickBot="1">
      <c r="B171" s="270"/>
      <c r="C171" s="271" t="s">
        <v>43</v>
      </c>
      <c r="D171" s="272"/>
      <c r="E171" s="280">
        <f>SUM(E165:E170)</f>
        <v>0.315</v>
      </c>
      <c r="F171" s="281"/>
      <c r="G171" s="282">
        <f>SUM(H165:H169)+H162</f>
        <v>0</v>
      </c>
      <c r="H171" s="276">
        <f>SUM(H165:H170)</f>
        <v>0</v>
      </c>
      <c r="I171" s="281"/>
      <c r="J171" s="282">
        <f>SUM(K165:K169)+K162</f>
        <v>0</v>
      </c>
      <c r="K171" s="276">
        <f>SUM(K165:K170)</f>
        <v>0</v>
      </c>
      <c r="L171" s="281"/>
      <c r="M171" s="282">
        <f>SUM(N165:N169)+N162</f>
        <v>0</v>
      </c>
      <c r="N171" s="276">
        <f>SUM(N165:N170)</f>
        <v>0</v>
      </c>
      <c r="O171" s="281"/>
      <c r="P171" s="282">
        <f>SUM(Q165:Q169)+Q162</f>
        <v>0</v>
      </c>
      <c r="Q171" s="276">
        <f>SUM(Q165:Q170)</f>
        <v>0</v>
      </c>
      <c r="R171" s="281"/>
      <c r="S171" s="282">
        <f>SUM(T165:T169)+T162</f>
        <v>0</v>
      </c>
      <c r="T171" s="276">
        <f>SUM(T165:T170)</f>
        <v>0</v>
      </c>
      <c r="U171" s="281"/>
      <c r="V171" s="282">
        <f>SUM(W165:W169)+W162</f>
        <v>0</v>
      </c>
      <c r="W171" s="276">
        <f>SUM(W165:W170)</f>
        <v>0</v>
      </c>
      <c r="X171" s="124"/>
      <c r="Y171" s="283"/>
      <c r="Z171" s="284">
        <f>SUM(AA165:AA169)+AA162</f>
        <v>0</v>
      </c>
      <c r="AA171" s="279">
        <f>SUM(AA165:AA170)</f>
        <v>0</v>
      </c>
      <c r="AB171" s="108"/>
    </row>
    <row r="172" spans="2:28" s="109" customFormat="1" ht="18" customHeight="1" thickBot="1">
      <c r="B172" s="196"/>
      <c r="C172" s="234"/>
      <c r="D172" s="235"/>
      <c r="E172" s="236"/>
      <c r="F172" s="746" t="e">
        <f>H171/H162</f>
        <v>#DIV/0!</v>
      </c>
      <c r="G172" s="746"/>
      <c r="H172" s="746"/>
      <c r="I172" s="746" t="e">
        <f>K171/K162</f>
        <v>#DIV/0!</v>
      </c>
      <c r="J172" s="746"/>
      <c r="K172" s="746"/>
      <c r="L172" s="746" t="e">
        <f>N171/N162</f>
        <v>#DIV/0!</v>
      </c>
      <c r="M172" s="746"/>
      <c r="N172" s="746"/>
      <c r="O172" s="746" t="e">
        <f>Q171/Q162</f>
        <v>#DIV/0!</v>
      </c>
      <c r="P172" s="746"/>
      <c r="Q172" s="746"/>
      <c r="R172" s="746" t="e">
        <f>T171/T162</f>
        <v>#DIV/0!</v>
      </c>
      <c r="S172" s="746"/>
      <c r="T172" s="746"/>
      <c r="U172" s="746" t="e">
        <f>W171/W162</f>
        <v>#DIV/0!</v>
      </c>
      <c r="V172" s="746"/>
      <c r="W172" s="746"/>
      <c r="X172" s="237"/>
      <c r="Y172" s="693" t="e">
        <f>AA171/AA162</f>
        <v>#DIV/0!</v>
      </c>
      <c r="Z172" s="693"/>
      <c r="AA172" s="693"/>
      <c r="AB172" s="108"/>
    </row>
    <row r="173" spans="2:28" s="109" customFormat="1" ht="18" customHeight="1">
      <c r="B173" s="274" t="s">
        <v>4</v>
      </c>
      <c r="C173" s="688" t="s">
        <v>23</v>
      </c>
      <c r="D173" s="689"/>
      <c r="E173" s="273" t="s">
        <v>8</v>
      </c>
      <c r="F173" s="274"/>
      <c r="G173" s="275"/>
      <c r="H173" s="276" t="s">
        <v>50</v>
      </c>
      <c r="I173" s="274"/>
      <c r="J173" s="275"/>
      <c r="K173" s="276" t="s">
        <v>50</v>
      </c>
      <c r="L173" s="274"/>
      <c r="M173" s="275"/>
      <c r="N173" s="276" t="s">
        <v>50</v>
      </c>
      <c r="O173" s="274"/>
      <c r="P173" s="275"/>
      <c r="Q173" s="276" t="s">
        <v>50</v>
      </c>
      <c r="R173" s="274"/>
      <c r="S173" s="275"/>
      <c r="T173" s="276" t="s">
        <v>50</v>
      </c>
      <c r="U173" s="274"/>
      <c r="V173" s="275"/>
      <c r="W173" s="276" t="s">
        <v>50</v>
      </c>
      <c r="X173" s="124"/>
      <c r="Y173" s="266"/>
      <c r="Z173" s="268"/>
      <c r="AA173" s="269" t="s">
        <v>50</v>
      </c>
      <c r="AB173" s="108"/>
    </row>
    <row r="174" spans="2:28" s="109" customFormat="1" ht="18" customHeight="1">
      <c r="B174" s="197">
        <v>1</v>
      </c>
      <c r="C174" s="198" t="s">
        <v>54</v>
      </c>
      <c r="D174" s="199"/>
      <c r="E174" s="200">
        <f>'BDI-TRIBUTOS'!D20</f>
        <v>0.05</v>
      </c>
      <c r="F174" s="238"/>
      <c r="G174" s="239"/>
      <c r="H174" s="203">
        <f t="shared" ref="H174:H179" si="33">H$182*$E174</f>
        <v>0</v>
      </c>
      <c r="I174" s="238"/>
      <c r="J174" s="239"/>
      <c r="K174" s="203">
        <f t="shared" ref="K174:K179" si="34">K$182*$E174</f>
        <v>0</v>
      </c>
      <c r="L174" s="238"/>
      <c r="M174" s="239"/>
      <c r="N174" s="203">
        <f t="shared" ref="N174:N179" si="35">N$182*$E174</f>
        <v>0</v>
      </c>
      <c r="O174" s="238"/>
      <c r="P174" s="239"/>
      <c r="Q174" s="203">
        <f t="shared" ref="Q174:Q179" si="36">Q$182*$E174</f>
        <v>0</v>
      </c>
      <c r="R174" s="238"/>
      <c r="S174" s="239"/>
      <c r="T174" s="203">
        <f t="shared" ref="T174:T179" si="37">T$182*$E174</f>
        <v>0</v>
      </c>
      <c r="U174" s="238"/>
      <c r="V174" s="239"/>
      <c r="W174" s="203">
        <f t="shared" ref="W174:W179" si="38">W$182*$E174</f>
        <v>0</v>
      </c>
      <c r="X174" s="143"/>
      <c r="Y174" s="240"/>
      <c r="Z174" s="241"/>
      <c r="AA174" s="206">
        <f t="shared" ref="AA174:AA179" si="39">$AA$182*E174</f>
        <v>0</v>
      </c>
      <c r="AB174" s="108"/>
    </row>
    <row r="175" spans="2:28" s="109" customFormat="1" ht="18" customHeight="1">
      <c r="B175" s="207">
        <v>2</v>
      </c>
      <c r="C175" s="208" t="s">
        <v>24</v>
      </c>
      <c r="D175" s="209"/>
      <c r="E175" s="210">
        <f>'BDI-TRIBUTOS'!D21</f>
        <v>0.03</v>
      </c>
      <c r="F175" s="242"/>
      <c r="G175" s="243"/>
      <c r="H175" s="213">
        <f t="shared" si="33"/>
        <v>0</v>
      </c>
      <c r="I175" s="242"/>
      <c r="J175" s="243"/>
      <c r="K175" s="213">
        <f t="shared" si="34"/>
        <v>0</v>
      </c>
      <c r="L175" s="242"/>
      <c r="M175" s="243"/>
      <c r="N175" s="213">
        <f t="shared" si="35"/>
        <v>0</v>
      </c>
      <c r="O175" s="242"/>
      <c r="P175" s="243"/>
      <c r="Q175" s="213">
        <f t="shared" si="36"/>
        <v>0</v>
      </c>
      <c r="R175" s="242"/>
      <c r="S175" s="243"/>
      <c r="T175" s="213">
        <f t="shared" si="37"/>
        <v>0</v>
      </c>
      <c r="U175" s="242"/>
      <c r="V175" s="243"/>
      <c r="W175" s="213">
        <f t="shared" si="38"/>
        <v>0</v>
      </c>
      <c r="X175" s="143"/>
      <c r="Y175" s="244"/>
      <c r="Z175" s="245"/>
      <c r="AA175" s="216">
        <f t="shared" si="39"/>
        <v>0</v>
      </c>
      <c r="AB175" s="108"/>
    </row>
    <row r="176" spans="2:28" s="109" customFormat="1" ht="18" customHeight="1">
      <c r="B176" s="207">
        <v>3</v>
      </c>
      <c r="C176" s="208" t="s">
        <v>25</v>
      </c>
      <c r="D176" s="209"/>
      <c r="E176" s="210">
        <f>'BDI-TRIBUTOS'!D22</f>
        <v>6.4999999999999997E-3</v>
      </c>
      <c r="F176" s="242"/>
      <c r="G176" s="243"/>
      <c r="H176" s="213">
        <f t="shared" si="33"/>
        <v>0</v>
      </c>
      <c r="I176" s="242"/>
      <c r="J176" s="243"/>
      <c r="K176" s="213">
        <f t="shared" si="34"/>
        <v>0</v>
      </c>
      <c r="L176" s="242"/>
      <c r="M176" s="243"/>
      <c r="N176" s="213">
        <f t="shared" si="35"/>
        <v>0</v>
      </c>
      <c r="O176" s="242"/>
      <c r="P176" s="243"/>
      <c r="Q176" s="213">
        <f t="shared" si="36"/>
        <v>0</v>
      </c>
      <c r="R176" s="242"/>
      <c r="S176" s="243"/>
      <c r="T176" s="213">
        <f t="shared" si="37"/>
        <v>0</v>
      </c>
      <c r="U176" s="242"/>
      <c r="V176" s="243"/>
      <c r="W176" s="213">
        <f t="shared" si="38"/>
        <v>0</v>
      </c>
      <c r="X176" s="143"/>
      <c r="Y176" s="244"/>
      <c r="Z176" s="245"/>
      <c r="AA176" s="216">
        <f t="shared" si="39"/>
        <v>0</v>
      </c>
      <c r="AB176" s="108"/>
    </row>
    <row r="177" spans="2:28" s="109" customFormat="1" ht="18" customHeight="1">
      <c r="B177" s="207">
        <v>4</v>
      </c>
      <c r="C177" s="208" t="s">
        <v>26</v>
      </c>
      <c r="D177" s="209"/>
      <c r="E177" s="210">
        <f>'BDI-TRIBUTOS'!D23</f>
        <v>2.8799999999999999E-2</v>
      </c>
      <c r="F177" s="242"/>
      <c r="G177" s="243"/>
      <c r="H177" s="213">
        <f t="shared" si="33"/>
        <v>0</v>
      </c>
      <c r="I177" s="242"/>
      <c r="J177" s="243"/>
      <c r="K177" s="213">
        <f t="shared" si="34"/>
        <v>0</v>
      </c>
      <c r="L177" s="242"/>
      <c r="M177" s="243"/>
      <c r="N177" s="213">
        <f t="shared" si="35"/>
        <v>0</v>
      </c>
      <c r="O177" s="242"/>
      <c r="P177" s="243"/>
      <c r="Q177" s="213">
        <f t="shared" si="36"/>
        <v>0</v>
      </c>
      <c r="R177" s="242"/>
      <c r="S177" s="243"/>
      <c r="T177" s="213">
        <f t="shared" si="37"/>
        <v>0</v>
      </c>
      <c r="U177" s="242"/>
      <c r="V177" s="243"/>
      <c r="W177" s="213">
        <f t="shared" si="38"/>
        <v>0</v>
      </c>
      <c r="X177" s="143"/>
      <c r="Y177" s="244"/>
      <c r="Z177" s="245"/>
      <c r="AA177" s="216">
        <f t="shared" si="39"/>
        <v>0</v>
      </c>
      <c r="AB177" s="108"/>
    </row>
    <row r="178" spans="2:28" s="109" customFormat="1" ht="18" customHeight="1">
      <c r="B178" s="207">
        <v>5</v>
      </c>
      <c r="C178" s="208" t="s">
        <v>27</v>
      </c>
      <c r="D178" s="209"/>
      <c r="E178" s="210">
        <f>'BDI-TRIBUTOS'!D24</f>
        <v>4.8000000000000001E-2</v>
      </c>
      <c r="F178" s="242"/>
      <c r="G178" s="243"/>
      <c r="H178" s="213">
        <f t="shared" si="33"/>
        <v>0</v>
      </c>
      <c r="I178" s="242"/>
      <c r="J178" s="243"/>
      <c r="K178" s="213">
        <f t="shared" si="34"/>
        <v>0</v>
      </c>
      <c r="L178" s="242"/>
      <c r="M178" s="243"/>
      <c r="N178" s="213">
        <f t="shared" si="35"/>
        <v>0</v>
      </c>
      <c r="O178" s="242"/>
      <c r="P178" s="243"/>
      <c r="Q178" s="213">
        <f t="shared" si="36"/>
        <v>0</v>
      </c>
      <c r="R178" s="242"/>
      <c r="S178" s="243"/>
      <c r="T178" s="213">
        <f t="shared" si="37"/>
        <v>0</v>
      </c>
      <c r="U178" s="242"/>
      <c r="V178" s="243"/>
      <c r="W178" s="213">
        <f t="shared" si="38"/>
        <v>0</v>
      </c>
      <c r="X178" s="143"/>
      <c r="Y178" s="244"/>
      <c r="Z178" s="245"/>
      <c r="AA178" s="224">
        <f t="shared" si="39"/>
        <v>0</v>
      </c>
      <c r="AB178" s="108"/>
    </row>
    <row r="179" spans="2:28" s="109" customFormat="1" ht="18" customHeight="1">
      <c r="B179" s="207">
        <v>6</v>
      </c>
      <c r="C179" s="208" t="s">
        <v>138</v>
      </c>
      <c r="D179" s="209"/>
      <c r="E179" s="210">
        <f>'BDI-TRIBUTOS'!D25</f>
        <v>3.1800000000000002E-2</v>
      </c>
      <c r="F179" s="242"/>
      <c r="G179" s="243"/>
      <c r="H179" s="213">
        <f t="shared" si="33"/>
        <v>0</v>
      </c>
      <c r="I179" s="242"/>
      <c r="J179" s="243"/>
      <c r="K179" s="213">
        <f t="shared" si="34"/>
        <v>0</v>
      </c>
      <c r="L179" s="242"/>
      <c r="M179" s="243"/>
      <c r="N179" s="213">
        <f t="shared" si="35"/>
        <v>0</v>
      </c>
      <c r="O179" s="242"/>
      <c r="P179" s="243"/>
      <c r="Q179" s="213">
        <f t="shared" si="36"/>
        <v>0</v>
      </c>
      <c r="R179" s="242"/>
      <c r="S179" s="243"/>
      <c r="T179" s="213">
        <f t="shared" si="37"/>
        <v>0</v>
      </c>
      <c r="U179" s="242"/>
      <c r="V179" s="243"/>
      <c r="W179" s="213">
        <f t="shared" si="38"/>
        <v>0</v>
      </c>
      <c r="X179" s="143"/>
      <c r="Y179" s="244"/>
      <c r="Z179" s="245"/>
      <c r="AA179" s="224">
        <f t="shared" si="39"/>
        <v>0</v>
      </c>
      <c r="AB179" s="108"/>
    </row>
    <row r="180" spans="2:28" s="109" customFormat="1" ht="18" customHeight="1">
      <c r="B180" s="246">
        <v>7</v>
      </c>
      <c r="C180" s="225" t="s">
        <v>56</v>
      </c>
      <c r="D180" s="226"/>
      <c r="E180" s="210">
        <f>'BDI-TRIBUTOS'!D26</f>
        <v>0</v>
      </c>
      <c r="F180" s="247"/>
      <c r="G180" s="248"/>
      <c r="H180" s="230"/>
      <c r="I180" s="247"/>
      <c r="J180" s="248"/>
      <c r="K180" s="230"/>
      <c r="L180" s="247"/>
      <c r="M180" s="248"/>
      <c r="N180" s="230"/>
      <c r="O180" s="247"/>
      <c r="P180" s="248"/>
      <c r="Q180" s="230"/>
      <c r="R180" s="247"/>
      <c r="S180" s="248"/>
      <c r="T180" s="230"/>
      <c r="U180" s="247"/>
      <c r="V180" s="248"/>
      <c r="W180" s="230"/>
      <c r="X180" s="143"/>
      <c r="Y180" s="249"/>
      <c r="Z180" s="250"/>
      <c r="AA180" s="224"/>
      <c r="AB180" s="108"/>
    </row>
    <row r="181" spans="2:28" s="109" customFormat="1" ht="18" customHeight="1">
      <c r="B181" s="270"/>
      <c r="C181" s="271" t="s">
        <v>55</v>
      </c>
      <c r="D181" s="272"/>
      <c r="E181" s="280">
        <f>SUM(E174:E180)</f>
        <v>0.1951</v>
      </c>
      <c r="F181" s="281"/>
      <c r="G181" s="285"/>
      <c r="H181" s="276">
        <f>H182*$E$181</f>
        <v>0</v>
      </c>
      <c r="I181" s="281"/>
      <c r="J181" s="285"/>
      <c r="K181" s="276">
        <f>K182*$E$181</f>
        <v>0</v>
      </c>
      <c r="L181" s="281"/>
      <c r="M181" s="285"/>
      <c r="N181" s="276">
        <f>N182*$E$181</f>
        <v>0</v>
      </c>
      <c r="O181" s="281"/>
      <c r="P181" s="285"/>
      <c r="Q181" s="276">
        <f>Q182*$E$181</f>
        <v>0</v>
      </c>
      <c r="R181" s="281"/>
      <c r="S181" s="285"/>
      <c r="T181" s="276">
        <f>T182*$E$181</f>
        <v>0</v>
      </c>
      <c r="U181" s="281"/>
      <c r="V181" s="285"/>
      <c r="W181" s="276">
        <f>W182*$E$181</f>
        <v>0</v>
      </c>
      <c r="X181" s="124"/>
      <c r="Y181" s="286"/>
      <c r="Z181" s="287"/>
      <c r="AA181" s="276">
        <f>AA182*$E$181</f>
        <v>0</v>
      </c>
      <c r="AB181" s="108"/>
    </row>
    <row r="182" spans="2:28" s="109" customFormat="1" ht="27" customHeight="1" thickBot="1">
      <c r="B182" s="288"/>
      <c r="C182" s="690" t="s">
        <v>121</v>
      </c>
      <c r="D182" s="690"/>
      <c r="E182" s="690"/>
      <c r="F182" s="289">
        <f>ROUND(H182,2)</f>
        <v>0</v>
      </c>
      <c r="G182" s="290"/>
      <c r="H182" s="291">
        <f>G171/(1-$E$181-$E$170)</f>
        <v>0</v>
      </c>
      <c r="I182" s="289">
        <f>ROUND(K182,2)</f>
        <v>0</v>
      </c>
      <c r="J182" s="290"/>
      <c r="K182" s="291">
        <f>J171/(1-$E$181-$E$170)</f>
        <v>0</v>
      </c>
      <c r="L182" s="289">
        <f>ROUND(N182,2)</f>
        <v>0</v>
      </c>
      <c r="M182" s="290"/>
      <c r="N182" s="291">
        <f>M171/(1-$E$181-$E$170)</f>
        <v>0</v>
      </c>
      <c r="O182" s="289">
        <f>ROUND(Q182,2)</f>
        <v>0</v>
      </c>
      <c r="P182" s="290"/>
      <c r="Q182" s="291">
        <f>P171/(1-$E$181-$E$170)</f>
        <v>0</v>
      </c>
      <c r="R182" s="289">
        <f>ROUND(T182,2)</f>
        <v>0</v>
      </c>
      <c r="S182" s="290"/>
      <c r="T182" s="291">
        <f>S171/(1-$E$181-$E$170)</f>
        <v>0</v>
      </c>
      <c r="U182" s="289">
        <f>ROUND(W182,2)</f>
        <v>0</v>
      </c>
      <c r="V182" s="290"/>
      <c r="W182" s="291">
        <f>V171/(1-$E$181-$E$170)</f>
        <v>0</v>
      </c>
      <c r="X182" s="292"/>
      <c r="Y182" s="293"/>
      <c r="Z182" s="294"/>
      <c r="AA182" s="295">
        <f>Z171/(1-$E$181-$E$170)</f>
        <v>0</v>
      </c>
      <c r="AB182" s="108"/>
    </row>
    <row r="183" spans="2:28" s="251" customFormat="1" ht="20.25" customHeight="1">
      <c r="C183" s="747"/>
      <c r="D183" s="747"/>
      <c r="E183" s="747"/>
      <c r="F183" s="252"/>
      <c r="G183" s="252"/>
      <c r="H183" s="253" t="e">
        <f>H182/H162</f>
        <v>#DIV/0!</v>
      </c>
      <c r="I183" s="252"/>
      <c r="J183" s="252"/>
      <c r="K183" s="253" t="e">
        <f>K182/K162</f>
        <v>#DIV/0!</v>
      </c>
      <c r="L183" s="252"/>
      <c r="M183" s="252"/>
      <c r="N183" s="253" t="e">
        <f>N182/N162</f>
        <v>#DIV/0!</v>
      </c>
      <c r="O183" s="252"/>
      <c r="P183" s="252"/>
      <c r="Q183" s="253" t="e">
        <f>Q182/Q162</f>
        <v>#DIV/0!</v>
      </c>
      <c r="R183" s="252"/>
      <c r="S183" s="252"/>
      <c r="T183" s="253" t="e">
        <f>T182/T162</f>
        <v>#DIV/0!</v>
      </c>
      <c r="U183" s="252"/>
      <c r="V183" s="252"/>
      <c r="W183" s="253" t="e">
        <f>W182/W162</f>
        <v>#DIV/0!</v>
      </c>
      <c r="X183" s="253"/>
      <c r="Y183" s="253"/>
      <c r="Z183" s="253"/>
      <c r="AA183" s="253" t="e">
        <f>AA182/AA162</f>
        <v>#DIV/0!</v>
      </c>
      <c r="AB183" s="254"/>
    </row>
    <row r="184" spans="2:28" s="255" customFormat="1" ht="18" customHeight="1">
      <c r="Y184" s="256"/>
      <c r="Z184" s="256"/>
      <c r="AA184" s="256"/>
      <c r="AB184" s="257"/>
    </row>
    <row r="185" spans="2:28" s="255" customFormat="1" ht="18" customHeight="1">
      <c r="Y185" s="256"/>
      <c r="Z185" s="256"/>
      <c r="AA185" s="256"/>
      <c r="AB185" s="257"/>
    </row>
    <row r="186" spans="2:28" s="255" customFormat="1" ht="18" customHeight="1">
      <c r="Y186" s="256"/>
      <c r="Z186" s="256"/>
      <c r="AA186" s="256"/>
      <c r="AB186" s="257"/>
    </row>
    <row r="187" spans="2:28" s="255" customFormat="1" ht="18" customHeight="1">
      <c r="Y187" s="256"/>
      <c r="Z187" s="256"/>
      <c r="AA187" s="256"/>
      <c r="AB187" s="257"/>
    </row>
    <row r="188" spans="2:28" s="255" customFormat="1" ht="18" customHeight="1">
      <c r="Y188" s="256"/>
      <c r="Z188" s="256"/>
      <c r="AA188" s="256"/>
      <c r="AB188" s="257"/>
    </row>
  </sheetData>
  <sheetProtection selectLockedCells="1" selectUnlockedCells="1"/>
  <mergeCells count="61">
    <mergeCell ref="M1:N1"/>
    <mergeCell ref="P1:Q1"/>
    <mergeCell ref="B3:E3"/>
    <mergeCell ref="Y3:Z3"/>
    <mergeCell ref="B5:E5"/>
    <mergeCell ref="Y5:AA5"/>
    <mergeCell ref="S1:T1"/>
    <mergeCell ref="V1:W1"/>
    <mergeCell ref="Y1:AA1"/>
    <mergeCell ref="B2:E2"/>
    <mergeCell ref="F2:H2"/>
    <mergeCell ref="I2:K2"/>
    <mergeCell ref="L2:N2"/>
    <mergeCell ref="O2:Q2"/>
    <mergeCell ref="R2:T2"/>
    <mergeCell ref="U2:W2"/>
    <mergeCell ref="Y2:AA2"/>
    <mergeCell ref="B1:C1"/>
    <mergeCell ref="G1:H1"/>
    <mergeCell ref="J1:K1"/>
    <mergeCell ref="B23:E23"/>
    <mergeCell ref="B80:E80"/>
    <mergeCell ref="B81:E81"/>
    <mergeCell ref="F81:H81"/>
    <mergeCell ref="I81:K81"/>
    <mergeCell ref="B24:E24"/>
    <mergeCell ref="R133:T133"/>
    <mergeCell ref="O81:Q81"/>
    <mergeCell ref="U133:W133"/>
    <mergeCell ref="Y133:AA133"/>
    <mergeCell ref="B155:E155"/>
    <mergeCell ref="B133:E133"/>
    <mergeCell ref="F133:H133"/>
    <mergeCell ref="I133:K133"/>
    <mergeCell ref="L133:N133"/>
    <mergeCell ref="O133:Q133"/>
    <mergeCell ref="L81:N81"/>
    <mergeCell ref="R81:T81"/>
    <mergeCell ref="U81:W81"/>
    <mergeCell ref="Y81:AA81"/>
    <mergeCell ref="B132:E132"/>
    <mergeCell ref="C173:D173"/>
    <mergeCell ref="C182:E182"/>
    <mergeCell ref="C183:E183"/>
    <mergeCell ref="C157:D157"/>
    <mergeCell ref="C163:E163"/>
    <mergeCell ref="U163:W163"/>
    <mergeCell ref="Y163:AA163"/>
    <mergeCell ref="C164:D164"/>
    <mergeCell ref="F172:H172"/>
    <mergeCell ref="I172:K172"/>
    <mergeCell ref="L172:N172"/>
    <mergeCell ref="O172:Q172"/>
    <mergeCell ref="R172:T172"/>
    <mergeCell ref="U172:W172"/>
    <mergeCell ref="Y172:AA172"/>
    <mergeCell ref="O163:Q163"/>
    <mergeCell ref="R163:T163"/>
    <mergeCell ref="F163:H163"/>
    <mergeCell ref="I163:K163"/>
    <mergeCell ref="L163:N163"/>
  </mergeCells>
  <conditionalFormatting sqref="AB135:AB155 AB7:AB24 AB83:AB133 AB26:AB81">
    <cfRule type="dataBar" priority="1">
      <dataBar>
        <cfvo type="min"/>
        <cfvo type="max"/>
        <color rgb="FFFF555A"/>
      </dataBar>
      <extLst>
        <ext xmlns:x14="http://schemas.microsoft.com/office/spreadsheetml/2009/9/main" uri="{B025F937-C7B1-47D3-B67F-A62EFF666E3E}">
          <x14:id>{13D6A758-4F5E-426F-832A-D9C91B300896}</x14:id>
        </ext>
      </extLst>
    </cfRule>
  </conditionalFormatting>
  <printOptions horizontalCentered="1"/>
  <pageMargins left="0.39000000000000007" right="0.39000000000000007" top="0.39000000000000007" bottom="0.39000000000000007" header="0.51" footer="0.51"/>
  <pageSetup paperSize="9"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13D6A758-4F5E-426F-832A-D9C91B300896}">
            <x14:dataBar minLength="0" maxLength="100" border="1" negativeBarBorderColorSameAsPositive="0">
              <x14:cfvo type="autoMin"/>
              <x14:cfvo type="autoMax"/>
              <x14:borderColor rgb="FFFF555A"/>
              <x14:negativeFillColor rgb="FFFF0000"/>
              <x14:negativeBorderColor rgb="FFFF0000"/>
              <x14:axisColor rgb="FF000000"/>
            </x14:dataBar>
          </x14:cfRule>
          <xm:sqref>AB135:AB155 AB7:AB24 AB83:AB133 AB26:AB81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423E-A1A1-4B45-A52B-AE2D76DD477E}">
  <sheetPr>
    <pageSetUpPr fitToPage="1"/>
  </sheetPr>
  <dimension ref="B1:Y188"/>
  <sheetViews>
    <sheetView showGridLines="0" zoomScale="80" zoomScaleNormal="80" zoomScaleSheetLayoutView="80" zoomScalePageLayoutView="125" workbookViewId="0">
      <pane xSplit="5" ySplit="4" topLeftCell="F5" activePane="bottomRight" state="frozen"/>
      <selection sqref="A1:A6"/>
      <selection pane="topRight" sqref="A1:A6"/>
      <selection pane="bottomLeft" sqref="A1:A6"/>
      <selection pane="bottomRight" sqref="A1:A6"/>
    </sheetView>
  </sheetViews>
  <sheetFormatPr defaultColWidth="8.7109375" defaultRowHeight="18" customHeight="1" outlineLevelRow="1"/>
  <cols>
    <col min="1" max="1" width="0.85546875" style="111" customWidth="1"/>
    <col min="2" max="2" width="8.140625" style="111" customWidth="1"/>
    <col min="3" max="3" width="42.28515625" style="111" customWidth="1"/>
    <col min="4" max="4" width="11" style="111" customWidth="1"/>
    <col min="5" max="5" width="13.85546875" style="111" customWidth="1"/>
    <col min="6" max="6" width="13" style="111" bestFit="1" customWidth="1"/>
    <col min="7" max="7" width="10.7109375" style="111" customWidth="1"/>
    <col min="8" max="8" width="13.7109375" style="111" bestFit="1" customWidth="1"/>
    <col min="9" max="9" width="12" style="111" customWidth="1"/>
    <col min="10" max="10" width="10.7109375" style="111" customWidth="1"/>
    <col min="11" max="11" width="14" style="111" bestFit="1" customWidth="1"/>
    <col min="12" max="12" width="12" style="111" customWidth="1"/>
    <col min="13" max="13" width="10.7109375" style="111" customWidth="1"/>
    <col min="14" max="14" width="14" style="111" bestFit="1" customWidth="1"/>
    <col min="15" max="15" width="12" style="111" customWidth="1"/>
    <col min="16" max="16" width="10.7109375" style="111" customWidth="1"/>
    <col min="17" max="17" width="14" style="111" bestFit="1" customWidth="1"/>
    <col min="18" max="18" width="5.85546875" style="111" customWidth="1"/>
    <col min="19" max="20" width="15.5703125" style="256" customWidth="1"/>
    <col min="21" max="21" width="20" style="256" customWidth="1"/>
    <col min="22" max="22" width="16" style="108" customWidth="1"/>
    <col min="23" max="24" width="8.7109375" style="111"/>
    <col min="25" max="25" width="14.7109375" style="111" customWidth="1"/>
    <col min="26" max="156" width="8.7109375" style="111"/>
    <col min="157" max="157" width="3.42578125" style="111" customWidth="1"/>
    <col min="158" max="158" width="7" style="111" customWidth="1"/>
    <col min="159" max="159" width="25.42578125" style="111" customWidth="1"/>
    <col min="160" max="160" width="12" style="111" customWidth="1"/>
    <col min="161" max="161" width="12.7109375" style="111" bestFit="1" customWidth="1"/>
    <col min="162" max="162" width="7.42578125" style="111" bestFit="1" customWidth="1"/>
    <col min="163" max="163" width="7.7109375" style="111" bestFit="1" customWidth="1"/>
    <col min="164" max="164" width="15" style="111" customWidth="1"/>
    <col min="165" max="165" width="7.42578125" style="111" bestFit="1" customWidth="1"/>
    <col min="166" max="166" width="7.7109375" style="111" bestFit="1" customWidth="1"/>
    <col min="167" max="167" width="15" style="111" bestFit="1" customWidth="1"/>
    <col min="168" max="168" width="7.42578125" style="111" bestFit="1" customWidth="1"/>
    <col min="169" max="169" width="7.7109375" style="111" bestFit="1" customWidth="1"/>
    <col min="170" max="170" width="9.42578125" style="111" bestFit="1" customWidth="1"/>
    <col min="171" max="171" width="8" style="111" bestFit="1" customWidth="1"/>
    <col min="172" max="172" width="7.7109375" style="111" bestFit="1" customWidth="1"/>
    <col min="173" max="173" width="10.42578125" style="111" bestFit="1" customWidth="1"/>
    <col min="174" max="174" width="8" style="111" bestFit="1" customWidth="1"/>
    <col min="175" max="175" width="7.7109375" style="111" bestFit="1" customWidth="1"/>
    <col min="176" max="176" width="10.42578125" style="111" bestFit="1" customWidth="1"/>
    <col min="177" max="177" width="7.42578125" style="111" bestFit="1" customWidth="1"/>
    <col min="178" max="178" width="7.7109375" style="111" bestFit="1" customWidth="1"/>
    <col min="179" max="179" width="10.42578125" style="111" bestFit="1" customWidth="1"/>
    <col min="180" max="180" width="8" style="111" bestFit="1" customWidth="1"/>
    <col min="181" max="181" width="7.7109375" style="111" bestFit="1" customWidth="1"/>
    <col min="182" max="182" width="10.42578125" style="111" bestFit="1" customWidth="1"/>
    <col min="183" max="183" width="7.42578125" style="111" bestFit="1" customWidth="1"/>
    <col min="184" max="184" width="7.7109375" style="111" bestFit="1" customWidth="1"/>
    <col min="185" max="185" width="10.42578125" style="111" bestFit="1" customWidth="1"/>
    <col min="186" max="186" width="7.42578125" style="111" bestFit="1" customWidth="1"/>
    <col min="187" max="187" width="7.7109375" style="111" bestFit="1" customWidth="1"/>
    <col min="188" max="188" width="10.42578125" style="111" bestFit="1" customWidth="1"/>
    <col min="189" max="189" width="5.140625" style="111" customWidth="1"/>
    <col min="190" max="412" width="8.7109375" style="111"/>
    <col min="413" max="413" width="3.42578125" style="111" customWidth="1"/>
    <col min="414" max="414" width="7" style="111" customWidth="1"/>
    <col min="415" max="415" width="25.42578125" style="111" customWidth="1"/>
    <col min="416" max="416" width="12" style="111" customWidth="1"/>
    <col min="417" max="417" width="12.7109375" style="111" bestFit="1" customWidth="1"/>
    <col min="418" max="418" width="7.42578125" style="111" bestFit="1" customWidth="1"/>
    <col min="419" max="419" width="7.7109375" style="111" bestFit="1" customWidth="1"/>
    <col min="420" max="420" width="15" style="111" customWidth="1"/>
    <col min="421" max="421" width="7.42578125" style="111" bestFit="1" customWidth="1"/>
    <col min="422" max="422" width="7.7109375" style="111" bestFit="1" customWidth="1"/>
    <col min="423" max="423" width="15" style="111" bestFit="1" customWidth="1"/>
    <col min="424" max="424" width="7.42578125" style="111" bestFit="1" customWidth="1"/>
    <col min="425" max="425" width="7.7109375" style="111" bestFit="1" customWidth="1"/>
    <col min="426" max="426" width="9.42578125" style="111" bestFit="1" customWidth="1"/>
    <col min="427" max="427" width="8" style="111" bestFit="1" customWidth="1"/>
    <col min="428" max="428" width="7.7109375" style="111" bestFit="1" customWidth="1"/>
    <col min="429" max="429" width="10.42578125" style="111" bestFit="1" customWidth="1"/>
    <col min="430" max="430" width="8" style="111" bestFit="1" customWidth="1"/>
    <col min="431" max="431" width="7.7109375" style="111" bestFit="1" customWidth="1"/>
    <col min="432" max="432" width="10.42578125" style="111" bestFit="1" customWidth="1"/>
    <col min="433" max="433" width="7.42578125" style="111" bestFit="1" customWidth="1"/>
    <col min="434" max="434" width="7.7109375" style="111" bestFit="1" customWidth="1"/>
    <col min="435" max="435" width="10.42578125" style="111" bestFit="1" customWidth="1"/>
    <col min="436" max="436" width="8" style="111" bestFit="1" customWidth="1"/>
    <col min="437" max="437" width="7.7109375" style="111" bestFit="1" customWidth="1"/>
    <col min="438" max="438" width="10.42578125" style="111" bestFit="1" customWidth="1"/>
    <col min="439" max="439" width="7.42578125" style="111" bestFit="1" customWidth="1"/>
    <col min="440" max="440" width="7.7109375" style="111" bestFit="1" customWidth="1"/>
    <col min="441" max="441" width="10.42578125" style="111" bestFit="1" customWidth="1"/>
    <col min="442" max="442" width="7.42578125" style="111" bestFit="1" customWidth="1"/>
    <col min="443" max="443" width="7.7109375" style="111" bestFit="1" customWidth="1"/>
    <col min="444" max="444" width="10.42578125" style="111" bestFit="1" customWidth="1"/>
    <col min="445" max="445" width="5.140625" style="111" customWidth="1"/>
    <col min="446" max="668" width="8.7109375" style="111"/>
    <col min="669" max="669" width="3.42578125" style="111" customWidth="1"/>
    <col min="670" max="670" width="7" style="111" customWidth="1"/>
    <col min="671" max="671" width="25.42578125" style="111" customWidth="1"/>
    <col min="672" max="672" width="12" style="111" customWidth="1"/>
    <col min="673" max="673" width="12.7109375" style="111" bestFit="1" customWidth="1"/>
    <col min="674" max="674" width="7.42578125" style="111" bestFit="1" customWidth="1"/>
    <col min="675" max="675" width="7.7109375" style="111" bestFit="1" customWidth="1"/>
    <col min="676" max="676" width="15" style="111" customWidth="1"/>
    <col min="677" max="677" width="7.42578125" style="111" bestFit="1" customWidth="1"/>
    <col min="678" max="678" width="7.7109375" style="111" bestFit="1" customWidth="1"/>
    <col min="679" max="679" width="15" style="111" bestFit="1" customWidth="1"/>
    <col min="680" max="680" width="7.42578125" style="111" bestFit="1" customWidth="1"/>
    <col min="681" max="681" width="7.7109375" style="111" bestFit="1" customWidth="1"/>
    <col min="682" max="682" width="9.42578125" style="111" bestFit="1" customWidth="1"/>
    <col min="683" max="683" width="8" style="111" bestFit="1" customWidth="1"/>
    <col min="684" max="684" width="7.7109375" style="111" bestFit="1" customWidth="1"/>
    <col min="685" max="685" width="10.42578125" style="111" bestFit="1" customWidth="1"/>
    <col min="686" max="686" width="8" style="111" bestFit="1" customWidth="1"/>
    <col min="687" max="687" width="7.7109375" style="111" bestFit="1" customWidth="1"/>
    <col min="688" max="688" width="10.42578125" style="111" bestFit="1" customWidth="1"/>
    <col min="689" max="689" width="7.42578125" style="111" bestFit="1" customWidth="1"/>
    <col min="690" max="690" width="7.7109375" style="111" bestFit="1" customWidth="1"/>
    <col min="691" max="691" width="10.42578125" style="111" bestFit="1" customWidth="1"/>
    <col min="692" max="692" width="8" style="111" bestFit="1" customWidth="1"/>
    <col min="693" max="693" width="7.7109375" style="111" bestFit="1" customWidth="1"/>
    <col min="694" max="694" width="10.42578125" style="111" bestFit="1" customWidth="1"/>
    <col min="695" max="695" width="7.42578125" style="111" bestFit="1" customWidth="1"/>
    <col min="696" max="696" width="7.7109375" style="111" bestFit="1" customWidth="1"/>
    <col min="697" max="697" width="10.42578125" style="111" bestFit="1" customWidth="1"/>
    <col min="698" max="698" width="7.42578125" style="111" bestFit="1" customWidth="1"/>
    <col min="699" max="699" width="7.7109375" style="111" bestFit="1" customWidth="1"/>
    <col min="700" max="700" width="10.42578125" style="111" bestFit="1" customWidth="1"/>
    <col min="701" max="701" width="5.140625" style="111" customWidth="1"/>
    <col min="702" max="924" width="8.7109375" style="111"/>
    <col min="925" max="925" width="3.42578125" style="111" customWidth="1"/>
    <col min="926" max="926" width="7" style="111" customWidth="1"/>
    <col min="927" max="927" width="25.42578125" style="111" customWidth="1"/>
    <col min="928" max="928" width="12" style="111" customWidth="1"/>
    <col min="929" max="929" width="12.7109375" style="111" bestFit="1" customWidth="1"/>
    <col min="930" max="930" width="7.42578125" style="111" bestFit="1" customWidth="1"/>
    <col min="931" max="931" width="7.7109375" style="111" bestFit="1" customWidth="1"/>
    <col min="932" max="932" width="15" style="111" customWidth="1"/>
    <col min="933" max="933" width="7.42578125" style="111" bestFit="1" customWidth="1"/>
    <col min="934" max="934" width="7.7109375" style="111" bestFit="1" customWidth="1"/>
    <col min="935" max="935" width="15" style="111" bestFit="1" customWidth="1"/>
    <col min="936" max="936" width="7.42578125" style="111" bestFit="1" customWidth="1"/>
    <col min="937" max="937" width="7.7109375" style="111" bestFit="1" customWidth="1"/>
    <col min="938" max="938" width="9.42578125" style="111" bestFit="1" customWidth="1"/>
    <col min="939" max="939" width="8" style="111" bestFit="1" customWidth="1"/>
    <col min="940" max="940" width="7.7109375" style="111" bestFit="1" customWidth="1"/>
    <col min="941" max="941" width="10.42578125" style="111" bestFit="1" customWidth="1"/>
    <col min="942" max="942" width="8" style="111" bestFit="1" customWidth="1"/>
    <col min="943" max="943" width="7.7109375" style="111" bestFit="1" customWidth="1"/>
    <col min="944" max="944" width="10.42578125" style="111" bestFit="1" customWidth="1"/>
    <col min="945" max="945" width="7.42578125" style="111" bestFit="1" customWidth="1"/>
    <col min="946" max="946" width="7.7109375" style="111" bestFit="1" customWidth="1"/>
    <col min="947" max="947" width="10.42578125" style="111" bestFit="1" customWidth="1"/>
    <col min="948" max="948" width="8" style="111" bestFit="1" customWidth="1"/>
    <col min="949" max="949" width="7.7109375" style="111" bestFit="1" customWidth="1"/>
    <col min="950" max="950" width="10.42578125" style="111" bestFit="1" customWidth="1"/>
    <col min="951" max="951" width="7.42578125" style="111" bestFit="1" customWidth="1"/>
    <col min="952" max="952" width="7.7109375" style="111" bestFit="1" customWidth="1"/>
    <col min="953" max="953" width="10.42578125" style="111" bestFit="1" customWidth="1"/>
    <col min="954" max="954" width="7.42578125" style="111" bestFit="1" customWidth="1"/>
    <col min="955" max="955" width="7.7109375" style="111" bestFit="1" customWidth="1"/>
    <col min="956" max="956" width="10.42578125" style="111" bestFit="1" customWidth="1"/>
    <col min="957" max="957" width="5.140625" style="111" customWidth="1"/>
    <col min="958" max="1180" width="8.7109375" style="111"/>
    <col min="1181" max="1181" width="3.42578125" style="111" customWidth="1"/>
    <col min="1182" max="1182" width="7" style="111" customWidth="1"/>
    <col min="1183" max="1183" width="25.42578125" style="111" customWidth="1"/>
    <col min="1184" max="1184" width="12" style="111" customWidth="1"/>
    <col min="1185" max="1185" width="12.7109375" style="111" bestFit="1" customWidth="1"/>
    <col min="1186" max="1186" width="7.42578125" style="111" bestFit="1" customWidth="1"/>
    <col min="1187" max="1187" width="7.7109375" style="111" bestFit="1" customWidth="1"/>
    <col min="1188" max="1188" width="15" style="111" customWidth="1"/>
    <col min="1189" max="1189" width="7.42578125" style="111" bestFit="1" customWidth="1"/>
    <col min="1190" max="1190" width="7.7109375" style="111" bestFit="1" customWidth="1"/>
    <col min="1191" max="1191" width="15" style="111" bestFit="1" customWidth="1"/>
    <col min="1192" max="1192" width="7.42578125" style="111" bestFit="1" customWidth="1"/>
    <col min="1193" max="1193" width="7.7109375" style="111" bestFit="1" customWidth="1"/>
    <col min="1194" max="1194" width="9.42578125" style="111" bestFit="1" customWidth="1"/>
    <col min="1195" max="1195" width="8" style="111" bestFit="1" customWidth="1"/>
    <col min="1196" max="1196" width="7.7109375" style="111" bestFit="1" customWidth="1"/>
    <col min="1197" max="1197" width="10.42578125" style="111" bestFit="1" customWidth="1"/>
    <col min="1198" max="1198" width="8" style="111" bestFit="1" customWidth="1"/>
    <col min="1199" max="1199" width="7.7109375" style="111" bestFit="1" customWidth="1"/>
    <col min="1200" max="1200" width="10.42578125" style="111" bestFit="1" customWidth="1"/>
    <col min="1201" max="1201" width="7.42578125" style="111" bestFit="1" customWidth="1"/>
    <col min="1202" max="1202" width="7.7109375" style="111" bestFit="1" customWidth="1"/>
    <col min="1203" max="1203" width="10.42578125" style="111" bestFit="1" customWidth="1"/>
    <col min="1204" max="1204" width="8" style="111" bestFit="1" customWidth="1"/>
    <col min="1205" max="1205" width="7.7109375" style="111" bestFit="1" customWidth="1"/>
    <col min="1206" max="1206" width="10.42578125" style="111" bestFit="1" customWidth="1"/>
    <col min="1207" max="1207" width="7.42578125" style="111" bestFit="1" customWidth="1"/>
    <col min="1208" max="1208" width="7.7109375" style="111" bestFit="1" customWidth="1"/>
    <col min="1209" max="1209" width="10.42578125" style="111" bestFit="1" customWidth="1"/>
    <col min="1210" max="1210" width="7.42578125" style="111" bestFit="1" customWidth="1"/>
    <col min="1211" max="1211" width="7.7109375" style="111" bestFit="1" customWidth="1"/>
    <col min="1212" max="1212" width="10.42578125" style="111" bestFit="1" customWidth="1"/>
    <col min="1213" max="1213" width="5.140625" style="111" customWidth="1"/>
    <col min="1214" max="1436" width="8.7109375" style="111"/>
    <col min="1437" max="1437" width="3.42578125" style="111" customWidth="1"/>
    <col min="1438" max="1438" width="7" style="111" customWidth="1"/>
    <col min="1439" max="1439" width="25.42578125" style="111" customWidth="1"/>
    <col min="1440" max="1440" width="12" style="111" customWidth="1"/>
    <col min="1441" max="1441" width="12.7109375" style="111" bestFit="1" customWidth="1"/>
    <col min="1442" max="1442" width="7.42578125" style="111" bestFit="1" customWidth="1"/>
    <col min="1443" max="1443" width="7.7109375" style="111" bestFit="1" customWidth="1"/>
    <col min="1444" max="1444" width="15" style="111" customWidth="1"/>
    <col min="1445" max="1445" width="7.42578125" style="111" bestFit="1" customWidth="1"/>
    <col min="1446" max="1446" width="7.7109375" style="111" bestFit="1" customWidth="1"/>
    <col min="1447" max="1447" width="15" style="111" bestFit="1" customWidth="1"/>
    <col min="1448" max="1448" width="7.42578125" style="111" bestFit="1" customWidth="1"/>
    <col min="1449" max="1449" width="7.7109375" style="111" bestFit="1" customWidth="1"/>
    <col min="1450" max="1450" width="9.42578125" style="111" bestFit="1" customWidth="1"/>
    <col min="1451" max="1451" width="8" style="111" bestFit="1" customWidth="1"/>
    <col min="1452" max="1452" width="7.7109375" style="111" bestFit="1" customWidth="1"/>
    <col min="1453" max="1453" width="10.42578125" style="111" bestFit="1" customWidth="1"/>
    <col min="1454" max="1454" width="8" style="111" bestFit="1" customWidth="1"/>
    <col min="1455" max="1455" width="7.7109375" style="111" bestFit="1" customWidth="1"/>
    <col min="1456" max="1456" width="10.42578125" style="111" bestFit="1" customWidth="1"/>
    <col min="1457" max="1457" width="7.42578125" style="111" bestFit="1" customWidth="1"/>
    <col min="1458" max="1458" width="7.7109375" style="111" bestFit="1" customWidth="1"/>
    <col min="1459" max="1459" width="10.42578125" style="111" bestFit="1" customWidth="1"/>
    <col min="1460" max="1460" width="8" style="111" bestFit="1" customWidth="1"/>
    <col min="1461" max="1461" width="7.7109375" style="111" bestFit="1" customWidth="1"/>
    <col min="1462" max="1462" width="10.42578125" style="111" bestFit="1" customWidth="1"/>
    <col min="1463" max="1463" width="7.42578125" style="111" bestFit="1" customWidth="1"/>
    <col min="1464" max="1464" width="7.7109375" style="111" bestFit="1" customWidth="1"/>
    <col min="1465" max="1465" width="10.42578125" style="111" bestFit="1" customWidth="1"/>
    <col min="1466" max="1466" width="7.42578125" style="111" bestFit="1" customWidth="1"/>
    <col min="1467" max="1467" width="7.7109375" style="111" bestFit="1" customWidth="1"/>
    <col min="1468" max="1468" width="10.42578125" style="111" bestFit="1" customWidth="1"/>
    <col min="1469" max="1469" width="5.140625" style="111" customWidth="1"/>
    <col min="1470" max="1692" width="8.7109375" style="111"/>
    <col min="1693" max="1693" width="3.42578125" style="111" customWidth="1"/>
    <col min="1694" max="1694" width="7" style="111" customWidth="1"/>
    <col min="1695" max="1695" width="25.42578125" style="111" customWidth="1"/>
    <col min="1696" max="1696" width="12" style="111" customWidth="1"/>
    <col min="1697" max="1697" width="12.7109375" style="111" bestFit="1" customWidth="1"/>
    <col min="1698" max="1698" width="7.42578125" style="111" bestFit="1" customWidth="1"/>
    <col min="1699" max="1699" width="7.7109375" style="111" bestFit="1" customWidth="1"/>
    <col min="1700" max="1700" width="15" style="111" customWidth="1"/>
    <col min="1701" max="1701" width="7.42578125" style="111" bestFit="1" customWidth="1"/>
    <col min="1702" max="1702" width="7.7109375" style="111" bestFit="1" customWidth="1"/>
    <col min="1703" max="1703" width="15" style="111" bestFit="1" customWidth="1"/>
    <col min="1704" max="1704" width="7.42578125" style="111" bestFit="1" customWidth="1"/>
    <col min="1705" max="1705" width="7.7109375" style="111" bestFit="1" customWidth="1"/>
    <col min="1706" max="1706" width="9.42578125" style="111" bestFit="1" customWidth="1"/>
    <col min="1707" max="1707" width="8" style="111" bestFit="1" customWidth="1"/>
    <col min="1708" max="1708" width="7.7109375" style="111" bestFit="1" customWidth="1"/>
    <col min="1709" max="1709" width="10.42578125" style="111" bestFit="1" customWidth="1"/>
    <col min="1710" max="1710" width="8" style="111" bestFit="1" customWidth="1"/>
    <col min="1711" max="1711" width="7.7109375" style="111" bestFit="1" customWidth="1"/>
    <col min="1712" max="1712" width="10.42578125" style="111" bestFit="1" customWidth="1"/>
    <col min="1713" max="1713" width="7.42578125" style="111" bestFit="1" customWidth="1"/>
    <col min="1714" max="1714" width="7.7109375" style="111" bestFit="1" customWidth="1"/>
    <col min="1715" max="1715" width="10.42578125" style="111" bestFit="1" customWidth="1"/>
    <col min="1716" max="1716" width="8" style="111" bestFit="1" customWidth="1"/>
    <col min="1717" max="1717" width="7.7109375" style="111" bestFit="1" customWidth="1"/>
    <col min="1718" max="1718" width="10.42578125" style="111" bestFit="1" customWidth="1"/>
    <col min="1719" max="1719" width="7.42578125" style="111" bestFit="1" customWidth="1"/>
    <col min="1720" max="1720" width="7.7109375" style="111" bestFit="1" customWidth="1"/>
    <col min="1721" max="1721" width="10.42578125" style="111" bestFit="1" customWidth="1"/>
    <col min="1722" max="1722" width="7.42578125" style="111" bestFit="1" customWidth="1"/>
    <col min="1723" max="1723" width="7.7109375" style="111" bestFit="1" customWidth="1"/>
    <col min="1724" max="1724" width="10.42578125" style="111" bestFit="1" customWidth="1"/>
    <col min="1725" max="1725" width="5.140625" style="111" customWidth="1"/>
    <col min="1726" max="1948" width="8.7109375" style="111"/>
    <col min="1949" max="1949" width="3.42578125" style="111" customWidth="1"/>
    <col min="1950" max="1950" width="7" style="111" customWidth="1"/>
    <col min="1951" max="1951" width="25.42578125" style="111" customWidth="1"/>
    <col min="1952" max="1952" width="12" style="111" customWidth="1"/>
    <col min="1953" max="1953" width="12.7109375" style="111" bestFit="1" customWidth="1"/>
    <col min="1954" max="1954" width="7.42578125" style="111" bestFit="1" customWidth="1"/>
    <col min="1955" max="1955" width="7.7109375" style="111" bestFit="1" customWidth="1"/>
    <col min="1956" max="1956" width="15" style="111" customWidth="1"/>
    <col min="1957" max="1957" width="7.42578125" style="111" bestFit="1" customWidth="1"/>
    <col min="1958" max="1958" width="7.7109375" style="111" bestFit="1" customWidth="1"/>
    <col min="1959" max="1959" width="15" style="111" bestFit="1" customWidth="1"/>
    <col min="1960" max="1960" width="7.42578125" style="111" bestFit="1" customWidth="1"/>
    <col min="1961" max="1961" width="7.7109375" style="111" bestFit="1" customWidth="1"/>
    <col min="1962" max="1962" width="9.42578125" style="111" bestFit="1" customWidth="1"/>
    <col min="1963" max="1963" width="8" style="111" bestFit="1" customWidth="1"/>
    <col min="1964" max="1964" width="7.7109375" style="111" bestFit="1" customWidth="1"/>
    <col min="1965" max="1965" width="10.42578125" style="111" bestFit="1" customWidth="1"/>
    <col min="1966" max="1966" width="8" style="111" bestFit="1" customWidth="1"/>
    <col min="1967" max="1967" width="7.7109375" style="111" bestFit="1" customWidth="1"/>
    <col min="1968" max="1968" width="10.42578125" style="111" bestFit="1" customWidth="1"/>
    <col min="1969" max="1969" width="7.42578125" style="111" bestFit="1" customWidth="1"/>
    <col min="1970" max="1970" width="7.7109375" style="111" bestFit="1" customWidth="1"/>
    <col min="1971" max="1971" width="10.42578125" style="111" bestFit="1" customWidth="1"/>
    <col min="1972" max="1972" width="8" style="111" bestFit="1" customWidth="1"/>
    <col min="1973" max="1973" width="7.7109375" style="111" bestFit="1" customWidth="1"/>
    <col min="1974" max="1974" width="10.42578125" style="111" bestFit="1" customWidth="1"/>
    <col min="1975" max="1975" width="7.42578125" style="111" bestFit="1" customWidth="1"/>
    <col min="1976" max="1976" width="7.7109375" style="111" bestFit="1" customWidth="1"/>
    <col min="1977" max="1977" width="10.42578125" style="111" bestFit="1" customWidth="1"/>
    <col min="1978" max="1978" width="7.42578125" style="111" bestFit="1" customWidth="1"/>
    <col min="1979" max="1979" width="7.7109375" style="111" bestFit="1" customWidth="1"/>
    <col min="1980" max="1980" width="10.42578125" style="111" bestFit="1" customWidth="1"/>
    <col min="1981" max="1981" width="5.140625" style="111" customWidth="1"/>
    <col min="1982" max="2204" width="8.7109375" style="111"/>
    <col min="2205" max="2205" width="3.42578125" style="111" customWidth="1"/>
    <col min="2206" max="2206" width="7" style="111" customWidth="1"/>
    <col min="2207" max="2207" width="25.42578125" style="111" customWidth="1"/>
    <col min="2208" max="2208" width="12" style="111" customWidth="1"/>
    <col min="2209" max="2209" width="12.7109375" style="111" bestFit="1" customWidth="1"/>
    <col min="2210" max="2210" width="7.42578125" style="111" bestFit="1" customWidth="1"/>
    <col min="2211" max="2211" width="7.7109375" style="111" bestFit="1" customWidth="1"/>
    <col min="2212" max="2212" width="15" style="111" customWidth="1"/>
    <col min="2213" max="2213" width="7.42578125" style="111" bestFit="1" customWidth="1"/>
    <col min="2214" max="2214" width="7.7109375" style="111" bestFit="1" customWidth="1"/>
    <col min="2215" max="2215" width="15" style="111" bestFit="1" customWidth="1"/>
    <col min="2216" max="2216" width="7.42578125" style="111" bestFit="1" customWidth="1"/>
    <col min="2217" max="2217" width="7.7109375" style="111" bestFit="1" customWidth="1"/>
    <col min="2218" max="2218" width="9.42578125" style="111" bestFit="1" customWidth="1"/>
    <col min="2219" max="2219" width="8" style="111" bestFit="1" customWidth="1"/>
    <col min="2220" max="2220" width="7.7109375" style="111" bestFit="1" customWidth="1"/>
    <col min="2221" max="2221" width="10.42578125" style="111" bestFit="1" customWidth="1"/>
    <col min="2222" max="2222" width="8" style="111" bestFit="1" customWidth="1"/>
    <col min="2223" max="2223" width="7.7109375" style="111" bestFit="1" customWidth="1"/>
    <col min="2224" max="2224" width="10.42578125" style="111" bestFit="1" customWidth="1"/>
    <col min="2225" max="2225" width="7.42578125" style="111" bestFit="1" customWidth="1"/>
    <col min="2226" max="2226" width="7.7109375" style="111" bestFit="1" customWidth="1"/>
    <col min="2227" max="2227" width="10.42578125" style="111" bestFit="1" customWidth="1"/>
    <col min="2228" max="2228" width="8" style="111" bestFit="1" customWidth="1"/>
    <col min="2229" max="2229" width="7.7109375" style="111" bestFit="1" customWidth="1"/>
    <col min="2230" max="2230" width="10.42578125" style="111" bestFit="1" customWidth="1"/>
    <col min="2231" max="2231" width="7.42578125" style="111" bestFit="1" customWidth="1"/>
    <col min="2232" max="2232" width="7.7109375" style="111" bestFit="1" customWidth="1"/>
    <col min="2233" max="2233" width="10.42578125" style="111" bestFit="1" customWidth="1"/>
    <col min="2234" max="2234" width="7.42578125" style="111" bestFit="1" customWidth="1"/>
    <col min="2235" max="2235" width="7.7109375" style="111" bestFit="1" customWidth="1"/>
    <col min="2236" max="2236" width="10.42578125" style="111" bestFit="1" customWidth="1"/>
    <col min="2237" max="2237" width="5.140625" style="111" customWidth="1"/>
    <col min="2238" max="2460" width="8.7109375" style="111"/>
    <col min="2461" max="2461" width="3.42578125" style="111" customWidth="1"/>
    <col min="2462" max="2462" width="7" style="111" customWidth="1"/>
    <col min="2463" max="2463" width="25.42578125" style="111" customWidth="1"/>
    <col min="2464" max="2464" width="12" style="111" customWidth="1"/>
    <col min="2465" max="2465" width="12.7109375" style="111" bestFit="1" customWidth="1"/>
    <col min="2466" max="2466" width="7.42578125" style="111" bestFit="1" customWidth="1"/>
    <col min="2467" max="2467" width="7.7109375" style="111" bestFit="1" customWidth="1"/>
    <col min="2468" max="2468" width="15" style="111" customWidth="1"/>
    <col min="2469" max="2469" width="7.42578125" style="111" bestFit="1" customWidth="1"/>
    <col min="2470" max="2470" width="7.7109375" style="111" bestFit="1" customWidth="1"/>
    <col min="2471" max="2471" width="15" style="111" bestFit="1" customWidth="1"/>
    <col min="2472" max="2472" width="7.42578125" style="111" bestFit="1" customWidth="1"/>
    <col min="2473" max="2473" width="7.7109375" style="111" bestFit="1" customWidth="1"/>
    <col min="2474" max="2474" width="9.42578125" style="111" bestFit="1" customWidth="1"/>
    <col min="2475" max="2475" width="8" style="111" bestFit="1" customWidth="1"/>
    <col min="2476" max="2476" width="7.7109375" style="111" bestFit="1" customWidth="1"/>
    <col min="2477" max="2477" width="10.42578125" style="111" bestFit="1" customWidth="1"/>
    <col min="2478" max="2478" width="8" style="111" bestFit="1" customWidth="1"/>
    <col min="2479" max="2479" width="7.7109375" style="111" bestFit="1" customWidth="1"/>
    <col min="2480" max="2480" width="10.42578125" style="111" bestFit="1" customWidth="1"/>
    <col min="2481" max="2481" width="7.42578125" style="111" bestFit="1" customWidth="1"/>
    <col min="2482" max="2482" width="7.7109375" style="111" bestFit="1" customWidth="1"/>
    <col min="2483" max="2483" width="10.42578125" style="111" bestFit="1" customWidth="1"/>
    <col min="2484" max="2484" width="8" style="111" bestFit="1" customWidth="1"/>
    <col min="2485" max="2485" width="7.7109375" style="111" bestFit="1" customWidth="1"/>
    <col min="2486" max="2486" width="10.42578125" style="111" bestFit="1" customWidth="1"/>
    <col min="2487" max="2487" width="7.42578125" style="111" bestFit="1" customWidth="1"/>
    <col min="2488" max="2488" width="7.7109375" style="111" bestFit="1" customWidth="1"/>
    <col min="2489" max="2489" width="10.42578125" style="111" bestFit="1" customWidth="1"/>
    <col min="2490" max="2490" width="7.42578125" style="111" bestFit="1" customWidth="1"/>
    <col min="2491" max="2491" width="7.7109375" style="111" bestFit="1" customWidth="1"/>
    <col min="2492" max="2492" width="10.42578125" style="111" bestFit="1" customWidth="1"/>
    <col min="2493" max="2493" width="5.140625" style="111" customWidth="1"/>
    <col min="2494" max="2716" width="8.7109375" style="111"/>
    <col min="2717" max="2717" width="3.42578125" style="111" customWidth="1"/>
    <col min="2718" max="2718" width="7" style="111" customWidth="1"/>
    <col min="2719" max="2719" width="25.42578125" style="111" customWidth="1"/>
    <col min="2720" max="2720" width="12" style="111" customWidth="1"/>
    <col min="2721" max="2721" width="12.7109375" style="111" bestFit="1" customWidth="1"/>
    <col min="2722" max="2722" width="7.42578125" style="111" bestFit="1" customWidth="1"/>
    <col min="2723" max="2723" width="7.7109375" style="111" bestFit="1" customWidth="1"/>
    <col min="2724" max="2724" width="15" style="111" customWidth="1"/>
    <col min="2725" max="2725" width="7.42578125" style="111" bestFit="1" customWidth="1"/>
    <col min="2726" max="2726" width="7.7109375" style="111" bestFit="1" customWidth="1"/>
    <col min="2727" max="2727" width="15" style="111" bestFit="1" customWidth="1"/>
    <col min="2728" max="2728" width="7.42578125" style="111" bestFit="1" customWidth="1"/>
    <col min="2729" max="2729" width="7.7109375" style="111" bestFit="1" customWidth="1"/>
    <col min="2730" max="2730" width="9.42578125" style="111" bestFit="1" customWidth="1"/>
    <col min="2731" max="2731" width="8" style="111" bestFit="1" customWidth="1"/>
    <col min="2732" max="2732" width="7.7109375" style="111" bestFit="1" customWidth="1"/>
    <col min="2733" max="2733" width="10.42578125" style="111" bestFit="1" customWidth="1"/>
    <col min="2734" max="2734" width="8" style="111" bestFit="1" customWidth="1"/>
    <col min="2735" max="2735" width="7.7109375" style="111" bestFit="1" customWidth="1"/>
    <col min="2736" max="2736" width="10.42578125" style="111" bestFit="1" customWidth="1"/>
    <col min="2737" max="2737" width="7.42578125" style="111" bestFit="1" customWidth="1"/>
    <col min="2738" max="2738" width="7.7109375" style="111" bestFit="1" customWidth="1"/>
    <col min="2739" max="2739" width="10.42578125" style="111" bestFit="1" customWidth="1"/>
    <col min="2740" max="2740" width="8" style="111" bestFit="1" customWidth="1"/>
    <col min="2741" max="2741" width="7.7109375" style="111" bestFit="1" customWidth="1"/>
    <col min="2742" max="2742" width="10.42578125" style="111" bestFit="1" customWidth="1"/>
    <col min="2743" max="2743" width="7.42578125" style="111" bestFit="1" customWidth="1"/>
    <col min="2744" max="2744" width="7.7109375" style="111" bestFit="1" customWidth="1"/>
    <col min="2745" max="2745" width="10.42578125" style="111" bestFit="1" customWidth="1"/>
    <col min="2746" max="2746" width="7.42578125" style="111" bestFit="1" customWidth="1"/>
    <col min="2747" max="2747" width="7.7109375" style="111" bestFit="1" customWidth="1"/>
    <col min="2748" max="2748" width="10.42578125" style="111" bestFit="1" customWidth="1"/>
    <col min="2749" max="2749" width="5.140625" style="111" customWidth="1"/>
    <col min="2750" max="2972" width="8.7109375" style="111"/>
    <col min="2973" max="2973" width="3.42578125" style="111" customWidth="1"/>
    <col min="2974" max="2974" width="7" style="111" customWidth="1"/>
    <col min="2975" max="2975" width="25.42578125" style="111" customWidth="1"/>
    <col min="2976" max="2976" width="12" style="111" customWidth="1"/>
    <col min="2977" max="2977" width="12.7109375" style="111" bestFit="1" customWidth="1"/>
    <col min="2978" max="2978" width="7.42578125" style="111" bestFit="1" customWidth="1"/>
    <col min="2979" max="2979" width="7.7109375" style="111" bestFit="1" customWidth="1"/>
    <col min="2980" max="2980" width="15" style="111" customWidth="1"/>
    <col min="2981" max="2981" width="7.42578125" style="111" bestFit="1" customWidth="1"/>
    <col min="2982" max="2982" width="7.7109375" style="111" bestFit="1" customWidth="1"/>
    <col min="2983" max="2983" width="15" style="111" bestFit="1" customWidth="1"/>
    <col min="2984" max="2984" width="7.42578125" style="111" bestFit="1" customWidth="1"/>
    <col min="2985" max="2985" width="7.7109375" style="111" bestFit="1" customWidth="1"/>
    <col min="2986" max="2986" width="9.42578125" style="111" bestFit="1" customWidth="1"/>
    <col min="2987" max="2987" width="8" style="111" bestFit="1" customWidth="1"/>
    <col min="2988" max="2988" width="7.7109375" style="111" bestFit="1" customWidth="1"/>
    <col min="2989" max="2989" width="10.42578125" style="111" bestFit="1" customWidth="1"/>
    <col min="2990" max="2990" width="8" style="111" bestFit="1" customWidth="1"/>
    <col min="2991" max="2991" width="7.7109375" style="111" bestFit="1" customWidth="1"/>
    <col min="2992" max="2992" width="10.42578125" style="111" bestFit="1" customWidth="1"/>
    <col min="2993" max="2993" width="7.42578125" style="111" bestFit="1" customWidth="1"/>
    <col min="2994" max="2994" width="7.7109375" style="111" bestFit="1" customWidth="1"/>
    <col min="2995" max="2995" width="10.42578125" style="111" bestFit="1" customWidth="1"/>
    <col min="2996" max="2996" width="8" style="111" bestFit="1" customWidth="1"/>
    <col min="2997" max="2997" width="7.7109375" style="111" bestFit="1" customWidth="1"/>
    <col min="2998" max="2998" width="10.42578125" style="111" bestFit="1" customWidth="1"/>
    <col min="2999" max="2999" width="7.42578125" style="111" bestFit="1" customWidth="1"/>
    <col min="3000" max="3000" width="7.7109375" style="111" bestFit="1" customWidth="1"/>
    <col min="3001" max="3001" width="10.42578125" style="111" bestFit="1" customWidth="1"/>
    <col min="3002" max="3002" width="7.42578125" style="111" bestFit="1" customWidth="1"/>
    <col min="3003" max="3003" width="7.7109375" style="111" bestFit="1" customWidth="1"/>
    <col min="3004" max="3004" width="10.42578125" style="111" bestFit="1" customWidth="1"/>
    <col min="3005" max="3005" width="5.140625" style="111" customWidth="1"/>
    <col min="3006" max="3228" width="8.7109375" style="111"/>
    <col min="3229" max="3229" width="3.42578125" style="111" customWidth="1"/>
    <col min="3230" max="3230" width="7" style="111" customWidth="1"/>
    <col min="3231" max="3231" width="25.42578125" style="111" customWidth="1"/>
    <col min="3232" max="3232" width="12" style="111" customWidth="1"/>
    <col min="3233" max="3233" width="12.7109375" style="111" bestFit="1" customWidth="1"/>
    <col min="3234" max="3234" width="7.42578125" style="111" bestFit="1" customWidth="1"/>
    <col min="3235" max="3235" width="7.7109375" style="111" bestFit="1" customWidth="1"/>
    <col min="3236" max="3236" width="15" style="111" customWidth="1"/>
    <col min="3237" max="3237" width="7.42578125" style="111" bestFit="1" customWidth="1"/>
    <col min="3238" max="3238" width="7.7109375" style="111" bestFit="1" customWidth="1"/>
    <col min="3239" max="3239" width="15" style="111" bestFit="1" customWidth="1"/>
    <col min="3240" max="3240" width="7.42578125" style="111" bestFit="1" customWidth="1"/>
    <col min="3241" max="3241" width="7.7109375" style="111" bestFit="1" customWidth="1"/>
    <col min="3242" max="3242" width="9.42578125" style="111" bestFit="1" customWidth="1"/>
    <col min="3243" max="3243" width="8" style="111" bestFit="1" customWidth="1"/>
    <col min="3244" max="3244" width="7.7109375" style="111" bestFit="1" customWidth="1"/>
    <col min="3245" max="3245" width="10.42578125" style="111" bestFit="1" customWidth="1"/>
    <col min="3246" max="3246" width="8" style="111" bestFit="1" customWidth="1"/>
    <col min="3247" max="3247" width="7.7109375" style="111" bestFit="1" customWidth="1"/>
    <col min="3248" max="3248" width="10.42578125" style="111" bestFit="1" customWidth="1"/>
    <col min="3249" max="3249" width="7.42578125" style="111" bestFit="1" customWidth="1"/>
    <col min="3250" max="3250" width="7.7109375" style="111" bestFit="1" customWidth="1"/>
    <col min="3251" max="3251" width="10.42578125" style="111" bestFit="1" customWidth="1"/>
    <col min="3252" max="3252" width="8" style="111" bestFit="1" customWidth="1"/>
    <col min="3253" max="3253" width="7.7109375" style="111" bestFit="1" customWidth="1"/>
    <col min="3254" max="3254" width="10.42578125" style="111" bestFit="1" customWidth="1"/>
    <col min="3255" max="3255" width="7.42578125" style="111" bestFit="1" customWidth="1"/>
    <col min="3256" max="3256" width="7.7109375" style="111" bestFit="1" customWidth="1"/>
    <col min="3257" max="3257" width="10.42578125" style="111" bestFit="1" customWidth="1"/>
    <col min="3258" max="3258" width="7.42578125" style="111" bestFit="1" customWidth="1"/>
    <col min="3259" max="3259" width="7.7109375" style="111" bestFit="1" customWidth="1"/>
    <col min="3260" max="3260" width="10.42578125" style="111" bestFit="1" customWidth="1"/>
    <col min="3261" max="3261" width="5.140625" style="111" customWidth="1"/>
    <col min="3262" max="3484" width="8.7109375" style="111"/>
    <col min="3485" max="3485" width="3.42578125" style="111" customWidth="1"/>
    <col min="3486" max="3486" width="7" style="111" customWidth="1"/>
    <col min="3487" max="3487" width="25.42578125" style="111" customWidth="1"/>
    <col min="3488" max="3488" width="12" style="111" customWidth="1"/>
    <col min="3489" max="3489" width="12.7109375" style="111" bestFit="1" customWidth="1"/>
    <col min="3490" max="3490" width="7.42578125" style="111" bestFit="1" customWidth="1"/>
    <col min="3491" max="3491" width="7.7109375" style="111" bestFit="1" customWidth="1"/>
    <col min="3492" max="3492" width="15" style="111" customWidth="1"/>
    <col min="3493" max="3493" width="7.42578125" style="111" bestFit="1" customWidth="1"/>
    <col min="3494" max="3494" width="7.7109375" style="111" bestFit="1" customWidth="1"/>
    <col min="3495" max="3495" width="15" style="111" bestFit="1" customWidth="1"/>
    <col min="3496" max="3496" width="7.42578125" style="111" bestFit="1" customWidth="1"/>
    <col min="3497" max="3497" width="7.7109375" style="111" bestFit="1" customWidth="1"/>
    <col min="3498" max="3498" width="9.42578125" style="111" bestFit="1" customWidth="1"/>
    <col min="3499" max="3499" width="8" style="111" bestFit="1" customWidth="1"/>
    <col min="3500" max="3500" width="7.7109375" style="111" bestFit="1" customWidth="1"/>
    <col min="3501" max="3501" width="10.42578125" style="111" bestFit="1" customWidth="1"/>
    <col min="3502" max="3502" width="8" style="111" bestFit="1" customWidth="1"/>
    <col min="3503" max="3503" width="7.7109375" style="111" bestFit="1" customWidth="1"/>
    <col min="3504" max="3504" width="10.42578125" style="111" bestFit="1" customWidth="1"/>
    <col min="3505" max="3505" width="7.42578125" style="111" bestFit="1" customWidth="1"/>
    <col min="3506" max="3506" width="7.7109375" style="111" bestFit="1" customWidth="1"/>
    <col min="3507" max="3507" width="10.42578125" style="111" bestFit="1" customWidth="1"/>
    <col min="3508" max="3508" width="8" style="111" bestFit="1" customWidth="1"/>
    <col min="3509" max="3509" width="7.7109375" style="111" bestFit="1" customWidth="1"/>
    <col min="3510" max="3510" width="10.42578125" style="111" bestFit="1" customWidth="1"/>
    <col min="3511" max="3511" width="7.42578125" style="111" bestFit="1" customWidth="1"/>
    <col min="3512" max="3512" width="7.7109375" style="111" bestFit="1" customWidth="1"/>
    <col min="3513" max="3513" width="10.42578125" style="111" bestFit="1" customWidth="1"/>
    <col min="3514" max="3514" width="7.42578125" style="111" bestFit="1" customWidth="1"/>
    <col min="3515" max="3515" width="7.7109375" style="111" bestFit="1" customWidth="1"/>
    <col min="3516" max="3516" width="10.42578125" style="111" bestFit="1" customWidth="1"/>
    <col min="3517" max="3517" width="5.140625" style="111" customWidth="1"/>
    <col min="3518" max="3740" width="8.7109375" style="111"/>
    <col min="3741" max="3741" width="3.42578125" style="111" customWidth="1"/>
    <col min="3742" max="3742" width="7" style="111" customWidth="1"/>
    <col min="3743" max="3743" width="25.42578125" style="111" customWidth="1"/>
    <col min="3744" max="3744" width="12" style="111" customWidth="1"/>
    <col min="3745" max="3745" width="12.7109375" style="111" bestFit="1" customWidth="1"/>
    <col min="3746" max="3746" width="7.42578125" style="111" bestFit="1" customWidth="1"/>
    <col min="3747" max="3747" width="7.7109375" style="111" bestFit="1" customWidth="1"/>
    <col min="3748" max="3748" width="15" style="111" customWidth="1"/>
    <col min="3749" max="3749" width="7.42578125" style="111" bestFit="1" customWidth="1"/>
    <col min="3750" max="3750" width="7.7109375" style="111" bestFit="1" customWidth="1"/>
    <col min="3751" max="3751" width="15" style="111" bestFit="1" customWidth="1"/>
    <col min="3752" max="3752" width="7.42578125" style="111" bestFit="1" customWidth="1"/>
    <col min="3753" max="3753" width="7.7109375" style="111" bestFit="1" customWidth="1"/>
    <col min="3754" max="3754" width="9.42578125" style="111" bestFit="1" customWidth="1"/>
    <col min="3755" max="3755" width="8" style="111" bestFit="1" customWidth="1"/>
    <col min="3756" max="3756" width="7.7109375" style="111" bestFit="1" customWidth="1"/>
    <col min="3757" max="3757" width="10.42578125" style="111" bestFit="1" customWidth="1"/>
    <col min="3758" max="3758" width="8" style="111" bestFit="1" customWidth="1"/>
    <col min="3759" max="3759" width="7.7109375" style="111" bestFit="1" customWidth="1"/>
    <col min="3760" max="3760" width="10.42578125" style="111" bestFit="1" customWidth="1"/>
    <col min="3761" max="3761" width="7.42578125" style="111" bestFit="1" customWidth="1"/>
    <col min="3762" max="3762" width="7.7109375" style="111" bestFit="1" customWidth="1"/>
    <col min="3763" max="3763" width="10.42578125" style="111" bestFit="1" customWidth="1"/>
    <col min="3764" max="3764" width="8" style="111" bestFit="1" customWidth="1"/>
    <col min="3765" max="3765" width="7.7109375" style="111" bestFit="1" customWidth="1"/>
    <col min="3766" max="3766" width="10.42578125" style="111" bestFit="1" customWidth="1"/>
    <col min="3767" max="3767" width="7.42578125" style="111" bestFit="1" customWidth="1"/>
    <col min="3768" max="3768" width="7.7109375" style="111" bestFit="1" customWidth="1"/>
    <col min="3769" max="3769" width="10.42578125" style="111" bestFit="1" customWidth="1"/>
    <col min="3770" max="3770" width="7.42578125" style="111" bestFit="1" customWidth="1"/>
    <col min="3771" max="3771" width="7.7109375" style="111" bestFit="1" customWidth="1"/>
    <col min="3772" max="3772" width="10.42578125" style="111" bestFit="1" customWidth="1"/>
    <col min="3773" max="3773" width="5.140625" style="111" customWidth="1"/>
    <col min="3774" max="3996" width="8.7109375" style="111"/>
    <col min="3997" max="3997" width="3.42578125" style="111" customWidth="1"/>
    <col min="3998" max="3998" width="7" style="111" customWidth="1"/>
    <col min="3999" max="3999" width="25.42578125" style="111" customWidth="1"/>
    <col min="4000" max="4000" width="12" style="111" customWidth="1"/>
    <col min="4001" max="4001" width="12.7109375" style="111" bestFit="1" customWidth="1"/>
    <col min="4002" max="4002" width="7.42578125" style="111" bestFit="1" customWidth="1"/>
    <col min="4003" max="4003" width="7.7109375" style="111" bestFit="1" customWidth="1"/>
    <col min="4004" max="4004" width="15" style="111" customWidth="1"/>
    <col min="4005" max="4005" width="7.42578125" style="111" bestFit="1" customWidth="1"/>
    <col min="4006" max="4006" width="7.7109375" style="111" bestFit="1" customWidth="1"/>
    <col min="4007" max="4007" width="15" style="111" bestFit="1" customWidth="1"/>
    <col min="4008" max="4008" width="7.42578125" style="111" bestFit="1" customWidth="1"/>
    <col min="4009" max="4009" width="7.7109375" style="111" bestFit="1" customWidth="1"/>
    <col min="4010" max="4010" width="9.42578125" style="111" bestFit="1" customWidth="1"/>
    <col min="4011" max="4011" width="8" style="111" bestFit="1" customWidth="1"/>
    <col min="4012" max="4012" width="7.7109375" style="111" bestFit="1" customWidth="1"/>
    <col min="4013" max="4013" width="10.42578125" style="111" bestFit="1" customWidth="1"/>
    <col min="4014" max="4014" width="8" style="111" bestFit="1" customWidth="1"/>
    <col min="4015" max="4015" width="7.7109375" style="111" bestFit="1" customWidth="1"/>
    <col min="4016" max="4016" width="10.42578125" style="111" bestFit="1" customWidth="1"/>
    <col min="4017" max="4017" width="7.42578125" style="111" bestFit="1" customWidth="1"/>
    <col min="4018" max="4018" width="7.7109375" style="111" bestFit="1" customWidth="1"/>
    <col min="4019" max="4019" width="10.42578125" style="111" bestFit="1" customWidth="1"/>
    <col min="4020" max="4020" width="8" style="111" bestFit="1" customWidth="1"/>
    <col min="4021" max="4021" width="7.7109375" style="111" bestFit="1" customWidth="1"/>
    <col min="4022" max="4022" width="10.42578125" style="111" bestFit="1" customWidth="1"/>
    <col min="4023" max="4023" width="7.42578125" style="111" bestFit="1" customWidth="1"/>
    <col min="4024" max="4024" width="7.7109375" style="111" bestFit="1" customWidth="1"/>
    <col min="4025" max="4025" width="10.42578125" style="111" bestFit="1" customWidth="1"/>
    <col min="4026" max="4026" width="7.42578125" style="111" bestFit="1" customWidth="1"/>
    <col min="4027" max="4027" width="7.7109375" style="111" bestFit="1" customWidth="1"/>
    <col min="4028" max="4028" width="10.42578125" style="111" bestFit="1" customWidth="1"/>
    <col min="4029" max="4029" width="5.140625" style="111" customWidth="1"/>
    <col min="4030" max="4252" width="8.7109375" style="111"/>
    <col min="4253" max="4253" width="3.42578125" style="111" customWidth="1"/>
    <col min="4254" max="4254" width="7" style="111" customWidth="1"/>
    <col min="4255" max="4255" width="25.42578125" style="111" customWidth="1"/>
    <col min="4256" max="4256" width="12" style="111" customWidth="1"/>
    <col min="4257" max="4257" width="12.7109375" style="111" bestFit="1" customWidth="1"/>
    <col min="4258" max="4258" width="7.42578125" style="111" bestFit="1" customWidth="1"/>
    <col min="4259" max="4259" width="7.7109375" style="111" bestFit="1" customWidth="1"/>
    <col min="4260" max="4260" width="15" style="111" customWidth="1"/>
    <col min="4261" max="4261" width="7.42578125" style="111" bestFit="1" customWidth="1"/>
    <col min="4262" max="4262" width="7.7109375" style="111" bestFit="1" customWidth="1"/>
    <col min="4263" max="4263" width="15" style="111" bestFit="1" customWidth="1"/>
    <col min="4264" max="4264" width="7.42578125" style="111" bestFit="1" customWidth="1"/>
    <col min="4265" max="4265" width="7.7109375" style="111" bestFit="1" customWidth="1"/>
    <col min="4266" max="4266" width="9.42578125" style="111" bestFit="1" customWidth="1"/>
    <col min="4267" max="4267" width="8" style="111" bestFit="1" customWidth="1"/>
    <col min="4268" max="4268" width="7.7109375" style="111" bestFit="1" customWidth="1"/>
    <col min="4269" max="4269" width="10.42578125" style="111" bestFit="1" customWidth="1"/>
    <col min="4270" max="4270" width="8" style="111" bestFit="1" customWidth="1"/>
    <col min="4271" max="4271" width="7.7109375" style="111" bestFit="1" customWidth="1"/>
    <col min="4272" max="4272" width="10.42578125" style="111" bestFit="1" customWidth="1"/>
    <col min="4273" max="4273" width="7.42578125" style="111" bestFit="1" customWidth="1"/>
    <col min="4274" max="4274" width="7.7109375" style="111" bestFit="1" customWidth="1"/>
    <col min="4275" max="4275" width="10.42578125" style="111" bestFit="1" customWidth="1"/>
    <col min="4276" max="4276" width="8" style="111" bestFit="1" customWidth="1"/>
    <col min="4277" max="4277" width="7.7109375" style="111" bestFit="1" customWidth="1"/>
    <col min="4278" max="4278" width="10.42578125" style="111" bestFit="1" customWidth="1"/>
    <col min="4279" max="4279" width="7.42578125" style="111" bestFit="1" customWidth="1"/>
    <col min="4280" max="4280" width="7.7109375" style="111" bestFit="1" customWidth="1"/>
    <col min="4281" max="4281" width="10.42578125" style="111" bestFit="1" customWidth="1"/>
    <col min="4282" max="4282" width="7.42578125" style="111" bestFit="1" customWidth="1"/>
    <col min="4283" max="4283" width="7.7109375" style="111" bestFit="1" customWidth="1"/>
    <col min="4284" max="4284" width="10.42578125" style="111" bestFit="1" customWidth="1"/>
    <col min="4285" max="4285" width="5.140625" style="111" customWidth="1"/>
    <col min="4286" max="4508" width="8.7109375" style="111"/>
    <col min="4509" max="4509" width="3.42578125" style="111" customWidth="1"/>
    <col min="4510" max="4510" width="7" style="111" customWidth="1"/>
    <col min="4511" max="4511" width="25.42578125" style="111" customWidth="1"/>
    <col min="4512" max="4512" width="12" style="111" customWidth="1"/>
    <col min="4513" max="4513" width="12.7109375" style="111" bestFit="1" customWidth="1"/>
    <col min="4514" max="4514" width="7.42578125" style="111" bestFit="1" customWidth="1"/>
    <col min="4515" max="4515" width="7.7109375" style="111" bestFit="1" customWidth="1"/>
    <col min="4516" max="4516" width="15" style="111" customWidth="1"/>
    <col min="4517" max="4517" width="7.42578125" style="111" bestFit="1" customWidth="1"/>
    <col min="4518" max="4518" width="7.7109375" style="111" bestFit="1" customWidth="1"/>
    <col min="4519" max="4519" width="15" style="111" bestFit="1" customWidth="1"/>
    <col min="4520" max="4520" width="7.42578125" style="111" bestFit="1" customWidth="1"/>
    <col min="4521" max="4521" width="7.7109375" style="111" bestFit="1" customWidth="1"/>
    <col min="4522" max="4522" width="9.42578125" style="111" bestFit="1" customWidth="1"/>
    <col min="4523" max="4523" width="8" style="111" bestFit="1" customWidth="1"/>
    <col min="4524" max="4524" width="7.7109375" style="111" bestFit="1" customWidth="1"/>
    <col min="4525" max="4525" width="10.42578125" style="111" bestFit="1" customWidth="1"/>
    <col min="4526" max="4526" width="8" style="111" bestFit="1" customWidth="1"/>
    <col min="4527" max="4527" width="7.7109375" style="111" bestFit="1" customWidth="1"/>
    <col min="4528" max="4528" width="10.42578125" style="111" bestFit="1" customWidth="1"/>
    <col min="4529" max="4529" width="7.42578125" style="111" bestFit="1" customWidth="1"/>
    <col min="4530" max="4530" width="7.7109375" style="111" bestFit="1" customWidth="1"/>
    <col min="4531" max="4531" width="10.42578125" style="111" bestFit="1" customWidth="1"/>
    <col min="4532" max="4532" width="8" style="111" bestFit="1" customWidth="1"/>
    <col min="4533" max="4533" width="7.7109375" style="111" bestFit="1" customWidth="1"/>
    <col min="4534" max="4534" width="10.42578125" style="111" bestFit="1" customWidth="1"/>
    <col min="4535" max="4535" width="7.42578125" style="111" bestFit="1" customWidth="1"/>
    <col min="4536" max="4536" width="7.7109375" style="111" bestFit="1" customWidth="1"/>
    <col min="4537" max="4537" width="10.42578125" style="111" bestFit="1" customWidth="1"/>
    <col min="4538" max="4538" width="7.42578125" style="111" bestFit="1" customWidth="1"/>
    <col min="4539" max="4539" width="7.7109375" style="111" bestFit="1" customWidth="1"/>
    <col min="4540" max="4540" width="10.42578125" style="111" bestFit="1" customWidth="1"/>
    <col min="4541" max="4541" width="5.140625" style="111" customWidth="1"/>
    <col min="4542" max="4764" width="8.7109375" style="111"/>
    <col min="4765" max="4765" width="3.42578125" style="111" customWidth="1"/>
    <col min="4766" max="4766" width="7" style="111" customWidth="1"/>
    <col min="4767" max="4767" width="25.42578125" style="111" customWidth="1"/>
    <col min="4768" max="4768" width="12" style="111" customWidth="1"/>
    <col min="4769" max="4769" width="12.7109375" style="111" bestFit="1" customWidth="1"/>
    <col min="4770" max="4770" width="7.42578125" style="111" bestFit="1" customWidth="1"/>
    <col min="4771" max="4771" width="7.7109375" style="111" bestFit="1" customWidth="1"/>
    <col min="4772" max="4772" width="15" style="111" customWidth="1"/>
    <col min="4773" max="4773" width="7.42578125" style="111" bestFit="1" customWidth="1"/>
    <col min="4774" max="4774" width="7.7109375" style="111" bestFit="1" customWidth="1"/>
    <col min="4775" max="4775" width="15" style="111" bestFit="1" customWidth="1"/>
    <col min="4776" max="4776" width="7.42578125" style="111" bestFit="1" customWidth="1"/>
    <col min="4777" max="4777" width="7.7109375" style="111" bestFit="1" customWidth="1"/>
    <col min="4778" max="4778" width="9.42578125" style="111" bestFit="1" customWidth="1"/>
    <col min="4779" max="4779" width="8" style="111" bestFit="1" customWidth="1"/>
    <col min="4780" max="4780" width="7.7109375" style="111" bestFit="1" customWidth="1"/>
    <col min="4781" max="4781" width="10.42578125" style="111" bestFit="1" customWidth="1"/>
    <col min="4782" max="4782" width="8" style="111" bestFit="1" customWidth="1"/>
    <col min="4783" max="4783" width="7.7109375" style="111" bestFit="1" customWidth="1"/>
    <col min="4784" max="4784" width="10.42578125" style="111" bestFit="1" customWidth="1"/>
    <col min="4785" max="4785" width="7.42578125" style="111" bestFit="1" customWidth="1"/>
    <col min="4786" max="4786" width="7.7109375" style="111" bestFit="1" customWidth="1"/>
    <col min="4787" max="4787" width="10.42578125" style="111" bestFit="1" customWidth="1"/>
    <col min="4788" max="4788" width="8" style="111" bestFit="1" customWidth="1"/>
    <col min="4789" max="4789" width="7.7109375" style="111" bestFit="1" customWidth="1"/>
    <col min="4790" max="4790" width="10.42578125" style="111" bestFit="1" customWidth="1"/>
    <col min="4791" max="4791" width="7.42578125" style="111" bestFit="1" customWidth="1"/>
    <col min="4792" max="4792" width="7.7109375" style="111" bestFit="1" customWidth="1"/>
    <col min="4793" max="4793" width="10.42578125" style="111" bestFit="1" customWidth="1"/>
    <col min="4794" max="4794" width="7.42578125" style="111" bestFit="1" customWidth="1"/>
    <col min="4795" max="4795" width="7.7109375" style="111" bestFit="1" customWidth="1"/>
    <col min="4796" max="4796" width="10.42578125" style="111" bestFit="1" customWidth="1"/>
    <col min="4797" max="4797" width="5.140625" style="111" customWidth="1"/>
    <col min="4798" max="5020" width="8.7109375" style="111"/>
    <col min="5021" max="5021" width="3.42578125" style="111" customWidth="1"/>
    <col min="5022" max="5022" width="7" style="111" customWidth="1"/>
    <col min="5023" max="5023" width="25.42578125" style="111" customWidth="1"/>
    <col min="5024" max="5024" width="12" style="111" customWidth="1"/>
    <col min="5025" max="5025" width="12.7109375" style="111" bestFit="1" customWidth="1"/>
    <col min="5026" max="5026" width="7.42578125" style="111" bestFit="1" customWidth="1"/>
    <col min="5027" max="5027" width="7.7109375" style="111" bestFit="1" customWidth="1"/>
    <col min="5028" max="5028" width="15" style="111" customWidth="1"/>
    <col min="5029" max="5029" width="7.42578125" style="111" bestFit="1" customWidth="1"/>
    <col min="5030" max="5030" width="7.7109375" style="111" bestFit="1" customWidth="1"/>
    <col min="5031" max="5031" width="15" style="111" bestFit="1" customWidth="1"/>
    <col min="5032" max="5032" width="7.42578125" style="111" bestFit="1" customWidth="1"/>
    <col min="5033" max="5033" width="7.7109375" style="111" bestFit="1" customWidth="1"/>
    <col min="5034" max="5034" width="9.42578125" style="111" bestFit="1" customWidth="1"/>
    <col min="5035" max="5035" width="8" style="111" bestFit="1" customWidth="1"/>
    <col min="5036" max="5036" width="7.7109375" style="111" bestFit="1" customWidth="1"/>
    <col min="5037" max="5037" width="10.42578125" style="111" bestFit="1" customWidth="1"/>
    <col min="5038" max="5038" width="8" style="111" bestFit="1" customWidth="1"/>
    <col min="5039" max="5039" width="7.7109375" style="111" bestFit="1" customWidth="1"/>
    <col min="5040" max="5040" width="10.42578125" style="111" bestFit="1" customWidth="1"/>
    <col min="5041" max="5041" width="7.42578125" style="111" bestFit="1" customWidth="1"/>
    <col min="5042" max="5042" width="7.7109375" style="111" bestFit="1" customWidth="1"/>
    <col min="5043" max="5043" width="10.42578125" style="111" bestFit="1" customWidth="1"/>
    <col min="5044" max="5044" width="8" style="111" bestFit="1" customWidth="1"/>
    <col min="5045" max="5045" width="7.7109375" style="111" bestFit="1" customWidth="1"/>
    <col min="5046" max="5046" width="10.42578125" style="111" bestFit="1" customWidth="1"/>
    <col min="5047" max="5047" width="7.42578125" style="111" bestFit="1" customWidth="1"/>
    <col min="5048" max="5048" width="7.7109375" style="111" bestFit="1" customWidth="1"/>
    <col min="5049" max="5049" width="10.42578125" style="111" bestFit="1" customWidth="1"/>
    <col min="5050" max="5050" width="7.42578125" style="111" bestFit="1" customWidth="1"/>
    <col min="5051" max="5051" width="7.7109375" style="111" bestFit="1" customWidth="1"/>
    <col min="5052" max="5052" width="10.42578125" style="111" bestFit="1" customWidth="1"/>
    <col min="5053" max="5053" width="5.140625" style="111" customWidth="1"/>
    <col min="5054" max="5276" width="8.7109375" style="111"/>
    <col min="5277" max="5277" width="3.42578125" style="111" customWidth="1"/>
    <col min="5278" max="5278" width="7" style="111" customWidth="1"/>
    <col min="5279" max="5279" width="25.42578125" style="111" customWidth="1"/>
    <col min="5280" max="5280" width="12" style="111" customWidth="1"/>
    <col min="5281" max="5281" width="12.7109375" style="111" bestFit="1" customWidth="1"/>
    <col min="5282" max="5282" width="7.42578125" style="111" bestFit="1" customWidth="1"/>
    <col min="5283" max="5283" width="7.7109375" style="111" bestFit="1" customWidth="1"/>
    <col min="5284" max="5284" width="15" style="111" customWidth="1"/>
    <col min="5285" max="5285" width="7.42578125" style="111" bestFit="1" customWidth="1"/>
    <col min="5286" max="5286" width="7.7109375" style="111" bestFit="1" customWidth="1"/>
    <col min="5287" max="5287" width="15" style="111" bestFit="1" customWidth="1"/>
    <col min="5288" max="5288" width="7.42578125" style="111" bestFit="1" customWidth="1"/>
    <col min="5289" max="5289" width="7.7109375" style="111" bestFit="1" customWidth="1"/>
    <col min="5290" max="5290" width="9.42578125" style="111" bestFit="1" customWidth="1"/>
    <col min="5291" max="5291" width="8" style="111" bestFit="1" customWidth="1"/>
    <col min="5292" max="5292" width="7.7109375" style="111" bestFit="1" customWidth="1"/>
    <col min="5293" max="5293" width="10.42578125" style="111" bestFit="1" customWidth="1"/>
    <col min="5294" max="5294" width="8" style="111" bestFit="1" customWidth="1"/>
    <col min="5295" max="5295" width="7.7109375" style="111" bestFit="1" customWidth="1"/>
    <col min="5296" max="5296" width="10.42578125" style="111" bestFit="1" customWidth="1"/>
    <col min="5297" max="5297" width="7.42578125" style="111" bestFit="1" customWidth="1"/>
    <col min="5298" max="5298" width="7.7109375" style="111" bestFit="1" customWidth="1"/>
    <col min="5299" max="5299" width="10.42578125" style="111" bestFit="1" customWidth="1"/>
    <col min="5300" max="5300" width="8" style="111" bestFit="1" customWidth="1"/>
    <col min="5301" max="5301" width="7.7109375" style="111" bestFit="1" customWidth="1"/>
    <col min="5302" max="5302" width="10.42578125" style="111" bestFit="1" customWidth="1"/>
    <col min="5303" max="5303" width="7.42578125" style="111" bestFit="1" customWidth="1"/>
    <col min="5304" max="5304" width="7.7109375" style="111" bestFit="1" customWidth="1"/>
    <col min="5305" max="5305" width="10.42578125" style="111" bestFit="1" customWidth="1"/>
    <col min="5306" max="5306" width="7.42578125" style="111" bestFit="1" customWidth="1"/>
    <col min="5307" max="5307" width="7.7109375" style="111" bestFit="1" customWidth="1"/>
    <col min="5308" max="5308" width="10.42578125" style="111" bestFit="1" customWidth="1"/>
    <col min="5309" max="5309" width="5.140625" style="111" customWidth="1"/>
    <col min="5310" max="5532" width="8.7109375" style="111"/>
    <col min="5533" max="5533" width="3.42578125" style="111" customWidth="1"/>
    <col min="5534" max="5534" width="7" style="111" customWidth="1"/>
    <col min="5535" max="5535" width="25.42578125" style="111" customWidth="1"/>
    <col min="5536" max="5536" width="12" style="111" customWidth="1"/>
    <col min="5537" max="5537" width="12.7109375" style="111" bestFit="1" customWidth="1"/>
    <col min="5538" max="5538" width="7.42578125" style="111" bestFit="1" customWidth="1"/>
    <col min="5539" max="5539" width="7.7109375" style="111" bestFit="1" customWidth="1"/>
    <col min="5540" max="5540" width="15" style="111" customWidth="1"/>
    <col min="5541" max="5541" width="7.42578125" style="111" bestFit="1" customWidth="1"/>
    <col min="5542" max="5542" width="7.7109375" style="111" bestFit="1" customWidth="1"/>
    <col min="5543" max="5543" width="15" style="111" bestFit="1" customWidth="1"/>
    <col min="5544" max="5544" width="7.42578125" style="111" bestFit="1" customWidth="1"/>
    <col min="5545" max="5545" width="7.7109375" style="111" bestFit="1" customWidth="1"/>
    <col min="5546" max="5546" width="9.42578125" style="111" bestFit="1" customWidth="1"/>
    <col min="5547" max="5547" width="8" style="111" bestFit="1" customWidth="1"/>
    <col min="5548" max="5548" width="7.7109375" style="111" bestFit="1" customWidth="1"/>
    <col min="5549" max="5549" width="10.42578125" style="111" bestFit="1" customWidth="1"/>
    <col min="5550" max="5550" width="8" style="111" bestFit="1" customWidth="1"/>
    <col min="5551" max="5551" width="7.7109375" style="111" bestFit="1" customWidth="1"/>
    <col min="5552" max="5552" width="10.42578125" style="111" bestFit="1" customWidth="1"/>
    <col min="5553" max="5553" width="7.42578125" style="111" bestFit="1" customWidth="1"/>
    <col min="5554" max="5554" width="7.7109375" style="111" bestFit="1" customWidth="1"/>
    <col min="5555" max="5555" width="10.42578125" style="111" bestFit="1" customWidth="1"/>
    <col min="5556" max="5556" width="8" style="111" bestFit="1" customWidth="1"/>
    <col min="5557" max="5557" width="7.7109375" style="111" bestFit="1" customWidth="1"/>
    <col min="5558" max="5558" width="10.42578125" style="111" bestFit="1" customWidth="1"/>
    <col min="5559" max="5559" width="7.42578125" style="111" bestFit="1" customWidth="1"/>
    <col min="5560" max="5560" width="7.7109375" style="111" bestFit="1" customWidth="1"/>
    <col min="5561" max="5561" width="10.42578125" style="111" bestFit="1" customWidth="1"/>
    <col min="5562" max="5562" width="7.42578125" style="111" bestFit="1" customWidth="1"/>
    <col min="5563" max="5563" width="7.7109375" style="111" bestFit="1" customWidth="1"/>
    <col min="5564" max="5564" width="10.42578125" style="111" bestFit="1" customWidth="1"/>
    <col min="5565" max="5565" width="5.140625" style="111" customWidth="1"/>
    <col min="5566" max="5788" width="8.7109375" style="111"/>
    <col min="5789" max="5789" width="3.42578125" style="111" customWidth="1"/>
    <col min="5790" max="5790" width="7" style="111" customWidth="1"/>
    <col min="5791" max="5791" width="25.42578125" style="111" customWidth="1"/>
    <col min="5792" max="5792" width="12" style="111" customWidth="1"/>
    <col min="5793" max="5793" width="12.7109375" style="111" bestFit="1" customWidth="1"/>
    <col min="5794" max="5794" width="7.42578125" style="111" bestFit="1" customWidth="1"/>
    <col min="5795" max="5795" width="7.7109375" style="111" bestFit="1" customWidth="1"/>
    <col min="5796" max="5796" width="15" style="111" customWidth="1"/>
    <col min="5797" max="5797" width="7.42578125" style="111" bestFit="1" customWidth="1"/>
    <col min="5798" max="5798" width="7.7109375" style="111" bestFit="1" customWidth="1"/>
    <col min="5799" max="5799" width="15" style="111" bestFit="1" customWidth="1"/>
    <col min="5800" max="5800" width="7.42578125" style="111" bestFit="1" customWidth="1"/>
    <col min="5801" max="5801" width="7.7109375" style="111" bestFit="1" customWidth="1"/>
    <col min="5802" max="5802" width="9.42578125" style="111" bestFit="1" customWidth="1"/>
    <col min="5803" max="5803" width="8" style="111" bestFit="1" customWidth="1"/>
    <col min="5804" max="5804" width="7.7109375" style="111" bestFit="1" customWidth="1"/>
    <col min="5805" max="5805" width="10.42578125" style="111" bestFit="1" customWidth="1"/>
    <col min="5806" max="5806" width="8" style="111" bestFit="1" customWidth="1"/>
    <col min="5807" max="5807" width="7.7109375" style="111" bestFit="1" customWidth="1"/>
    <col min="5808" max="5808" width="10.42578125" style="111" bestFit="1" customWidth="1"/>
    <col min="5809" max="5809" width="7.42578125" style="111" bestFit="1" customWidth="1"/>
    <col min="5810" max="5810" width="7.7109375" style="111" bestFit="1" customWidth="1"/>
    <col min="5811" max="5811" width="10.42578125" style="111" bestFit="1" customWidth="1"/>
    <col min="5812" max="5812" width="8" style="111" bestFit="1" customWidth="1"/>
    <col min="5813" max="5813" width="7.7109375" style="111" bestFit="1" customWidth="1"/>
    <col min="5814" max="5814" width="10.42578125" style="111" bestFit="1" customWidth="1"/>
    <col min="5815" max="5815" width="7.42578125" style="111" bestFit="1" customWidth="1"/>
    <col min="5816" max="5816" width="7.7109375" style="111" bestFit="1" customWidth="1"/>
    <col min="5817" max="5817" width="10.42578125" style="111" bestFit="1" customWidth="1"/>
    <col min="5818" max="5818" width="7.42578125" style="111" bestFit="1" customWidth="1"/>
    <col min="5819" max="5819" width="7.7109375" style="111" bestFit="1" customWidth="1"/>
    <col min="5820" max="5820" width="10.42578125" style="111" bestFit="1" customWidth="1"/>
    <col min="5821" max="5821" width="5.140625" style="111" customWidth="1"/>
    <col min="5822" max="6044" width="8.7109375" style="111"/>
    <col min="6045" max="6045" width="3.42578125" style="111" customWidth="1"/>
    <col min="6046" max="6046" width="7" style="111" customWidth="1"/>
    <col min="6047" max="6047" width="25.42578125" style="111" customWidth="1"/>
    <col min="6048" max="6048" width="12" style="111" customWidth="1"/>
    <col min="6049" max="6049" width="12.7109375" style="111" bestFit="1" customWidth="1"/>
    <col min="6050" max="6050" width="7.42578125" style="111" bestFit="1" customWidth="1"/>
    <col min="6051" max="6051" width="7.7109375" style="111" bestFit="1" customWidth="1"/>
    <col min="6052" max="6052" width="15" style="111" customWidth="1"/>
    <col min="6053" max="6053" width="7.42578125" style="111" bestFit="1" customWidth="1"/>
    <col min="6054" max="6054" width="7.7109375" style="111" bestFit="1" customWidth="1"/>
    <col min="6055" max="6055" width="15" style="111" bestFit="1" customWidth="1"/>
    <col min="6056" max="6056" width="7.42578125" style="111" bestFit="1" customWidth="1"/>
    <col min="6057" max="6057" width="7.7109375" style="111" bestFit="1" customWidth="1"/>
    <col min="6058" max="6058" width="9.42578125" style="111" bestFit="1" customWidth="1"/>
    <col min="6059" max="6059" width="8" style="111" bestFit="1" customWidth="1"/>
    <col min="6060" max="6060" width="7.7109375" style="111" bestFit="1" customWidth="1"/>
    <col min="6061" max="6061" width="10.42578125" style="111" bestFit="1" customWidth="1"/>
    <col min="6062" max="6062" width="8" style="111" bestFit="1" customWidth="1"/>
    <col min="6063" max="6063" width="7.7109375" style="111" bestFit="1" customWidth="1"/>
    <col min="6064" max="6064" width="10.42578125" style="111" bestFit="1" customWidth="1"/>
    <col min="6065" max="6065" width="7.42578125" style="111" bestFit="1" customWidth="1"/>
    <col min="6066" max="6066" width="7.7109375" style="111" bestFit="1" customWidth="1"/>
    <col min="6067" max="6067" width="10.42578125" style="111" bestFit="1" customWidth="1"/>
    <col min="6068" max="6068" width="8" style="111" bestFit="1" customWidth="1"/>
    <col min="6069" max="6069" width="7.7109375" style="111" bestFit="1" customWidth="1"/>
    <col min="6070" max="6070" width="10.42578125" style="111" bestFit="1" customWidth="1"/>
    <col min="6071" max="6071" width="7.42578125" style="111" bestFit="1" customWidth="1"/>
    <col min="6072" max="6072" width="7.7109375" style="111" bestFit="1" customWidth="1"/>
    <col min="6073" max="6073" width="10.42578125" style="111" bestFit="1" customWidth="1"/>
    <col min="6074" max="6074" width="7.42578125" style="111" bestFit="1" customWidth="1"/>
    <col min="6075" max="6075" width="7.7109375" style="111" bestFit="1" customWidth="1"/>
    <col min="6076" max="6076" width="10.42578125" style="111" bestFit="1" customWidth="1"/>
    <col min="6077" max="6077" width="5.140625" style="111" customWidth="1"/>
    <col min="6078" max="6300" width="8.7109375" style="111"/>
    <col min="6301" max="6301" width="3.42578125" style="111" customWidth="1"/>
    <col min="6302" max="6302" width="7" style="111" customWidth="1"/>
    <col min="6303" max="6303" width="25.42578125" style="111" customWidth="1"/>
    <col min="6304" max="6304" width="12" style="111" customWidth="1"/>
    <col min="6305" max="6305" width="12.7109375" style="111" bestFit="1" customWidth="1"/>
    <col min="6306" max="6306" width="7.42578125" style="111" bestFit="1" customWidth="1"/>
    <col min="6307" max="6307" width="7.7109375" style="111" bestFit="1" customWidth="1"/>
    <col min="6308" max="6308" width="15" style="111" customWidth="1"/>
    <col min="6309" max="6309" width="7.42578125" style="111" bestFit="1" customWidth="1"/>
    <col min="6310" max="6310" width="7.7109375" style="111" bestFit="1" customWidth="1"/>
    <col min="6311" max="6311" width="15" style="111" bestFit="1" customWidth="1"/>
    <col min="6312" max="6312" width="7.42578125" style="111" bestFit="1" customWidth="1"/>
    <col min="6313" max="6313" width="7.7109375" style="111" bestFit="1" customWidth="1"/>
    <col min="6314" max="6314" width="9.42578125" style="111" bestFit="1" customWidth="1"/>
    <col min="6315" max="6315" width="8" style="111" bestFit="1" customWidth="1"/>
    <col min="6316" max="6316" width="7.7109375" style="111" bestFit="1" customWidth="1"/>
    <col min="6317" max="6317" width="10.42578125" style="111" bestFit="1" customWidth="1"/>
    <col min="6318" max="6318" width="8" style="111" bestFit="1" customWidth="1"/>
    <col min="6319" max="6319" width="7.7109375" style="111" bestFit="1" customWidth="1"/>
    <col min="6320" max="6320" width="10.42578125" style="111" bestFit="1" customWidth="1"/>
    <col min="6321" max="6321" width="7.42578125" style="111" bestFit="1" customWidth="1"/>
    <col min="6322" max="6322" width="7.7109375" style="111" bestFit="1" customWidth="1"/>
    <col min="6323" max="6323" width="10.42578125" style="111" bestFit="1" customWidth="1"/>
    <col min="6324" max="6324" width="8" style="111" bestFit="1" customWidth="1"/>
    <col min="6325" max="6325" width="7.7109375" style="111" bestFit="1" customWidth="1"/>
    <col min="6326" max="6326" width="10.42578125" style="111" bestFit="1" customWidth="1"/>
    <col min="6327" max="6327" width="7.42578125" style="111" bestFit="1" customWidth="1"/>
    <col min="6328" max="6328" width="7.7109375" style="111" bestFit="1" customWidth="1"/>
    <col min="6329" max="6329" width="10.42578125" style="111" bestFit="1" customWidth="1"/>
    <col min="6330" max="6330" width="7.42578125" style="111" bestFit="1" customWidth="1"/>
    <col min="6331" max="6331" width="7.7109375" style="111" bestFit="1" customWidth="1"/>
    <col min="6332" max="6332" width="10.42578125" style="111" bestFit="1" customWidth="1"/>
    <col min="6333" max="6333" width="5.140625" style="111" customWidth="1"/>
    <col min="6334" max="6556" width="8.7109375" style="111"/>
    <col min="6557" max="6557" width="3.42578125" style="111" customWidth="1"/>
    <col min="6558" max="6558" width="7" style="111" customWidth="1"/>
    <col min="6559" max="6559" width="25.42578125" style="111" customWidth="1"/>
    <col min="6560" max="6560" width="12" style="111" customWidth="1"/>
    <col min="6561" max="6561" width="12.7109375" style="111" bestFit="1" customWidth="1"/>
    <col min="6562" max="6562" width="7.42578125" style="111" bestFit="1" customWidth="1"/>
    <col min="6563" max="6563" width="7.7109375" style="111" bestFit="1" customWidth="1"/>
    <col min="6564" max="6564" width="15" style="111" customWidth="1"/>
    <col min="6565" max="6565" width="7.42578125" style="111" bestFit="1" customWidth="1"/>
    <col min="6566" max="6566" width="7.7109375" style="111" bestFit="1" customWidth="1"/>
    <col min="6567" max="6567" width="15" style="111" bestFit="1" customWidth="1"/>
    <col min="6568" max="6568" width="7.42578125" style="111" bestFit="1" customWidth="1"/>
    <col min="6569" max="6569" width="7.7109375" style="111" bestFit="1" customWidth="1"/>
    <col min="6570" max="6570" width="9.42578125" style="111" bestFit="1" customWidth="1"/>
    <col min="6571" max="6571" width="8" style="111" bestFit="1" customWidth="1"/>
    <col min="6572" max="6572" width="7.7109375" style="111" bestFit="1" customWidth="1"/>
    <col min="6573" max="6573" width="10.42578125" style="111" bestFit="1" customWidth="1"/>
    <col min="6574" max="6574" width="8" style="111" bestFit="1" customWidth="1"/>
    <col min="6575" max="6575" width="7.7109375" style="111" bestFit="1" customWidth="1"/>
    <col min="6576" max="6576" width="10.42578125" style="111" bestFit="1" customWidth="1"/>
    <col min="6577" max="6577" width="7.42578125" style="111" bestFit="1" customWidth="1"/>
    <col min="6578" max="6578" width="7.7109375" style="111" bestFit="1" customWidth="1"/>
    <col min="6579" max="6579" width="10.42578125" style="111" bestFit="1" customWidth="1"/>
    <col min="6580" max="6580" width="8" style="111" bestFit="1" customWidth="1"/>
    <col min="6581" max="6581" width="7.7109375" style="111" bestFit="1" customWidth="1"/>
    <col min="6582" max="6582" width="10.42578125" style="111" bestFit="1" customWidth="1"/>
    <col min="6583" max="6583" width="7.42578125" style="111" bestFit="1" customWidth="1"/>
    <col min="6584" max="6584" width="7.7109375" style="111" bestFit="1" customWidth="1"/>
    <col min="6585" max="6585" width="10.42578125" style="111" bestFit="1" customWidth="1"/>
    <col min="6586" max="6586" width="7.42578125" style="111" bestFit="1" customWidth="1"/>
    <col min="6587" max="6587" width="7.7109375" style="111" bestFit="1" customWidth="1"/>
    <col min="6588" max="6588" width="10.42578125" style="111" bestFit="1" customWidth="1"/>
    <col min="6589" max="6589" width="5.140625" style="111" customWidth="1"/>
    <col min="6590" max="6812" width="8.7109375" style="111"/>
    <col min="6813" max="6813" width="3.42578125" style="111" customWidth="1"/>
    <col min="6814" max="6814" width="7" style="111" customWidth="1"/>
    <col min="6815" max="6815" width="25.42578125" style="111" customWidth="1"/>
    <col min="6816" max="6816" width="12" style="111" customWidth="1"/>
    <col min="6817" max="6817" width="12.7109375" style="111" bestFit="1" customWidth="1"/>
    <col min="6818" max="6818" width="7.42578125" style="111" bestFit="1" customWidth="1"/>
    <col min="6819" max="6819" width="7.7109375" style="111" bestFit="1" customWidth="1"/>
    <col min="6820" max="6820" width="15" style="111" customWidth="1"/>
    <col min="6821" max="6821" width="7.42578125" style="111" bestFit="1" customWidth="1"/>
    <col min="6822" max="6822" width="7.7109375" style="111" bestFit="1" customWidth="1"/>
    <col min="6823" max="6823" width="15" style="111" bestFit="1" customWidth="1"/>
    <col min="6824" max="6824" width="7.42578125" style="111" bestFit="1" customWidth="1"/>
    <col min="6825" max="6825" width="7.7109375" style="111" bestFit="1" customWidth="1"/>
    <col min="6826" max="6826" width="9.42578125" style="111" bestFit="1" customWidth="1"/>
    <col min="6827" max="6827" width="8" style="111" bestFit="1" customWidth="1"/>
    <col min="6828" max="6828" width="7.7109375" style="111" bestFit="1" customWidth="1"/>
    <col min="6829" max="6829" width="10.42578125" style="111" bestFit="1" customWidth="1"/>
    <col min="6830" max="6830" width="8" style="111" bestFit="1" customWidth="1"/>
    <col min="6831" max="6831" width="7.7109375" style="111" bestFit="1" customWidth="1"/>
    <col min="6832" max="6832" width="10.42578125" style="111" bestFit="1" customWidth="1"/>
    <col min="6833" max="6833" width="7.42578125" style="111" bestFit="1" customWidth="1"/>
    <col min="6834" max="6834" width="7.7109375" style="111" bestFit="1" customWidth="1"/>
    <col min="6835" max="6835" width="10.42578125" style="111" bestFit="1" customWidth="1"/>
    <col min="6836" max="6836" width="8" style="111" bestFit="1" customWidth="1"/>
    <col min="6837" max="6837" width="7.7109375" style="111" bestFit="1" customWidth="1"/>
    <col min="6838" max="6838" width="10.42578125" style="111" bestFit="1" customWidth="1"/>
    <col min="6839" max="6839" width="7.42578125" style="111" bestFit="1" customWidth="1"/>
    <col min="6840" max="6840" width="7.7109375" style="111" bestFit="1" customWidth="1"/>
    <col min="6841" max="6841" width="10.42578125" style="111" bestFit="1" customWidth="1"/>
    <col min="6842" max="6842" width="7.42578125" style="111" bestFit="1" customWidth="1"/>
    <col min="6843" max="6843" width="7.7109375" style="111" bestFit="1" customWidth="1"/>
    <col min="6844" max="6844" width="10.42578125" style="111" bestFit="1" customWidth="1"/>
    <col min="6845" max="6845" width="5.140625" style="111" customWidth="1"/>
    <col min="6846" max="7068" width="8.7109375" style="111"/>
    <col min="7069" max="7069" width="3.42578125" style="111" customWidth="1"/>
    <col min="7070" max="7070" width="7" style="111" customWidth="1"/>
    <col min="7071" max="7071" width="25.42578125" style="111" customWidth="1"/>
    <col min="7072" max="7072" width="12" style="111" customWidth="1"/>
    <col min="7073" max="7073" width="12.7109375" style="111" bestFit="1" customWidth="1"/>
    <col min="7074" max="7074" width="7.42578125" style="111" bestFit="1" customWidth="1"/>
    <col min="7075" max="7075" width="7.7109375" style="111" bestFit="1" customWidth="1"/>
    <col min="7076" max="7076" width="15" style="111" customWidth="1"/>
    <col min="7077" max="7077" width="7.42578125" style="111" bestFit="1" customWidth="1"/>
    <col min="7078" max="7078" width="7.7109375" style="111" bestFit="1" customWidth="1"/>
    <col min="7079" max="7079" width="15" style="111" bestFit="1" customWidth="1"/>
    <col min="7080" max="7080" width="7.42578125" style="111" bestFit="1" customWidth="1"/>
    <col min="7081" max="7081" width="7.7109375" style="111" bestFit="1" customWidth="1"/>
    <col min="7082" max="7082" width="9.42578125" style="111" bestFit="1" customWidth="1"/>
    <col min="7083" max="7083" width="8" style="111" bestFit="1" customWidth="1"/>
    <col min="7084" max="7084" width="7.7109375" style="111" bestFit="1" customWidth="1"/>
    <col min="7085" max="7085" width="10.42578125" style="111" bestFit="1" customWidth="1"/>
    <col min="7086" max="7086" width="8" style="111" bestFit="1" customWidth="1"/>
    <col min="7087" max="7087" width="7.7109375" style="111" bestFit="1" customWidth="1"/>
    <col min="7088" max="7088" width="10.42578125" style="111" bestFit="1" customWidth="1"/>
    <col min="7089" max="7089" width="7.42578125" style="111" bestFit="1" customWidth="1"/>
    <col min="7090" max="7090" width="7.7109375" style="111" bestFit="1" customWidth="1"/>
    <col min="7091" max="7091" width="10.42578125" style="111" bestFit="1" customWidth="1"/>
    <col min="7092" max="7092" width="8" style="111" bestFit="1" customWidth="1"/>
    <col min="7093" max="7093" width="7.7109375" style="111" bestFit="1" customWidth="1"/>
    <col min="7094" max="7094" width="10.42578125" style="111" bestFit="1" customWidth="1"/>
    <col min="7095" max="7095" width="7.42578125" style="111" bestFit="1" customWidth="1"/>
    <col min="7096" max="7096" width="7.7109375" style="111" bestFit="1" customWidth="1"/>
    <col min="7097" max="7097" width="10.42578125" style="111" bestFit="1" customWidth="1"/>
    <col min="7098" max="7098" width="7.42578125" style="111" bestFit="1" customWidth="1"/>
    <col min="7099" max="7099" width="7.7109375" style="111" bestFit="1" customWidth="1"/>
    <col min="7100" max="7100" width="10.42578125" style="111" bestFit="1" customWidth="1"/>
    <col min="7101" max="7101" width="5.140625" style="111" customWidth="1"/>
    <col min="7102" max="7324" width="8.7109375" style="111"/>
    <col min="7325" max="7325" width="3.42578125" style="111" customWidth="1"/>
    <col min="7326" max="7326" width="7" style="111" customWidth="1"/>
    <col min="7327" max="7327" width="25.42578125" style="111" customWidth="1"/>
    <col min="7328" max="7328" width="12" style="111" customWidth="1"/>
    <col min="7329" max="7329" width="12.7109375" style="111" bestFit="1" customWidth="1"/>
    <col min="7330" max="7330" width="7.42578125" style="111" bestFit="1" customWidth="1"/>
    <col min="7331" max="7331" width="7.7109375" style="111" bestFit="1" customWidth="1"/>
    <col min="7332" max="7332" width="15" style="111" customWidth="1"/>
    <col min="7333" max="7333" width="7.42578125" style="111" bestFit="1" customWidth="1"/>
    <col min="7334" max="7334" width="7.7109375" style="111" bestFit="1" customWidth="1"/>
    <col min="7335" max="7335" width="15" style="111" bestFit="1" customWidth="1"/>
    <col min="7336" max="7336" width="7.42578125" style="111" bestFit="1" customWidth="1"/>
    <col min="7337" max="7337" width="7.7109375" style="111" bestFit="1" customWidth="1"/>
    <col min="7338" max="7338" width="9.42578125" style="111" bestFit="1" customWidth="1"/>
    <col min="7339" max="7339" width="8" style="111" bestFit="1" customWidth="1"/>
    <col min="7340" max="7340" width="7.7109375" style="111" bestFit="1" customWidth="1"/>
    <col min="7341" max="7341" width="10.42578125" style="111" bestFit="1" customWidth="1"/>
    <col min="7342" max="7342" width="8" style="111" bestFit="1" customWidth="1"/>
    <col min="7343" max="7343" width="7.7109375" style="111" bestFit="1" customWidth="1"/>
    <col min="7344" max="7344" width="10.42578125" style="111" bestFit="1" customWidth="1"/>
    <col min="7345" max="7345" width="7.42578125" style="111" bestFit="1" customWidth="1"/>
    <col min="7346" max="7346" width="7.7109375" style="111" bestFit="1" customWidth="1"/>
    <col min="7347" max="7347" width="10.42578125" style="111" bestFit="1" customWidth="1"/>
    <col min="7348" max="7348" width="8" style="111" bestFit="1" customWidth="1"/>
    <col min="7349" max="7349" width="7.7109375" style="111" bestFit="1" customWidth="1"/>
    <col min="7350" max="7350" width="10.42578125" style="111" bestFit="1" customWidth="1"/>
    <col min="7351" max="7351" width="7.42578125" style="111" bestFit="1" customWidth="1"/>
    <col min="7352" max="7352" width="7.7109375" style="111" bestFit="1" customWidth="1"/>
    <col min="7353" max="7353" width="10.42578125" style="111" bestFit="1" customWidth="1"/>
    <col min="7354" max="7354" width="7.42578125" style="111" bestFit="1" customWidth="1"/>
    <col min="7355" max="7355" width="7.7109375" style="111" bestFit="1" customWidth="1"/>
    <col min="7356" max="7356" width="10.42578125" style="111" bestFit="1" customWidth="1"/>
    <col min="7357" max="7357" width="5.140625" style="111" customWidth="1"/>
    <col min="7358" max="7580" width="8.7109375" style="111"/>
    <col min="7581" max="7581" width="3.42578125" style="111" customWidth="1"/>
    <col min="7582" max="7582" width="7" style="111" customWidth="1"/>
    <col min="7583" max="7583" width="25.42578125" style="111" customWidth="1"/>
    <col min="7584" max="7584" width="12" style="111" customWidth="1"/>
    <col min="7585" max="7585" width="12.7109375" style="111" bestFit="1" customWidth="1"/>
    <col min="7586" max="7586" width="7.42578125" style="111" bestFit="1" customWidth="1"/>
    <col min="7587" max="7587" width="7.7109375" style="111" bestFit="1" customWidth="1"/>
    <col min="7588" max="7588" width="15" style="111" customWidth="1"/>
    <col min="7589" max="7589" width="7.42578125" style="111" bestFit="1" customWidth="1"/>
    <col min="7590" max="7590" width="7.7109375" style="111" bestFit="1" customWidth="1"/>
    <col min="7591" max="7591" width="15" style="111" bestFit="1" customWidth="1"/>
    <col min="7592" max="7592" width="7.42578125" style="111" bestFit="1" customWidth="1"/>
    <col min="7593" max="7593" width="7.7109375" style="111" bestFit="1" customWidth="1"/>
    <col min="7594" max="7594" width="9.42578125" style="111" bestFit="1" customWidth="1"/>
    <col min="7595" max="7595" width="8" style="111" bestFit="1" customWidth="1"/>
    <col min="7596" max="7596" width="7.7109375" style="111" bestFit="1" customWidth="1"/>
    <col min="7597" max="7597" width="10.42578125" style="111" bestFit="1" customWidth="1"/>
    <col min="7598" max="7598" width="8" style="111" bestFit="1" customWidth="1"/>
    <col min="7599" max="7599" width="7.7109375" style="111" bestFit="1" customWidth="1"/>
    <col min="7600" max="7600" width="10.42578125" style="111" bestFit="1" customWidth="1"/>
    <col min="7601" max="7601" width="7.42578125" style="111" bestFit="1" customWidth="1"/>
    <col min="7602" max="7602" width="7.7109375" style="111" bestFit="1" customWidth="1"/>
    <col min="7603" max="7603" width="10.42578125" style="111" bestFit="1" customWidth="1"/>
    <col min="7604" max="7604" width="8" style="111" bestFit="1" customWidth="1"/>
    <col min="7605" max="7605" width="7.7109375" style="111" bestFit="1" customWidth="1"/>
    <col min="7606" max="7606" width="10.42578125" style="111" bestFit="1" customWidth="1"/>
    <col min="7607" max="7607" width="7.42578125" style="111" bestFit="1" customWidth="1"/>
    <col min="7608" max="7608" width="7.7109375" style="111" bestFit="1" customWidth="1"/>
    <col min="7609" max="7609" width="10.42578125" style="111" bestFit="1" customWidth="1"/>
    <col min="7610" max="7610" width="7.42578125" style="111" bestFit="1" customWidth="1"/>
    <col min="7611" max="7611" width="7.7109375" style="111" bestFit="1" customWidth="1"/>
    <col min="7612" max="7612" width="10.42578125" style="111" bestFit="1" customWidth="1"/>
    <col min="7613" max="7613" width="5.140625" style="111" customWidth="1"/>
    <col min="7614" max="7836" width="8.7109375" style="111"/>
    <col min="7837" max="7837" width="3.42578125" style="111" customWidth="1"/>
    <col min="7838" max="7838" width="7" style="111" customWidth="1"/>
    <col min="7839" max="7839" width="25.42578125" style="111" customWidth="1"/>
    <col min="7840" max="7840" width="12" style="111" customWidth="1"/>
    <col min="7841" max="7841" width="12.7109375" style="111" bestFit="1" customWidth="1"/>
    <col min="7842" max="7842" width="7.42578125" style="111" bestFit="1" customWidth="1"/>
    <col min="7843" max="7843" width="7.7109375" style="111" bestFit="1" customWidth="1"/>
    <col min="7844" max="7844" width="15" style="111" customWidth="1"/>
    <col min="7845" max="7845" width="7.42578125" style="111" bestFit="1" customWidth="1"/>
    <col min="7846" max="7846" width="7.7109375" style="111" bestFit="1" customWidth="1"/>
    <col min="7847" max="7847" width="15" style="111" bestFit="1" customWidth="1"/>
    <col min="7848" max="7848" width="7.42578125" style="111" bestFit="1" customWidth="1"/>
    <col min="7849" max="7849" width="7.7109375" style="111" bestFit="1" customWidth="1"/>
    <col min="7850" max="7850" width="9.42578125" style="111" bestFit="1" customWidth="1"/>
    <col min="7851" max="7851" width="8" style="111" bestFit="1" customWidth="1"/>
    <col min="7852" max="7852" width="7.7109375" style="111" bestFit="1" customWidth="1"/>
    <col min="7853" max="7853" width="10.42578125" style="111" bestFit="1" customWidth="1"/>
    <col min="7854" max="7854" width="8" style="111" bestFit="1" customWidth="1"/>
    <col min="7855" max="7855" width="7.7109375" style="111" bestFit="1" customWidth="1"/>
    <col min="7856" max="7856" width="10.42578125" style="111" bestFit="1" customWidth="1"/>
    <col min="7857" max="7857" width="7.42578125" style="111" bestFit="1" customWidth="1"/>
    <col min="7858" max="7858" width="7.7109375" style="111" bestFit="1" customWidth="1"/>
    <col min="7859" max="7859" width="10.42578125" style="111" bestFit="1" customWidth="1"/>
    <col min="7860" max="7860" width="8" style="111" bestFit="1" customWidth="1"/>
    <col min="7861" max="7861" width="7.7109375" style="111" bestFit="1" customWidth="1"/>
    <col min="7862" max="7862" width="10.42578125" style="111" bestFit="1" customWidth="1"/>
    <col min="7863" max="7863" width="7.42578125" style="111" bestFit="1" customWidth="1"/>
    <col min="7864" max="7864" width="7.7109375" style="111" bestFit="1" customWidth="1"/>
    <col min="7865" max="7865" width="10.42578125" style="111" bestFit="1" customWidth="1"/>
    <col min="7866" max="7866" width="7.42578125" style="111" bestFit="1" customWidth="1"/>
    <col min="7867" max="7867" width="7.7109375" style="111" bestFit="1" customWidth="1"/>
    <col min="7868" max="7868" width="10.42578125" style="111" bestFit="1" customWidth="1"/>
    <col min="7869" max="7869" width="5.140625" style="111" customWidth="1"/>
    <col min="7870" max="8092" width="8.7109375" style="111"/>
    <col min="8093" max="8093" width="3.42578125" style="111" customWidth="1"/>
    <col min="8094" max="8094" width="7" style="111" customWidth="1"/>
    <col min="8095" max="8095" width="25.42578125" style="111" customWidth="1"/>
    <col min="8096" max="8096" width="12" style="111" customWidth="1"/>
    <col min="8097" max="8097" width="12.7109375" style="111" bestFit="1" customWidth="1"/>
    <col min="8098" max="8098" width="7.42578125" style="111" bestFit="1" customWidth="1"/>
    <col min="8099" max="8099" width="7.7109375" style="111" bestFit="1" customWidth="1"/>
    <col min="8100" max="8100" width="15" style="111" customWidth="1"/>
    <col min="8101" max="8101" width="7.42578125" style="111" bestFit="1" customWidth="1"/>
    <col min="8102" max="8102" width="7.7109375" style="111" bestFit="1" customWidth="1"/>
    <col min="8103" max="8103" width="15" style="111" bestFit="1" customWidth="1"/>
    <col min="8104" max="8104" width="7.42578125" style="111" bestFit="1" customWidth="1"/>
    <col min="8105" max="8105" width="7.7109375" style="111" bestFit="1" customWidth="1"/>
    <col min="8106" max="8106" width="9.42578125" style="111" bestFit="1" customWidth="1"/>
    <col min="8107" max="8107" width="8" style="111" bestFit="1" customWidth="1"/>
    <col min="8108" max="8108" width="7.7109375" style="111" bestFit="1" customWidth="1"/>
    <col min="8109" max="8109" width="10.42578125" style="111" bestFit="1" customWidth="1"/>
    <col min="8110" max="8110" width="8" style="111" bestFit="1" customWidth="1"/>
    <col min="8111" max="8111" width="7.7109375" style="111" bestFit="1" customWidth="1"/>
    <col min="8112" max="8112" width="10.42578125" style="111" bestFit="1" customWidth="1"/>
    <col min="8113" max="8113" width="7.42578125" style="111" bestFit="1" customWidth="1"/>
    <col min="8114" max="8114" width="7.7109375" style="111" bestFit="1" customWidth="1"/>
    <col min="8115" max="8115" width="10.42578125" style="111" bestFit="1" customWidth="1"/>
    <col min="8116" max="8116" width="8" style="111" bestFit="1" customWidth="1"/>
    <col min="8117" max="8117" width="7.7109375" style="111" bestFit="1" customWidth="1"/>
    <col min="8118" max="8118" width="10.42578125" style="111" bestFit="1" customWidth="1"/>
    <col min="8119" max="8119" width="7.42578125" style="111" bestFit="1" customWidth="1"/>
    <col min="8120" max="8120" width="7.7109375" style="111" bestFit="1" customWidth="1"/>
    <col min="8121" max="8121" width="10.42578125" style="111" bestFit="1" customWidth="1"/>
    <col min="8122" max="8122" width="7.42578125" style="111" bestFit="1" customWidth="1"/>
    <col min="8123" max="8123" width="7.7109375" style="111" bestFit="1" customWidth="1"/>
    <col min="8124" max="8124" width="10.42578125" style="111" bestFit="1" customWidth="1"/>
    <col min="8125" max="8125" width="5.140625" style="111" customWidth="1"/>
    <col min="8126" max="8348" width="8.7109375" style="111"/>
    <col min="8349" max="8349" width="3.42578125" style="111" customWidth="1"/>
    <col min="8350" max="8350" width="7" style="111" customWidth="1"/>
    <col min="8351" max="8351" width="25.42578125" style="111" customWidth="1"/>
    <col min="8352" max="8352" width="12" style="111" customWidth="1"/>
    <col min="8353" max="8353" width="12.7109375" style="111" bestFit="1" customWidth="1"/>
    <col min="8354" max="8354" width="7.42578125" style="111" bestFit="1" customWidth="1"/>
    <col min="8355" max="8355" width="7.7109375" style="111" bestFit="1" customWidth="1"/>
    <col min="8356" max="8356" width="15" style="111" customWidth="1"/>
    <col min="8357" max="8357" width="7.42578125" style="111" bestFit="1" customWidth="1"/>
    <col min="8358" max="8358" width="7.7109375" style="111" bestFit="1" customWidth="1"/>
    <col min="8359" max="8359" width="15" style="111" bestFit="1" customWidth="1"/>
    <col min="8360" max="8360" width="7.42578125" style="111" bestFit="1" customWidth="1"/>
    <col min="8361" max="8361" width="7.7109375" style="111" bestFit="1" customWidth="1"/>
    <col min="8362" max="8362" width="9.42578125" style="111" bestFit="1" customWidth="1"/>
    <col min="8363" max="8363" width="8" style="111" bestFit="1" customWidth="1"/>
    <col min="8364" max="8364" width="7.7109375" style="111" bestFit="1" customWidth="1"/>
    <col min="8365" max="8365" width="10.42578125" style="111" bestFit="1" customWidth="1"/>
    <col min="8366" max="8366" width="8" style="111" bestFit="1" customWidth="1"/>
    <col min="8367" max="8367" width="7.7109375" style="111" bestFit="1" customWidth="1"/>
    <col min="8368" max="8368" width="10.42578125" style="111" bestFit="1" customWidth="1"/>
    <col min="8369" max="8369" width="7.42578125" style="111" bestFit="1" customWidth="1"/>
    <col min="8370" max="8370" width="7.7109375" style="111" bestFit="1" customWidth="1"/>
    <col min="8371" max="8371" width="10.42578125" style="111" bestFit="1" customWidth="1"/>
    <col min="8372" max="8372" width="8" style="111" bestFit="1" customWidth="1"/>
    <col min="8373" max="8373" width="7.7109375" style="111" bestFit="1" customWidth="1"/>
    <col min="8374" max="8374" width="10.42578125" style="111" bestFit="1" customWidth="1"/>
    <col min="8375" max="8375" width="7.42578125" style="111" bestFit="1" customWidth="1"/>
    <col min="8376" max="8376" width="7.7109375" style="111" bestFit="1" customWidth="1"/>
    <col min="8377" max="8377" width="10.42578125" style="111" bestFit="1" customWidth="1"/>
    <col min="8378" max="8378" width="7.42578125" style="111" bestFit="1" customWidth="1"/>
    <col min="8379" max="8379" width="7.7109375" style="111" bestFit="1" customWidth="1"/>
    <col min="8380" max="8380" width="10.42578125" style="111" bestFit="1" customWidth="1"/>
    <col min="8381" max="8381" width="5.140625" style="111" customWidth="1"/>
    <col min="8382" max="8604" width="8.7109375" style="111"/>
    <col min="8605" max="8605" width="3.42578125" style="111" customWidth="1"/>
    <col min="8606" max="8606" width="7" style="111" customWidth="1"/>
    <col min="8607" max="8607" width="25.42578125" style="111" customWidth="1"/>
    <col min="8608" max="8608" width="12" style="111" customWidth="1"/>
    <col min="8609" max="8609" width="12.7109375" style="111" bestFit="1" customWidth="1"/>
    <col min="8610" max="8610" width="7.42578125" style="111" bestFit="1" customWidth="1"/>
    <col min="8611" max="8611" width="7.7109375" style="111" bestFit="1" customWidth="1"/>
    <col min="8612" max="8612" width="15" style="111" customWidth="1"/>
    <col min="8613" max="8613" width="7.42578125" style="111" bestFit="1" customWidth="1"/>
    <col min="8614" max="8614" width="7.7109375" style="111" bestFit="1" customWidth="1"/>
    <col min="8615" max="8615" width="15" style="111" bestFit="1" customWidth="1"/>
    <col min="8616" max="8616" width="7.42578125" style="111" bestFit="1" customWidth="1"/>
    <col min="8617" max="8617" width="7.7109375" style="111" bestFit="1" customWidth="1"/>
    <col min="8618" max="8618" width="9.42578125" style="111" bestFit="1" customWidth="1"/>
    <col min="8619" max="8619" width="8" style="111" bestFit="1" customWidth="1"/>
    <col min="8620" max="8620" width="7.7109375" style="111" bestFit="1" customWidth="1"/>
    <col min="8621" max="8621" width="10.42578125" style="111" bestFit="1" customWidth="1"/>
    <col min="8622" max="8622" width="8" style="111" bestFit="1" customWidth="1"/>
    <col min="8623" max="8623" width="7.7109375" style="111" bestFit="1" customWidth="1"/>
    <col min="8624" max="8624" width="10.42578125" style="111" bestFit="1" customWidth="1"/>
    <col min="8625" max="8625" width="7.42578125" style="111" bestFit="1" customWidth="1"/>
    <col min="8626" max="8626" width="7.7109375" style="111" bestFit="1" customWidth="1"/>
    <col min="8627" max="8627" width="10.42578125" style="111" bestFit="1" customWidth="1"/>
    <col min="8628" max="8628" width="8" style="111" bestFit="1" customWidth="1"/>
    <col min="8629" max="8629" width="7.7109375" style="111" bestFit="1" customWidth="1"/>
    <col min="8630" max="8630" width="10.42578125" style="111" bestFit="1" customWidth="1"/>
    <col min="8631" max="8631" width="7.42578125" style="111" bestFit="1" customWidth="1"/>
    <col min="8632" max="8632" width="7.7109375" style="111" bestFit="1" customWidth="1"/>
    <col min="8633" max="8633" width="10.42578125" style="111" bestFit="1" customWidth="1"/>
    <col min="8634" max="8634" width="7.42578125" style="111" bestFit="1" customWidth="1"/>
    <col min="8635" max="8635" width="7.7109375" style="111" bestFit="1" customWidth="1"/>
    <col min="8636" max="8636" width="10.42578125" style="111" bestFit="1" customWidth="1"/>
    <col min="8637" max="8637" width="5.140625" style="111" customWidth="1"/>
    <col min="8638" max="8860" width="8.7109375" style="111"/>
    <col min="8861" max="8861" width="3.42578125" style="111" customWidth="1"/>
    <col min="8862" max="8862" width="7" style="111" customWidth="1"/>
    <col min="8863" max="8863" width="25.42578125" style="111" customWidth="1"/>
    <col min="8864" max="8864" width="12" style="111" customWidth="1"/>
    <col min="8865" max="8865" width="12.7109375" style="111" bestFit="1" customWidth="1"/>
    <col min="8866" max="8866" width="7.42578125" style="111" bestFit="1" customWidth="1"/>
    <col min="8867" max="8867" width="7.7109375" style="111" bestFit="1" customWidth="1"/>
    <col min="8868" max="8868" width="15" style="111" customWidth="1"/>
    <col min="8869" max="8869" width="7.42578125" style="111" bestFit="1" customWidth="1"/>
    <col min="8870" max="8870" width="7.7109375" style="111" bestFit="1" customWidth="1"/>
    <col min="8871" max="8871" width="15" style="111" bestFit="1" customWidth="1"/>
    <col min="8872" max="8872" width="7.42578125" style="111" bestFit="1" customWidth="1"/>
    <col min="8873" max="8873" width="7.7109375" style="111" bestFit="1" customWidth="1"/>
    <col min="8874" max="8874" width="9.42578125" style="111" bestFit="1" customWidth="1"/>
    <col min="8875" max="8875" width="8" style="111" bestFit="1" customWidth="1"/>
    <col min="8876" max="8876" width="7.7109375" style="111" bestFit="1" customWidth="1"/>
    <col min="8877" max="8877" width="10.42578125" style="111" bestFit="1" customWidth="1"/>
    <col min="8878" max="8878" width="8" style="111" bestFit="1" customWidth="1"/>
    <col min="8879" max="8879" width="7.7109375" style="111" bestFit="1" customWidth="1"/>
    <col min="8880" max="8880" width="10.42578125" style="111" bestFit="1" customWidth="1"/>
    <col min="8881" max="8881" width="7.42578125" style="111" bestFit="1" customWidth="1"/>
    <col min="8882" max="8882" width="7.7109375" style="111" bestFit="1" customWidth="1"/>
    <col min="8883" max="8883" width="10.42578125" style="111" bestFit="1" customWidth="1"/>
    <col min="8884" max="8884" width="8" style="111" bestFit="1" customWidth="1"/>
    <col min="8885" max="8885" width="7.7109375" style="111" bestFit="1" customWidth="1"/>
    <col min="8886" max="8886" width="10.42578125" style="111" bestFit="1" customWidth="1"/>
    <col min="8887" max="8887" width="7.42578125" style="111" bestFit="1" customWidth="1"/>
    <col min="8888" max="8888" width="7.7109375" style="111" bestFit="1" customWidth="1"/>
    <col min="8889" max="8889" width="10.42578125" style="111" bestFit="1" customWidth="1"/>
    <col min="8890" max="8890" width="7.42578125" style="111" bestFit="1" customWidth="1"/>
    <col min="8891" max="8891" width="7.7109375" style="111" bestFit="1" customWidth="1"/>
    <col min="8892" max="8892" width="10.42578125" style="111" bestFit="1" customWidth="1"/>
    <col min="8893" max="8893" width="5.140625" style="111" customWidth="1"/>
    <col min="8894" max="9116" width="8.7109375" style="111"/>
    <col min="9117" max="9117" width="3.42578125" style="111" customWidth="1"/>
    <col min="9118" max="9118" width="7" style="111" customWidth="1"/>
    <col min="9119" max="9119" width="25.42578125" style="111" customWidth="1"/>
    <col min="9120" max="9120" width="12" style="111" customWidth="1"/>
    <col min="9121" max="9121" width="12.7109375" style="111" bestFit="1" customWidth="1"/>
    <col min="9122" max="9122" width="7.42578125" style="111" bestFit="1" customWidth="1"/>
    <col min="9123" max="9123" width="7.7109375" style="111" bestFit="1" customWidth="1"/>
    <col min="9124" max="9124" width="15" style="111" customWidth="1"/>
    <col min="9125" max="9125" width="7.42578125" style="111" bestFit="1" customWidth="1"/>
    <col min="9126" max="9126" width="7.7109375" style="111" bestFit="1" customWidth="1"/>
    <col min="9127" max="9127" width="15" style="111" bestFit="1" customWidth="1"/>
    <col min="9128" max="9128" width="7.42578125" style="111" bestFit="1" customWidth="1"/>
    <col min="9129" max="9129" width="7.7109375" style="111" bestFit="1" customWidth="1"/>
    <col min="9130" max="9130" width="9.42578125" style="111" bestFit="1" customWidth="1"/>
    <col min="9131" max="9131" width="8" style="111" bestFit="1" customWidth="1"/>
    <col min="9132" max="9132" width="7.7109375" style="111" bestFit="1" customWidth="1"/>
    <col min="9133" max="9133" width="10.42578125" style="111" bestFit="1" customWidth="1"/>
    <col min="9134" max="9134" width="8" style="111" bestFit="1" customWidth="1"/>
    <col min="9135" max="9135" width="7.7109375" style="111" bestFit="1" customWidth="1"/>
    <col min="9136" max="9136" width="10.42578125" style="111" bestFit="1" customWidth="1"/>
    <col min="9137" max="9137" width="7.42578125" style="111" bestFit="1" customWidth="1"/>
    <col min="9138" max="9138" width="7.7109375" style="111" bestFit="1" customWidth="1"/>
    <col min="9139" max="9139" width="10.42578125" style="111" bestFit="1" customWidth="1"/>
    <col min="9140" max="9140" width="8" style="111" bestFit="1" customWidth="1"/>
    <col min="9141" max="9141" width="7.7109375" style="111" bestFit="1" customWidth="1"/>
    <col min="9142" max="9142" width="10.42578125" style="111" bestFit="1" customWidth="1"/>
    <col min="9143" max="9143" width="7.42578125" style="111" bestFit="1" customWidth="1"/>
    <col min="9144" max="9144" width="7.7109375" style="111" bestFit="1" customWidth="1"/>
    <col min="9145" max="9145" width="10.42578125" style="111" bestFit="1" customWidth="1"/>
    <col min="9146" max="9146" width="7.42578125" style="111" bestFit="1" customWidth="1"/>
    <col min="9147" max="9147" width="7.7109375" style="111" bestFit="1" customWidth="1"/>
    <col min="9148" max="9148" width="10.42578125" style="111" bestFit="1" customWidth="1"/>
    <col min="9149" max="9149" width="5.140625" style="111" customWidth="1"/>
    <col min="9150" max="9372" width="8.7109375" style="111"/>
    <col min="9373" max="9373" width="3.42578125" style="111" customWidth="1"/>
    <col min="9374" max="9374" width="7" style="111" customWidth="1"/>
    <col min="9375" max="9375" width="25.42578125" style="111" customWidth="1"/>
    <col min="9376" max="9376" width="12" style="111" customWidth="1"/>
    <col min="9377" max="9377" width="12.7109375" style="111" bestFit="1" customWidth="1"/>
    <col min="9378" max="9378" width="7.42578125" style="111" bestFit="1" customWidth="1"/>
    <col min="9379" max="9379" width="7.7109375" style="111" bestFit="1" customWidth="1"/>
    <col min="9380" max="9380" width="15" style="111" customWidth="1"/>
    <col min="9381" max="9381" width="7.42578125" style="111" bestFit="1" customWidth="1"/>
    <col min="9382" max="9382" width="7.7109375" style="111" bestFit="1" customWidth="1"/>
    <col min="9383" max="9383" width="15" style="111" bestFit="1" customWidth="1"/>
    <col min="9384" max="9384" width="7.42578125" style="111" bestFit="1" customWidth="1"/>
    <col min="9385" max="9385" width="7.7109375" style="111" bestFit="1" customWidth="1"/>
    <col min="9386" max="9386" width="9.42578125" style="111" bestFit="1" customWidth="1"/>
    <col min="9387" max="9387" width="8" style="111" bestFit="1" customWidth="1"/>
    <col min="9388" max="9388" width="7.7109375" style="111" bestFit="1" customWidth="1"/>
    <col min="9389" max="9389" width="10.42578125" style="111" bestFit="1" customWidth="1"/>
    <col min="9390" max="9390" width="8" style="111" bestFit="1" customWidth="1"/>
    <col min="9391" max="9391" width="7.7109375" style="111" bestFit="1" customWidth="1"/>
    <col min="9392" max="9392" width="10.42578125" style="111" bestFit="1" customWidth="1"/>
    <col min="9393" max="9393" width="7.42578125" style="111" bestFit="1" customWidth="1"/>
    <col min="9394" max="9394" width="7.7109375" style="111" bestFit="1" customWidth="1"/>
    <col min="9395" max="9395" width="10.42578125" style="111" bestFit="1" customWidth="1"/>
    <col min="9396" max="9396" width="8" style="111" bestFit="1" customWidth="1"/>
    <col min="9397" max="9397" width="7.7109375" style="111" bestFit="1" customWidth="1"/>
    <col min="9398" max="9398" width="10.42578125" style="111" bestFit="1" customWidth="1"/>
    <col min="9399" max="9399" width="7.42578125" style="111" bestFit="1" customWidth="1"/>
    <col min="9400" max="9400" width="7.7109375" style="111" bestFit="1" customWidth="1"/>
    <col min="9401" max="9401" width="10.42578125" style="111" bestFit="1" customWidth="1"/>
    <col min="9402" max="9402" width="7.42578125" style="111" bestFit="1" customWidth="1"/>
    <col min="9403" max="9403" width="7.7109375" style="111" bestFit="1" customWidth="1"/>
    <col min="9404" max="9404" width="10.42578125" style="111" bestFit="1" customWidth="1"/>
    <col min="9405" max="9405" width="5.140625" style="111" customWidth="1"/>
    <col min="9406" max="9628" width="8.7109375" style="111"/>
    <col min="9629" max="9629" width="3.42578125" style="111" customWidth="1"/>
    <col min="9630" max="9630" width="7" style="111" customWidth="1"/>
    <col min="9631" max="9631" width="25.42578125" style="111" customWidth="1"/>
    <col min="9632" max="9632" width="12" style="111" customWidth="1"/>
    <col min="9633" max="9633" width="12.7109375" style="111" bestFit="1" customWidth="1"/>
    <col min="9634" max="9634" width="7.42578125" style="111" bestFit="1" customWidth="1"/>
    <col min="9635" max="9635" width="7.7109375" style="111" bestFit="1" customWidth="1"/>
    <col min="9636" max="9636" width="15" style="111" customWidth="1"/>
    <col min="9637" max="9637" width="7.42578125" style="111" bestFit="1" customWidth="1"/>
    <col min="9638" max="9638" width="7.7109375" style="111" bestFit="1" customWidth="1"/>
    <col min="9639" max="9639" width="15" style="111" bestFit="1" customWidth="1"/>
    <col min="9640" max="9640" width="7.42578125" style="111" bestFit="1" customWidth="1"/>
    <col min="9641" max="9641" width="7.7109375" style="111" bestFit="1" customWidth="1"/>
    <col min="9642" max="9642" width="9.42578125" style="111" bestFit="1" customWidth="1"/>
    <col min="9643" max="9643" width="8" style="111" bestFit="1" customWidth="1"/>
    <col min="9644" max="9644" width="7.7109375" style="111" bestFit="1" customWidth="1"/>
    <col min="9645" max="9645" width="10.42578125" style="111" bestFit="1" customWidth="1"/>
    <col min="9646" max="9646" width="8" style="111" bestFit="1" customWidth="1"/>
    <col min="9647" max="9647" width="7.7109375" style="111" bestFit="1" customWidth="1"/>
    <col min="9648" max="9648" width="10.42578125" style="111" bestFit="1" customWidth="1"/>
    <col min="9649" max="9649" width="7.42578125" style="111" bestFit="1" customWidth="1"/>
    <col min="9650" max="9650" width="7.7109375" style="111" bestFit="1" customWidth="1"/>
    <col min="9651" max="9651" width="10.42578125" style="111" bestFit="1" customWidth="1"/>
    <col min="9652" max="9652" width="8" style="111" bestFit="1" customWidth="1"/>
    <col min="9653" max="9653" width="7.7109375" style="111" bestFit="1" customWidth="1"/>
    <col min="9654" max="9654" width="10.42578125" style="111" bestFit="1" customWidth="1"/>
    <col min="9655" max="9655" width="7.42578125" style="111" bestFit="1" customWidth="1"/>
    <col min="9656" max="9656" width="7.7109375" style="111" bestFit="1" customWidth="1"/>
    <col min="9657" max="9657" width="10.42578125" style="111" bestFit="1" customWidth="1"/>
    <col min="9658" max="9658" width="7.42578125" style="111" bestFit="1" customWidth="1"/>
    <col min="9659" max="9659" width="7.7109375" style="111" bestFit="1" customWidth="1"/>
    <col min="9660" max="9660" width="10.42578125" style="111" bestFit="1" customWidth="1"/>
    <col min="9661" max="9661" width="5.140625" style="111" customWidth="1"/>
    <col min="9662" max="9884" width="8.7109375" style="111"/>
    <col min="9885" max="9885" width="3.42578125" style="111" customWidth="1"/>
    <col min="9886" max="9886" width="7" style="111" customWidth="1"/>
    <col min="9887" max="9887" width="25.42578125" style="111" customWidth="1"/>
    <col min="9888" max="9888" width="12" style="111" customWidth="1"/>
    <col min="9889" max="9889" width="12.7109375" style="111" bestFit="1" customWidth="1"/>
    <col min="9890" max="9890" width="7.42578125" style="111" bestFit="1" customWidth="1"/>
    <col min="9891" max="9891" width="7.7109375" style="111" bestFit="1" customWidth="1"/>
    <col min="9892" max="9892" width="15" style="111" customWidth="1"/>
    <col min="9893" max="9893" width="7.42578125" style="111" bestFit="1" customWidth="1"/>
    <col min="9894" max="9894" width="7.7109375" style="111" bestFit="1" customWidth="1"/>
    <col min="9895" max="9895" width="15" style="111" bestFit="1" customWidth="1"/>
    <col min="9896" max="9896" width="7.42578125" style="111" bestFit="1" customWidth="1"/>
    <col min="9897" max="9897" width="7.7109375" style="111" bestFit="1" customWidth="1"/>
    <col min="9898" max="9898" width="9.42578125" style="111" bestFit="1" customWidth="1"/>
    <col min="9899" max="9899" width="8" style="111" bestFit="1" customWidth="1"/>
    <col min="9900" max="9900" width="7.7109375" style="111" bestFit="1" customWidth="1"/>
    <col min="9901" max="9901" width="10.42578125" style="111" bestFit="1" customWidth="1"/>
    <col min="9902" max="9902" width="8" style="111" bestFit="1" customWidth="1"/>
    <col min="9903" max="9903" width="7.7109375" style="111" bestFit="1" customWidth="1"/>
    <col min="9904" max="9904" width="10.42578125" style="111" bestFit="1" customWidth="1"/>
    <col min="9905" max="9905" width="7.42578125" style="111" bestFit="1" customWidth="1"/>
    <col min="9906" max="9906" width="7.7109375" style="111" bestFit="1" customWidth="1"/>
    <col min="9907" max="9907" width="10.42578125" style="111" bestFit="1" customWidth="1"/>
    <col min="9908" max="9908" width="8" style="111" bestFit="1" customWidth="1"/>
    <col min="9909" max="9909" width="7.7109375" style="111" bestFit="1" customWidth="1"/>
    <col min="9910" max="9910" width="10.42578125" style="111" bestFit="1" customWidth="1"/>
    <col min="9911" max="9911" width="7.42578125" style="111" bestFit="1" customWidth="1"/>
    <col min="9912" max="9912" width="7.7109375" style="111" bestFit="1" customWidth="1"/>
    <col min="9913" max="9913" width="10.42578125" style="111" bestFit="1" customWidth="1"/>
    <col min="9914" max="9914" width="7.42578125" style="111" bestFit="1" customWidth="1"/>
    <col min="9915" max="9915" width="7.7109375" style="111" bestFit="1" customWidth="1"/>
    <col min="9916" max="9916" width="10.42578125" style="111" bestFit="1" customWidth="1"/>
    <col min="9917" max="9917" width="5.140625" style="111" customWidth="1"/>
    <col min="9918" max="10140" width="8.7109375" style="111"/>
    <col min="10141" max="10141" width="3.42578125" style="111" customWidth="1"/>
    <col min="10142" max="10142" width="7" style="111" customWidth="1"/>
    <col min="10143" max="10143" width="25.42578125" style="111" customWidth="1"/>
    <col min="10144" max="10144" width="12" style="111" customWidth="1"/>
    <col min="10145" max="10145" width="12.7109375" style="111" bestFit="1" customWidth="1"/>
    <col min="10146" max="10146" width="7.42578125" style="111" bestFit="1" customWidth="1"/>
    <col min="10147" max="10147" width="7.7109375" style="111" bestFit="1" customWidth="1"/>
    <col min="10148" max="10148" width="15" style="111" customWidth="1"/>
    <col min="10149" max="10149" width="7.42578125" style="111" bestFit="1" customWidth="1"/>
    <col min="10150" max="10150" width="7.7109375" style="111" bestFit="1" customWidth="1"/>
    <col min="10151" max="10151" width="15" style="111" bestFit="1" customWidth="1"/>
    <col min="10152" max="10152" width="7.42578125" style="111" bestFit="1" customWidth="1"/>
    <col min="10153" max="10153" width="7.7109375" style="111" bestFit="1" customWidth="1"/>
    <col min="10154" max="10154" width="9.42578125" style="111" bestFit="1" customWidth="1"/>
    <col min="10155" max="10155" width="8" style="111" bestFit="1" customWidth="1"/>
    <col min="10156" max="10156" width="7.7109375" style="111" bestFit="1" customWidth="1"/>
    <col min="10157" max="10157" width="10.42578125" style="111" bestFit="1" customWidth="1"/>
    <col min="10158" max="10158" width="8" style="111" bestFit="1" customWidth="1"/>
    <col min="10159" max="10159" width="7.7109375" style="111" bestFit="1" customWidth="1"/>
    <col min="10160" max="10160" width="10.42578125" style="111" bestFit="1" customWidth="1"/>
    <col min="10161" max="10161" width="7.42578125" style="111" bestFit="1" customWidth="1"/>
    <col min="10162" max="10162" width="7.7109375" style="111" bestFit="1" customWidth="1"/>
    <col min="10163" max="10163" width="10.42578125" style="111" bestFit="1" customWidth="1"/>
    <col min="10164" max="10164" width="8" style="111" bestFit="1" customWidth="1"/>
    <col min="10165" max="10165" width="7.7109375" style="111" bestFit="1" customWidth="1"/>
    <col min="10166" max="10166" width="10.42578125" style="111" bestFit="1" customWidth="1"/>
    <col min="10167" max="10167" width="7.42578125" style="111" bestFit="1" customWidth="1"/>
    <col min="10168" max="10168" width="7.7109375" style="111" bestFit="1" customWidth="1"/>
    <col min="10169" max="10169" width="10.42578125" style="111" bestFit="1" customWidth="1"/>
    <col min="10170" max="10170" width="7.42578125" style="111" bestFit="1" customWidth="1"/>
    <col min="10171" max="10171" width="7.7109375" style="111" bestFit="1" customWidth="1"/>
    <col min="10172" max="10172" width="10.42578125" style="111" bestFit="1" customWidth="1"/>
    <col min="10173" max="10173" width="5.140625" style="111" customWidth="1"/>
    <col min="10174" max="10396" width="8.7109375" style="111"/>
    <col min="10397" max="10397" width="3.42578125" style="111" customWidth="1"/>
    <col min="10398" max="10398" width="7" style="111" customWidth="1"/>
    <col min="10399" max="10399" width="25.42578125" style="111" customWidth="1"/>
    <col min="10400" max="10400" width="12" style="111" customWidth="1"/>
    <col min="10401" max="10401" width="12.7109375" style="111" bestFit="1" customWidth="1"/>
    <col min="10402" max="10402" width="7.42578125" style="111" bestFit="1" customWidth="1"/>
    <col min="10403" max="10403" width="7.7109375" style="111" bestFit="1" customWidth="1"/>
    <col min="10404" max="10404" width="15" style="111" customWidth="1"/>
    <col min="10405" max="10405" width="7.42578125" style="111" bestFit="1" customWidth="1"/>
    <col min="10406" max="10406" width="7.7109375" style="111" bestFit="1" customWidth="1"/>
    <col min="10407" max="10407" width="15" style="111" bestFit="1" customWidth="1"/>
    <col min="10408" max="10408" width="7.42578125" style="111" bestFit="1" customWidth="1"/>
    <col min="10409" max="10409" width="7.7109375" style="111" bestFit="1" customWidth="1"/>
    <col min="10410" max="10410" width="9.42578125" style="111" bestFit="1" customWidth="1"/>
    <col min="10411" max="10411" width="8" style="111" bestFit="1" customWidth="1"/>
    <col min="10412" max="10412" width="7.7109375" style="111" bestFit="1" customWidth="1"/>
    <col min="10413" max="10413" width="10.42578125" style="111" bestFit="1" customWidth="1"/>
    <col min="10414" max="10414" width="8" style="111" bestFit="1" customWidth="1"/>
    <col min="10415" max="10415" width="7.7109375" style="111" bestFit="1" customWidth="1"/>
    <col min="10416" max="10416" width="10.42578125" style="111" bestFit="1" customWidth="1"/>
    <col min="10417" max="10417" width="7.42578125" style="111" bestFit="1" customWidth="1"/>
    <col min="10418" max="10418" width="7.7109375" style="111" bestFit="1" customWidth="1"/>
    <col min="10419" max="10419" width="10.42578125" style="111" bestFit="1" customWidth="1"/>
    <col min="10420" max="10420" width="8" style="111" bestFit="1" customWidth="1"/>
    <col min="10421" max="10421" width="7.7109375" style="111" bestFit="1" customWidth="1"/>
    <col min="10422" max="10422" width="10.42578125" style="111" bestFit="1" customWidth="1"/>
    <col min="10423" max="10423" width="7.42578125" style="111" bestFit="1" customWidth="1"/>
    <col min="10424" max="10424" width="7.7109375" style="111" bestFit="1" customWidth="1"/>
    <col min="10425" max="10425" width="10.42578125" style="111" bestFit="1" customWidth="1"/>
    <col min="10426" max="10426" width="7.42578125" style="111" bestFit="1" customWidth="1"/>
    <col min="10427" max="10427" width="7.7109375" style="111" bestFit="1" customWidth="1"/>
    <col min="10428" max="10428" width="10.42578125" style="111" bestFit="1" customWidth="1"/>
    <col min="10429" max="10429" width="5.140625" style="111" customWidth="1"/>
    <col min="10430" max="10652" width="8.7109375" style="111"/>
    <col min="10653" max="10653" width="3.42578125" style="111" customWidth="1"/>
    <col min="10654" max="10654" width="7" style="111" customWidth="1"/>
    <col min="10655" max="10655" width="25.42578125" style="111" customWidth="1"/>
    <col min="10656" max="10656" width="12" style="111" customWidth="1"/>
    <col min="10657" max="10657" width="12.7109375" style="111" bestFit="1" customWidth="1"/>
    <col min="10658" max="10658" width="7.42578125" style="111" bestFit="1" customWidth="1"/>
    <col min="10659" max="10659" width="7.7109375" style="111" bestFit="1" customWidth="1"/>
    <col min="10660" max="10660" width="15" style="111" customWidth="1"/>
    <col min="10661" max="10661" width="7.42578125" style="111" bestFit="1" customWidth="1"/>
    <col min="10662" max="10662" width="7.7109375" style="111" bestFit="1" customWidth="1"/>
    <col min="10663" max="10663" width="15" style="111" bestFit="1" customWidth="1"/>
    <col min="10664" max="10664" width="7.42578125" style="111" bestFit="1" customWidth="1"/>
    <col min="10665" max="10665" width="7.7109375" style="111" bestFit="1" customWidth="1"/>
    <col min="10666" max="10666" width="9.42578125" style="111" bestFit="1" customWidth="1"/>
    <col min="10667" max="10667" width="8" style="111" bestFit="1" customWidth="1"/>
    <col min="10668" max="10668" width="7.7109375" style="111" bestFit="1" customWidth="1"/>
    <col min="10669" max="10669" width="10.42578125" style="111" bestFit="1" customWidth="1"/>
    <col min="10670" max="10670" width="8" style="111" bestFit="1" customWidth="1"/>
    <col min="10671" max="10671" width="7.7109375" style="111" bestFit="1" customWidth="1"/>
    <col min="10672" max="10672" width="10.42578125" style="111" bestFit="1" customWidth="1"/>
    <col min="10673" max="10673" width="7.42578125" style="111" bestFit="1" customWidth="1"/>
    <col min="10674" max="10674" width="7.7109375" style="111" bestFit="1" customWidth="1"/>
    <col min="10675" max="10675" width="10.42578125" style="111" bestFit="1" customWidth="1"/>
    <col min="10676" max="10676" width="8" style="111" bestFit="1" customWidth="1"/>
    <col min="10677" max="10677" width="7.7109375" style="111" bestFit="1" customWidth="1"/>
    <col min="10678" max="10678" width="10.42578125" style="111" bestFit="1" customWidth="1"/>
    <col min="10679" max="10679" width="7.42578125" style="111" bestFit="1" customWidth="1"/>
    <col min="10680" max="10680" width="7.7109375" style="111" bestFit="1" customWidth="1"/>
    <col min="10681" max="10681" width="10.42578125" style="111" bestFit="1" customWidth="1"/>
    <col min="10682" max="10682" width="7.42578125" style="111" bestFit="1" customWidth="1"/>
    <col min="10683" max="10683" width="7.7109375" style="111" bestFit="1" customWidth="1"/>
    <col min="10684" max="10684" width="10.42578125" style="111" bestFit="1" customWidth="1"/>
    <col min="10685" max="10685" width="5.140625" style="111" customWidth="1"/>
    <col min="10686" max="10908" width="8.7109375" style="111"/>
    <col min="10909" max="10909" width="3.42578125" style="111" customWidth="1"/>
    <col min="10910" max="10910" width="7" style="111" customWidth="1"/>
    <col min="10911" max="10911" width="25.42578125" style="111" customWidth="1"/>
    <col min="10912" max="10912" width="12" style="111" customWidth="1"/>
    <col min="10913" max="10913" width="12.7109375" style="111" bestFit="1" customWidth="1"/>
    <col min="10914" max="10914" width="7.42578125" style="111" bestFit="1" customWidth="1"/>
    <col min="10915" max="10915" width="7.7109375" style="111" bestFit="1" customWidth="1"/>
    <col min="10916" max="10916" width="15" style="111" customWidth="1"/>
    <col min="10917" max="10917" width="7.42578125" style="111" bestFit="1" customWidth="1"/>
    <col min="10918" max="10918" width="7.7109375" style="111" bestFit="1" customWidth="1"/>
    <col min="10919" max="10919" width="15" style="111" bestFit="1" customWidth="1"/>
    <col min="10920" max="10920" width="7.42578125" style="111" bestFit="1" customWidth="1"/>
    <col min="10921" max="10921" width="7.7109375" style="111" bestFit="1" customWidth="1"/>
    <col min="10922" max="10922" width="9.42578125" style="111" bestFit="1" customWidth="1"/>
    <col min="10923" max="10923" width="8" style="111" bestFit="1" customWidth="1"/>
    <col min="10924" max="10924" width="7.7109375" style="111" bestFit="1" customWidth="1"/>
    <col min="10925" max="10925" width="10.42578125" style="111" bestFit="1" customWidth="1"/>
    <col min="10926" max="10926" width="8" style="111" bestFit="1" customWidth="1"/>
    <col min="10927" max="10927" width="7.7109375" style="111" bestFit="1" customWidth="1"/>
    <col min="10928" max="10928" width="10.42578125" style="111" bestFit="1" customWidth="1"/>
    <col min="10929" max="10929" width="7.42578125" style="111" bestFit="1" customWidth="1"/>
    <col min="10930" max="10930" width="7.7109375" style="111" bestFit="1" customWidth="1"/>
    <col min="10931" max="10931" width="10.42578125" style="111" bestFit="1" customWidth="1"/>
    <col min="10932" max="10932" width="8" style="111" bestFit="1" customWidth="1"/>
    <col min="10933" max="10933" width="7.7109375" style="111" bestFit="1" customWidth="1"/>
    <col min="10934" max="10934" width="10.42578125" style="111" bestFit="1" customWidth="1"/>
    <col min="10935" max="10935" width="7.42578125" style="111" bestFit="1" customWidth="1"/>
    <col min="10936" max="10936" width="7.7109375" style="111" bestFit="1" customWidth="1"/>
    <col min="10937" max="10937" width="10.42578125" style="111" bestFit="1" customWidth="1"/>
    <col min="10938" max="10938" width="7.42578125" style="111" bestFit="1" customWidth="1"/>
    <col min="10939" max="10939" width="7.7109375" style="111" bestFit="1" customWidth="1"/>
    <col min="10940" max="10940" width="10.42578125" style="111" bestFit="1" customWidth="1"/>
    <col min="10941" max="10941" width="5.140625" style="111" customWidth="1"/>
    <col min="10942" max="11164" width="8.7109375" style="111"/>
    <col min="11165" max="11165" width="3.42578125" style="111" customWidth="1"/>
    <col min="11166" max="11166" width="7" style="111" customWidth="1"/>
    <col min="11167" max="11167" width="25.42578125" style="111" customWidth="1"/>
    <col min="11168" max="11168" width="12" style="111" customWidth="1"/>
    <col min="11169" max="11169" width="12.7109375" style="111" bestFit="1" customWidth="1"/>
    <col min="11170" max="11170" width="7.42578125" style="111" bestFit="1" customWidth="1"/>
    <col min="11171" max="11171" width="7.7109375" style="111" bestFit="1" customWidth="1"/>
    <col min="11172" max="11172" width="15" style="111" customWidth="1"/>
    <col min="11173" max="11173" width="7.42578125" style="111" bestFit="1" customWidth="1"/>
    <col min="11174" max="11174" width="7.7109375" style="111" bestFit="1" customWidth="1"/>
    <col min="11175" max="11175" width="15" style="111" bestFit="1" customWidth="1"/>
    <col min="11176" max="11176" width="7.42578125" style="111" bestFit="1" customWidth="1"/>
    <col min="11177" max="11177" width="7.7109375" style="111" bestFit="1" customWidth="1"/>
    <col min="11178" max="11178" width="9.42578125" style="111" bestFit="1" customWidth="1"/>
    <col min="11179" max="11179" width="8" style="111" bestFit="1" customWidth="1"/>
    <col min="11180" max="11180" width="7.7109375" style="111" bestFit="1" customWidth="1"/>
    <col min="11181" max="11181" width="10.42578125" style="111" bestFit="1" customWidth="1"/>
    <col min="11182" max="11182" width="8" style="111" bestFit="1" customWidth="1"/>
    <col min="11183" max="11183" width="7.7109375" style="111" bestFit="1" customWidth="1"/>
    <col min="11184" max="11184" width="10.42578125" style="111" bestFit="1" customWidth="1"/>
    <col min="11185" max="11185" width="7.42578125" style="111" bestFit="1" customWidth="1"/>
    <col min="11186" max="11186" width="7.7109375" style="111" bestFit="1" customWidth="1"/>
    <col min="11187" max="11187" width="10.42578125" style="111" bestFit="1" customWidth="1"/>
    <col min="11188" max="11188" width="8" style="111" bestFit="1" customWidth="1"/>
    <col min="11189" max="11189" width="7.7109375" style="111" bestFit="1" customWidth="1"/>
    <col min="11190" max="11190" width="10.42578125" style="111" bestFit="1" customWidth="1"/>
    <col min="11191" max="11191" width="7.42578125" style="111" bestFit="1" customWidth="1"/>
    <col min="11192" max="11192" width="7.7109375" style="111" bestFit="1" customWidth="1"/>
    <col min="11193" max="11193" width="10.42578125" style="111" bestFit="1" customWidth="1"/>
    <col min="11194" max="11194" width="7.42578125" style="111" bestFit="1" customWidth="1"/>
    <col min="11195" max="11195" width="7.7109375" style="111" bestFit="1" customWidth="1"/>
    <col min="11196" max="11196" width="10.42578125" style="111" bestFit="1" customWidth="1"/>
    <col min="11197" max="11197" width="5.140625" style="111" customWidth="1"/>
    <col min="11198" max="11420" width="8.7109375" style="111"/>
    <col min="11421" max="11421" width="3.42578125" style="111" customWidth="1"/>
    <col min="11422" max="11422" width="7" style="111" customWidth="1"/>
    <col min="11423" max="11423" width="25.42578125" style="111" customWidth="1"/>
    <col min="11424" max="11424" width="12" style="111" customWidth="1"/>
    <col min="11425" max="11425" width="12.7109375" style="111" bestFit="1" customWidth="1"/>
    <col min="11426" max="11426" width="7.42578125" style="111" bestFit="1" customWidth="1"/>
    <col min="11427" max="11427" width="7.7109375" style="111" bestFit="1" customWidth="1"/>
    <col min="11428" max="11428" width="15" style="111" customWidth="1"/>
    <col min="11429" max="11429" width="7.42578125" style="111" bestFit="1" customWidth="1"/>
    <col min="11430" max="11430" width="7.7109375" style="111" bestFit="1" customWidth="1"/>
    <col min="11431" max="11431" width="15" style="111" bestFit="1" customWidth="1"/>
    <col min="11432" max="11432" width="7.42578125" style="111" bestFit="1" customWidth="1"/>
    <col min="11433" max="11433" width="7.7109375" style="111" bestFit="1" customWidth="1"/>
    <col min="11434" max="11434" width="9.42578125" style="111" bestFit="1" customWidth="1"/>
    <col min="11435" max="11435" width="8" style="111" bestFit="1" customWidth="1"/>
    <col min="11436" max="11436" width="7.7109375" style="111" bestFit="1" customWidth="1"/>
    <col min="11437" max="11437" width="10.42578125" style="111" bestFit="1" customWidth="1"/>
    <col min="11438" max="11438" width="8" style="111" bestFit="1" customWidth="1"/>
    <col min="11439" max="11439" width="7.7109375" style="111" bestFit="1" customWidth="1"/>
    <col min="11440" max="11440" width="10.42578125" style="111" bestFit="1" customWidth="1"/>
    <col min="11441" max="11441" width="7.42578125" style="111" bestFit="1" customWidth="1"/>
    <col min="11442" max="11442" width="7.7109375" style="111" bestFit="1" customWidth="1"/>
    <col min="11443" max="11443" width="10.42578125" style="111" bestFit="1" customWidth="1"/>
    <col min="11444" max="11444" width="8" style="111" bestFit="1" customWidth="1"/>
    <col min="11445" max="11445" width="7.7109375" style="111" bestFit="1" customWidth="1"/>
    <col min="11446" max="11446" width="10.42578125" style="111" bestFit="1" customWidth="1"/>
    <col min="11447" max="11447" width="7.42578125" style="111" bestFit="1" customWidth="1"/>
    <col min="11448" max="11448" width="7.7109375" style="111" bestFit="1" customWidth="1"/>
    <col min="11449" max="11449" width="10.42578125" style="111" bestFit="1" customWidth="1"/>
    <col min="11450" max="11450" width="7.42578125" style="111" bestFit="1" customWidth="1"/>
    <col min="11451" max="11451" width="7.7109375" style="111" bestFit="1" customWidth="1"/>
    <col min="11452" max="11452" width="10.42578125" style="111" bestFit="1" customWidth="1"/>
    <col min="11453" max="11453" width="5.140625" style="111" customWidth="1"/>
    <col min="11454" max="11676" width="8.7109375" style="111"/>
    <col min="11677" max="11677" width="3.42578125" style="111" customWidth="1"/>
    <col min="11678" max="11678" width="7" style="111" customWidth="1"/>
    <col min="11679" max="11679" width="25.42578125" style="111" customWidth="1"/>
    <col min="11680" max="11680" width="12" style="111" customWidth="1"/>
    <col min="11681" max="11681" width="12.7109375" style="111" bestFit="1" customWidth="1"/>
    <col min="11682" max="11682" width="7.42578125" style="111" bestFit="1" customWidth="1"/>
    <col min="11683" max="11683" width="7.7109375" style="111" bestFit="1" customWidth="1"/>
    <col min="11684" max="11684" width="15" style="111" customWidth="1"/>
    <col min="11685" max="11685" width="7.42578125" style="111" bestFit="1" customWidth="1"/>
    <col min="11686" max="11686" width="7.7109375" style="111" bestFit="1" customWidth="1"/>
    <col min="11687" max="11687" width="15" style="111" bestFit="1" customWidth="1"/>
    <col min="11688" max="11688" width="7.42578125" style="111" bestFit="1" customWidth="1"/>
    <col min="11689" max="11689" width="7.7109375" style="111" bestFit="1" customWidth="1"/>
    <col min="11690" max="11690" width="9.42578125" style="111" bestFit="1" customWidth="1"/>
    <col min="11691" max="11691" width="8" style="111" bestFit="1" customWidth="1"/>
    <col min="11692" max="11692" width="7.7109375" style="111" bestFit="1" customWidth="1"/>
    <col min="11693" max="11693" width="10.42578125" style="111" bestFit="1" customWidth="1"/>
    <col min="11694" max="11694" width="8" style="111" bestFit="1" customWidth="1"/>
    <col min="11695" max="11695" width="7.7109375" style="111" bestFit="1" customWidth="1"/>
    <col min="11696" max="11696" width="10.42578125" style="111" bestFit="1" customWidth="1"/>
    <col min="11697" max="11697" width="7.42578125" style="111" bestFit="1" customWidth="1"/>
    <col min="11698" max="11698" width="7.7109375" style="111" bestFit="1" customWidth="1"/>
    <col min="11699" max="11699" width="10.42578125" style="111" bestFit="1" customWidth="1"/>
    <col min="11700" max="11700" width="8" style="111" bestFit="1" customWidth="1"/>
    <col min="11701" max="11701" width="7.7109375" style="111" bestFit="1" customWidth="1"/>
    <col min="11702" max="11702" width="10.42578125" style="111" bestFit="1" customWidth="1"/>
    <col min="11703" max="11703" width="7.42578125" style="111" bestFit="1" customWidth="1"/>
    <col min="11704" max="11704" width="7.7109375" style="111" bestFit="1" customWidth="1"/>
    <col min="11705" max="11705" width="10.42578125" style="111" bestFit="1" customWidth="1"/>
    <col min="11706" max="11706" width="7.42578125" style="111" bestFit="1" customWidth="1"/>
    <col min="11707" max="11707" width="7.7109375" style="111" bestFit="1" customWidth="1"/>
    <col min="11708" max="11708" width="10.42578125" style="111" bestFit="1" customWidth="1"/>
    <col min="11709" max="11709" width="5.140625" style="111" customWidth="1"/>
    <col min="11710" max="11932" width="8.7109375" style="111"/>
    <col min="11933" max="11933" width="3.42578125" style="111" customWidth="1"/>
    <col min="11934" max="11934" width="7" style="111" customWidth="1"/>
    <col min="11935" max="11935" width="25.42578125" style="111" customWidth="1"/>
    <col min="11936" max="11936" width="12" style="111" customWidth="1"/>
    <col min="11937" max="11937" width="12.7109375" style="111" bestFit="1" customWidth="1"/>
    <col min="11938" max="11938" width="7.42578125" style="111" bestFit="1" customWidth="1"/>
    <col min="11939" max="11939" width="7.7109375" style="111" bestFit="1" customWidth="1"/>
    <col min="11940" max="11940" width="15" style="111" customWidth="1"/>
    <col min="11941" max="11941" width="7.42578125" style="111" bestFit="1" customWidth="1"/>
    <col min="11942" max="11942" width="7.7109375" style="111" bestFit="1" customWidth="1"/>
    <col min="11943" max="11943" width="15" style="111" bestFit="1" customWidth="1"/>
    <col min="11944" max="11944" width="7.42578125" style="111" bestFit="1" customWidth="1"/>
    <col min="11945" max="11945" width="7.7109375" style="111" bestFit="1" customWidth="1"/>
    <col min="11946" max="11946" width="9.42578125" style="111" bestFit="1" customWidth="1"/>
    <col min="11947" max="11947" width="8" style="111" bestFit="1" customWidth="1"/>
    <col min="11948" max="11948" width="7.7109375" style="111" bestFit="1" customWidth="1"/>
    <col min="11949" max="11949" width="10.42578125" style="111" bestFit="1" customWidth="1"/>
    <col min="11950" max="11950" width="8" style="111" bestFit="1" customWidth="1"/>
    <col min="11951" max="11951" width="7.7109375" style="111" bestFit="1" customWidth="1"/>
    <col min="11952" max="11952" width="10.42578125" style="111" bestFit="1" customWidth="1"/>
    <col min="11953" max="11953" width="7.42578125" style="111" bestFit="1" customWidth="1"/>
    <col min="11954" max="11954" width="7.7109375" style="111" bestFit="1" customWidth="1"/>
    <col min="11955" max="11955" width="10.42578125" style="111" bestFit="1" customWidth="1"/>
    <col min="11956" max="11956" width="8" style="111" bestFit="1" customWidth="1"/>
    <col min="11957" max="11957" width="7.7109375" style="111" bestFit="1" customWidth="1"/>
    <col min="11958" max="11958" width="10.42578125" style="111" bestFit="1" customWidth="1"/>
    <col min="11959" max="11959" width="7.42578125" style="111" bestFit="1" customWidth="1"/>
    <col min="11960" max="11960" width="7.7109375" style="111" bestFit="1" customWidth="1"/>
    <col min="11961" max="11961" width="10.42578125" style="111" bestFit="1" customWidth="1"/>
    <col min="11962" max="11962" width="7.42578125" style="111" bestFit="1" customWidth="1"/>
    <col min="11963" max="11963" width="7.7109375" style="111" bestFit="1" customWidth="1"/>
    <col min="11964" max="11964" width="10.42578125" style="111" bestFit="1" customWidth="1"/>
    <col min="11965" max="11965" width="5.140625" style="111" customWidth="1"/>
    <col min="11966" max="12188" width="8.7109375" style="111"/>
    <col min="12189" max="12189" width="3.42578125" style="111" customWidth="1"/>
    <col min="12190" max="12190" width="7" style="111" customWidth="1"/>
    <col min="12191" max="12191" width="25.42578125" style="111" customWidth="1"/>
    <col min="12192" max="12192" width="12" style="111" customWidth="1"/>
    <col min="12193" max="12193" width="12.7109375" style="111" bestFit="1" customWidth="1"/>
    <col min="12194" max="12194" width="7.42578125" style="111" bestFit="1" customWidth="1"/>
    <col min="12195" max="12195" width="7.7109375" style="111" bestFit="1" customWidth="1"/>
    <col min="12196" max="12196" width="15" style="111" customWidth="1"/>
    <col min="12197" max="12197" width="7.42578125" style="111" bestFit="1" customWidth="1"/>
    <col min="12198" max="12198" width="7.7109375" style="111" bestFit="1" customWidth="1"/>
    <col min="12199" max="12199" width="15" style="111" bestFit="1" customWidth="1"/>
    <col min="12200" max="12200" width="7.42578125" style="111" bestFit="1" customWidth="1"/>
    <col min="12201" max="12201" width="7.7109375" style="111" bestFit="1" customWidth="1"/>
    <col min="12202" max="12202" width="9.42578125" style="111" bestFit="1" customWidth="1"/>
    <col min="12203" max="12203" width="8" style="111" bestFit="1" customWidth="1"/>
    <col min="12204" max="12204" width="7.7109375" style="111" bestFit="1" customWidth="1"/>
    <col min="12205" max="12205" width="10.42578125" style="111" bestFit="1" customWidth="1"/>
    <col min="12206" max="12206" width="8" style="111" bestFit="1" customWidth="1"/>
    <col min="12207" max="12207" width="7.7109375" style="111" bestFit="1" customWidth="1"/>
    <col min="12208" max="12208" width="10.42578125" style="111" bestFit="1" customWidth="1"/>
    <col min="12209" max="12209" width="7.42578125" style="111" bestFit="1" customWidth="1"/>
    <col min="12210" max="12210" width="7.7109375" style="111" bestFit="1" customWidth="1"/>
    <col min="12211" max="12211" width="10.42578125" style="111" bestFit="1" customWidth="1"/>
    <col min="12212" max="12212" width="8" style="111" bestFit="1" customWidth="1"/>
    <col min="12213" max="12213" width="7.7109375" style="111" bestFit="1" customWidth="1"/>
    <col min="12214" max="12214" width="10.42578125" style="111" bestFit="1" customWidth="1"/>
    <col min="12215" max="12215" width="7.42578125" style="111" bestFit="1" customWidth="1"/>
    <col min="12216" max="12216" width="7.7109375" style="111" bestFit="1" customWidth="1"/>
    <col min="12217" max="12217" width="10.42578125" style="111" bestFit="1" customWidth="1"/>
    <col min="12218" max="12218" width="7.42578125" style="111" bestFit="1" customWidth="1"/>
    <col min="12219" max="12219" width="7.7109375" style="111" bestFit="1" customWidth="1"/>
    <col min="12220" max="12220" width="10.42578125" style="111" bestFit="1" customWidth="1"/>
    <col min="12221" max="12221" width="5.140625" style="111" customWidth="1"/>
    <col min="12222" max="12444" width="8.7109375" style="111"/>
    <col min="12445" max="12445" width="3.42578125" style="111" customWidth="1"/>
    <col min="12446" max="12446" width="7" style="111" customWidth="1"/>
    <col min="12447" max="12447" width="25.42578125" style="111" customWidth="1"/>
    <col min="12448" max="12448" width="12" style="111" customWidth="1"/>
    <col min="12449" max="12449" width="12.7109375" style="111" bestFit="1" customWidth="1"/>
    <col min="12450" max="12450" width="7.42578125" style="111" bestFit="1" customWidth="1"/>
    <col min="12451" max="12451" width="7.7109375" style="111" bestFit="1" customWidth="1"/>
    <col min="12452" max="12452" width="15" style="111" customWidth="1"/>
    <col min="12453" max="12453" width="7.42578125" style="111" bestFit="1" customWidth="1"/>
    <col min="12454" max="12454" width="7.7109375" style="111" bestFit="1" customWidth="1"/>
    <col min="12455" max="12455" width="15" style="111" bestFit="1" customWidth="1"/>
    <col min="12456" max="12456" width="7.42578125" style="111" bestFit="1" customWidth="1"/>
    <col min="12457" max="12457" width="7.7109375" style="111" bestFit="1" customWidth="1"/>
    <col min="12458" max="12458" width="9.42578125" style="111" bestFit="1" customWidth="1"/>
    <col min="12459" max="12459" width="8" style="111" bestFit="1" customWidth="1"/>
    <col min="12460" max="12460" width="7.7109375" style="111" bestFit="1" customWidth="1"/>
    <col min="12461" max="12461" width="10.42578125" style="111" bestFit="1" customWidth="1"/>
    <col min="12462" max="12462" width="8" style="111" bestFit="1" customWidth="1"/>
    <col min="12463" max="12463" width="7.7109375" style="111" bestFit="1" customWidth="1"/>
    <col min="12464" max="12464" width="10.42578125" style="111" bestFit="1" customWidth="1"/>
    <col min="12465" max="12465" width="7.42578125" style="111" bestFit="1" customWidth="1"/>
    <col min="12466" max="12466" width="7.7109375" style="111" bestFit="1" customWidth="1"/>
    <col min="12467" max="12467" width="10.42578125" style="111" bestFit="1" customWidth="1"/>
    <col min="12468" max="12468" width="8" style="111" bestFit="1" customWidth="1"/>
    <col min="12469" max="12469" width="7.7109375" style="111" bestFit="1" customWidth="1"/>
    <col min="12470" max="12470" width="10.42578125" style="111" bestFit="1" customWidth="1"/>
    <col min="12471" max="12471" width="7.42578125" style="111" bestFit="1" customWidth="1"/>
    <col min="12472" max="12472" width="7.7109375" style="111" bestFit="1" customWidth="1"/>
    <col min="12473" max="12473" width="10.42578125" style="111" bestFit="1" customWidth="1"/>
    <col min="12474" max="12474" width="7.42578125" style="111" bestFit="1" customWidth="1"/>
    <col min="12475" max="12475" width="7.7109375" style="111" bestFit="1" customWidth="1"/>
    <col min="12476" max="12476" width="10.42578125" style="111" bestFit="1" customWidth="1"/>
    <col min="12477" max="12477" width="5.140625" style="111" customWidth="1"/>
    <col min="12478" max="12700" width="8.7109375" style="111"/>
    <col min="12701" max="12701" width="3.42578125" style="111" customWidth="1"/>
    <col min="12702" max="12702" width="7" style="111" customWidth="1"/>
    <col min="12703" max="12703" width="25.42578125" style="111" customWidth="1"/>
    <col min="12704" max="12704" width="12" style="111" customWidth="1"/>
    <col min="12705" max="12705" width="12.7109375" style="111" bestFit="1" customWidth="1"/>
    <col min="12706" max="12706" width="7.42578125" style="111" bestFit="1" customWidth="1"/>
    <col min="12707" max="12707" width="7.7109375" style="111" bestFit="1" customWidth="1"/>
    <col min="12708" max="12708" width="15" style="111" customWidth="1"/>
    <col min="12709" max="12709" width="7.42578125" style="111" bestFit="1" customWidth="1"/>
    <col min="12710" max="12710" width="7.7109375" style="111" bestFit="1" customWidth="1"/>
    <col min="12711" max="12711" width="15" style="111" bestFit="1" customWidth="1"/>
    <col min="12712" max="12712" width="7.42578125" style="111" bestFit="1" customWidth="1"/>
    <col min="12713" max="12713" width="7.7109375" style="111" bestFit="1" customWidth="1"/>
    <col min="12714" max="12714" width="9.42578125" style="111" bestFit="1" customWidth="1"/>
    <col min="12715" max="12715" width="8" style="111" bestFit="1" customWidth="1"/>
    <col min="12716" max="12716" width="7.7109375" style="111" bestFit="1" customWidth="1"/>
    <col min="12717" max="12717" width="10.42578125" style="111" bestFit="1" customWidth="1"/>
    <col min="12718" max="12718" width="8" style="111" bestFit="1" customWidth="1"/>
    <col min="12719" max="12719" width="7.7109375" style="111" bestFit="1" customWidth="1"/>
    <col min="12720" max="12720" width="10.42578125" style="111" bestFit="1" customWidth="1"/>
    <col min="12721" max="12721" width="7.42578125" style="111" bestFit="1" customWidth="1"/>
    <col min="12722" max="12722" width="7.7109375" style="111" bestFit="1" customWidth="1"/>
    <col min="12723" max="12723" width="10.42578125" style="111" bestFit="1" customWidth="1"/>
    <col min="12724" max="12724" width="8" style="111" bestFit="1" customWidth="1"/>
    <col min="12725" max="12725" width="7.7109375" style="111" bestFit="1" customWidth="1"/>
    <col min="12726" max="12726" width="10.42578125" style="111" bestFit="1" customWidth="1"/>
    <col min="12727" max="12727" width="7.42578125" style="111" bestFit="1" customWidth="1"/>
    <col min="12728" max="12728" width="7.7109375" style="111" bestFit="1" customWidth="1"/>
    <col min="12729" max="12729" width="10.42578125" style="111" bestFit="1" customWidth="1"/>
    <col min="12730" max="12730" width="7.42578125" style="111" bestFit="1" customWidth="1"/>
    <col min="12731" max="12731" width="7.7109375" style="111" bestFit="1" customWidth="1"/>
    <col min="12732" max="12732" width="10.42578125" style="111" bestFit="1" customWidth="1"/>
    <col min="12733" max="12733" width="5.140625" style="111" customWidth="1"/>
    <col min="12734" max="12956" width="8.7109375" style="111"/>
    <col min="12957" max="12957" width="3.42578125" style="111" customWidth="1"/>
    <col min="12958" max="12958" width="7" style="111" customWidth="1"/>
    <col min="12959" max="12959" width="25.42578125" style="111" customWidth="1"/>
    <col min="12960" max="12960" width="12" style="111" customWidth="1"/>
    <col min="12961" max="12961" width="12.7109375" style="111" bestFit="1" customWidth="1"/>
    <col min="12962" max="12962" width="7.42578125" style="111" bestFit="1" customWidth="1"/>
    <col min="12963" max="12963" width="7.7109375" style="111" bestFit="1" customWidth="1"/>
    <col min="12964" max="12964" width="15" style="111" customWidth="1"/>
    <col min="12965" max="12965" width="7.42578125" style="111" bestFit="1" customWidth="1"/>
    <col min="12966" max="12966" width="7.7109375" style="111" bestFit="1" customWidth="1"/>
    <col min="12967" max="12967" width="15" style="111" bestFit="1" customWidth="1"/>
    <col min="12968" max="12968" width="7.42578125" style="111" bestFit="1" customWidth="1"/>
    <col min="12969" max="12969" width="7.7109375" style="111" bestFit="1" customWidth="1"/>
    <col min="12970" max="12970" width="9.42578125" style="111" bestFit="1" customWidth="1"/>
    <col min="12971" max="12971" width="8" style="111" bestFit="1" customWidth="1"/>
    <col min="12972" max="12972" width="7.7109375" style="111" bestFit="1" customWidth="1"/>
    <col min="12973" max="12973" width="10.42578125" style="111" bestFit="1" customWidth="1"/>
    <col min="12974" max="12974" width="8" style="111" bestFit="1" customWidth="1"/>
    <col min="12975" max="12975" width="7.7109375" style="111" bestFit="1" customWidth="1"/>
    <col min="12976" max="12976" width="10.42578125" style="111" bestFit="1" customWidth="1"/>
    <col min="12977" max="12977" width="7.42578125" style="111" bestFit="1" customWidth="1"/>
    <col min="12978" max="12978" width="7.7109375" style="111" bestFit="1" customWidth="1"/>
    <col min="12979" max="12979" width="10.42578125" style="111" bestFit="1" customWidth="1"/>
    <col min="12980" max="12980" width="8" style="111" bestFit="1" customWidth="1"/>
    <col min="12981" max="12981" width="7.7109375" style="111" bestFit="1" customWidth="1"/>
    <col min="12982" max="12982" width="10.42578125" style="111" bestFit="1" customWidth="1"/>
    <col min="12983" max="12983" width="7.42578125" style="111" bestFit="1" customWidth="1"/>
    <col min="12984" max="12984" width="7.7109375" style="111" bestFit="1" customWidth="1"/>
    <col min="12985" max="12985" width="10.42578125" style="111" bestFit="1" customWidth="1"/>
    <col min="12986" max="12986" width="7.42578125" style="111" bestFit="1" customWidth="1"/>
    <col min="12987" max="12987" width="7.7109375" style="111" bestFit="1" customWidth="1"/>
    <col min="12988" max="12988" width="10.42578125" style="111" bestFit="1" customWidth="1"/>
    <col min="12989" max="12989" width="5.140625" style="111" customWidth="1"/>
    <col min="12990" max="13212" width="8.7109375" style="111"/>
    <col min="13213" max="13213" width="3.42578125" style="111" customWidth="1"/>
    <col min="13214" max="13214" width="7" style="111" customWidth="1"/>
    <col min="13215" max="13215" width="25.42578125" style="111" customWidth="1"/>
    <col min="13216" max="13216" width="12" style="111" customWidth="1"/>
    <col min="13217" max="13217" width="12.7109375" style="111" bestFit="1" customWidth="1"/>
    <col min="13218" max="13218" width="7.42578125" style="111" bestFit="1" customWidth="1"/>
    <col min="13219" max="13219" width="7.7109375" style="111" bestFit="1" customWidth="1"/>
    <col min="13220" max="13220" width="15" style="111" customWidth="1"/>
    <col min="13221" max="13221" width="7.42578125" style="111" bestFit="1" customWidth="1"/>
    <col min="13222" max="13222" width="7.7109375" style="111" bestFit="1" customWidth="1"/>
    <col min="13223" max="13223" width="15" style="111" bestFit="1" customWidth="1"/>
    <col min="13224" max="13224" width="7.42578125" style="111" bestFit="1" customWidth="1"/>
    <col min="13225" max="13225" width="7.7109375" style="111" bestFit="1" customWidth="1"/>
    <col min="13226" max="13226" width="9.42578125" style="111" bestFit="1" customWidth="1"/>
    <col min="13227" max="13227" width="8" style="111" bestFit="1" customWidth="1"/>
    <col min="13228" max="13228" width="7.7109375" style="111" bestFit="1" customWidth="1"/>
    <col min="13229" max="13229" width="10.42578125" style="111" bestFit="1" customWidth="1"/>
    <col min="13230" max="13230" width="8" style="111" bestFit="1" customWidth="1"/>
    <col min="13231" max="13231" width="7.7109375" style="111" bestFit="1" customWidth="1"/>
    <col min="13232" max="13232" width="10.42578125" style="111" bestFit="1" customWidth="1"/>
    <col min="13233" max="13233" width="7.42578125" style="111" bestFit="1" customWidth="1"/>
    <col min="13234" max="13234" width="7.7109375" style="111" bestFit="1" customWidth="1"/>
    <col min="13235" max="13235" width="10.42578125" style="111" bestFit="1" customWidth="1"/>
    <col min="13236" max="13236" width="8" style="111" bestFit="1" customWidth="1"/>
    <col min="13237" max="13237" width="7.7109375" style="111" bestFit="1" customWidth="1"/>
    <col min="13238" max="13238" width="10.42578125" style="111" bestFit="1" customWidth="1"/>
    <col min="13239" max="13239" width="7.42578125" style="111" bestFit="1" customWidth="1"/>
    <col min="13240" max="13240" width="7.7109375" style="111" bestFit="1" customWidth="1"/>
    <col min="13241" max="13241" width="10.42578125" style="111" bestFit="1" customWidth="1"/>
    <col min="13242" max="13242" width="7.42578125" style="111" bestFit="1" customWidth="1"/>
    <col min="13243" max="13243" width="7.7109375" style="111" bestFit="1" customWidth="1"/>
    <col min="13244" max="13244" width="10.42578125" style="111" bestFit="1" customWidth="1"/>
    <col min="13245" max="13245" width="5.140625" style="111" customWidth="1"/>
    <col min="13246" max="13468" width="8.7109375" style="111"/>
    <col min="13469" max="13469" width="3.42578125" style="111" customWidth="1"/>
    <col min="13470" max="13470" width="7" style="111" customWidth="1"/>
    <col min="13471" max="13471" width="25.42578125" style="111" customWidth="1"/>
    <col min="13472" max="13472" width="12" style="111" customWidth="1"/>
    <col min="13473" max="13473" width="12.7109375" style="111" bestFit="1" customWidth="1"/>
    <col min="13474" max="13474" width="7.42578125" style="111" bestFit="1" customWidth="1"/>
    <col min="13475" max="13475" width="7.7109375" style="111" bestFit="1" customWidth="1"/>
    <col min="13476" max="13476" width="15" style="111" customWidth="1"/>
    <col min="13477" max="13477" width="7.42578125" style="111" bestFit="1" customWidth="1"/>
    <col min="13478" max="13478" width="7.7109375" style="111" bestFit="1" customWidth="1"/>
    <col min="13479" max="13479" width="15" style="111" bestFit="1" customWidth="1"/>
    <col min="13480" max="13480" width="7.42578125" style="111" bestFit="1" customWidth="1"/>
    <col min="13481" max="13481" width="7.7109375" style="111" bestFit="1" customWidth="1"/>
    <col min="13482" max="13482" width="9.42578125" style="111" bestFit="1" customWidth="1"/>
    <col min="13483" max="13483" width="8" style="111" bestFit="1" customWidth="1"/>
    <col min="13484" max="13484" width="7.7109375" style="111" bestFit="1" customWidth="1"/>
    <col min="13485" max="13485" width="10.42578125" style="111" bestFit="1" customWidth="1"/>
    <col min="13486" max="13486" width="8" style="111" bestFit="1" customWidth="1"/>
    <col min="13487" max="13487" width="7.7109375" style="111" bestFit="1" customWidth="1"/>
    <col min="13488" max="13488" width="10.42578125" style="111" bestFit="1" customWidth="1"/>
    <col min="13489" max="13489" width="7.42578125" style="111" bestFit="1" customWidth="1"/>
    <col min="13490" max="13490" width="7.7109375" style="111" bestFit="1" customWidth="1"/>
    <col min="13491" max="13491" width="10.42578125" style="111" bestFit="1" customWidth="1"/>
    <col min="13492" max="13492" width="8" style="111" bestFit="1" customWidth="1"/>
    <col min="13493" max="13493" width="7.7109375" style="111" bestFit="1" customWidth="1"/>
    <col min="13494" max="13494" width="10.42578125" style="111" bestFit="1" customWidth="1"/>
    <col min="13495" max="13495" width="7.42578125" style="111" bestFit="1" customWidth="1"/>
    <col min="13496" max="13496" width="7.7109375" style="111" bestFit="1" customWidth="1"/>
    <col min="13497" max="13497" width="10.42578125" style="111" bestFit="1" customWidth="1"/>
    <col min="13498" max="13498" width="7.42578125" style="111" bestFit="1" customWidth="1"/>
    <col min="13499" max="13499" width="7.7109375" style="111" bestFit="1" customWidth="1"/>
    <col min="13500" max="13500" width="10.42578125" style="111" bestFit="1" customWidth="1"/>
    <col min="13501" max="13501" width="5.140625" style="111" customWidth="1"/>
    <col min="13502" max="13724" width="8.7109375" style="111"/>
    <col min="13725" max="13725" width="3.42578125" style="111" customWidth="1"/>
    <col min="13726" max="13726" width="7" style="111" customWidth="1"/>
    <col min="13727" max="13727" width="25.42578125" style="111" customWidth="1"/>
    <col min="13728" max="13728" width="12" style="111" customWidth="1"/>
    <col min="13729" max="13729" width="12.7109375" style="111" bestFit="1" customWidth="1"/>
    <col min="13730" max="13730" width="7.42578125" style="111" bestFit="1" customWidth="1"/>
    <col min="13731" max="13731" width="7.7109375" style="111" bestFit="1" customWidth="1"/>
    <col min="13732" max="13732" width="15" style="111" customWidth="1"/>
    <col min="13733" max="13733" width="7.42578125" style="111" bestFit="1" customWidth="1"/>
    <col min="13734" max="13734" width="7.7109375" style="111" bestFit="1" customWidth="1"/>
    <col min="13735" max="13735" width="15" style="111" bestFit="1" customWidth="1"/>
    <col min="13736" max="13736" width="7.42578125" style="111" bestFit="1" customWidth="1"/>
    <col min="13737" max="13737" width="7.7109375" style="111" bestFit="1" customWidth="1"/>
    <col min="13738" max="13738" width="9.42578125" style="111" bestFit="1" customWidth="1"/>
    <col min="13739" max="13739" width="8" style="111" bestFit="1" customWidth="1"/>
    <col min="13740" max="13740" width="7.7109375" style="111" bestFit="1" customWidth="1"/>
    <col min="13741" max="13741" width="10.42578125" style="111" bestFit="1" customWidth="1"/>
    <col min="13742" max="13742" width="8" style="111" bestFit="1" customWidth="1"/>
    <col min="13743" max="13743" width="7.7109375" style="111" bestFit="1" customWidth="1"/>
    <col min="13744" max="13744" width="10.42578125" style="111" bestFit="1" customWidth="1"/>
    <col min="13745" max="13745" width="7.42578125" style="111" bestFit="1" customWidth="1"/>
    <col min="13746" max="13746" width="7.7109375" style="111" bestFit="1" customWidth="1"/>
    <col min="13747" max="13747" width="10.42578125" style="111" bestFit="1" customWidth="1"/>
    <col min="13748" max="13748" width="8" style="111" bestFit="1" customWidth="1"/>
    <col min="13749" max="13749" width="7.7109375" style="111" bestFit="1" customWidth="1"/>
    <col min="13750" max="13750" width="10.42578125" style="111" bestFit="1" customWidth="1"/>
    <col min="13751" max="13751" width="7.42578125" style="111" bestFit="1" customWidth="1"/>
    <col min="13752" max="13752" width="7.7109375" style="111" bestFit="1" customWidth="1"/>
    <col min="13753" max="13753" width="10.42578125" style="111" bestFit="1" customWidth="1"/>
    <col min="13754" max="13754" width="7.42578125" style="111" bestFit="1" customWidth="1"/>
    <col min="13755" max="13755" width="7.7109375" style="111" bestFit="1" customWidth="1"/>
    <col min="13756" max="13756" width="10.42578125" style="111" bestFit="1" customWidth="1"/>
    <col min="13757" max="13757" width="5.140625" style="111" customWidth="1"/>
    <col min="13758" max="13980" width="8.7109375" style="111"/>
    <col min="13981" max="13981" width="3.42578125" style="111" customWidth="1"/>
    <col min="13982" max="13982" width="7" style="111" customWidth="1"/>
    <col min="13983" max="13983" width="25.42578125" style="111" customWidth="1"/>
    <col min="13984" max="13984" width="12" style="111" customWidth="1"/>
    <col min="13985" max="13985" width="12.7109375" style="111" bestFit="1" customWidth="1"/>
    <col min="13986" max="13986" width="7.42578125" style="111" bestFit="1" customWidth="1"/>
    <col min="13987" max="13987" width="7.7109375" style="111" bestFit="1" customWidth="1"/>
    <col min="13988" max="13988" width="15" style="111" customWidth="1"/>
    <col min="13989" max="13989" width="7.42578125" style="111" bestFit="1" customWidth="1"/>
    <col min="13990" max="13990" width="7.7109375" style="111" bestFit="1" customWidth="1"/>
    <col min="13991" max="13991" width="15" style="111" bestFit="1" customWidth="1"/>
    <col min="13992" max="13992" width="7.42578125" style="111" bestFit="1" customWidth="1"/>
    <col min="13993" max="13993" width="7.7109375" style="111" bestFit="1" customWidth="1"/>
    <col min="13994" max="13994" width="9.42578125" style="111" bestFit="1" customWidth="1"/>
    <col min="13995" max="13995" width="8" style="111" bestFit="1" customWidth="1"/>
    <col min="13996" max="13996" width="7.7109375" style="111" bestFit="1" customWidth="1"/>
    <col min="13997" max="13997" width="10.42578125" style="111" bestFit="1" customWidth="1"/>
    <col min="13998" max="13998" width="8" style="111" bestFit="1" customWidth="1"/>
    <col min="13999" max="13999" width="7.7109375" style="111" bestFit="1" customWidth="1"/>
    <col min="14000" max="14000" width="10.42578125" style="111" bestFit="1" customWidth="1"/>
    <col min="14001" max="14001" width="7.42578125" style="111" bestFit="1" customWidth="1"/>
    <col min="14002" max="14002" width="7.7109375" style="111" bestFit="1" customWidth="1"/>
    <col min="14003" max="14003" width="10.42578125" style="111" bestFit="1" customWidth="1"/>
    <col min="14004" max="14004" width="8" style="111" bestFit="1" customWidth="1"/>
    <col min="14005" max="14005" width="7.7109375" style="111" bestFit="1" customWidth="1"/>
    <col min="14006" max="14006" width="10.42578125" style="111" bestFit="1" customWidth="1"/>
    <col min="14007" max="14007" width="7.42578125" style="111" bestFit="1" customWidth="1"/>
    <col min="14008" max="14008" width="7.7109375" style="111" bestFit="1" customWidth="1"/>
    <col min="14009" max="14009" width="10.42578125" style="111" bestFit="1" customWidth="1"/>
    <col min="14010" max="14010" width="7.42578125" style="111" bestFit="1" customWidth="1"/>
    <col min="14011" max="14011" width="7.7109375" style="111" bestFit="1" customWidth="1"/>
    <col min="14012" max="14012" width="10.42578125" style="111" bestFit="1" customWidth="1"/>
    <col min="14013" max="14013" width="5.140625" style="111" customWidth="1"/>
    <col min="14014" max="14236" width="8.7109375" style="111"/>
    <col min="14237" max="14237" width="3.42578125" style="111" customWidth="1"/>
    <col min="14238" max="14238" width="7" style="111" customWidth="1"/>
    <col min="14239" max="14239" width="25.42578125" style="111" customWidth="1"/>
    <col min="14240" max="14240" width="12" style="111" customWidth="1"/>
    <col min="14241" max="14241" width="12.7109375" style="111" bestFit="1" customWidth="1"/>
    <col min="14242" max="14242" width="7.42578125" style="111" bestFit="1" customWidth="1"/>
    <col min="14243" max="14243" width="7.7109375" style="111" bestFit="1" customWidth="1"/>
    <col min="14244" max="14244" width="15" style="111" customWidth="1"/>
    <col min="14245" max="14245" width="7.42578125" style="111" bestFit="1" customWidth="1"/>
    <col min="14246" max="14246" width="7.7109375" style="111" bestFit="1" customWidth="1"/>
    <col min="14247" max="14247" width="15" style="111" bestFit="1" customWidth="1"/>
    <col min="14248" max="14248" width="7.42578125" style="111" bestFit="1" customWidth="1"/>
    <col min="14249" max="14249" width="7.7109375" style="111" bestFit="1" customWidth="1"/>
    <col min="14250" max="14250" width="9.42578125" style="111" bestFit="1" customWidth="1"/>
    <col min="14251" max="14251" width="8" style="111" bestFit="1" customWidth="1"/>
    <col min="14252" max="14252" width="7.7109375" style="111" bestFit="1" customWidth="1"/>
    <col min="14253" max="14253" width="10.42578125" style="111" bestFit="1" customWidth="1"/>
    <col min="14254" max="14254" width="8" style="111" bestFit="1" customWidth="1"/>
    <col min="14255" max="14255" width="7.7109375" style="111" bestFit="1" customWidth="1"/>
    <col min="14256" max="14256" width="10.42578125" style="111" bestFit="1" customWidth="1"/>
    <col min="14257" max="14257" width="7.42578125" style="111" bestFit="1" customWidth="1"/>
    <col min="14258" max="14258" width="7.7109375" style="111" bestFit="1" customWidth="1"/>
    <col min="14259" max="14259" width="10.42578125" style="111" bestFit="1" customWidth="1"/>
    <col min="14260" max="14260" width="8" style="111" bestFit="1" customWidth="1"/>
    <col min="14261" max="14261" width="7.7109375" style="111" bestFit="1" customWidth="1"/>
    <col min="14262" max="14262" width="10.42578125" style="111" bestFit="1" customWidth="1"/>
    <col min="14263" max="14263" width="7.42578125" style="111" bestFit="1" customWidth="1"/>
    <col min="14264" max="14264" width="7.7109375" style="111" bestFit="1" customWidth="1"/>
    <col min="14265" max="14265" width="10.42578125" style="111" bestFit="1" customWidth="1"/>
    <col min="14266" max="14266" width="7.42578125" style="111" bestFit="1" customWidth="1"/>
    <col min="14267" max="14267" width="7.7109375" style="111" bestFit="1" customWidth="1"/>
    <col min="14268" max="14268" width="10.42578125" style="111" bestFit="1" customWidth="1"/>
    <col min="14269" max="14269" width="5.140625" style="111" customWidth="1"/>
    <col min="14270" max="14492" width="8.7109375" style="111"/>
    <col min="14493" max="14493" width="3.42578125" style="111" customWidth="1"/>
    <col min="14494" max="14494" width="7" style="111" customWidth="1"/>
    <col min="14495" max="14495" width="25.42578125" style="111" customWidth="1"/>
    <col min="14496" max="14496" width="12" style="111" customWidth="1"/>
    <col min="14497" max="14497" width="12.7109375" style="111" bestFit="1" customWidth="1"/>
    <col min="14498" max="14498" width="7.42578125" style="111" bestFit="1" customWidth="1"/>
    <col min="14499" max="14499" width="7.7109375" style="111" bestFit="1" customWidth="1"/>
    <col min="14500" max="14500" width="15" style="111" customWidth="1"/>
    <col min="14501" max="14501" width="7.42578125" style="111" bestFit="1" customWidth="1"/>
    <col min="14502" max="14502" width="7.7109375" style="111" bestFit="1" customWidth="1"/>
    <col min="14503" max="14503" width="15" style="111" bestFit="1" customWidth="1"/>
    <col min="14504" max="14504" width="7.42578125" style="111" bestFit="1" customWidth="1"/>
    <col min="14505" max="14505" width="7.7109375" style="111" bestFit="1" customWidth="1"/>
    <col min="14506" max="14506" width="9.42578125" style="111" bestFit="1" customWidth="1"/>
    <col min="14507" max="14507" width="8" style="111" bestFit="1" customWidth="1"/>
    <col min="14508" max="14508" width="7.7109375" style="111" bestFit="1" customWidth="1"/>
    <col min="14509" max="14509" width="10.42578125" style="111" bestFit="1" customWidth="1"/>
    <col min="14510" max="14510" width="8" style="111" bestFit="1" customWidth="1"/>
    <col min="14511" max="14511" width="7.7109375" style="111" bestFit="1" customWidth="1"/>
    <col min="14512" max="14512" width="10.42578125" style="111" bestFit="1" customWidth="1"/>
    <col min="14513" max="14513" width="7.42578125" style="111" bestFit="1" customWidth="1"/>
    <col min="14514" max="14514" width="7.7109375" style="111" bestFit="1" customWidth="1"/>
    <col min="14515" max="14515" width="10.42578125" style="111" bestFit="1" customWidth="1"/>
    <col min="14516" max="14516" width="8" style="111" bestFit="1" customWidth="1"/>
    <col min="14517" max="14517" width="7.7109375" style="111" bestFit="1" customWidth="1"/>
    <col min="14518" max="14518" width="10.42578125" style="111" bestFit="1" customWidth="1"/>
    <col min="14519" max="14519" width="7.42578125" style="111" bestFit="1" customWidth="1"/>
    <col min="14520" max="14520" width="7.7109375" style="111" bestFit="1" customWidth="1"/>
    <col min="14521" max="14521" width="10.42578125" style="111" bestFit="1" customWidth="1"/>
    <col min="14522" max="14522" width="7.42578125" style="111" bestFit="1" customWidth="1"/>
    <col min="14523" max="14523" width="7.7109375" style="111" bestFit="1" customWidth="1"/>
    <col min="14524" max="14524" width="10.42578125" style="111" bestFit="1" customWidth="1"/>
    <col min="14525" max="14525" width="5.140625" style="111" customWidth="1"/>
    <col min="14526" max="14748" width="8.7109375" style="111"/>
    <col min="14749" max="14749" width="3.42578125" style="111" customWidth="1"/>
    <col min="14750" max="14750" width="7" style="111" customWidth="1"/>
    <col min="14751" max="14751" width="25.42578125" style="111" customWidth="1"/>
    <col min="14752" max="14752" width="12" style="111" customWidth="1"/>
    <col min="14753" max="14753" width="12.7109375" style="111" bestFit="1" customWidth="1"/>
    <col min="14754" max="14754" width="7.42578125" style="111" bestFit="1" customWidth="1"/>
    <col min="14755" max="14755" width="7.7109375" style="111" bestFit="1" customWidth="1"/>
    <col min="14756" max="14756" width="15" style="111" customWidth="1"/>
    <col min="14757" max="14757" width="7.42578125" style="111" bestFit="1" customWidth="1"/>
    <col min="14758" max="14758" width="7.7109375" style="111" bestFit="1" customWidth="1"/>
    <col min="14759" max="14759" width="15" style="111" bestFit="1" customWidth="1"/>
    <col min="14760" max="14760" width="7.42578125" style="111" bestFit="1" customWidth="1"/>
    <col min="14761" max="14761" width="7.7109375" style="111" bestFit="1" customWidth="1"/>
    <col min="14762" max="14762" width="9.42578125" style="111" bestFit="1" customWidth="1"/>
    <col min="14763" max="14763" width="8" style="111" bestFit="1" customWidth="1"/>
    <col min="14764" max="14764" width="7.7109375" style="111" bestFit="1" customWidth="1"/>
    <col min="14765" max="14765" width="10.42578125" style="111" bestFit="1" customWidth="1"/>
    <col min="14766" max="14766" width="8" style="111" bestFit="1" customWidth="1"/>
    <col min="14767" max="14767" width="7.7109375" style="111" bestFit="1" customWidth="1"/>
    <col min="14768" max="14768" width="10.42578125" style="111" bestFit="1" customWidth="1"/>
    <col min="14769" max="14769" width="7.42578125" style="111" bestFit="1" customWidth="1"/>
    <col min="14770" max="14770" width="7.7109375" style="111" bestFit="1" customWidth="1"/>
    <col min="14771" max="14771" width="10.42578125" style="111" bestFit="1" customWidth="1"/>
    <col min="14772" max="14772" width="8" style="111" bestFit="1" customWidth="1"/>
    <col min="14773" max="14773" width="7.7109375" style="111" bestFit="1" customWidth="1"/>
    <col min="14774" max="14774" width="10.42578125" style="111" bestFit="1" customWidth="1"/>
    <col min="14775" max="14775" width="7.42578125" style="111" bestFit="1" customWidth="1"/>
    <col min="14776" max="14776" width="7.7109375" style="111" bestFit="1" customWidth="1"/>
    <col min="14777" max="14777" width="10.42578125" style="111" bestFit="1" customWidth="1"/>
    <col min="14778" max="14778" width="7.42578125" style="111" bestFit="1" customWidth="1"/>
    <col min="14779" max="14779" width="7.7109375" style="111" bestFit="1" customWidth="1"/>
    <col min="14780" max="14780" width="10.42578125" style="111" bestFit="1" customWidth="1"/>
    <col min="14781" max="14781" width="5.140625" style="111" customWidth="1"/>
    <col min="14782" max="15004" width="8.7109375" style="111"/>
    <col min="15005" max="15005" width="3.42578125" style="111" customWidth="1"/>
    <col min="15006" max="15006" width="7" style="111" customWidth="1"/>
    <col min="15007" max="15007" width="25.42578125" style="111" customWidth="1"/>
    <col min="15008" max="15008" width="12" style="111" customWidth="1"/>
    <col min="15009" max="15009" width="12.7109375" style="111" bestFit="1" customWidth="1"/>
    <col min="15010" max="15010" width="7.42578125" style="111" bestFit="1" customWidth="1"/>
    <col min="15011" max="15011" width="7.7109375" style="111" bestFit="1" customWidth="1"/>
    <col min="15012" max="15012" width="15" style="111" customWidth="1"/>
    <col min="15013" max="15013" width="7.42578125" style="111" bestFit="1" customWidth="1"/>
    <col min="15014" max="15014" width="7.7109375" style="111" bestFit="1" customWidth="1"/>
    <col min="15015" max="15015" width="15" style="111" bestFit="1" customWidth="1"/>
    <col min="15016" max="15016" width="7.42578125" style="111" bestFit="1" customWidth="1"/>
    <col min="15017" max="15017" width="7.7109375" style="111" bestFit="1" customWidth="1"/>
    <col min="15018" max="15018" width="9.42578125" style="111" bestFit="1" customWidth="1"/>
    <col min="15019" max="15019" width="8" style="111" bestFit="1" customWidth="1"/>
    <col min="15020" max="15020" width="7.7109375" style="111" bestFit="1" customWidth="1"/>
    <col min="15021" max="15021" width="10.42578125" style="111" bestFit="1" customWidth="1"/>
    <col min="15022" max="15022" width="8" style="111" bestFit="1" customWidth="1"/>
    <col min="15023" max="15023" width="7.7109375" style="111" bestFit="1" customWidth="1"/>
    <col min="15024" max="15024" width="10.42578125" style="111" bestFit="1" customWidth="1"/>
    <col min="15025" max="15025" width="7.42578125" style="111" bestFit="1" customWidth="1"/>
    <col min="15026" max="15026" width="7.7109375" style="111" bestFit="1" customWidth="1"/>
    <col min="15027" max="15027" width="10.42578125" style="111" bestFit="1" customWidth="1"/>
    <col min="15028" max="15028" width="8" style="111" bestFit="1" customWidth="1"/>
    <col min="15029" max="15029" width="7.7109375" style="111" bestFit="1" customWidth="1"/>
    <col min="15030" max="15030" width="10.42578125" style="111" bestFit="1" customWidth="1"/>
    <col min="15031" max="15031" width="7.42578125" style="111" bestFit="1" customWidth="1"/>
    <col min="15032" max="15032" width="7.7109375" style="111" bestFit="1" customWidth="1"/>
    <col min="15033" max="15033" width="10.42578125" style="111" bestFit="1" customWidth="1"/>
    <col min="15034" max="15034" width="7.42578125" style="111" bestFit="1" customWidth="1"/>
    <col min="15035" max="15035" width="7.7109375" style="111" bestFit="1" customWidth="1"/>
    <col min="15036" max="15036" width="10.42578125" style="111" bestFit="1" customWidth="1"/>
    <col min="15037" max="15037" width="5.140625" style="111" customWidth="1"/>
    <col min="15038" max="15260" width="8.7109375" style="111"/>
    <col min="15261" max="15261" width="3.42578125" style="111" customWidth="1"/>
    <col min="15262" max="15262" width="7" style="111" customWidth="1"/>
    <col min="15263" max="15263" width="25.42578125" style="111" customWidth="1"/>
    <col min="15264" max="15264" width="12" style="111" customWidth="1"/>
    <col min="15265" max="15265" width="12.7109375" style="111" bestFit="1" customWidth="1"/>
    <col min="15266" max="15266" width="7.42578125" style="111" bestFit="1" customWidth="1"/>
    <col min="15267" max="15267" width="7.7109375" style="111" bestFit="1" customWidth="1"/>
    <col min="15268" max="15268" width="15" style="111" customWidth="1"/>
    <col min="15269" max="15269" width="7.42578125" style="111" bestFit="1" customWidth="1"/>
    <col min="15270" max="15270" width="7.7109375" style="111" bestFit="1" customWidth="1"/>
    <col min="15271" max="15271" width="15" style="111" bestFit="1" customWidth="1"/>
    <col min="15272" max="15272" width="7.42578125" style="111" bestFit="1" customWidth="1"/>
    <col min="15273" max="15273" width="7.7109375" style="111" bestFit="1" customWidth="1"/>
    <col min="15274" max="15274" width="9.42578125" style="111" bestFit="1" customWidth="1"/>
    <col min="15275" max="15275" width="8" style="111" bestFit="1" customWidth="1"/>
    <col min="15276" max="15276" width="7.7109375" style="111" bestFit="1" customWidth="1"/>
    <col min="15277" max="15277" width="10.42578125" style="111" bestFit="1" customWidth="1"/>
    <col min="15278" max="15278" width="8" style="111" bestFit="1" customWidth="1"/>
    <col min="15279" max="15279" width="7.7109375" style="111" bestFit="1" customWidth="1"/>
    <col min="15280" max="15280" width="10.42578125" style="111" bestFit="1" customWidth="1"/>
    <col min="15281" max="15281" width="7.42578125" style="111" bestFit="1" customWidth="1"/>
    <col min="15282" max="15282" width="7.7109375" style="111" bestFit="1" customWidth="1"/>
    <col min="15283" max="15283" width="10.42578125" style="111" bestFit="1" customWidth="1"/>
    <col min="15284" max="15284" width="8" style="111" bestFit="1" customWidth="1"/>
    <col min="15285" max="15285" width="7.7109375" style="111" bestFit="1" customWidth="1"/>
    <col min="15286" max="15286" width="10.42578125" style="111" bestFit="1" customWidth="1"/>
    <col min="15287" max="15287" width="7.42578125" style="111" bestFit="1" customWidth="1"/>
    <col min="15288" max="15288" width="7.7109375" style="111" bestFit="1" customWidth="1"/>
    <col min="15289" max="15289" width="10.42578125" style="111" bestFit="1" customWidth="1"/>
    <col min="15290" max="15290" width="7.42578125" style="111" bestFit="1" customWidth="1"/>
    <col min="15291" max="15291" width="7.7109375" style="111" bestFit="1" customWidth="1"/>
    <col min="15292" max="15292" width="10.42578125" style="111" bestFit="1" customWidth="1"/>
    <col min="15293" max="15293" width="5.140625" style="111" customWidth="1"/>
    <col min="15294" max="15516" width="8.7109375" style="111"/>
    <col min="15517" max="15517" width="3.42578125" style="111" customWidth="1"/>
    <col min="15518" max="15518" width="7" style="111" customWidth="1"/>
    <col min="15519" max="15519" width="25.42578125" style="111" customWidth="1"/>
    <col min="15520" max="15520" width="12" style="111" customWidth="1"/>
    <col min="15521" max="15521" width="12.7109375" style="111" bestFit="1" customWidth="1"/>
    <col min="15522" max="15522" width="7.42578125" style="111" bestFit="1" customWidth="1"/>
    <col min="15523" max="15523" width="7.7109375" style="111" bestFit="1" customWidth="1"/>
    <col min="15524" max="15524" width="15" style="111" customWidth="1"/>
    <col min="15525" max="15525" width="7.42578125" style="111" bestFit="1" customWidth="1"/>
    <col min="15526" max="15526" width="7.7109375" style="111" bestFit="1" customWidth="1"/>
    <col min="15527" max="15527" width="15" style="111" bestFit="1" customWidth="1"/>
    <col min="15528" max="15528" width="7.42578125" style="111" bestFit="1" customWidth="1"/>
    <col min="15529" max="15529" width="7.7109375" style="111" bestFit="1" customWidth="1"/>
    <col min="15530" max="15530" width="9.42578125" style="111" bestFit="1" customWidth="1"/>
    <col min="15531" max="15531" width="8" style="111" bestFit="1" customWidth="1"/>
    <col min="15532" max="15532" width="7.7109375" style="111" bestFit="1" customWidth="1"/>
    <col min="15533" max="15533" width="10.42578125" style="111" bestFit="1" customWidth="1"/>
    <col min="15534" max="15534" width="8" style="111" bestFit="1" customWidth="1"/>
    <col min="15535" max="15535" width="7.7109375" style="111" bestFit="1" customWidth="1"/>
    <col min="15536" max="15536" width="10.42578125" style="111" bestFit="1" customWidth="1"/>
    <col min="15537" max="15537" width="7.42578125" style="111" bestFit="1" customWidth="1"/>
    <col min="15538" max="15538" width="7.7109375" style="111" bestFit="1" customWidth="1"/>
    <col min="15539" max="15539" width="10.42578125" style="111" bestFit="1" customWidth="1"/>
    <col min="15540" max="15540" width="8" style="111" bestFit="1" customWidth="1"/>
    <col min="15541" max="15541" width="7.7109375" style="111" bestFit="1" customWidth="1"/>
    <col min="15542" max="15542" width="10.42578125" style="111" bestFit="1" customWidth="1"/>
    <col min="15543" max="15543" width="7.42578125" style="111" bestFit="1" customWidth="1"/>
    <col min="15544" max="15544" width="7.7109375" style="111" bestFit="1" customWidth="1"/>
    <col min="15545" max="15545" width="10.42578125" style="111" bestFit="1" customWidth="1"/>
    <col min="15546" max="15546" width="7.42578125" style="111" bestFit="1" customWidth="1"/>
    <col min="15547" max="15547" width="7.7109375" style="111" bestFit="1" customWidth="1"/>
    <col min="15548" max="15548" width="10.42578125" style="111" bestFit="1" customWidth="1"/>
    <col min="15549" max="15549" width="5.140625" style="111" customWidth="1"/>
    <col min="15550" max="15772" width="8.7109375" style="111"/>
    <col min="15773" max="15773" width="3.42578125" style="111" customWidth="1"/>
    <col min="15774" max="15774" width="7" style="111" customWidth="1"/>
    <col min="15775" max="15775" width="25.42578125" style="111" customWidth="1"/>
    <col min="15776" max="15776" width="12" style="111" customWidth="1"/>
    <col min="15777" max="15777" width="12.7109375" style="111" bestFit="1" customWidth="1"/>
    <col min="15778" max="15778" width="7.42578125" style="111" bestFit="1" customWidth="1"/>
    <col min="15779" max="15779" width="7.7109375" style="111" bestFit="1" customWidth="1"/>
    <col min="15780" max="15780" width="15" style="111" customWidth="1"/>
    <col min="15781" max="15781" width="7.42578125" style="111" bestFit="1" customWidth="1"/>
    <col min="15782" max="15782" width="7.7109375" style="111" bestFit="1" customWidth="1"/>
    <col min="15783" max="15783" width="15" style="111" bestFit="1" customWidth="1"/>
    <col min="15784" max="15784" width="7.42578125" style="111" bestFit="1" customWidth="1"/>
    <col min="15785" max="15785" width="7.7109375" style="111" bestFit="1" customWidth="1"/>
    <col min="15786" max="15786" width="9.42578125" style="111" bestFit="1" customWidth="1"/>
    <col min="15787" max="15787" width="8" style="111" bestFit="1" customWidth="1"/>
    <col min="15788" max="15788" width="7.7109375" style="111" bestFit="1" customWidth="1"/>
    <col min="15789" max="15789" width="10.42578125" style="111" bestFit="1" customWidth="1"/>
    <col min="15790" max="15790" width="8" style="111" bestFit="1" customWidth="1"/>
    <col min="15791" max="15791" width="7.7109375" style="111" bestFit="1" customWidth="1"/>
    <col min="15792" max="15792" width="10.42578125" style="111" bestFit="1" customWidth="1"/>
    <col min="15793" max="15793" width="7.42578125" style="111" bestFit="1" customWidth="1"/>
    <col min="15794" max="15794" width="7.7109375" style="111" bestFit="1" customWidth="1"/>
    <col min="15795" max="15795" width="10.42578125" style="111" bestFit="1" customWidth="1"/>
    <col min="15796" max="15796" width="8" style="111" bestFit="1" customWidth="1"/>
    <col min="15797" max="15797" width="7.7109375" style="111" bestFit="1" customWidth="1"/>
    <col min="15798" max="15798" width="10.42578125" style="111" bestFit="1" customWidth="1"/>
    <col min="15799" max="15799" width="7.42578125" style="111" bestFit="1" customWidth="1"/>
    <col min="15800" max="15800" width="7.7109375" style="111" bestFit="1" customWidth="1"/>
    <col min="15801" max="15801" width="10.42578125" style="111" bestFit="1" customWidth="1"/>
    <col min="15802" max="15802" width="7.42578125" style="111" bestFit="1" customWidth="1"/>
    <col min="15803" max="15803" width="7.7109375" style="111" bestFit="1" customWidth="1"/>
    <col min="15804" max="15804" width="10.42578125" style="111" bestFit="1" customWidth="1"/>
    <col min="15805" max="15805" width="5.140625" style="111" customWidth="1"/>
    <col min="15806" max="16028" width="8.7109375" style="111"/>
    <col min="16029" max="16029" width="3.42578125" style="111" customWidth="1"/>
    <col min="16030" max="16030" width="7" style="111" customWidth="1"/>
    <col min="16031" max="16031" width="25.42578125" style="111" customWidth="1"/>
    <col min="16032" max="16032" width="12" style="111" customWidth="1"/>
    <col min="16033" max="16033" width="12.7109375" style="111" bestFit="1" customWidth="1"/>
    <col min="16034" max="16034" width="7.42578125" style="111" bestFit="1" customWidth="1"/>
    <col min="16035" max="16035" width="7.7109375" style="111" bestFit="1" customWidth="1"/>
    <col min="16036" max="16036" width="15" style="111" customWidth="1"/>
    <col min="16037" max="16037" width="7.42578125" style="111" bestFit="1" customWidth="1"/>
    <col min="16038" max="16038" width="7.7109375" style="111" bestFit="1" customWidth="1"/>
    <col min="16039" max="16039" width="15" style="111" bestFit="1" customWidth="1"/>
    <col min="16040" max="16040" width="7.42578125" style="111" bestFit="1" customWidth="1"/>
    <col min="16041" max="16041" width="7.7109375" style="111" bestFit="1" customWidth="1"/>
    <col min="16042" max="16042" width="9.42578125" style="111" bestFit="1" customWidth="1"/>
    <col min="16043" max="16043" width="8" style="111" bestFit="1" customWidth="1"/>
    <col min="16044" max="16044" width="7.7109375" style="111" bestFit="1" customWidth="1"/>
    <col min="16045" max="16045" width="10.42578125" style="111" bestFit="1" customWidth="1"/>
    <col min="16046" max="16046" width="8" style="111" bestFit="1" customWidth="1"/>
    <col min="16047" max="16047" width="7.7109375" style="111" bestFit="1" customWidth="1"/>
    <col min="16048" max="16048" width="10.42578125" style="111" bestFit="1" customWidth="1"/>
    <col min="16049" max="16049" width="7.42578125" style="111" bestFit="1" customWidth="1"/>
    <col min="16050" max="16050" width="7.7109375" style="111" bestFit="1" customWidth="1"/>
    <col min="16051" max="16051" width="10.42578125" style="111" bestFit="1" customWidth="1"/>
    <col min="16052" max="16052" width="8" style="111" bestFit="1" customWidth="1"/>
    <col min="16053" max="16053" width="7.7109375" style="111" bestFit="1" customWidth="1"/>
    <col min="16054" max="16054" width="10.42578125" style="111" bestFit="1" customWidth="1"/>
    <col min="16055" max="16055" width="7.42578125" style="111" bestFit="1" customWidth="1"/>
    <col min="16056" max="16056" width="7.7109375" style="111" bestFit="1" customWidth="1"/>
    <col min="16057" max="16057" width="10.42578125" style="111" bestFit="1" customWidth="1"/>
    <col min="16058" max="16058" width="7.42578125" style="111" bestFit="1" customWidth="1"/>
    <col min="16059" max="16059" width="7.7109375" style="111" bestFit="1" customWidth="1"/>
    <col min="16060" max="16060" width="10.42578125" style="111" bestFit="1" customWidth="1"/>
    <col min="16061" max="16061" width="5.140625" style="111" customWidth="1"/>
    <col min="16062" max="16264" width="8.7109375" style="111"/>
    <col min="16265" max="16271" width="9.140625" style="111" customWidth="1"/>
    <col min="16272" max="16384" width="8.7109375" style="111"/>
  </cols>
  <sheetData>
    <row r="1" spans="2:25" s="109" customFormat="1" ht="21.95" customHeight="1" thickBot="1">
      <c r="B1" s="702">
        <f>QQP!G44</f>
        <v>0</v>
      </c>
      <c r="C1" s="703"/>
      <c r="D1" s="296" t="s">
        <v>225</v>
      </c>
      <c r="E1" s="297">
        <v>5</v>
      </c>
      <c r="F1" s="106" t="str">
        <f>QQP!B37</f>
        <v>2.6.1</v>
      </c>
      <c r="G1" s="748">
        <f>H182</f>
        <v>0</v>
      </c>
      <c r="H1" s="748"/>
      <c r="I1" s="106" t="str">
        <f>QQP!B39</f>
        <v>2.7.1</v>
      </c>
      <c r="J1" s="748">
        <f>K182</f>
        <v>0</v>
      </c>
      <c r="K1" s="748"/>
      <c r="L1" s="106" t="str">
        <f>QQP!B41</f>
        <v>2.8.1</v>
      </c>
      <c r="M1" s="748">
        <f>N182</f>
        <v>0</v>
      </c>
      <c r="N1" s="748"/>
      <c r="O1" s="106" t="str">
        <f>QQP!B43</f>
        <v>2.9.1</v>
      </c>
      <c r="P1" s="748">
        <f>Q182</f>
        <v>0</v>
      </c>
      <c r="Q1" s="748"/>
      <c r="R1" s="107"/>
      <c r="S1" s="704"/>
      <c r="T1" s="704"/>
      <c r="U1" s="704"/>
      <c r="V1" s="108"/>
    </row>
    <row r="2" spans="2:25" ht="75.75" customHeight="1" thickBot="1">
      <c r="B2" s="705" t="s">
        <v>122</v>
      </c>
      <c r="C2" s="706"/>
      <c r="D2" s="706"/>
      <c r="E2" s="707"/>
      <c r="F2" s="749" t="str">
        <f>_xlfn.XLOOKUP(F1,QQP!$B$8:$B$43,QQP!$C$8:$C$43)</f>
        <v>XXXXXXXXXXXXXXXXXXXXXXXXXXXXXXXXXXXXXXXXXX</v>
      </c>
      <c r="G2" s="750"/>
      <c r="H2" s="751"/>
      <c r="I2" s="749" t="str">
        <f>_xlfn.XLOOKUP(I1,QQP!$B$8:$B$43,QQP!$C$8:$C$43)</f>
        <v>XXXXXXXXXXXXXXXXXXXXXXXXXXXXXXXXXXXXXXXXXX</v>
      </c>
      <c r="J2" s="750"/>
      <c r="K2" s="751"/>
      <c r="L2" s="749" t="str">
        <f>_xlfn.XLOOKUP(L1,QQP!$B$8:$B$43,QQP!$C$8:$C$43)</f>
        <v>XXXXXXXXXXXXXXXXXXXXXXXXXXXXXXXXXXXXXXXXXX</v>
      </c>
      <c r="M2" s="750"/>
      <c r="N2" s="751"/>
      <c r="O2" s="749" t="str">
        <f>_xlfn.XLOOKUP(O1,QQP!$B$8:$B$43,QQP!$C$8:$C$43)</f>
        <v>XXXXXXXXXXXXXXXXXXXXXXXXXXXXXXXXXXXXXXXXXX</v>
      </c>
      <c r="P2" s="750"/>
      <c r="Q2" s="751"/>
      <c r="R2" s="110"/>
      <c r="S2" s="752" t="s">
        <v>200</v>
      </c>
      <c r="T2" s="753"/>
      <c r="U2" s="754"/>
    </row>
    <row r="3" spans="2:25" ht="20.25" customHeight="1">
      <c r="B3" s="712"/>
      <c r="C3" s="712"/>
      <c r="D3" s="712"/>
      <c r="E3" s="712"/>
      <c r="F3" s="112"/>
      <c r="G3" s="113" t="str">
        <f>_xlfn.XLOOKUP(F1,QQP!$B$8:$B$43,QQP!$D$8:$D$43)</f>
        <v>xx</v>
      </c>
      <c r="H3" s="114">
        <f>_xlfn.XLOOKUP(F1,QQP!$B$8:$B$43,QQP!$E$8:$E$43)</f>
        <v>1</v>
      </c>
      <c r="I3" s="112"/>
      <c r="J3" s="113" t="str">
        <f>_xlfn.XLOOKUP(I1,QQP!$B$8:$B$43,QQP!$D$8:$D$43)</f>
        <v>xx</v>
      </c>
      <c r="K3" s="114">
        <f>_xlfn.XLOOKUP(I1,QQP!$B$8:$B$43,QQP!$E$8:$E$43)</f>
        <v>1</v>
      </c>
      <c r="L3" s="112"/>
      <c r="M3" s="113" t="str">
        <f>_xlfn.XLOOKUP(L1,QQP!$B$8:$B$43,QQP!$D$8:$D$43)</f>
        <v>xx</v>
      </c>
      <c r="N3" s="114">
        <f>_xlfn.XLOOKUP(L1,QQP!$B$8:$B$43,QQP!$E$8:$E$43)</f>
        <v>1</v>
      </c>
      <c r="O3" s="112"/>
      <c r="P3" s="113" t="str">
        <f>_xlfn.XLOOKUP(O1,QQP!$B$8:$B$43,QQP!$D$8:$D$43)</f>
        <v>xx</v>
      </c>
      <c r="Q3" s="114">
        <f>_xlfn.XLOOKUP(O1,QQP!$B$8:$B$43,QQP!$E$8:$E$43)</f>
        <v>1</v>
      </c>
      <c r="R3" s="115"/>
      <c r="S3" s="713"/>
      <c r="T3" s="714"/>
      <c r="U3" s="116"/>
    </row>
    <row r="4" spans="2:25" ht="15.75" customHeight="1" thickBot="1">
      <c r="B4" s="117"/>
      <c r="C4" s="117"/>
      <c r="D4" s="117"/>
      <c r="E4" s="117"/>
      <c r="F4" s="120"/>
      <c r="G4" s="119"/>
      <c r="H4" s="119"/>
      <c r="I4" s="120"/>
      <c r="J4" s="119"/>
      <c r="K4" s="119"/>
      <c r="L4" s="120"/>
      <c r="M4" s="119"/>
      <c r="N4" s="119"/>
      <c r="O4" s="120"/>
      <c r="P4" s="385"/>
      <c r="Q4" s="119"/>
      <c r="R4" s="115"/>
      <c r="S4" s="121"/>
      <c r="T4" s="122"/>
      <c r="U4" s="116"/>
    </row>
    <row r="5" spans="2:25" ht="21.95" customHeight="1" thickBot="1">
      <c r="B5" s="699" t="s">
        <v>114</v>
      </c>
      <c r="C5" s="700"/>
      <c r="D5" s="700"/>
      <c r="E5" s="701"/>
      <c r="F5" s="120"/>
      <c r="G5" s="120"/>
      <c r="H5" s="120"/>
      <c r="I5" s="120"/>
      <c r="J5" s="120"/>
      <c r="K5" s="120"/>
      <c r="L5" s="120"/>
      <c r="M5" s="120"/>
      <c r="N5" s="120"/>
      <c r="O5" s="120"/>
      <c r="P5" s="120"/>
      <c r="Q5" s="120"/>
      <c r="R5" s="123"/>
      <c r="S5" s="715"/>
      <c r="T5" s="715"/>
      <c r="U5" s="715"/>
    </row>
    <row r="6" spans="2:25" s="127" customFormat="1" ht="21.95" customHeight="1" thickBot="1">
      <c r="B6" s="258" t="s">
        <v>163</v>
      </c>
      <c r="C6" s="259" t="s">
        <v>169</v>
      </c>
      <c r="D6" s="260" t="s">
        <v>30</v>
      </c>
      <c r="E6" s="261" t="s">
        <v>31</v>
      </c>
      <c r="F6" s="258" t="s">
        <v>6</v>
      </c>
      <c r="G6" s="261" t="s">
        <v>32</v>
      </c>
      <c r="H6" s="262" t="s">
        <v>5</v>
      </c>
      <c r="I6" s="258" t="s">
        <v>6</v>
      </c>
      <c r="J6" s="261" t="s">
        <v>32</v>
      </c>
      <c r="K6" s="262" t="s">
        <v>5</v>
      </c>
      <c r="L6" s="258" t="s">
        <v>6</v>
      </c>
      <c r="M6" s="261" t="s">
        <v>32</v>
      </c>
      <c r="N6" s="262" t="s">
        <v>5</v>
      </c>
      <c r="O6" s="258" t="s">
        <v>6</v>
      </c>
      <c r="P6" s="261" t="s">
        <v>32</v>
      </c>
      <c r="Q6" s="262" t="s">
        <v>5</v>
      </c>
      <c r="R6" s="124"/>
      <c r="S6" s="258" t="s">
        <v>6</v>
      </c>
      <c r="T6" s="261" t="s">
        <v>32</v>
      </c>
      <c r="U6" s="262" t="s">
        <v>5</v>
      </c>
      <c r="V6" s="125"/>
      <c r="W6" s="126"/>
    </row>
    <row r="7" spans="2:25" s="109" customFormat="1" ht="21.95" customHeight="1" outlineLevel="1">
      <c r="B7" s="128" t="str">
        <f>'CPU  1'!B7</f>
        <v>P01</v>
      </c>
      <c r="C7" s="129" t="str">
        <f>'CPU  1'!C7</f>
        <v>Supervisor</v>
      </c>
      <c r="D7" s="130" t="str">
        <f>'CPU  1'!D7</f>
        <v>hh</v>
      </c>
      <c r="E7" s="131">
        <f>'CPU  1'!E7</f>
        <v>75.068181818181813</v>
      </c>
      <c r="F7" s="132"/>
      <c r="G7" s="133"/>
      <c r="H7" s="134">
        <f t="shared" ref="H7:H22" si="0">G7*F7*$E7</f>
        <v>0</v>
      </c>
      <c r="I7" s="132"/>
      <c r="J7" s="133"/>
      <c r="K7" s="134">
        <f t="shared" ref="K7:K22" si="1">J7*I7*$E7</f>
        <v>0</v>
      </c>
      <c r="L7" s="132"/>
      <c r="M7" s="133"/>
      <c r="N7" s="134">
        <f t="shared" ref="N7:N22" si="2">M7*L7*$E7</f>
        <v>0</v>
      </c>
      <c r="O7" s="132"/>
      <c r="P7" s="133"/>
      <c r="Q7" s="134">
        <f t="shared" ref="Q7:Q22" si="3">P7*O7*$E7</f>
        <v>0</v>
      </c>
      <c r="R7" s="124"/>
      <c r="S7" s="135"/>
      <c r="T7" s="136"/>
      <c r="U7" s="137">
        <f>H7*$H$3+K7*$K$3+N7*$N$3+Q7*$Q$3</f>
        <v>0</v>
      </c>
      <c r="V7" s="138" t="e">
        <f t="shared" ref="V7:V22" si="4">U7/$U$162</f>
        <v>#DIV/0!</v>
      </c>
      <c r="W7" s="139"/>
    </row>
    <row r="8" spans="2:25" s="109" customFormat="1" ht="21.95" customHeight="1" outlineLevel="1">
      <c r="B8" s="128" t="str">
        <f>'CPU  1'!B8</f>
        <v>P02</v>
      </c>
      <c r="C8" s="140" t="str">
        <f>'CPU  1'!C8</f>
        <v>Encarregado</v>
      </c>
      <c r="D8" s="141" t="str">
        <f>'CPU  1'!D8</f>
        <v>hh</v>
      </c>
      <c r="E8" s="131">
        <f>'CPU  1'!E8</f>
        <v>40.036363636363632</v>
      </c>
      <c r="F8" s="132"/>
      <c r="G8" s="142"/>
      <c r="H8" s="134">
        <f t="shared" si="0"/>
        <v>0</v>
      </c>
      <c r="I8" s="132"/>
      <c r="J8" s="142"/>
      <c r="K8" s="134">
        <f t="shared" si="1"/>
        <v>0</v>
      </c>
      <c r="L8" s="132"/>
      <c r="M8" s="142"/>
      <c r="N8" s="134">
        <f t="shared" si="2"/>
        <v>0</v>
      </c>
      <c r="O8" s="132"/>
      <c r="P8" s="142"/>
      <c r="Q8" s="134">
        <f t="shared" si="3"/>
        <v>0</v>
      </c>
      <c r="R8" s="143"/>
      <c r="S8" s="135"/>
      <c r="T8" s="136"/>
      <c r="U8" s="137">
        <f t="shared" ref="U8:U22" si="5">H8*$H$3+K8*$K$3+N8*$N$3+Q8*$Q$3</f>
        <v>0</v>
      </c>
      <c r="V8" s="138" t="e">
        <f t="shared" si="4"/>
        <v>#DIV/0!</v>
      </c>
    </row>
    <row r="9" spans="2:25" s="109" customFormat="1" ht="21.95" customHeight="1" outlineLevel="1">
      <c r="B9" s="128" t="str">
        <f>'CPU  1'!B9</f>
        <v>P03</v>
      </c>
      <c r="C9" s="140" t="str">
        <f>'CPU  1'!C9</f>
        <v>Técnico SSMA</v>
      </c>
      <c r="D9" s="141" t="str">
        <f>'CPU  1'!D9</f>
        <v>hh</v>
      </c>
      <c r="E9" s="131">
        <f>'CPU  1'!E9</f>
        <v>40.036363636363632</v>
      </c>
      <c r="F9" s="132"/>
      <c r="G9" s="133"/>
      <c r="H9" s="134">
        <f t="shared" si="0"/>
        <v>0</v>
      </c>
      <c r="I9" s="132"/>
      <c r="J9" s="133"/>
      <c r="K9" s="134">
        <f t="shared" si="1"/>
        <v>0</v>
      </c>
      <c r="L9" s="132"/>
      <c r="M9" s="133"/>
      <c r="N9" s="134">
        <f t="shared" si="2"/>
        <v>0</v>
      </c>
      <c r="O9" s="132"/>
      <c r="P9" s="133"/>
      <c r="Q9" s="134">
        <f t="shared" si="3"/>
        <v>0</v>
      </c>
      <c r="R9" s="124"/>
      <c r="S9" s="135"/>
      <c r="T9" s="136"/>
      <c r="U9" s="137">
        <f t="shared" si="5"/>
        <v>0</v>
      </c>
      <c r="V9" s="138" t="e">
        <f t="shared" si="4"/>
        <v>#DIV/0!</v>
      </c>
      <c r="W9" s="139"/>
      <c r="Y9" s="144"/>
    </row>
    <row r="10" spans="2:25" s="109" customFormat="1" ht="21.95" customHeight="1" outlineLevel="1">
      <c r="B10" s="128" t="str">
        <f>'CPU  1'!B10</f>
        <v>P04</v>
      </c>
      <c r="C10" s="140" t="str">
        <f>'CPU  1'!C10</f>
        <v>Pedreiro</v>
      </c>
      <c r="D10" s="141" t="str">
        <f>'CPU  1'!D10</f>
        <v>hh</v>
      </c>
      <c r="E10" s="131">
        <f>'CPU  1'!E10</f>
        <v>19.767954545454543</v>
      </c>
      <c r="F10" s="132"/>
      <c r="G10" s="142"/>
      <c r="H10" s="134">
        <f t="shared" si="0"/>
        <v>0</v>
      </c>
      <c r="I10" s="132"/>
      <c r="J10" s="133"/>
      <c r="K10" s="134">
        <f t="shared" si="1"/>
        <v>0</v>
      </c>
      <c r="L10" s="132"/>
      <c r="M10" s="133"/>
      <c r="N10" s="134">
        <f t="shared" si="2"/>
        <v>0</v>
      </c>
      <c r="O10" s="132"/>
      <c r="P10" s="133"/>
      <c r="Q10" s="134">
        <f t="shared" si="3"/>
        <v>0</v>
      </c>
      <c r="R10" s="124"/>
      <c r="S10" s="135"/>
      <c r="T10" s="136"/>
      <c r="U10" s="137">
        <f t="shared" si="5"/>
        <v>0</v>
      </c>
      <c r="V10" s="138" t="e">
        <f t="shared" si="4"/>
        <v>#DIV/0!</v>
      </c>
    </row>
    <row r="11" spans="2:25" s="109" customFormat="1" ht="21.95" customHeight="1" outlineLevel="1">
      <c r="B11" s="128" t="str">
        <f>'CPU  1'!B11</f>
        <v>P05</v>
      </c>
      <c r="C11" s="140" t="str">
        <f>'CPU  1'!C11</f>
        <v>Carpinteiro</v>
      </c>
      <c r="D11" s="141" t="str">
        <f>'CPU  1'!D11</f>
        <v>hh</v>
      </c>
      <c r="E11" s="131">
        <f>'CPU  1'!E11</f>
        <v>19.767954545454543</v>
      </c>
      <c r="F11" s="132"/>
      <c r="G11" s="142"/>
      <c r="H11" s="134">
        <f t="shared" si="0"/>
        <v>0</v>
      </c>
      <c r="I11" s="132"/>
      <c r="J11" s="142"/>
      <c r="K11" s="134">
        <f t="shared" si="1"/>
        <v>0</v>
      </c>
      <c r="L11" s="132"/>
      <c r="M11" s="142"/>
      <c r="N11" s="134">
        <f t="shared" si="2"/>
        <v>0</v>
      </c>
      <c r="O11" s="132"/>
      <c r="P11" s="142"/>
      <c r="Q11" s="134">
        <f t="shared" si="3"/>
        <v>0</v>
      </c>
      <c r="R11" s="143"/>
      <c r="S11" s="135"/>
      <c r="T11" s="136"/>
      <c r="U11" s="137">
        <f t="shared" si="5"/>
        <v>0</v>
      </c>
      <c r="V11" s="138" t="e">
        <f t="shared" si="4"/>
        <v>#DIV/0!</v>
      </c>
    </row>
    <row r="12" spans="2:25" s="109" customFormat="1" ht="21.95" customHeight="1" outlineLevel="1">
      <c r="B12" s="128" t="str">
        <f>'CPU  1'!B12</f>
        <v>P06</v>
      </c>
      <c r="C12" s="140" t="str">
        <f>'CPU  1'!C12</f>
        <v>Eletricista</v>
      </c>
      <c r="D12" s="141" t="str">
        <f>'CPU  1'!D12</f>
        <v>hh</v>
      </c>
      <c r="E12" s="131">
        <f>'CPU  1'!E12</f>
        <v>26.023636363636363</v>
      </c>
      <c r="F12" s="132"/>
      <c r="G12" s="142"/>
      <c r="H12" s="134">
        <f t="shared" si="0"/>
        <v>0</v>
      </c>
      <c r="I12" s="132"/>
      <c r="J12" s="142"/>
      <c r="K12" s="134">
        <f t="shared" si="1"/>
        <v>0</v>
      </c>
      <c r="L12" s="132"/>
      <c r="M12" s="142"/>
      <c r="N12" s="134">
        <f t="shared" si="2"/>
        <v>0</v>
      </c>
      <c r="O12" s="132"/>
      <c r="P12" s="142"/>
      <c r="Q12" s="134">
        <f t="shared" si="3"/>
        <v>0</v>
      </c>
      <c r="R12" s="143"/>
      <c r="S12" s="135"/>
      <c r="T12" s="136"/>
      <c r="U12" s="137">
        <f t="shared" si="5"/>
        <v>0</v>
      </c>
      <c r="V12" s="138" t="e">
        <f t="shared" si="4"/>
        <v>#DIV/0!</v>
      </c>
    </row>
    <row r="13" spans="2:25" s="109" customFormat="1" ht="21.95" customHeight="1" outlineLevel="1">
      <c r="B13" s="128" t="str">
        <f>'CPU  1'!B13</f>
        <v>P07</v>
      </c>
      <c r="C13" s="140" t="str">
        <f>'CPU  1'!C13</f>
        <v>Ajudante</v>
      </c>
      <c r="D13" s="141" t="str">
        <f>'CPU  1'!D13</f>
        <v>hh</v>
      </c>
      <c r="E13" s="131">
        <f>'CPU  1'!E13</f>
        <v>13.962681818181817</v>
      </c>
      <c r="F13" s="132"/>
      <c r="G13" s="133"/>
      <c r="H13" s="134">
        <f t="shared" si="0"/>
        <v>0</v>
      </c>
      <c r="I13" s="132"/>
      <c r="J13" s="133"/>
      <c r="K13" s="134">
        <f t="shared" si="1"/>
        <v>0</v>
      </c>
      <c r="L13" s="132"/>
      <c r="M13" s="133"/>
      <c r="N13" s="134">
        <f t="shared" si="2"/>
        <v>0</v>
      </c>
      <c r="O13" s="132"/>
      <c r="P13" s="133"/>
      <c r="Q13" s="134">
        <f t="shared" si="3"/>
        <v>0</v>
      </c>
      <c r="R13" s="143"/>
      <c r="S13" s="135"/>
      <c r="T13" s="136"/>
      <c r="U13" s="137">
        <f t="shared" si="5"/>
        <v>0</v>
      </c>
      <c r="V13" s="138" t="e">
        <f t="shared" si="4"/>
        <v>#DIV/0!</v>
      </c>
    </row>
    <row r="14" spans="2:25" s="109" customFormat="1" ht="21.95" customHeight="1" outlineLevel="1">
      <c r="B14" s="128" t="str">
        <f>'CPU  1'!B14</f>
        <v>P08</v>
      </c>
      <c r="C14" s="140" t="str">
        <f>'CPU  1'!C14</f>
        <v>Armador</v>
      </c>
      <c r="D14" s="141" t="str">
        <f>'CPU  1'!D14</f>
        <v>hh</v>
      </c>
      <c r="E14" s="131">
        <f>'CPU  1'!E14</f>
        <v>19.767954545454543</v>
      </c>
      <c r="F14" s="132"/>
      <c r="G14" s="133"/>
      <c r="H14" s="134">
        <f t="shared" si="0"/>
        <v>0</v>
      </c>
      <c r="I14" s="145"/>
      <c r="J14" s="133"/>
      <c r="K14" s="134">
        <f t="shared" si="1"/>
        <v>0</v>
      </c>
      <c r="L14" s="145"/>
      <c r="M14" s="133"/>
      <c r="N14" s="134">
        <f t="shared" si="2"/>
        <v>0</v>
      </c>
      <c r="O14" s="145"/>
      <c r="P14" s="133"/>
      <c r="Q14" s="134">
        <f t="shared" si="3"/>
        <v>0</v>
      </c>
      <c r="R14" s="143"/>
      <c r="S14" s="135"/>
      <c r="T14" s="136"/>
      <c r="U14" s="137">
        <f t="shared" si="5"/>
        <v>0</v>
      </c>
      <c r="V14" s="138" t="e">
        <f t="shared" si="4"/>
        <v>#DIV/0!</v>
      </c>
    </row>
    <row r="15" spans="2:25" s="109" customFormat="1" ht="21.95" customHeight="1" outlineLevel="1">
      <c r="B15" s="128" t="str">
        <f>'CPU  1'!B15</f>
        <v>P09</v>
      </c>
      <c r="C15" s="140" t="str">
        <f>'CPU  1'!C15</f>
        <v>Engenheiro</v>
      </c>
      <c r="D15" s="141" t="str">
        <f>'CPU  1'!D15</f>
        <v>hh</v>
      </c>
      <c r="E15" s="131">
        <f>'CPU  1'!E15</f>
        <v>112.30200000000001</v>
      </c>
      <c r="F15" s="132"/>
      <c r="G15" s="133"/>
      <c r="H15" s="134">
        <f t="shared" si="0"/>
        <v>0</v>
      </c>
      <c r="I15" s="145"/>
      <c r="J15" s="133"/>
      <c r="K15" s="134">
        <f t="shared" si="1"/>
        <v>0</v>
      </c>
      <c r="L15" s="145"/>
      <c r="M15" s="133"/>
      <c r="N15" s="134">
        <f t="shared" si="2"/>
        <v>0</v>
      </c>
      <c r="O15" s="145"/>
      <c r="P15" s="133"/>
      <c r="Q15" s="134">
        <f t="shared" si="3"/>
        <v>0</v>
      </c>
      <c r="R15" s="143"/>
      <c r="S15" s="135"/>
      <c r="T15" s="136"/>
      <c r="U15" s="137">
        <f t="shared" si="5"/>
        <v>0</v>
      </c>
      <c r="V15" s="138" t="e">
        <f t="shared" si="4"/>
        <v>#DIV/0!</v>
      </c>
    </row>
    <row r="16" spans="2:25" s="109" customFormat="1" ht="21.95" customHeight="1" outlineLevel="1">
      <c r="B16" s="128" t="str">
        <f>'CPU  1'!B16</f>
        <v>P10</v>
      </c>
      <c r="C16" s="140" t="str">
        <f>'CPU  1'!C16</f>
        <v>Planejador</v>
      </c>
      <c r="D16" s="141" t="str">
        <f>'CPU  1'!D16</f>
        <v>hh</v>
      </c>
      <c r="E16" s="131">
        <f>'CPU  1'!E16</f>
        <v>60.054545454545455</v>
      </c>
      <c r="F16" s="132"/>
      <c r="G16" s="133"/>
      <c r="H16" s="134">
        <f t="shared" si="0"/>
        <v>0</v>
      </c>
      <c r="I16" s="145"/>
      <c r="J16" s="133"/>
      <c r="K16" s="134">
        <f t="shared" si="1"/>
        <v>0</v>
      </c>
      <c r="L16" s="145"/>
      <c r="M16" s="133"/>
      <c r="N16" s="134">
        <f t="shared" si="2"/>
        <v>0</v>
      </c>
      <c r="O16" s="145"/>
      <c r="P16" s="133"/>
      <c r="Q16" s="134">
        <f t="shared" si="3"/>
        <v>0</v>
      </c>
      <c r="R16" s="143"/>
      <c r="S16" s="135"/>
      <c r="T16" s="136"/>
      <c r="U16" s="137">
        <f t="shared" si="5"/>
        <v>0</v>
      </c>
      <c r="V16" s="138" t="e">
        <f t="shared" si="4"/>
        <v>#DIV/0!</v>
      </c>
    </row>
    <row r="17" spans="2:23" s="109" customFormat="1" ht="21.95" customHeight="1" outlineLevel="1">
      <c r="B17" s="128" t="str">
        <f>'CPU  1'!B17</f>
        <v>P11</v>
      </c>
      <c r="C17" s="140" t="str">
        <f>'CPU  1'!C17</f>
        <v>Tópografo</v>
      </c>
      <c r="D17" s="141" t="str">
        <f>'CPU  1'!D17</f>
        <v>hh</v>
      </c>
      <c r="E17" s="131">
        <f>'CPU  1'!E17</f>
        <v>38.034545454545452</v>
      </c>
      <c r="F17" s="132"/>
      <c r="G17" s="133"/>
      <c r="H17" s="134">
        <f>G17*F17*$E17</f>
        <v>0</v>
      </c>
      <c r="I17" s="145"/>
      <c r="J17" s="133"/>
      <c r="K17" s="134">
        <f>J17*I17*$E17</f>
        <v>0</v>
      </c>
      <c r="L17" s="145"/>
      <c r="M17" s="133"/>
      <c r="N17" s="134">
        <f>M17*L17*$E17</f>
        <v>0</v>
      </c>
      <c r="O17" s="145"/>
      <c r="P17" s="133"/>
      <c r="Q17" s="134">
        <f>P17*O17*$E17</f>
        <v>0</v>
      </c>
      <c r="R17" s="143"/>
      <c r="S17" s="135"/>
      <c r="T17" s="136"/>
      <c r="U17" s="137">
        <f t="shared" si="5"/>
        <v>0</v>
      </c>
      <c r="V17" s="138" t="e">
        <f t="shared" si="4"/>
        <v>#DIV/0!</v>
      </c>
    </row>
    <row r="18" spans="2:23" s="109" customFormat="1" ht="21.95" customHeight="1" outlineLevel="1">
      <c r="B18" s="128" t="str">
        <f>'CPU  1'!B18</f>
        <v>P12</v>
      </c>
      <c r="C18" s="140" t="str">
        <f>'CPU  1'!C18</f>
        <v>Auxiliar de Topografia</v>
      </c>
      <c r="D18" s="141" t="str">
        <f>'CPU  1'!D18</f>
        <v>hh</v>
      </c>
      <c r="E18" s="131">
        <f>'CPU  1'!E18</f>
        <v>17.015454545454546</v>
      </c>
      <c r="F18" s="132"/>
      <c r="G18" s="133"/>
      <c r="H18" s="134">
        <f t="shared" si="0"/>
        <v>0</v>
      </c>
      <c r="I18" s="145"/>
      <c r="J18" s="133"/>
      <c r="K18" s="134">
        <f t="shared" si="1"/>
        <v>0</v>
      </c>
      <c r="L18" s="145"/>
      <c r="M18" s="133"/>
      <c r="N18" s="134">
        <f t="shared" si="2"/>
        <v>0</v>
      </c>
      <c r="O18" s="145"/>
      <c r="P18" s="133"/>
      <c r="Q18" s="134">
        <f t="shared" si="3"/>
        <v>0</v>
      </c>
      <c r="R18" s="143"/>
      <c r="S18" s="135"/>
      <c r="T18" s="136"/>
      <c r="U18" s="137">
        <f t="shared" si="5"/>
        <v>0</v>
      </c>
      <c r="V18" s="138" t="e">
        <f t="shared" si="4"/>
        <v>#DIV/0!</v>
      </c>
    </row>
    <row r="19" spans="2:23" s="109" customFormat="1" ht="21.95" customHeight="1" outlineLevel="1">
      <c r="B19" s="128" t="str">
        <f>'CPU  1'!B19</f>
        <v>P13</v>
      </c>
      <c r="C19" s="140" t="str">
        <f>'CPU  1'!C19</f>
        <v>Projetista</v>
      </c>
      <c r="D19" s="141" t="str">
        <f>'CPU  1'!D19</f>
        <v>hh</v>
      </c>
      <c r="E19" s="131">
        <f>'CPU  1'!E19</f>
        <v>70.063636363636363</v>
      </c>
      <c r="F19" s="132"/>
      <c r="G19" s="133"/>
      <c r="H19" s="134">
        <f t="shared" si="0"/>
        <v>0</v>
      </c>
      <c r="I19" s="145"/>
      <c r="J19" s="133"/>
      <c r="K19" s="134">
        <f t="shared" si="1"/>
        <v>0</v>
      </c>
      <c r="L19" s="145"/>
      <c r="M19" s="133"/>
      <c r="N19" s="134">
        <f t="shared" si="2"/>
        <v>0</v>
      </c>
      <c r="O19" s="145"/>
      <c r="P19" s="133"/>
      <c r="Q19" s="134">
        <f t="shared" si="3"/>
        <v>0</v>
      </c>
      <c r="R19" s="143"/>
      <c r="S19" s="135"/>
      <c r="T19" s="136"/>
      <c r="U19" s="137">
        <f t="shared" si="5"/>
        <v>0</v>
      </c>
      <c r="V19" s="138" t="e">
        <f t="shared" si="4"/>
        <v>#DIV/0!</v>
      </c>
    </row>
    <row r="20" spans="2:23" s="109" customFormat="1" ht="21.95" customHeight="1" outlineLevel="1">
      <c r="B20" s="128" t="str">
        <f>'CPU  1'!B20</f>
        <v>P14</v>
      </c>
      <c r="C20" s="140" t="str">
        <f>'CPU  1'!C20</f>
        <v>Operador/motorista</v>
      </c>
      <c r="D20" s="141" t="str">
        <f>'CPU  1'!D20</f>
        <v>hh</v>
      </c>
      <c r="E20" s="131">
        <f>'CPU  1'!E20</f>
        <v>25.022727272727273</v>
      </c>
      <c r="F20" s="132"/>
      <c r="G20" s="133"/>
      <c r="H20" s="134">
        <f>G20*F20*$E20</f>
        <v>0</v>
      </c>
      <c r="I20" s="145"/>
      <c r="J20" s="133"/>
      <c r="K20" s="134">
        <f>J20*I20*$E20</f>
        <v>0</v>
      </c>
      <c r="L20" s="145"/>
      <c r="M20" s="133"/>
      <c r="N20" s="134">
        <f>M20*L20*$E20</f>
        <v>0</v>
      </c>
      <c r="O20" s="132"/>
      <c r="P20" s="133"/>
      <c r="Q20" s="134">
        <f>P20*O20*$E20</f>
        <v>0</v>
      </c>
      <c r="R20" s="143"/>
      <c r="S20" s="135"/>
      <c r="T20" s="136"/>
      <c r="U20" s="137">
        <f t="shared" si="5"/>
        <v>0</v>
      </c>
      <c r="V20" s="138" t="e">
        <f t="shared" si="4"/>
        <v>#DIV/0!</v>
      </c>
    </row>
    <row r="21" spans="2:23" s="109" customFormat="1" ht="21.95" customHeight="1" outlineLevel="1">
      <c r="B21" s="128" t="str">
        <f>'CPU  1'!B21</f>
        <v>P15</v>
      </c>
      <c r="C21" s="140">
        <f>'CPU  1'!C21</f>
        <v>0</v>
      </c>
      <c r="D21" s="141" t="str">
        <f>'CPU  1'!D21</f>
        <v>hh</v>
      </c>
      <c r="E21" s="131">
        <f>'CPU  1'!E21</f>
        <v>0</v>
      </c>
      <c r="F21" s="132"/>
      <c r="G21" s="133"/>
      <c r="H21" s="134">
        <f t="shared" si="0"/>
        <v>0</v>
      </c>
      <c r="I21" s="145"/>
      <c r="J21" s="133"/>
      <c r="K21" s="134">
        <f t="shared" si="1"/>
        <v>0</v>
      </c>
      <c r="L21" s="145"/>
      <c r="M21" s="133"/>
      <c r="N21" s="134">
        <f t="shared" si="2"/>
        <v>0</v>
      </c>
      <c r="O21" s="145"/>
      <c r="P21" s="133"/>
      <c r="Q21" s="134">
        <f t="shared" si="3"/>
        <v>0</v>
      </c>
      <c r="R21" s="143"/>
      <c r="S21" s="135"/>
      <c r="T21" s="136"/>
      <c r="U21" s="137">
        <f t="shared" si="5"/>
        <v>0</v>
      </c>
      <c r="V21" s="138" t="e">
        <f t="shared" si="4"/>
        <v>#DIV/0!</v>
      </c>
    </row>
    <row r="22" spans="2:23" s="109" customFormat="1" ht="21.95" customHeight="1" outlineLevel="1" thickBot="1">
      <c r="B22" s="128" t="str">
        <f>'CPU  1'!B22</f>
        <v>P16</v>
      </c>
      <c r="C22" s="140">
        <f>'CPU  1'!C22</f>
        <v>0</v>
      </c>
      <c r="D22" s="141" t="str">
        <f>'CPU  1'!D22</f>
        <v>hh</v>
      </c>
      <c r="E22" s="131">
        <f>'CPU  1'!E22</f>
        <v>0</v>
      </c>
      <c r="F22" s="132"/>
      <c r="G22" s="133"/>
      <c r="H22" s="134">
        <f t="shared" si="0"/>
        <v>0</v>
      </c>
      <c r="I22" s="145"/>
      <c r="J22" s="133"/>
      <c r="K22" s="134">
        <f t="shared" si="1"/>
        <v>0</v>
      </c>
      <c r="L22" s="145"/>
      <c r="M22" s="133"/>
      <c r="N22" s="134">
        <f t="shared" si="2"/>
        <v>0</v>
      </c>
      <c r="O22" s="145"/>
      <c r="P22" s="133"/>
      <c r="Q22" s="134">
        <f t="shared" si="3"/>
        <v>0</v>
      </c>
      <c r="R22" s="143"/>
      <c r="S22" s="135"/>
      <c r="T22" s="136"/>
      <c r="U22" s="137">
        <f t="shared" si="5"/>
        <v>0</v>
      </c>
      <c r="V22" s="138" t="e">
        <f t="shared" si="4"/>
        <v>#DIV/0!</v>
      </c>
    </row>
    <row r="23" spans="2:23" s="109" customFormat="1" ht="21.95" customHeight="1" thickBot="1">
      <c r="B23" s="694" t="s">
        <v>33</v>
      </c>
      <c r="C23" s="695"/>
      <c r="D23" s="695"/>
      <c r="E23" s="695"/>
      <c r="F23" s="263">
        <f>SUM(F7:F22)</f>
        <v>0</v>
      </c>
      <c r="G23" s="264">
        <f>SUM(G7:G22)*H3</f>
        <v>0</v>
      </c>
      <c r="H23" s="265">
        <f>SUM(H7:H22)</f>
        <v>0</v>
      </c>
      <c r="I23" s="263">
        <f>SUM(I7:I22)</f>
        <v>0</v>
      </c>
      <c r="J23" s="264">
        <f>SUM(J7:J22)*K3</f>
        <v>0</v>
      </c>
      <c r="K23" s="265">
        <f>SUM(K7:K22)</f>
        <v>0</v>
      </c>
      <c r="L23" s="263">
        <f>SUM(L7:L22)</f>
        <v>0</v>
      </c>
      <c r="M23" s="264">
        <f>SUM(M7:M22)*N3</f>
        <v>0</v>
      </c>
      <c r="N23" s="265">
        <f>SUM(N7:N22)</f>
        <v>0</v>
      </c>
      <c r="O23" s="263">
        <f>SUM(O7:O22)</f>
        <v>0</v>
      </c>
      <c r="P23" s="264">
        <f>SUM(P7:P22)*Q3</f>
        <v>0</v>
      </c>
      <c r="Q23" s="265">
        <f>SUM(Q7:Q22)</f>
        <v>0</v>
      </c>
      <c r="R23" s="143"/>
      <c r="S23" s="263">
        <f>SUM(S7:S22)</f>
        <v>0</v>
      </c>
      <c r="T23" s="264">
        <f>SUM(T7:T22)</f>
        <v>0</v>
      </c>
      <c r="U23" s="265">
        <f>SUM(U7:U22)</f>
        <v>0</v>
      </c>
      <c r="V23" s="138"/>
    </row>
    <row r="24" spans="2:23" s="109" customFormat="1" ht="21.95" customHeight="1" thickBot="1">
      <c r="B24" s="699" t="s">
        <v>124</v>
      </c>
      <c r="C24" s="700"/>
      <c r="D24" s="700"/>
      <c r="E24" s="701"/>
      <c r="F24" s="146"/>
      <c r="G24" s="146"/>
      <c r="H24" s="146"/>
      <c r="J24" s="146"/>
      <c r="K24" s="146"/>
      <c r="M24" s="146"/>
      <c r="N24" s="146"/>
      <c r="P24" s="146"/>
      <c r="Q24" s="146"/>
      <c r="R24" s="143"/>
      <c r="S24" s="147"/>
      <c r="T24" s="147"/>
      <c r="U24" s="147"/>
      <c r="V24" s="138"/>
    </row>
    <row r="25" spans="2:23" s="127" customFormat="1" ht="21.95" customHeight="1" thickBot="1">
      <c r="B25" s="258" t="s">
        <v>163</v>
      </c>
      <c r="C25" s="259" t="s">
        <v>169</v>
      </c>
      <c r="D25" s="260" t="s">
        <v>30</v>
      </c>
      <c r="E25" s="261" t="s">
        <v>31</v>
      </c>
      <c r="F25" s="258" t="s">
        <v>6</v>
      </c>
      <c r="G25" s="261" t="s">
        <v>32</v>
      </c>
      <c r="H25" s="262" t="s">
        <v>5</v>
      </c>
      <c r="I25" s="258" t="s">
        <v>6</v>
      </c>
      <c r="J25" s="261" t="s">
        <v>32</v>
      </c>
      <c r="K25" s="262" t="s">
        <v>5</v>
      </c>
      <c r="L25" s="258" t="s">
        <v>6</v>
      </c>
      <c r="M25" s="261" t="s">
        <v>32</v>
      </c>
      <c r="N25" s="262" t="s">
        <v>5</v>
      </c>
      <c r="O25" s="258" t="s">
        <v>6</v>
      </c>
      <c r="P25" s="261" t="s">
        <v>32</v>
      </c>
      <c r="Q25" s="262" t="s">
        <v>5</v>
      </c>
      <c r="R25" s="124"/>
      <c r="S25" s="258" t="s">
        <v>6</v>
      </c>
      <c r="T25" s="261" t="s">
        <v>32</v>
      </c>
      <c r="U25" s="262" t="s">
        <v>5</v>
      </c>
      <c r="V25" s="125"/>
      <c r="W25" s="126"/>
    </row>
    <row r="26" spans="2:23" s="109" customFormat="1" ht="21.95" customHeight="1" outlineLevel="1">
      <c r="B26" s="148" t="str">
        <f>'CPU  1'!B26</f>
        <v>E01</v>
      </c>
      <c r="C26" s="149" t="str">
        <f>'CPU  1'!C26</f>
        <v>Alavanca, picareta, enxada, cavador, pá</v>
      </c>
      <c r="D26" s="150" t="str">
        <f>'CPU  1'!D26</f>
        <v>vb</v>
      </c>
      <c r="E26" s="151">
        <f>'CPU  1'!E26</f>
        <v>790</v>
      </c>
      <c r="F26" s="145"/>
      <c r="G26" s="142"/>
      <c r="H26" s="134">
        <f t="shared" ref="H26:H79" si="6">G26*F26*$E26</f>
        <v>0</v>
      </c>
      <c r="I26" s="145"/>
      <c r="J26" s="142"/>
      <c r="K26" s="134">
        <f t="shared" ref="K26:K79" si="7">J26*I26*$E26</f>
        <v>0</v>
      </c>
      <c r="L26" s="145"/>
      <c r="M26" s="142"/>
      <c r="N26" s="134">
        <f t="shared" ref="N26:N79" si="8">M26*L26*$E26</f>
        <v>0</v>
      </c>
      <c r="O26" s="145"/>
      <c r="P26" s="142"/>
      <c r="Q26" s="134">
        <f t="shared" ref="Q26:Q79" si="9">P26*O26*$E26</f>
        <v>0</v>
      </c>
      <c r="R26" s="152"/>
      <c r="S26" s="153"/>
      <c r="T26" s="154"/>
      <c r="U26" s="137">
        <f t="shared" ref="U26:U79" si="10">H26*$H$3+K26*$K$3+N26*$N$3+Q26*$Q$3</f>
        <v>0</v>
      </c>
      <c r="V26" s="138" t="e">
        <f t="shared" ref="V26:V57" si="11">U26/$U$162</f>
        <v>#DIV/0!</v>
      </c>
    </row>
    <row r="27" spans="2:23" s="109" customFormat="1" ht="21.95" customHeight="1" outlineLevel="1">
      <c r="B27" s="148" t="str">
        <f>'CPU  1'!B27</f>
        <v>E02</v>
      </c>
      <c r="C27" s="149" t="str">
        <f>'CPU  1'!C27</f>
        <v>Banheiro hidraulico - locação</v>
      </c>
      <c r="D27" s="150" t="str">
        <f>'CPU  1'!D27</f>
        <v>vb/mês</v>
      </c>
      <c r="E27" s="151">
        <f>'CPU  1'!E27</f>
        <v>4000</v>
      </c>
      <c r="F27" s="145"/>
      <c r="G27" s="142"/>
      <c r="H27" s="134">
        <f t="shared" si="6"/>
        <v>0</v>
      </c>
      <c r="I27" s="145"/>
      <c r="J27" s="142"/>
      <c r="K27" s="134">
        <f t="shared" si="7"/>
        <v>0</v>
      </c>
      <c r="L27" s="145"/>
      <c r="M27" s="142"/>
      <c r="N27" s="134">
        <f t="shared" si="8"/>
        <v>0</v>
      </c>
      <c r="O27" s="145"/>
      <c r="P27" s="142"/>
      <c r="Q27" s="134">
        <f t="shared" si="9"/>
        <v>0</v>
      </c>
      <c r="R27" s="152"/>
      <c r="S27" s="153"/>
      <c r="T27" s="154"/>
      <c r="U27" s="137">
        <f t="shared" si="10"/>
        <v>0</v>
      </c>
      <c r="V27" s="138" t="e">
        <f t="shared" si="11"/>
        <v>#DIV/0!</v>
      </c>
    </row>
    <row r="28" spans="2:23" s="109" customFormat="1" ht="21.95" customHeight="1" outlineLevel="1">
      <c r="B28" s="148" t="str">
        <f>'CPU  1'!B28</f>
        <v>E03</v>
      </c>
      <c r="C28" s="149" t="str">
        <f>'CPU  1'!C28</f>
        <v>Barreira física metalica</v>
      </c>
      <c r="D28" s="150" t="str">
        <f>'CPU  1'!D28</f>
        <v>pç</v>
      </c>
      <c r="E28" s="151">
        <f>'CPU  1'!E28</f>
        <v>350</v>
      </c>
      <c r="F28" s="145"/>
      <c r="G28" s="142"/>
      <c r="H28" s="134">
        <f t="shared" si="6"/>
        <v>0</v>
      </c>
      <c r="I28" s="145"/>
      <c r="J28" s="142"/>
      <c r="K28" s="134">
        <f t="shared" si="7"/>
        <v>0</v>
      </c>
      <c r="L28" s="145"/>
      <c r="M28" s="142"/>
      <c r="N28" s="134">
        <f t="shared" si="8"/>
        <v>0</v>
      </c>
      <c r="O28" s="145"/>
      <c r="P28" s="142"/>
      <c r="Q28" s="134">
        <f t="shared" si="9"/>
        <v>0</v>
      </c>
      <c r="R28" s="152"/>
      <c r="S28" s="153"/>
      <c r="T28" s="154"/>
      <c r="U28" s="137">
        <f t="shared" si="10"/>
        <v>0</v>
      </c>
      <c r="V28" s="138" t="e">
        <f t="shared" si="11"/>
        <v>#DIV/0!</v>
      </c>
    </row>
    <row r="29" spans="2:23" s="109" customFormat="1" ht="21.95" customHeight="1" outlineLevel="1">
      <c r="B29" s="148" t="str">
        <f>'CPU  1'!B29</f>
        <v>E04</v>
      </c>
      <c r="C29" s="149" t="str">
        <f>'CPU  1'!C29</f>
        <v>Bebedouro 4 torneiras 50L</v>
      </c>
      <c r="D29" s="150" t="str">
        <f>'CPU  1'!D29</f>
        <v>unid</v>
      </c>
      <c r="E29" s="151">
        <f>'CPU  1'!E29</f>
        <v>3500</v>
      </c>
      <c r="F29" s="145"/>
      <c r="G29" s="142"/>
      <c r="H29" s="134">
        <f t="shared" si="6"/>
        <v>0</v>
      </c>
      <c r="I29" s="145"/>
      <c r="J29" s="142"/>
      <c r="K29" s="134">
        <f t="shared" si="7"/>
        <v>0</v>
      </c>
      <c r="L29" s="145"/>
      <c r="M29" s="142"/>
      <c r="N29" s="134">
        <f t="shared" si="8"/>
        <v>0</v>
      </c>
      <c r="O29" s="145"/>
      <c r="P29" s="142"/>
      <c r="Q29" s="134">
        <f t="shared" si="9"/>
        <v>0</v>
      </c>
      <c r="R29" s="152"/>
      <c r="S29" s="153"/>
      <c r="T29" s="154"/>
      <c r="U29" s="137">
        <f t="shared" si="10"/>
        <v>0</v>
      </c>
      <c r="V29" s="138" t="e">
        <f t="shared" si="11"/>
        <v>#DIV/0!</v>
      </c>
    </row>
    <row r="30" spans="2:23" s="109" customFormat="1" ht="21.95" customHeight="1" outlineLevel="1">
      <c r="B30" s="148" t="str">
        <f>'CPU  1'!B30</f>
        <v>E05</v>
      </c>
      <c r="C30" s="149" t="str">
        <f>'CPU  1'!C30</f>
        <v>Caçamba de entulho 4m³</v>
      </c>
      <c r="D30" s="150" t="str">
        <f>'CPU  1'!D30</f>
        <v>Vb/mês</v>
      </c>
      <c r="E30" s="151">
        <f>'CPU  1'!E30</f>
        <v>800</v>
      </c>
      <c r="F30" s="145"/>
      <c r="G30" s="142"/>
      <c r="H30" s="134">
        <f t="shared" si="6"/>
        <v>0</v>
      </c>
      <c r="I30" s="145"/>
      <c r="J30" s="142"/>
      <c r="K30" s="134">
        <f t="shared" si="7"/>
        <v>0</v>
      </c>
      <c r="L30" s="145"/>
      <c r="M30" s="142"/>
      <c r="N30" s="134">
        <f t="shared" si="8"/>
        <v>0</v>
      </c>
      <c r="O30" s="145"/>
      <c r="P30" s="142"/>
      <c r="Q30" s="134">
        <f t="shared" si="9"/>
        <v>0</v>
      </c>
      <c r="R30" s="152"/>
      <c r="S30" s="153"/>
      <c r="T30" s="154"/>
      <c r="U30" s="137">
        <f t="shared" si="10"/>
        <v>0</v>
      </c>
      <c r="V30" s="138" t="e">
        <f t="shared" si="11"/>
        <v>#DIV/0!</v>
      </c>
    </row>
    <row r="31" spans="2:23" s="109" customFormat="1" ht="21.95" customHeight="1" outlineLevel="1">
      <c r="B31" s="148" t="str">
        <f>'CPU  1'!B31</f>
        <v>E06</v>
      </c>
      <c r="C31" s="149" t="str">
        <f>'CPU  1'!C31</f>
        <v>Cadinho solda exotermica</v>
      </c>
      <c r="D31" s="150" t="str">
        <f>'CPU  1'!D31</f>
        <v>pç</v>
      </c>
      <c r="E31" s="151">
        <f>'CPU  1'!E31</f>
        <v>420</v>
      </c>
      <c r="F31" s="145"/>
      <c r="G31" s="142"/>
      <c r="H31" s="134">
        <f t="shared" si="6"/>
        <v>0</v>
      </c>
      <c r="I31" s="145"/>
      <c r="J31" s="142"/>
      <c r="K31" s="134">
        <f t="shared" si="7"/>
        <v>0</v>
      </c>
      <c r="L31" s="145"/>
      <c r="M31" s="142"/>
      <c r="N31" s="134">
        <f t="shared" si="8"/>
        <v>0</v>
      </c>
      <c r="O31" s="145"/>
      <c r="P31" s="142"/>
      <c r="Q31" s="134">
        <f t="shared" si="9"/>
        <v>0</v>
      </c>
      <c r="R31" s="152"/>
      <c r="S31" s="153"/>
      <c r="T31" s="154"/>
      <c r="U31" s="137">
        <f t="shared" si="10"/>
        <v>0</v>
      </c>
      <c r="V31" s="138" t="e">
        <f t="shared" si="11"/>
        <v>#DIV/0!</v>
      </c>
    </row>
    <row r="32" spans="2:23" s="109" customFormat="1" ht="21.95" customHeight="1" outlineLevel="1">
      <c r="B32" s="148" t="str">
        <f>'CPU  1'!B32</f>
        <v>E07</v>
      </c>
      <c r="C32" s="149" t="str">
        <f>'CPU  1'!C32</f>
        <v>Caixa dágua 1000L</v>
      </c>
      <c r="D32" s="150" t="str">
        <f>'CPU  1'!D32</f>
        <v>pç</v>
      </c>
      <c r="E32" s="151">
        <f>'CPU  1'!E32</f>
        <v>480</v>
      </c>
      <c r="F32" s="145"/>
      <c r="G32" s="142"/>
      <c r="H32" s="134">
        <f t="shared" si="6"/>
        <v>0</v>
      </c>
      <c r="I32" s="145"/>
      <c r="J32" s="142"/>
      <c r="K32" s="134">
        <f t="shared" si="7"/>
        <v>0</v>
      </c>
      <c r="L32" s="145"/>
      <c r="M32" s="142"/>
      <c r="N32" s="134">
        <f t="shared" si="8"/>
        <v>0</v>
      </c>
      <c r="O32" s="145"/>
      <c r="P32" s="142"/>
      <c r="Q32" s="134">
        <f t="shared" si="9"/>
        <v>0</v>
      </c>
      <c r="R32" s="152"/>
      <c r="S32" s="153"/>
      <c r="T32" s="154"/>
      <c r="U32" s="137">
        <f t="shared" si="10"/>
        <v>0</v>
      </c>
      <c r="V32" s="138" t="e">
        <f t="shared" si="11"/>
        <v>#DIV/0!</v>
      </c>
    </row>
    <row r="33" spans="2:22" s="109" customFormat="1" ht="21.95" customHeight="1" outlineLevel="1">
      <c r="B33" s="148" t="str">
        <f>'CPU  1'!B33</f>
        <v>E08</v>
      </c>
      <c r="C33" s="149" t="str">
        <f>'CPU  1'!C33</f>
        <v>Caixa dágua 500L</v>
      </c>
      <c r="D33" s="155" t="str">
        <f>'CPU  1'!D33</f>
        <v>pç</v>
      </c>
      <c r="E33" s="151">
        <f>'CPU  1'!E33</f>
        <v>250</v>
      </c>
      <c r="F33" s="145"/>
      <c r="G33" s="142"/>
      <c r="H33" s="134">
        <f t="shared" si="6"/>
        <v>0</v>
      </c>
      <c r="I33" s="145"/>
      <c r="J33" s="142"/>
      <c r="K33" s="134">
        <f t="shared" si="7"/>
        <v>0</v>
      </c>
      <c r="L33" s="145"/>
      <c r="M33" s="142"/>
      <c r="N33" s="134">
        <f t="shared" si="8"/>
        <v>0</v>
      </c>
      <c r="O33" s="145"/>
      <c r="P33" s="142"/>
      <c r="Q33" s="134">
        <f t="shared" si="9"/>
        <v>0</v>
      </c>
      <c r="R33" s="152"/>
      <c r="S33" s="153"/>
      <c r="T33" s="154"/>
      <c r="U33" s="137">
        <f t="shared" si="10"/>
        <v>0</v>
      </c>
      <c r="V33" s="138" t="e">
        <f t="shared" si="11"/>
        <v>#DIV/0!</v>
      </c>
    </row>
    <row r="34" spans="2:22" s="109" customFormat="1" ht="21.95" customHeight="1" outlineLevel="1">
      <c r="B34" s="148" t="str">
        <f>'CPU  1'!B34</f>
        <v>E09</v>
      </c>
      <c r="C34" s="149" t="str">
        <f>'CPU  1'!C34</f>
        <v>Caminhão munck</v>
      </c>
      <c r="D34" s="155" t="str">
        <f>'CPU  1'!D34</f>
        <v>vb/mês</v>
      </c>
      <c r="E34" s="151">
        <f>'CPU  1'!E34</f>
        <v>40000</v>
      </c>
      <c r="F34" s="145"/>
      <c r="G34" s="142"/>
      <c r="H34" s="134">
        <f t="shared" si="6"/>
        <v>0</v>
      </c>
      <c r="I34" s="145"/>
      <c r="J34" s="142"/>
      <c r="K34" s="134">
        <f t="shared" si="7"/>
        <v>0</v>
      </c>
      <c r="L34" s="145"/>
      <c r="M34" s="142"/>
      <c r="N34" s="134">
        <f t="shared" si="8"/>
        <v>0</v>
      </c>
      <c r="O34" s="145"/>
      <c r="P34" s="142"/>
      <c r="Q34" s="134">
        <f t="shared" si="9"/>
        <v>0</v>
      </c>
      <c r="R34" s="152"/>
      <c r="S34" s="153"/>
      <c r="T34" s="154"/>
      <c r="U34" s="137">
        <f t="shared" si="10"/>
        <v>0</v>
      </c>
      <c r="V34" s="138" t="e">
        <f t="shared" si="11"/>
        <v>#DIV/0!</v>
      </c>
    </row>
    <row r="35" spans="2:22" s="109" customFormat="1" ht="21.95" customHeight="1" outlineLevel="1">
      <c r="B35" s="148" t="str">
        <f>'CPU  1'!B35</f>
        <v>E10</v>
      </c>
      <c r="C35" s="149" t="str">
        <f>'CPU  1'!C35</f>
        <v>Carro de mão</v>
      </c>
      <c r="D35" s="155" t="str">
        <f>'CPU  1'!D35</f>
        <v>pç</v>
      </c>
      <c r="E35" s="151">
        <f>'CPU  1'!E35</f>
        <v>450</v>
      </c>
      <c r="F35" s="145"/>
      <c r="G35" s="142"/>
      <c r="H35" s="134">
        <f t="shared" si="6"/>
        <v>0</v>
      </c>
      <c r="I35" s="145"/>
      <c r="J35" s="142"/>
      <c r="K35" s="134">
        <f t="shared" si="7"/>
        <v>0</v>
      </c>
      <c r="L35" s="145"/>
      <c r="M35" s="142"/>
      <c r="N35" s="134">
        <f t="shared" si="8"/>
        <v>0</v>
      </c>
      <c r="O35" s="145"/>
      <c r="P35" s="142"/>
      <c r="Q35" s="134">
        <f t="shared" si="9"/>
        <v>0</v>
      </c>
      <c r="R35" s="152"/>
      <c r="S35" s="153"/>
      <c r="T35" s="154"/>
      <c r="U35" s="137">
        <f t="shared" si="10"/>
        <v>0</v>
      </c>
      <c r="V35" s="138" t="e">
        <f t="shared" si="11"/>
        <v>#DIV/0!</v>
      </c>
    </row>
    <row r="36" spans="2:22" s="109" customFormat="1" ht="21.95" customHeight="1" outlineLevel="1">
      <c r="B36" s="148" t="str">
        <f>'CPU  1'!B36</f>
        <v>E11</v>
      </c>
      <c r="C36" s="149" t="str">
        <f>'CPU  1'!C36</f>
        <v>Carro plataforma</v>
      </c>
      <c r="D36" s="155" t="str">
        <f>'CPU  1'!D36</f>
        <v>pç</v>
      </c>
      <c r="E36" s="151">
        <f>'CPU  1'!E36</f>
        <v>1200</v>
      </c>
      <c r="F36" s="145"/>
      <c r="G36" s="142"/>
      <c r="H36" s="134">
        <f t="shared" si="6"/>
        <v>0</v>
      </c>
      <c r="I36" s="145"/>
      <c r="J36" s="142"/>
      <c r="K36" s="134">
        <f t="shared" si="7"/>
        <v>0</v>
      </c>
      <c r="L36" s="145"/>
      <c r="M36" s="142"/>
      <c r="N36" s="134">
        <f t="shared" si="8"/>
        <v>0</v>
      </c>
      <c r="O36" s="145"/>
      <c r="P36" s="142"/>
      <c r="Q36" s="134">
        <f t="shared" si="9"/>
        <v>0</v>
      </c>
      <c r="R36" s="152"/>
      <c r="S36" s="153"/>
      <c r="T36" s="154"/>
      <c r="U36" s="137">
        <f t="shared" si="10"/>
        <v>0</v>
      </c>
      <c r="V36" s="138" t="e">
        <f t="shared" si="11"/>
        <v>#DIV/0!</v>
      </c>
    </row>
    <row r="37" spans="2:22" s="109" customFormat="1" ht="36" customHeight="1" outlineLevel="1">
      <c r="B37" s="148" t="str">
        <f>'CPU  1'!B37</f>
        <v>E12</v>
      </c>
      <c r="C37" s="149" t="str">
        <f>'CPU  1'!C37</f>
        <v>Coletor de resíduo com pedal - 50L (V,V,A,A)</v>
      </c>
      <c r="D37" s="155" t="str">
        <f>'CPU  1'!D37</f>
        <v>kit</v>
      </c>
      <c r="E37" s="151">
        <f>'CPU  1'!E37</f>
        <v>1200</v>
      </c>
      <c r="F37" s="145"/>
      <c r="G37" s="142"/>
      <c r="H37" s="134">
        <f t="shared" si="6"/>
        <v>0</v>
      </c>
      <c r="I37" s="145"/>
      <c r="J37" s="142"/>
      <c r="K37" s="134">
        <f t="shared" si="7"/>
        <v>0</v>
      </c>
      <c r="L37" s="145"/>
      <c r="M37" s="142"/>
      <c r="N37" s="134">
        <f t="shared" si="8"/>
        <v>0</v>
      </c>
      <c r="O37" s="145"/>
      <c r="P37" s="142"/>
      <c r="Q37" s="134">
        <f t="shared" si="9"/>
        <v>0</v>
      </c>
      <c r="R37" s="152"/>
      <c r="S37" s="153"/>
      <c r="T37" s="154"/>
      <c r="U37" s="137">
        <f t="shared" si="10"/>
        <v>0</v>
      </c>
      <c r="V37" s="138" t="e">
        <f t="shared" si="11"/>
        <v>#DIV/0!</v>
      </c>
    </row>
    <row r="38" spans="2:22" s="109" customFormat="1" ht="21.95" customHeight="1" outlineLevel="1">
      <c r="B38" s="148" t="str">
        <f>'CPU  1'!B38</f>
        <v>E13</v>
      </c>
      <c r="C38" s="149" t="str">
        <f>'CPU  1'!C38</f>
        <v>Compactador de solo manual</v>
      </c>
      <c r="D38" s="155" t="str">
        <f>'CPU  1'!D38</f>
        <v>vb</v>
      </c>
      <c r="E38" s="151">
        <f>'CPU  1'!E38</f>
        <v>180</v>
      </c>
      <c r="F38" s="145"/>
      <c r="G38" s="142"/>
      <c r="H38" s="134">
        <f t="shared" si="6"/>
        <v>0</v>
      </c>
      <c r="I38" s="145"/>
      <c r="J38" s="142"/>
      <c r="K38" s="134">
        <f t="shared" si="7"/>
        <v>0</v>
      </c>
      <c r="L38" s="145"/>
      <c r="M38" s="142"/>
      <c r="N38" s="134">
        <f t="shared" si="8"/>
        <v>0</v>
      </c>
      <c r="O38" s="145"/>
      <c r="P38" s="142"/>
      <c r="Q38" s="134">
        <f t="shared" si="9"/>
        <v>0</v>
      </c>
      <c r="R38" s="152"/>
      <c r="S38" s="153"/>
      <c r="T38" s="154"/>
      <c r="U38" s="137">
        <f t="shared" si="10"/>
        <v>0</v>
      </c>
      <c r="V38" s="138" t="e">
        <f t="shared" si="11"/>
        <v>#DIV/0!</v>
      </c>
    </row>
    <row r="39" spans="2:22" s="109" customFormat="1" ht="21.95" customHeight="1" outlineLevel="1">
      <c r="B39" s="148" t="str">
        <f>'CPU  1'!B39</f>
        <v>E14</v>
      </c>
      <c r="C39" s="149" t="str">
        <f>'CPU  1'!C39</f>
        <v>Computador</v>
      </c>
      <c r="D39" s="155" t="str">
        <f>'CPU  1'!D39</f>
        <v>vb/mês</v>
      </c>
      <c r="E39" s="151">
        <f>'CPU  1'!E39</f>
        <v>350</v>
      </c>
      <c r="F39" s="145"/>
      <c r="G39" s="142"/>
      <c r="H39" s="134">
        <f t="shared" si="6"/>
        <v>0</v>
      </c>
      <c r="I39" s="145"/>
      <c r="J39" s="142"/>
      <c r="K39" s="134">
        <f t="shared" si="7"/>
        <v>0</v>
      </c>
      <c r="L39" s="145"/>
      <c r="M39" s="142"/>
      <c r="N39" s="134">
        <f t="shared" si="8"/>
        <v>0</v>
      </c>
      <c r="O39" s="145"/>
      <c r="P39" s="142"/>
      <c r="Q39" s="134">
        <f t="shared" si="9"/>
        <v>0</v>
      </c>
      <c r="R39" s="152"/>
      <c r="S39" s="153"/>
      <c r="T39" s="154"/>
      <c r="U39" s="137">
        <f t="shared" si="10"/>
        <v>0</v>
      </c>
      <c r="V39" s="138" t="e">
        <f t="shared" si="11"/>
        <v>#DIV/0!</v>
      </c>
    </row>
    <row r="40" spans="2:22" s="109" customFormat="1" ht="21.95" customHeight="1" outlineLevel="1">
      <c r="B40" s="148" t="str">
        <f>'CPU  1'!B40</f>
        <v>E15</v>
      </c>
      <c r="C40" s="149" t="str">
        <f>'CPU  1'!C40</f>
        <v>Container Almoxarifado</v>
      </c>
      <c r="D40" s="155" t="str">
        <f>'CPU  1'!D40</f>
        <v>vb/mês</v>
      </c>
      <c r="E40" s="151">
        <f>'CPU  1'!E40</f>
        <v>1200</v>
      </c>
      <c r="F40" s="145"/>
      <c r="G40" s="142"/>
      <c r="H40" s="134">
        <f t="shared" si="6"/>
        <v>0</v>
      </c>
      <c r="I40" s="145"/>
      <c r="J40" s="142"/>
      <c r="K40" s="134">
        <f t="shared" si="7"/>
        <v>0</v>
      </c>
      <c r="L40" s="145"/>
      <c r="M40" s="142"/>
      <c r="N40" s="134">
        <f t="shared" si="8"/>
        <v>0</v>
      </c>
      <c r="O40" s="145"/>
      <c r="P40" s="142"/>
      <c r="Q40" s="134">
        <f t="shared" si="9"/>
        <v>0</v>
      </c>
      <c r="R40" s="152"/>
      <c r="S40" s="153"/>
      <c r="T40" s="154"/>
      <c r="U40" s="137">
        <f t="shared" si="10"/>
        <v>0</v>
      </c>
      <c r="V40" s="138" t="e">
        <f t="shared" si="11"/>
        <v>#DIV/0!</v>
      </c>
    </row>
    <row r="41" spans="2:22" s="109" customFormat="1" ht="21.95" customHeight="1" outlineLevel="1">
      <c r="B41" s="148" t="str">
        <f>'CPU  1'!B41</f>
        <v>E16</v>
      </c>
      <c r="C41" s="149" t="str">
        <f>'CPU  1'!C41</f>
        <v>Container escritorio</v>
      </c>
      <c r="D41" s="155" t="str">
        <f>'CPU  1'!D41</f>
        <v>vb/mês</v>
      </c>
      <c r="E41" s="151">
        <f>'CPU  1'!E41</f>
        <v>900</v>
      </c>
      <c r="F41" s="145"/>
      <c r="G41" s="142"/>
      <c r="H41" s="134">
        <f t="shared" si="6"/>
        <v>0</v>
      </c>
      <c r="I41" s="145"/>
      <c r="J41" s="142"/>
      <c r="K41" s="134">
        <f t="shared" si="7"/>
        <v>0</v>
      </c>
      <c r="L41" s="145"/>
      <c r="M41" s="142"/>
      <c r="N41" s="134">
        <f t="shared" si="8"/>
        <v>0</v>
      </c>
      <c r="O41" s="145"/>
      <c r="P41" s="142"/>
      <c r="Q41" s="134">
        <f t="shared" si="9"/>
        <v>0</v>
      </c>
      <c r="R41" s="152"/>
      <c r="S41" s="153"/>
      <c r="T41" s="154"/>
      <c r="U41" s="137">
        <f t="shared" si="10"/>
        <v>0</v>
      </c>
      <c r="V41" s="138" t="e">
        <f t="shared" si="11"/>
        <v>#DIV/0!</v>
      </c>
    </row>
    <row r="42" spans="2:22" s="109" customFormat="1" ht="21.95" customHeight="1" outlineLevel="1">
      <c r="B42" s="148" t="str">
        <f>'CPU  1'!B42</f>
        <v>E17</v>
      </c>
      <c r="C42" s="149" t="str">
        <f>'CPU  1'!C42</f>
        <v>EPIs</v>
      </c>
      <c r="D42" s="155" t="str">
        <f>'CPU  1'!D42</f>
        <v>vb/mês</v>
      </c>
      <c r="E42" s="151">
        <f>'CPU  1'!E42</f>
        <v>328.76666666666671</v>
      </c>
      <c r="F42" s="145"/>
      <c r="G42" s="142"/>
      <c r="H42" s="134">
        <f t="shared" si="6"/>
        <v>0</v>
      </c>
      <c r="I42" s="145"/>
      <c r="J42" s="142"/>
      <c r="K42" s="134">
        <f t="shared" si="7"/>
        <v>0</v>
      </c>
      <c r="L42" s="145"/>
      <c r="M42" s="142"/>
      <c r="N42" s="134">
        <f t="shared" si="8"/>
        <v>0</v>
      </c>
      <c r="O42" s="145"/>
      <c r="P42" s="142"/>
      <c r="Q42" s="134">
        <f t="shared" si="9"/>
        <v>0</v>
      </c>
      <c r="R42" s="152"/>
      <c r="S42" s="153"/>
      <c r="T42" s="154"/>
      <c r="U42" s="137">
        <f t="shared" si="10"/>
        <v>0</v>
      </c>
      <c r="V42" s="138" t="e">
        <f t="shared" si="11"/>
        <v>#DIV/0!</v>
      </c>
    </row>
    <row r="43" spans="2:22" s="109" customFormat="1" ht="21.95" customHeight="1" outlineLevel="1">
      <c r="B43" s="148" t="str">
        <f>'CPU  1'!B43</f>
        <v>E18</v>
      </c>
      <c r="C43" s="149" t="str">
        <f>'CPU  1'!C43</f>
        <v>Esmerilhadeira 4-1/2"</v>
      </c>
      <c r="D43" s="155" t="str">
        <f>'CPU  1'!D43</f>
        <v>und</v>
      </c>
      <c r="E43" s="151">
        <f>'CPU  1'!E43</f>
        <v>2000</v>
      </c>
      <c r="F43" s="145"/>
      <c r="G43" s="142"/>
      <c r="H43" s="134">
        <f t="shared" si="6"/>
        <v>0</v>
      </c>
      <c r="I43" s="145"/>
      <c r="J43" s="142"/>
      <c r="K43" s="134">
        <f t="shared" si="7"/>
        <v>0</v>
      </c>
      <c r="L43" s="145"/>
      <c r="M43" s="142"/>
      <c r="N43" s="134">
        <f t="shared" si="8"/>
        <v>0</v>
      </c>
      <c r="O43" s="145"/>
      <c r="P43" s="142"/>
      <c r="Q43" s="134">
        <f t="shared" si="9"/>
        <v>0</v>
      </c>
      <c r="R43" s="152"/>
      <c r="S43" s="153"/>
      <c r="T43" s="154"/>
      <c r="U43" s="137">
        <f t="shared" si="10"/>
        <v>0</v>
      </c>
      <c r="V43" s="138" t="e">
        <f t="shared" si="11"/>
        <v>#DIV/0!</v>
      </c>
    </row>
    <row r="44" spans="2:22" s="109" customFormat="1" ht="21.95" customHeight="1" outlineLevel="1">
      <c r="B44" s="148" t="str">
        <f>'CPU  1'!B44</f>
        <v>E19</v>
      </c>
      <c r="C44" s="149" t="str">
        <f>'CPU  1'!C44</f>
        <v>Estação total (com acessorios)</v>
      </c>
      <c r="D44" s="155" t="str">
        <f>'CPU  1'!D44</f>
        <v>vb/mês</v>
      </c>
      <c r="E44" s="151">
        <f>'CPU  1'!E44</f>
        <v>1350</v>
      </c>
      <c r="F44" s="145"/>
      <c r="G44" s="142"/>
      <c r="H44" s="134">
        <f t="shared" si="6"/>
        <v>0</v>
      </c>
      <c r="I44" s="145"/>
      <c r="J44" s="142"/>
      <c r="K44" s="134">
        <f t="shared" si="7"/>
        <v>0</v>
      </c>
      <c r="L44" s="145"/>
      <c r="M44" s="142"/>
      <c r="N44" s="134">
        <f t="shared" si="8"/>
        <v>0</v>
      </c>
      <c r="O44" s="145"/>
      <c r="P44" s="142"/>
      <c r="Q44" s="134">
        <f t="shared" si="9"/>
        <v>0</v>
      </c>
      <c r="R44" s="152"/>
      <c r="S44" s="153"/>
      <c r="T44" s="154"/>
      <c r="U44" s="137">
        <f t="shared" si="10"/>
        <v>0</v>
      </c>
      <c r="V44" s="138" t="e">
        <f t="shared" si="11"/>
        <v>#DIV/0!</v>
      </c>
    </row>
    <row r="45" spans="2:22" s="109" customFormat="1" ht="36" customHeight="1" outlineLevel="1">
      <c r="B45" s="148" t="str">
        <f>'CPU  1'!B45</f>
        <v>E20</v>
      </c>
      <c r="C45" s="149" t="str">
        <f>'CPU  1'!C45</f>
        <v>Extensões eletricas (plug steck + DJ + DR) 40m</v>
      </c>
      <c r="D45" s="155" t="str">
        <f>'CPU  1'!D45</f>
        <v>vb</v>
      </c>
      <c r="E45" s="151">
        <f>'CPU  1'!E45</f>
        <v>1087.8</v>
      </c>
      <c r="F45" s="145"/>
      <c r="G45" s="142"/>
      <c r="H45" s="134">
        <f t="shared" si="6"/>
        <v>0</v>
      </c>
      <c r="I45" s="145"/>
      <c r="J45" s="142"/>
      <c r="K45" s="134">
        <f t="shared" si="7"/>
        <v>0</v>
      </c>
      <c r="L45" s="145"/>
      <c r="M45" s="142"/>
      <c r="N45" s="134">
        <f t="shared" si="8"/>
        <v>0</v>
      </c>
      <c r="O45" s="145"/>
      <c r="P45" s="142"/>
      <c r="Q45" s="134">
        <f t="shared" si="9"/>
        <v>0</v>
      </c>
      <c r="R45" s="152"/>
      <c r="S45" s="153"/>
      <c r="T45" s="154"/>
      <c r="U45" s="137">
        <f t="shared" si="10"/>
        <v>0</v>
      </c>
      <c r="V45" s="138" t="e">
        <f t="shared" si="11"/>
        <v>#DIV/0!</v>
      </c>
    </row>
    <row r="46" spans="2:22" s="109" customFormat="1" ht="21.95" customHeight="1" outlineLevel="1">
      <c r="B46" s="148" t="str">
        <f>'CPU  1'!B46</f>
        <v>E21</v>
      </c>
      <c r="C46" s="149" t="str">
        <f>'CPU  1'!C46</f>
        <v>Ferramentas gerais para obra</v>
      </c>
      <c r="D46" s="155" t="str">
        <f>'CPU  1'!D46</f>
        <v>vb</v>
      </c>
      <c r="E46" s="151">
        <f>'CPU  1'!E46</f>
        <v>5000</v>
      </c>
      <c r="F46" s="145"/>
      <c r="G46" s="142"/>
      <c r="H46" s="134">
        <f t="shared" si="6"/>
        <v>0</v>
      </c>
      <c r="I46" s="145"/>
      <c r="J46" s="142"/>
      <c r="K46" s="134">
        <f t="shared" si="7"/>
        <v>0</v>
      </c>
      <c r="L46" s="145"/>
      <c r="M46" s="142"/>
      <c r="N46" s="134">
        <f t="shared" si="8"/>
        <v>0</v>
      </c>
      <c r="O46" s="145"/>
      <c r="P46" s="142"/>
      <c r="Q46" s="134">
        <f t="shared" si="9"/>
        <v>0</v>
      </c>
      <c r="R46" s="152"/>
      <c r="S46" s="153"/>
      <c r="T46" s="154"/>
      <c r="U46" s="137">
        <f t="shared" si="10"/>
        <v>0</v>
      </c>
      <c r="V46" s="138" t="e">
        <f t="shared" si="11"/>
        <v>#DIV/0!</v>
      </c>
    </row>
    <row r="47" spans="2:22" s="109" customFormat="1" ht="21.95" customHeight="1" outlineLevel="1">
      <c r="B47" s="148" t="str">
        <f>'CPU  1'!B47</f>
        <v>E22</v>
      </c>
      <c r="C47" s="149" t="str">
        <f>'CPU  1'!C47</f>
        <v>Freezer 300L</v>
      </c>
      <c r="D47" s="155" t="str">
        <f>'CPU  1'!D47</f>
        <v>vb</v>
      </c>
      <c r="E47" s="151">
        <f>'CPU  1'!E47</f>
        <v>2500</v>
      </c>
      <c r="F47" s="145"/>
      <c r="G47" s="142"/>
      <c r="H47" s="134">
        <f t="shared" si="6"/>
        <v>0</v>
      </c>
      <c r="I47" s="145"/>
      <c r="J47" s="142"/>
      <c r="K47" s="134">
        <f t="shared" si="7"/>
        <v>0</v>
      </c>
      <c r="L47" s="145"/>
      <c r="M47" s="142"/>
      <c r="N47" s="134">
        <f t="shared" si="8"/>
        <v>0</v>
      </c>
      <c r="O47" s="145"/>
      <c r="P47" s="142"/>
      <c r="Q47" s="134">
        <f t="shared" si="9"/>
        <v>0</v>
      </c>
      <c r="R47" s="152"/>
      <c r="S47" s="153"/>
      <c r="T47" s="154"/>
      <c r="U47" s="137">
        <f t="shared" si="10"/>
        <v>0</v>
      </c>
      <c r="V47" s="138" t="e">
        <f t="shared" si="11"/>
        <v>#DIV/0!</v>
      </c>
    </row>
    <row r="48" spans="2:22" s="109" customFormat="1" ht="21.95" customHeight="1" outlineLevel="1">
      <c r="B48" s="148" t="str">
        <f>'CPU  1'!B48</f>
        <v>E23</v>
      </c>
      <c r="C48" s="149" t="str">
        <f>'CPU  1'!C48</f>
        <v>Furadeira</v>
      </c>
      <c r="D48" s="155" t="str">
        <f>'CPU  1'!D48</f>
        <v>pç</v>
      </c>
      <c r="E48" s="151">
        <f>'CPU  1'!E48</f>
        <v>800</v>
      </c>
      <c r="F48" s="145"/>
      <c r="G48" s="142"/>
      <c r="H48" s="134">
        <f t="shared" si="6"/>
        <v>0</v>
      </c>
      <c r="I48" s="145"/>
      <c r="J48" s="142"/>
      <c r="K48" s="134">
        <f t="shared" si="7"/>
        <v>0</v>
      </c>
      <c r="L48" s="145"/>
      <c r="M48" s="142"/>
      <c r="N48" s="134">
        <f t="shared" si="8"/>
        <v>0</v>
      </c>
      <c r="O48" s="145"/>
      <c r="P48" s="142"/>
      <c r="Q48" s="134">
        <f t="shared" si="9"/>
        <v>0</v>
      </c>
      <c r="R48" s="152"/>
      <c r="S48" s="153"/>
      <c r="T48" s="154"/>
      <c r="U48" s="137">
        <f t="shared" si="10"/>
        <v>0</v>
      </c>
      <c r="V48" s="138" t="e">
        <f t="shared" si="11"/>
        <v>#DIV/0!</v>
      </c>
    </row>
    <row r="49" spans="2:22" s="109" customFormat="1" ht="21.95" customHeight="1" outlineLevel="1">
      <c r="B49" s="148" t="str">
        <f>'CPU  1'!B49</f>
        <v>E24</v>
      </c>
      <c r="C49" s="149" t="str">
        <f>'CPU  1'!C49</f>
        <v>Garrafa térmica 12 L</v>
      </c>
      <c r="D49" s="155" t="str">
        <f>'CPU  1'!D49</f>
        <v>pç</v>
      </c>
      <c r="E49" s="151">
        <f>'CPU  1'!E49</f>
        <v>210</v>
      </c>
      <c r="F49" s="145"/>
      <c r="G49" s="142"/>
      <c r="H49" s="134">
        <f t="shared" si="6"/>
        <v>0</v>
      </c>
      <c r="I49" s="145"/>
      <c r="J49" s="142"/>
      <c r="K49" s="134">
        <f t="shared" si="7"/>
        <v>0</v>
      </c>
      <c r="L49" s="145"/>
      <c r="M49" s="142"/>
      <c r="N49" s="134">
        <f t="shared" si="8"/>
        <v>0</v>
      </c>
      <c r="O49" s="145"/>
      <c r="P49" s="142"/>
      <c r="Q49" s="134">
        <f t="shared" si="9"/>
        <v>0</v>
      </c>
      <c r="R49" s="152"/>
      <c r="S49" s="153"/>
      <c r="T49" s="154"/>
      <c r="U49" s="137">
        <f t="shared" si="10"/>
        <v>0</v>
      </c>
      <c r="V49" s="138" t="e">
        <f t="shared" si="11"/>
        <v>#DIV/0!</v>
      </c>
    </row>
    <row r="50" spans="2:22" s="109" customFormat="1" ht="21.95" customHeight="1" outlineLevel="1">
      <c r="B50" s="148" t="str">
        <f>'CPU  1'!B50</f>
        <v>E25</v>
      </c>
      <c r="C50" s="149" t="str">
        <f>'CPU  1'!C50</f>
        <v>Gerador 40KVA</v>
      </c>
      <c r="D50" s="155" t="str">
        <f>'CPU  1'!D50</f>
        <v>vb/mês</v>
      </c>
      <c r="E50" s="151">
        <f>'CPU  1'!E50</f>
        <v>3200</v>
      </c>
      <c r="F50" s="145"/>
      <c r="G50" s="142"/>
      <c r="H50" s="134">
        <f t="shared" si="6"/>
        <v>0</v>
      </c>
      <c r="I50" s="145"/>
      <c r="J50" s="142"/>
      <c r="K50" s="134">
        <f t="shared" si="7"/>
        <v>0</v>
      </c>
      <c r="L50" s="145"/>
      <c r="M50" s="142"/>
      <c r="N50" s="134">
        <f t="shared" si="8"/>
        <v>0</v>
      </c>
      <c r="O50" s="145"/>
      <c r="P50" s="142"/>
      <c r="Q50" s="134">
        <f t="shared" si="9"/>
        <v>0</v>
      </c>
      <c r="R50" s="152"/>
      <c r="S50" s="153"/>
      <c r="T50" s="154"/>
      <c r="U50" s="137">
        <f t="shared" si="10"/>
        <v>0</v>
      </c>
      <c r="V50" s="138" t="e">
        <f t="shared" si="11"/>
        <v>#DIV/0!</v>
      </c>
    </row>
    <row r="51" spans="2:22" s="109" customFormat="1" ht="21.95" customHeight="1" outlineLevel="1">
      <c r="B51" s="148" t="str">
        <f>'CPU  1'!B51</f>
        <v>E26</v>
      </c>
      <c r="C51" s="149" t="str">
        <f>'CPU  1'!C51</f>
        <v>Gerador 6KVA</v>
      </c>
      <c r="D51" s="155" t="str">
        <f>'CPU  1'!D51</f>
        <v>vb/mês</v>
      </c>
      <c r="E51" s="151">
        <f>'CPU  1'!E51</f>
        <v>1200</v>
      </c>
      <c r="F51" s="145"/>
      <c r="G51" s="142"/>
      <c r="H51" s="134">
        <f t="shared" si="6"/>
        <v>0</v>
      </c>
      <c r="I51" s="145"/>
      <c r="J51" s="142"/>
      <c r="K51" s="134">
        <f t="shared" si="7"/>
        <v>0</v>
      </c>
      <c r="L51" s="145"/>
      <c r="M51" s="142"/>
      <c r="N51" s="134">
        <f t="shared" si="8"/>
        <v>0</v>
      </c>
      <c r="O51" s="145"/>
      <c r="P51" s="142"/>
      <c r="Q51" s="134">
        <f t="shared" si="9"/>
        <v>0</v>
      </c>
      <c r="R51" s="152"/>
      <c r="S51" s="153"/>
      <c r="T51" s="154"/>
      <c r="U51" s="137">
        <f t="shared" si="10"/>
        <v>0</v>
      </c>
      <c r="V51" s="138" t="e">
        <f t="shared" si="11"/>
        <v>#DIV/0!</v>
      </c>
    </row>
    <row r="52" spans="2:22" s="109" customFormat="1" ht="21.95" customHeight="1" outlineLevel="1">
      <c r="B52" s="148" t="str">
        <f>'CPU  1'!B52</f>
        <v>E27</v>
      </c>
      <c r="C52" s="149" t="str">
        <f>'CPU  1'!C52</f>
        <v>Impressora</v>
      </c>
      <c r="D52" s="155" t="str">
        <f>'CPU  1'!D52</f>
        <v>vb/mês</v>
      </c>
      <c r="E52" s="151">
        <f>'CPU  1'!E52</f>
        <v>350</v>
      </c>
      <c r="F52" s="145"/>
      <c r="G52" s="142"/>
      <c r="H52" s="134">
        <f t="shared" si="6"/>
        <v>0</v>
      </c>
      <c r="I52" s="145"/>
      <c r="J52" s="142"/>
      <c r="K52" s="134">
        <f t="shared" si="7"/>
        <v>0</v>
      </c>
      <c r="L52" s="145"/>
      <c r="M52" s="142"/>
      <c r="N52" s="134">
        <f t="shared" si="8"/>
        <v>0</v>
      </c>
      <c r="O52" s="145"/>
      <c r="P52" s="142"/>
      <c r="Q52" s="134">
        <f t="shared" si="9"/>
        <v>0</v>
      </c>
      <c r="R52" s="152"/>
      <c r="S52" s="153"/>
      <c r="T52" s="154"/>
      <c r="U52" s="137">
        <f t="shared" si="10"/>
        <v>0</v>
      </c>
      <c r="V52" s="138" t="e">
        <f t="shared" si="11"/>
        <v>#DIV/0!</v>
      </c>
    </row>
    <row r="53" spans="2:22" s="109" customFormat="1" ht="21.95" customHeight="1" outlineLevel="1">
      <c r="B53" s="148" t="str">
        <f>'CPU  1'!B53</f>
        <v>E28</v>
      </c>
      <c r="C53" s="149" t="str">
        <f>'CPU  1'!C53</f>
        <v>Martelete demolição</v>
      </c>
      <c r="D53" s="155" t="str">
        <f>'CPU  1'!D53</f>
        <v>vb/mês</v>
      </c>
      <c r="E53" s="151">
        <f>'CPU  1'!E53</f>
        <v>900</v>
      </c>
      <c r="F53" s="145"/>
      <c r="G53" s="142"/>
      <c r="H53" s="134">
        <f t="shared" si="6"/>
        <v>0</v>
      </c>
      <c r="I53" s="145"/>
      <c r="J53" s="142"/>
      <c r="K53" s="134">
        <f t="shared" si="7"/>
        <v>0</v>
      </c>
      <c r="L53" s="145"/>
      <c r="M53" s="142"/>
      <c r="N53" s="134">
        <f t="shared" si="8"/>
        <v>0</v>
      </c>
      <c r="O53" s="145"/>
      <c r="P53" s="142"/>
      <c r="Q53" s="134">
        <f t="shared" si="9"/>
        <v>0</v>
      </c>
      <c r="R53" s="152"/>
      <c r="S53" s="153"/>
      <c r="T53" s="154"/>
      <c r="U53" s="137">
        <f t="shared" si="10"/>
        <v>0</v>
      </c>
      <c r="V53" s="138" t="e">
        <f t="shared" si="11"/>
        <v>#DIV/0!</v>
      </c>
    </row>
    <row r="54" spans="2:22" s="109" customFormat="1" ht="21.95" customHeight="1" outlineLevel="1">
      <c r="B54" s="148" t="str">
        <f>'CPU  1'!B54</f>
        <v>E29</v>
      </c>
      <c r="C54" s="149" t="str">
        <f>'CPU  1'!C54</f>
        <v>Masseira 2x1m</v>
      </c>
      <c r="D54" s="155" t="str">
        <f>'CPU  1'!D54</f>
        <v>pç</v>
      </c>
      <c r="E54" s="151">
        <f>'CPU  1'!E54</f>
        <v>486.59</v>
      </c>
      <c r="F54" s="145"/>
      <c r="G54" s="142"/>
      <c r="H54" s="134">
        <f>G54*F54*$E54</f>
        <v>0</v>
      </c>
      <c r="I54" s="145"/>
      <c r="J54" s="142"/>
      <c r="K54" s="134">
        <f>J54*I54*$E54</f>
        <v>0</v>
      </c>
      <c r="L54" s="145"/>
      <c r="M54" s="142"/>
      <c r="N54" s="134">
        <f>M54*L54*$E54</f>
        <v>0</v>
      </c>
      <c r="O54" s="145"/>
      <c r="P54" s="142"/>
      <c r="Q54" s="134">
        <f>P54*O54*$E54</f>
        <v>0</v>
      </c>
      <c r="R54" s="152"/>
      <c r="S54" s="153"/>
      <c r="T54" s="154"/>
      <c r="U54" s="137">
        <f t="shared" si="10"/>
        <v>0</v>
      </c>
      <c r="V54" s="138" t="e">
        <f t="shared" si="11"/>
        <v>#DIV/0!</v>
      </c>
    </row>
    <row r="55" spans="2:22" s="109" customFormat="1" ht="21.95" customHeight="1" outlineLevel="1">
      <c r="B55" s="148" t="str">
        <f>'CPU  1'!B55</f>
        <v>E30</v>
      </c>
      <c r="C55" s="149" t="str">
        <f>'CPU  1'!C55</f>
        <v>Misturador de argamassa</v>
      </c>
      <c r="D55" s="155" t="str">
        <f>'CPU  1'!D55</f>
        <v>pç</v>
      </c>
      <c r="E55" s="151">
        <f>'CPU  1'!E55</f>
        <v>600</v>
      </c>
      <c r="F55" s="145"/>
      <c r="G55" s="142"/>
      <c r="H55" s="134">
        <f>G55*F55*$E55</f>
        <v>0</v>
      </c>
      <c r="I55" s="145"/>
      <c r="J55" s="142"/>
      <c r="K55" s="134">
        <f>J55*I55*$E55</f>
        <v>0</v>
      </c>
      <c r="L55" s="145"/>
      <c r="M55" s="142"/>
      <c r="N55" s="134">
        <f>M55*L55*$E55</f>
        <v>0</v>
      </c>
      <c r="O55" s="145"/>
      <c r="P55" s="142"/>
      <c r="Q55" s="134">
        <f>P55*O55*$E55</f>
        <v>0</v>
      </c>
      <c r="R55" s="152"/>
      <c r="S55" s="153"/>
      <c r="T55" s="154"/>
      <c r="U55" s="137">
        <f t="shared" si="10"/>
        <v>0</v>
      </c>
      <c r="V55" s="138" t="e">
        <f t="shared" si="11"/>
        <v>#DIV/0!</v>
      </c>
    </row>
    <row r="56" spans="2:22" s="109" customFormat="1" ht="21.95" customHeight="1" outlineLevel="1">
      <c r="B56" s="148" t="str">
        <f>'CPU  1'!B56</f>
        <v>E31</v>
      </c>
      <c r="C56" s="149" t="str">
        <f>'CPU  1'!C56</f>
        <v>Mobiliario (cadeira, mesa, etc.)</v>
      </c>
      <c r="D56" s="155" t="str">
        <f>'CPU  1'!D56</f>
        <v>vb/mês</v>
      </c>
      <c r="E56" s="151">
        <f>'CPU  1'!E56</f>
        <v>6000</v>
      </c>
      <c r="F56" s="145"/>
      <c r="G56" s="142"/>
      <c r="H56" s="134">
        <f>G56*F56*$E56</f>
        <v>0</v>
      </c>
      <c r="I56" s="145"/>
      <c r="J56" s="142"/>
      <c r="K56" s="134">
        <f>J56*I56*$E56</f>
        <v>0</v>
      </c>
      <c r="L56" s="145"/>
      <c r="M56" s="142"/>
      <c r="N56" s="134">
        <f>M56*L56*$E56</f>
        <v>0</v>
      </c>
      <c r="O56" s="145"/>
      <c r="P56" s="142"/>
      <c r="Q56" s="134">
        <f>P56*O56*$E56</f>
        <v>0</v>
      </c>
      <c r="R56" s="152"/>
      <c r="S56" s="153"/>
      <c r="T56" s="154"/>
      <c r="U56" s="137">
        <f t="shared" si="10"/>
        <v>0</v>
      </c>
      <c r="V56" s="138" t="e">
        <f t="shared" si="11"/>
        <v>#DIV/0!</v>
      </c>
    </row>
    <row r="57" spans="2:22" s="109" customFormat="1" ht="21.95" customHeight="1" outlineLevel="1">
      <c r="B57" s="148" t="str">
        <f>'CPU  1'!B57</f>
        <v>E32</v>
      </c>
      <c r="C57" s="149" t="str">
        <f>'CPU  1'!C57</f>
        <v>Multimetro</v>
      </c>
      <c r="D57" s="155" t="str">
        <f>'CPU  1'!D57</f>
        <v>pç</v>
      </c>
      <c r="E57" s="151">
        <f>'CPU  1'!E57</f>
        <v>2100</v>
      </c>
      <c r="F57" s="145"/>
      <c r="G57" s="142"/>
      <c r="H57" s="134">
        <f>G57*F57*$E57</f>
        <v>0</v>
      </c>
      <c r="I57" s="145"/>
      <c r="J57" s="142"/>
      <c r="K57" s="134">
        <f>J57*I57*$E57</f>
        <v>0</v>
      </c>
      <c r="L57" s="145"/>
      <c r="M57" s="142"/>
      <c r="N57" s="134">
        <f>M57*L57*$E57</f>
        <v>0</v>
      </c>
      <c r="O57" s="145"/>
      <c r="P57" s="142"/>
      <c r="Q57" s="134">
        <f>P57*O57*$E57</f>
        <v>0</v>
      </c>
      <c r="R57" s="152"/>
      <c r="S57" s="153"/>
      <c r="T57" s="154"/>
      <c r="U57" s="137">
        <f t="shared" si="10"/>
        <v>0</v>
      </c>
      <c r="V57" s="138" t="e">
        <f t="shared" si="11"/>
        <v>#DIV/0!</v>
      </c>
    </row>
    <row r="58" spans="2:22" s="109" customFormat="1" ht="21.95" customHeight="1" outlineLevel="1">
      <c r="B58" s="148" t="str">
        <f>'CPU  1'!B58</f>
        <v>E33</v>
      </c>
      <c r="C58" s="149" t="str">
        <f>'CPU  1'!C58</f>
        <v>Painel eletrico para canteiro</v>
      </c>
      <c r="D58" s="155" t="str">
        <f>'CPU  1'!D58</f>
        <v>vb</v>
      </c>
      <c r="E58" s="151">
        <f>'CPU  1'!E58</f>
        <v>6500</v>
      </c>
      <c r="F58" s="145"/>
      <c r="G58" s="142"/>
      <c r="H58" s="134">
        <f>G58*F58*$E58</f>
        <v>0</v>
      </c>
      <c r="I58" s="145"/>
      <c r="J58" s="142"/>
      <c r="K58" s="134">
        <f>J58*I58*$E58</f>
        <v>0</v>
      </c>
      <c r="L58" s="145"/>
      <c r="M58" s="142"/>
      <c r="N58" s="134">
        <f>M58*L58*$E58</f>
        <v>0</v>
      </c>
      <c r="O58" s="145"/>
      <c r="P58" s="142"/>
      <c r="Q58" s="134">
        <f>P58*O58*$E58</f>
        <v>0</v>
      </c>
      <c r="R58" s="152"/>
      <c r="S58" s="153"/>
      <c r="T58" s="154"/>
      <c r="U58" s="137">
        <f t="shared" si="10"/>
        <v>0</v>
      </c>
      <c r="V58" s="138" t="e">
        <f t="shared" ref="V58:V79" si="12">U58/$U$162</f>
        <v>#DIV/0!</v>
      </c>
    </row>
    <row r="59" spans="2:22" s="109" customFormat="1" ht="21.95" customHeight="1" outlineLevel="1">
      <c r="B59" s="148" t="str">
        <f>'CPU  1'!B59</f>
        <v>E34</v>
      </c>
      <c r="C59" s="149" t="str">
        <f>'CPU  1'!C59</f>
        <v>Painel eletrico para frente de serviço</v>
      </c>
      <c r="D59" s="155" t="str">
        <f>'CPU  1'!D59</f>
        <v>vb</v>
      </c>
      <c r="E59" s="151">
        <f>'CPU  1'!E59</f>
        <v>3000</v>
      </c>
      <c r="F59" s="145"/>
      <c r="G59" s="142"/>
      <c r="H59" s="134">
        <f t="shared" ref="H59:H78" si="13">G59*F59*$E59</f>
        <v>0</v>
      </c>
      <c r="I59" s="145"/>
      <c r="J59" s="142"/>
      <c r="K59" s="134">
        <f t="shared" ref="K59:K78" si="14">J59*I59*$E59</f>
        <v>0</v>
      </c>
      <c r="L59" s="145"/>
      <c r="M59" s="142"/>
      <c r="N59" s="134">
        <f t="shared" ref="N59:N78" si="15">M59*L59*$E59</f>
        <v>0</v>
      </c>
      <c r="O59" s="145"/>
      <c r="P59" s="142"/>
      <c r="Q59" s="134">
        <f t="shared" ref="Q59:Q78" si="16">P59*O59*$E59</f>
        <v>0</v>
      </c>
      <c r="R59" s="152"/>
      <c r="S59" s="153"/>
      <c r="T59" s="154"/>
      <c r="U59" s="137">
        <f t="shared" si="10"/>
        <v>0</v>
      </c>
      <c r="V59" s="138" t="e">
        <f t="shared" si="12"/>
        <v>#DIV/0!</v>
      </c>
    </row>
    <row r="60" spans="2:22" s="109" customFormat="1" ht="21.95" customHeight="1" outlineLevel="1">
      <c r="B60" s="148" t="str">
        <f>'CPU  1'!B60</f>
        <v>E35</v>
      </c>
      <c r="C60" s="149" t="str">
        <f>'CPU  1'!C60</f>
        <v>Pedestais para isolamento</v>
      </c>
      <c r="D60" s="155" t="str">
        <f>'CPU  1'!D60</f>
        <v>vb</v>
      </c>
      <c r="E60" s="151">
        <f>'CPU  1'!E60</f>
        <v>150</v>
      </c>
      <c r="F60" s="145"/>
      <c r="G60" s="142"/>
      <c r="H60" s="134">
        <f t="shared" si="13"/>
        <v>0</v>
      </c>
      <c r="I60" s="145"/>
      <c r="J60" s="142"/>
      <c r="K60" s="134">
        <f t="shared" si="14"/>
        <v>0</v>
      </c>
      <c r="L60" s="145"/>
      <c r="M60" s="142"/>
      <c r="N60" s="134">
        <f t="shared" si="15"/>
        <v>0</v>
      </c>
      <c r="O60" s="145"/>
      <c r="P60" s="142"/>
      <c r="Q60" s="134">
        <f t="shared" si="16"/>
        <v>0</v>
      </c>
      <c r="R60" s="152"/>
      <c r="S60" s="153"/>
      <c r="T60" s="154"/>
      <c r="U60" s="137">
        <f t="shared" si="10"/>
        <v>0</v>
      </c>
      <c r="V60" s="138" t="e">
        <f t="shared" si="12"/>
        <v>#DIV/0!</v>
      </c>
    </row>
    <row r="61" spans="2:22" s="109" customFormat="1" ht="21.95" customHeight="1" outlineLevel="1">
      <c r="B61" s="148" t="str">
        <f>'CPU  1'!B61</f>
        <v>E36</v>
      </c>
      <c r="C61" s="149" t="str">
        <f>'CPU  1'!C61</f>
        <v>Serra circular</v>
      </c>
      <c r="D61" s="155" t="str">
        <f>'CPU  1'!D61</f>
        <v>pç</v>
      </c>
      <c r="E61" s="151">
        <f>'CPU  1'!E61</f>
        <v>850</v>
      </c>
      <c r="F61" s="145"/>
      <c r="G61" s="142"/>
      <c r="H61" s="134">
        <f t="shared" si="13"/>
        <v>0</v>
      </c>
      <c r="I61" s="145"/>
      <c r="J61" s="142"/>
      <c r="K61" s="134">
        <f t="shared" si="14"/>
        <v>0</v>
      </c>
      <c r="L61" s="145"/>
      <c r="M61" s="142"/>
      <c r="N61" s="134">
        <f t="shared" si="15"/>
        <v>0</v>
      </c>
      <c r="O61" s="145"/>
      <c r="P61" s="142"/>
      <c r="Q61" s="134">
        <f t="shared" si="16"/>
        <v>0</v>
      </c>
      <c r="R61" s="152"/>
      <c r="S61" s="153"/>
      <c r="T61" s="154"/>
      <c r="U61" s="137">
        <f t="shared" si="10"/>
        <v>0</v>
      </c>
      <c r="V61" s="138" t="e">
        <f t="shared" si="12"/>
        <v>#DIV/0!</v>
      </c>
    </row>
    <row r="62" spans="2:22" s="109" customFormat="1" ht="21.95" customHeight="1" outlineLevel="1">
      <c r="B62" s="148" t="str">
        <f>'CPU  1'!B62</f>
        <v>E37</v>
      </c>
      <c r="C62" s="149" t="str">
        <f>'CPU  1'!C62</f>
        <v>Tela cerquite</v>
      </c>
      <c r="D62" s="155" t="str">
        <f>'CPU  1'!D62</f>
        <v>pç</v>
      </c>
      <c r="E62" s="151">
        <f>'CPU  1'!E62</f>
        <v>150</v>
      </c>
      <c r="F62" s="145"/>
      <c r="G62" s="142"/>
      <c r="H62" s="134">
        <f t="shared" si="13"/>
        <v>0</v>
      </c>
      <c r="I62" s="145"/>
      <c r="J62" s="142"/>
      <c r="K62" s="134">
        <f t="shared" si="14"/>
        <v>0</v>
      </c>
      <c r="L62" s="145"/>
      <c r="M62" s="142"/>
      <c r="N62" s="134">
        <f t="shared" si="15"/>
        <v>0</v>
      </c>
      <c r="O62" s="145"/>
      <c r="P62" s="142"/>
      <c r="Q62" s="134">
        <f t="shared" si="16"/>
        <v>0</v>
      </c>
      <c r="R62" s="152"/>
      <c r="S62" s="153"/>
      <c r="T62" s="154"/>
      <c r="U62" s="137">
        <f t="shared" si="10"/>
        <v>0</v>
      </c>
      <c r="V62" s="138" t="e">
        <f t="shared" si="12"/>
        <v>#DIV/0!</v>
      </c>
    </row>
    <row r="63" spans="2:22" s="109" customFormat="1" ht="21.95" customHeight="1" outlineLevel="1">
      <c r="B63" s="148" t="str">
        <f>'CPU  1'!B63</f>
        <v>E38</v>
      </c>
      <c r="C63" s="149" t="str">
        <f>'CPU  1'!C63</f>
        <v>Tenda 10 x 10m</v>
      </c>
      <c r="D63" s="155" t="str">
        <f>'CPU  1'!D63</f>
        <v>vb/mês</v>
      </c>
      <c r="E63" s="151">
        <f>'CPU  1'!E63</f>
        <v>1800</v>
      </c>
      <c r="F63" s="145"/>
      <c r="G63" s="142"/>
      <c r="H63" s="134">
        <f t="shared" si="13"/>
        <v>0</v>
      </c>
      <c r="I63" s="145"/>
      <c r="J63" s="142"/>
      <c r="K63" s="134">
        <f t="shared" si="14"/>
        <v>0</v>
      </c>
      <c r="L63" s="145"/>
      <c r="M63" s="142"/>
      <c r="N63" s="134">
        <f t="shared" si="15"/>
        <v>0</v>
      </c>
      <c r="O63" s="145"/>
      <c r="P63" s="142"/>
      <c r="Q63" s="134">
        <f t="shared" si="16"/>
        <v>0</v>
      </c>
      <c r="R63" s="152"/>
      <c r="S63" s="153"/>
      <c r="T63" s="154"/>
      <c r="U63" s="137">
        <f t="shared" si="10"/>
        <v>0</v>
      </c>
      <c r="V63" s="138" t="e">
        <f t="shared" si="12"/>
        <v>#DIV/0!</v>
      </c>
    </row>
    <row r="64" spans="2:22" s="109" customFormat="1" ht="21.95" customHeight="1" outlineLevel="1">
      <c r="B64" s="148" t="str">
        <f>'CPU  1'!B64</f>
        <v>E39</v>
      </c>
      <c r="C64" s="149" t="str">
        <f>'CPU  1'!C64</f>
        <v>Tenda 3 x 3m</v>
      </c>
      <c r="D64" s="155" t="str">
        <f>'CPU  1'!D64</f>
        <v>vb</v>
      </c>
      <c r="E64" s="151">
        <f>'CPU  1'!E64</f>
        <v>2000</v>
      </c>
      <c r="F64" s="145"/>
      <c r="G64" s="142"/>
      <c r="H64" s="134">
        <f t="shared" si="13"/>
        <v>0</v>
      </c>
      <c r="I64" s="145"/>
      <c r="J64" s="142"/>
      <c r="K64" s="134">
        <f t="shared" si="14"/>
        <v>0</v>
      </c>
      <c r="L64" s="145"/>
      <c r="M64" s="142"/>
      <c r="N64" s="134">
        <f t="shared" si="15"/>
        <v>0</v>
      </c>
      <c r="O64" s="145"/>
      <c r="P64" s="142"/>
      <c r="Q64" s="134">
        <f t="shared" si="16"/>
        <v>0</v>
      </c>
      <c r="R64" s="152"/>
      <c r="S64" s="153"/>
      <c r="T64" s="154"/>
      <c r="U64" s="137">
        <f t="shared" si="10"/>
        <v>0</v>
      </c>
      <c r="V64" s="138" t="e">
        <f t="shared" si="12"/>
        <v>#DIV/0!</v>
      </c>
    </row>
    <row r="65" spans="2:22" s="109" customFormat="1" ht="21.95" customHeight="1" outlineLevel="1">
      <c r="B65" s="148" t="str">
        <f>'CPU  1'!B65</f>
        <v>E40</v>
      </c>
      <c r="C65" s="149" t="str">
        <f>'CPU  1'!C65</f>
        <v>Terrometro</v>
      </c>
      <c r="D65" s="155" t="str">
        <f>'CPU  1'!D65</f>
        <v>diária</v>
      </c>
      <c r="E65" s="151">
        <f>'CPU  1'!E65</f>
        <v>250</v>
      </c>
      <c r="F65" s="145"/>
      <c r="G65" s="142"/>
      <c r="H65" s="134">
        <f t="shared" si="13"/>
        <v>0</v>
      </c>
      <c r="I65" s="145"/>
      <c r="J65" s="142"/>
      <c r="K65" s="134">
        <f t="shared" si="14"/>
        <v>0</v>
      </c>
      <c r="L65" s="145"/>
      <c r="M65" s="142"/>
      <c r="N65" s="134">
        <f t="shared" si="15"/>
        <v>0</v>
      </c>
      <c r="O65" s="145"/>
      <c r="P65" s="142"/>
      <c r="Q65" s="134">
        <f t="shared" si="16"/>
        <v>0</v>
      </c>
      <c r="R65" s="152"/>
      <c r="S65" s="153"/>
      <c r="T65" s="154"/>
      <c r="U65" s="137">
        <f t="shared" si="10"/>
        <v>0</v>
      </c>
      <c r="V65" s="138" t="e">
        <f t="shared" si="12"/>
        <v>#DIV/0!</v>
      </c>
    </row>
    <row r="66" spans="2:22" s="109" customFormat="1" ht="21.95" customHeight="1" outlineLevel="1">
      <c r="B66" s="148" t="str">
        <f>'CPU  1'!B66</f>
        <v>E41</v>
      </c>
      <c r="C66" s="149" t="str">
        <f>'CPU  1'!C66</f>
        <v>Torquesa SID13</v>
      </c>
      <c r="D66" s="155" t="str">
        <f>'CPU  1'!D66</f>
        <v>und</v>
      </c>
      <c r="E66" s="151">
        <f>'CPU  1'!E66</f>
        <v>350</v>
      </c>
      <c r="F66" s="145"/>
      <c r="G66" s="142"/>
      <c r="H66" s="134">
        <f t="shared" si="13"/>
        <v>0</v>
      </c>
      <c r="I66" s="145"/>
      <c r="J66" s="142"/>
      <c r="K66" s="134">
        <f t="shared" si="14"/>
        <v>0</v>
      </c>
      <c r="L66" s="145"/>
      <c r="M66" s="142"/>
      <c r="N66" s="134">
        <f t="shared" si="15"/>
        <v>0</v>
      </c>
      <c r="O66" s="145"/>
      <c r="P66" s="142"/>
      <c r="Q66" s="134">
        <f t="shared" si="16"/>
        <v>0</v>
      </c>
      <c r="R66" s="152"/>
      <c r="S66" s="153"/>
      <c r="T66" s="154"/>
      <c r="U66" s="137">
        <f t="shared" si="10"/>
        <v>0</v>
      </c>
      <c r="V66" s="138" t="e">
        <f t="shared" si="12"/>
        <v>#DIV/0!</v>
      </c>
    </row>
    <row r="67" spans="2:22" s="109" customFormat="1" ht="21.95" customHeight="1" outlineLevel="1">
      <c r="B67" s="148" t="str">
        <f>'CPU  1'!B67</f>
        <v>E42</v>
      </c>
      <c r="C67" s="149" t="str">
        <f>'CPU  1'!C67</f>
        <v>Veiculo hatch</v>
      </c>
      <c r="D67" s="155" t="str">
        <f>'CPU  1'!D67</f>
        <v>vb/mês</v>
      </c>
      <c r="E67" s="151">
        <f>'CPU  1'!E67</f>
        <v>3300</v>
      </c>
      <c r="F67" s="145"/>
      <c r="G67" s="142"/>
      <c r="H67" s="134">
        <f t="shared" si="13"/>
        <v>0</v>
      </c>
      <c r="I67" s="145"/>
      <c r="J67" s="142"/>
      <c r="K67" s="134">
        <f t="shared" si="14"/>
        <v>0</v>
      </c>
      <c r="L67" s="145"/>
      <c r="M67" s="142"/>
      <c r="N67" s="134">
        <f t="shared" si="15"/>
        <v>0</v>
      </c>
      <c r="O67" s="145"/>
      <c r="P67" s="142"/>
      <c r="Q67" s="134">
        <f t="shared" si="16"/>
        <v>0</v>
      </c>
      <c r="R67" s="152"/>
      <c r="S67" s="153"/>
      <c r="T67" s="154"/>
      <c r="U67" s="137">
        <f t="shared" si="10"/>
        <v>0</v>
      </c>
      <c r="V67" s="138" t="e">
        <f t="shared" si="12"/>
        <v>#DIV/0!</v>
      </c>
    </row>
    <row r="68" spans="2:22" s="109" customFormat="1" ht="21.95" customHeight="1" outlineLevel="1">
      <c r="B68" s="148" t="str">
        <f>'CPU  1'!B68</f>
        <v>E43</v>
      </c>
      <c r="C68" s="149" t="str">
        <f>'CPU  1'!C68</f>
        <v>Veiculo utilitario</v>
      </c>
      <c r="D68" s="155" t="str">
        <f>'CPU  1'!D68</f>
        <v>vb/mês</v>
      </c>
      <c r="E68" s="151">
        <f>'CPU  1'!E68</f>
        <v>3800</v>
      </c>
      <c r="F68" s="145"/>
      <c r="G68" s="142"/>
      <c r="H68" s="134">
        <f t="shared" si="13"/>
        <v>0</v>
      </c>
      <c r="I68" s="145"/>
      <c r="J68" s="142"/>
      <c r="K68" s="134">
        <f t="shared" si="14"/>
        <v>0</v>
      </c>
      <c r="L68" s="145"/>
      <c r="M68" s="142"/>
      <c r="N68" s="134">
        <f t="shared" si="15"/>
        <v>0</v>
      </c>
      <c r="O68" s="145"/>
      <c r="P68" s="142"/>
      <c r="Q68" s="134">
        <f t="shared" si="16"/>
        <v>0</v>
      </c>
      <c r="R68" s="152"/>
      <c r="S68" s="153"/>
      <c r="T68" s="154"/>
      <c r="U68" s="137">
        <f t="shared" si="10"/>
        <v>0</v>
      </c>
      <c r="V68" s="138" t="e">
        <f t="shared" si="12"/>
        <v>#DIV/0!</v>
      </c>
    </row>
    <row r="69" spans="2:22" s="109" customFormat="1" ht="21.95" customHeight="1" outlineLevel="1">
      <c r="B69" s="148" t="str">
        <f>'CPU  1'!B69</f>
        <v>E44</v>
      </c>
      <c r="C69" s="149" t="str">
        <f>'CPU  1'!C69</f>
        <v>Vibrador de concreto</v>
      </c>
      <c r="D69" s="155" t="str">
        <f>'CPU  1'!D69</f>
        <v>vb</v>
      </c>
      <c r="E69" s="151">
        <f>'CPU  1'!E69</f>
        <v>500</v>
      </c>
      <c r="F69" s="145"/>
      <c r="G69" s="142"/>
      <c r="H69" s="134">
        <f t="shared" si="13"/>
        <v>0</v>
      </c>
      <c r="I69" s="145"/>
      <c r="J69" s="142"/>
      <c r="K69" s="134">
        <f t="shared" si="14"/>
        <v>0</v>
      </c>
      <c r="L69" s="145"/>
      <c r="M69" s="142"/>
      <c r="N69" s="134">
        <f t="shared" si="15"/>
        <v>0</v>
      </c>
      <c r="O69" s="145"/>
      <c r="P69" s="142"/>
      <c r="Q69" s="134">
        <f t="shared" si="16"/>
        <v>0</v>
      </c>
      <c r="R69" s="152"/>
      <c r="S69" s="153"/>
      <c r="T69" s="154"/>
      <c r="U69" s="137">
        <f t="shared" si="10"/>
        <v>0</v>
      </c>
      <c r="V69" s="138" t="e">
        <f t="shared" si="12"/>
        <v>#DIV/0!</v>
      </c>
    </row>
    <row r="70" spans="2:22" s="109" customFormat="1" ht="21.95" customHeight="1" outlineLevel="1">
      <c r="B70" s="148" t="str">
        <f>'CPU  1'!B70</f>
        <v>E45</v>
      </c>
      <c r="C70" s="149" t="str">
        <f>'CPU  1'!C70</f>
        <v>Radio de comunicação (par)</v>
      </c>
      <c r="D70" s="155" t="str">
        <f>'CPU  1'!D70</f>
        <v>und</v>
      </c>
      <c r="E70" s="151">
        <f>'CPU  1'!E70</f>
        <v>200</v>
      </c>
      <c r="F70" s="145"/>
      <c r="G70" s="142"/>
      <c r="H70" s="134">
        <f t="shared" si="13"/>
        <v>0</v>
      </c>
      <c r="I70" s="145"/>
      <c r="J70" s="142"/>
      <c r="K70" s="134">
        <f t="shared" si="14"/>
        <v>0</v>
      </c>
      <c r="L70" s="145"/>
      <c r="M70" s="142"/>
      <c r="N70" s="134">
        <f t="shared" si="15"/>
        <v>0</v>
      </c>
      <c r="O70" s="145"/>
      <c r="P70" s="142"/>
      <c r="Q70" s="134">
        <f t="shared" si="16"/>
        <v>0</v>
      </c>
      <c r="R70" s="152"/>
      <c r="S70" s="153"/>
      <c r="T70" s="154"/>
      <c r="U70" s="137">
        <f t="shared" si="10"/>
        <v>0</v>
      </c>
      <c r="V70" s="138" t="e">
        <f t="shared" si="12"/>
        <v>#DIV/0!</v>
      </c>
    </row>
    <row r="71" spans="2:22" s="109" customFormat="1" ht="21.95" customHeight="1" outlineLevel="1">
      <c r="B71" s="148" t="str">
        <f>'CPU  1'!B71</f>
        <v>E46</v>
      </c>
      <c r="C71" s="149" t="str">
        <f>'CPU  1'!C71</f>
        <v>Detector de raios</v>
      </c>
      <c r="D71" s="155" t="str">
        <f>'CPU  1'!D71</f>
        <v>und</v>
      </c>
      <c r="E71" s="151">
        <f>'CPU  1'!E71</f>
        <v>4200</v>
      </c>
      <c r="F71" s="145"/>
      <c r="G71" s="142"/>
      <c r="H71" s="134">
        <f t="shared" si="13"/>
        <v>0</v>
      </c>
      <c r="I71" s="145"/>
      <c r="J71" s="142"/>
      <c r="K71" s="134">
        <f t="shared" si="14"/>
        <v>0</v>
      </c>
      <c r="L71" s="145"/>
      <c r="M71" s="142"/>
      <c r="N71" s="134">
        <f t="shared" si="15"/>
        <v>0</v>
      </c>
      <c r="O71" s="145"/>
      <c r="P71" s="142"/>
      <c r="Q71" s="134">
        <f t="shared" si="16"/>
        <v>0</v>
      </c>
      <c r="R71" s="152"/>
      <c r="S71" s="153"/>
      <c r="T71" s="154"/>
      <c r="U71" s="137">
        <f t="shared" si="10"/>
        <v>0</v>
      </c>
      <c r="V71" s="138" t="e">
        <f t="shared" si="12"/>
        <v>#DIV/0!</v>
      </c>
    </row>
    <row r="72" spans="2:22" s="109" customFormat="1" ht="21.95" customHeight="1" outlineLevel="1">
      <c r="B72" s="148" t="str">
        <f>'CPU  1'!B72</f>
        <v>E47</v>
      </c>
      <c r="C72" s="149" t="str">
        <f>'CPU  1'!C72</f>
        <v>Luminaria de fotovoltaica canteiro</v>
      </c>
      <c r="D72" s="155" t="str">
        <f>'CPU  1'!D72</f>
        <v>und</v>
      </c>
      <c r="E72" s="151">
        <f>'CPU  1'!E72</f>
        <v>510</v>
      </c>
      <c r="F72" s="145"/>
      <c r="G72" s="142"/>
      <c r="H72" s="134">
        <f t="shared" si="13"/>
        <v>0</v>
      </c>
      <c r="I72" s="145"/>
      <c r="J72" s="142"/>
      <c r="K72" s="134">
        <f t="shared" si="14"/>
        <v>0</v>
      </c>
      <c r="L72" s="145"/>
      <c r="M72" s="142"/>
      <c r="N72" s="134">
        <f t="shared" si="15"/>
        <v>0</v>
      </c>
      <c r="O72" s="145"/>
      <c r="P72" s="142"/>
      <c r="Q72" s="134">
        <f t="shared" si="16"/>
        <v>0</v>
      </c>
      <c r="R72" s="152"/>
      <c r="S72" s="153"/>
      <c r="T72" s="154"/>
      <c r="U72" s="137">
        <f t="shared" si="10"/>
        <v>0</v>
      </c>
      <c r="V72" s="138" t="e">
        <f t="shared" si="12"/>
        <v>#DIV/0!</v>
      </c>
    </row>
    <row r="73" spans="2:22" s="109" customFormat="1" ht="21.95" customHeight="1" outlineLevel="1">
      <c r="B73" s="148" t="str">
        <f>'CPU  1'!B73</f>
        <v>E48</v>
      </c>
      <c r="C73" s="149" t="str">
        <f>'CPU  1'!C73</f>
        <v>Retroescavadeira</v>
      </c>
      <c r="D73" s="155" t="str">
        <f>'CPU  1'!D73</f>
        <v>vb/mês</v>
      </c>
      <c r="E73" s="151">
        <f>'CPU  1'!E73</f>
        <v>29000</v>
      </c>
      <c r="F73" s="145"/>
      <c r="G73" s="142"/>
      <c r="H73" s="134">
        <f t="shared" si="13"/>
        <v>0</v>
      </c>
      <c r="I73" s="145"/>
      <c r="J73" s="142"/>
      <c r="K73" s="134">
        <f t="shared" si="14"/>
        <v>0</v>
      </c>
      <c r="L73" s="145"/>
      <c r="M73" s="142"/>
      <c r="N73" s="134">
        <f t="shared" si="15"/>
        <v>0</v>
      </c>
      <c r="O73" s="145"/>
      <c r="P73" s="142"/>
      <c r="Q73" s="134">
        <f t="shared" si="16"/>
        <v>0</v>
      </c>
      <c r="R73" s="152"/>
      <c r="S73" s="153"/>
      <c r="T73" s="154"/>
      <c r="U73" s="137">
        <f t="shared" si="10"/>
        <v>0</v>
      </c>
      <c r="V73" s="138" t="e">
        <f t="shared" si="12"/>
        <v>#DIV/0!</v>
      </c>
    </row>
    <row r="74" spans="2:22" s="109" customFormat="1" ht="21.95" customHeight="1" outlineLevel="1">
      <c r="B74" s="148" t="str">
        <f>'CPU  1'!B74</f>
        <v>E49</v>
      </c>
      <c r="C74" s="149" t="str">
        <f>'CPU  1'!C74</f>
        <v>Caminhão Basculante</v>
      </c>
      <c r="D74" s="155" t="str">
        <f>'CPU  1'!D74</f>
        <v>vb/mês</v>
      </c>
      <c r="E74" s="151">
        <f>'CPU  1'!E74</f>
        <v>37000</v>
      </c>
      <c r="F74" s="145"/>
      <c r="G74" s="142"/>
      <c r="H74" s="134">
        <f t="shared" si="13"/>
        <v>0</v>
      </c>
      <c r="I74" s="145"/>
      <c r="J74" s="142"/>
      <c r="K74" s="134">
        <f t="shared" si="14"/>
        <v>0</v>
      </c>
      <c r="L74" s="145"/>
      <c r="M74" s="142"/>
      <c r="N74" s="134">
        <f t="shared" si="15"/>
        <v>0</v>
      </c>
      <c r="O74" s="145"/>
      <c r="P74" s="142"/>
      <c r="Q74" s="134">
        <f t="shared" si="16"/>
        <v>0</v>
      </c>
      <c r="R74" s="152"/>
      <c r="S74" s="153"/>
      <c r="T74" s="154"/>
      <c r="U74" s="137">
        <f t="shared" si="10"/>
        <v>0</v>
      </c>
      <c r="V74" s="138" t="e">
        <f t="shared" si="12"/>
        <v>#DIV/0!</v>
      </c>
    </row>
    <row r="75" spans="2:22" s="109" customFormat="1" ht="21.95" customHeight="1" outlineLevel="1">
      <c r="B75" s="148" t="str">
        <f>'CPU  1'!B75</f>
        <v>E50</v>
      </c>
      <c r="C75" s="149">
        <f>'CPU  1'!C75</f>
        <v>0</v>
      </c>
      <c r="D75" s="155">
        <f>'CPU  1'!D75</f>
        <v>0</v>
      </c>
      <c r="E75" s="151">
        <f>'CPU  1'!E75</f>
        <v>0</v>
      </c>
      <c r="F75" s="145"/>
      <c r="G75" s="142"/>
      <c r="H75" s="134">
        <f>G75*F75*$E75</f>
        <v>0</v>
      </c>
      <c r="I75" s="145"/>
      <c r="J75" s="142"/>
      <c r="K75" s="134">
        <f>J75*I75*$E75</f>
        <v>0</v>
      </c>
      <c r="L75" s="145"/>
      <c r="M75" s="142"/>
      <c r="N75" s="134">
        <f>M75*L75*$E75</f>
        <v>0</v>
      </c>
      <c r="O75" s="145"/>
      <c r="P75" s="142"/>
      <c r="Q75" s="134">
        <f>P75*O75*$E75</f>
        <v>0</v>
      </c>
      <c r="R75" s="152"/>
      <c r="S75" s="153"/>
      <c r="T75" s="154"/>
      <c r="U75" s="137">
        <f t="shared" si="10"/>
        <v>0</v>
      </c>
      <c r="V75" s="138" t="e">
        <f t="shared" si="12"/>
        <v>#DIV/0!</v>
      </c>
    </row>
    <row r="76" spans="2:22" s="109" customFormat="1" ht="21.95" customHeight="1" outlineLevel="1">
      <c r="B76" s="148" t="str">
        <f>'CPU  1'!B76</f>
        <v>E51</v>
      </c>
      <c r="C76" s="149">
        <f>'CPU  1'!C76</f>
        <v>0</v>
      </c>
      <c r="D76" s="155">
        <f>'CPU  1'!D76</f>
        <v>0</v>
      </c>
      <c r="E76" s="151">
        <f>'CPU  1'!E76</f>
        <v>0</v>
      </c>
      <c r="F76" s="145"/>
      <c r="G76" s="142"/>
      <c r="H76" s="134">
        <f>G76*F76*$E76</f>
        <v>0</v>
      </c>
      <c r="I76" s="145"/>
      <c r="J76" s="142"/>
      <c r="K76" s="134">
        <f>J76*I76*$E76</f>
        <v>0</v>
      </c>
      <c r="L76" s="145"/>
      <c r="M76" s="142"/>
      <c r="N76" s="134">
        <f>M76*L76*$E76</f>
        <v>0</v>
      </c>
      <c r="O76" s="145"/>
      <c r="P76" s="142"/>
      <c r="Q76" s="134">
        <f>P76*O76*$E76</f>
        <v>0</v>
      </c>
      <c r="R76" s="152"/>
      <c r="S76" s="153"/>
      <c r="T76" s="154"/>
      <c r="U76" s="137">
        <f t="shared" si="10"/>
        <v>0</v>
      </c>
      <c r="V76" s="138" t="e">
        <f t="shared" si="12"/>
        <v>#DIV/0!</v>
      </c>
    </row>
    <row r="77" spans="2:22" s="109" customFormat="1" ht="21.95" customHeight="1" outlineLevel="1">
      <c r="B77" s="148" t="str">
        <f>'CPU  1'!B77</f>
        <v>E52</v>
      </c>
      <c r="C77" s="149">
        <f>'CPU  1'!C77</f>
        <v>0</v>
      </c>
      <c r="D77" s="155">
        <f>'CPU  1'!D77</f>
        <v>0</v>
      </c>
      <c r="E77" s="151">
        <f>'CPU  1'!E77</f>
        <v>0</v>
      </c>
      <c r="F77" s="145"/>
      <c r="G77" s="142"/>
      <c r="H77" s="134">
        <f t="shared" si="13"/>
        <v>0</v>
      </c>
      <c r="I77" s="145"/>
      <c r="J77" s="142"/>
      <c r="K77" s="134">
        <f t="shared" si="14"/>
        <v>0</v>
      </c>
      <c r="L77" s="145"/>
      <c r="M77" s="142"/>
      <c r="N77" s="134">
        <f t="shared" si="15"/>
        <v>0</v>
      </c>
      <c r="O77" s="145"/>
      <c r="P77" s="142"/>
      <c r="Q77" s="134">
        <f t="shared" si="16"/>
        <v>0</v>
      </c>
      <c r="R77" s="152"/>
      <c r="S77" s="153"/>
      <c r="T77" s="154"/>
      <c r="U77" s="137">
        <f t="shared" si="10"/>
        <v>0</v>
      </c>
      <c r="V77" s="138" t="e">
        <f t="shared" si="12"/>
        <v>#DIV/0!</v>
      </c>
    </row>
    <row r="78" spans="2:22" s="109" customFormat="1" ht="21.95" customHeight="1" outlineLevel="1">
      <c r="B78" s="148" t="str">
        <f>'CPU  1'!B78</f>
        <v>E53</v>
      </c>
      <c r="C78" s="149">
        <f>'CPU  1'!C78</f>
        <v>0</v>
      </c>
      <c r="D78" s="155">
        <f>'CPU  1'!D78</f>
        <v>0</v>
      </c>
      <c r="E78" s="151">
        <f>'CPU  1'!E78</f>
        <v>0</v>
      </c>
      <c r="F78" s="145"/>
      <c r="G78" s="142"/>
      <c r="H78" s="134">
        <f t="shared" si="13"/>
        <v>0</v>
      </c>
      <c r="I78" s="145"/>
      <c r="J78" s="142"/>
      <c r="K78" s="134">
        <f t="shared" si="14"/>
        <v>0</v>
      </c>
      <c r="L78" s="145"/>
      <c r="M78" s="142"/>
      <c r="N78" s="134">
        <f t="shared" si="15"/>
        <v>0</v>
      </c>
      <c r="O78" s="145"/>
      <c r="P78" s="142"/>
      <c r="Q78" s="134">
        <f t="shared" si="16"/>
        <v>0</v>
      </c>
      <c r="R78" s="152"/>
      <c r="S78" s="153"/>
      <c r="T78" s="154"/>
      <c r="U78" s="137">
        <f t="shared" si="10"/>
        <v>0</v>
      </c>
      <c r="V78" s="138" t="e">
        <f t="shared" si="12"/>
        <v>#DIV/0!</v>
      </c>
    </row>
    <row r="79" spans="2:22" s="109" customFormat="1" ht="21.95" customHeight="1" outlineLevel="1" thickBot="1">
      <c r="B79" s="148" t="str">
        <f>'CPU  1'!B79</f>
        <v>E54</v>
      </c>
      <c r="C79" s="149">
        <f>'CPU  1'!C79</f>
        <v>0</v>
      </c>
      <c r="D79" s="155">
        <f>'CPU  1'!D79</f>
        <v>0</v>
      </c>
      <c r="E79" s="151">
        <f>'CPU  1'!E79</f>
        <v>0</v>
      </c>
      <c r="F79" s="145"/>
      <c r="G79" s="142"/>
      <c r="H79" s="134">
        <f t="shared" si="6"/>
        <v>0</v>
      </c>
      <c r="I79" s="145"/>
      <c r="J79" s="142"/>
      <c r="K79" s="134">
        <f t="shared" si="7"/>
        <v>0</v>
      </c>
      <c r="L79" s="145"/>
      <c r="M79" s="142"/>
      <c r="N79" s="134">
        <f t="shared" si="8"/>
        <v>0</v>
      </c>
      <c r="O79" s="145"/>
      <c r="P79" s="142"/>
      <c r="Q79" s="134">
        <f t="shared" si="9"/>
        <v>0</v>
      </c>
      <c r="R79" s="152"/>
      <c r="S79" s="153"/>
      <c r="T79" s="154"/>
      <c r="U79" s="137">
        <f t="shared" si="10"/>
        <v>0</v>
      </c>
      <c r="V79" s="138" t="e">
        <f t="shared" si="12"/>
        <v>#DIV/0!</v>
      </c>
    </row>
    <row r="80" spans="2:22" s="109" customFormat="1" ht="21.95" customHeight="1" thickBot="1">
      <c r="B80" s="694" t="s">
        <v>136</v>
      </c>
      <c r="C80" s="695"/>
      <c r="D80" s="695"/>
      <c r="E80" s="695" t="e">
        <f>SUM(#REF!)</f>
        <v>#REF!</v>
      </c>
      <c r="F80" s="263"/>
      <c r="G80" s="264"/>
      <c r="H80" s="265">
        <f>SUM(H26:H79)</f>
        <v>0</v>
      </c>
      <c r="I80" s="263"/>
      <c r="J80" s="264"/>
      <c r="K80" s="265">
        <f>SUM(K26:K79)</f>
        <v>0</v>
      </c>
      <c r="L80" s="263"/>
      <c r="M80" s="264"/>
      <c r="N80" s="265">
        <f>SUM(N26:N79)</f>
        <v>0</v>
      </c>
      <c r="O80" s="263"/>
      <c r="P80" s="264"/>
      <c r="Q80" s="265">
        <f>SUM(Q26:Q79)</f>
        <v>0</v>
      </c>
      <c r="R80" s="143"/>
      <c r="S80" s="263"/>
      <c r="T80" s="264"/>
      <c r="U80" s="265">
        <f>SUM(U26:U79)</f>
        <v>0</v>
      </c>
      <c r="V80" s="138"/>
    </row>
    <row r="81" spans="2:23" s="109" customFormat="1" ht="21.95" customHeight="1" thickBot="1">
      <c r="B81" s="699" t="s">
        <v>34</v>
      </c>
      <c r="C81" s="700"/>
      <c r="D81" s="700"/>
      <c r="E81" s="701"/>
      <c r="F81" s="745"/>
      <c r="G81" s="745"/>
      <c r="H81" s="745"/>
      <c r="I81" s="745"/>
      <c r="J81" s="745"/>
      <c r="K81" s="745"/>
      <c r="L81" s="745"/>
      <c r="M81" s="745"/>
      <c r="N81" s="745"/>
      <c r="O81" s="745"/>
      <c r="P81" s="745"/>
      <c r="Q81" s="745"/>
      <c r="R81" s="143"/>
      <c r="S81" s="711"/>
      <c r="T81" s="711"/>
      <c r="U81" s="711"/>
      <c r="V81" s="138"/>
    </row>
    <row r="82" spans="2:23" s="127" customFormat="1" ht="21.95" customHeight="1" thickBot="1">
      <c r="B82" s="258" t="s">
        <v>163</v>
      </c>
      <c r="C82" s="259" t="s">
        <v>169</v>
      </c>
      <c r="D82" s="260" t="s">
        <v>30</v>
      </c>
      <c r="E82" s="261" t="s">
        <v>31</v>
      </c>
      <c r="F82" s="258" t="s">
        <v>6</v>
      </c>
      <c r="G82" s="261" t="s">
        <v>32</v>
      </c>
      <c r="H82" s="262" t="s">
        <v>5</v>
      </c>
      <c r="I82" s="258" t="s">
        <v>6</v>
      </c>
      <c r="J82" s="261" t="s">
        <v>32</v>
      </c>
      <c r="K82" s="262" t="s">
        <v>5</v>
      </c>
      <c r="L82" s="258" t="s">
        <v>6</v>
      </c>
      <c r="M82" s="261" t="s">
        <v>32</v>
      </c>
      <c r="N82" s="262" t="s">
        <v>5</v>
      </c>
      <c r="O82" s="258" t="s">
        <v>6</v>
      </c>
      <c r="P82" s="261" t="s">
        <v>32</v>
      </c>
      <c r="Q82" s="262" t="s">
        <v>5</v>
      </c>
      <c r="R82" s="124"/>
      <c r="S82" s="258" t="s">
        <v>6</v>
      </c>
      <c r="T82" s="261" t="s">
        <v>32</v>
      </c>
      <c r="U82" s="262" t="s">
        <v>5</v>
      </c>
      <c r="V82" s="125"/>
      <c r="W82" s="126"/>
    </row>
    <row r="83" spans="2:23" s="109" customFormat="1" ht="21.95" customHeight="1" outlineLevel="1">
      <c r="B83" s="148" t="str">
        <f>'CPU  1'!B83</f>
        <v>M01</v>
      </c>
      <c r="C83" s="156" t="str">
        <f>'CPU  1'!C83</f>
        <v>Aço CA-50, (ferro 8.0)</v>
      </c>
      <c r="D83" s="157" t="str">
        <f>'CPU  1'!D83</f>
        <v>kg</v>
      </c>
      <c r="E83" s="158">
        <f>'CPU  1'!E83</f>
        <v>12.5</v>
      </c>
      <c r="F83" s="145"/>
      <c r="G83" s="142"/>
      <c r="H83" s="134">
        <f t="shared" ref="H83:H131" si="17">G83*F83*$E83</f>
        <v>0</v>
      </c>
      <c r="I83" s="145"/>
      <c r="J83" s="142"/>
      <c r="K83" s="134">
        <f t="shared" ref="K83:K131" si="18">J83*I83*$E83</f>
        <v>0</v>
      </c>
      <c r="L83" s="145"/>
      <c r="M83" s="142"/>
      <c r="N83" s="134">
        <f t="shared" ref="N83:N131" si="19">M83*L83*$E83</f>
        <v>0</v>
      </c>
      <c r="O83" s="145"/>
      <c r="P83" s="142"/>
      <c r="Q83" s="134">
        <f t="shared" ref="Q83:Q131" si="20">P83*O83*$E83</f>
        <v>0</v>
      </c>
      <c r="R83" s="152"/>
      <c r="S83" s="159"/>
      <c r="T83" s="160"/>
      <c r="U83" s="137">
        <f t="shared" ref="U83:U131" si="21">H83*$H$3+K83*$K$3+N83*$N$3+Q83*$Q$3</f>
        <v>0</v>
      </c>
      <c r="V83" s="138" t="e">
        <f t="shared" ref="V83:V114" si="22">U83/$U$162</f>
        <v>#DIV/0!</v>
      </c>
    </row>
    <row r="84" spans="2:23" s="109" customFormat="1" ht="21.95" customHeight="1" outlineLevel="1">
      <c r="B84" s="148" t="str">
        <f>'CPU  1'!B84</f>
        <v>M02</v>
      </c>
      <c r="C84" s="156" t="str">
        <f>'CPU  1'!C84</f>
        <v>Agua Mineral</v>
      </c>
      <c r="D84" s="157" t="str">
        <f>'CPU  1'!D84</f>
        <v>litro</v>
      </c>
      <c r="E84" s="158">
        <f>'CPU  1'!E84</f>
        <v>1</v>
      </c>
      <c r="F84" s="145"/>
      <c r="G84" s="142"/>
      <c r="H84" s="134">
        <f t="shared" si="17"/>
        <v>0</v>
      </c>
      <c r="I84" s="145"/>
      <c r="J84" s="142"/>
      <c r="K84" s="134">
        <f t="shared" si="18"/>
        <v>0</v>
      </c>
      <c r="L84" s="145"/>
      <c r="M84" s="142"/>
      <c r="N84" s="134">
        <f t="shared" si="19"/>
        <v>0</v>
      </c>
      <c r="O84" s="145"/>
      <c r="P84" s="142"/>
      <c r="Q84" s="134">
        <f t="shared" si="20"/>
        <v>0</v>
      </c>
      <c r="R84" s="152"/>
      <c r="S84" s="159"/>
      <c r="T84" s="160"/>
      <c r="U84" s="137">
        <f t="shared" si="21"/>
        <v>0</v>
      </c>
      <c r="V84" s="138" t="e">
        <f t="shared" si="22"/>
        <v>#DIV/0!</v>
      </c>
    </row>
    <row r="85" spans="2:23" s="109" customFormat="1" ht="21.95" customHeight="1" outlineLevel="1">
      <c r="B85" s="148" t="str">
        <f>'CPU  1'!B85</f>
        <v>M03</v>
      </c>
      <c r="C85" s="156" t="str">
        <f>'CPU  1'!C85</f>
        <v>Arame ovalado zincado</v>
      </c>
      <c r="D85" s="157" t="str">
        <f>'CPU  1'!D85</f>
        <v>m</v>
      </c>
      <c r="E85" s="158">
        <f>'CPU  1'!E85</f>
        <v>1</v>
      </c>
      <c r="F85" s="145"/>
      <c r="G85" s="142"/>
      <c r="H85" s="134">
        <f t="shared" si="17"/>
        <v>0</v>
      </c>
      <c r="I85" s="145"/>
      <c r="J85" s="142"/>
      <c r="K85" s="134">
        <f t="shared" si="18"/>
        <v>0</v>
      </c>
      <c r="L85" s="145"/>
      <c r="M85" s="142"/>
      <c r="N85" s="134">
        <f t="shared" si="19"/>
        <v>0</v>
      </c>
      <c r="O85" s="145"/>
      <c r="P85" s="142"/>
      <c r="Q85" s="134">
        <f t="shared" si="20"/>
        <v>0</v>
      </c>
      <c r="R85" s="152"/>
      <c r="S85" s="159"/>
      <c r="T85" s="160"/>
      <c r="U85" s="137">
        <f t="shared" si="21"/>
        <v>0</v>
      </c>
      <c r="V85" s="138" t="e">
        <f t="shared" si="22"/>
        <v>#DIV/0!</v>
      </c>
    </row>
    <row r="86" spans="2:23" s="109" customFormat="1" ht="21.95" customHeight="1" outlineLevel="1">
      <c r="B86" s="148" t="str">
        <f>'CPU  1'!B86</f>
        <v>M04</v>
      </c>
      <c r="C86" s="156" t="str">
        <f>'CPU  1'!C86</f>
        <v>Areia</v>
      </c>
      <c r="D86" s="157" t="str">
        <f>'CPU  1'!D86</f>
        <v>m³</v>
      </c>
      <c r="E86" s="158">
        <f>'CPU  1'!E86</f>
        <v>120</v>
      </c>
      <c r="F86" s="145"/>
      <c r="G86" s="142"/>
      <c r="H86" s="134">
        <f t="shared" si="17"/>
        <v>0</v>
      </c>
      <c r="I86" s="145"/>
      <c r="J86" s="142"/>
      <c r="K86" s="134">
        <f t="shared" si="18"/>
        <v>0</v>
      </c>
      <c r="L86" s="145"/>
      <c r="M86" s="142"/>
      <c r="N86" s="134">
        <f t="shared" si="19"/>
        <v>0</v>
      </c>
      <c r="O86" s="145"/>
      <c r="P86" s="142"/>
      <c r="Q86" s="134">
        <f t="shared" si="20"/>
        <v>0</v>
      </c>
      <c r="R86" s="152"/>
      <c r="S86" s="159"/>
      <c r="T86" s="160"/>
      <c r="U86" s="137">
        <f t="shared" si="21"/>
        <v>0</v>
      </c>
      <c r="V86" s="138" t="e">
        <f t="shared" si="22"/>
        <v>#DIV/0!</v>
      </c>
    </row>
    <row r="87" spans="2:23" s="109" customFormat="1" ht="21.95" customHeight="1" outlineLevel="1">
      <c r="B87" s="148" t="str">
        <f>'CPU  1'!B87</f>
        <v>M05</v>
      </c>
      <c r="C87" s="156" t="str">
        <f>'CPU  1'!C87</f>
        <v>Arrame galganizado</v>
      </c>
      <c r="D87" s="157" t="str">
        <f>'CPU  1'!D87</f>
        <v>kg</v>
      </c>
      <c r="E87" s="158">
        <f>'CPU  1'!E87</f>
        <v>16.8</v>
      </c>
      <c r="F87" s="145"/>
      <c r="G87" s="142"/>
      <c r="H87" s="134">
        <f t="shared" si="17"/>
        <v>0</v>
      </c>
      <c r="I87" s="145"/>
      <c r="J87" s="142"/>
      <c r="K87" s="134">
        <f t="shared" si="18"/>
        <v>0</v>
      </c>
      <c r="L87" s="145"/>
      <c r="M87" s="142"/>
      <c r="N87" s="134">
        <f t="shared" si="19"/>
        <v>0</v>
      </c>
      <c r="O87" s="145"/>
      <c r="P87" s="142"/>
      <c r="Q87" s="134">
        <f t="shared" si="20"/>
        <v>0</v>
      </c>
      <c r="R87" s="152"/>
      <c r="S87" s="159"/>
      <c r="T87" s="160"/>
      <c r="U87" s="137">
        <f t="shared" si="21"/>
        <v>0</v>
      </c>
      <c r="V87" s="138" t="e">
        <f t="shared" si="22"/>
        <v>#DIV/0!</v>
      </c>
    </row>
    <row r="88" spans="2:23" s="109" customFormat="1" ht="21.95" customHeight="1" outlineLevel="1">
      <c r="B88" s="148" t="str">
        <f>'CPU  1'!B88</f>
        <v>M06</v>
      </c>
      <c r="C88" s="156" t="str">
        <f>'CPU  1'!C88</f>
        <v>Arrame recozido</v>
      </c>
      <c r="D88" s="157" t="str">
        <f>'CPU  1'!D88</f>
        <v>kg</v>
      </c>
      <c r="E88" s="158">
        <f>'CPU  1'!E88</f>
        <v>12</v>
      </c>
      <c r="F88" s="145"/>
      <c r="G88" s="142"/>
      <c r="H88" s="134">
        <f t="shared" si="17"/>
        <v>0</v>
      </c>
      <c r="I88" s="145"/>
      <c r="J88" s="142"/>
      <c r="K88" s="134">
        <f t="shared" si="18"/>
        <v>0</v>
      </c>
      <c r="L88" s="145"/>
      <c r="M88" s="142"/>
      <c r="N88" s="134">
        <f t="shared" si="19"/>
        <v>0</v>
      </c>
      <c r="O88" s="145"/>
      <c r="P88" s="142"/>
      <c r="Q88" s="134">
        <f t="shared" si="20"/>
        <v>0</v>
      </c>
      <c r="R88" s="152"/>
      <c r="S88" s="159"/>
      <c r="T88" s="160"/>
      <c r="U88" s="137">
        <f t="shared" si="21"/>
        <v>0</v>
      </c>
      <c r="V88" s="138" t="e">
        <f t="shared" si="22"/>
        <v>#DIV/0!</v>
      </c>
    </row>
    <row r="89" spans="2:23" s="109" customFormat="1" ht="21.95" customHeight="1" outlineLevel="1">
      <c r="B89" s="148" t="str">
        <f>'CPU  1'!B89</f>
        <v>M07</v>
      </c>
      <c r="C89" s="156" t="str">
        <f>'CPU  1'!C89</f>
        <v>Barrote de madeira 7x7cm</v>
      </c>
      <c r="D89" s="157" t="str">
        <f>'CPU  1'!D89</f>
        <v>m</v>
      </c>
      <c r="E89" s="158">
        <f>'CPU  1'!E89</f>
        <v>15</v>
      </c>
      <c r="F89" s="145"/>
      <c r="G89" s="142"/>
      <c r="H89" s="134">
        <f t="shared" si="17"/>
        <v>0</v>
      </c>
      <c r="I89" s="145"/>
      <c r="J89" s="142"/>
      <c r="K89" s="134">
        <f t="shared" si="18"/>
        <v>0</v>
      </c>
      <c r="L89" s="145"/>
      <c r="M89" s="142"/>
      <c r="N89" s="134">
        <f t="shared" si="19"/>
        <v>0</v>
      </c>
      <c r="O89" s="145"/>
      <c r="P89" s="142"/>
      <c r="Q89" s="134">
        <f t="shared" si="20"/>
        <v>0</v>
      </c>
      <c r="R89" s="152"/>
      <c r="S89" s="159"/>
      <c r="T89" s="160"/>
      <c r="U89" s="137">
        <f t="shared" si="21"/>
        <v>0</v>
      </c>
      <c r="V89" s="138" t="e">
        <f t="shared" si="22"/>
        <v>#DIV/0!</v>
      </c>
    </row>
    <row r="90" spans="2:23" s="109" customFormat="1" ht="21.95" customHeight="1" outlineLevel="1">
      <c r="B90" s="148" t="str">
        <f>'CPU  1'!B90</f>
        <v>M08</v>
      </c>
      <c r="C90" s="149" t="str">
        <f>'CPU  1'!C90</f>
        <v>Bloco tipo canaleta (14x19x39cm)</v>
      </c>
      <c r="D90" s="150" t="str">
        <f>'CPU  1'!D90</f>
        <v>peça</v>
      </c>
      <c r="E90" s="151">
        <f>'CPU  1'!E90</f>
        <v>8.9</v>
      </c>
      <c r="F90" s="145"/>
      <c r="G90" s="142"/>
      <c r="H90" s="134">
        <f t="shared" si="17"/>
        <v>0</v>
      </c>
      <c r="I90" s="145"/>
      <c r="J90" s="142"/>
      <c r="K90" s="134">
        <f t="shared" si="18"/>
        <v>0</v>
      </c>
      <c r="L90" s="145"/>
      <c r="M90" s="142"/>
      <c r="N90" s="134">
        <f t="shared" si="19"/>
        <v>0</v>
      </c>
      <c r="O90" s="145"/>
      <c r="P90" s="142"/>
      <c r="Q90" s="134">
        <f t="shared" si="20"/>
        <v>0</v>
      </c>
      <c r="R90" s="152"/>
      <c r="S90" s="159"/>
      <c r="T90" s="160"/>
      <c r="U90" s="137">
        <f t="shared" si="21"/>
        <v>0</v>
      </c>
      <c r="V90" s="138" t="e">
        <f t="shared" si="22"/>
        <v>#DIV/0!</v>
      </c>
    </row>
    <row r="91" spans="2:23" s="109" customFormat="1" ht="21.95" customHeight="1" outlineLevel="1">
      <c r="B91" s="148" t="str">
        <f>'CPU  1'!B91</f>
        <v>M09</v>
      </c>
      <c r="C91" s="161" t="str">
        <f>'CPU  1'!C91</f>
        <v>Brita 1</v>
      </c>
      <c r="D91" s="157" t="str">
        <f>'CPU  1'!D91</f>
        <v>m³</v>
      </c>
      <c r="E91" s="158">
        <f>'CPU  1'!E91</f>
        <v>220</v>
      </c>
      <c r="F91" s="145"/>
      <c r="G91" s="142"/>
      <c r="H91" s="134">
        <f t="shared" si="17"/>
        <v>0</v>
      </c>
      <c r="I91" s="145"/>
      <c r="J91" s="142"/>
      <c r="K91" s="134">
        <f t="shared" si="18"/>
        <v>0</v>
      </c>
      <c r="L91" s="145"/>
      <c r="M91" s="142"/>
      <c r="N91" s="134">
        <f t="shared" si="19"/>
        <v>0</v>
      </c>
      <c r="O91" s="145"/>
      <c r="P91" s="142"/>
      <c r="Q91" s="134">
        <f t="shared" si="20"/>
        <v>0</v>
      </c>
      <c r="R91" s="152"/>
      <c r="S91" s="159"/>
      <c r="T91" s="160"/>
      <c r="U91" s="137">
        <f t="shared" si="21"/>
        <v>0</v>
      </c>
      <c r="V91" s="138" t="e">
        <f t="shared" si="22"/>
        <v>#DIV/0!</v>
      </c>
    </row>
    <row r="92" spans="2:23" s="109" customFormat="1" ht="21.95" customHeight="1" outlineLevel="1">
      <c r="B92" s="148" t="str">
        <f>'CPU  1'!B92</f>
        <v>M11</v>
      </c>
      <c r="C92" s="149" t="str">
        <f>'CPU  1'!C92</f>
        <v>Caixa de passagens para aterramento h600 diâmetro 30cm</v>
      </c>
      <c r="D92" s="150" t="str">
        <f>'CPU  1'!D92</f>
        <v>und</v>
      </c>
      <c r="E92" s="151">
        <f>'CPU  1'!E92</f>
        <v>590</v>
      </c>
      <c r="F92" s="145"/>
      <c r="G92" s="142"/>
      <c r="H92" s="134">
        <f t="shared" si="17"/>
        <v>0</v>
      </c>
      <c r="I92" s="145"/>
      <c r="J92" s="142"/>
      <c r="K92" s="134">
        <f t="shared" si="18"/>
        <v>0</v>
      </c>
      <c r="L92" s="145"/>
      <c r="M92" s="142"/>
      <c r="N92" s="134">
        <f t="shared" si="19"/>
        <v>0</v>
      </c>
      <c r="O92" s="145"/>
      <c r="P92" s="142"/>
      <c r="Q92" s="134">
        <f t="shared" si="20"/>
        <v>0</v>
      </c>
      <c r="R92" s="152"/>
      <c r="S92" s="159"/>
      <c r="T92" s="160"/>
      <c r="U92" s="137">
        <f t="shared" si="21"/>
        <v>0</v>
      </c>
      <c r="V92" s="138" t="e">
        <f t="shared" si="22"/>
        <v>#DIV/0!</v>
      </c>
    </row>
    <row r="93" spans="2:23" s="109" customFormat="1" ht="21.95" customHeight="1" outlineLevel="1">
      <c r="B93" s="148" t="str">
        <f>'CPU  1'!B93</f>
        <v>M12</v>
      </c>
      <c r="C93" s="149" t="str">
        <f>'CPU  1'!C93</f>
        <v>Catoneira galvanizada 1"x1-1/4</v>
      </c>
      <c r="D93" s="150" t="str">
        <f>'CPU  1'!D93</f>
        <v>m</v>
      </c>
      <c r="E93" s="151">
        <f>'CPU  1'!E93</f>
        <v>24.999999999999996</v>
      </c>
      <c r="F93" s="145"/>
      <c r="G93" s="142"/>
      <c r="H93" s="134">
        <f t="shared" si="17"/>
        <v>0</v>
      </c>
      <c r="I93" s="145"/>
      <c r="J93" s="142"/>
      <c r="K93" s="134">
        <f t="shared" si="18"/>
        <v>0</v>
      </c>
      <c r="L93" s="145"/>
      <c r="M93" s="142"/>
      <c r="N93" s="134">
        <f t="shared" si="19"/>
        <v>0</v>
      </c>
      <c r="O93" s="145"/>
      <c r="P93" s="142"/>
      <c r="Q93" s="134">
        <f t="shared" si="20"/>
        <v>0</v>
      </c>
      <c r="R93" s="152"/>
      <c r="S93" s="159"/>
      <c r="T93" s="160"/>
      <c r="U93" s="137">
        <f t="shared" si="21"/>
        <v>0</v>
      </c>
      <c r="V93" s="138" t="e">
        <f t="shared" si="22"/>
        <v>#DIV/0!</v>
      </c>
    </row>
    <row r="94" spans="2:23" s="109" customFormat="1" ht="36" customHeight="1" outlineLevel="1">
      <c r="B94" s="148" t="str">
        <f>'CPU  1'!B94</f>
        <v>M13</v>
      </c>
      <c r="C94" s="149" t="str">
        <f>'CPU  1'!C94</f>
        <v>Cercamento e delimitação de canteiro de obra (15x30m)</v>
      </c>
      <c r="D94" s="150" t="str">
        <f>'CPU  1'!D94</f>
        <v>vb</v>
      </c>
      <c r="E94" s="151">
        <f>'CPU  1'!E94</f>
        <v>10000</v>
      </c>
      <c r="F94" s="145"/>
      <c r="G94" s="142"/>
      <c r="H94" s="134">
        <f t="shared" si="17"/>
        <v>0</v>
      </c>
      <c r="I94" s="145"/>
      <c r="J94" s="142"/>
      <c r="K94" s="134">
        <f t="shared" si="18"/>
        <v>0</v>
      </c>
      <c r="L94" s="145"/>
      <c r="M94" s="142"/>
      <c r="N94" s="134">
        <f t="shared" si="19"/>
        <v>0</v>
      </c>
      <c r="O94" s="145"/>
      <c r="P94" s="142"/>
      <c r="Q94" s="134">
        <f t="shared" si="20"/>
        <v>0</v>
      </c>
      <c r="R94" s="152"/>
      <c r="S94" s="159"/>
      <c r="T94" s="160"/>
      <c r="U94" s="137">
        <f t="shared" si="21"/>
        <v>0</v>
      </c>
      <c r="V94" s="138" t="e">
        <f t="shared" si="22"/>
        <v>#DIV/0!</v>
      </c>
    </row>
    <row r="95" spans="2:23" s="109" customFormat="1" ht="21.95" customHeight="1" outlineLevel="1">
      <c r="B95" s="148" t="str">
        <f>'CPU  1'!B95</f>
        <v>M14</v>
      </c>
      <c r="C95" s="149" t="str">
        <f>'CPU  1'!C95</f>
        <v>Cimento</v>
      </c>
      <c r="D95" s="150" t="str">
        <f>'CPU  1'!D95</f>
        <v>saco</v>
      </c>
      <c r="E95" s="151">
        <f>'CPU  1'!E95</f>
        <v>50</v>
      </c>
      <c r="F95" s="145"/>
      <c r="G95" s="142"/>
      <c r="H95" s="134">
        <f t="shared" si="17"/>
        <v>0</v>
      </c>
      <c r="I95" s="145"/>
      <c r="J95" s="142"/>
      <c r="K95" s="134">
        <f t="shared" si="18"/>
        <v>0</v>
      </c>
      <c r="L95" s="145"/>
      <c r="M95" s="142"/>
      <c r="N95" s="134">
        <f t="shared" si="19"/>
        <v>0</v>
      </c>
      <c r="O95" s="145"/>
      <c r="P95" s="142"/>
      <c r="Q95" s="134">
        <f t="shared" si="20"/>
        <v>0</v>
      </c>
      <c r="R95" s="152"/>
      <c r="S95" s="159"/>
      <c r="T95" s="160"/>
      <c r="U95" s="137">
        <f t="shared" si="21"/>
        <v>0</v>
      </c>
      <c r="V95" s="138" t="e">
        <f t="shared" si="22"/>
        <v>#DIV/0!</v>
      </c>
    </row>
    <row r="96" spans="2:23" s="109" customFormat="1" ht="21.95" customHeight="1" outlineLevel="1">
      <c r="B96" s="148" t="str">
        <f>'CPU  1'!B96</f>
        <v>M15</v>
      </c>
      <c r="C96" s="149" t="str">
        <f>'CPU  1'!C96</f>
        <v>Combustivel - Gasolina</v>
      </c>
      <c r="D96" s="150" t="str">
        <f>'CPU  1'!D96</f>
        <v>litro</v>
      </c>
      <c r="E96" s="151">
        <f>'CPU  1'!E96</f>
        <v>6.5</v>
      </c>
      <c r="F96" s="145"/>
      <c r="G96" s="142"/>
      <c r="H96" s="134">
        <f t="shared" si="17"/>
        <v>0</v>
      </c>
      <c r="I96" s="145"/>
      <c r="J96" s="142"/>
      <c r="K96" s="134">
        <f t="shared" si="18"/>
        <v>0</v>
      </c>
      <c r="L96" s="145"/>
      <c r="M96" s="142"/>
      <c r="N96" s="134">
        <f t="shared" si="19"/>
        <v>0</v>
      </c>
      <c r="O96" s="145"/>
      <c r="P96" s="142"/>
      <c r="Q96" s="134">
        <f t="shared" si="20"/>
        <v>0</v>
      </c>
      <c r="R96" s="152"/>
      <c r="S96" s="159"/>
      <c r="T96" s="160"/>
      <c r="U96" s="137">
        <f t="shared" si="21"/>
        <v>0</v>
      </c>
      <c r="V96" s="138" t="e">
        <f t="shared" si="22"/>
        <v>#DIV/0!</v>
      </c>
    </row>
    <row r="97" spans="2:22" s="109" customFormat="1" ht="21.95" customHeight="1" outlineLevel="1">
      <c r="B97" s="148" t="str">
        <f>'CPU  1'!B97</f>
        <v>M16</v>
      </c>
      <c r="C97" s="149" t="str">
        <f>'CPU  1'!C97</f>
        <v>Combustivel - Diesel</v>
      </c>
      <c r="D97" s="150" t="str">
        <f>'CPU  1'!D97</f>
        <v>litro</v>
      </c>
      <c r="E97" s="151">
        <f>'CPU  1'!E97</f>
        <v>7</v>
      </c>
      <c r="F97" s="145"/>
      <c r="G97" s="142"/>
      <c r="H97" s="134">
        <f>G97*F97*$E97</f>
        <v>0</v>
      </c>
      <c r="I97" s="145"/>
      <c r="J97" s="142"/>
      <c r="K97" s="134">
        <f>J97*I97*$E97</f>
        <v>0</v>
      </c>
      <c r="L97" s="145"/>
      <c r="M97" s="142"/>
      <c r="N97" s="134">
        <f>M97*L97*$E97</f>
        <v>0</v>
      </c>
      <c r="O97" s="145"/>
      <c r="P97" s="142"/>
      <c r="Q97" s="134">
        <f>P97*O97*$E97</f>
        <v>0</v>
      </c>
      <c r="R97" s="152"/>
      <c r="S97" s="159"/>
      <c r="T97" s="160"/>
      <c r="U97" s="137">
        <f t="shared" si="21"/>
        <v>0</v>
      </c>
      <c r="V97" s="138" t="e">
        <f t="shared" si="22"/>
        <v>#DIV/0!</v>
      </c>
    </row>
    <row r="98" spans="2:22" s="109" customFormat="1" ht="36" customHeight="1" outlineLevel="1">
      <c r="B98" s="148" t="str">
        <f>'CPU  1'!B98</f>
        <v>M17</v>
      </c>
      <c r="C98" s="149" t="str">
        <f>'CPU  1'!C98</f>
        <v>Compensado resinado espessura mínima de 10mm</v>
      </c>
      <c r="D98" s="150" t="str">
        <f>'CPU  1'!D98</f>
        <v>m²</v>
      </c>
      <c r="E98" s="151">
        <f>'CPU  1'!E98</f>
        <v>49.586776859504127</v>
      </c>
      <c r="F98" s="145"/>
      <c r="G98" s="142"/>
      <c r="H98" s="134">
        <f t="shared" si="17"/>
        <v>0</v>
      </c>
      <c r="I98" s="145"/>
      <c r="J98" s="142"/>
      <c r="K98" s="134">
        <f t="shared" si="18"/>
        <v>0</v>
      </c>
      <c r="L98" s="145"/>
      <c r="M98" s="142"/>
      <c r="N98" s="134">
        <f t="shared" si="19"/>
        <v>0</v>
      </c>
      <c r="O98" s="145"/>
      <c r="P98" s="142"/>
      <c r="Q98" s="134">
        <f t="shared" si="20"/>
        <v>0</v>
      </c>
      <c r="R98" s="152"/>
      <c r="S98" s="159"/>
      <c r="T98" s="160"/>
      <c r="U98" s="137">
        <f t="shared" si="21"/>
        <v>0</v>
      </c>
      <c r="V98" s="138" t="e">
        <f t="shared" si="22"/>
        <v>#DIV/0!</v>
      </c>
    </row>
    <row r="99" spans="2:22" s="109" customFormat="1" ht="36" customHeight="1" outlineLevel="1">
      <c r="B99" s="148" t="str">
        <f>'CPU  1'!B99</f>
        <v>M18</v>
      </c>
      <c r="C99" s="149" t="str">
        <f>'CPU  1'!C99</f>
        <v>Concertina dupla clipada 45cm perimetral galvanizada CBT 65 RL 10m com seus respectivos acessórios de fixação</v>
      </c>
      <c r="D99" s="150" t="str">
        <f>'CPU  1'!D99</f>
        <v>m</v>
      </c>
      <c r="E99" s="151">
        <f>'CPU  1'!E99</f>
        <v>42</v>
      </c>
      <c r="F99" s="145"/>
      <c r="G99" s="142"/>
      <c r="H99" s="134">
        <f t="shared" si="17"/>
        <v>0</v>
      </c>
      <c r="I99" s="145"/>
      <c r="J99" s="142"/>
      <c r="K99" s="134">
        <f t="shared" si="18"/>
        <v>0</v>
      </c>
      <c r="L99" s="145"/>
      <c r="M99" s="142"/>
      <c r="N99" s="134">
        <f t="shared" si="19"/>
        <v>0</v>
      </c>
      <c r="O99" s="145"/>
      <c r="P99" s="142"/>
      <c r="Q99" s="134">
        <f t="shared" si="20"/>
        <v>0</v>
      </c>
      <c r="R99" s="152"/>
      <c r="S99" s="159"/>
      <c r="T99" s="160"/>
      <c r="U99" s="137">
        <f t="shared" si="21"/>
        <v>0</v>
      </c>
      <c r="V99" s="138" t="e">
        <f t="shared" si="22"/>
        <v>#DIV/0!</v>
      </c>
    </row>
    <row r="100" spans="2:22" s="109" customFormat="1" ht="21.95" customHeight="1" outlineLevel="1">
      <c r="B100" s="148" t="str">
        <f>'CPU  1'!B100</f>
        <v>M19</v>
      </c>
      <c r="C100" s="149" t="str">
        <f>'CPU  1'!C100</f>
        <v>Concreto usinado 30MPa</v>
      </c>
      <c r="D100" s="150" t="str">
        <f>'CPU  1'!D100</f>
        <v>m³</v>
      </c>
      <c r="E100" s="151">
        <f>'CPU  1'!E100</f>
        <v>650</v>
      </c>
      <c r="F100" s="145"/>
      <c r="G100" s="142"/>
      <c r="H100" s="134">
        <f t="shared" si="17"/>
        <v>0</v>
      </c>
      <c r="I100" s="145"/>
      <c r="J100" s="142"/>
      <c r="K100" s="134">
        <f t="shared" si="18"/>
        <v>0</v>
      </c>
      <c r="L100" s="145"/>
      <c r="M100" s="142"/>
      <c r="N100" s="134">
        <f t="shared" si="19"/>
        <v>0</v>
      </c>
      <c r="O100" s="145"/>
      <c r="P100" s="142"/>
      <c r="Q100" s="134">
        <f t="shared" si="20"/>
        <v>0</v>
      </c>
      <c r="R100" s="152"/>
      <c r="S100" s="159"/>
      <c r="T100" s="160"/>
      <c r="U100" s="137">
        <f t="shared" si="21"/>
        <v>0</v>
      </c>
      <c r="V100" s="138" t="e">
        <f t="shared" si="22"/>
        <v>#DIV/0!</v>
      </c>
    </row>
    <row r="101" spans="2:22" s="109" customFormat="1" ht="21.95" customHeight="1" outlineLevel="1">
      <c r="B101" s="148" t="str">
        <f>'CPU  1'!B101</f>
        <v>M20</v>
      </c>
      <c r="C101" s="149" t="str">
        <f>'CPU  1'!C101</f>
        <v>Espaçadores de ferragem</v>
      </c>
      <c r="D101" s="150" t="str">
        <f>'CPU  1'!D101</f>
        <v>und</v>
      </c>
      <c r="E101" s="151">
        <f>'CPU  1'!E101</f>
        <v>2</v>
      </c>
      <c r="F101" s="145"/>
      <c r="G101" s="142"/>
      <c r="H101" s="134">
        <f t="shared" si="17"/>
        <v>0</v>
      </c>
      <c r="I101" s="145"/>
      <c r="J101" s="142"/>
      <c r="K101" s="134">
        <f t="shared" si="18"/>
        <v>0</v>
      </c>
      <c r="L101" s="145"/>
      <c r="M101" s="142"/>
      <c r="N101" s="134">
        <f t="shared" si="19"/>
        <v>0</v>
      </c>
      <c r="O101" s="145"/>
      <c r="P101" s="142"/>
      <c r="Q101" s="134">
        <f t="shared" si="20"/>
        <v>0</v>
      </c>
      <c r="R101" s="152"/>
      <c r="S101" s="159"/>
      <c r="T101" s="160"/>
      <c r="U101" s="137">
        <f t="shared" si="21"/>
        <v>0</v>
      </c>
      <c r="V101" s="138" t="e">
        <f t="shared" si="22"/>
        <v>#DIV/0!</v>
      </c>
    </row>
    <row r="102" spans="2:22" s="109" customFormat="1" ht="21.95" customHeight="1" outlineLevel="1">
      <c r="B102" s="148" t="str">
        <f>'CPU  1'!B102</f>
        <v>M21</v>
      </c>
      <c r="C102" s="149" t="str">
        <f>'CPU  1'!C102</f>
        <v>Treliça - para viga baldrame</v>
      </c>
      <c r="D102" s="150" t="str">
        <f>'CPU  1'!D102</f>
        <v>m</v>
      </c>
      <c r="E102" s="151">
        <f>'CPU  1'!E102</f>
        <v>7.5</v>
      </c>
      <c r="F102" s="145"/>
      <c r="G102" s="142"/>
      <c r="H102" s="134">
        <f t="shared" si="17"/>
        <v>0</v>
      </c>
      <c r="I102" s="145"/>
      <c r="J102" s="142"/>
      <c r="K102" s="134">
        <f t="shared" si="18"/>
        <v>0</v>
      </c>
      <c r="L102" s="145"/>
      <c r="M102" s="142"/>
      <c r="N102" s="134">
        <f t="shared" si="19"/>
        <v>0</v>
      </c>
      <c r="O102" s="145"/>
      <c r="P102" s="142"/>
      <c r="Q102" s="134">
        <f t="shared" si="20"/>
        <v>0</v>
      </c>
      <c r="R102" s="152"/>
      <c r="S102" s="159"/>
      <c r="T102" s="160"/>
      <c r="U102" s="137">
        <f t="shared" si="21"/>
        <v>0</v>
      </c>
      <c r="V102" s="138" t="e">
        <f t="shared" si="22"/>
        <v>#DIV/0!</v>
      </c>
    </row>
    <row r="103" spans="2:22" s="109" customFormat="1" ht="21.95" customHeight="1" outlineLevel="1">
      <c r="B103" s="148" t="str">
        <f>'CPU  1'!B103</f>
        <v>M22</v>
      </c>
      <c r="C103" s="149" t="str">
        <f>'CPU  1'!C103</f>
        <v>Gelo</v>
      </c>
      <c r="D103" s="150" t="str">
        <f>'CPU  1'!D103</f>
        <v>pacote</v>
      </c>
      <c r="E103" s="151">
        <f>'CPU  1'!E103</f>
        <v>5</v>
      </c>
      <c r="F103" s="145"/>
      <c r="G103" s="142"/>
      <c r="H103" s="134">
        <f t="shared" si="17"/>
        <v>0</v>
      </c>
      <c r="I103" s="145"/>
      <c r="J103" s="142"/>
      <c r="K103" s="134">
        <f t="shared" si="18"/>
        <v>0</v>
      </c>
      <c r="L103" s="145"/>
      <c r="M103" s="142"/>
      <c r="N103" s="134">
        <f t="shared" si="19"/>
        <v>0</v>
      </c>
      <c r="O103" s="145"/>
      <c r="P103" s="142"/>
      <c r="Q103" s="134">
        <f t="shared" si="20"/>
        <v>0</v>
      </c>
      <c r="R103" s="152"/>
      <c r="S103" s="159"/>
      <c r="T103" s="160"/>
      <c r="U103" s="137">
        <f t="shared" si="21"/>
        <v>0</v>
      </c>
      <c r="V103" s="138" t="e">
        <f t="shared" si="22"/>
        <v>#DIV/0!</v>
      </c>
    </row>
    <row r="104" spans="2:22" s="109" customFormat="1" ht="21.95" customHeight="1" outlineLevel="1">
      <c r="B104" s="148" t="str">
        <f>'CPU  1'!B104</f>
        <v>M23</v>
      </c>
      <c r="C104" s="149" t="str">
        <f>'CPU  1'!C104</f>
        <v>Kit ambiental</v>
      </c>
      <c r="D104" s="150" t="str">
        <f>'CPU  1'!D104</f>
        <v>vb</v>
      </c>
      <c r="E104" s="151">
        <f>'CPU  1'!E104</f>
        <v>750</v>
      </c>
      <c r="F104" s="145"/>
      <c r="G104" s="142"/>
      <c r="H104" s="134">
        <f t="shared" si="17"/>
        <v>0</v>
      </c>
      <c r="I104" s="145"/>
      <c r="J104" s="142"/>
      <c r="K104" s="134">
        <f t="shared" si="18"/>
        <v>0</v>
      </c>
      <c r="L104" s="145"/>
      <c r="M104" s="142"/>
      <c r="N104" s="134">
        <f t="shared" si="19"/>
        <v>0</v>
      </c>
      <c r="O104" s="145"/>
      <c r="P104" s="142"/>
      <c r="Q104" s="134">
        <f t="shared" si="20"/>
        <v>0</v>
      </c>
      <c r="R104" s="152"/>
      <c r="S104" s="159"/>
      <c r="T104" s="160"/>
      <c r="U104" s="137">
        <f t="shared" si="21"/>
        <v>0</v>
      </c>
      <c r="V104" s="138" t="e">
        <f t="shared" si="22"/>
        <v>#DIV/0!</v>
      </c>
    </row>
    <row r="105" spans="2:22" s="109" customFormat="1" ht="36" customHeight="1" outlineLevel="1">
      <c r="B105" s="148" t="str">
        <f>'CPU  1'!B105</f>
        <v>M24</v>
      </c>
      <c r="C105" s="149" t="str">
        <f>'CPU  1'!C105</f>
        <v>Material de escritório (papel, tinta, grampos, pastas, ...)</v>
      </c>
      <c r="D105" s="150" t="str">
        <f>'CPU  1'!D105</f>
        <v>vb/mês</v>
      </c>
      <c r="E105" s="151">
        <f>'CPU  1'!E105</f>
        <v>300</v>
      </c>
      <c r="F105" s="145"/>
      <c r="G105" s="142"/>
      <c r="H105" s="134">
        <f t="shared" si="17"/>
        <v>0</v>
      </c>
      <c r="I105" s="145"/>
      <c r="J105" s="142"/>
      <c r="K105" s="134">
        <f t="shared" si="18"/>
        <v>0</v>
      </c>
      <c r="L105" s="145"/>
      <c r="M105" s="142"/>
      <c r="N105" s="134">
        <f t="shared" si="19"/>
        <v>0</v>
      </c>
      <c r="O105" s="145"/>
      <c r="P105" s="142"/>
      <c r="Q105" s="134">
        <f t="shared" si="20"/>
        <v>0</v>
      </c>
      <c r="R105" s="152"/>
      <c r="S105" s="159"/>
      <c r="T105" s="160"/>
      <c r="U105" s="137">
        <f t="shared" si="21"/>
        <v>0</v>
      </c>
      <c r="V105" s="138" t="e">
        <f t="shared" si="22"/>
        <v>#DIV/0!</v>
      </c>
    </row>
    <row r="106" spans="2:22" s="109" customFormat="1" ht="21.95" customHeight="1" outlineLevel="1">
      <c r="B106" s="148" t="str">
        <f>'CPU  1'!B106</f>
        <v>M25</v>
      </c>
      <c r="C106" s="149" t="str">
        <f>'CPU  1'!C106</f>
        <v>Material de sinalização</v>
      </c>
      <c r="D106" s="150" t="str">
        <f>'CPU  1'!D106</f>
        <v>und</v>
      </c>
      <c r="E106" s="151">
        <f>'CPU  1'!E106</f>
        <v>550</v>
      </c>
      <c r="F106" s="145"/>
      <c r="G106" s="142"/>
      <c r="H106" s="134">
        <f t="shared" si="17"/>
        <v>0</v>
      </c>
      <c r="I106" s="145"/>
      <c r="J106" s="142"/>
      <c r="K106" s="134">
        <f t="shared" si="18"/>
        <v>0</v>
      </c>
      <c r="L106" s="145"/>
      <c r="M106" s="142"/>
      <c r="N106" s="134">
        <f t="shared" si="19"/>
        <v>0</v>
      </c>
      <c r="O106" s="145"/>
      <c r="P106" s="142"/>
      <c r="Q106" s="134">
        <f t="shared" si="20"/>
        <v>0</v>
      </c>
      <c r="R106" s="152"/>
      <c r="S106" s="159"/>
      <c r="T106" s="160"/>
      <c r="U106" s="137">
        <f t="shared" si="21"/>
        <v>0</v>
      </c>
      <c r="V106" s="138" t="e">
        <f t="shared" si="22"/>
        <v>#DIV/0!</v>
      </c>
    </row>
    <row r="107" spans="2:22" s="109" customFormat="1" ht="21.95" customHeight="1" outlineLevel="1">
      <c r="B107" s="148" t="str">
        <f>'CPU  1'!B107</f>
        <v>M26</v>
      </c>
      <c r="C107" s="149" t="str">
        <f>'CPU  1'!C107</f>
        <v>Mourão tipo Y, 13 x 13 x 313cm fck 30mpa</v>
      </c>
      <c r="D107" s="150" t="str">
        <f>'CPU  1'!D107</f>
        <v>peça</v>
      </c>
      <c r="E107" s="151">
        <f>'CPU  1'!E107</f>
        <v>248.39999999999998</v>
      </c>
      <c r="F107" s="145"/>
      <c r="G107" s="142"/>
      <c r="H107" s="134">
        <f t="shared" si="17"/>
        <v>0</v>
      </c>
      <c r="I107" s="145"/>
      <c r="J107" s="142"/>
      <c r="K107" s="134">
        <f t="shared" si="18"/>
        <v>0</v>
      </c>
      <c r="L107" s="145"/>
      <c r="M107" s="142"/>
      <c r="N107" s="134">
        <f t="shared" si="19"/>
        <v>0</v>
      </c>
      <c r="O107" s="145"/>
      <c r="P107" s="142"/>
      <c r="Q107" s="134">
        <f t="shared" si="20"/>
        <v>0</v>
      </c>
      <c r="R107" s="152"/>
      <c r="S107" s="159"/>
      <c r="T107" s="160"/>
      <c r="U107" s="137">
        <f t="shared" si="21"/>
        <v>0</v>
      </c>
      <c r="V107" s="138" t="e">
        <f t="shared" si="22"/>
        <v>#DIV/0!</v>
      </c>
    </row>
    <row r="108" spans="2:22" s="109" customFormat="1" ht="21.95" customHeight="1" outlineLevel="1">
      <c r="B108" s="148" t="str">
        <f>'CPU  1'!B108</f>
        <v>M27</v>
      </c>
      <c r="C108" s="149" t="str">
        <f>'CPU  1'!C108</f>
        <v>Mourão em eucalipto 10cm x 273cm</v>
      </c>
      <c r="D108" s="150" t="str">
        <f>'CPU  1'!D108</f>
        <v>peça</v>
      </c>
      <c r="E108" s="151">
        <f>'CPU  1'!E108</f>
        <v>104.39999999999999</v>
      </c>
      <c r="F108" s="145"/>
      <c r="G108" s="142"/>
      <c r="H108" s="134">
        <f>G108*F108*$E108</f>
        <v>0</v>
      </c>
      <c r="I108" s="145"/>
      <c r="J108" s="142"/>
      <c r="K108" s="134">
        <f>J108*I108*$E108</f>
        <v>0</v>
      </c>
      <c r="L108" s="145"/>
      <c r="M108" s="142"/>
      <c r="N108" s="134">
        <f>M108*L108*$E108</f>
        <v>0</v>
      </c>
      <c r="O108" s="145"/>
      <c r="P108" s="142"/>
      <c r="Q108" s="134">
        <f>P108*O108*$E108</f>
        <v>0</v>
      </c>
      <c r="R108" s="152"/>
      <c r="S108" s="159"/>
      <c r="T108" s="160"/>
      <c r="U108" s="137">
        <f t="shared" si="21"/>
        <v>0</v>
      </c>
      <c r="V108" s="138" t="e">
        <f t="shared" si="22"/>
        <v>#DIV/0!</v>
      </c>
    </row>
    <row r="109" spans="2:22" s="109" customFormat="1" ht="36" customHeight="1" outlineLevel="1">
      <c r="B109" s="148" t="str">
        <f>'CPU  1'!B109</f>
        <v>M28</v>
      </c>
      <c r="C109" s="149" t="str">
        <f>'CPU  1'!C109</f>
        <v>Painel tipo gradil morla 2,03 x 2,5m, fio 5,10mm revestido</v>
      </c>
      <c r="D109" s="150" t="str">
        <f>'CPU  1'!D109</f>
        <v>peça</v>
      </c>
      <c r="E109" s="151">
        <f>'CPU  1'!E109</f>
        <v>780</v>
      </c>
      <c r="F109" s="145"/>
      <c r="G109" s="142"/>
      <c r="H109" s="134">
        <f t="shared" si="17"/>
        <v>0</v>
      </c>
      <c r="I109" s="145"/>
      <c r="J109" s="142"/>
      <c r="K109" s="134">
        <f t="shared" si="18"/>
        <v>0</v>
      </c>
      <c r="L109" s="145"/>
      <c r="M109" s="142"/>
      <c r="N109" s="134">
        <f t="shared" si="19"/>
        <v>0</v>
      </c>
      <c r="O109" s="145"/>
      <c r="P109" s="142"/>
      <c r="Q109" s="134">
        <f t="shared" si="20"/>
        <v>0</v>
      </c>
      <c r="R109" s="152"/>
      <c r="S109" s="159"/>
      <c r="T109" s="160"/>
      <c r="U109" s="137">
        <f t="shared" si="21"/>
        <v>0</v>
      </c>
      <c r="V109" s="138" t="e">
        <f t="shared" si="22"/>
        <v>#DIV/0!</v>
      </c>
    </row>
    <row r="110" spans="2:22" s="109" customFormat="1" ht="36" customHeight="1" outlineLevel="1">
      <c r="B110" s="148" t="str">
        <f>'CPU  1'!B110</f>
        <v>M29</v>
      </c>
      <c r="C110" s="149" t="str">
        <f>'CPU  1'!C110</f>
        <v>Painel, tomadas, lampadas, dijuntores, cabos</v>
      </c>
      <c r="D110" s="150" t="str">
        <f>'CPU  1'!D110</f>
        <v>vb</v>
      </c>
      <c r="E110" s="151">
        <f>'CPU  1'!E110</f>
        <v>5000</v>
      </c>
      <c r="F110" s="145"/>
      <c r="G110" s="142"/>
      <c r="H110" s="134">
        <f t="shared" si="17"/>
        <v>0</v>
      </c>
      <c r="I110" s="145"/>
      <c r="J110" s="142"/>
      <c r="K110" s="134">
        <f t="shared" si="18"/>
        <v>0</v>
      </c>
      <c r="L110" s="145"/>
      <c r="M110" s="142"/>
      <c r="N110" s="134">
        <f t="shared" si="19"/>
        <v>0</v>
      </c>
      <c r="O110" s="145"/>
      <c r="P110" s="142"/>
      <c r="Q110" s="134">
        <f t="shared" si="20"/>
        <v>0</v>
      </c>
      <c r="R110" s="152"/>
      <c r="S110" s="159"/>
      <c r="T110" s="160"/>
      <c r="U110" s="137">
        <f t="shared" si="21"/>
        <v>0</v>
      </c>
      <c r="V110" s="138" t="e">
        <f t="shared" si="22"/>
        <v>#DIV/0!</v>
      </c>
    </row>
    <row r="111" spans="2:22" s="109" customFormat="1" ht="21.95" customHeight="1" outlineLevel="1">
      <c r="B111" s="148" t="str">
        <f>'CPU  1'!B111</f>
        <v>M30</v>
      </c>
      <c r="C111" s="149" t="str">
        <f>'CPU  1'!C111</f>
        <v>Placa de obra</v>
      </c>
      <c r="D111" s="150" t="str">
        <f>'CPU  1'!D111</f>
        <v>vb</v>
      </c>
      <c r="E111" s="151">
        <f>'CPU  1'!E111</f>
        <v>2000</v>
      </c>
      <c r="F111" s="145"/>
      <c r="G111" s="142"/>
      <c r="H111" s="134">
        <f t="shared" ref="H111:H128" si="23">G111*F111*$E111</f>
        <v>0</v>
      </c>
      <c r="I111" s="145"/>
      <c r="J111" s="142"/>
      <c r="K111" s="134">
        <f t="shared" ref="K111:K128" si="24">J111*I111*$E111</f>
        <v>0</v>
      </c>
      <c r="L111" s="145"/>
      <c r="M111" s="142"/>
      <c r="N111" s="134">
        <f t="shared" ref="N111:N128" si="25">M111*L111*$E111</f>
        <v>0</v>
      </c>
      <c r="O111" s="145"/>
      <c r="P111" s="142"/>
      <c r="Q111" s="134">
        <f t="shared" ref="Q111:Q128" si="26">P111*O111*$E111</f>
        <v>0</v>
      </c>
      <c r="R111" s="152"/>
      <c r="S111" s="159"/>
      <c r="T111" s="160"/>
      <c r="U111" s="137">
        <f t="shared" si="21"/>
        <v>0</v>
      </c>
      <c r="V111" s="138" t="e">
        <f t="shared" si="22"/>
        <v>#DIV/0!</v>
      </c>
    </row>
    <row r="112" spans="2:22" s="109" customFormat="1" ht="21.95" customHeight="1" outlineLevel="1">
      <c r="B112" s="148" t="str">
        <f>'CPU  1'!B112</f>
        <v>M31</v>
      </c>
      <c r="C112" s="149" t="str">
        <f>'CPU  1'!C112</f>
        <v>Prego</v>
      </c>
      <c r="D112" s="150" t="str">
        <f>'CPU  1'!D112</f>
        <v>kg</v>
      </c>
      <c r="E112" s="151">
        <f>'CPU  1'!E112</f>
        <v>25</v>
      </c>
      <c r="F112" s="145"/>
      <c r="G112" s="142"/>
      <c r="H112" s="134">
        <f t="shared" si="23"/>
        <v>0</v>
      </c>
      <c r="I112" s="145"/>
      <c r="J112" s="142"/>
      <c r="K112" s="134">
        <f t="shared" si="24"/>
        <v>0</v>
      </c>
      <c r="L112" s="145"/>
      <c r="M112" s="142"/>
      <c r="N112" s="134">
        <f t="shared" si="25"/>
        <v>0</v>
      </c>
      <c r="O112" s="145"/>
      <c r="P112" s="142"/>
      <c r="Q112" s="134">
        <f t="shared" si="26"/>
        <v>0</v>
      </c>
      <c r="R112" s="152"/>
      <c r="S112" s="159"/>
      <c r="T112" s="160"/>
      <c r="U112" s="137">
        <f t="shared" si="21"/>
        <v>0</v>
      </c>
      <c r="V112" s="138" t="e">
        <f t="shared" si="22"/>
        <v>#DIV/0!</v>
      </c>
    </row>
    <row r="113" spans="2:22" s="109" customFormat="1" ht="36" customHeight="1" outlineLevel="1">
      <c r="B113" s="148" t="str">
        <f>'CPU  1'!B113</f>
        <v>M32</v>
      </c>
      <c r="C113" s="149" t="str">
        <f>'CPU  1'!C113</f>
        <v>Sistema de fixação das telas (parafuso, porcas, arruelas, chapas), galvanizados</v>
      </c>
      <c r="D113" s="150" t="str">
        <f>'CPU  1'!D113</f>
        <v>conjunto</v>
      </c>
      <c r="E113" s="151">
        <f>'CPU  1'!E113</f>
        <v>65</v>
      </c>
      <c r="F113" s="145"/>
      <c r="G113" s="142"/>
      <c r="H113" s="134">
        <f t="shared" si="23"/>
        <v>0</v>
      </c>
      <c r="I113" s="145"/>
      <c r="J113" s="142"/>
      <c r="K113" s="134">
        <f t="shared" si="24"/>
        <v>0</v>
      </c>
      <c r="L113" s="145"/>
      <c r="M113" s="142"/>
      <c r="N113" s="134">
        <f t="shared" si="25"/>
        <v>0</v>
      </c>
      <c r="O113" s="145"/>
      <c r="P113" s="142"/>
      <c r="Q113" s="134">
        <f t="shared" si="26"/>
        <v>0</v>
      </c>
      <c r="R113" s="152"/>
      <c r="S113" s="159"/>
      <c r="T113" s="160"/>
      <c r="U113" s="137">
        <f t="shared" si="21"/>
        <v>0</v>
      </c>
      <c r="V113" s="138" t="e">
        <f t="shared" si="22"/>
        <v>#DIV/0!</v>
      </c>
    </row>
    <row r="114" spans="2:22" s="109" customFormat="1" ht="21.95" customHeight="1" outlineLevel="1">
      <c r="B114" s="148" t="str">
        <f>'CPU  1'!B114</f>
        <v>M33</v>
      </c>
      <c r="C114" s="149" t="str">
        <f>'CPU  1'!C114</f>
        <v>Materiais topográficos</v>
      </c>
      <c r="D114" s="150" t="str">
        <f>'CPU  1'!D114</f>
        <v>vb/mês</v>
      </c>
      <c r="E114" s="151">
        <f>'CPU  1'!E114</f>
        <v>200</v>
      </c>
      <c r="F114" s="145"/>
      <c r="G114" s="142"/>
      <c r="H114" s="134">
        <f t="shared" si="23"/>
        <v>0</v>
      </c>
      <c r="I114" s="145"/>
      <c r="J114" s="142"/>
      <c r="K114" s="134">
        <f t="shared" si="24"/>
        <v>0</v>
      </c>
      <c r="L114" s="145"/>
      <c r="M114" s="142"/>
      <c r="N114" s="134">
        <f t="shared" si="25"/>
        <v>0</v>
      </c>
      <c r="O114" s="145"/>
      <c r="P114" s="142"/>
      <c r="Q114" s="134">
        <f t="shared" si="26"/>
        <v>0</v>
      </c>
      <c r="R114" s="152"/>
      <c r="S114" s="159"/>
      <c r="T114" s="160"/>
      <c r="U114" s="137">
        <f t="shared" si="21"/>
        <v>0</v>
      </c>
      <c r="V114" s="138" t="e">
        <f t="shared" si="22"/>
        <v>#DIV/0!</v>
      </c>
    </row>
    <row r="115" spans="2:22" s="109" customFormat="1" ht="21.95" customHeight="1" outlineLevel="1">
      <c r="B115" s="148" t="str">
        <f>'CPU  1'!B115</f>
        <v>M34</v>
      </c>
      <c r="C115" s="149" t="str">
        <f>'CPU  1'!C115</f>
        <v>Tela ondulada em aço galvanizado 0,65mx1m</v>
      </c>
      <c r="D115" s="150" t="str">
        <f>'CPU  1'!D115</f>
        <v>m</v>
      </c>
      <c r="E115" s="151">
        <f>'CPU  1'!E115</f>
        <v>115.19999999999999</v>
      </c>
      <c r="F115" s="145"/>
      <c r="G115" s="142"/>
      <c r="H115" s="134">
        <f t="shared" si="23"/>
        <v>0</v>
      </c>
      <c r="I115" s="145"/>
      <c r="J115" s="142"/>
      <c r="K115" s="134">
        <f t="shared" si="24"/>
        <v>0</v>
      </c>
      <c r="L115" s="145"/>
      <c r="M115" s="142"/>
      <c r="N115" s="134">
        <f t="shared" si="25"/>
        <v>0</v>
      </c>
      <c r="O115" s="145"/>
      <c r="P115" s="142"/>
      <c r="Q115" s="134">
        <f t="shared" si="26"/>
        <v>0</v>
      </c>
      <c r="R115" s="152"/>
      <c r="S115" s="159"/>
      <c r="T115" s="160"/>
      <c r="U115" s="137">
        <f t="shared" si="21"/>
        <v>0</v>
      </c>
      <c r="V115" s="138" t="e">
        <f t="shared" ref="V115:V131" si="27">U115/$U$162</f>
        <v>#DIV/0!</v>
      </c>
    </row>
    <row r="116" spans="2:22" s="109" customFormat="1" ht="21.95" customHeight="1" outlineLevel="1">
      <c r="B116" s="148" t="str">
        <f>'CPU  1'!B116</f>
        <v>M35</v>
      </c>
      <c r="C116" s="149" t="str">
        <f>'CPU  1'!C116</f>
        <v>Cabo 50mm²</v>
      </c>
      <c r="D116" s="150" t="str">
        <f>'CPU  1'!D116</f>
        <v>m</v>
      </c>
      <c r="E116" s="151">
        <f>'CPU  1'!E116</f>
        <v>42</v>
      </c>
      <c r="F116" s="145"/>
      <c r="G116" s="142"/>
      <c r="H116" s="134">
        <f t="shared" si="23"/>
        <v>0</v>
      </c>
      <c r="I116" s="145"/>
      <c r="J116" s="142"/>
      <c r="K116" s="134">
        <f t="shared" si="24"/>
        <v>0</v>
      </c>
      <c r="L116" s="145"/>
      <c r="M116" s="142"/>
      <c r="N116" s="134">
        <f t="shared" si="25"/>
        <v>0</v>
      </c>
      <c r="O116" s="145"/>
      <c r="P116" s="142"/>
      <c r="Q116" s="134">
        <f t="shared" si="26"/>
        <v>0</v>
      </c>
      <c r="R116" s="152"/>
      <c r="S116" s="159"/>
      <c r="T116" s="160"/>
      <c r="U116" s="137">
        <f t="shared" si="21"/>
        <v>0</v>
      </c>
      <c r="V116" s="138" t="e">
        <f t="shared" si="27"/>
        <v>#DIV/0!</v>
      </c>
    </row>
    <row r="117" spans="2:22" s="109" customFormat="1" ht="21.95" customHeight="1" outlineLevel="1">
      <c r="B117" s="148" t="str">
        <f>'CPU  1'!B117</f>
        <v>M36</v>
      </c>
      <c r="C117" s="149" t="str">
        <f>'CPU  1'!C117</f>
        <v>Haste de aterramento</v>
      </c>
      <c r="D117" s="150" t="str">
        <f>'CPU  1'!D117</f>
        <v>pç</v>
      </c>
      <c r="E117" s="151">
        <f>'CPU  1'!E117</f>
        <v>192</v>
      </c>
      <c r="F117" s="145"/>
      <c r="G117" s="142"/>
      <c r="H117" s="134">
        <f t="shared" si="23"/>
        <v>0</v>
      </c>
      <c r="I117" s="145"/>
      <c r="J117" s="142"/>
      <c r="K117" s="134">
        <f t="shared" si="24"/>
        <v>0</v>
      </c>
      <c r="L117" s="145"/>
      <c r="M117" s="142"/>
      <c r="N117" s="134">
        <f t="shared" si="25"/>
        <v>0</v>
      </c>
      <c r="O117" s="145"/>
      <c r="P117" s="142"/>
      <c r="Q117" s="134">
        <f t="shared" si="26"/>
        <v>0</v>
      </c>
      <c r="R117" s="152"/>
      <c r="S117" s="159"/>
      <c r="T117" s="160"/>
      <c r="U117" s="137">
        <f t="shared" si="21"/>
        <v>0</v>
      </c>
      <c r="V117" s="138" t="e">
        <f t="shared" si="27"/>
        <v>#DIV/0!</v>
      </c>
    </row>
    <row r="118" spans="2:22" s="109" customFormat="1" ht="21.95" customHeight="1" outlineLevel="1">
      <c r="B118" s="148" t="str">
        <f>'CPU  1'!B118</f>
        <v>M37</v>
      </c>
      <c r="C118" s="149" t="str">
        <f>'CPU  1'!C118</f>
        <v>Grampos de aterramento</v>
      </c>
      <c r="D118" s="150" t="str">
        <f>'CPU  1'!D118</f>
        <v>pç</v>
      </c>
      <c r="E118" s="151">
        <f>'CPU  1'!E118</f>
        <v>19.8</v>
      </c>
      <c r="F118" s="145"/>
      <c r="G118" s="142"/>
      <c r="H118" s="134">
        <f t="shared" si="23"/>
        <v>0</v>
      </c>
      <c r="I118" s="145"/>
      <c r="J118" s="142"/>
      <c r="K118" s="134">
        <f t="shared" si="24"/>
        <v>0</v>
      </c>
      <c r="L118" s="145"/>
      <c r="M118" s="142"/>
      <c r="N118" s="134">
        <f t="shared" si="25"/>
        <v>0</v>
      </c>
      <c r="O118" s="145"/>
      <c r="P118" s="142"/>
      <c r="Q118" s="134">
        <f t="shared" si="26"/>
        <v>0</v>
      </c>
      <c r="R118" s="152"/>
      <c r="S118" s="159"/>
      <c r="T118" s="160"/>
      <c r="U118" s="137">
        <f t="shared" si="21"/>
        <v>0</v>
      </c>
      <c r="V118" s="138" t="e">
        <f t="shared" si="27"/>
        <v>#DIV/0!</v>
      </c>
    </row>
    <row r="119" spans="2:22" s="109" customFormat="1" ht="21.95" customHeight="1" outlineLevel="1">
      <c r="B119" s="148" t="str">
        <f>'CPU  1'!B119</f>
        <v>M38</v>
      </c>
      <c r="C119" s="149" t="str">
        <f>'CPU  1'!C119</f>
        <v>Conector split bolt 50mm</v>
      </c>
      <c r="D119" s="150" t="str">
        <f>'CPU  1'!D119</f>
        <v>pç</v>
      </c>
      <c r="E119" s="151">
        <f>'CPU  1'!E119</f>
        <v>14.399999999999999</v>
      </c>
      <c r="F119" s="145"/>
      <c r="G119" s="142"/>
      <c r="H119" s="134">
        <f t="shared" si="23"/>
        <v>0</v>
      </c>
      <c r="I119" s="145"/>
      <c r="J119" s="142"/>
      <c r="K119" s="134">
        <f t="shared" si="24"/>
        <v>0</v>
      </c>
      <c r="L119" s="145"/>
      <c r="M119" s="142"/>
      <c r="N119" s="134">
        <f t="shared" si="25"/>
        <v>0</v>
      </c>
      <c r="O119" s="145"/>
      <c r="P119" s="142"/>
      <c r="Q119" s="134">
        <f t="shared" si="26"/>
        <v>0</v>
      </c>
      <c r="R119" s="152"/>
      <c r="S119" s="159"/>
      <c r="T119" s="160"/>
      <c r="U119" s="137">
        <f t="shared" si="21"/>
        <v>0</v>
      </c>
      <c r="V119" s="138" t="e">
        <f t="shared" si="27"/>
        <v>#DIV/0!</v>
      </c>
    </row>
    <row r="120" spans="2:22" s="109" customFormat="1" ht="21.95" customHeight="1" outlineLevel="1">
      <c r="B120" s="148" t="str">
        <f>'CPU  1'!B120</f>
        <v>M39</v>
      </c>
      <c r="C120" s="149" t="str">
        <f>'CPU  1'!C120</f>
        <v>Chapa de base da cantoneira 1/8"</v>
      </c>
      <c r="D120" s="150" t="str">
        <f>'CPU  1'!D120</f>
        <v>kg</v>
      </c>
      <c r="E120" s="151">
        <f>'CPU  1'!E120</f>
        <v>18</v>
      </c>
      <c r="F120" s="145"/>
      <c r="G120" s="142"/>
      <c r="H120" s="134">
        <f t="shared" si="23"/>
        <v>0</v>
      </c>
      <c r="I120" s="145"/>
      <c r="J120" s="142"/>
      <c r="K120" s="134">
        <f t="shared" si="24"/>
        <v>0</v>
      </c>
      <c r="L120" s="145"/>
      <c r="M120" s="142"/>
      <c r="N120" s="134">
        <f t="shared" si="25"/>
        <v>0</v>
      </c>
      <c r="O120" s="145"/>
      <c r="P120" s="142"/>
      <c r="Q120" s="134">
        <f t="shared" si="26"/>
        <v>0</v>
      </c>
      <c r="R120" s="152"/>
      <c r="S120" s="159"/>
      <c r="T120" s="160"/>
      <c r="U120" s="137">
        <f t="shared" si="21"/>
        <v>0</v>
      </c>
      <c r="V120" s="138" t="e">
        <f t="shared" si="27"/>
        <v>#DIV/0!</v>
      </c>
    </row>
    <row r="121" spans="2:22" s="109" customFormat="1" ht="21.95" customHeight="1" outlineLevel="1">
      <c r="B121" s="148" t="str">
        <f>'CPU  1'!B121</f>
        <v>M40</v>
      </c>
      <c r="C121" s="149" t="str">
        <f>'CPU  1'!C121</f>
        <v>Parafuso 10mm</v>
      </c>
      <c r="D121" s="150" t="str">
        <f>'CPU  1'!D121</f>
        <v>pç</v>
      </c>
      <c r="E121" s="151">
        <f>'CPU  1'!E121</f>
        <v>1.7999999999999998</v>
      </c>
      <c r="F121" s="145"/>
      <c r="G121" s="142"/>
      <c r="H121" s="134">
        <f t="shared" si="23"/>
        <v>0</v>
      </c>
      <c r="I121" s="145"/>
      <c r="J121" s="142"/>
      <c r="K121" s="134">
        <f t="shared" si="24"/>
        <v>0</v>
      </c>
      <c r="L121" s="145"/>
      <c r="M121" s="142"/>
      <c r="N121" s="134">
        <f t="shared" si="25"/>
        <v>0</v>
      </c>
      <c r="O121" s="145"/>
      <c r="P121" s="142"/>
      <c r="Q121" s="134">
        <f t="shared" si="26"/>
        <v>0</v>
      </c>
      <c r="R121" s="152"/>
      <c r="S121" s="159"/>
      <c r="T121" s="160"/>
      <c r="U121" s="137">
        <f t="shared" si="21"/>
        <v>0</v>
      </c>
      <c r="V121" s="138" t="e">
        <f t="shared" si="27"/>
        <v>#DIV/0!</v>
      </c>
    </row>
    <row r="122" spans="2:22" s="109" customFormat="1" ht="21.95" customHeight="1" outlineLevel="1">
      <c r="B122" s="148" t="str">
        <f>'CPU  1'!B122</f>
        <v>M41</v>
      </c>
      <c r="C122" s="149">
        <f>'CPU  1'!C122</f>
        <v>0</v>
      </c>
      <c r="D122" s="150">
        <f>'CPU  1'!D122</f>
        <v>0</v>
      </c>
      <c r="E122" s="151">
        <f>'CPU  1'!E122</f>
        <v>0</v>
      </c>
      <c r="F122" s="145"/>
      <c r="G122" s="142"/>
      <c r="H122" s="134">
        <f t="shared" si="23"/>
        <v>0</v>
      </c>
      <c r="I122" s="145"/>
      <c r="J122" s="142"/>
      <c r="K122" s="134">
        <f t="shared" si="24"/>
        <v>0</v>
      </c>
      <c r="L122" s="145"/>
      <c r="M122" s="142"/>
      <c r="N122" s="134">
        <f t="shared" si="25"/>
        <v>0</v>
      </c>
      <c r="O122" s="145"/>
      <c r="P122" s="142"/>
      <c r="Q122" s="134">
        <f t="shared" si="26"/>
        <v>0</v>
      </c>
      <c r="R122" s="152"/>
      <c r="S122" s="159"/>
      <c r="T122" s="160"/>
      <c r="U122" s="137">
        <f t="shared" si="21"/>
        <v>0</v>
      </c>
      <c r="V122" s="138" t="e">
        <f t="shared" si="27"/>
        <v>#DIV/0!</v>
      </c>
    </row>
    <row r="123" spans="2:22" s="109" customFormat="1" ht="21.95" customHeight="1" outlineLevel="1">
      <c r="B123" s="148" t="str">
        <f>'CPU  1'!B123</f>
        <v>M42</v>
      </c>
      <c r="C123" s="149">
        <f>'CPU  1'!C123</f>
        <v>0</v>
      </c>
      <c r="D123" s="150">
        <f>'CPU  1'!D123</f>
        <v>0</v>
      </c>
      <c r="E123" s="151">
        <f>'CPU  1'!E123</f>
        <v>0</v>
      </c>
      <c r="F123" s="145"/>
      <c r="G123" s="142"/>
      <c r="H123" s="134">
        <f t="shared" si="23"/>
        <v>0</v>
      </c>
      <c r="I123" s="145"/>
      <c r="J123" s="142"/>
      <c r="K123" s="134">
        <f t="shared" si="24"/>
        <v>0</v>
      </c>
      <c r="L123" s="145"/>
      <c r="M123" s="142"/>
      <c r="N123" s="134">
        <f t="shared" si="25"/>
        <v>0</v>
      </c>
      <c r="O123" s="145"/>
      <c r="P123" s="142"/>
      <c r="Q123" s="134">
        <f t="shared" si="26"/>
        <v>0</v>
      </c>
      <c r="R123" s="152"/>
      <c r="S123" s="159"/>
      <c r="T123" s="160"/>
      <c r="U123" s="137">
        <f t="shared" si="21"/>
        <v>0</v>
      </c>
      <c r="V123" s="138" t="e">
        <f t="shared" si="27"/>
        <v>#DIV/0!</v>
      </c>
    </row>
    <row r="124" spans="2:22" s="109" customFormat="1" ht="21.95" customHeight="1" outlineLevel="1">
      <c r="B124" s="148" t="str">
        <f>'CPU  1'!B124</f>
        <v>M43</v>
      </c>
      <c r="C124" s="149">
        <f>'CPU  1'!C124</f>
        <v>0</v>
      </c>
      <c r="D124" s="150">
        <f>'CPU  1'!D124</f>
        <v>0</v>
      </c>
      <c r="E124" s="151">
        <f>'CPU  1'!E124</f>
        <v>0</v>
      </c>
      <c r="F124" s="145"/>
      <c r="G124" s="142"/>
      <c r="H124" s="134">
        <f t="shared" si="23"/>
        <v>0</v>
      </c>
      <c r="I124" s="145"/>
      <c r="J124" s="142"/>
      <c r="K124" s="134">
        <f t="shared" si="24"/>
        <v>0</v>
      </c>
      <c r="L124" s="145"/>
      <c r="M124" s="142"/>
      <c r="N124" s="134">
        <f t="shared" si="25"/>
        <v>0</v>
      </c>
      <c r="O124" s="145"/>
      <c r="P124" s="142"/>
      <c r="Q124" s="134">
        <f t="shared" si="26"/>
        <v>0</v>
      </c>
      <c r="R124" s="152"/>
      <c r="S124" s="159"/>
      <c r="T124" s="160"/>
      <c r="U124" s="137">
        <f t="shared" si="21"/>
        <v>0</v>
      </c>
      <c r="V124" s="138" t="e">
        <f t="shared" si="27"/>
        <v>#DIV/0!</v>
      </c>
    </row>
    <row r="125" spans="2:22" s="109" customFormat="1" ht="21.95" customHeight="1" outlineLevel="1">
      <c r="B125" s="148" t="str">
        <f>'CPU  1'!B125</f>
        <v>M44</v>
      </c>
      <c r="C125" s="149">
        <f>'CPU  1'!C125</f>
        <v>0</v>
      </c>
      <c r="D125" s="150">
        <f>'CPU  1'!D125</f>
        <v>0</v>
      </c>
      <c r="E125" s="151">
        <f>'CPU  1'!E125</f>
        <v>0</v>
      </c>
      <c r="F125" s="145"/>
      <c r="G125" s="142"/>
      <c r="H125" s="134">
        <f t="shared" si="23"/>
        <v>0</v>
      </c>
      <c r="I125" s="145"/>
      <c r="J125" s="142"/>
      <c r="K125" s="134">
        <f t="shared" si="24"/>
        <v>0</v>
      </c>
      <c r="L125" s="145"/>
      <c r="M125" s="142"/>
      <c r="N125" s="134">
        <f t="shared" si="25"/>
        <v>0</v>
      </c>
      <c r="O125" s="145"/>
      <c r="P125" s="142"/>
      <c r="Q125" s="134">
        <f t="shared" si="26"/>
        <v>0</v>
      </c>
      <c r="R125" s="152"/>
      <c r="S125" s="159"/>
      <c r="T125" s="160"/>
      <c r="U125" s="137">
        <f t="shared" si="21"/>
        <v>0</v>
      </c>
      <c r="V125" s="138" t="e">
        <f t="shared" si="27"/>
        <v>#DIV/0!</v>
      </c>
    </row>
    <row r="126" spans="2:22" s="109" customFormat="1" ht="21.95" customHeight="1" outlineLevel="1">
      <c r="B126" s="148" t="str">
        <f>'CPU  1'!B126</f>
        <v>M45</v>
      </c>
      <c r="C126" s="149">
        <f>'CPU  1'!C126</f>
        <v>0</v>
      </c>
      <c r="D126" s="150">
        <f>'CPU  1'!D126</f>
        <v>0</v>
      </c>
      <c r="E126" s="151">
        <f>'CPU  1'!E126</f>
        <v>0</v>
      </c>
      <c r="F126" s="145"/>
      <c r="G126" s="142"/>
      <c r="H126" s="134">
        <f t="shared" si="23"/>
        <v>0</v>
      </c>
      <c r="I126" s="145"/>
      <c r="J126" s="142"/>
      <c r="K126" s="134">
        <f t="shared" si="24"/>
        <v>0</v>
      </c>
      <c r="L126" s="145"/>
      <c r="M126" s="142"/>
      <c r="N126" s="134">
        <f t="shared" si="25"/>
        <v>0</v>
      </c>
      <c r="O126" s="145"/>
      <c r="P126" s="142"/>
      <c r="Q126" s="134">
        <f t="shared" si="26"/>
        <v>0</v>
      </c>
      <c r="R126" s="152"/>
      <c r="S126" s="159"/>
      <c r="T126" s="160"/>
      <c r="U126" s="137">
        <f t="shared" si="21"/>
        <v>0</v>
      </c>
      <c r="V126" s="138" t="e">
        <f t="shared" si="27"/>
        <v>#DIV/0!</v>
      </c>
    </row>
    <row r="127" spans="2:22" s="109" customFormat="1" ht="21.95" customHeight="1" outlineLevel="1">
      <c r="B127" s="148" t="str">
        <f>'CPU  1'!B127</f>
        <v>M46</v>
      </c>
      <c r="C127" s="149">
        <f>'CPU  1'!C127</f>
        <v>0</v>
      </c>
      <c r="D127" s="150">
        <f>'CPU  1'!D127</f>
        <v>0</v>
      </c>
      <c r="E127" s="151">
        <f>'CPU  1'!E127</f>
        <v>0</v>
      </c>
      <c r="F127" s="145"/>
      <c r="G127" s="142"/>
      <c r="H127" s="134">
        <f t="shared" si="23"/>
        <v>0</v>
      </c>
      <c r="I127" s="145"/>
      <c r="J127" s="142"/>
      <c r="K127" s="134">
        <f t="shared" si="24"/>
        <v>0</v>
      </c>
      <c r="L127" s="145"/>
      <c r="M127" s="142"/>
      <c r="N127" s="134">
        <f t="shared" si="25"/>
        <v>0</v>
      </c>
      <c r="O127" s="145"/>
      <c r="P127" s="142"/>
      <c r="Q127" s="134">
        <f t="shared" si="26"/>
        <v>0</v>
      </c>
      <c r="R127" s="152"/>
      <c r="S127" s="159"/>
      <c r="T127" s="160"/>
      <c r="U127" s="137">
        <f t="shared" si="21"/>
        <v>0</v>
      </c>
      <c r="V127" s="138" t="e">
        <f t="shared" si="27"/>
        <v>#DIV/0!</v>
      </c>
    </row>
    <row r="128" spans="2:22" s="109" customFormat="1" ht="21.95" customHeight="1" outlineLevel="1">
      <c r="B128" s="148" t="str">
        <f>'CPU  1'!B128</f>
        <v>M47</v>
      </c>
      <c r="C128" s="149">
        <f>'CPU  1'!C128</f>
        <v>0</v>
      </c>
      <c r="D128" s="150">
        <f>'CPU  1'!D128</f>
        <v>0</v>
      </c>
      <c r="E128" s="151">
        <f>'CPU  1'!E128</f>
        <v>0</v>
      </c>
      <c r="F128" s="145"/>
      <c r="G128" s="142"/>
      <c r="H128" s="134">
        <f t="shared" si="23"/>
        <v>0</v>
      </c>
      <c r="I128" s="145"/>
      <c r="J128" s="142"/>
      <c r="K128" s="134">
        <f t="shared" si="24"/>
        <v>0</v>
      </c>
      <c r="L128" s="145"/>
      <c r="M128" s="142"/>
      <c r="N128" s="134">
        <f t="shared" si="25"/>
        <v>0</v>
      </c>
      <c r="O128" s="145"/>
      <c r="P128" s="142"/>
      <c r="Q128" s="134">
        <f t="shared" si="26"/>
        <v>0</v>
      </c>
      <c r="R128" s="152"/>
      <c r="S128" s="159"/>
      <c r="T128" s="160"/>
      <c r="U128" s="137">
        <f t="shared" si="21"/>
        <v>0</v>
      </c>
      <c r="V128" s="138" t="e">
        <f t="shared" si="27"/>
        <v>#DIV/0!</v>
      </c>
    </row>
    <row r="129" spans="2:23" s="109" customFormat="1" ht="21.95" customHeight="1" outlineLevel="1">
      <c r="B129" s="148" t="str">
        <f>'CPU  1'!B129</f>
        <v>M48</v>
      </c>
      <c r="C129" s="149">
        <f>'CPU  1'!C129</f>
        <v>0</v>
      </c>
      <c r="D129" s="150">
        <f>'CPU  1'!D129</f>
        <v>0</v>
      </c>
      <c r="E129" s="151">
        <f>'CPU  1'!E129</f>
        <v>0</v>
      </c>
      <c r="F129" s="145"/>
      <c r="G129" s="142"/>
      <c r="H129" s="134">
        <f t="shared" si="17"/>
        <v>0</v>
      </c>
      <c r="I129" s="145"/>
      <c r="J129" s="142"/>
      <c r="K129" s="134">
        <f t="shared" si="18"/>
        <v>0</v>
      </c>
      <c r="L129" s="145"/>
      <c r="M129" s="142"/>
      <c r="N129" s="134">
        <f t="shared" si="19"/>
        <v>0</v>
      </c>
      <c r="O129" s="145"/>
      <c r="P129" s="142"/>
      <c r="Q129" s="134">
        <f t="shared" si="20"/>
        <v>0</v>
      </c>
      <c r="R129" s="152"/>
      <c r="S129" s="159"/>
      <c r="T129" s="160"/>
      <c r="U129" s="137">
        <f t="shared" si="21"/>
        <v>0</v>
      </c>
      <c r="V129" s="138" t="e">
        <f t="shared" si="27"/>
        <v>#DIV/0!</v>
      </c>
    </row>
    <row r="130" spans="2:23" s="109" customFormat="1" ht="21.95" customHeight="1" outlineLevel="1">
      <c r="B130" s="148" t="str">
        <f>'CPU  1'!B130</f>
        <v>M49</v>
      </c>
      <c r="C130" s="149">
        <f>'CPU  1'!C130</f>
        <v>0</v>
      </c>
      <c r="D130" s="150">
        <f>'CPU  1'!D130</f>
        <v>0</v>
      </c>
      <c r="E130" s="151">
        <f>'CPU  1'!E130</f>
        <v>0</v>
      </c>
      <c r="F130" s="145"/>
      <c r="G130" s="142"/>
      <c r="H130" s="134">
        <f t="shared" si="17"/>
        <v>0</v>
      </c>
      <c r="I130" s="145"/>
      <c r="J130" s="142"/>
      <c r="K130" s="134">
        <f t="shared" si="18"/>
        <v>0</v>
      </c>
      <c r="L130" s="145"/>
      <c r="M130" s="142"/>
      <c r="N130" s="134">
        <f t="shared" si="19"/>
        <v>0</v>
      </c>
      <c r="O130" s="145"/>
      <c r="P130" s="142"/>
      <c r="Q130" s="134">
        <f t="shared" si="20"/>
        <v>0</v>
      </c>
      <c r="R130" s="152"/>
      <c r="S130" s="159"/>
      <c r="T130" s="160"/>
      <c r="U130" s="137">
        <f t="shared" si="21"/>
        <v>0</v>
      </c>
      <c r="V130" s="138" t="e">
        <f t="shared" si="27"/>
        <v>#DIV/0!</v>
      </c>
    </row>
    <row r="131" spans="2:23" s="109" customFormat="1" ht="21.95" customHeight="1" outlineLevel="1" thickBot="1">
      <c r="B131" s="148" t="str">
        <f>'CPU  1'!B131</f>
        <v>M50</v>
      </c>
      <c r="C131" s="149">
        <f>'CPU  1'!C131</f>
        <v>0</v>
      </c>
      <c r="D131" s="150">
        <f>'CPU  1'!D131</f>
        <v>0</v>
      </c>
      <c r="E131" s="151">
        <f>'CPU  1'!E131</f>
        <v>0</v>
      </c>
      <c r="F131" s="145"/>
      <c r="G131" s="142"/>
      <c r="H131" s="134">
        <f t="shared" si="17"/>
        <v>0</v>
      </c>
      <c r="I131" s="145"/>
      <c r="J131" s="142"/>
      <c r="K131" s="134">
        <f t="shared" si="18"/>
        <v>0</v>
      </c>
      <c r="L131" s="145"/>
      <c r="M131" s="142"/>
      <c r="N131" s="134">
        <f t="shared" si="19"/>
        <v>0</v>
      </c>
      <c r="O131" s="145"/>
      <c r="P131" s="142"/>
      <c r="Q131" s="134">
        <f t="shared" si="20"/>
        <v>0</v>
      </c>
      <c r="R131" s="152"/>
      <c r="S131" s="159"/>
      <c r="T131" s="160"/>
      <c r="U131" s="137">
        <f t="shared" si="21"/>
        <v>0</v>
      </c>
      <c r="V131" s="138" t="e">
        <f t="shared" si="27"/>
        <v>#DIV/0!</v>
      </c>
    </row>
    <row r="132" spans="2:23" s="109" customFormat="1" ht="21.95" customHeight="1" thickBot="1">
      <c r="B132" s="694" t="s">
        <v>35</v>
      </c>
      <c r="C132" s="695"/>
      <c r="D132" s="695"/>
      <c r="E132" s="695" t="e">
        <f>SUM(#REF!)</f>
        <v>#REF!</v>
      </c>
      <c r="F132" s="263"/>
      <c r="G132" s="264"/>
      <c r="H132" s="265">
        <f>SUM(H83:H131)</f>
        <v>0</v>
      </c>
      <c r="I132" s="263"/>
      <c r="J132" s="264"/>
      <c r="K132" s="265">
        <f>SUM(K83:K131)</f>
        <v>0</v>
      </c>
      <c r="L132" s="263"/>
      <c r="M132" s="264"/>
      <c r="N132" s="265">
        <f>SUM(N83:N131)</f>
        <v>0</v>
      </c>
      <c r="O132" s="263"/>
      <c r="P132" s="264"/>
      <c r="Q132" s="265">
        <f>SUM(Q83:Q131)</f>
        <v>0</v>
      </c>
      <c r="R132" s="143"/>
      <c r="S132" s="263"/>
      <c r="T132" s="264"/>
      <c r="U132" s="265">
        <f>SUM(U83:U131)</f>
        <v>0</v>
      </c>
      <c r="V132" s="138"/>
    </row>
    <row r="133" spans="2:23" s="109" customFormat="1" ht="21.95" customHeight="1" thickBot="1">
      <c r="B133" s="699" t="s">
        <v>36</v>
      </c>
      <c r="C133" s="700"/>
      <c r="D133" s="700"/>
      <c r="E133" s="701"/>
      <c r="F133" s="745"/>
      <c r="G133" s="745"/>
      <c r="H133" s="745"/>
      <c r="I133" s="745"/>
      <c r="J133" s="745"/>
      <c r="K133" s="745"/>
      <c r="L133" s="745"/>
      <c r="M133" s="745"/>
      <c r="N133" s="745"/>
      <c r="O133" s="745"/>
      <c r="P133" s="745"/>
      <c r="Q133" s="745"/>
      <c r="R133" s="124"/>
      <c r="S133" s="711"/>
      <c r="T133" s="711"/>
      <c r="U133" s="711"/>
      <c r="V133" s="138"/>
    </row>
    <row r="134" spans="2:23" s="127" customFormat="1" ht="21.95" customHeight="1" thickBot="1">
      <c r="B134" s="258" t="s">
        <v>163</v>
      </c>
      <c r="C134" s="259" t="s">
        <v>169</v>
      </c>
      <c r="D134" s="260" t="s">
        <v>30</v>
      </c>
      <c r="E134" s="261" t="s">
        <v>31</v>
      </c>
      <c r="F134" s="258" t="s">
        <v>6</v>
      </c>
      <c r="G134" s="261" t="s">
        <v>32</v>
      </c>
      <c r="H134" s="262" t="s">
        <v>5</v>
      </c>
      <c r="I134" s="258" t="s">
        <v>6</v>
      </c>
      <c r="J134" s="261" t="s">
        <v>32</v>
      </c>
      <c r="K134" s="262" t="s">
        <v>5</v>
      </c>
      <c r="L134" s="258" t="s">
        <v>6</v>
      </c>
      <c r="M134" s="261" t="s">
        <v>32</v>
      </c>
      <c r="N134" s="262" t="s">
        <v>5</v>
      </c>
      <c r="O134" s="258" t="s">
        <v>6</v>
      </c>
      <c r="P134" s="261" t="s">
        <v>32</v>
      </c>
      <c r="Q134" s="262" t="s">
        <v>5</v>
      </c>
      <c r="R134" s="124"/>
      <c r="S134" s="258" t="s">
        <v>6</v>
      </c>
      <c r="T134" s="261" t="s">
        <v>32</v>
      </c>
      <c r="U134" s="262" t="s">
        <v>5</v>
      </c>
      <c r="V134" s="125"/>
      <c r="W134" s="126"/>
    </row>
    <row r="135" spans="2:23" s="109" customFormat="1" ht="21.95" customHeight="1" outlineLevel="1">
      <c r="B135" s="148" t="str">
        <f>'CPU  1'!B135</f>
        <v>O01</v>
      </c>
      <c r="C135" s="156" t="str">
        <f>'CPU  1'!C135</f>
        <v>ART</v>
      </c>
      <c r="D135" s="157" t="str">
        <f>'CPU  1'!D135</f>
        <v>Vb</v>
      </c>
      <c r="E135" s="158">
        <f>'CPU  1'!E135</f>
        <v>1000</v>
      </c>
      <c r="F135" s="145"/>
      <c r="G135" s="142"/>
      <c r="H135" s="134">
        <f>G135*F135*$E135</f>
        <v>0</v>
      </c>
      <c r="I135" s="145"/>
      <c r="J135" s="142"/>
      <c r="K135" s="134">
        <f t="shared" ref="K135:K154" si="28">J135*I135*$E135</f>
        <v>0</v>
      </c>
      <c r="L135" s="145"/>
      <c r="M135" s="142"/>
      <c r="N135" s="134">
        <f t="shared" ref="N135:N154" si="29">M135*L135*$E135</f>
        <v>0</v>
      </c>
      <c r="O135" s="145"/>
      <c r="P135" s="142"/>
      <c r="Q135" s="134">
        <f t="shared" ref="Q135:Q154" si="30">P135*O135*$E135</f>
        <v>0</v>
      </c>
      <c r="R135" s="152"/>
      <c r="S135" s="162"/>
      <c r="T135" s="163"/>
      <c r="U135" s="137">
        <f t="shared" ref="U135:U154" si="31">H135*$H$3+K135*$K$3+N135*$N$3+Q135*$Q$3</f>
        <v>0</v>
      </c>
      <c r="V135" s="138" t="e">
        <f t="shared" ref="V135:V154" si="32">U135/$U$162</f>
        <v>#DIV/0!</v>
      </c>
    </row>
    <row r="136" spans="2:23" s="109" customFormat="1" ht="21.95" customHeight="1" outlineLevel="1">
      <c r="B136" s="148" t="str">
        <f>'CPU  1'!B136</f>
        <v>O02</v>
      </c>
      <c r="C136" s="156" t="str">
        <f>'CPU  1'!C136</f>
        <v>Exames medicos</v>
      </c>
      <c r="D136" s="157" t="str">
        <f>'CPU  1'!D136</f>
        <v>Vb</v>
      </c>
      <c r="E136" s="158">
        <f>'CPU  1'!E136</f>
        <v>600</v>
      </c>
      <c r="F136" s="145"/>
      <c r="G136" s="142"/>
      <c r="H136" s="134">
        <f t="shared" ref="H136:H143" si="33">G136*F136*$E136</f>
        <v>0</v>
      </c>
      <c r="I136" s="145"/>
      <c r="J136" s="142"/>
      <c r="K136" s="134">
        <f t="shared" si="28"/>
        <v>0</v>
      </c>
      <c r="L136" s="145"/>
      <c r="M136" s="142"/>
      <c r="N136" s="134">
        <f t="shared" si="29"/>
        <v>0</v>
      </c>
      <c r="O136" s="145"/>
      <c r="P136" s="142"/>
      <c r="Q136" s="134">
        <f t="shared" si="30"/>
        <v>0</v>
      </c>
      <c r="R136" s="152"/>
      <c r="S136" s="162"/>
      <c r="T136" s="163"/>
      <c r="U136" s="137">
        <f t="shared" si="31"/>
        <v>0</v>
      </c>
      <c r="V136" s="138" t="e">
        <f t="shared" si="32"/>
        <v>#DIV/0!</v>
      </c>
    </row>
    <row r="137" spans="2:23" s="109" customFormat="1" ht="21.95" customHeight="1" outlineLevel="1">
      <c r="B137" s="148" t="str">
        <f>'CPU  1'!B137</f>
        <v>O03</v>
      </c>
      <c r="C137" s="156" t="str">
        <f>'CPU  1'!C137</f>
        <v>Treinamentos</v>
      </c>
      <c r="D137" s="157" t="str">
        <f>'CPU  1'!D137</f>
        <v>Vb</v>
      </c>
      <c r="E137" s="158">
        <f>'CPU  1'!E137</f>
        <v>426</v>
      </c>
      <c r="F137" s="145"/>
      <c r="G137" s="142"/>
      <c r="H137" s="164">
        <f>G137*F137*$E137</f>
        <v>0</v>
      </c>
      <c r="I137" s="145"/>
      <c r="J137" s="142"/>
      <c r="K137" s="164">
        <f t="shared" si="28"/>
        <v>0</v>
      </c>
      <c r="L137" s="145"/>
      <c r="M137" s="142"/>
      <c r="N137" s="164">
        <f t="shared" si="29"/>
        <v>0</v>
      </c>
      <c r="O137" s="145"/>
      <c r="P137" s="142"/>
      <c r="Q137" s="164">
        <f t="shared" si="30"/>
        <v>0</v>
      </c>
      <c r="R137" s="152"/>
      <c r="S137" s="162"/>
      <c r="T137" s="163"/>
      <c r="U137" s="137">
        <f t="shared" si="31"/>
        <v>0</v>
      </c>
      <c r="V137" s="138" t="e">
        <f t="shared" si="32"/>
        <v>#DIV/0!</v>
      </c>
    </row>
    <row r="138" spans="2:23" s="109" customFormat="1" ht="21.95" customHeight="1" outlineLevel="1">
      <c r="B138" s="148" t="str">
        <f>'CPU  1'!B138</f>
        <v>O04</v>
      </c>
      <c r="C138" s="156" t="str">
        <f>'CPU  1'!C138</f>
        <v>Plano de Saude</v>
      </c>
      <c r="D138" s="157" t="str">
        <f>'CPU  1'!D138</f>
        <v>Vb/mês</v>
      </c>
      <c r="E138" s="158">
        <f>'CPU  1'!E138</f>
        <v>280</v>
      </c>
      <c r="F138" s="145"/>
      <c r="G138" s="142"/>
      <c r="H138" s="134">
        <f>G138*F138*$E138</f>
        <v>0</v>
      </c>
      <c r="I138" s="145"/>
      <c r="J138" s="142"/>
      <c r="K138" s="134">
        <f t="shared" si="28"/>
        <v>0</v>
      </c>
      <c r="L138" s="145"/>
      <c r="M138" s="142"/>
      <c r="N138" s="134">
        <f t="shared" si="29"/>
        <v>0</v>
      </c>
      <c r="O138" s="145"/>
      <c r="P138" s="142"/>
      <c r="Q138" s="134">
        <f t="shared" si="30"/>
        <v>0</v>
      </c>
      <c r="R138" s="152"/>
      <c r="S138" s="162"/>
      <c r="T138" s="163"/>
      <c r="U138" s="137">
        <f t="shared" si="31"/>
        <v>0</v>
      </c>
      <c r="V138" s="138" t="e">
        <f t="shared" si="32"/>
        <v>#DIV/0!</v>
      </c>
    </row>
    <row r="139" spans="2:23" s="109" customFormat="1" ht="21.95" customHeight="1" outlineLevel="1">
      <c r="B139" s="148" t="str">
        <f>'CPU  1'!B139</f>
        <v>O05</v>
      </c>
      <c r="C139" s="156" t="str">
        <f>'CPU  1'!C139</f>
        <v>Seguro de Vida</v>
      </c>
      <c r="D139" s="157" t="str">
        <f>'CPU  1'!D139</f>
        <v>Vb/mês</v>
      </c>
      <c r="E139" s="158">
        <f>'CPU  1'!E139</f>
        <v>25</v>
      </c>
      <c r="F139" s="145"/>
      <c r="G139" s="142"/>
      <c r="H139" s="134">
        <f>G139*F139*$E139</f>
        <v>0</v>
      </c>
      <c r="I139" s="145"/>
      <c r="J139" s="142"/>
      <c r="K139" s="134">
        <f t="shared" si="28"/>
        <v>0</v>
      </c>
      <c r="L139" s="145"/>
      <c r="M139" s="142"/>
      <c r="N139" s="134">
        <f t="shared" si="29"/>
        <v>0</v>
      </c>
      <c r="O139" s="145"/>
      <c r="P139" s="142"/>
      <c r="Q139" s="134">
        <f t="shared" si="30"/>
        <v>0</v>
      </c>
      <c r="R139" s="152"/>
      <c r="S139" s="162"/>
      <c r="T139" s="163"/>
      <c r="U139" s="137">
        <f t="shared" si="31"/>
        <v>0</v>
      </c>
      <c r="V139" s="138" t="e">
        <f t="shared" si="32"/>
        <v>#DIV/0!</v>
      </c>
    </row>
    <row r="140" spans="2:23" s="109" customFormat="1" ht="21.95" customHeight="1" outlineLevel="1">
      <c r="B140" s="148" t="str">
        <f>'CPU  1'!B140</f>
        <v>O06</v>
      </c>
      <c r="C140" s="156" t="str">
        <f>'CPU  1'!C140</f>
        <v>Ticket Alimentação</v>
      </c>
      <c r="D140" s="157" t="str">
        <f>'CPU  1'!D140</f>
        <v>Vb/mês</v>
      </c>
      <c r="E140" s="158">
        <f>'CPU  1'!E140</f>
        <v>350</v>
      </c>
      <c r="F140" s="145"/>
      <c r="G140" s="142"/>
      <c r="H140" s="134">
        <f>G140*F140*$E140</f>
        <v>0</v>
      </c>
      <c r="I140" s="145"/>
      <c r="J140" s="142"/>
      <c r="K140" s="134">
        <f t="shared" si="28"/>
        <v>0</v>
      </c>
      <c r="L140" s="145"/>
      <c r="M140" s="142"/>
      <c r="N140" s="134">
        <f t="shared" si="29"/>
        <v>0</v>
      </c>
      <c r="O140" s="145"/>
      <c r="P140" s="142"/>
      <c r="Q140" s="134">
        <f t="shared" si="30"/>
        <v>0</v>
      </c>
      <c r="R140" s="152"/>
      <c r="S140" s="162"/>
      <c r="T140" s="163"/>
      <c r="U140" s="137">
        <f t="shared" si="31"/>
        <v>0</v>
      </c>
      <c r="V140" s="138" t="e">
        <f t="shared" si="32"/>
        <v>#DIV/0!</v>
      </c>
    </row>
    <row r="141" spans="2:23" s="109" customFormat="1" ht="21.95" customHeight="1" outlineLevel="1">
      <c r="B141" s="148" t="str">
        <f>'CPU  1'!B141</f>
        <v>O07</v>
      </c>
      <c r="C141" s="156" t="str">
        <f>'CPU  1'!C141</f>
        <v>PCMSO / PGR / PCA / PPR</v>
      </c>
      <c r="D141" s="157" t="str">
        <f>'CPU  1'!D141</f>
        <v>Vb/ano</v>
      </c>
      <c r="E141" s="158">
        <f>'CPU  1'!E141</f>
        <v>2300</v>
      </c>
      <c r="F141" s="145"/>
      <c r="G141" s="142"/>
      <c r="H141" s="134">
        <f t="shared" si="33"/>
        <v>0</v>
      </c>
      <c r="I141" s="145"/>
      <c r="J141" s="142"/>
      <c r="K141" s="134">
        <f t="shared" si="28"/>
        <v>0</v>
      </c>
      <c r="L141" s="145"/>
      <c r="M141" s="142"/>
      <c r="N141" s="134">
        <f t="shared" si="29"/>
        <v>0</v>
      </c>
      <c r="O141" s="145"/>
      <c r="P141" s="142"/>
      <c r="Q141" s="134">
        <f t="shared" si="30"/>
        <v>0</v>
      </c>
      <c r="R141" s="152"/>
      <c r="S141" s="162"/>
      <c r="T141" s="163"/>
      <c r="U141" s="137">
        <f t="shared" si="31"/>
        <v>0</v>
      </c>
      <c r="V141" s="138" t="e">
        <f t="shared" si="32"/>
        <v>#DIV/0!</v>
      </c>
    </row>
    <row r="142" spans="2:23" s="109" customFormat="1" ht="21.95" customHeight="1" outlineLevel="1">
      <c r="B142" s="148" t="str">
        <f>'CPU  1'!B142</f>
        <v>O08</v>
      </c>
      <c r="C142" s="156" t="str">
        <f>'CPU  1'!C142</f>
        <v>Quadros DDS e Gestão a vista</v>
      </c>
      <c r="D142" s="157" t="str">
        <f>'CPU  1'!D142</f>
        <v>Vb</v>
      </c>
      <c r="E142" s="158">
        <f>'CPU  1'!E142</f>
        <v>1200</v>
      </c>
      <c r="F142" s="145"/>
      <c r="G142" s="142"/>
      <c r="H142" s="134">
        <f t="shared" si="33"/>
        <v>0</v>
      </c>
      <c r="I142" s="145"/>
      <c r="J142" s="142"/>
      <c r="K142" s="134">
        <f t="shared" si="28"/>
        <v>0</v>
      </c>
      <c r="L142" s="145"/>
      <c r="M142" s="142"/>
      <c r="N142" s="134">
        <f t="shared" si="29"/>
        <v>0</v>
      </c>
      <c r="O142" s="145"/>
      <c r="P142" s="142"/>
      <c r="Q142" s="134">
        <f t="shared" si="30"/>
        <v>0</v>
      </c>
      <c r="R142" s="152"/>
      <c r="S142" s="162"/>
      <c r="T142" s="163"/>
      <c r="U142" s="137">
        <f t="shared" si="31"/>
        <v>0</v>
      </c>
      <c r="V142" s="138" t="e">
        <f t="shared" si="32"/>
        <v>#DIV/0!</v>
      </c>
    </row>
    <row r="143" spans="2:23" s="109" customFormat="1" ht="21.95" customHeight="1" outlineLevel="1">
      <c r="B143" s="148" t="str">
        <f>'CPU  1'!B143</f>
        <v>O09</v>
      </c>
      <c r="C143" s="156" t="str">
        <f>'CPU  1'!C143</f>
        <v>Seguro Obra</v>
      </c>
      <c r="D143" s="157" t="str">
        <f>'CPU  1'!D143</f>
        <v>Vb</v>
      </c>
      <c r="E143" s="158">
        <f>'CPU  1'!E143</f>
        <v>5000</v>
      </c>
      <c r="F143" s="145"/>
      <c r="G143" s="142"/>
      <c r="H143" s="134">
        <f t="shared" si="33"/>
        <v>0</v>
      </c>
      <c r="I143" s="145"/>
      <c r="J143" s="142"/>
      <c r="K143" s="134">
        <f t="shared" si="28"/>
        <v>0</v>
      </c>
      <c r="L143" s="145"/>
      <c r="M143" s="142"/>
      <c r="N143" s="134">
        <f t="shared" si="29"/>
        <v>0</v>
      </c>
      <c r="O143" s="145"/>
      <c r="P143" s="142"/>
      <c r="Q143" s="134">
        <f t="shared" si="30"/>
        <v>0</v>
      </c>
      <c r="R143" s="152"/>
      <c r="S143" s="162"/>
      <c r="T143" s="163"/>
      <c r="U143" s="137">
        <f t="shared" si="31"/>
        <v>0</v>
      </c>
      <c r="V143" s="138" t="e">
        <f t="shared" si="32"/>
        <v>#DIV/0!</v>
      </c>
    </row>
    <row r="144" spans="2:23" s="109" customFormat="1" ht="21.95" customHeight="1" outlineLevel="1">
      <c r="B144" s="148" t="str">
        <f>'CPU  1'!B144</f>
        <v>O10</v>
      </c>
      <c r="C144" s="156" t="str">
        <f>'CPU  1'!C144</f>
        <v>Fretes</v>
      </c>
      <c r="D144" s="157" t="str">
        <f>'CPU  1'!D144</f>
        <v>ud</v>
      </c>
      <c r="E144" s="158">
        <f>'CPU  1'!E144</f>
        <v>2800</v>
      </c>
      <c r="F144" s="145"/>
      <c r="G144" s="142"/>
      <c r="H144" s="134">
        <f t="shared" ref="H144:H152" si="34">G144*F144*$E144</f>
        <v>0</v>
      </c>
      <c r="I144" s="145"/>
      <c r="J144" s="142"/>
      <c r="K144" s="134">
        <f t="shared" si="28"/>
        <v>0</v>
      </c>
      <c r="L144" s="145"/>
      <c r="M144" s="142"/>
      <c r="N144" s="134">
        <f t="shared" si="29"/>
        <v>0</v>
      </c>
      <c r="O144" s="145"/>
      <c r="P144" s="142"/>
      <c r="Q144" s="134">
        <f t="shared" si="30"/>
        <v>0</v>
      </c>
      <c r="R144" s="152"/>
      <c r="S144" s="162"/>
      <c r="T144" s="163"/>
      <c r="U144" s="137">
        <f t="shared" si="31"/>
        <v>0</v>
      </c>
      <c r="V144" s="138" t="e">
        <f t="shared" si="32"/>
        <v>#DIV/0!</v>
      </c>
    </row>
    <row r="145" spans="2:22" s="109" customFormat="1" ht="21.95" customHeight="1" outlineLevel="1">
      <c r="B145" s="148" t="str">
        <f>'CPU  1'!B145</f>
        <v>O11</v>
      </c>
      <c r="C145" s="156" t="str">
        <f>'CPU  1'!C145</f>
        <v>Serviço de descarte de residuo</v>
      </c>
      <c r="D145" s="157" t="str">
        <f>'CPU  1'!D145</f>
        <v>coleta</v>
      </c>
      <c r="E145" s="158">
        <f>'CPU  1'!E145</f>
        <v>2000</v>
      </c>
      <c r="F145" s="145"/>
      <c r="G145" s="142"/>
      <c r="H145" s="134">
        <f t="shared" si="34"/>
        <v>0</v>
      </c>
      <c r="I145" s="145"/>
      <c r="J145" s="142"/>
      <c r="K145" s="134">
        <f t="shared" si="28"/>
        <v>0</v>
      </c>
      <c r="L145" s="145"/>
      <c r="M145" s="142"/>
      <c r="N145" s="134">
        <f t="shared" si="29"/>
        <v>0</v>
      </c>
      <c r="O145" s="145"/>
      <c r="P145" s="142"/>
      <c r="Q145" s="134">
        <f t="shared" si="30"/>
        <v>0</v>
      </c>
      <c r="R145" s="152"/>
      <c r="S145" s="162"/>
      <c r="T145" s="163"/>
      <c r="U145" s="137">
        <f t="shared" si="31"/>
        <v>0</v>
      </c>
      <c r="V145" s="138" t="e">
        <f t="shared" si="32"/>
        <v>#DIV/0!</v>
      </c>
    </row>
    <row r="146" spans="2:22" s="109" customFormat="1" ht="36" customHeight="1" outlineLevel="1">
      <c r="B146" s="148" t="str">
        <f>'CPU  1'!B146</f>
        <v>O12</v>
      </c>
      <c r="C146" s="156" t="str">
        <f>'CPU  1'!C146</f>
        <v>Serviço de movimentação do Banheiro Hidráulico</v>
      </c>
      <c r="D146" s="157" t="str">
        <f>'CPU  1'!D146</f>
        <v>vb</v>
      </c>
      <c r="E146" s="158">
        <f>'CPU  1'!E146</f>
        <v>200</v>
      </c>
      <c r="F146" s="145"/>
      <c r="G146" s="142"/>
      <c r="H146" s="134">
        <f t="shared" si="34"/>
        <v>0</v>
      </c>
      <c r="I146" s="145"/>
      <c r="J146" s="142"/>
      <c r="K146" s="134">
        <f t="shared" si="28"/>
        <v>0</v>
      </c>
      <c r="L146" s="145"/>
      <c r="M146" s="142"/>
      <c r="N146" s="134">
        <f t="shared" si="29"/>
        <v>0</v>
      </c>
      <c r="O146" s="145"/>
      <c r="P146" s="142"/>
      <c r="Q146" s="134">
        <f t="shared" si="30"/>
        <v>0</v>
      </c>
      <c r="R146" s="152"/>
      <c r="S146" s="162"/>
      <c r="T146" s="163"/>
      <c r="U146" s="137">
        <f t="shared" si="31"/>
        <v>0</v>
      </c>
      <c r="V146" s="138" t="e">
        <f t="shared" si="32"/>
        <v>#DIV/0!</v>
      </c>
    </row>
    <row r="147" spans="2:22" s="109" customFormat="1" ht="21.95" customHeight="1" outlineLevel="1">
      <c r="B147" s="148" t="str">
        <f>'CPU  1'!B147</f>
        <v>O13</v>
      </c>
      <c r="C147" s="156" t="str">
        <f>'CPU  1'!C147</f>
        <v>Segurança Patrimonial</v>
      </c>
      <c r="D147" s="157" t="str">
        <f>'CPU  1'!D147</f>
        <v>Vb/mês</v>
      </c>
      <c r="E147" s="158">
        <f>'CPU  1'!E147</f>
        <v>40000</v>
      </c>
      <c r="F147" s="145"/>
      <c r="G147" s="142"/>
      <c r="H147" s="134">
        <f t="shared" si="34"/>
        <v>0</v>
      </c>
      <c r="I147" s="145"/>
      <c r="J147" s="142"/>
      <c r="K147" s="134">
        <f t="shared" si="28"/>
        <v>0</v>
      </c>
      <c r="L147" s="145"/>
      <c r="M147" s="142"/>
      <c r="N147" s="134">
        <f t="shared" si="29"/>
        <v>0</v>
      </c>
      <c r="O147" s="145"/>
      <c r="P147" s="142"/>
      <c r="Q147" s="134">
        <f t="shared" si="30"/>
        <v>0</v>
      </c>
      <c r="R147" s="152"/>
      <c r="S147" s="162"/>
      <c r="T147" s="163"/>
      <c r="U147" s="137">
        <f t="shared" si="31"/>
        <v>0</v>
      </c>
      <c r="V147" s="138" t="e">
        <f t="shared" si="32"/>
        <v>#DIV/0!</v>
      </c>
    </row>
    <row r="148" spans="2:22" s="109" customFormat="1" ht="21.95" customHeight="1" outlineLevel="1">
      <c r="B148" s="148" t="str">
        <f>'CPU  1'!B148</f>
        <v>O14</v>
      </c>
      <c r="C148" s="156" t="str">
        <f>'CPU  1'!C148</f>
        <v>Solda exortémica</v>
      </c>
      <c r="D148" s="157" t="str">
        <f>'CPU  1'!D148</f>
        <v>vb</v>
      </c>
      <c r="E148" s="158">
        <f>'CPU  1'!E148</f>
        <v>455</v>
      </c>
      <c r="F148" s="145"/>
      <c r="G148" s="142"/>
      <c r="H148" s="134">
        <f t="shared" si="34"/>
        <v>0</v>
      </c>
      <c r="I148" s="145"/>
      <c r="J148" s="142"/>
      <c r="K148" s="134">
        <f t="shared" si="28"/>
        <v>0</v>
      </c>
      <c r="L148" s="145"/>
      <c r="M148" s="142"/>
      <c r="N148" s="134">
        <f t="shared" si="29"/>
        <v>0</v>
      </c>
      <c r="O148" s="145"/>
      <c r="P148" s="142"/>
      <c r="Q148" s="134">
        <f t="shared" si="30"/>
        <v>0</v>
      </c>
      <c r="R148" s="152"/>
      <c r="S148" s="162"/>
      <c r="T148" s="163"/>
      <c r="U148" s="137">
        <f t="shared" si="31"/>
        <v>0</v>
      </c>
      <c r="V148" s="138" t="e">
        <f t="shared" si="32"/>
        <v>#DIV/0!</v>
      </c>
    </row>
    <row r="149" spans="2:22" s="109" customFormat="1" ht="21.95" customHeight="1" outlineLevel="1">
      <c r="B149" s="148" t="str">
        <f>'CPU  1'!B149</f>
        <v>O15</v>
      </c>
      <c r="C149" s="156" t="str">
        <f>'CPU  1'!C149</f>
        <v>Material solda exotermica</v>
      </c>
      <c r="D149" s="157" t="str">
        <f>'CPU  1'!D149</f>
        <v>Unid</v>
      </c>
      <c r="E149" s="158">
        <f>'CPU  1'!E149</f>
        <v>60</v>
      </c>
      <c r="F149" s="145"/>
      <c r="G149" s="142"/>
      <c r="H149" s="134">
        <f t="shared" si="34"/>
        <v>0</v>
      </c>
      <c r="I149" s="145"/>
      <c r="J149" s="142"/>
      <c r="K149" s="134">
        <f t="shared" si="28"/>
        <v>0</v>
      </c>
      <c r="L149" s="145"/>
      <c r="M149" s="142"/>
      <c r="N149" s="134">
        <f t="shared" si="29"/>
        <v>0</v>
      </c>
      <c r="O149" s="145"/>
      <c r="P149" s="142"/>
      <c r="Q149" s="134">
        <f t="shared" si="30"/>
        <v>0</v>
      </c>
      <c r="R149" s="152"/>
      <c r="S149" s="162"/>
      <c r="T149" s="163"/>
      <c r="U149" s="137">
        <f t="shared" si="31"/>
        <v>0</v>
      </c>
      <c r="V149" s="138" t="e">
        <f t="shared" si="32"/>
        <v>#DIV/0!</v>
      </c>
    </row>
    <row r="150" spans="2:22" s="109" customFormat="1" ht="21.95" customHeight="1" outlineLevel="1">
      <c r="B150" s="148" t="str">
        <f>'CPU  1'!B150</f>
        <v>O16</v>
      </c>
      <c r="C150" s="156">
        <f>'CPU  1'!C150</f>
        <v>0</v>
      </c>
      <c r="D150" s="157">
        <f>'CPU  1'!D150</f>
        <v>0</v>
      </c>
      <c r="E150" s="158">
        <f>'CPU  1'!E150</f>
        <v>0</v>
      </c>
      <c r="F150" s="145"/>
      <c r="G150" s="142"/>
      <c r="H150" s="134">
        <f t="shared" si="34"/>
        <v>0</v>
      </c>
      <c r="I150" s="145"/>
      <c r="J150" s="142"/>
      <c r="K150" s="134">
        <f t="shared" si="28"/>
        <v>0</v>
      </c>
      <c r="L150" s="145"/>
      <c r="M150" s="142"/>
      <c r="N150" s="134">
        <f t="shared" si="29"/>
        <v>0</v>
      </c>
      <c r="O150" s="145"/>
      <c r="P150" s="142"/>
      <c r="Q150" s="134">
        <f t="shared" si="30"/>
        <v>0</v>
      </c>
      <c r="R150" s="152"/>
      <c r="S150" s="162"/>
      <c r="T150" s="163"/>
      <c r="U150" s="137">
        <f t="shared" si="31"/>
        <v>0</v>
      </c>
      <c r="V150" s="138" t="e">
        <f t="shared" si="32"/>
        <v>#DIV/0!</v>
      </c>
    </row>
    <row r="151" spans="2:22" s="109" customFormat="1" ht="21.95" customHeight="1" outlineLevel="1">
      <c r="B151" s="148" t="str">
        <f>'CPU  1'!B151</f>
        <v>O17</v>
      </c>
      <c r="C151" s="156">
        <f>'CPU  1'!C151</f>
        <v>0</v>
      </c>
      <c r="D151" s="157">
        <f>'CPU  1'!D151</f>
        <v>0</v>
      </c>
      <c r="E151" s="158">
        <f>'CPU  1'!E151</f>
        <v>0</v>
      </c>
      <c r="F151" s="145"/>
      <c r="G151" s="142"/>
      <c r="H151" s="134">
        <f t="shared" si="34"/>
        <v>0</v>
      </c>
      <c r="I151" s="145"/>
      <c r="J151" s="142"/>
      <c r="K151" s="134">
        <f t="shared" si="28"/>
        <v>0</v>
      </c>
      <c r="L151" s="145"/>
      <c r="M151" s="142"/>
      <c r="N151" s="134">
        <f t="shared" si="29"/>
        <v>0</v>
      </c>
      <c r="O151" s="145"/>
      <c r="P151" s="142"/>
      <c r="Q151" s="134">
        <f t="shared" si="30"/>
        <v>0</v>
      </c>
      <c r="R151" s="152"/>
      <c r="S151" s="162"/>
      <c r="T151" s="163"/>
      <c r="U151" s="137">
        <f t="shared" si="31"/>
        <v>0</v>
      </c>
      <c r="V151" s="138" t="e">
        <f t="shared" si="32"/>
        <v>#DIV/0!</v>
      </c>
    </row>
    <row r="152" spans="2:22" s="109" customFormat="1" ht="21.95" customHeight="1" outlineLevel="1">
      <c r="B152" s="148" t="str">
        <f>'CPU  1'!B152</f>
        <v>O18</v>
      </c>
      <c r="C152" s="156">
        <f>'CPU  1'!C152</f>
        <v>0</v>
      </c>
      <c r="D152" s="157">
        <f>'CPU  1'!D152</f>
        <v>0</v>
      </c>
      <c r="E152" s="158">
        <f>'CPU  1'!E152</f>
        <v>0</v>
      </c>
      <c r="F152" s="145"/>
      <c r="G152" s="142"/>
      <c r="H152" s="134">
        <f t="shared" si="34"/>
        <v>0</v>
      </c>
      <c r="I152" s="145"/>
      <c r="J152" s="142"/>
      <c r="K152" s="134">
        <f t="shared" si="28"/>
        <v>0</v>
      </c>
      <c r="L152" s="145"/>
      <c r="M152" s="142"/>
      <c r="N152" s="134">
        <f t="shared" si="29"/>
        <v>0</v>
      </c>
      <c r="O152" s="145"/>
      <c r="P152" s="142"/>
      <c r="Q152" s="134">
        <f t="shared" si="30"/>
        <v>0</v>
      </c>
      <c r="R152" s="152"/>
      <c r="S152" s="162"/>
      <c r="T152" s="163"/>
      <c r="U152" s="137">
        <f t="shared" si="31"/>
        <v>0</v>
      </c>
      <c r="V152" s="138" t="e">
        <f t="shared" si="32"/>
        <v>#DIV/0!</v>
      </c>
    </row>
    <row r="153" spans="2:22" s="109" customFormat="1" ht="21.95" customHeight="1" outlineLevel="1">
      <c r="B153" s="148" t="str">
        <f>'CPU  1'!B153</f>
        <v>O19</v>
      </c>
      <c r="C153" s="156">
        <f>'CPU  1'!C153</f>
        <v>0</v>
      </c>
      <c r="D153" s="157">
        <f>'CPU  1'!D153</f>
        <v>0</v>
      </c>
      <c r="E153" s="158">
        <f>'CPU  1'!E153</f>
        <v>0</v>
      </c>
      <c r="F153" s="145"/>
      <c r="G153" s="142"/>
      <c r="H153" s="134">
        <f>G153*F153*$E153</f>
        <v>0</v>
      </c>
      <c r="I153" s="145"/>
      <c r="J153" s="142"/>
      <c r="K153" s="134">
        <f t="shared" si="28"/>
        <v>0</v>
      </c>
      <c r="L153" s="145"/>
      <c r="M153" s="142"/>
      <c r="N153" s="134">
        <f t="shared" si="29"/>
        <v>0</v>
      </c>
      <c r="O153" s="145"/>
      <c r="P153" s="142"/>
      <c r="Q153" s="134">
        <f t="shared" si="30"/>
        <v>0</v>
      </c>
      <c r="R153" s="152"/>
      <c r="S153" s="162"/>
      <c r="T153" s="163"/>
      <c r="U153" s="137">
        <f t="shared" si="31"/>
        <v>0</v>
      </c>
      <c r="V153" s="138" t="e">
        <f t="shared" si="32"/>
        <v>#DIV/0!</v>
      </c>
    </row>
    <row r="154" spans="2:22" s="109" customFormat="1" ht="21.95" customHeight="1" outlineLevel="1" thickBot="1">
      <c r="B154" s="148" t="str">
        <f>'CPU  1'!B154</f>
        <v>O20</v>
      </c>
      <c r="C154" s="156">
        <f>'CPU  1'!C154</f>
        <v>0</v>
      </c>
      <c r="D154" s="157">
        <f>'CPU  1'!D154</f>
        <v>0</v>
      </c>
      <c r="E154" s="158">
        <f>'CPU  1'!E154</f>
        <v>0</v>
      </c>
      <c r="F154" s="145"/>
      <c r="G154" s="142"/>
      <c r="H154" s="134">
        <f>G154*F154*$E154</f>
        <v>0</v>
      </c>
      <c r="I154" s="145"/>
      <c r="J154" s="142"/>
      <c r="K154" s="134">
        <f t="shared" si="28"/>
        <v>0</v>
      </c>
      <c r="L154" s="145"/>
      <c r="M154" s="142"/>
      <c r="N154" s="134">
        <f t="shared" si="29"/>
        <v>0</v>
      </c>
      <c r="O154" s="145"/>
      <c r="P154" s="142"/>
      <c r="Q154" s="134">
        <f t="shared" si="30"/>
        <v>0</v>
      </c>
      <c r="R154" s="152"/>
      <c r="S154" s="162"/>
      <c r="T154" s="163"/>
      <c r="U154" s="137">
        <f t="shared" si="31"/>
        <v>0</v>
      </c>
      <c r="V154" s="138" t="e">
        <f t="shared" si="32"/>
        <v>#DIV/0!</v>
      </c>
    </row>
    <row r="155" spans="2:22" s="109" customFormat="1" ht="21.95" customHeight="1" thickBot="1">
      <c r="B155" s="694" t="s">
        <v>37</v>
      </c>
      <c r="C155" s="695"/>
      <c r="D155" s="695"/>
      <c r="E155" s="695" t="e">
        <f>SUM(#REF!)</f>
        <v>#REF!</v>
      </c>
      <c r="F155" s="263"/>
      <c r="G155" s="264"/>
      <c r="H155" s="265">
        <f>SUM(H135:H154)</f>
        <v>0</v>
      </c>
      <c r="I155" s="263"/>
      <c r="J155" s="264"/>
      <c r="K155" s="265">
        <f>SUM(K135:K154)</f>
        <v>0</v>
      </c>
      <c r="L155" s="263"/>
      <c r="M155" s="264"/>
      <c r="N155" s="265">
        <f>SUM(N135:N154)</f>
        <v>0</v>
      </c>
      <c r="O155" s="263"/>
      <c r="P155" s="264"/>
      <c r="Q155" s="265">
        <f>SUM(Q135:Q154)</f>
        <v>0</v>
      </c>
      <c r="R155" s="143"/>
      <c r="S155" s="263"/>
      <c r="T155" s="264"/>
      <c r="U155" s="265">
        <f>SUM(U135:U154)</f>
        <v>0</v>
      </c>
      <c r="V155" s="138"/>
    </row>
    <row r="156" spans="2:22" ht="11.25" customHeight="1" thickBot="1">
      <c r="B156" s="165"/>
      <c r="C156" s="166"/>
      <c r="D156" s="166"/>
      <c r="E156" s="165"/>
      <c r="F156" s="166"/>
      <c r="G156" s="166"/>
      <c r="H156" s="166"/>
      <c r="I156" s="166"/>
      <c r="J156" s="166"/>
      <c r="K156" s="166"/>
      <c r="L156" s="166"/>
      <c r="M156" s="166"/>
      <c r="N156" s="166"/>
      <c r="O156" s="166"/>
      <c r="P156" s="166"/>
      <c r="Q156" s="166"/>
      <c r="R156" s="115"/>
      <c r="S156" s="167"/>
      <c r="T156" s="167"/>
      <c r="U156" s="167"/>
    </row>
    <row r="157" spans="2:22" s="109" customFormat="1" ht="18" customHeight="1">
      <c r="B157" s="266" t="s">
        <v>4</v>
      </c>
      <c r="C157" s="696" t="s">
        <v>120</v>
      </c>
      <c r="D157" s="697"/>
      <c r="E157" s="267"/>
      <c r="F157" s="266"/>
      <c r="G157" s="268" t="s">
        <v>57</v>
      </c>
      <c r="H157" s="269" t="s">
        <v>50</v>
      </c>
      <c r="I157" s="266"/>
      <c r="J157" s="268" t="s">
        <v>57</v>
      </c>
      <c r="K157" s="269" t="s">
        <v>50</v>
      </c>
      <c r="L157" s="266"/>
      <c r="M157" s="268" t="s">
        <v>57</v>
      </c>
      <c r="N157" s="269" t="s">
        <v>50</v>
      </c>
      <c r="O157" s="266"/>
      <c r="P157" s="268" t="s">
        <v>57</v>
      </c>
      <c r="Q157" s="269" t="s">
        <v>50</v>
      </c>
      <c r="R157" s="124"/>
      <c r="S157" s="266"/>
      <c r="T157" s="268" t="s">
        <v>57</v>
      </c>
      <c r="U157" s="269" t="s">
        <v>50</v>
      </c>
      <c r="V157" s="108"/>
    </row>
    <row r="158" spans="2:22" s="109" customFormat="1" ht="18" customHeight="1">
      <c r="B158" s="168" t="s">
        <v>2</v>
      </c>
      <c r="C158" s="169" t="s">
        <v>38</v>
      </c>
      <c r="D158" s="170"/>
      <c r="E158" s="171"/>
      <c r="F158" s="172"/>
      <c r="G158" s="173" t="e">
        <f>H158/H162</f>
        <v>#DIV/0!</v>
      </c>
      <c r="H158" s="174">
        <f>H23</f>
        <v>0</v>
      </c>
      <c r="I158" s="172"/>
      <c r="J158" s="173" t="e">
        <f>K158/K162</f>
        <v>#DIV/0!</v>
      </c>
      <c r="K158" s="174">
        <f>K23</f>
        <v>0</v>
      </c>
      <c r="L158" s="172"/>
      <c r="M158" s="173" t="e">
        <f>N158/N162</f>
        <v>#DIV/0!</v>
      </c>
      <c r="N158" s="174">
        <f>N23</f>
        <v>0</v>
      </c>
      <c r="O158" s="172"/>
      <c r="P158" s="173" t="e">
        <f>Q158/Q162</f>
        <v>#DIV/0!</v>
      </c>
      <c r="Q158" s="174">
        <f>Q23</f>
        <v>0</v>
      </c>
      <c r="R158" s="152"/>
      <c r="S158" s="175"/>
      <c r="T158" s="176" t="e">
        <f>U158/U162</f>
        <v>#DIV/0!</v>
      </c>
      <c r="U158" s="177">
        <f>U23</f>
        <v>0</v>
      </c>
      <c r="V158" s="108"/>
    </row>
    <row r="159" spans="2:22" s="109" customFormat="1" ht="18" customHeight="1">
      <c r="B159" s="145" t="s">
        <v>1</v>
      </c>
      <c r="C159" s="178" t="s">
        <v>39</v>
      </c>
      <c r="D159" s="179"/>
      <c r="E159" s="180"/>
      <c r="F159" s="181"/>
      <c r="G159" s="182" t="e">
        <f>H159/H162</f>
        <v>#DIV/0!</v>
      </c>
      <c r="H159" s="134">
        <f>H80</f>
        <v>0</v>
      </c>
      <c r="I159" s="181"/>
      <c r="J159" s="182" t="e">
        <f>K159/K162</f>
        <v>#DIV/0!</v>
      </c>
      <c r="K159" s="134">
        <f>K80</f>
        <v>0</v>
      </c>
      <c r="L159" s="181"/>
      <c r="M159" s="182" t="e">
        <f>N159/N162</f>
        <v>#DIV/0!</v>
      </c>
      <c r="N159" s="134">
        <f>N80</f>
        <v>0</v>
      </c>
      <c r="O159" s="181"/>
      <c r="P159" s="182" t="e">
        <f>Q159/Q162</f>
        <v>#DIV/0!</v>
      </c>
      <c r="Q159" s="134">
        <f>Q80</f>
        <v>0</v>
      </c>
      <c r="R159" s="152"/>
      <c r="S159" s="183"/>
      <c r="T159" s="184" t="e">
        <f>U159/U162</f>
        <v>#DIV/0!</v>
      </c>
      <c r="U159" s="185">
        <f>U80</f>
        <v>0</v>
      </c>
      <c r="V159" s="108"/>
    </row>
    <row r="160" spans="2:22" s="109" customFormat="1" ht="18" customHeight="1">
      <c r="B160" s="145" t="s">
        <v>0</v>
      </c>
      <c r="C160" s="178" t="s">
        <v>40</v>
      </c>
      <c r="D160" s="179"/>
      <c r="E160" s="180"/>
      <c r="F160" s="181"/>
      <c r="G160" s="182" t="e">
        <f>H160/H162</f>
        <v>#DIV/0!</v>
      </c>
      <c r="H160" s="134">
        <f>H132</f>
        <v>0</v>
      </c>
      <c r="I160" s="181"/>
      <c r="J160" s="182" t="e">
        <f>K160/K162</f>
        <v>#DIV/0!</v>
      </c>
      <c r="K160" s="134">
        <f>K132</f>
        <v>0</v>
      </c>
      <c r="L160" s="181"/>
      <c r="M160" s="182" t="e">
        <f>N160/N162</f>
        <v>#DIV/0!</v>
      </c>
      <c r="N160" s="134">
        <f>N132</f>
        <v>0</v>
      </c>
      <c r="O160" s="181"/>
      <c r="P160" s="182" t="e">
        <f>Q160/Q162</f>
        <v>#DIV/0!</v>
      </c>
      <c r="Q160" s="134">
        <f>Q132</f>
        <v>0</v>
      </c>
      <c r="R160" s="152"/>
      <c r="S160" s="183"/>
      <c r="T160" s="184" t="e">
        <f>U160/U162</f>
        <v>#DIV/0!</v>
      </c>
      <c r="U160" s="185">
        <f>U132</f>
        <v>0</v>
      </c>
      <c r="V160" s="108"/>
    </row>
    <row r="161" spans="2:22" s="109" customFormat="1" ht="18" customHeight="1">
      <c r="B161" s="186" t="s">
        <v>3</v>
      </c>
      <c r="C161" s="187" t="s">
        <v>41</v>
      </c>
      <c r="D161" s="188"/>
      <c r="E161" s="189"/>
      <c r="F161" s="190"/>
      <c r="G161" s="191" t="e">
        <f>H161/H162</f>
        <v>#DIV/0!</v>
      </c>
      <c r="H161" s="192">
        <f>H155</f>
        <v>0</v>
      </c>
      <c r="I161" s="190"/>
      <c r="J161" s="191" t="e">
        <f>K161/K162</f>
        <v>#DIV/0!</v>
      </c>
      <c r="K161" s="192">
        <f>K155</f>
        <v>0</v>
      </c>
      <c r="L161" s="190"/>
      <c r="M161" s="191" t="e">
        <f>N161/N162</f>
        <v>#DIV/0!</v>
      </c>
      <c r="N161" s="192">
        <f>N155</f>
        <v>0</v>
      </c>
      <c r="O161" s="190"/>
      <c r="P161" s="191" t="e">
        <f>Q161/Q162</f>
        <v>#DIV/0!</v>
      </c>
      <c r="Q161" s="192">
        <f>Q155</f>
        <v>0</v>
      </c>
      <c r="R161" s="152"/>
      <c r="S161" s="193"/>
      <c r="T161" s="194" t="e">
        <f>U161/U162</f>
        <v>#DIV/0!</v>
      </c>
      <c r="U161" s="195">
        <f>U155</f>
        <v>0</v>
      </c>
      <c r="V161" s="108"/>
    </row>
    <row r="162" spans="2:22" s="109" customFormat="1" ht="18" customHeight="1" thickBot="1">
      <c r="B162" s="270"/>
      <c r="C162" s="271" t="s">
        <v>42</v>
      </c>
      <c r="D162" s="272"/>
      <c r="E162" s="273">
        <f>SUM(E158:E161)</f>
        <v>0</v>
      </c>
      <c r="F162" s="274"/>
      <c r="G162" s="275" t="e">
        <f>SUM(G158:G161)</f>
        <v>#DIV/0!</v>
      </c>
      <c r="H162" s="276">
        <f>SUM(H158:H161)</f>
        <v>0</v>
      </c>
      <c r="I162" s="274"/>
      <c r="J162" s="275" t="e">
        <f>SUM(J158:J161)</f>
        <v>#DIV/0!</v>
      </c>
      <c r="K162" s="276">
        <f>SUM(K158:K161)</f>
        <v>0</v>
      </c>
      <c r="L162" s="274"/>
      <c r="M162" s="275" t="e">
        <f>SUM(M158:M161)</f>
        <v>#DIV/0!</v>
      </c>
      <c r="N162" s="276">
        <f>SUM(N158:N161)</f>
        <v>0</v>
      </c>
      <c r="O162" s="274"/>
      <c r="P162" s="275" t="e">
        <f>SUM(P158:P161)</f>
        <v>#DIV/0!</v>
      </c>
      <c r="Q162" s="276">
        <f>SUM(Q158:Q161)</f>
        <v>0</v>
      </c>
      <c r="R162" s="124"/>
      <c r="S162" s="277"/>
      <c r="T162" s="278" t="e">
        <f>SUM(T158:T161)</f>
        <v>#DIV/0!</v>
      </c>
      <c r="U162" s="279">
        <f>SUM(U158:U161)</f>
        <v>0</v>
      </c>
      <c r="V162" s="108"/>
    </row>
    <row r="163" spans="2:22" s="109" customFormat="1" ht="18" customHeight="1" thickBot="1">
      <c r="B163" s="196"/>
      <c r="C163" s="698"/>
      <c r="D163" s="698"/>
      <c r="E163" s="698"/>
      <c r="F163" s="698"/>
      <c r="G163" s="698"/>
      <c r="H163" s="698"/>
      <c r="I163" s="698"/>
      <c r="J163" s="698"/>
      <c r="K163" s="698"/>
      <c r="L163" s="698"/>
      <c r="M163" s="698"/>
      <c r="N163" s="698"/>
      <c r="O163" s="698"/>
      <c r="P163" s="698"/>
      <c r="Q163" s="698"/>
      <c r="R163" s="124"/>
      <c r="S163" s="692"/>
      <c r="T163" s="692"/>
      <c r="U163" s="692"/>
      <c r="V163" s="108"/>
    </row>
    <row r="164" spans="2:22" s="109" customFormat="1" ht="18" customHeight="1">
      <c r="B164" s="274" t="s">
        <v>4</v>
      </c>
      <c r="C164" s="688" t="s">
        <v>119</v>
      </c>
      <c r="D164" s="689"/>
      <c r="E164" s="273" t="s">
        <v>8</v>
      </c>
      <c r="F164" s="274"/>
      <c r="G164" s="275"/>
      <c r="H164" s="276" t="s">
        <v>50</v>
      </c>
      <c r="I164" s="274"/>
      <c r="J164" s="275"/>
      <c r="K164" s="276" t="s">
        <v>50</v>
      </c>
      <c r="L164" s="274"/>
      <c r="M164" s="275"/>
      <c r="N164" s="276" t="s">
        <v>50</v>
      </c>
      <c r="O164" s="274"/>
      <c r="P164" s="275"/>
      <c r="Q164" s="276" t="s">
        <v>50</v>
      </c>
      <c r="R164" s="124"/>
      <c r="S164" s="266"/>
      <c r="T164" s="268"/>
      <c r="U164" s="269" t="s">
        <v>50</v>
      </c>
      <c r="V164" s="108"/>
    </row>
    <row r="165" spans="2:22" s="109" customFormat="1" ht="18" customHeight="1">
      <c r="B165" s="197">
        <v>1</v>
      </c>
      <c r="C165" s="198" t="s">
        <v>7</v>
      </c>
      <c r="D165" s="199"/>
      <c r="E165" s="200">
        <f>'BDI-TRIBUTOS'!D8</f>
        <v>0.09</v>
      </c>
      <c r="F165" s="201"/>
      <c r="G165" s="202"/>
      <c r="H165" s="203">
        <f>H162*$E$165</f>
        <v>0</v>
      </c>
      <c r="I165" s="201"/>
      <c r="J165" s="202"/>
      <c r="K165" s="203">
        <f>K162*$E$165</f>
        <v>0</v>
      </c>
      <c r="L165" s="201"/>
      <c r="M165" s="202"/>
      <c r="N165" s="203">
        <f>N162*$E$165</f>
        <v>0</v>
      </c>
      <c r="O165" s="201"/>
      <c r="P165" s="202"/>
      <c r="Q165" s="203">
        <f>Q162*$E$165</f>
        <v>0</v>
      </c>
      <c r="R165" s="143"/>
      <c r="S165" s="204"/>
      <c r="T165" s="205"/>
      <c r="U165" s="206">
        <f>U162*$E$165</f>
        <v>0</v>
      </c>
      <c r="V165" s="108"/>
    </row>
    <row r="166" spans="2:22" s="109" customFormat="1" ht="18" customHeight="1">
      <c r="B166" s="207">
        <v>2</v>
      </c>
      <c r="C166" s="208" t="s">
        <v>51</v>
      </c>
      <c r="D166" s="209"/>
      <c r="E166" s="210">
        <f>'BDI-TRIBUTOS'!D6</f>
        <v>0.06</v>
      </c>
      <c r="F166" s="211"/>
      <c r="G166" s="212"/>
      <c r="H166" s="213">
        <f>H162*$E$166</f>
        <v>0</v>
      </c>
      <c r="I166" s="211"/>
      <c r="J166" s="212"/>
      <c r="K166" s="213">
        <f>K162*$E$166</f>
        <v>0</v>
      </c>
      <c r="L166" s="211"/>
      <c r="M166" s="212"/>
      <c r="N166" s="213">
        <f>N162*$E$166</f>
        <v>0</v>
      </c>
      <c r="O166" s="211"/>
      <c r="P166" s="212"/>
      <c r="Q166" s="213">
        <f>Q162*$E$166</f>
        <v>0</v>
      </c>
      <c r="R166" s="143"/>
      <c r="S166" s="214"/>
      <c r="T166" s="215"/>
      <c r="U166" s="216">
        <f>U162*$E$166</f>
        <v>0</v>
      </c>
      <c r="V166" s="108"/>
    </row>
    <row r="167" spans="2:22" s="109" customFormat="1" ht="18" customHeight="1">
      <c r="B167" s="207">
        <v>3</v>
      </c>
      <c r="C167" s="208" t="s">
        <v>137</v>
      </c>
      <c r="D167" s="209"/>
      <c r="E167" s="210">
        <f>'BDI-TRIBUTOS'!D10</f>
        <v>3.5000000000000003E-2</v>
      </c>
      <c r="F167" s="211"/>
      <c r="G167" s="212"/>
      <c r="H167" s="213">
        <f>H162*$E$167</f>
        <v>0</v>
      </c>
      <c r="I167" s="211"/>
      <c r="J167" s="212"/>
      <c r="K167" s="213">
        <f>K162*$E$167</f>
        <v>0</v>
      </c>
      <c r="L167" s="211"/>
      <c r="M167" s="212"/>
      <c r="N167" s="213">
        <f>N162*$E$167</f>
        <v>0</v>
      </c>
      <c r="O167" s="211"/>
      <c r="P167" s="212"/>
      <c r="Q167" s="213">
        <f>Q162*$E$167</f>
        <v>0</v>
      </c>
      <c r="R167" s="143"/>
      <c r="S167" s="214"/>
      <c r="T167" s="215"/>
      <c r="U167" s="216">
        <f>U162*$E$167</f>
        <v>0</v>
      </c>
      <c r="V167" s="108"/>
    </row>
    <row r="168" spans="2:22" s="109" customFormat="1" ht="18" customHeight="1">
      <c r="B168" s="207">
        <v>4</v>
      </c>
      <c r="C168" s="208" t="s">
        <v>52</v>
      </c>
      <c r="D168" s="209"/>
      <c r="E168" s="210">
        <f>'BDI-TRIBUTOS'!D12</f>
        <v>0.02</v>
      </c>
      <c r="F168" s="211"/>
      <c r="G168" s="212"/>
      <c r="H168" s="213">
        <f>H162*$E$168</f>
        <v>0</v>
      </c>
      <c r="I168" s="211"/>
      <c r="J168" s="212"/>
      <c r="K168" s="213">
        <f>K162*$E$168</f>
        <v>0</v>
      </c>
      <c r="L168" s="211"/>
      <c r="M168" s="212"/>
      <c r="N168" s="213">
        <f>N162*$E$168</f>
        <v>0</v>
      </c>
      <c r="O168" s="211"/>
      <c r="P168" s="212"/>
      <c r="Q168" s="213">
        <f>Q162*$E$168</f>
        <v>0</v>
      </c>
      <c r="R168" s="143"/>
      <c r="S168" s="214"/>
      <c r="T168" s="215"/>
      <c r="U168" s="216">
        <f>U162*$E$168</f>
        <v>0</v>
      </c>
      <c r="V168" s="108"/>
    </row>
    <row r="169" spans="2:22" s="109" customFormat="1" ht="18" customHeight="1">
      <c r="B169" s="207">
        <v>5</v>
      </c>
      <c r="C169" s="217" t="s">
        <v>41</v>
      </c>
      <c r="D169" s="218"/>
      <c r="E169" s="210">
        <f>'BDI-TRIBUTOS'!D14</f>
        <v>0.01</v>
      </c>
      <c r="F169" s="219"/>
      <c r="G169" s="220"/>
      <c r="H169" s="221">
        <f>H162*$E$169</f>
        <v>0</v>
      </c>
      <c r="I169" s="219"/>
      <c r="J169" s="220"/>
      <c r="K169" s="221">
        <f>K162*$E$169</f>
        <v>0</v>
      </c>
      <c r="L169" s="219"/>
      <c r="M169" s="220"/>
      <c r="N169" s="221">
        <f>N162*$E$169</f>
        <v>0</v>
      </c>
      <c r="O169" s="219"/>
      <c r="P169" s="220"/>
      <c r="Q169" s="221">
        <f>Q162*$E$169</f>
        <v>0</v>
      </c>
      <c r="R169" s="143"/>
      <c r="S169" s="222"/>
      <c r="T169" s="223"/>
      <c r="U169" s="224">
        <f>U162*$E$169</f>
        <v>0</v>
      </c>
      <c r="V169" s="108"/>
    </row>
    <row r="170" spans="2:22" s="109" customFormat="1" ht="18" customHeight="1">
      <c r="B170" s="207">
        <v>6</v>
      </c>
      <c r="C170" s="225" t="s">
        <v>53</v>
      </c>
      <c r="D170" s="226"/>
      <c r="E170" s="227">
        <f>'BDI-TRIBUTOS'!D4</f>
        <v>0.1</v>
      </c>
      <c r="F170" s="228"/>
      <c r="G170" s="229"/>
      <c r="H170" s="230">
        <f>H182*$E$170</f>
        <v>0</v>
      </c>
      <c r="I170" s="228"/>
      <c r="J170" s="229"/>
      <c r="K170" s="230">
        <f>K182*$E$170</f>
        <v>0</v>
      </c>
      <c r="L170" s="228"/>
      <c r="M170" s="229"/>
      <c r="N170" s="230">
        <f>N182*$E$170</f>
        <v>0</v>
      </c>
      <c r="O170" s="228"/>
      <c r="P170" s="229"/>
      <c r="Q170" s="230">
        <f>Q182*$E$170</f>
        <v>0</v>
      </c>
      <c r="R170" s="143"/>
      <c r="S170" s="231"/>
      <c r="T170" s="232"/>
      <c r="U170" s="233">
        <f>U182*$E$170</f>
        <v>0</v>
      </c>
      <c r="V170" s="108"/>
    </row>
    <row r="171" spans="2:22" s="109" customFormat="1" ht="18" customHeight="1" thickBot="1">
      <c r="B171" s="270"/>
      <c r="C171" s="271" t="s">
        <v>43</v>
      </c>
      <c r="D171" s="272"/>
      <c r="E171" s="280">
        <f>SUM(E165:E170)</f>
        <v>0.315</v>
      </c>
      <c r="F171" s="281"/>
      <c r="G171" s="282">
        <f>SUM(H165:H169)+H162</f>
        <v>0</v>
      </c>
      <c r="H171" s="276">
        <f>SUM(H165:H170)</f>
        <v>0</v>
      </c>
      <c r="I171" s="281"/>
      <c r="J171" s="282">
        <f>SUM(K165:K169)+K162</f>
        <v>0</v>
      </c>
      <c r="K171" s="276">
        <f>SUM(K165:K170)</f>
        <v>0</v>
      </c>
      <c r="L171" s="281"/>
      <c r="M171" s="282">
        <f>SUM(N165:N169)+N162</f>
        <v>0</v>
      </c>
      <c r="N171" s="276">
        <f>SUM(N165:N170)</f>
        <v>0</v>
      </c>
      <c r="O171" s="281"/>
      <c r="P171" s="282">
        <f>SUM(Q165:Q169)+Q162</f>
        <v>0</v>
      </c>
      <c r="Q171" s="276">
        <f>SUM(Q165:Q170)</f>
        <v>0</v>
      </c>
      <c r="R171" s="124"/>
      <c r="S171" s="283"/>
      <c r="T171" s="284">
        <f>SUM(U165:U169)+U162</f>
        <v>0</v>
      </c>
      <c r="U171" s="279">
        <f>SUM(U165:U170)</f>
        <v>0</v>
      </c>
      <c r="V171" s="108"/>
    </row>
    <row r="172" spans="2:22" s="109" customFormat="1" ht="18" customHeight="1" thickBot="1">
      <c r="B172" s="196"/>
      <c r="C172" s="234"/>
      <c r="D172" s="235"/>
      <c r="E172" s="236"/>
      <c r="F172" s="746" t="e">
        <f>H171/H162</f>
        <v>#DIV/0!</v>
      </c>
      <c r="G172" s="746"/>
      <c r="H172" s="746"/>
      <c r="I172" s="746" t="e">
        <f>K171/K162</f>
        <v>#DIV/0!</v>
      </c>
      <c r="J172" s="746"/>
      <c r="K172" s="746"/>
      <c r="L172" s="746" t="e">
        <f>N171/N162</f>
        <v>#DIV/0!</v>
      </c>
      <c r="M172" s="746"/>
      <c r="N172" s="746"/>
      <c r="O172" s="746" t="e">
        <f>Q171/Q162</f>
        <v>#DIV/0!</v>
      </c>
      <c r="P172" s="746"/>
      <c r="Q172" s="746"/>
      <c r="R172" s="237"/>
      <c r="S172" s="693" t="e">
        <f>U171/U162</f>
        <v>#DIV/0!</v>
      </c>
      <c r="T172" s="693"/>
      <c r="U172" s="693"/>
      <c r="V172" s="108"/>
    </row>
    <row r="173" spans="2:22" s="109" customFormat="1" ht="18" customHeight="1">
      <c r="B173" s="274" t="s">
        <v>4</v>
      </c>
      <c r="C173" s="688" t="s">
        <v>23</v>
      </c>
      <c r="D173" s="689"/>
      <c r="E173" s="273" t="s">
        <v>8</v>
      </c>
      <c r="F173" s="274"/>
      <c r="G173" s="275"/>
      <c r="H173" s="276" t="s">
        <v>50</v>
      </c>
      <c r="I173" s="274"/>
      <c r="J173" s="275"/>
      <c r="K173" s="276" t="s">
        <v>50</v>
      </c>
      <c r="L173" s="274"/>
      <c r="M173" s="275"/>
      <c r="N173" s="276" t="s">
        <v>50</v>
      </c>
      <c r="O173" s="274"/>
      <c r="P173" s="275"/>
      <c r="Q173" s="276" t="s">
        <v>50</v>
      </c>
      <c r="R173" s="124"/>
      <c r="S173" s="266"/>
      <c r="T173" s="268"/>
      <c r="U173" s="269" t="s">
        <v>50</v>
      </c>
      <c r="V173" s="108"/>
    </row>
    <row r="174" spans="2:22" s="109" customFormat="1" ht="18" customHeight="1">
      <c r="B174" s="197">
        <v>1</v>
      </c>
      <c r="C174" s="198" t="s">
        <v>54</v>
      </c>
      <c r="D174" s="199"/>
      <c r="E174" s="200">
        <f>'BDI-TRIBUTOS'!D20</f>
        <v>0.05</v>
      </c>
      <c r="F174" s="238"/>
      <c r="G174" s="239"/>
      <c r="H174" s="203">
        <f t="shared" ref="H174:H179" si="35">H$182*$E174</f>
        <v>0</v>
      </c>
      <c r="I174" s="238"/>
      <c r="J174" s="239"/>
      <c r="K174" s="203">
        <f t="shared" ref="K174:K179" si="36">K$182*$E174</f>
        <v>0</v>
      </c>
      <c r="L174" s="238"/>
      <c r="M174" s="239"/>
      <c r="N174" s="203">
        <f t="shared" ref="N174:N179" si="37">N$182*$E174</f>
        <v>0</v>
      </c>
      <c r="O174" s="238"/>
      <c r="P174" s="239"/>
      <c r="Q174" s="203">
        <f t="shared" ref="Q174:Q179" si="38">Q$182*$E174</f>
        <v>0</v>
      </c>
      <c r="R174" s="143"/>
      <c r="S174" s="240"/>
      <c r="T174" s="241"/>
      <c r="U174" s="206">
        <f t="shared" ref="U174:U179" si="39">$U$182*E174</f>
        <v>0</v>
      </c>
      <c r="V174" s="108"/>
    </row>
    <row r="175" spans="2:22" s="109" customFormat="1" ht="18" customHeight="1">
      <c r="B175" s="207">
        <v>2</v>
      </c>
      <c r="C175" s="208" t="s">
        <v>24</v>
      </c>
      <c r="D175" s="209"/>
      <c r="E175" s="210">
        <f>'BDI-TRIBUTOS'!D21</f>
        <v>0.03</v>
      </c>
      <c r="F175" s="242"/>
      <c r="G175" s="243"/>
      <c r="H175" s="213">
        <f t="shared" si="35"/>
        <v>0</v>
      </c>
      <c r="I175" s="242"/>
      <c r="J175" s="243"/>
      <c r="K175" s="213">
        <f t="shared" si="36"/>
        <v>0</v>
      </c>
      <c r="L175" s="242"/>
      <c r="M175" s="243"/>
      <c r="N175" s="213">
        <f t="shared" si="37"/>
        <v>0</v>
      </c>
      <c r="O175" s="242"/>
      <c r="P175" s="243"/>
      <c r="Q175" s="213">
        <f t="shared" si="38"/>
        <v>0</v>
      </c>
      <c r="R175" s="143"/>
      <c r="S175" s="244"/>
      <c r="T175" s="245"/>
      <c r="U175" s="216">
        <f t="shared" si="39"/>
        <v>0</v>
      </c>
      <c r="V175" s="108"/>
    </row>
    <row r="176" spans="2:22" s="109" customFormat="1" ht="18" customHeight="1">
      <c r="B176" s="207">
        <v>3</v>
      </c>
      <c r="C176" s="208" t="s">
        <v>25</v>
      </c>
      <c r="D176" s="209"/>
      <c r="E176" s="210">
        <f>'BDI-TRIBUTOS'!D22</f>
        <v>6.4999999999999997E-3</v>
      </c>
      <c r="F176" s="242"/>
      <c r="G176" s="243"/>
      <c r="H176" s="213">
        <f t="shared" si="35"/>
        <v>0</v>
      </c>
      <c r="I176" s="242"/>
      <c r="J176" s="243"/>
      <c r="K176" s="213">
        <f t="shared" si="36"/>
        <v>0</v>
      </c>
      <c r="L176" s="242"/>
      <c r="M176" s="243"/>
      <c r="N176" s="213">
        <f t="shared" si="37"/>
        <v>0</v>
      </c>
      <c r="O176" s="242"/>
      <c r="P176" s="243"/>
      <c r="Q176" s="213">
        <f t="shared" si="38"/>
        <v>0</v>
      </c>
      <c r="R176" s="143"/>
      <c r="S176" s="244"/>
      <c r="T176" s="245"/>
      <c r="U176" s="216">
        <f t="shared" si="39"/>
        <v>0</v>
      </c>
      <c r="V176" s="108"/>
    </row>
    <row r="177" spans="2:22" s="109" customFormat="1" ht="18" customHeight="1">
      <c r="B177" s="207">
        <v>4</v>
      </c>
      <c r="C177" s="208" t="s">
        <v>26</v>
      </c>
      <c r="D177" s="209"/>
      <c r="E177" s="210">
        <f>'BDI-TRIBUTOS'!D23</f>
        <v>2.8799999999999999E-2</v>
      </c>
      <c r="F177" s="242"/>
      <c r="G177" s="243"/>
      <c r="H177" s="213">
        <f t="shared" si="35"/>
        <v>0</v>
      </c>
      <c r="I177" s="242"/>
      <c r="J177" s="243"/>
      <c r="K177" s="213">
        <f t="shared" si="36"/>
        <v>0</v>
      </c>
      <c r="L177" s="242"/>
      <c r="M177" s="243"/>
      <c r="N177" s="213">
        <f t="shared" si="37"/>
        <v>0</v>
      </c>
      <c r="O177" s="242"/>
      <c r="P177" s="243"/>
      <c r="Q177" s="213">
        <f t="shared" si="38"/>
        <v>0</v>
      </c>
      <c r="R177" s="143"/>
      <c r="S177" s="244"/>
      <c r="T177" s="245"/>
      <c r="U177" s="216">
        <f t="shared" si="39"/>
        <v>0</v>
      </c>
      <c r="V177" s="108"/>
    </row>
    <row r="178" spans="2:22" s="109" customFormat="1" ht="18" customHeight="1">
      <c r="B178" s="207">
        <v>5</v>
      </c>
      <c r="C178" s="208" t="s">
        <v>27</v>
      </c>
      <c r="D178" s="209"/>
      <c r="E178" s="210">
        <f>'BDI-TRIBUTOS'!D24</f>
        <v>4.8000000000000001E-2</v>
      </c>
      <c r="F178" s="242"/>
      <c r="G178" s="243"/>
      <c r="H178" s="213">
        <f t="shared" si="35"/>
        <v>0</v>
      </c>
      <c r="I178" s="242"/>
      <c r="J178" s="243"/>
      <c r="K178" s="213">
        <f t="shared" si="36"/>
        <v>0</v>
      </c>
      <c r="L178" s="242"/>
      <c r="M178" s="243"/>
      <c r="N178" s="213">
        <f t="shared" si="37"/>
        <v>0</v>
      </c>
      <c r="O178" s="242"/>
      <c r="P178" s="243"/>
      <c r="Q178" s="213">
        <f t="shared" si="38"/>
        <v>0</v>
      </c>
      <c r="R178" s="143"/>
      <c r="S178" s="244"/>
      <c r="T178" s="245"/>
      <c r="U178" s="224">
        <f t="shared" si="39"/>
        <v>0</v>
      </c>
      <c r="V178" s="108"/>
    </row>
    <row r="179" spans="2:22" s="109" customFormat="1" ht="18" customHeight="1">
      <c r="B179" s="207">
        <v>6</v>
      </c>
      <c r="C179" s="208" t="s">
        <v>138</v>
      </c>
      <c r="D179" s="209"/>
      <c r="E179" s="210">
        <f>'BDI-TRIBUTOS'!D25</f>
        <v>3.1800000000000002E-2</v>
      </c>
      <c r="F179" s="242"/>
      <c r="G179" s="243"/>
      <c r="H179" s="213">
        <f t="shared" si="35"/>
        <v>0</v>
      </c>
      <c r="I179" s="242"/>
      <c r="J179" s="243"/>
      <c r="K179" s="213">
        <f t="shared" si="36"/>
        <v>0</v>
      </c>
      <c r="L179" s="242"/>
      <c r="M179" s="243"/>
      <c r="N179" s="213">
        <f t="shared" si="37"/>
        <v>0</v>
      </c>
      <c r="O179" s="242"/>
      <c r="P179" s="243"/>
      <c r="Q179" s="213">
        <f t="shared" si="38"/>
        <v>0</v>
      </c>
      <c r="R179" s="143"/>
      <c r="S179" s="244"/>
      <c r="T179" s="245"/>
      <c r="U179" s="224">
        <f t="shared" si="39"/>
        <v>0</v>
      </c>
      <c r="V179" s="108"/>
    </row>
    <row r="180" spans="2:22" s="109" customFormat="1" ht="18" customHeight="1">
      <c r="B180" s="246">
        <v>7</v>
      </c>
      <c r="C180" s="225" t="s">
        <v>56</v>
      </c>
      <c r="D180" s="226"/>
      <c r="E180" s="210">
        <f>'BDI-TRIBUTOS'!D26</f>
        <v>0</v>
      </c>
      <c r="F180" s="247"/>
      <c r="G180" s="248"/>
      <c r="H180" s="230"/>
      <c r="I180" s="247"/>
      <c r="J180" s="248"/>
      <c r="K180" s="230"/>
      <c r="L180" s="247"/>
      <c r="M180" s="248"/>
      <c r="N180" s="230"/>
      <c r="O180" s="247"/>
      <c r="P180" s="248"/>
      <c r="Q180" s="230"/>
      <c r="R180" s="143"/>
      <c r="S180" s="249"/>
      <c r="T180" s="250"/>
      <c r="U180" s="224"/>
      <c r="V180" s="108"/>
    </row>
    <row r="181" spans="2:22" s="109" customFormat="1" ht="18" customHeight="1">
      <c r="B181" s="270"/>
      <c r="C181" s="271" t="s">
        <v>55</v>
      </c>
      <c r="D181" s="272"/>
      <c r="E181" s="280">
        <f>SUM(E174:E180)</f>
        <v>0.1951</v>
      </c>
      <c r="F181" s="281"/>
      <c r="G181" s="285"/>
      <c r="H181" s="276">
        <f>H182*$E$181</f>
        <v>0</v>
      </c>
      <c r="I181" s="281"/>
      <c r="J181" s="285"/>
      <c r="K181" s="276">
        <f>K182*$E$181</f>
        <v>0</v>
      </c>
      <c r="L181" s="281"/>
      <c r="M181" s="285"/>
      <c r="N181" s="276">
        <f>N182*$E$181</f>
        <v>0</v>
      </c>
      <c r="O181" s="281"/>
      <c r="P181" s="285"/>
      <c r="Q181" s="276">
        <f>Q182*$E$181</f>
        <v>0</v>
      </c>
      <c r="R181" s="124"/>
      <c r="S181" s="286"/>
      <c r="T181" s="287"/>
      <c r="U181" s="276">
        <f>U182*$E$181</f>
        <v>0</v>
      </c>
      <c r="V181" s="108"/>
    </row>
    <row r="182" spans="2:22" s="109" customFormat="1" ht="27" customHeight="1" thickBot="1">
      <c r="B182" s="288"/>
      <c r="C182" s="690" t="s">
        <v>121</v>
      </c>
      <c r="D182" s="690"/>
      <c r="E182" s="690"/>
      <c r="F182" s="289">
        <f>ROUND(H182,2)</f>
        <v>0</v>
      </c>
      <c r="G182" s="290"/>
      <c r="H182" s="291">
        <f>G171/(1-$E$181-$E$170)</f>
        <v>0</v>
      </c>
      <c r="I182" s="289">
        <f>ROUND(K182,2)</f>
        <v>0</v>
      </c>
      <c r="J182" s="290"/>
      <c r="K182" s="291">
        <f>J171/(1-$E$181-$E$170)</f>
        <v>0</v>
      </c>
      <c r="L182" s="289">
        <f>ROUND(N182,2)</f>
        <v>0</v>
      </c>
      <c r="M182" s="290"/>
      <c r="N182" s="291">
        <f>M171/(1-$E$181-$E$170)</f>
        <v>0</v>
      </c>
      <c r="O182" s="289">
        <f>ROUND(Q182,2)</f>
        <v>0</v>
      </c>
      <c r="P182" s="290"/>
      <c r="Q182" s="291">
        <f>P171/(1-$E$181-$E$170)</f>
        <v>0</v>
      </c>
      <c r="R182" s="292"/>
      <c r="S182" s="293"/>
      <c r="T182" s="294"/>
      <c r="U182" s="295">
        <f>T171/(1-$E$181-$E$170)</f>
        <v>0</v>
      </c>
      <c r="V182" s="108"/>
    </row>
    <row r="183" spans="2:22" s="251" customFormat="1" ht="20.25" customHeight="1">
      <c r="C183" s="747"/>
      <c r="D183" s="747"/>
      <c r="E183" s="747"/>
      <c r="F183" s="252"/>
      <c r="G183" s="252"/>
      <c r="H183" s="253" t="e">
        <f>H182/H162</f>
        <v>#DIV/0!</v>
      </c>
      <c r="I183" s="252"/>
      <c r="J183" s="252"/>
      <c r="K183" s="253" t="e">
        <f>K182/K162</f>
        <v>#DIV/0!</v>
      </c>
      <c r="L183" s="252"/>
      <c r="M183" s="252"/>
      <c r="N183" s="253" t="e">
        <f>N182/N162</f>
        <v>#DIV/0!</v>
      </c>
      <c r="O183" s="252"/>
      <c r="P183" s="252"/>
      <c r="Q183" s="253" t="e">
        <f>Q182/Q162</f>
        <v>#DIV/0!</v>
      </c>
      <c r="R183" s="253"/>
      <c r="S183" s="253"/>
      <c r="T183" s="253"/>
      <c r="U183" s="253" t="e">
        <f>U182/U162</f>
        <v>#DIV/0!</v>
      </c>
      <c r="V183" s="254"/>
    </row>
    <row r="184" spans="2:22" s="255" customFormat="1" ht="18" customHeight="1">
      <c r="S184" s="256"/>
      <c r="T184" s="256"/>
      <c r="U184" s="256"/>
      <c r="V184" s="257"/>
    </row>
    <row r="185" spans="2:22" s="255" customFormat="1" ht="18" customHeight="1">
      <c r="S185" s="256"/>
      <c r="T185" s="256"/>
      <c r="U185" s="256"/>
      <c r="V185" s="257"/>
    </row>
    <row r="186" spans="2:22" s="255" customFormat="1" ht="18" customHeight="1">
      <c r="S186" s="256"/>
      <c r="T186" s="256"/>
      <c r="U186" s="256"/>
      <c r="V186" s="257"/>
    </row>
    <row r="187" spans="2:22" s="255" customFormat="1" ht="18" customHeight="1">
      <c r="S187" s="256"/>
      <c r="T187" s="256"/>
      <c r="U187" s="256"/>
      <c r="V187" s="257"/>
    </row>
    <row r="188" spans="2:22" s="255" customFormat="1" ht="18" customHeight="1">
      <c r="S188" s="256"/>
      <c r="T188" s="256"/>
      <c r="U188" s="256"/>
      <c r="V188" s="257"/>
    </row>
  </sheetData>
  <sheetProtection selectLockedCells="1" selectUnlockedCells="1"/>
  <mergeCells count="49">
    <mergeCell ref="S2:U2"/>
    <mergeCell ref="B3:E3"/>
    <mergeCell ref="S3:T3"/>
    <mergeCell ref="P1:Q1"/>
    <mergeCell ref="S1:U1"/>
    <mergeCell ref="B2:E2"/>
    <mergeCell ref="F2:H2"/>
    <mergeCell ref="I2:K2"/>
    <mergeCell ref="L2:N2"/>
    <mergeCell ref="B1:C1"/>
    <mergeCell ref="G1:H1"/>
    <mergeCell ref="J1:K1"/>
    <mergeCell ref="M1:N1"/>
    <mergeCell ref="O2:Q2"/>
    <mergeCell ref="B132:E132"/>
    <mergeCell ref="B5:E5"/>
    <mergeCell ref="S5:U5"/>
    <mergeCell ref="B23:E23"/>
    <mergeCell ref="B24:E24"/>
    <mergeCell ref="B80:E80"/>
    <mergeCell ref="B81:E81"/>
    <mergeCell ref="F81:H81"/>
    <mergeCell ref="I81:K81"/>
    <mergeCell ref="L81:N81"/>
    <mergeCell ref="O81:Q81"/>
    <mergeCell ref="S81:U81"/>
    <mergeCell ref="O133:Q133"/>
    <mergeCell ref="S133:U133"/>
    <mergeCell ref="B155:E155"/>
    <mergeCell ref="C157:D157"/>
    <mergeCell ref="B133:E133"/>
    <mergeCell ref="F133:H133"/>
    <mergeCell ref="I133:K133"/>
    <mergeCell ref="L133:N133"/>
    <mergeCell ref="O163:Q163"/>
    <mergeCell ref="S163:U163"/>
    <mergeCell ref="C164:D164"/>
    <mergeCell ref="F172:H172"/>
    <mergeCell ref="I172:K172"/>
    <mergeCell ref="L172:N172"/>
    <mergeCell ref="C163:E163"/>
    <mergeCell ref="F163:H163"/>
    <mergeCell ref="I163:K163"/>
    <mergeCell ref="L163:N163"/>
    <mergeCell ref="C183:E183"/>
    <mergeCell ref="O172:Q172"/>
    <mergeCell ref="S172:U172"/>
    <mergeCell ref="C173:D173"/>
    <mergeCell ref="C182:E182"/>
  </mergeCells>
  <conditionalFormatting sqref="V135:V155 V7:V24 V83:V133 V26:V81">
    <cfRule type="dataBar" priority="1">
      <dataBar>
        <cfvo type="min"/>
        <cfvo type="max"/>
        <color rgb="FFFF555A"/>
      </dataBar>
      <extLst>
        <ext xmlns:x14="http://schemas.microsoft.com/office/spreadsheetml/2009/9/main" uri="{B025F937-C7B1-47D3-B67F-A62EFF666E3E}">
          <x14:id>{3EBBA0B1-F85B-4F97-83F7-E0BE37A6C100}</x14:id>
        </ext>
      </extLst>
    </cfRule>
  </conditionalFormatting>
  <printOptions horizontalCentered="1"/>
  <pageMargins left="0.39000000000000007" right="0.39000000000000007" top="0.39000000000000007" bottom="0.39000000000000007" header="0.51" footer="0.51"/>
  <pageSetup paperSize="9"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3EBBA0B1-F85B-4F97-83F7-E0BE37A6C100}">
            <x14:dataBar minLength="0" maxLength="100" border="1" negativeBarBorderColorSameAsPositive="0">
              <x14:cfvo type="autoMin"/>
              <x14:cfvo type="autoMax"/>
              <x14:borderColor rgb="FFFF555A"/>
              <x14:negativeFillColor rgb="FFFF0000"/>
              <x14:negativeBorderColor rgb="FFFF0000"/>
              <x14:axisColor rgb="FF000000"/>
            </x14:dataBar>
          </x14:cfRule>
          <xm:sqref>V135:V155 V7:V24 V83:V133 V26:V81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12">
    <tabColor rgb="FFA3DCDB"/>
  </sheetPr>
  <dimension ref="B1:N58"/>
  <sheetViews>
    <sheetView showGridLines="0" zoomScaleNormal="100" zoomScaleSheetLayoutView="115" zoomScalePageLayoutView="115" workbookViewId="0">
      <pane ySplit="2" topLeftCell="A3" activePane="bottomLeft" state="frozen"/>
      <selection pane="bottomLeft" activeCell="E22" sqref="E22"/>
    </sheetView>
  </sheetViews>
  <sheetFormatPr defaultColWidth="11.42578125" defaultRowHeight="12.75"/>
  <cols>
    <col min="1" max="1" width="1.28515625" style="388" customWidth="1"/>
    <col min="2" max="2" width="7.42578125" style="388" customWidth="1"/>
    <col min="3" max="3" width="36" style="388" bestFit="1" customWidth="1"/>
    <col min="4" max="4" width="17.7109375" style="388" customWidth="1"/>
    <col min="5" max="5" width="18.28515625" style="388" customWidth="1"/>
    <col min="6" max="6" width="18" style="388" customWidth="1"/>
    <col min="7" max="7" width="15.42578125" style="388" customWidth="1"/>
    <col min="8" max="8" width="10" style="388" customWidth="1"/>
    <col min="9" max="9" width="14.7109375" style="388" customWidth="1"/>
    <col min="10" max="10" width="13.5703125" style="388" customWidth="1"/>
    <col min="11" max="11" width="14.28515625" style="388" customWidth="1"/>
    <col min="12" max="12" width="3.5703125" style="388" customWidth="1"/>
    <col min="13" max="13" width="19.42578125" style="398" customWidth="1"/>
    <col min="14" max="14" width="7.140625" style="388" customWidth="1"/>
    <col min="15" max="16384" width="11.42578125" style="388"/>
  </cols>
  <sheetData>
    <row r="1" spans="2:14" ht="39.950000000000003" customHeight="1">
      <c r="B1" s="756" t="s">
        <v>171</v>
      </c>
      <c r="C1" s="756"/>
      <c r="D1" s="757"/>
      <c r="E1" s="756"/>
      <c r="F1" s="756"/>
      <c r="G1" s="756"/>
      <c r="H1" s="756"/>
      <c r="I1" s="756"/>
      <c r="J1" s="756"/>
      <c r="K1" s="756"/>
      <c r="M1" s="389" t="s">
        <v>173</v>
      </c>
    </row>
    <row r="2" spans="2:14" ht="44.25" customHeight="1">
      <c r="B2" s="390" t="s">
        <v>163</v>
      </c>
      <c r="C2" s="390" t="s">
        <v>164</v>
      </c>
      <c r="D2" s="391" t="s">
        <v>231</v>
      </c>
      <c r="E2" s="390" t="s">
        <v>116</v>
      </c>
      <c r="F2" s="390" t="s">
        <v>178</v>
      </c>
      <c r="G2" s="390" t="s">
        <v>44</v>
      </c>
      <c r="H2" s="390" t="s">
        <v>41</v>
      </c>
      <c r="I2" s="390" t="s">
        <v>145</v>
      </c>
      <c r="J2" s="390" t="s">
        <v>45</v>
      </c>
      <c r="K2" s="390" t="s">
        <v>46</v>
      </c>
      <c r="M2" s="392">
        <f>QQP!G44</f>
        <v>0</v>
      </c>
    </row>
    <row r="3" spans="2:14" ht="21.95" customHeight="1">
      <c r="B3" s="393" t="s">
        <v>155</v>
      </c>
      <c r="C3" s="394" t="s">
        <v>182</v>
      </c>
      <c r="D3" s="394" t="s">
        <v>212</v>
      </c>
      <c r="E3" s="395">
        <v>7500</v>
      </c>
      <c r="F3" s="396"/>
      <c r="G3" s="397"/>
      <c r="H3" s="397"/>
      <c r="I3" s="397">
        <f t="shared" ref="I3:I20" si="0">(H3+G3+F3+E3)*$E$22</f>
        <v>5712</v>
      </c>
      <c r="J3" s="397">
        <f>SUM(E3:I3)</f>
        <v>13212</v>
      </c>
      <c r="K3" s="397">
        <f t="shared" ref="K3:K20" si="1">J3/$K$22</f>
        <v>75.068181818181813</v>
      </c>
    </row>
    <row r="4" spans="2:14" ht="21.95" customHeight="1">
      <c r="B4" s="393" t="s">
        <v>156</v>
      </c>
      <c r="C4" s="394" t="s">
        <v>207</v>
      </c>
      <c r="D4" s="394" t="s">
        <v>213</v>
      </c>
      <c r="E4" s="395">
        <v>4000</v>
      </c>
      <c r="F4" s="397"/>
      <c r="G4" s="397"/>
      <c r="H4" s="397"/>
      <c r="I4" s="397">
        <f t="shared" si="0"/>
        <v>3046.4</v>
      </c>
      <c r="J4" s="397">
        <f t="shared" ref="J4:J20" si="2">SUM(E4:I4)</f>
        <v>7046.4</v>
      </c>
      <c r="K4" s="397">
        <f t="shared" si="1"/>
        <v>40.036363636363632</v>
      </c>
    </row>
    <row r="5" spans="2:14" ht="21.95" customHeight="1">
      <c r="B5" s="393" t="s">
        <v>157</v>
      </c>
      <c r="C5" s="399" t="s">
        <v>201</v>
      </c>
      <c r="D5" s="394" t="s">
        <v>214</v>
      </c>
      <c r="E5" s="395">
        <v>4000</v>
      </c>
      <c r="F5" s="397"/>
      <c r="G5" s="397"/>
      <c r="H5" s="397"/>
      <c r="I5" s="397">
        <f t="shared" si="0"/>
        <v>3046.4</v>
      </c>
      <c r="J5" s="397">
        <f t="shared" si="2"/>
        <v>7046.4</v>
      </c>
      <c r="K5" s="397">
        <f t="shared" si="1"/>
        <v>40.036363636363632</v>
      </c>
    </row>
    <row r="6" spans="2:14" ht="21.95" customHeight="1">
      <c r="B6" s="393" t="s">
        <v>158</v>
      </c>
      <c r="C6" s="394" t="s">
        <v>208</v>
      </c>
      <c r="D6" s="394" t="s">
        <v>213</v>
      </c>
      <c r="E6" s="395">
        <v>1975</v>
      </c>
      <c r="F6" s="397"/>
      <c r="G6" s="397"/>
      <c r="H6" s="397"/>
      <c r="I6" s="397">
        <f t="shared" si="0"/>
        <v>1504.16</v>
      </c>
      <c r="J6" s="397">
        <f t="shared" si="2"/>
        <v>3479.16</v>
      </c>
      <c r="K6" s="397">
        <f t="shared" si="1"/>
        <v>19.767954545454543</v>
      </c>
    </row>
    <row r="7" spans="2:14" ht="21.95" customHeight="1">
      <c r="B7" s="393" t="s">
        <v>159</v>
      </c>
      <c r="C7" s="394" t="s">
        <v>209</v>
      </c>
      <c r="D7" s="394" t="s">
        <v>213</v>
      </c>
      <c r="E7" s="395">
        <v>1975</v>
      </c>
      <c r="F7" s="397"/>
      <c r="G7" s="397"/>
      <c r="H7" s="397"/>
      <c r="I7" s="397">
        <f t="shared" si="0"/>
        <v>1504.16</v>
      </c>
      <c r="J7" s="397">
        <f t="shared" si="2"/>
        <v>3479.16</v>
      </c>
      <c r="K7" s="397">
        <f t="shared" si="1"/>
        <v>19.767954545454543</v>
      </c>
    </row>
    <row r="8" spans="2:14" ht="21.95" customHeight="1">
      <c r="B8" s="393" t="s">
        <v>160</v>
      </c>
      <c r="C8" s="394" t="s">
        <v>210</v>
      </c>
      <c r="D8" s="394" t="s">
        <v>213</v>
      </c>
      <c r="E8" s="395">
        <v>2000</v>
      </c>
      <c r="F8" s="397">
        <f>E8*0.3</f>
        <v>600</v>
      </c>
      <c r="G8" s="397"/>
      <c r="H8" s="397"/>
      <c r="I8" s="397">
        <f t="shared" si="0"/>
        <v>1980.16</v>
      </c>
      <c r="J8" s="397">
        <f t="shared" si="2"/>
        <v>4580.16</v>
      </c>
      <c r="K8" s="397">
        <f t="shared" si="1"/>
        <v>26.023636363636363</v>
      </c>
    </row>
    <row r="9" spans="2:14" ht="21.95" customHeight="1">
      <c r="B9" s="393" t="s">
        <v>161</v>
      </c>
      <c r="C9" s="400" t="s">
        <v>165</v>
      </c>
      <c r="D9" s="394" t="s">
        <v>213</v>
      </c>
      <c r="E9" s="397">
        <v>1395</v>
      </c>
      <c r="F9" s="396"/>
      <c r="G9" s="397"/>
      <c r="H9" s="397"/>
      <c r="I9" s="397">
        <f t="shared" si="0"/>
        <v>1062.432</v>
      </c>
      <c r="J9" s="397">
        <f t="shared" si="2"/>
        <v>2457.4319999999998</v>
      </c>
      <c r="K9" s="397">
        <f t="shared" si="1"/>
        <v>13.962681818181817</v>
      </c>
    </row>
    <row r="10" spans="2:14" ht="21.95" customHeight="1">
      <c r="B10" s="393" t="s">
        <v>162</v>
      </c>
      <c r="C10" s="394" t="s">
        <v>494</v>
      </c>
      <c r="D10" s="394" t="s">
        <v>213</v>
      </c>
      <c r="E10" s="395">
        <v>1975</v>
      </c>
      <c r="F10" s="401"/>
      <c r="G10" s="397"/>
      <c r="H10" s="397"/>
      <c r="I10" s="397">
        <f t="shared" si="0"/>
        <v>1504.16</v>
      </c>
      <c r="J10" s="397">
        <f t="shared" si="2"/>
        <v>3479.16</v>
      </c>
      <c r="K10" s="397">
        <f t="shared" si="1"/>
        <v>19.767954545454543</v>
      </c>
    </row>
    <row r="11" spans="2:14" ht="21.95" customHeight="1">
      <c r="B11" s="393" t="s">
        <v>392</v>
      </c>
      <c r="C11" s="399" t="s">
        <v>397</v>
      </c>
      <c r="D11" s="394" t="s">
        <v>212</v>
      </c>
      <c r="E11" s="395">
        <f>1320*8.5</f>
        <v>11220</v>
      </c>
      <c r="F11" s="401"/>
      <c r="G11" s="397"/>
      <c r="H11" s="397"/>
      <c r="I11" s="397">
        <f t="shared" si="0"/>
        <v>8545.152</v>
      </c>
      <c r="J11" s="397">
        <f t="shared" si="2"/>
        <v>19765.152000000002</v>
      </c>
      <c r="K11" s="397">
        <f t="shared" si="1"/>
        <v>112.30200000000001</v>
      </c>
      <c r="L11" s="402"/>
      <c r="N11" s="403"/>
    </row>
    <row r="12" spans="2:14" ht="21.95" customHeight="1">
      <c r="B12" s="393" t="s">
        <v>393</v>
      </c>
      <c r="C12" s="394" t="s">
        <v>211</v>
      </c>
      <c r="D12" s="394" t="s">
        <v>214</v>
      </c>
      <c r="E12" s="395">
        <v>6000</v>
      </c>
      <c r="F12" s="401"/>
      <c r="G12" s="397"/>
      <c r="H12" s="397"/>
      <c r="I12" s="397">
        <f t="shared" si="0"/>
        <v>4569.6000000000004</v>
      </c>
      <c r="J12" s="397">
        <f t="shared" si="2"/>
        <v>10569.6</v>
      </c>
      <c r="K12" s="397">
        <f t="shared" si="1"/>
        <v>60.054545454545455</v>
      </c>
      <c r="L12" s="402"/>
      <c r="N12" s="403"/>
    </row>
    <row r="13" spans="2:14" ht="21.95" customHeight="1">
      <c r="B13" s="393" t="s">
        <v>394</v>
      </c>
      <c r="C13" s="394" t="s">
        <v>674</v>
      </c>
      <c r="D13" s="394" t="s">
        <v>214</v>
      </c>
      <c r="E13" s="395">
        <v>3800</v>
      </c>
      <c r="F13" s="401"/>
      <c r="G13" s="397"/>
      <c r="H13" s="397"/>
      <c r="I13" s="397">
        <f t="shared" si="0"/>
        <v>2894.0800000000004</v>
      </c>
      <c r="J13" s="397">
        <f t="shared" si="2"/>
        <v>6694.08</v>
      </c>
      <c r="K13" s="397">
        <f t="shared" si="1"/>
        <v>38.034545454545452</v>
      </c>
    </row>
    <row r="14" spans="2:14" ht="21.95" customHeight="1">
      <c r="B14" s="393" t="s">
        <v>395</v>
      </c>
      <c r="C14" s="394" t="s">
        <v>675</v>
      </c>
      <c r="D14" s="394" t="s">
        <v>213</v>
      </c>
      <c r="E14" s="395">
        <v>1700</v>
      </c>
      <c r="F14" s="404"/>
      <c r="G14" s="397"/>
      <c r="H14" s="397"/>
      <c r="I14" s="397">
        <f t="shared" si="0"/>
        <v>1294.72</v>
      </c>
      <c r="J14" s="397">
        <f t="shared" si="2"/>
        <v>2994.7200000000003</v>
      </c>
      <c r="K14" s="397">
        <f t="shared" si="1"/>
        <v>17.015454545454546</v>
      </c>
    </row>
    <row r="15" spans="2:14" ht="21.95" customHeight="1">
      <c r="B15" s="393" t="s">
        <v>396</v>
      </c>
      <c r="C15" s="394" t="s">
        <v>676</v>
      </c>
      <c r="D15" s="394" t="s">
        <v>212</v>
      </c>
      <c r="E15" s="395">
        <v>7000</v>
      </c>
      <c r="F15" s="401"/>
      <c r="G15" s="397"/>
      <c r="H15" s="397"/>
      <c r="I15" s="397">
        <f t="shared" si="0"/>
        <v>5331.2000000000007</v>
      </c>
      <c r="J15" s="397">
        <f t="shared" si="2"/>
        <v>12331.2</v>
      </c>
      <c r="K15" s="397">
        <f t="shared" si="1"/>
        <v>70.063636363636363</v>
      </c>
    </row>
    <row r="16" spans="2:14" ht="21.95" customHeight="1">
      <c r="B16" s="393" t="s">
        <v>669</v>
      </c>
      <c r="C16" s="394" t="s">
        <v>688</v>
      </c>
      <c r="D16" s="394" t="s">
        <v>213</v>
      </c>
      <c r="E16" s="395">
        <v>2500</v>
      </c>
      <c r="F16" s="404"/>
      <c r="G16" s="397"/>
      <c r="H16" s="397"/>
      <c r="I16" s="397">
        <f t="shared" si="0"/>
        <v>1904.0000000000002</v>
      </c>
      <c r="J16" s="397">
        <f t="shared" si="2"/>
        <v>4404</v>
      </c>
      <c r="K16" s="397">
        <f t="shared" si="1"/>
        <v>25.022727272727273</v>
      </c>
    </row>
    <row r="17" spans="2:11" ht="21.95" customHeight="1">
      <c r="B17" s="393" t="s">
        <v>670</v>
      </c>
      <c r="C17" s="394"/>
      <c r="D17" s="394"/>
      <c r="E17" s="395"/>
      <c r="F17" s="401"/>
      <c r="G17" s="397"/>
      <c r="H17" s="397"/>
      <c r="I17" s="397">
        <f t="shared" si="0"/>
        <v>0</v>
      </c>
      <c r="J17" s="397">
        <f t="shared" si="2"/>
        <v>0</v>
      </c>
      <c r="K17" s="397">
        <f t="shared" si="1"/>
        <v>0</v>
      </c>
    </row>
    <row r="18" spans="2:11" ht="21.95" customHeight="1">
      <c r="B18" s="393" t="s">
        <v>671</v>
      </c>
      <c r="C18" s="394"/>
      <c r="D18" s="394"/>
      <c r="E18" s="395"/>
      <c r="F18" s="404"/>
      <c r="G18" s="397"/>
      <c r="H18" s="397"/>
      <c r="I18" s="397">
        <f t="shared" si="0"/>
        <v>0</v>
      </c>
      <c r="J18" s="397">
        <f t="shared" si="2"/>
        <v>0</v>
      </c>
      <c r="K18" s="397">
        <f t="shared" si="1"/>
        <v>0</v>
      </c>
    </row>
    <row r="19" spans="2:11" ht="21.95" customHeight="1">
      <c r="B19" s="393" t="s">
        <v>672</v>
      </c>
      <c r="C19" s="394"/>
      <c r="D19" s="394"/>
      <c r="E19" s="395"/>
      <c r="F19" s="401"/>
      <c r="G19" s="397"/>
      <c r="H19" s="397"/>
      <c r="I19" s="397">
        <f t="shared" si="0"/>
        <v>0</v>
      </c>
      <c r="J19" s="397">
        <f t="shared" si="2"/>
        <v>0</v>
      </c>
      <c r="K19" s="397">
        <f t="shared" si="1"/>
        <v>0</v>
      </c>
    </row>
    <row r="20" spans="2:11" ht="21.95" customHeight="1">
      <c r="B20" s="393" t="s">
        <v>673</v>
      </c>
      <c r="C20" s="394"/>
      <c r="D20" s="394"/>
      <c r="E20" s="395"/>
      <c r="F20" s="404"/>
      <c r="G20" s="397"/>
      <c r="H20" s="397"/>
      <c r="I20" s="397">
        <f t="shared" si="0"/>
        <v>0</v>
      </c>
      <c r="J20" s="397">
        <f t="shared" si="2"/>
        <v>0</v>
      </c>
      <c r="K20" s="397">
        <f t="shared" si="1"/>
        <v>0</v>
      </c>
    </row>
    <row r="21" spans="2:11" ht="21.95" customHeight="1">
      <c r="B21" s="405"/>
    </row>
    <row r="22" spans="2:11" ht="21.95" customHeight="1">
      <c r="B22" s="405"/>
      <c r="C22" s="758" t="s">
        <v>47</v>
      </c>
      <c r="D22" s="759"/>
      <c r="E22" s="406">
        <f>'ENCARGOS SOCIAIS'!enc</f>
        <v>0.76160000000000005</v>
      </c>
      <c r="G22" s="755" t="s">
        <v>48</v>
      </c>
      <c r="H22" s="755"/>
      <c r="I22" s="755"/>
      <c r="J22" s="755"/>
      <c r="K22" s="407">
        <v>176</v>
      </c>
    </row>
    <row r="23" spans="2:11" ht="19.5" customHeight="1"/>
    <row r="24" spans="2:11" ht="19.5" customHeight="1"/>
    <row r="25" spans="2:11" ht="19.5" customHeight="1"/>
    <row r="26" spans="2:11" ht="19.5" customHeight="1"/>
    <row r="27" spans="2:11" ht="19.5" customHeight="1"/>
    <row r="28" spans="2:11" ht="19.5" customHeight="1"/>
    <row r="29" spans="2:11" ht="19.5" customHeight="1"/>
    <row r="30" spans="2:11" ht="19.5" customHeight="1"/>
    <row r="31" spans="2:11" ht="19.5" customHeight="1"/>
    <row r="32" spans="2:11"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8" ht="25.5" customHeight="1"/>
  </sheetData>
  <sortState xmlns:xlrd2="http://schemas.microsoft.com/office/spreadsheetml/2017/richdata2" ref="C9:F9">
    <sortCondition ref="C9"/>
  </sortState>
  <mergeCells count="3">
    <mergeCell ref="G22:J22"/>
    <mergeCell ref="B1:K1"/>
    <mergeCell ref="C22:D22"/>
  </mergeCells>
  <phoneticPr fontId="17" type="noConversion"/>
  <printOptions horizontalCentered="1"/>
  <pageMargins left="0.19685039370078741" right="0.19685039370078741" top="0.59055118110236227" bottom="0.19685039370078741" header="0" footer="0"/>
  <pageSetup paperSize="9" scale="85" orientation="portrait" horizontalDpi="4294967292" verticalDpi="4294967292"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13">
    <tabColor rgb="FFA3DCDB"/>
  </sheetPr>
  <dimension ref="B1:F24"/>
  <sheetViews>
    <sheetView showGridLines="0" zoomScale="90" zoomScaleNormal="90" zoomScaleSheetLayoutView="115" zoomScalePageLayoutView="175" workbookViewId="0">
      <pane ySplit="3" topLeftCell="A4" activePane="bottomLeft" state="frozen"/>
      <selection activeCell="B1" sqref="B1:L1"/>
      <selection pane="bottomLeft" activeCell="B1" sqref="B1:F1"/>
    </sheetView>
  </sheetViews>
  <sheetFormatPr defaultColWidth="11.42578125" defaultRowHeight="15" outlineLevelRow="1"/>
  <cols>
    <col min="1" max="1" width="1.28515625" style="2" customWidth="1"/>
    <col min="2" max="2" width="64.140625" style="3" bestFit="1" customWidth="1"/>
    <col min="3" max="3" width="14.42578125" style="2" customWidth="1"/>
    <col min="4" max="4" width="13.5703125" style="2" customWidth="1"/>
    <col min="5" max="5" width="8" style="2" customWidth="1"/>
    <col min="6" max="6" width="17.28515625" style="2" customWidth="1"/>
    <col min="7" max="16384" width="11.42578125" style="2"/>
  </cols>
  <sheetData>
    <row r="1" spans="2:6" ht="39.950000000000003" customHeight="1" thickBot="1">
      <c r="B1" s="762" t="s">
        <v>232</v>
      </c>
      <c r="C1" s="763"/>
      <c r="D1" s="763"/>
      <c r="E1" s="763"/>
      <c r="F1" s="764"/>
    </row>
    <row r="2" spans="2:6" ht="21.75" customHeight="1">
      <c r="B2" s="765" t="s">
        <v>254</v>
      </c>
      <c r="C2" s="767" t="s">
        <v>49</v>
      </c>
      <c r="D2" s="769" t="s">
        <v>144</v>
      </c>
      <c r="E2" s="765" t="s">
        <v>143</v>
      </c>
      <c r="F2" s="771"/>
    </row>
    <row r="3" spans="2:6" ht="26.25" customHeight="1" thickBot="1">
      <c r="B3" s="766"/>
      <c r="C3" s="768"/>
      <c r="D3" s="770"/>
      <c r="E3" s="408" t="s">
        <v>257</v>
      </c>
      <c r="F3" s="409" t="s">
        <v>258</v>
      </c>
    </row>
    <row r="4" spans="2:6" s="5" customFormat="1" ht="22.5" customHeight="1" outlineLevel="1">
      <c r="B4" s="10" t="s">
        <v>117</v>
      </c>
      <c r="C4" s="11">
        <v>6</v>
      </c>
      <c r="D4" s="12">
        <v>58</v>
      </c>
      <c r="E4" s="24">
        <v>1</v>
      </c>
      <c r="F4" s="13">
        <f>D4/C4*E4</f>
        <v>9.6666666666666661</v>
      </c>
    </row>
    <row r="5" spans="2:6" s="5" customFormat="1" ht="22.5" customHeight="1" outlineLevel="1">
      <c r="B5" s="14" t="s">
        <v>118</v>
      </c>
      <c r="C5" s="15">
        <v>6</v>
      </c>
      <c r="D5" s="16">
        <v>33.6</v>
      </c>
      <c r="E5" s="25">
        <v>1</v>
      </c>
      <c r="F5" s="17">
        <f t="shared" ref="F5:F20" si="0">D5/C5*E5</f>
        <v>5.6000000000000005</v>
      </c>
    </row>
    <row r="6" spans="2:6" s="5" customFormat="1" ht="22.5" customHeight="1" outlineLevel="1">
      <c r="B6" s="14" t="s">
        <v>149</v>
      </c>
      <c r="C6" s="15">
        <v>4</v>
      </c>
      <c r="D6" s="16">
        <v>90</v>
      </c>
      <c r="E6" s="25">
        <v>1</v>
      </c>
      <c r="F6" s="17">
        <f t="shared" ref="F6" si="1">D6/C6*E6</f>
        <v>22.5</v>
      </c>
    </row>
    <row r="7" spans="2:6" s="5" customFormat="1" ht="22.5" customHeight="1" outlineLevel="1">
      <c r="B7" s="14" t="s">
        <v>729</v>
      </c>
      <c r="C7" s="15">
        <v>2</v>
      </c>
      <c r="D7" s="16">
        <v>10</v>
      </c>
      <c r="E7" s="25">
        <v>1</v>
      </c>
      <c r="F7" s="17">
        <f t="shared" si="0"/>
        <v>5</v>
      </c>
    </row>
    <row r="8" spans="2:6" s="5" customFormat="1" ht="22.5" customHeight="1" outlineLevel="1">
      <c r="B8" s="14" t="s">
        <v>731</v>
      </c>
      <c r="C8" s="15">
        <v>6</v>
      </c>
      <c r="D8" s="16">
        <v>208</v>
      </c>
      <c r="E8" s="25">
        <v>1</v>
      </c>
      <c r="F8" s="17">
        <f t="shared" si="0"/>
        <v>34.666666666666664</v>
      </c>
    </row>
    <row r="9" spans="2:6" s="5" customFormat="1" ht="22.5" customHeight="1" outlineLevel="1">
      <c r="B9" s="14" t="s">
        <v>730</v>
      </c>
      <c r="C9" s="15">
        <v>4</v>
      </c>
      <c r="D9" s="16">
        <v>120</v>
      </c>
      <c r="E9" s="25">
        <v>1</v>
      </c>
      <c r="F9" s="17">
        <f t="shared" si="0"/>
        <v>30</v>
      </c>
    </row>
    <row r="10" spans="2:6" s="5" customFormat="1" ht="22.5" customHeight="1" outlineLevel="1">
      <c r="B10" s="14" t="s">
        <v>151</v>
      </c>
      <c r="C10" s="15">
        <v>0.25</v>
      </c>
      <c r="D10" s="16">
        <v>3</v>
      </c>
      <c r="E10" s="25">
        <v>1</v>
      </c>
      <c r="F10" s="17">
        <f t="shared" si="0"/>
        <v>12</v>
      </c>
    </row>
    <row r="11" spans="2:6" s="5" customFormat="1" ht="22.5" customHeight="1" outlineLevel="1">
      <c r="B11" s="14" t="s">
        <v>150</v>
      </c>
      <c r="C11" s="15">
        <v>1</v>
      </c>
      <c r="D11" s="16">
        <v>20</v>
      </c>
      <c r="E11" s="25">
        <v>1</v>
      </c>
      <c r="F11" s="17">
        <f t="shared" si="0"/>
        <v>20</v>
      </c>
    </row>
    <row r="12" spans="2:6" s="5" customFormat="1" ht="22.5" customHeight="1" outlineLevel="1">
      <c r="B12" s="14" t="s">
        <v>152</v>
      </c>
      <c r="C12" s="15">
        <v>4.5454545454545456E-2</v>
      </c>
      <c r="D12" s="16">
        <v>3</v>
      </c>
      <c r="E12" s="25">
        <v>1</v>
      </c>
      <c r="F12" s="17">
        <f t="shared" si="0"/>
        <v>66</v>
      </c>
    </row>
    <row r="13" spans="2:6" s="5" customFormat="1" ht="22.5" customHeight="1" outlineLevel="1">
      <c r="B13" s="14" t="s">
        <v>732</v>
      </c>
      <c r="C13" s="15">
        <v>6</v>
      </c>
      <c r="D13" s="16">
        <v>160</v>
      </c>
      <c r="E13" s="25">
        <v>1</v>
      </c>
      <c r="F13" s="17">
        <f t="shared" si="0"/>
        <v>26.666666666666668</v>
      </c>
    </row>
    <row r="14" spans="2:6" s="5" customFormat="1" ht="22.5" customHeight="1" outlineLevel="1">
      <c r="B14" s="14" t="s">
        <v>154</v>
      </c>
      <c r="C14" s="15">
        <v>6</v>
      </c>
      <c r="D14" s="16">
        <v>90</v>
      </c>
      <c r="E14" s="25">
        <v>3</v>
      </c>
      <c r="F14" s="17">
        <f t="shared" si="0"/>
        <v>45</v>
      </c>
    </row>
    <row r="15" spans="2:6" s="5" customFormat="1" ht="22.5" customHeight="1" outlineLevel="1">
      <c r="B15" s="14" t="s">
        <v>153</v>
      </c>
      <c r="C15" s="15">
        <v>6</v>
      </c>
      <c r="D15" s="16">
        <v>90</v>
      </c>
      <c r="E15" s="25">
        <v>3</v>
      </c>
      <c r="F15" s="17">
        <f t="shared" si="0"/>
        <v>45</v>
      </c>
    </row>
    <row r="16" spans="2:6" s="5" customFormat="1" ht="22.5" customHeight="1" outlineLevel="1">
      <c r="B16" s="14" t="s">
        <v>253</v>
      </c>
      <c r="C16" s="15">
        <v>6</v>
      </c>
      <c r="D16" s="16">
        <v>40</v>
      </c>
      <c r="E16" s="25">
        <v>1</v>
      </c>
      <c r="F16" s="17">
        <f t="shared" si="0"/>
        <v>6.666666666666667</v>
      </c>
    </row>
    <row r="17" spans="2:6" s="5" customFormat="1" ht="22.5" customHeight="1" outlineLevel="1">
      <c r="B17" s="14" t="s">
        <v>166</v>
      </c>
      <c r="C17" s="15">
        <v>12</v>
      </c>
      <c r="D17" s="16">
        <f>226+227</f>
        <v>453</v>
      </c>
      <c r="E17" s="25"/>
      <c r="F17" s="17">
        <f t="shared" si="0"/>
        <v>0</v>
      </c>
    </row>
    <row r="18" spans="2:6" s="5" customFormat="1" ht="22.5" customHeight="1" outlineLevel="1">
      <c r="B18" s="557" t="s">
        <v>733</v>
      </c>
      <c r="C18" s="558">
        <f>1/10</f>
        <v>0.1</v>
      </c>
      <c r="D18" s="559">
        <v>231</v>
      </c>
      <c r="E18" s="560"/>
      <c r="F18" s="17">
        <f t="shared" si="0"/>
        <v>0</v>
      </c>
    </row>
    <row r="19" spans="2:6" s="5" customFormat="1" ht="22.5" customHeight="1" outlineLevel="1">
      <c r="B19" s="557" t="s">
        <v>734</v>
      </c>
      <c r="C19" s="558">
        <v>12</v>
      </c>
      <c r="D19" s="559">
        <v>33</v>
      </c>
      <c r="E19" s="560"/>
      <c r="F19" s="17">
        <f t="shared" si="0"/>
        <v>0</v>
      </c>
    </row>
    <row r="20" spans="2:6" s="5" customFormat="1" ht="22.5" customHeight="1" outlineLevel="1">
      <c r="B20" s="557" t="s">
        <v>735</v>
      </c>
      <c r="C20" s="558">
        <v>6</v>
      </c>
      <c r="D20" s="559">
        <v>77</v>
      </c>
      <c r="E20" s="560"/>
      <c r="F20" s="17">
        <f t="shared" si="0"/>
        <v>0</v>
      </c>
    </row>
    <row r="21" spans="2:6" s="5" customFormat="1" ht="22.5" customHeight="1" outlineLevel="1" thickBot="1">
      <c r="B21" s="18"/>
      <c r="C21" s="19"/>
      <c r="D21" s="20"/>
      <c r="E21" s="26"/>
      <c r="F21" s="21"/>
    </row>
    <row r="22" spans="2:6" s="5" customFormat="1" ht="27" customHeight="1" thickBot="1">
      <c r="B22" s="760" t="s">
        <v>58</v>
      </c>
      <c r="C22" s="761"/>
      <c r="D22" s="761"/>
      <c r="E22" s="22">
        <f>SUM(E4:E21)</f>
        <v>17</v>
      </c>
      <c r="F22" s="23">
        <f>SUM(F4:F21)</f>
        <v>328.76666666666671</v>
      </c>
    </row>
    <row r="23" spans="2:6" ht="15" customHeight="1">
      <c r="E23" s="4"/>
      <c r="F23" s="4"/>
    </row>
    <row r="24" spans="2:6" ht="9" customHeight="1"/>
  </sheetData>
  <mergeCells count="6">
    <mergeCell ref="B22:D22"/>
    <mergeCell ref="B1:F1"/>
    <mergeCell ref="B2:B3"/>
    <mergeCell ref="C2:C3"/>
    <mergeCell ref="D2:D3"/>
    <mergeCell ref="E2:F2"/>
  </mergeCells>
  <pageMargins left="0.75" right="0.75" top="1" bottom="1" header="0.5" footer="0.5"/>
  <pageSetup paperSize="9" scale="61" orientation="portrait" horizontalDpi="4294967292" verticalDpi="4294967292"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1504-B0A6-406D-AC01-1AD1B2CFC070}">
  <sheetPr filterMode="1">
    <tabColor rgb="FFA3DCDB"/>
  </sheetPr>
  <dimension ref="B1:G82"/>
  <sheetViews>
    <sheetView showGridLines="0" zoomScaleNormal="100" zoomScaleSheetLayoutView="115" zoomScalePageLayoutView="175" workbookViewId="0">
      <pane ySplit="3" topLeftCell="A13" activePane="bottomLeft" state="frozen"/>
      <selection activeCell="B1" sqref="B1:L1"/>
      <selection pane="bottomLeft" activeCell="B1" sqref="B1:G1"/>
    </sheetView>
  </sheetViews>
  <sheetFormatPr defaultColWidth="11.42578125" defaultRowHeight="15" outlineLevelRow="1"/>
  <cols>
    <col min="1" max="1" width="1.28515625" style="2" customWidth="1"/>
    <col min="2" max="2" width="82" style="3" customWidth="1"/>
    <col min="3" max="3" width="14" style="27" customWidth="1"/>
    <col min="4" max="4" width="72.140625" style="27" bestFit="1" customWidth="1"/>
    <col min="5" max="5" width="13.85546875" style="2" customWidth="1"/>
    <col min="6" max="6" width="7.7109375" style="2" customWidth="1"/>
    <col min="7" max="7" width="12.28515625" style="2" customWidth="1"/>
    <col min="8" max="16384" width="11.42578125" style="2"/>
  </cols>
  <sheetData>
    <row r="1" spans="2:7" ht="39.950000000000003" customHeight="1" thickBot="1">
      <c r="B1" s="762" t="s">
        <v>255</v>
      </c>
      <c r="C1" s="763"/>
      <c r="D1" s="763"/>
      <c r="E1" s="763"/>
      <c r="F1" s="763"/>
      <c r="G1" s="764"/>
    </row>
    <row r="2" spans="2:7" ht="20.25" customHeight="1">
      <c r="B2" s="410" t="s">
        <v>256</v>
      </c>
      <c r="C2" s="411" t="s">
        <v>261</v>
      </c>
      <c r="D2" s="412" t="s">
        <v>262</v>
      </c>
      <c r="E2" s="413" t="s">
        <v>259</v>
      </c>
      <c r="F2" s="765" t="s">
        <v>143</v>
      </c>
      <c r="G2" s="771"/>
    </row>
    <row r="3" spans="2:7" ht="20.25" customHeight="1" thickBot="1">
      <c r="B3" s="414"/>
      <c r="C3" s="415"/>
      <c r="D3" s="416"/>
      <c r="E3" s="417"/>
      <c r="F3" s="418" t="s">
        <v>257</v>
      </c>
      <c r="G3" s="419" t="s">
        <v>260</v>
      </c>
    </row>
    <row r="4" spans="2:7" ht="21.95" customHeight="1" outlineLevel="1">
      <c r="B4" s="42" t="s">
        <v>263</v>
      </c>
      <c r="C4" s="28" t="s">
        <v>230</v>
      </c>
      <c r="D4" s="28" t="s">
        <v>266</v>
      </c>
      <c r="E4" s="29">
        <v>12</v>
      </c>
      <c r="F4" s="30">
        <v>1</v>
      </c>
      <c r="G4" s="31">
        <f>F4*E4</f>
        <v>12</v>
      </c>
    </row>
    <row r="5" spans="2:7" ht="21.95" customHeight="1" outlineLevel="1">
      <c r="B5" s="43" t="s">
        <v>264</v>
      </c>
      <c r="C5" s="32" t="s">
        <v>230</v>
      </c>
      <c r="D5" s="32" t="s">
        <v>266</v>
      </c>
      <c r="E5" s="33">
        <v>18</v>
      </c>
      <c r="F5" s="34">
        <v>1</v>
      </c>
      <c r="G5" s="35">
        <f t="shared" ref="G5:G81" si="0">F5*E5</f>
        <v>18</v>
      </c>
    </row>
    <row r="6" spans="2:7" ht="21.95" customHeight="1" outlineLevel="1">
      <c r="B6" s="43" t="s">
        <v>265</v>
      </c>
      <c r="C6" s="32" t="s">
        <v>230</v>
      </c>
      <c r="D6" s="32" t="s">
        <v>266</v>
      </c>
      <c r="E6" s="33">
        <v>12</v>
      </c>
      <c r="F6" s="34">
        <v>1</v>
      </c>
      <c r="G6" s="35">
        <f t="shared" si="0"/>
        <v>12</v>
      </c>
    </row>
    <row r="7" spans="2:7" ht="21.95" customHeight="1" outlineLevel="1">
      <c r="B7" s="43" t="s">
        <v>202</v>
      </c>
      <c r="C7" s="32" t="s">
        <v>230</v>
      </c>
      <c r="D7" s="32" t="s">
        <v>266</v>
      </c>
      <c r="E7" s="33">
        <v>18</v>
      </c>
      <c r="F7" s="34">
        <v>1</v>
      </c>
      <c r="G7" s="35">
        <f t="shared" si="0"/>
        <v>18</v>
      </c>
    </row>
    <row r="8" spans="2:7" ht="21.95" customHeight="1" outlineLevel="1">
      <c r="B8" s="43" t="s">
        <v>267</v>
      </c>
      <c r="C8" s="32" t="s">
        <v>230</v>
      </c>
      <c r="D8" s="32" t="s">
        <v>266</v>
      </c>
      <c r="E8" s="33">
        <v>30</v>
      </c>
      <c r="F8" s="34">
        <v>1</v>
      </c>
      <c r="G8" s="35">
        <f t="shared" si="0"/>
        <v>30</v>
      </c>
    </row>
    <row r="9" spans="2:7" ht="21.95" customHeight="1" outlineLevel="1">
      <c r="B9" s="43" t="s">
        <v>268</v>
      </c>
      <c r="C9" s="32" t="s">
        <v>230</v>
      </c>
      <c r="D9" s="32" t="s">
        <v>266</v>
      </c>
      <c r="E9" s="33">
        <v>12</v>
      </c>
      <c r="F9" s="34">
        <v>1</v>
      </c>
      <c r="G9" s="35">
        <f t="shared" si="0"/>
        <v>12</v>
      </c>
    </row>
    <row r="10" spans="2:7" ht="21.95" customHeight="1" outlineLevel="1">
      <c r="B10" s="43" t="s">
        <v>269</v>
      </c>
      <c r="C10" s="32" t="s">
        <v>230</v>
      </c>
      <c r="D10" s="32" t="s">
        <v>266</v>
      </c>
      <c r="E10" s="33">
        <v>12</v>
      </c>
      <c r="F10" s="34">
        <v>1</v>
      </c>
      <c r="G10" s="35">
        <f t="shared" si="0"/>
        <v>12</v>
      </c>
    </row>
    <row r="11" spans="2:7" ht="21.95" customHeight="1" outlineLevel="1">
      <c r="B11" s="43" t="s">
        <v>270</v>
      </c>
      <c r="C11" s="32" t="s">
        <v>230</v>
      </c>
      <c r="D11" s="32" t="s">
        <v>266</v>
      </c>
      <c r="E11" s="33">
        <v>12</v>
      </c>
      <c r="F11" s="34">
        <v>1</v>
      </c>
      <c r="G11" s="35">
        <f t="shared" si="0"/>
        <v>12</v>
      </c>
    </row>
    <row r="12" spans="2:7" ht="21.95" customHeight="1" outlineLevel="1">
      <c r="B12" s="43" t="s">
        <v>271</v>
      </c>
      <c r="C12" s="32" t="s">
        <v>230</v>
      </c>
      <c r="D12" s="32" t="s">
        <v>266</v>
      </c>
      <c r="E12" s="33">
        <v>12</v>
      </c>
      <c r="F12" s="34">
        <v>1</v>
      </c>
      <c r="G12" s="35">
        <f t="shared" si="0"/>
        <v>12</v>
      </c>
    </row>
    <row r="13" spans="2:7" ht="21.95" customHeight="1" outlineLevel="1">
      <c r="B13" s="43" t="s">
        <v>272</v>
      </c>
      <c r="C13" s="32" t="s">
        <v>230</v>
      </c>
      <c r="D13" s="32" t="s">
        <v>266</v>
      </c>
      <c r="E13" s="33">
        <v>12</v>
      </c>
      <c r="F13" s="34">
        <v>1</v>
      </c>
      <c r="G13" s="35">
        <f t="shared" si="0"/>
        <v>12</v>
      </c>
    </row>
    <row r="14" spans="2:7" ht="21.95" customHeight="1" outlineLevel="1">
      <c r="B14" s="43" t="s">
        <v>273</v>
      </c>
      <c r="C14" s="32" t="s">
        <v>230</v>
      </c>
      <c r="D14" s="32" t="s">
        <v>266</v>
      </c>
      <c r="E14" s="33">
        <v>12</v>
      </c>
      <c r="F14" s="34">
        <v>1</v>
      </c>
      <c r="G14" s="35">
        <f t="shared" si="0"/>
        <v>12</v>
      </c>
    </row>
    <row r="15" spans="2:7" ht="21.95" customHeight="1" outlineLevel="1">
      <c r="B15" s="43" t="s">
        <v>274</v>
      </c>
      <c r="C15" s="32" t="s">
        <v>230</v>
      </c>
      <c r="D15" s="32" t="s">
        <v>266</v>
      </c>
      <c r="E15" s="33">
        <v>12</v>
      </c>
      <c r="F15" s="34">
        <v>1</v>
      </c>
      <c r="G15" s="35">
        <f t="shared" si="0"/>
        <v>12</v>
      </c>
    </row>
    <row r="16" spans="2:7" ht="21.95" customHeight="1" outlineLevel="1">
      <c r="B16" s="43" t="s">
        <v>205</v>
      </c>
      <c r="C16" s="32" t="s">
        <v>230</v>
      </c>
      <c r="D16" s="32" t="s">
        <v>266</v>
      </c>
      <c r="E16" s="33">
        <v>12</v>
      </c>
      <c r="F16" s="34">
        <v>1</v>
      </c>
      <c r="G16" s="35">
        <f t="shared" si="0"/>
        <v>12</v>
      </c>
    </row>
    <row r="17" spans="2:7" ht="21.95" customHeight="1" outlineLevel="1">
      <c r="B17" s="43" t="s">
        <v>275</v>
      </c>
      <c r="C17" s="32" t="s">
        <v>230</v>
      </c>
      <c r="D17" s="32" t="s">
        <v>266</v>
      </c>
      <c r="E17" s="33">
        <v>18</v>
      </c>
      <c r="F17" s="34">
        <v>1</v>
      </c>
      <c r="G17" s="35">
        <f t="shared" si="0"/>
        <v>18</v>
      </c>
    </row>
    <row r="18" spans="2:7" ht="21.95" customHeight="1" outlineLevel="1">
      <c r="B18" s="43" t="s">
        <v>276</v>
      </c>
      <c r="C18" s="32" t="s">
        <v>230</v>
      </c>
      <c r="D18" s="32" t="s">
        <v>266</v>
      </c>
      <c r="E18" s="33">
        <v>12</v>
      </c>
      <c r="F18" s="34">
        <v>1</v>
      </c>
      <c r="G18" s="35">
        <f t="shared" si="0"/>
        <v>12</v>
      </c>
    </row>
    <row r="19" spans="2:7" ht="21.95" customHeight="1" outlineLevel="1">
      <c r="B19" s="43" t="s">
        <v>277</v>
      </c>
      <c r="C19" s="32" t="s">
        <v>230</v>
      </c>
      <c r="D19" s="32" t="s">
        <v>266</v>
      </c>
      <c r="E19" s="33">
        <v>12</v>
      </c>
      <c r="F19" s="34">
        <v>1</v>
      </c>
      <c r="G19" s="35">
        <f t="shared" si="0"/>
        <v>12</v>
      </c>
    </row>
    <row r="20" spans="2:7" ht="21.95" customHeight="1" outlineLevel="1">
      <c r="B20" s="43" t="s">
        <v>278</v>
      </c>
      <c r="C20" s="32" t="s">
        <v>230</v>
      </c>
      <c r="D20" s="32" t="s">
        <v>266</v>
      </c>
      <c r="E20" s="33">
        <v>18</v>
      </c>
      <c r="F20" s="34">
        <v>1</v>
      </c>
      <c r="G20" s="35">
        <f t="shared" si="0"/>
        <v>18</v>
      </c>
    </row>
    <row r="21" spans="2:7" ht="21.95" customHeight="1" outlineLevel="1">
      <c r="B21" s="43" t="s">
        <v>279</v>
      </c>
      <c r="C21" s="32" t="s">
        <v>230</v>
      </c>
      <c r="D21" s="32" t="s">
        <v>266</v>
      </c>
      <c r="E21" s="33">
        <v>18</v>
      </c>
      <c r="F21" s="34">
        <v>1</v>
      </c>
      <c r="G21" s="35">
        <f t="shared" si="0"/>
        <v>18</v>
      </c>
    </row>
    <row r="22" spans="2:7" ht="21.95" customHeight="1" outlineLevel="1">
      <c r="B22" s="43" t="s">
        <v>280</v>
      </c>
      <c r="C22" s="32" t="s">
        <v>230</v>
      </c>
      <c r="D22" s="32" t="s">
        <v>266</v>
      </c>
      <c r="E22" s="33">
        <v>144</v>
      </c>
      <c r="F22" s="34">
        <v>1</v>
      </c>
      <c r="G22" s="35">
        <f t="shared" si="0"/>
        <v>144</v>
      </c>
    </row>
    <row r="23" spans="2:7" ht="21.95" customHeight="1" outlineLevel="1">
      <c r="B23" s="43" t="s">
        <v>281</v>
      </c>
      <c r="C23" s="32" t="s">
        <v>230</v>
      </c>
      <c r="D23" s="32" t="s">
        <v>266</v>
      </c>
      <c r="E23" s="33">
        <v>18</v>
      </c>
      <c r="F23" s="34">
        <v>1</v>
      </c>
      <c r="G23" s="35">
        <f t="shared" si="0"/>
        <v>18</v>
      </c>
    </row>
    <row r="24" spans="2:7" ht="21.95" hidden="1" customHeight="1" outlineLevel="1">
      <c r="B24" s="43" t="s">
        <v>263</v>
      </c>
      <c r="C24" s="32" t="s">
        <v>230</v>
      </c>
      <c r="D24" s="32" t="s">
        <v>282</v>
      </c>
      <c r="E24" s="33">
        <v>12</v>
      </c>
      <c r="F24" s="34"/>
      <c r="G24" s="35">
        <f t="shared" si="0"/>
        <v>0</v>
      </c>
    </row>
    <row r="25" spans="2:7" ht="21.95" hidden="1" customHeight="1" outlineLevel="1">
      <c r="B25" s="43" t="s">
        <v>264</v>
      </c>
      <c r="C25" s="32" t="s">
        <v>230</v>
      </c>
      <c r="D25" s="32" t="s">
        <v>282</v>
      </c>
      <c r="E25" s="33">
        <v>18</v>
      </c>
      <c r="F25" s="34"/>
      <c r="G25" s="35">
        <f t="shared" si="0"/>
        <v>0</v>
      </c>
    </row>
    <row r="26" spans="2:7" ht="21.95" hidden="1" customHeight="1" outlineLevel="1">
      <c r="B26" s="43" t="s">
        <v>265</v>
      </c>
      <c r="C26" s="32" t="s">
        <v>230</v>
      </c>
      <c r="D26" s="32" t="s">
        <v>282</v>
      </c>
      <c r="E26" s="33">
        <v>12</v>
      </c>
      <c r="F26" s="34"/>
      <c r="G26" s="35">
        <f t="shared" si="0"/>
        <v>0</v>
      </c>
    </row>
    <row r="27" spans="2:7" ht="21.95" hidden="1" customHeight="1" outlineLevel="1">
      <c r="B27" s="43" t="s">
        <v>202</v>
      </c>
      <c r="C27" s="32" t="s">
        <v>230</v>
      </c>
      <c r="D27" s="32" t="s">
        <v>282</v>
      </c>
      <c r="E27" s="33">
        <v>18</v>
      </c>
      <c r="F27" s="34"/>
      <c r="G27" s="35">
        <f t="shared" si="0"/>
        <v>0</v>
      </c>
    </row>
    <row r="28" spans="2:7" ht="21.95" hidden="1" customHeight="1" outlineLevel="1">
      <c r="B28" s="43" t="s">
        <v>267</v>
      </c>
      <c r="C28" s="32" t="s">
        <v>230</v>
      </c>
      <c r="D28" s="32" t="s">
        <v>282</v>
      </c>
      <c r="E28" s="33">
        <v>30</v>
      </c>
      <c r="F28" s="34"/>
      <c r="G28" s="35">
        <f t="shared" si="0"/>
        <v>0</v>
      </c>
    </row>
    <row r="29" spans="2:7" ht="21.95" hidden="1" customHeight="1" outlineLevel="1">
      <c r="B29" s="43" t="s">
        <v>268</v>
      </c>
      <c r="C29" s="32" t="s">
        <v>230</v>
      </c>
      <c r="D29" s="32" t="s">
        <v>282</v>
      </c>
      <c r="E29" s="33">
        <v>12</v>
      </c>
      <c r="F29" s="34"/>
      <c r="G29" s="35">
        <f t="shared" si="0"/>
        <v>0</v>
      </c>
    </row>
    <row r="30" spans="2:7" ht="21.95" hidden="1" customHeight="1" outlineLevel="1">
      <c r="B30" s="43" t="s">
        <v>269</v>
      </c>
      <c r="C30" s="32" t="s">
        <v>230</v>
      </c>
      <c r="D30" s="32" t="s">
        <v>282</v>
      </c>
      <c r="E30" s="33">
        <v>12</v>
      </c>
      <c r="F30" s="34"/>
      <c r="G30" s="35">
        <f t="shared" si="0"/>
        <v>0</v>
      </c>
    </row>
    <row r="31" spans="2:7" ht="21.95" hidden="1" customHeight="1" outlineLevel="1">
      <c r="B31" s="43" t="s">
        <v>270</v>
      </c>
      <c r="C31" s="32" t="s">
        <v>230</v>
      </c>
      <c r="D31" s="32" t="s">
        <v>282</v>
      </c>
      <c r="E31" s="33">
        <v>12</v>
      </c>
      <c r="F31" s="34"/>
      <c r="G31" s="35">
        <f t="shared" si="0"/>
        <v>0</v>
      </c>
    </row>
    <row r="32" spans="2:7" ht="21.95" hidden="1" customHeight="1" outlineLevel="1">
      <c r="B32" s="43" t="s">
        <v>271</v>
      </c>
      <c r="C32" s="32" t="s">
        <v>230</v>
      </c>
      <c r="D32" s="32" t="s">
        <v>282</v>
      </c>
      <c r="E32" s="33">
        <v>12</v>
      </c>
      <c r="F32" s="34"/>
      <c r="G32" s="35">
        <f t="shared" si="0"/>
        <v>0</v>
      </c>
    </row>
    <row r="33" spans="2:7" ht="21.95" hidden="1" customHeight="1" outlineLevel="1">
      <c r="B33" s="43" t="s">
        <v>272</v>
      </c>
      <c r="C33" s="32" t="s">
        <v>230</v>
      </c>
      <c r="D33" s="32" t="s">
        <v>282</v>
      </c>
      <c r="E33" s="33">
        <v>12</v>
      </c>
      <c r="F33" s="34"/>
      <c r="G33" s="35">
        <f t="shared" ref="G33:G38" si="1">F33*E33</f>
        <v>0</v>
      </c>
    </row>
    <row r="34" spans="2:7" ht="21.95" hidden="1" customHeight="1" outlineLevel="1">
      <c r="B34" s="43" t="s">
        <v>273</v>
      </c>
      <c r="C34" s="32" t="s">
        <v>230</v>
      </c>
      <c r="D34" s="32" t="s">
        <v>282</v>
      </c>
      <c r="E34" s="33">
        <v>12</v>
      </c>
      <c r="F34" s="34"/>
      <c r="G34" s="35">
        <f t="shared" si="1"/>
        <v>0</v>
      </c>
    </row>
    <row r="35" spans="2:7" ht="21.95" hidden="1" customHeight="1" outlineLevel="1">
      <c r="B35" s="43" t="s">
        <v>274</v>
      </c>
      <c r="C35" s="32" t="s">
        <v>230</v>
      </c>
      <c r="D35" s="32" t="s">
        <v>282</v>
      </c>
      <c r="E35" s="33">
        <v>12</v>
      </c>
      <c r="F35" s="34"/>
      <c r="G35" s="35">
        <f t="shared" si="1"/>
        <v>0</v>
      </c>
    </row>
    <row r="36" spans="2:7" ht="21.95" hidden="1" customHeight="1" outlineLevel="1">
      <c r="B36" s="43" t="s">
        <v>205</v>
      </c>
      <c r="C36" s="32" t="s">
        <v>230</v>
      </c>
      <c r="D36" s="32" t="s">
        <v>282</v>
      </c>
      <c r="E36" s="33">
        <v>12</v>
      </c>
      <c r="F36" s="34"/>
      <c r="G36" s="35">
        <f t="shared" si="1"/>
        <v>0</v>
      </c>
    </row>
    <row r="37" spans="2:7" ht="21.95" hidden="1" customHeight="1" outlineLevel="1">
      <c r="B37" s="43" t="s">
        <v>275</v>
      </c>
      <c r="C37" s="32" t="s">
        <v>230</v>
      </c>
      <c r="D37" s="32" t="s">
        <v>282</v>
      </c>
      <c r="E37" s="33">
        <v>18</v>
      </c>
      <c r="F37" s="34"/>
      <c r="G37" s="35">
        <f t="shared" si="1"/>
        <v>0</v>
      </c>
    </row>
    <row r="38" spans="2:7" ht="21.95" hidden="1" customHeight="1" outlineLevel="1">
      <c r="B38" s="43" t="s">
        <v>276</v>
      </c>
      <c r="C38" s="32" t="s">
        <v>230</v>
      </c>
      <c r="D38" s="32" t="s">
        <v>282</v>
      </c>
      <c r="E38" s="33">
        <v>12</v>
      </c>
      <c r="F38" s="34"/>
      <c r="G38" s="35">
        <f t="shared" si="1"/>
        <v>0</v>
      </c>
    </row>
    <row r="39" spans="2:7" ht="21.95" hidden="1" customHeight="1" outlineLevel="1">
      <c r="B39" s="43" t="s">
        <v>277</v>
      </c>
      <c r="C39" s="32" t="s">
        <v>230</v>
      </c>
      <c r="D39" s="32" t="s">
        <v>282</v>
      </c>
      <c r="E39" s="33">
        <v>12</v>
      </c>
      <c r="F39" s="34"/>
      <c r="G39" s="35">
        <f t="shared" si="0"/>
        <v>0</v>
      </c>
    </row>
    <row r="40" spans="2:7" ht="21.95" hidden="1" customHeight="1" outlineLevel="1">
      <c r="B40" s="43" t="s">
        <v>278</v>
      </c>
      <c r="C40" s="32" t="s">
        <v>230</v>
      </c>
      <c r="D40" s="32" t="s">
        <v>282</v>
      </c>
      <c r="E40" s="33">
        <v>18</v>
      </c>
      <c r="F40" s="34"/>
      <c r="G40" s="35">
        <f t="shared" si="0"/>
        <v>0</v>
      </c>
    </row>
    <row r="41" spans="2:7" ht="21.95" hidden="1" customHeight="1" outlineLevel="1">
      <c r="B41" s="43" t="s">
        <v>279</v>
      </c>
      <c r="C41" s="32" t="s">
        <v>230</v>
      </c>
      <c r="D41" s="32" t="s">
        <v>282</v>
      </c>
      <c r="E41" s="33">
        <v>18</v>
      </c>
      <c r="F41" s="34"/>
      <c r="G41" s="35">
        <f t="shared" si="0"/>
        <v>0</v>
      </c>
    </row>
    <row r="42" spans="2:7" ht="21.95" hidden="1" customHeight="1" outlineLevel="1">
      <c r="B42" s="43" t="s">
        <v>283</v>
      </c>
      <c r="C42" s="32" t="s">
        <v>230</v>
      </c>
      <c r="D42" s="32" t="s">
        <v>282</v>
      </c>
      <c r="E42" s="33">
        <v>18</v>
      </c>
      <c r="F42" s="34"/>
      <c r="G42" s="35">
        <f t="shared" si="0"/>
        <v>0</v>
      </c>
    </row>
    <row r="43" spans="2:7" ht="21.95" hidden="1" customHeight="1" outlineLevel="1">
      <c r="B43" s="43" t="s">
        <v>285</v>
      </c>
      <c r="C43" s="32" t="s">
        <v>230</v>
      </c>
      <c r="D43" s="32" t="s">
        <v>284</v>
      </c>
      <c r="E43" s="33">
        <v>288</v>
      </c>
      <c r="F43" s="34"/>
      <c r="G43" s="35">
        <f t="shared" si="0"/>
        <v>0</v>
      </c>
    </row>
    <row r="44" spans="2:7" ht="21.95" hidden="1" customHeight="1" outlineLevel="1">
      <c r="B44" s="43" t="s">
        <v>286</v>
      </c>
      <c r="C44" s="32" t="s">
        <v>230</v>
      </c>
      <c r="D44" s="32" t="s">
        <v>295</v>
      </c>
      <c r="E44" s="33">
        <v>144</v>
      </c>
      <c r="F44" s="34"/>
      <c r="G44" s="35">
        <f t="shared" si="0"/>
        <v>0</v>
      </c>
    </row>
    <row r="45" spans="2:7" ht="33" hidden="1" customHeight="1" outlineLevel="1">
      <c r="B45" s="43" t="s">
        <v>288</v>
      </c>
      <c r="C45" s="32" t="s">
        <v>230</v>
      </c>
      <c r="D45" s="32" t="s">
        <v>287</v>
      </c>
      <c r="E45" s="33">
        <v>480</v>
      </c>
      <c r="F45" s="34"/>
      <c r="G45" s="35">
        <f>F45*E45</f>
        <v>0</v>
      </c>
    </row>
    <row r="46" spans="2:7" ht="33" hidden="1" customHeight="1" outlineLevel="1">
      <c r="B46" s="43" t="s">
        <v>289</v>
      </c>
      <c r="C46" s="32" t="s">
        <v>230</v>
      </c>
      <c r="D46" s="32" t="s">
        <v>287</v>
      </c>
      <c r="E46" s="33">
        <v>360</v>
      </c>
      <c r="F46" s="34"/>
      <c r="G46" s="35">
        <f>F46*E46</f>
        <v>0</v>
      </c>
    </row>
    <row r="47" spans="2:7" ht="21.95" hidden="1" customHeight="1" outlineLevel="1">
      <c r="B47" s="43" t="s">
        <v>290</v>
      </c>
      <c r="C47" s="32" t="s">
        <v>230</v>
      </c>
      <c r="D47" s="32" t="s">
        <v>287</v>
      </c>
      <c r="E47" s="33">
        <v>60</v>
      </c>
      <c r="F47" s="34"/>
      <c r="G47" s="35">
        <f t="shared" si="0"/>
        <v>0</v>
      </c>
    </row>
    <row r="48" spans="2:7" ht="21.95" hidden="1" customHeight="1" outlineLevel="1">
      <c r="B48" s="43" t="s">
        <v>206</v>
      </c>
      <c r="C48" s="32" t="s">
        <v>230</v>
      </c>
      <c r="D48" s="32" t="s">
        <v>287</v>
      </c>
      <c r="E48" s="33">
        <v>120</v>
      </c>
      <c r="F48" s="34"/>
      <c r="G48" s="35">
        <f t="shared" si="0"/>
        <v>0</v>
      </c>
    </row>
    <row r="49" spans="2:7" ht="21.95" hidden="1" customHeight="1" outlineLevel="1">
      <c r="B49" s="43" t="s">
        <v>203</v>
      </c>
      <c r="C49" s="32" t="s">
        <v>230</v>
      </c>
      <c r="D49" s="32" t="s">
        <v>287</v>
      </c>
      <c r="E49" s="33">
        <v>60</v>
      </c>
      <c r="F49" s="34"/>
      <c r="G49" s="35">
        <f t="shared" ref="G49:G64" si="2">F49*E49</f>
        <v>0</v>
      </c>
    </row>
    <row r="50" spans="2:7" ht="21.95" hidden="1" customHeight="1" outlineLevel="1">
      <c r="B50" s="43" t="s">
        <v>204</v>
      </c>
      <c r="C50" s="32" t="s">
        <v>230</v>
      </c>
      <c r="D50" s="32" t="s">
        <v>287</v>
      </c>
      <c r="E50" s="33">
        <v>60</v>
      </c>
      <c r="F50" s="34"/>
      <c r="G50" s="35">
        <f t="shared" si="2"/>
        <v>0</v>
      </c>
    </row>
    <row r="51" spans="2:7" ht="21.95" hidden="1" customHeight="1" outlineLevel="1">
      <c r="B51" s="43" t="s">
        <v>205</v>
      </c>
      <c r="C51" s="32" t="s">
        <v>230</v>
      </c>
      <c r="D51" s="32" t="s">
        <v>287</v>
      </c>
      <c r="E51" s="33">
        <v>60</v>
      </c>
      <c r="F51" s="34"/>
      <c r="G51" s="35">
        <f t="shared" si="2"/>
        <v>0</v>
      </c>
    </row>
    <row r="52" spans="2:7" ht="21.95" hidden="1" customHeight="1" outlineLevel="1">
      <c r="B52" s="43" t="s">
        <v>291</v>
      </c>
      <c r="C52" s="32" t="s">
        <v>230</v>
      </c>
      <c r="D52" s="32" t="s">
        <v>287</v>
      </c>
      <c r="E52" s="33">
        <v>120</v>
      </c>
      <c r="F52" s="34"/>
      <c r="G52" s="35">
        <f t="shared" si="2"/>
        <v>0</v>
      </c>
    </row>
    <row r="53" spans="2:7" ht="21.95" hidden="1" customHeight="1" outlineLevel="1">
      <c r="B53" s="43" t="s">
        <v>292</v>
      </c>
      <c r="C53" s="32" t="s">
        <v>230</v>
      </c>
      <c r="D53" s="32" t="s">
        <v>287</v>
      </c>
      <c r="E53" s="33">
        <v>120</v>
      </c>
      <c r="F53" s="34"/>
      <c r="G53" s="35">
        <f t="shared" si="2"/>
        <v>0</v>
      </c>
    </row>
    <row r="54" spans="2:7" ht="21.95" hidden="1" customHeight="1" outlineLevel="1">
      <c r="B54" s="43" t="s">
        <v>293</v>
      </c>
      <c r="C54" s="32" t="s">
        <v>230</v>
      </c>
      <c r="D54" s="32" t="s">
        <v>287</v>
      </c>
      <c r="E54" s="33">
        <v>120</v>
      </c>
      <c r="F54" s="34"/>
      <c r="G54" s="35">
        <f t="shared" si="2"/>
        <v>0</v>
      </c>
    </row>
    <row r="55" spans="2:7" ht="21.95" hidden="1" customHeight="1" outlineLevel="1">
      <c r="B55" s="43" t="s">
        <v>294</v>
      </c>
      <c r="C55" s="32" t="s">
        <v>230</v>
      </c>
      <c r="D55" s="32" t="s">
        <v>287</v>
      </c>
      <c r="E55" s="33">
        <v>240</v>
      </c>
      <c r="F55" s="34"/>
      <c r="G55" s="35">
        <f t="shared" si="2"/>
        <v>0</v>
      </c>
    </row>
    <row r="56" spans="2:7" ht="21.95" hidden="1" customHeight="1" outlineLevel="1">
      <c r="B56" s="43" t="s">
        <v>296</v>
      </c>
      <c r="C56" s="32" t="s">
        <v>230</v>
      </c>
      <c r="D56" s="32" t="s">
        <v>287</v>
      </c>
      <c r="E56" s="33">
        <v>800</v>
      </c>
      <c r="F56" s="34"/>
      <c r="G56" s="35">
        <f t="shared" si="2"/>
        <v>0</v>
      </c>
    </row>
    <row r="57" spans="2:7" ht="21.95" hidden="1" customHeight="1" outlineLevel="1">
      <c r="B57" s="43" t="s">
        <v>298</v>
      </c>
      <c r="C57" s="32" t="s">
        <v>230</v>
      </c>
      <c r="D57" s="32" t="s">
        <v>297</v>
      </c>
      <c r="E57" s="33">
        <v>144</v>
      </c>
      <c r="F57" s="34"/>
      <c r="G57" s="35">
        <f t="shared" ref="G57:G63" si="3">F57*E57</f>
        <v>0</v>
      </c>
    </row>
    <row r="58" spans="2:7" ht="21.95" hidden="1" customHeight="1" outlineLevel="1">
      <c r="B58" s="43" t="s">
        <v>300</v>
      </c>
      <c r="C58" s="32" t="s">
        <v>230</v>
      </c>
      <c r="D58" s="32" t="s">
        <v>299</v>
      </c>
      <c r="E58" s="33">
        <v>480</v>
      </c>
      <c r="F58" s="34"/>
      <c r="G58" s="35">
        <f t="shared" si="3"/>
        <v>0</v>
      </c>
    </row>
    <row r="59" spans="2:7" ht="21.95" hidden="1" customHeight="1" outlineLevel="1">
      <c r="B59" s="43" t="s">
        <v>301</v>
      </c>
      <c r="C59" s="32" t="s">
        <v>230</v>
      </c>
      <c r="D59" s="32" t="s">
        <v>299</v>
      </c>
      <c r="E59" s="33">
        <v>60</v>
      </c>
      <c r="F59" s="34"/>
      <c r="G59" s="35">
        <f t="shared" si="3"/>
        <v>0</v>
      </c>
    </row>
    <row r="60" spans="2:7" ht="21.95" hidden="1" customHeight="1" outlineLevel="1">
      <c r="B60" s="43" t="s">
        <v>302</v>
      </c>
      <c r="C60" s="32" t="s">
        <v>230</v>
      </c>
      <c r="D60" s="32" t="s">
        <v>303</v>
      </c>
      <c r="E60" s="33">
        <v>480</v>
      </c>
      <c r="F60" s="34"/>
      <c r="G60" s="35">
        <f t="shared" si="3"/>
        <v>0</v>
      </c>
    </row>
    <row r="61" spans="2:7" ht="21.95" hidden="1" customHeight="1" outlineLevel="1">
      <c r="B61" s="43" t="s">
        <v>306</v>
      </c>
      <c r="C61" s="32" t="s">
        <v>230</v>
      </c>
      <c r="D61" s="32" t="s">
        <v>304</v>
      </c>
      <c r="E61" s="33">
        <v>1200</v>
      </c>
      <c r="F61" s="34"/>
      <c r="G61" s="35">
        <f t="shared" si="3"/>
        <v>0</v>
      </c>
    </row>
    <row r="62" spans="2:7" ht="21.95" hidden="1" customHeight="1" outlineLevel="1">
      <c r="B62" s="43" t="s">
        <v>305</v>
      </c>
      <c r="C62" s="32" t="s">
        <v>230</v>
      </c>
      <c r="D62" s="32" t="s">
        <v>304</v>
      </c>
      <c r="E62" s="33">
        <v>180</v>
      </c>
      <c r="F62" s="34"/>
      <c r="G62" s="35">
        <f t="shared" si="3"/>
        <v>0</v>
      </c>
    </row>
    <row r="63" spans="2:7" ht="21.95" hidden="1" customHeight="1" outlineLevel="1">
      <c r="B63" s="43" t="s">
        <v>307</v>
      </c>
      <c r="C63" s="32" t="s">
        <v>230</v>
      </c>
      <c r="D63" s="32" t="s">
        <v>304</v>
      </c>
      <c r="E63" s="33">
        <v>240</v>
      </c>
      <c r="F63" s="34"/>
      <c r="G63" s="35">
        <f t="shared" si="3"/>
        <v>0</v>
      </c>
    </row>
    <row r="64" spans="2:7" ht="21.95" hidden="1" customHeight="1" outlineLevel="1">
      <c r="B64" s="43" t="s">
        <v>308</v>
      </c>
      <c r="C64" s="32" t="s">
        <v>230</v>
      </c>
      <c r="D64" s="32" t="s">
        <v>304</v>
      </c>
      <c r="E64" s="33">
        <v>360</v>
      </c>
      <c r="F64" s="34"/>
      <c r="G64" s="35">
        <f t="shared" si="2"/>
        <v>0</v>
      </c>
    </row>
    <row r="65" spans="2:7" ht="21.95" hidden="1" customHeight="1" outlineLevel="1">
      <c r="B65" s="43" t="s">
        <v>309</v>
      </c>
      <c r="C65" s="32" t="s">
        <v>230</v>
      </c>
      <c r="D65" s="32" t="s">
        <v>304</v>
      </c>
      <c r="E65" s="33">
        <v>720</v>
      </c>
      <c r="F65" s="34"/>
      <c r="G65" s="35">
        <f t="shared" si="0"/>
        <v>0</v>
      </c>
    </row>
    <row r="66" spans="2:7" ht="21.95" hidden="1" customHeight="1" outlineLevel="1">
      <c r="B66" s="43" t="s">
        <v>310</v>
      </c>
      <c r="C66" s="32" t="s">
        <v>230</v>
      </c>
      <c r="D66" s="32" t="s">
        <v>304</v>
      </c>
      <c r="E66" s="33">
        <v>840</v>
      </c>
      <c r="F66" s="34"/>
      <c r="G66" s="35">
        <f t="shared" si="0"/>
        <v>0</v>
      </c>
    </row>
    <row r="67" spans="2:7" ht="21.95" hidden="1" customHeight="1" outlineLevel="1">
      <c r="B67" s="43" t="s">
        <v>312</v>
      </c>
      <c r="C67" s="32" t="s">
        <v>230</v>
      </c>
      <c r="D67" s="32" t="s">
        <v>311</v>
      </c>
      <c r="E67" s="33">
        <v>240</v>
      </c>
      <c r="F67" s="34"/>
      <c r="G67" s="35">
        <f t="shared" si="0"/>
        <v>0</v>
      </c>
    </row>
    <row r="68" spans="2:7" ht="21.95" hidden="1" customHeight="1" outlineLevel="1">
      <c r="B68" s="43" t="s">
        <v>313</v>
      </c>
      <c r="C68" s="32" t="s">
        <v>230</v>
      </c>
      <c r="D68" s="32" t="s">
        <v>311</v>
      </c>
      <c r="E68" s="33">
        <v>240</v>
      </c>
      <c r="F68" s="34"/>
      <c r="G68" s="35">
        <f t="shared" si="0"/>
        <v>0</v>
      </c>
    </row>
    <row r="69" spans="2:7" ht="21.95" hidden="1" customHeight="1" outlineLevel="1">
      <c r="B69" s="43" t="s">
        <v>314</v>
      </c>
      <c r="C69" s="32" t="s">
        <v>230</v>
      </c>
      <c r="D69" s="32" t="s">
        <v>311</v>
      </c>
      <c r="E69" s="33">
        <v>240</v>
      </c>
      <c r="F69" s="34"/>
      <c r="G69" s="35">
        <f t="shared" si="0"/>
        <v>0</v>
      </c>
    </row>
    <row r="70" spans="2:7" ht="21.95" hidden="1" customHeight="1" outlineLevel="1">
      <c r="B70" s="43" t="s">
        <v>323</v>
      </c>
      <c r="C70" s="32" t="s">
        <v>230</v>
      </c>
      <c r="D70" s="32" t="s">
        <v>322</v>
      </c>
      <c r="E70" s="33">
        <v>3200</v>
      </c>
      <c r="F70" s="34"/>
      <c r="G70" s="35">
        <f t="shared" si="0"/>
        <v>0</v>
      </c>
    </row>
    <row r="71" spans="2:7" ht="21.95" hidden="1" customHeight="1" outlineLevel="1">
      <c r="B71" s="43" t="s">
        <v>324</v>
      </c>
      <c r="C71" s="32" t="s">
        <v>230</v>
      </c>
      <c r="D71" s="32" t="s">
        <v>322</v>
      </c>
      <c r="E71" s="33">
        <v>800</v>
      </c>
      <c r="F71" s="34"/>
      <c r="G71" s="35">
        <f t="shared" si="0"/>
        <v>0</v>
      </c>
    </row>
    <row r="72" spans="2:7" ht="21.95" hidden="1" customHeight="1" outlineLevel="1">
      <c r="B72" s="43" t="s">
        <v>327</v>
      </c>
      <c r="C72" s="32" t="s">
        <v>230</v>
      </c>
      <c r="D72" s="32" t="s">
        <v>322</v>
      </c>
      <c r="E72" s="33">
        <v>800</v>
      </c>
      <c r="F72" s="34"/>
      <c r="G72" s="35">
        <f>F72*E72</f>
        <v>0</v>
      </c>
    </row>
    <row r="73" spans="2:7" ht="21.95" hidden="1" customHeight="1" outlineLevel="1">
      <c r="B73" s="43" t="s">
        <v>326</v>
      </c>
      <c r="C73" s="32" t="s">
        <v>230</v>
      </c>
      <c r="D73" s="32" t="s">
        <v>325</v>
      </c>
      <c r="E73" s="33">
        <v>800</v>
      </c>
      <c r="F73" s="34"/>
      <c r="G73" s="35">
        <f t="shared" si="0"/>
        <v>0</v>
      </c>
    </row>
    <row r="74" spans="2:7" ht="21.95" hidden="1" customHeight="1" outlineLevel="1">
      <c r="B74" s="43" t="s">
        <v>316</v>
      </c>
      <c r="C74" s="32" t="s">
        <v>230</v>
      </c>
      <c r="D74" s="32" t="s">
        <v>315</v>
      </c>
      <c r="E74" s="33">
        <v>100</v>
      </c>
      <c r="F74" s="34"/>
      <c r="G74" s="35">
        <f t="shared" si="0"/>
        <v>0</v>
      </c>
    </row>
    <row r="75" spans="2:7" ht="21.95" hidden="1" customHeight="1" outlineLevel="1">
      <c r="B75" s="43" t="s">
        <v>317</v>
      </c>
      <c r="C75" s="32" t="s">
        <v>230</v>
      </c>
      <c r="D75" s="32" t="s">
        <v>315</v>
      </c>
      <c r="E75" s="33">
        <v>800</v>
      </c>
      <c r="F75" s="34"/>
      <c r="G75" s="35">
        <f t="shared" ref="G75:G80" si="4">F75*E75</f>
        <v>0</v>
      </c>
    </row>
    <row r="76" spans="2:7" ht="21.95" hidden="1" customHeight="1" outlineLevel="1">
      <c r="B76" s="43" t="s">
        <v>318</v>
      </c>
      <c r="C76" s="32" t="s">
        <v>230</v>
      </c>
      <c r="D76" s="32" t="s">
        <v>315</v>
      </c>
      <c r="E76" s="33">
        <v>400</v>
      </c>
      <c r="F76" s="34"/>
      <c r="G76" s="35">
        <f t="shared" si="4"/>
        <v>0</v>
      </c>
    </row>
    <row r="77" spans="2:7" ht="21.95" hidden="1" customHeight="1" outlineLevel="1">
      <c r="B77" s="43" t="s">
        <v>319</v>
      </c>
      <c r="C77" s="32" t="s">
        <v>230</v>
      </c>
      <c r="D77" s="32" t="s">
        <v>315</v>
      </c>
      <c r="E77" s="33">
        <v>400</v>
      </c>
      <c r="F77" s="34"/>
      <c r="G77" s="35">
        <f t="shared" si="4"/>
        <v>0</v>
      </c>
    </row>
    <row r="78" spans="2:7" ht="21.95" hidden="1" customHeight="1" outlineLevel="1">
      <c r="B78" s="43" t="s">
        <v>320</v>
      </c>
      <c r="C78" s="32" t="s">
        <v>230</v>
      </c>
      <c r="D78" s="32" t="s">
        <v>315</v>
      </c>
      <c r="E78" s="33">
        <v>100</v>
      </c>
      <c r="F78" s="34"/>
      <c r="G78" s="35">
        <f t="shared" si="4"/>
        <v>0</v>
      </c>
    </row>
    <row r="79" spans="2:7" ht="21.95" hidden="1" customHeight="1" outlineLevel="1">
      <c r="B79" s="43" t="s">
        <v>321</v>
      </c>
      <c r="C79" s="32" t="s">
        <v>230</v>
      </c>
      <c r="D79" s="32" t="s">
        <v>315</v>
      </c>
      <c r="E79" s="33">
        <v>1800</v>
      </c>
      <c r="F79" s="34"/>
      <c r="G79" s="35">
        <f t="shared" si="4"/>
        <v>0</v>
      </c>
    </row>
    <row r="80" spans="2:7" ht="21.95" hidden="1" customHeight="1" outlineLevel="1">
      <c r="B80" s="43" t="s">
        <v>387</v>
      </c>
      <c r="C80" s="32" t="s">
        <v>385</v>
      </c>
      <c r="D80" s="32" t="s">
        <v>386</v>
      </c>
      <c r="E80" s="33">
        <v>100</v>
      </c>
      <c r="F80" s="34"/>
      <c r="G80" s="35">
        <f t="shared" si="4"/>
        <v>0</v>
      </c>
    </row>
    <row r="81" spans="2:7" ht="21.95" customHeight="1" outlineLevel="1" thickBot="1">
      <c r="B81" s="44"/>
      <c r="C81" s="36"/>
      <c r="D81" s="36"/>
      <c r="E81" s="37"/>
      <c r="F81" s="38"/>
      <c r="G81" s="39">
        <f t="shared" si="0"/>
        <v>0</v>
      </c>
    </row>
    <row r="82" spans="2:7" ht="28.5" customHeight="1" thickBot="1">
      <c r="B82" s="760" t="s">
        <v>58</v>
      </c>
      <c r="C82" s="761"/>
      <c r="D82" s="761"/>
      <c r="E82" s="772"/>
      <c r="F82" s="40"/>
      <c r="G82" s="41">
        <f>SUM(G4:G81)</f>
        <v>426</v>
      </c>
    </row>
  </sheetData>
  <autoFilter ref="B3:E82" xr:uid="{4A071504-B0A6-406D-AC01-1AD1B2CFC070}">
    <filterColumn colId="1">
      <filters blank="1">
        <filter val="ALUMAR"/>
      </filters>
    </filterColumn>
    <filterColumn colId="2">
      <filters blank="1">
        <filter val="INTEGRAÇÃO PARA NOVOS FUNCIONÁRIOS"/>
      </filters>
    </filterColumn>
  </autoFilter>
  <mergeCells count="3">
    <mergeCell ref="B1:G1"/>
    <mergeCell ref="F2:G2"/>
    <mergeCell ref="B82:E82"/>
  </mergeCells>
  <pageMargins left="0.75" right="0.75" top="1" bottom="1" header="0.5" footer="0.5"/>
  <pageSetup paperSize="9" scale="61" orientation="portrait" horizontalDpi="4294967292" verticalDpi="4294967292"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4798-DE54-4712-8CCA-93BDEC5E1A57}">
  <sheetPr>
    <tabColor rgb="FFA3DCDB"/>
  </sheetPr>
  <dimension ref="B1:H82"/>
  <sheetViews>
    <sheetView showGridLines="0" zoomScaleNormal="100" zoomScaleSheetLayoutView="115" zoomScalePageLayoutView="175" workbookViewId="0">
      <pane ySplit="1" topLeftCell="A2" activePane="bottomLeft" state="frozen"/>
      <selection activeCell="B1" sqref="B1:L1"/>
      <selection pane="bottomLeft" activeCell="B5" sqref="B5"/>
    </sheetView>
  </sheetViews>
  <sheetFormatPr defaultColWidth="11.42578125" defaultRowHeight="15"/>
  <cols>
    <col min="1" max="1" width="1.28515625" style="2" customWidth="1"/>
    <col min="2" max="2" width="71.28515625" style="27" customWidth="1"/>
    <col min="3" max="3" width="17.42578125" style="27" customWidth="1"/>
    <col min="4" max="4" width="6.7109375" style="2" customWidth="1"/>
    <col min="5" max="5" width="54.5703125" style="3" customWidth="1"/>
    <col min="6" max="6" width="8.7109375" style="2" customWidth="1"/>
    <col min="7" max="7" width="12" style="2" customWidth="1"/>
    <col min="8" max="8" width="14.7109375" style="2" customWidth="1"/>
    <col min="9" max="16384" width="11.42578125" style="2"/>
  </cols>
  <sheetData>
    <row r="1" spans="2:8" ht="39.950000000000003" customHeight="1" thickBot="1">
      <c r="B1" s="776" t="s">
        <v>341</v>
      </c>
      <c r="C1" s="776"/>
      <c r="D1" s="776"/>
      <c r="E1" s="776"/>
      <c r="F1" s="776"/>
      <c r="G1" s="776"/>
      <c r="H1" s="776"/>
    </row>
    <row r="2" spans="2:8" ht="24" customHeight="1" thickBot="1">
      <c r="B2" s="775" t="s">
        <v>344</v>
      </c>
      <c r="C2" s="775"/>
      <c r="E2" s="420" t="s">
        <v>339</v>
      </c>
      <c r="F2" s="421" t="s">
        <v>331</v>
      </c>
      <c r="G2" s="421" t="s">
        <v>259</v>
      </c>
      <c r="H2" s="422" t="s">
        <v>58</v>
      </c>
    </row>
    <row r="3" spans="2:8" ht="24" customHeight="1">
      <c r="B3" s="57" t="s">
        <v>345</v>
      </c>
      <c r="C3" s="57" t="s">
        <v>346</v>
      </c>
      <c r="E3" s="48" t="s">
        <v>329</v>
      </c>
      <c r="F3" s="49">
        <v>1</v>
      </c>
      <c r="G3" s="50">
        <v>400</v>
      </c>
      <c r="H3" s="51">
        <f>G3*F3</f>
        <v>400</v>
      </c>
    </row>
    <row r="4" spans="2:8" ht="24" customHeight="1">
      <c r="B4" s="47" t="s">
        <v>347</v>
      </c>
      <c r="C4" s="58">
        <v>18</v>
      </c>
      <c r="E4" s="52" t="s">
        <v>330</v>
      </c>
      <c r="F4" s="53">
        <v>0</v>
      </c>
      <c r="G4" s="6">
        <v>400</v>
      </c>
      <c r="H4" s="7">
        <f>G4*F4</f>
        <v>0</v>
      </c>
    </row>
    <row r="5" spans="2:8" ht="24" customHeight="1" thickBot="1">
      <c r="B5" s="47" t="s">
        <v>348</v>
      </c>
      <c r="C5" s="58">
        <v>40</v>
      </c>
      <c r="E5" s="54" t="s">
        <v>328</v>
      </c>
      <c r="F5" s="55">
        <v>1</v>
      </c>
      <c r="G5" s="8">
        <v>200</v>
      </c>
      <c r="H5" s="9">
        <f>G5*F5</f>
        <v>200</v>
      </c>
    </row>
    <row r="6" spans="2:8" ht="24" customHeight="1" thickBot="1">
      <c r="B6" s="47" t="s">
        <v>349</v>
      </c>
      <c r="C6" s="58">
        <v>65</v>
      </c>
      <c r="E6" s="777" t="s">
        <v>176</v>
      </c>
      <c r="F6" s="778"/>
      <c r="G6" s="779"/>
      <c r="H6" s="45">
        <f>SUM(H3:H5)</f>
        <v>600</v>
      </c>
    </row>
    <row r="7" spans="2:8" ht="24" customHeight="1">
      <c r="B7" s="47" t="s">
        <v>350</v>
      </c>
      <c r="C7" s="58">
        <v>25</v>
      </c>
    </row>
    <row r="8" spans="2:8" ht="24" customHeight="1">
      <c r="B8" s="47" t="s">
        <v>351</v>
      </c>
      <c r="C8" s="58">
        <v>27.5</v>
      </c>
      <c r="E8" s="775" t="s">
        <v>332</v>
      </c>
      <c r="F8" s="775"/>
      <c r="G8" s="775"/>
      <c r="H8" s="775"/>
    </row>
    <row r="9" spans="2:8" s="1" customFormat="1" ht="24" customHeight="1">
      <c r="B9" s="47" t="s">
        <v>352</v>
      </c>
      <c r="C9" s="58">
        <v>70</v>
      </c>
      <c r="E9" s="774" t="s">
        <v>333</v>
      </c>
      <c r="F9" s="774"/>
      <c r="G9" s="774"/>
      <c r="H9" s="56">
        <f>SUM(H10:H13)</f>
        <v>1580</v>
      </c>
    </row>
    <row r="10" spans="2:8" ht="24" customHeight="1">
      <c r="B10" s="59" t="s">
        <v>353</v>
      </c>
      <c r="C10" s="58">
        <v>40</v>
      </c>
      <c r="E10" s="773" t="s">
        <v>334</v>
      </c>
      <c r="F10" s="773"/>
      <c r="G10" s="773"/>
      <c r="H10" s="46">
        <v>380</v>
      </c>
    </row>
    <row r="11" spans="2:8" ht="24" customHeight="1">
      <c r="B11" s="47" t="s">
        <v>354</v>
      </c>
      <c r="C11" s="58">
        <v>54.5</v>
      </c>
      <c r="E11" s="773" t="s">
        <v>335</v>
      </c>
      <c r="F11" s="773"/>
      <c r="G11" s="773"/>
      <c r="H11" s="46">
        <v>600</v>
      </c>
    </row>
    <row r="12" spans="2:8" ht="24" customHeight="1">
      <c r="B12" s="47" t="s">
        <v>355</v>
      </c>
      <c r="C12" s="58">
        <v>190</v>
      </c>
      <c r="E12" s="773" t="s">
        <v>336</v>
      </c>
      <c r="F12" s="773"/>
      <c r="G12" s="773"/>
      <c r="H12" s="46">
        <v>300</v>
      </c>
    </row>
    <row r="13" spans="2:8" ht="24" customHeight="1">
      <c r="B13" s="47" t="s">
        <v>356</v>
      </c>
      <c r="C13" s="58">
        <v>85</v>
      </c>
      <c r="E13" s="773" t="s">
        <v>337</v>
      </c>
      <c r="F13" s="773"/>
      <c r="G13" s="773"/>
      <c r="H13" s="46">
        <v>300</v>
      </c>
    </row>
    <row r="14" spans="2:8" s="1" customFormat="1" ht="24" customHeight="1">
      <c r="B14" s="47" t="s">
        <v>357</v>
      </c>
      <c r="C14" s="58">
        <v>85</v>
      </c>
      <c r="E14" s="774" t="s">
        <v>338</v>
      </c>
      <c r="F14" s="774"/>
      <c r="G14" s="774"/>
      <c r="H14" s="61">
        <f>SUM(H15:H18)</f>
        <v>1950</v>
      </c>
    </row>
    <row r="15" spans="2:8" ht="24" customHeight="1">
      <c r="B15" s="47" t="s">
        <v>358</v>
      </c>
      <c r="C15" s="58">
        <v>28</v>
      </c>
      <c r="E15" s="773" t="s">
        <v>334</v>
      </c>
      <c r="F15" s="773"/>
      <c r="G15" s="773"/>
      <c r="H15" s="46">
        <v>450</v>
      </c>
    </row>
    <row r="16" spans="2:8" ht="24" customHeight="1">
      <c r="B16" s="47" t="s">
        <v>359</v>
      </c>
      <c r="C16" s="58">
        <v>45</v>
      </c>
      <c r="E16" s="773" t="s">
        <v>335</v>
      </c>
      <c r="F16" s="773"/>
      <c r="G16" s="773"/>
      <c r="H16" s="46">
        <v>800</v>
      </c>
    </row>
    <row r="17" spans="2:8" ht="24" customHeight="1">
      <c r="B17" s="47" t="s">
        <v>360</v>
      </c>
      <c r="C17" s="58">
        <v>24.5</v>
      </c>
      <c r="E17" s="773" t="s">
        <v>336</v>
      </c>
      <c r="F17" s="773"/>
      <c r="G17" s="773"/>
      <c r="H17" s="46">
        <v>350</v>
      </c>
    </row>
    <row r="18" spans="2:8" ht="24" customHeight="1">
      <c r="B18" s="47" t="s">
        <v>361</v>
      </c>
      <c r="C18" s="58">
        <v>38.5</v>
      </c>
      <c r="E18" s="773" t="s">
        <v>337</v>
      </c>
      <c r="F18" s="773"/>
      <c r="G18" s="773"/>
      <c r="H18" s="46">
        <v>350</v>
      </c>
    </row>
    <row r="19" spans="2:8" s="1" customFormat="1" ht="24" customHeight="1">
      <c r="B19" s="47" t="s">
        <v>362</v>
      </c>
      <c r="C19" s="58">
        <v>7.5</v>
      </c>
      <c r="E19" s="774" t="s">
        <v>340</v>
      </c>
      <c r="F19" s="774"/>
      <c r="G19" s="774"/>
      <c r="H19" s="60">
        <f>SUM(H20:H23)</f>
        <v>2300</v>
      </c>
    </row>
    <row r="20" spans="2:8" ht="24" customHeight="1">
      <c r="B20" s="47" t="s">
        <v>363</v>
      </c>
      <c r="C20" s="58">
        <v>22</v>
      </c>
      <c r="E20" s="773" t="s">
        <v>334</v>
      </c>
      <c r="F20" s="773"/>
      <c r="G20" s="773"/>
      <c r="H20" s="46">
        <v>500</v>
      </c>
    </row>
    <row r="21" spans="2:8" ht="24" customHeight="1">
      <c r="B21" s="47" t="s">
        <v>364</v>
      </c>
      <c r="C21" s="58">
        <v>12.5</v>
      </c>
      <c r="E21" s="773" t="s">
        <v>335</v>
      </c>
      <c r="F21" s="773"/>
      <c r="G21" s="773"/>
      <c r="H21" s="46">
        <v>1000</v>
      </c>
    </row>
    <row r="22" spans="2:8" ht="24" customHeight="1">
      <c r="B22" s="47" t="s">
        <v>365</v>
      </c>
      <c r="C22" s="58">
        <v>10.5</v>
      </c>
      <c r="E22" s="773" t="s">
        <v>336</v>
      </c>
      <c r="F22" s="773"/>
      <c r="G22" s="773"/>
      <c r="H22" s="46">
        <v>400</v>
      </c>
    </row>
    <row r="23" spans="2:8" ht="24" customHeight="1">
      <c r="B23" s="47" t="s">
        <v>366</v>
      </c>
      <c r="C23" s="58">
        <v>10.5</v>
      </c>
      <c r="E23" s="773" t="s">
        <v>337</v>
      </c>
      <c r="F23" s="773"/>
      <c r="G23" s="773"/>
      <c r="H23" s="46">
        <v>400</v>
      </c>
    </row>
    <row r="24" spans="2:8" s="1" customFormat="1" ht="24" customHeight="1">
      <c r="B24" s="47" t="s">
        <v>367</v>
      </c>
      <c r="C24" s="58">
        <v>7.5</v>
      </c>
      <c r="E24" s="774" t="s">
        <v>342</v>
      </c>
      <c r="F24" s="774"/>
      <c r="G24" s="774"/>
      <c r="H24" s="56">
        <f>SUM(H25:H28)</f>
        <v>2850</v>
      </c>
    </row>
    <row r="25" spans="2:8" ht="24" customHeight="1">
      <c r="B25" s="47" t="s">
        <v>368</v>
      </c>
      <c r="C25" s="58">
        <v>26.5</v>
      </c>
      <c r="E25" s="773" t="s">
        <v>334</v>
      </c>
      <c r="F25" s="773"/>
      <c r="G25" s="773"/>
      <c r="H25" s="46">
        <v>700</v>
      </c>
    </row>
    <row r="26" spans="2:8" ht="24" customHeight="1">
      <c r="B26" s="47" t="s">
        <v>369</v>
      </c>
      <c r="C26" s="58">
        <v>26.5</v>
      </c>
      <c r="E26" s="773" t="s">
        <v>335</v>
      </c>
      <c r="F26" s="773"/>
      <c r="G26" s="773"/>
      <c r="H26" s="46">
        <v>1250</v>
      </c>
    </row>
    <row r="27" spans="2:8" ht="24" customHeight="1">
      <c r="B27" s="47" t="s">
        <v>370</v>
      </c>
      <c r="C27" s="58">
        <v>13.5</v>
      </c>
      <c r="E27" s="773" t="s">
        <v>336</v>
      </c>
      <c r="F27" s="773"/>
      <c r="G27" s="773"/>
      <c r="H27" s="46">
        <v>450</v>
      </c>
    </row>
    <row r="28" spans="2:8" ht="24" customHeight="1">
      <c r="B28" s="47" t="s">
        <v>371</v>
      </c>
      <c r="C28" s="58">
        <v>48</v>
      </c>
      <c r="E28" s="773" t="s">
        <v>337</v>
      </c>
      <c r="F28" s="773"/>
      <c r="G28" s="773"/>
      <c r="H28" s="46">
        <v>450</v>
      </c>
    </row>
    <row r="29" spans="2:8" ht="24" customHeight="1">
      <c r="B29" s="47" t="s">
        <v>372</v>
      </c>
      <c r="C29" s="58">
        <v>78</v>
      </c>
    </row>
    <row r="30" spans="2:8" ht="24" customHeight="1">
      <c r="B30" s="47" t="s">
        <v>373</v>
      </c>
      <c r="C30" s="58">
        <v>85</v>
      </c>
    </row>
    <row r="31" spans="2:8" ht="24" customHeight="1">
      <c r="B31" s="59" t="s">
        <v>374</v>
      </c>
      <c r="C31" s="58">
        <v>85</v>
      </c>
    </row>
    <row r="32" spans="2:8" ht="24" customHeight="1">
      <c r="B32" s="47" t="s">
        <v>375</v>
      </c>
      <c r="C32" s="58">
        <v>40</v>
      </c>
    </row>
    <row r="33" spans="2:3" ht="24" customHeight="1">
      <c r="B33" s="47" t="s">
        <v>376</v>
      </c>
      <c r="C33" s="58">
        <v>40</v>
      </c>
    </row>
    <row r="34" spans="2:3" ht="24" customHeight="1">
      <c r="B34" s="47" t="s">
        <v>377</v>
      </c>
      <c r="C34" s="58">
        <v>35</v>
      </c>
    </row>
    <row r="35" spans="2:3" ht="24" customHeight="1">
      <c r="B35" s="47" t="s">
        <v>378</v>
      </c>
      <c r="C35" s="58">
        <v>45</v>
      </c>
    </row>
    <row r="36" spans="2:3" ht="24" customHeight="1">
      <c r="B36" s="47" t="s">
        <v>379</v>
      </c>
      <c r="C36" s="58">
        <v>45</v>
      </c>
    </row>
    <row r="37" spans="2:3" ht="24" customHeight="1">
      <c r="B37" s="47" t="s">
        <v>380</v>
      </c>
      <c r="C37" s="58">
        <v>120</v>
      </c>
    </row>
    <row r="38" spans="2:3" ht="24" customHeight="1">
      <c r="B38" s="47" t="s">
        <v>381</v>
      </c>
      <c r="C38" s="58">
        <v>9.6</v>
      </c>
    </row>
    <row r="39" spans="2:3" ht="24" customHeight="1">
      <c r="B39" s="47" t="s">
        <v>382</v>
      </c>
      <c r="C39" s="58">
        <v>9.6</v>
      </c>
    </row>
    <row r="40" spans="2:3" ht="24" customHeight="1">
      <c r="B40" s="47" t="s">
        <v>383</v>
      </c>
      <c r="C40" s="58">
        <v>180</v>
      </c>
    </row>
    <row r="41" spans="2:3" ht="24" customHeight="1">
      <c r="B41" s="47" t="s">
        <v>384</v>
      </c>
      <c r="C41" s="58">
        <v>11.2</v>
      </c>
    </row>
    <row r="42" spans="2:3" ht="24" customHeight="1"/>
    <row r="43" spans="2:3" ht="24" customHeight="1"/>
    <row r="44" spans="2:3" ht="24" customHeight="1"/>
    <row r="45" spans="2:3" ht="24" customHeight="1"/>
    <row r="46" spans="2:3" ht="24" customHeight="1"/>
    <row r="47" spans="2:3" ht="24" customHeight="1"/>
    <row r="48" spans="2:3" ht="24" customHeight="1"/>
    <row r="49" ht="24" customHeight="1"/>
    <row r="50" ht="24" customHeight="1"/>
    <row r="51" ht="24" customHeight="1"/>
    <row r="52" ht="24" customHeight="1"/>
    <row r="53" ht="24" customHeight="1"/>
    <row r="54" ht="24" customHeight="1"/>
    <row r="55" ht="24" customHeight="1"/>
    <row r="56" ht="24" customHeight="1"/>
    <row r="57" ht="24" customHeight="1"/>
    <row r="58" ht="24" customHeight="1"/>
    <row r="59" ht="24" customHeight="1"/>
    <row r="60" ht="24" customHeight="1"/>
    <row r="61" ht="24" customHeight="1"/>
    <row r="62" ht="24" customHeight="1"/>
    <row r="63" ht="24" customHeight="1"/>
    <row r="64" ht="24" customHeight="1"/>
    <row r="65" ht="24" customHeight="1"/>
    <row r="66" ht="24" customHeight="1"/>
    <row r="67" ht="24" customHeight="1"/>
    <row r="68" ht="24" customHeight="1"/>
    <row r="69" ht="24" customHeight="1"/>
    <row r="70" ht="24" customHeight="1"/>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sheetData>
  <mergeCells count="24">
    <mergeCell ref="B2:C2"/>
    <mergeCell ref="B1:H1"/>
    <mergeCell ref="E24:G24"/>
    <mergeCell ref="E25:G25"/>
    <mergeCell ref="E26:G26"/>
    <mergeCell ref="E11:G11"/>
    <mergeCell ref="E12:G12"/>
    <mergeCell ref="E13:G13"/>
    <mergeCell ref="E14:G14"/>
    <mergeCell ref="E15:G15"/>
    <mergeCell ref="E6:G6"/>
    <mergeCell ref="E8:H8"/>
    <mergeCell ref="E9:G9"/>
    <mergeCell ref="E10:G10"/>
    <mergeCell ref="E27:G27"/>
    <mergeCell ref="E28:G28"/>
    <mergeCell ref="E16:G16"/>
    <mergeCell ref="E17:G17"/>
    <mergeCell ref="E18:G18"/>
    <mergeCell ref="E20:G20"/>
    <mergeCell ref="E21:G21"/>
    <mergeCell ref="E22:G22"/>
    <mergeCell ref="E19:G19"/>
    <mergeCell ref="E23:G23"/>
  </mergeCells>
  <pageMargins left="0.75" right="0.75" top="1" bottom="1" header="0.5" footer="0.5"/>
  <pageSetup paperSize="9" scale="61" orientation="portrait" horizontalDpi="4294967292" verticalDpi="4294967292"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14"/>
  <dimension ref="A1:AT30"/>
  <sheetViews>
    <sheetView showGridLines="0" zoomScaleNormal="100" zoomScaleSheetLayoutView="115" workbookViewId="0">
      <pane ySplit="3" topLeftCell="A4" activePane="bottomLeft" state="frozen"/>
      <selection pane="bottomLeft" activeCell="B3" sqref="B3:C3"/>
    </sheetView>
  </sheetViews>
  <sheetFormatPr defaultColWidth="9.140625" defaultRowHeight="15" customHeight="1"/>
  <cols>
    <col min="1" max="1" width="1.7109375" style="388" customWidth="1"/>
    <col min="2" max="2" width="8.7109375" style="448" customWidth="1"/>
    <col min="3" max="3" width="108.28515625" style="448" customWidth="1"/>
    <col min="4" max="4" width="14.28515625" style="448" customWidth="1"/>
    <col min="5" max="5" width="4.5703125" style="388" hidden="1" customWidth="1"/>
    <col min="6" max="8" width="4.5703125" style="450" hidden="1" customWidth="1"/>
    <col min="9" max="13" width="4.5703125" style="429" hidden="1" customWidth="1"/>
    <col min="14" max="18" width="4.5703125" style="427" hidden="1" customWidth="1"/>
    <col min="19" max="19" width="4.5703125" style="428" hidden="1" customWidth="1"/>
    <col min="20" max="21" width="4.5703125" style="427" hidden="1" customWidth="1"/>
    <col min="22" max="26" width="4.5703125" style="429" hidden="1" customWidth="1"/>
    <col min="27" max="27" width="4.7109375" style="429" customWidth="1"/>
    <col min="28" max="28" width="23.140625" style="429" customWidth="1"/>
    <col min="29" max="29" width="4.7109375" style="429" customWidth="1"/>
    <col min="30" max="30" width="9.85546875" style="429" customWidth="1"/>
    <col min="31" max="43" width="4.7109375" style="429" customWidth="1"/>
    <col min="44" max="46" width="9.140625" style="429"/>
    <col min="47" max="250" width="9.140625" style="388"/>
    <col min="251" max="251" width="3.42578125" style="388" customWidth="1"/>
    <col min="252" max="252" width="7.42578125" style="388" customWidth="1"/>
    <col min="253" max="258" width="9.28515625" style="388" customWidth="1"/>
    <col min="259" max="259" width="13.28515625" style="388" customWidth="1"/>
    <col min="260" max="260" width="1.7109375" style="388" customWidth="1"/>
    <col min="261" max="261" width="0.42578125" style="388" customWidth="1"/>
    <col min="262" max="271" width="0" style="388" hidden="1" customWidth="1"/>
    <col min="272" max="273" width="4.7109375" style="388" customWidth="1"/>
    <col min="274" max="278" width="0" style="388" hidden="1" customWidth="1"/>
    <col min="279" max="299" width="4.7109375" style="388" customWidth="1"/>
    <col min="300" max="506" width="9.140625" style="388"/>
    <col min="507" max="507" width="3.42578125" style="388" customWidth="1"/>
    <col min="508" max="508" width="7.42578125" style="388" customWidth="1"/>
    <col min="509" max="514" width="9.28515625" style="388" customWidth="1"/>
    <col min="515" max="515" width="13.28515625" style="388" customWidth="1"/>
    <col min="516" max="516" width="1.7109375" style="388" customWidth="1"/>
    <col min="517" max="517" width="0.42578125" style="388" customWidth="1"/>
    <col min="518" max="527" width="0" style="388" hidden="1" customWidth="1"/>
    <col min="528" max="529" width="4.7109375" style="388" customWidth="1"/>
    <col min="530" max="534" width="0" style="388" hidden="1" customWidth="1"/>
    <col min="535" max="555" width="4.7109375" style="388" customWidth="1"/>
    <col min="556" max="762" width="9.140625" style="388"/>
    <col min="763" max="763" width="3.42578125" style="388" customWidth="1"/>
    <col min="764" max="764" width="7.42578125" style="388" customWidth="1"/>
    <col min="765" max="770" width="9.28515625" style="388" customWidth="1"/>
    <col min="771" max="771" width="13.28515625" style="388" customWidth="1"/>
    <col min="772" max="772" width="1.7109375" style="388" customWidth="1"/>
    <col min="773" max="773" width="0.42578125" style="388" customWidth="1"/>
    <col min="774" max="783" width="0" style="388" hidden="1" customWidth="1"/>
    <col min="784" max="785" width="4.7109375" style="388" customWidth="1"/>
    <col min="786" max="790" width="0" style="388" hidden="1" customWidth="1"/>
    <col min="791" max="811" width="4.7109375" style="388" customWidth="1"/>
    <col min="812" max="1018" width="9.140625" style="388"/>
    <col min="1019" max="1019" width="3.42578125" style="388" customWidth="1"/>
    <col min="1020" max="1020" width="7.42578125" style="388" customWidth="1"/>
    <col min="1021" max="1026" width="9.28515625" style="388" customWidth="1"/>
    <col min="1027" max="1027" width="13.28515625" style="388" customWidth="1"/>
    <col min="1028" max="1028" width="1.7109375" style="388" customWidth="1"/>
    <col min="1029" max="1029" width="0.42578125" style="388" customWidth="1"/>
    <col min="1030" max="1039" width="0" style="388" hidden="1" customWidth="1"/>
    <col min="1040" max="1041" width="4.7109375" style="388" customWidth="1"/>
    <col min="1042" max="1046" width="0" style="388" hidden="1" customWidth="1"/>
    <col min="1047" max="1067" width="4.7109375" style="388" customWidth="1"/>
    <col min="1068" max="1274" width="9.140625" style="388"/>
    <col min="1275" max="1275" width="3.42578125" style="388" customWidth="1"/>
    <col min="1276" max="1276" width="7.42578125" style="388" customWidth="1"/>
    <col min="1277" max="1282" width="9.28515625" style="388" customWidth="1"/>
    <col min="1283" max="1283" width="13.28515625" style="388" customWidth="1"/>
    <col min="1284" max="1284" width="1.7109375" style="388" customWidth="1"/>
    <col min="1285" max="1285" width="0.42578125" style="388" customWidth="1"/>
    <col min="1286" max="1295" width="0" style="388" hidden="1" customWidth="1"/>
    <col min="1296" max="1297" width="4.7109375" style="388" customWidth="1"/>
    <col min="1298" max="1302" width="0" style="388" hidden="1" customWidth="1"/>
    <col min="1303" max="1323" width="4.7109375" style="388" customWidth="1"/>
    <col min="1324" max="1530" width="9.140625" style="388"/>
    <col min="1531" max="1531" width="3.42578125" style="388" customWidth="1"/>
    <col min="1532" max="1532" width="7.42578125" style="388" customWidth="1"/>
    <col min="1533" max="1538" width="9.28515625" style="388" customWidth="1"/>
    <col min="1539" max="1539" width="13.28515625" style="388" customWidth="1"/>
    <col min="1540" max="1540" width="1.7109375" style="388" customWidth="1"/>
    <col min="1541" max="1541" width="0.42578125" style="388" customWidth="1"/>
    <col min="1542" max="1551" width="0" style="388" hidden="1" customWidth="1"/>
    <col min="1552" max="1553" width="4.7109375" style="388" customWidth="1"/>
    <col min="1554" max="1558" width="0" style="388" hidden="1" customWidth="1"/>
    <col min="1559" max="1579" width="4.7109375" style="388" customWidth="1"/>
    <col min="1580" max="1786" width="9.140625" style="388"/>
    <col min="1787" max="1787" width="3.42578125" style="388" customWidth="1"/>
    <col min="1788" max="1788" width="7.42578125" style="388" customWidth="1"/>
    <col min="1789" max="1794" width="9.28515625" style="388" customWidth="1"/>
    <col min="1795" max="1795" width="13.28515625" style="388" customWidth="1"/>
    <col min="1796" max="1796" width="1.7109375" style="388" customWidth="1"/>
    <col min="1797" max="1797" width="0.42578125" style="388" customWidth="1"/>
    <col min="1798" max="1807" width="0" style="388" hidden="1" customWidth="1"/>
    <col min="1808" max="1809" width="4.7109375" style="388" customWidth="1"/>
    <col min="1810" max="1814" width="0" style="388" hidden="1" customWidth="1"/>
    <col min="1815" max="1835" width="4.7109375" style="388" customWidth="1"/>
    <col min="1836" max="2042" width="9.140625" style="388"/>
    <col min="2043" max="2043" width="3.42578125" style="388" customWidth="1"/>
    <col min="2044" max="2044" width="7.42578125" style="388" customWidth="1"/>
    <col min="2045" max="2050" width="9.28515625" style="388" customWidth="1"/>
    <col min="2051" max="2051" width="13.28515625" style="388" customWidth="1"/>
    <col min="2052" max="2052" width="1.7109375" style="388" customWidth="1"/>
    <col min="2053" max="2053" width="0.42578125" style="388" customWidth="1"/>
    <col min="2054" max="2063" width="0" style="388" hidden="1" customWidth="1"/>
    <col min="2064" max="2065" width="4.7109375" style="388" customWidth="1"/>
    <col min="2066" max="2070" width="0" style="388" hidden="1" customWidth="1"/>
    <col min="2071" max="2091" width="4.7109375" style="388" customWidth="1"/>
    <col min="2092" max="2298" width="9.140625" style="388"/>
    <col min="2299" max="2299" width="3.42578125" style="388" customWidth="1"/>
    <col min="2300" max="2300" width="7.42578125" style="388" customWidth="1"/>
    <col min="2301" max="2306" width="9.28515625" style="388" customWidth="1"/>
    <col min="2307" max="2307" width="13.28515625" style="388" customWidth="1"/>
    <col min="2308" max="2308" width="1.7109375" style="388" customWidth="1"/>
    <col min="2309" max="2309" width="0.42578125" style="388" customWidth="1"/>
    <col min="2310" max="2319" width="0" style="388" hidden="1" customWidth="1"/>
    <col min="2320" max="2321" width="4.7109375" style="388" customWidth="1"/>
    <col min="2322" max="2326" width="0" style="388" hidden="1" customWidth="1"/>
    <col min="2327" max="2347" width="4.7109375" style="388" customWidth="1"/>
    <col min="2348" max="2554" width="9.140625" style="388"/>
    <col min="2555" max="2555" width="3.42578125" style="388" customWidth="1"/>
    <col min="2556" max="2556" width="7.42578125" style="388" customWidth="1"/>
    <col min="2557" max="2562" width="9.28515625" style="388" customWidth="1"/>
    <col min="2563" max="2563" width="13.28515625" style="388" customWidth="1"/>
    <col min="2564" max="2564" width="1.7109375" style="388" customWidth="1"/>
    <col min="2565" max="2565" width="0.42578125" style="388" customWidth="1"/>
    <col min="2566" max="2575" width="0" style="388" hidden="1" customWidth="1"/>
    <col min="2576" max="2577" width="4.7109375" style="388" customWidth="1"/>
    <col min="2578" max="2582" width="0" style="388" hidden="1" customWidth="1"/>
    <col min="2583" max="2603" width="4.7109375" style="388" customWidth="1"/>
    <col min="2604" max="2810" width="9.140625" style="388"/>
    <col min="2811" max="2811" width="3.42578125" style="388" customWidth="1"/>
    <col min="2812" max="2812" width="7.42578125" style="388" customWidth="1"/>
    <col min="2813" max="2818" width="9.28515625" style="388" customWidth="1"/>
    <col min="2819" max="2819" width="13.28515625" style="388" customWidth="1"/>
    <col min="2820" max="2820" width="1.7109375" style="388" customWidth="1"/>
    <col min="2821" max="2821" width="0.42578125" style="388" customWidth="1"/>
    <col min="2822" max="2831" width="0" style="388" hidden="1" customWidth="1"/>
    <col min="2832" max="2833" width="4.7109375" style="388" customWidth="1"/>
    <col min="2834" max="2838" width="0" style="388" hidden="1" customWidth="1"/>
    <col min="2839" max="2859" width="4.7109375" style="388" customWidth="1"/>
    <col min="2860" max="3066" width="9.140625" style="388"/>
    <col min="3067" max="3067" width="3.42578125" style="388" customWidth="1"/>
    <col min="3068" max="3068" width="7.42578125" style="388" customWidth="1"/>
    <col min="3069" max="3074" width="9.28515625" style="388" customWidth="1"/>
    <col min="3075" max="3075" width="13.28515625" style="388" customWidth="1"/>
    <col min="3076" max="3076" width="1.7109375" style="388" customWidth="1"/>
    <col min="3077" max="3077" width="0.42578125" style="388" customWidth="1"/>
    <col min="3078" max="3087" width="0" style="388" hidden="1" customWidth="1"/>
    <col min="3088" max="3089" width="4.7109375" style="388" customWidth="1"/>
    <col min="3090" max="3094" width="0" style="388" hidden="1" customWidth="1"/>
    <col min="3095" max="3115" width="4.7109375" style="388" customWidth="1"/>
    <col min="3116" max="3322" width="9.140625" style="388"/>
    <col min="3323" max="3323" width="3.42578125" style="388" customWidth="1"/>
    <col min="3324" max="3324" width="7.42578125" style="388" customWidth="1"/>
    <col min="3325" max="3330" width="9.28515625" style="388" customWidth="1"/>
    <col min="3331" max="3331" width="13.28515625" style="388" customWidth="1"/>
    <col min="3332" max="3332" width="1.7109375" style="388" customWidth="1"/>
    <col min="3333" max="3333" width="0.42578125" style="388" customWidth="1"/>
    <col min="3334" max="3343" width="0" style="388" hidden="1" customWidth="1"/>
    <col min="3344" max="3345" width="4.7109375" style="388" customWidth="1"/>
    <col min="3346" max="3350" width="0" style="388" hidden="1" customWidth="1"/>
    <col min="3351" max="3371" width="4.7109375" style="388" customWidth="1"/>
    <col min="3372" max="3578" width="9.140625" style="388"/>
    <col min="3579" max="3579" width="3.42578125" style="388" customWidth="1"/>
    <col min="3580" max="3580" width="7.42578125" style="388" customWidth="1"/>
    <col min="3581" max="3586" width="9.28515625" style="388" customWidth="1"/>
    <col min="3587" max="3587" width="13.28515625" style="388" customWidth="1"/>
    <col min="3588" max="3588" width="1.7109375" style="388" customWidth="1"/>
    <col min="3589" max="3589" width="0.42578125" style="388" customWidth="1"/>
    <col min="3590" max="3599" width="0" style="388" hidden="1" customWidth="1"/>
    <col min="3600" max="3601" width="4.7109375" style="388" customWidth="1"/>
    <col min="3602" max="3606" width="0" style="388" hidden="1" customWidth="1"/>
    <col min="3607" max="3627" width="4.7109375" style="388" customWidth="1"/>
    <col min="3628" max="3834" width="9.140625" style="388"/>
    <col min="3835" max="3835" width="3.42578125" style="388" customWidth="1"/>
    <col min="3836" max="3836" width="7.42578125" style="388" customWidth="1"/>
    <col min="3837" max="3842" width="9.28515625" style="388" customWidth="1"/>
    <col min="3843" max="3843" width="13.28515625" style="388" customWidth="1"/>
    <col min="3844" max="3844" width="1.7109375" style="388" customWidth="1"/>
    <col min="3845" max="3845" width="0.42578125" style="388" customWidth="1"/>
    <col min="3846" max="3855" width="0" style="388" hidden="1" customWidth="1"/>
    <col min="3856" max="3857" width="4.7109375" style="388" customWidth="1"/>
    <col min="3858" max="3862" width="0" style="388" hidden="1" customWidth="1"/>
    <col min="3863" max="3883" width="4.7109375" style="388" customWidth="1"/>
    <col min="3884" max="4090" width="9.140625" style="388"/>
    <col min="4091" max="4091" width="3.42578125" style="388" customWidth="1"/>
    <col min="4092" max="4092" width="7.42578125" style="388" customWidth="1"/>
    <col min="4093" max="4098" width="9.28515625" style="388" customWidth="1"/>
    <col min="4099" max="4099" width="13.28515625" style="388" customWidth="1"/>
    <col min="4100" max="4100" width="1.7109375" style="388" customWidth="1"/>
    <col min="4101" max="4101" width="0.42578125" style="388" customWidth="1"/>
    <col min="4102" max="4111" width="0" style="388" hidden="1" customWidth="1"/>
    <col min="4112" max="4113" width="4.7109375" style="388" customWidth="1"/>
    <col min="4114" max="4118" width="0" style="388" hidden="1" customWidth="1"/>
    <col min="4119" max="4139" width="4.7109375" style="388" customWidth="1"/>
    <col min="4140" max="4346" width="9.140625" style="388"/>
    <col min="4347" max="4347" width="3.42578125" style="388" customWidth="1"/>
    <col min="4348" max="4348" width="7.42578125" style="388" customWidth="1"/>
    <col min="4349" max="4354" width="9.28515625" style="388" customWidth="1"/>
    <col min="4355" max="4355" width="13.28515625" style="388" customWidth="1"/>
    <col min="4356" max="4356" width="1.7109375" style="388" customWidth="1"/>
    <col min="4357" max="4357" width="0.42578125" style="388" customWidth="1"/>
    <col min="4358" max="4367" width="0" style="388" hidden="1" customWidth="1"/>
    <col min="4368" max="4369" width="4.7109375" style="388" customWidth="1"/>
    <col min="4370" max="4374" width="0" style="388" hidden="1" customWidth="1"/>
    <col min="4375" max="4395" width="4.7109375" style="388" customWidth="1"/>
    <col min="4396" max="4602" width="9.140625" style="388"/>
    <col min="4603" max="4603" width="3.42578125" style="388" customWidth="1"/>
    <col min="4604" max="4604" width="7.42578125" style="388" customWidth="1"/>
    <col min="4605" max="4610" width="9.28515625" style="388" customWidth="1"/>
    <col min="4611" max="4611" width="13.28515625" style="388" customWidth="1"/>
    <col min="4612" max="4612" width="1.7109375" style="388" customWidth="1"/>
    <col min="4613" max="4613" width="0.42578125" style="388" customWidth="1"/>
    <col min="4614" max="4623" width="0" style="388" hidden="1" customWidth="1"/>
    <col min="4624" max="4625" width="4.7109375" style="388" customWidth="1"/>
    <col min="4626" max="4630" width="0" style="388" hidden="1" customWidth="1"/>
    <col min="4631" max="4651" width="4.7109375" style="388" customWidth="1"/>
    <col min="4652" max="4858" width="9.140625" style="388"/>
    <col min="4859" max="4859" width="3.42578125" style="388" customWidth="1"/>
    <col min="4860" max="4860" width="7.42578125" style="388" customWidth="1"/>
    <col min="4861" max="4866" width="9.28515625" style="388" customWidth="1"/>
    <col min="4867" max="4867" width="13.28515625" style="388" customWidth="1"/>
    <col min="4868" max="4868" width="1.7109375" style="388" customWidth="1"/>
    <col min="4869" max="4869" width="0.42578125" style="388" customWidth="1"/>
    <col min="4870" max="4879" width="0" style="388" hidden="1" customWidth="1"/>
    <col min="4880" max="4881" width="4.7109375" style="388" customWidth="1"/>
    <col min="4882" max="4886" width="0" style="388" hidden="1" customWidth="1"/>
    <col min="4887" max="4907" width="4.7109375" style="388" customWidth="1"/>
    <col min="4908" max="5114" width="9.140625" style="388"/>
    <col min="5115" max="5115" width="3.42578125" style="388" customWidth="1"/>
    <col min="5116" max="5116" width="7.42578125" style="388" customWidth="1"/>
    <col min="5117" max="5122" width="9.28515625" style="388" customWidth="1"/>
    <col min="5123" max="5123" width="13.28515625" style="388" customWidth="1"/>
    <col min="5124" max="5124" width="1.7109375" style="388" customWidth="1"/>
    <col min="5125" max="5125" width="0.42578125" style="388" customWidth="1"/>
    <col min="5126" max="5135" width="0" style="388" hidden="1" customWidth="1"/>
    <col min="5136" max="5137" width="4.7109375" style="388" customWidth="1"/>
    <col min="5138" max="5142" width="0" style="388" hidden="1" customWidth="1"/>
    <col min="5143" max="5163" width="4.7109375" style="388" customWidth="1"/>
    <col min="5164" max="5370" width="9.140625" style="388"/>
    <col min="5371" max="5371" width="3.42578125" style="388" customWidth="1"/>
    <col min="5372" max="5372" width="7.42578125" style="388" customWidth="1"/>
    <col min="5373" max="5378" width="9.28515625" style="388" customWidth="1"/>
    <col min="5379" max="5379" width="13.28515625" style="388" customWidth="1"/>
    <col min="5380" max="5380" width="1.7109375" style="388" customWidth="1"/>
    <col min="5381" max="5381" width="0.42578125" style="388" customWidth="1"/>
    <col min="5382" max="5391" width="0" style="388" hidden="1" customWidth="1"/>
    <col min="5392" max="5393" width="4.7109375" style="388" customWidth="1"/>
    <col min="5394" max="5398" width="0" style="388" hidden="1" customWidth="1"/>
    <col min="5399" max="5419" width="4.7109375" style="388" customWidth="1"/>
    <col min="5420" max="5626" width="9.140625" style="388"/>
    <col min="5627" max="5627" width="3.42578125" style="388" customWidth="1"/>
    <col min="5628" max="5628" width="7.42578125" style="388" customWidth="1"/>
    <col min="5629" max="5634" width="9.28515625" style="388" customWidth="1"/>
    <col min="5635" max="5635" width="13.28515625" style="388" customWidth="1"/>
    <col min="5636" max="5636" width="1.7109375" style="388" customWidth="1"/>
    <col min="5637" max="5637" width="0.42578125" style="388" customWidth="1"/>
    <col min="5638" max="5647" width="0" style="388" hidden="1" customWidth="1"/>
    <col min="5648" max="5649" width="4.7109375" style="388" customWidth="1"/>
    <col min="5650" max="5654" width="0" style="388" hidden="1" customWidth="1"/>
    <col min="5655" max="5675" width="4.7109375" style="388" customWidth="1"/>
    <col min="5676" max="5882" width="9.140625" style="388"/>
    <col min="5883" max="5883" width="3.42578125" style="388" customWidth="1"/>
    <col min="5884" max="5884" width="7.42578125" style="388" customWidth="1"/>
    <col min="5885" max="5890" width="9.28515625" style="388" customWidth="1"/>
    <col min="5891" max="5891" width="13.28515625" style="388" customWidth="1"/>
    <col min="5892" max="5892" width="1.7109375" style="388" customWidth="1"/>
    <col min="5893" max="5893" width="0.42578125" style="388" customWidth="1"/>
    <col min="5894" max="5903" width="0" style="388" hidden="1" customWidth="1"/>
    <col min="5904" max="5905" width="4.7109375" style="388" customWidth="1"/>
    <col min="5906" max="5910" width="0" style="388" hidden="1" customWidth="1"/>
    <col min="5911" max="5931" width="4.7109375" style="388" customWidth="1"/>
    <col min="5932" max="6138" width="9.140625" style="388"/>
    <col min="6139" max="6139" width="3.42578125" style="388" customWidth="1"/>
    <col min="6140" max="6140" width="7.42578125" style="388" customWidth="1"/>
    <col min="6141" max="6146" width="9.28515625" style="388" customWidth="1"/>
    <col min="6147" max="6147" width="13.28515625" style="388" customWidth="1"/>
    <col min="6148" max="6148" width="1.7109375" style="388" customWidth="1"/>
    <col min="6149" max="6149" width="0.42578125" style="388" customWidth="1"/>
    <col min="6150" max="6159" width="0" style="388" hidden="1" customWidth="1"/>
    <col min="6160" max="6161" width="4.7109375" style="388" customWidth="1"/>
    <col min="6162" max="6166" width="0" style="388" hidden="1" customWidth="1"/>
    <col min="6167" max="6187" width="4.7109375" style="388" customWidth="1"/>
    <col min="6188" max="6394" width="9.140625" style="388"/>
    <col min="6395" max="6395" width="3.42578125" style="388" customWidth="1"/>
    <col min="6396" max="6396" width="7.42578125" style="388" customWidth="1"/>
    <col min="6397" max="6402" width="9.28515625" style="388" customWidth="1"/>
    <col min="6403" max="6403" width="13.28515625" style="388" customWidth="1"/>
    <col min="6404" max="6404" width="1.7109375" style="388" customWidth="1"/>
    <col min="6405" max="6405" width="0.42578125" style="388" customWidth="1"/>
    <col min="6406" max="6415" width="0" style="388" hidden="1" customWidth="1"/>
    <col min="6416" max="6417" width="4.7109375" style="388" customWidth="1"/>
    <col min="6418" max="6422" width="0" style="388" hidden="1" customWidth="1"/>
    <col min="6423" max="6443" width="4.7109375" style="388" customWidth="1"/>
    <col min="6444" max="6650" width="9.140625" style="388"/>
    <col min="6651" max="6651" width="3.42578125" style="388" customWidth="1"/>
    <col min="6652" max="6652" width="7.42578125" style="388" customWidth="1"/>
    <col min="6653" max="6658" width="9.28515625" style="388" customWidth="1"/>
    <col min="6659" max="6659" width="13.28515625" style="388" customWidth="1"/>
    <col min="6660" max="6660" width="1.7109375" style="388" customWidth="1"/>
    <col min="6661" max="6661" width="0.42578125" style="388" customWidth="1"/>
    <col min="6662" max="6671" width="0" style="388" hidden="1" customWidth="1"/>
    <col min="6672" max="6673" width="4.7109375" style="388" customWidth="1"/>
    <col min="6674" max="6678" width="0" style="388" hidden="1" customWidth="1"/>
    <col min="6679" max="6699" width="4.7109375" style="388" customWidth="1"/>
    <col min="6700" max="6906" width="9.140625" style="388"/>
    <col min="6907" max="6907" width="3.42578125" style="388" customWidth="1"/>
    <col min="6908" max="6908" width="7.42578125" style="388" customWidth="1"/>
    <col min="6909" max="6914" width="9.28515625" style="388" customWidth="1"/>
    <col min="6915" max="6915" width="13.28515625" style="388" customWidth="1"/>
    <col min="6916" max="6916" width="1.7109375" style="388" customWidth="1"/>
    <col min="6917" max="6917" width="0.42578125" style="388" customWidth="1"/>
    <col min="6918" max="6927" width="0" style="388" hidden="1" customWidth="1"/>
    <col min="6928" max="6929" width="4.7109375" style="388" customWidth="1"/>
    <col min="6930" max="6934" width="0" style="388" hidden="1" customWidth="1"/>
    <col min="6935" max="6955" width="4.7109375" style="388" customWidth="1"/>
    <col min="6956" max="7162" width="9.140625" style="388"/>
    <col min="7163" max="7163" width="3.42578125" style="388" customWidth="1"/>
    <col min="7164" max="7164" width="7.42578125" style="388" customWidth="1"/>
    <col min="7165" max="7170" width="9.28515625" style="388" customWidth="1"/>
    <col min="7171" max="7171" width="13.28515625" style="388" customWidth="1"/>
    <col min="7172" max="7172" width="1.7109375" style="388" customWidth="1"/>
    <col min="7173" max="7173" width="0.42578125" style="388" customWidth="1"/>
    <col min="7174" max="7183" width="0" style="388" hidden="1" customWidth="1"/>
    <col min="7184" max="7185" width="4.7109375" style="388" customWidth="1"/>
    <col min="7186" max="7190" width="0" style="388" hidden="1" customWidth="1"/>
    <col min="7191" max="7211" width="4.7109375" style="388" customWidth="1"/>
    <col min="7212" max="7418" width="9.140625" style="388"/>
    <col min="7419" max="7419" width="3.42578125" style="388" customWidth="1"/>
    <col min="7420" max="7420" width="7.42578125" style="388" customWidth="1"/>
    <col min="7421" max="7426" width="9.28515625" style="388" customWidth="1"/>
    <col min="7427" max="7427" width="13.28515625" style="388" customWidth="1"/>
    <col min="7428" max="7428" width="1.7109375" style="388" customWidth="1"/>
    <col min="7429" max="7429" width="0.42578125" style="388" customWidth="1"/>
    <col min="7430" max="7439" width="0" style="388" hidden="1" customWidth="1"/>
    <col min="7440" max="7441" width="4.7109375" style="388" customWidth="1"/>
    <col min="7442" max="7446" width="0" style="388" hidden="1" customWidth="1"/>
    <col min="7447" max="7467" width="4.7109375" style="388" customWidth="1"/>
    <col min="7468" max="7674" width="9.140625" style="388"/>
    <col min="7675" max="7675" width="3.42578125" style="388" customWidth="1"/>
    <col min="7676" max="7676" width="7.42578125" style="388" customWidth="1"/>
    <col min="7677" max="7682" width="9.28515625" style="388" customWidth="1"/>
    <col min="7683" max="7683" width="13.28515625" style="388" customWidth="1"/>
    <col min="7684" max="7684" width="1.7109375" style="388" customWidth="1"/>
    <col min="7685" max="7685" width="0.42578125" style="388" customWidth="1"/>
    <col min="7686" max="7695" width="0" style="388" hidden="1" customWidth="1"/>
    <col min="7696" max="7697" width="4.7109375" style="388" customWidth="1"/>
    <col min="7698" max="7702" width="0" style="388" hidden="1" customWidth="1"/>
    <col min="7703" max="7723" width="4.7109375" style="388" customWidth="1"/>
    <col min="7724" max="7930" width="9.140625" style="388"/>
    <col min="7931" max="7931" width="3.42578125" style="388" customWidth="1"/>
    <col min="7932" max="7932" width="7.42578125" style="388" customWidth="1"/>
    <col min="7933" max="7938" width="9.28515625" style="388" customWidth="1"/>
    <col min="7939" max="7939" width="13.28515625" style="388" customWidth="1"/>
    <col min="7940" max="7940" width="1.7109375" style="388" customWidth="1"/>
    <col min="7941" max="7941" width="0.42578125" style="388" customWidth="1"/>
    <col min="7942" max="7951" width="0" style="388" hidden="1" customWidth="1"/>
    <col min="7952" max="7953" width="4.7109375" style="388" customWidth="1"/>
    <col min="7954" max="7958" width="0" style="388" hidden="1" customWidth="1"/>
    <col min="7959" max="7979" width="4.7109375" style="388" customWidth="1"/>
    <col min="7980" max="8186" width="9.140625" style="388"/>
    <col min="8187" max="8187" width="3.42578125" style="388" customWidth="1"/>
    <col min="8188" max="8188" width="7.42578125" style="388" customWidth="1"/>
    <col min="8189" max="8194" width="9.28515625" style="388" customWidth="1"/>
    <col min="8195" max="8195" width="13.28515625" style="388" customWidth="1"/>
    <col min="8196" max="8196" width="1.7109375" style="388" customWidth="1"/>
    <col min="8197" max="8197" width="0.42578125" style="388" customWidth="1"/>
    <col min="8198" max="8207" width="0" style="388" hidden="1" customWidth="1"/>
    <col min="8208" max="8209" width="4.7109375" style="388" customWidth="1"/>
    <col min="8210" max="8214" width="0" style="388" hidden="1" customWidth="1"/>
    <col min="8215" max="8235" width="4.7109375" style="388" customWidth="1"/>
    <col min="8236" max="8442" width="9.140625" style="388"/>
    <col min="8443" max="8443" width="3.42578125" style="388" customWidth="1"/>
    <col min="8444" max="8444" width="7.42578125" style="388" customWidth="1"/>
    <col min="8445" max="8450" width="9.28515625" style="388" customWidth="1"/>
    <col min="8451" max="8451" width="13.28515625" style="388" customWidth="1"/>
    <col min="8452" max="8452" width="1.7109375" style="388" customWidth="1"/>
    <col min="8453" max="8453" width="0.42578125" style="388" customWidth="1"/>
    <col min="8454" max="8463" width="0" style="388" hidden="1" customWidth="1"/>
    <col min="8464" max="8465" width="4.7109375" style="388" customWidth="1"/>
    <col min="8466" max="8470" width="0" style="388" hidden="1" customWidth="1"/>
    <col min="8471" max="8491" width="4.7109375" style="388" customWidth="1"/>
    <col min="8492" max="8698" width="9.140625" style="388"/>
    <col min="8699" max="8699" width="3.42578125" style="388" customWidth="1"/>
    <col min="8700" max="8700" width="7.42578125" style="388" customWidth="1"/>
    <col min="8701" max="8706" width="9.28515625" style="388" customWidth="1"/>
    <col min="8707" max="8707" width="13.28515625" style="388" customWidth="1"/>
    <col min="8708" max="8708" width="1.7109375" style="388" customWidth="1"/>
    <col min="8709" max="8709" width="0.42578125" style="388" customWidth="1"/>
    <col min="8710" max="8719" width="0" style="388" hidden="1" customWidth="1"/>
    <col min="8720" max="8721" width="4.7109375" style="388" customWidth="1"/>
    <col min="8722" max="8726" width="0" style="388" hidden="1" customWidth="1"/>
    <col min="8727" max="8747" width="4.7109375" style="388" customWidth="1"/>
    <col min="8748" max="8954" width="9.140625" style="388"/>
    <col min="8955" max="8955" width="3.42578125" style="388" customWidth="1"/>
    <col min="8956" max="8956" width="7.42578125" style="388" customWidth="1"/>
    <col min="8957" max="8962" width="9.28515625" style="388" customWidth="1"/>
    <col min="8963" max="8963" width="13.28515625" style="388" customWidth="1"/>
    <col min="8964" max="8964" width="1.7109375" style="388" customWidth="1"/>
    <col min="8965" max="8965" width="0.42578125" style="388" customWidth="1"/>
    <col min="8966" max="8975" width="0" style="388" hidden="1" customWidth="1"/>
    <col min="8976" max="8977" width="4.7109375" style="388" customWidth="1"/>
    <col min="8978" max="8982" width="0" style="388" hidden="1" customWidth="1"/>
    <col min="8983" max="9003" width="4.7109375" style="388" customWidth="1"/>
    <col min="9004" max="9210" width="9.140625" style="388"/>
    <col min="9211" max="9211" width="3.42578125" style="388" customWidth="1"/>
    <col min="9212" max="9212" width="7.42578125" style="388" customWidth="1"/>
    <col min="9213" max="9218" width="9.28515625" style="388" customWidth="1"/>
    <col min="9219" max="9219" width="13.28515625" style="388" customWidth="1"/>
    <col min="9220" max="9220" width="1.7109375" style="388" customWidth="1"/>
    <col min="9221" max="9221" width="0.42578125" style="388" customWidth="1"/>
    <col min="9222" max="9231" width="0" style="388" hidden="1" customWidth="1"/>
    <col min="9232" max="9233" width="4.7109375" style="388" customWidth="1"/>
    <col min="9234" max="9238" width="0" style="388" hidden="1" customWidth="1"/>
    <col min="9239" max="9259" width="4.7109375" style="388" customWidth="1"/>
    <col min="9260" max="9466" width="9.140625" style="388"/>
    <col min="9467" max="9467" width="3.42578125" style="388" customWidth="1"/>
    <col min="9468" max="9468" width="7.42578125" style="388" customWidth="1"/>
    <col min="9469" max="9474" width="9.28515625" style="388" customWidth="1"/>
    <col min="9475" max="9475" width="13.28515625" style="388" customWidth="1"/>
    <col min="9476" max="9476" width="1.7109375" style="388" customWidth="1"/>
    <col min="9477" max="9477" width="0.42578125" style="388" customWidth="1"/>
    <col min="9478" max="9487" width="0" style="388" hidden="1" customWidth="1"/>
    <col min="9488" max="9489" width="4.7109375" style="388" customWidth="1"/>
    <col min="9490" max="9494" width="0" style="388" hidden="1" customWidth="1"/>
    <col min="9495" max="9515" width="4.7109375" style="388" customWidth="1"/>
    <col min="9516" max="9722" width="9.140625" style="388"/>
    <col min="9723" max="9723" width="3.42578125" style="388" customWidth="1"/>
    <col min="9724" max="9724" width="7.42578125" style="388" customWidth="1"/>
    <col min="9725" max="9730" width="9.28515625" style="388" customWidth="1"/>
    <col min="9731" max="9731" width="13.28515625" style="388" customWidth="1"/>
    <col min="9732" max="9732" width="1.7109375" style="388" customWidth="1"/>
    <col min="9733" max="9733" width="0.42578125" style="388" customWidth="1"/>
    <col min="9734" max="9743" width="0" style="388" hidden="1" customWidth="1"/>
    <col min="9744" max="9745" width="4.7109375" style="388" customWidth="1"/>
    <col min="9746" max="9750" width="0" style="388" hidden="1" customWidth="1"/>
    <col min="9751" max="9771" width="4.7109375" style="388" customWidth="1"/>
    <col min="9772" max="9978" width="9.140625" style="388"/>
    <col min="9979" max="9979" width="3.42578125" style="388" customWidth="1"/>
    <col min="9980" max="9980" width="7.42578125" style="388" customWidth="1"/>
    <col min="9981" max="9986" width="9.28515625" style="388" customWidth="1"/>
    <col min="9987" max="9987" width="13.28515625" style="388" customWidth="1"/>
    <col min="9988" max="9988" width="1.7109375" style="388" customWidth="1"/>
    <col min="9989" max="9989" width="0.42578125" style="388" customWidth="1"/>
    <col min="9990" max="9999" width="0" style="388" hidden="1" customWidth="1"/>
    <col min="10000" max="10001" width="4.7109375" style="388" customWidth="1"/>
    <col min="10002" max="10006" width="0" style="388" hidden="1" customWidth="1"/>
    <col min="10007" max="10027" width="4.7109375" style="388" customWidth="1"/>
    <col min="10028" max="10234" width="9.140625" style="388"/>
    <col min="10235" max="10235" width="3.42578125" style="388" customWidth="1"/>
    <col min="10236" max="10236" width="7.42578125" style="388" customWidth="1"/>
    <col min="10237" max="10242" width="9.28515625" style="388" customWidth="1"/>
    <col min="10243" max="10243" width="13.28515625" style="388" customWidth="1"/>
    <col min="10244" max="10244" width="1.7109375" style="388" customWidth="1"/>
    <col min="10245" max="10245" width="0.42578125" style="388" customWidth="1"/>
    <col min="10246" max="10255" width="0" style="388" hidden="1" customWidth="1"/>
    <col min="10256" max="10257" width="4.7109375" style="388" customWidth="1"/>
    <col min="10258" max="10262" width="0" style="388" hidden="1" customWidth="1"/>
    <col min="10263" max="10283" width="4.7109375" style="388" customWidth="1"/>
    <col min="10284" max="10490" width="9.140625" style="388"/>
    <col min="10491" max="10491" width="3.42578125" style="388" customWidth="1"/>
    <col min="10492" max="10492" width="7.42578125" style="388" customWidth="1"/>
    <col min="10493" max="10498" width="9.28515625" style="388" customWidth="1"/>
    <col min="10499" max="10499" width="13.28515625" style="388" customWidth="1"/>
    <col min="10500" max="10500" width="1.7109375" style="388" customWidth="1"/>
    <col min="10501" max="10501" width="0.42578125" style="388" customWidth="1"/>
    <col min="10502" max="10511" width="0" style="388" hidden="1" customWidth="1"/>
    <col min="10512" max="10513" width="4.7109375" style="388" customWidth="1"/>
    <col min="10514" max="10518" width="0" style="388" hidden="1" customWidth="1"/>
    <col min="10519" max="10539" width="4.7109375" style="388" customWidth="1"/>
    <col min="10540" max="10746" width="9.140625" style="388"/>
    <col min="10747" max="10747" width="3.42578125" style="388" customWidth="1"/>
    <col min="10748" max="10748" width="7.42578125" style="388" customWidth="1"/>
    <col min="10749" max="10754" width="9.28515625" style="388" customWidth="1"/>
    <col min="10755" max="10755" width="13.28515625" style="388" customWidth="1"/>
    <col min="10756" max="10756" width="1.7109375" style="388" customWidth="1"/>
    <col min="10757" max="10757" width="0.42578125" style="388" customWidth="1"/>
    <col min="10758" max="10767" width="0" style="388" hidden="1" customWidth="1"/>
    <col min="10768" max="10769" width="4.7109375" style="388" customWidth="1"/>
    <col min="10770" max="10774" width="0" style="388" hidden="1" customWidth="1"/>
    <col min="10775" max="10795" width="4.7109375" style="388" customWidth="1"/>
    <col min="10796" max="11002" width="9.140625" style="388"/>
    <col min="11003" max="11003" width="3.42578125" style="388" customWidth="1"/>
    <col min="11004" max="11004" width="7.42578125" style="388" customWidth="1"/>
    <col min="11005" max="11010" width="9.28515625" style="388" customWidth="1"/>
    <col min="11011" max="11011" width="13.28515625" style="388" customWidth="1"/>
    <col min="11012" max="11012" width="1.7109375" style="388" customWidth="1"/>
    <col min="11013" max="11013" width="0.42578125" style="388" customWidth="1"/>
    <col min="11014" max="11023" width="0" style="388" hidden="1" customWidth="1"/>
    <col min="11024" max="11025" width="4.7109375" style="388" customWidth="1"/>
    <col min="11026" max="11030" width="0" style="388" hidden="1" customWidth="1"/>
    <col min="11031" max="11051" width="4.7109375" style="388" customWidth="1"/>
    <col min="11052" max="11258" width="9.140625" style="388"/>
    <col min="11259" max="11259" width="3.42578125" style="388" customWidth="1"/>
    <col min="11260" max="11260" width="7.42578125" style="388" customWidth="1"/>
    <col min="11261" max="11266" width="9.28515625" style="388" customWidth="1"/>
    <col min="11267" max="11267" width="13.28515625" style="388" customWidth="1"/>
    <col min="11268" max="11268" width="1.7109375" style="388" customWidth="1"/>
    <col min="11269" max="11269" width="0.42578125" style="388" customWidth="1"/>
    <col min="11270" max="11279" width="0" style="388" hidden="1" customWidth="1"/>
    <col min="11280" max="11281" width="4.7109375" style="388" customWidth="1"/>
    <col min="11282" max="11286" width="0" style="388" hidden="1" customWidth="1"/>
    <col min="11287" max="11307" width="4.7109375" style="388" customWidth="1"/>
    <col min="11308" max="11514" width="9.140625" style="388"/>
    <col min="11515" max="11515" width="3.42578125" style="388" customWidth="1"/>
    <col min="11516" max="11516" width="7.42578125" style="388" customWidth="1"/>
    <col min="11517" max="11522" width="9.28515625" style="388" customWidth="1"/>
    <col min="11523" max="11523" width="13.28515625" style="388" customWidth="1"/>
    <col min="11524" max="11524" width="1.7109375" style="388" customWidth="1"/>
    <col min="11525" max="11525" width="0.42578125" style="388" customWidth="1"/>
    <col min="11526" max="11535" width="0" style="388" hidden="1" customWidth="1"/>
    <col min="11536" max="11537" width="4.7109375" style="388" customWidth="1"/>
    <col min="11538" max="11542" width="0" style="388" hidden="1" customWidth="1"/>
    <col min="11543" max="11563" width="4.7109375" style="388" customWidth="1"/>
    <col min="11564" max="11770" width="9.140625" style="388"/>
    <col min="11771" max="11771" width="3.42578125" style="388" customWidth="1"/>
    <col min="11772" max="11772" width="7.42578125" style="388" customWidth="1"/>
    <col min="11773" max="11778" width="9.28515625" style="388" customWidth="1"/>
    <col min="11779" max="11779" width="13.28515625" style="388" customWidth="1"/>
    <col min="11780" max="11780" width="1.7109375" style="388" customWidth="1"/>
    <col min="11781" max="11781" width="0.42578125" style="388" customWidth="1"/>
    <col min="11782" max="11791" width="0" style="388" hidden="1" customWidth="1"/>
    <col min="11792" max="11793" width="4.7109375" style="388" customWidth="1"/>
    <col min="11794" max="11798" width="0" style="388" hidden="1" customWidth="1"/>
    <col min="11799" max="11819" width="4.7109375" style="388" customWidth="1"/>
    <col min="11820" max="12026" width="9.140625" style="388"/>
    <col min="12027" max="12027" width="3.42578125" style="388" customWidth="1"/>
    <col min="12028" max="12028" width="7.42578125" style="388" customWidth="1"/>
    <col min="12029" max="12034" width="9.28515625" style="388" customWidth="1"/>
    <col min="12035" max="12035" width="13.28515625" style="388" customWidth="1"/>
    <col min="12036" max="12036" width="1.7109375" style="388" customWidth="1"/>
    <col min="12037" max="12037" width="0.42578125" style="388" customWidth="1"/>
    <col min="12038" max="12047" width="0" style="388" hidden="1" customWidth="1"/>
    <col min="12048" max="12049" width="4.7109375" style="388" customWidth="1"/>
    <col min="12050" max="12054" width="0" style="388" hidden="1" customWidth="1"/>
    <col min="12055" max="12075" width="4.7109375" style="388" customWidth="1"/>
    <col min="12076" max="12282" width="9.140625" style="388"/>
    <col min="12283" max="12283" width="3.42578125" style="388" customWidth="1"/>
    <col min="12284" max="12284" width="7.42578125" style="388" customWidth="1"/>
    <col min="12285" max="12290" width="9.28515625" style="388" customWidth="1"/>
    <col min="12291" max="12291" width="13.28515625" style="388" customWidth="1"/>
    <col min="12292" max="12292" width="1.7109375" style="388" customWidth="1"/>
    <col min="12293" max="12293" width="0.42578125" style="388" customWidth="1"/>
    <col min="12294" max="12303" width="0" style="388" hidden="1" customWidth="1"/>
    <col min="12304" max="12305" width="4.7109375" style="388" customWidth="1"/>
    <col min="12306" max="12310" width="0" style="388" hidden="1" customWidth="1"/>
    <col min="12311" max="12331" width="4.7109375" style="388" customWidth="1"/>
    <col min="12332" max="12538" width="9.140625" style="388"/>
    <col min="12539" max="12539" width="3.42578125" style="388" customWidth="1"/>
    <col min="12540" max="12540" width="7.42578125" style="388" customWidth="1"/>
    <col min="12541" max="12546" width="9.28515625" style="388" customWidth="1"/>
    <col min="12547" max="12547" width="13.28515625" style="388" customWidth="1"/>
    <col min="12548" max="12548" width="1.7109375" style="388" customWidth="1"/>
    <col min="12549" max="12549" width="0.42578125" style="388" customWidth="1"/>
    <col min="12550" max="12559" width="0" style="388" hidden="1" customWidth="1"/>
    <col min="12560" max="12561" width="4.7109375" style="388" customWidth="1"/>
    <col min="12562" max="12566" width="0" style="388" hidden="1" customWidth="1"/>
    <col min="12567" max="12587" width="4.7109375" style="388" customWidth="1"/>
    <col min="12588" max="12794" width="9.140625" style="388"/>
    <col min="12795" max="12795" width="3.42578125" style="388" customWidth="1"/>
    <col min="12796" max="12796" width="7.42578125" style="388" customWidth="1"/>
    <col min="12797" max="12802" width="9.28515625" style="388" customWidth="1"/>
    <col min="12803" max="12803" width="13.28515625" style="388" customWidth="1"/>
    <col min="12804" max="12804" width="1.7109375" style="388" customWidth="1"/>
    <col min="12805" max="12805" width="0.42578125" style="388" customWidth="1"/>
    <col min="12806" max="12815" width="0" style="388" hidden="1" customWidth="1"/>
    <col min="12816" max="12817" width="4.7109375" style="388" customWidth="1"/>
    <col min="12818" max="12822" width="0" style="388" hidden="1" customWidth="1"/>
    <col min="12823" max="12843" width="4.7109375" style="388" customWidth="1"/>
    <col min="12844" max="13050" width="9.140625" style="388"/>
    <col min="13051" max="13051" width="3.42578125" style="388" customWidth="1"/>
    <col min="13052" max="13052" width="7.42578125" style="388" customWidth="1"/>
    <col min="13053" max="13058" width="9.28515625" style="388" customWidth="1"/>
    <col min="13059" max="13059" width="13.28515625" style="388" customWidth="1"/>
    <col min="13060" max="13060" width="1.7109375" style="388" customWidth="1"/>
    <col min="13061" max="13061" width="0.42578125" style="388" customWidth="1"/>
    <col min="13062" max="13071" width="0" style="388" hidden="1" customWidth="1"/>
    <col min="13072" max="13073" width="4.7109375" style="388" customWidth="1"/>
    <col min="13074" max="13078" width="0" style="388" hidden="1" customWidth="1"/>
    <col min="13079" max="13099" width="4.7109375" style="388" customWidth="1"/>
    <col min="13100" max="13306" width="9.140625" style="388"/>
    <col min="13307" max="13307" width="3.42578125" style="388" customWidth="1"/>
    <col min="13308" max="13308" width="7.42578125" style="388" customWidth="1"/>
    <col min="13309" max="13314" width="9.28515625" style="388" customWidth="1"/>
    <col min="13315" max="13315" width="13.28515625" style="388" customWidth="1"/>
    <col min="13316" max="13316" width="1.7109375" style="388" customWidth="1"/>
    <col min="13317" max="13317" width="0.42578125" style="388" customWidth="1"/>
    <col min="13318" max="13327" width="0" style="388" hidden="1" customWidth="1"/>
    <col min="13328" max="13329" width="4.7109375" style="388" customWidth="1"/>
    <col min="13330" max="13334" width="0" style="388" hidden="1" customWidth="1"/>
    <col min="13335" max="13355" width="4.7109375" style="388" customWidth="1"/>
    <col min="13356" max="13562" width="9.140625" style="388"/>
    <col min="13563" max="13563" width="3.42578125" style="388" customWidth="1"/>
    <col min="13564" max="13564" width="7.42578125" style="388" customWidth="1"/>
    <col min="13565" max="13570" width="9.28515625" style="388" customWidth="1"/>
    <col min="13571" max="13571" width="13.28515625" style="388" customWidth="1"/>
    <col min="13572" max="13572" width="1.7109375" style="388" customWidth="1"/>
    <col min="13573" max="13573" width="0.42578125" style="388" customWidth="1"/>
    <col min="13574" max="13583" width="0" style="388" hidden="1" customWidth="1"/>
    <col min="13584" max="13585" width="4.7109375" style="388" customWidth="1"/>
    <col min="13586" max="13590" width="0" style="388" hidden="1" customWidth="1"/>
    <col min="13591" max="13611" width="4.7109375" style="388" customWidth="1"/>
    <col min="13612" max="13818" width="9.140625" style="388"/>
    <col min="13819" max="13819" width="3.42578125" style="388" customWidth="1"/>
    <col min="13820" max="13820" width="7.42578125" style="388" customWidth="1"/>
    <col min="13821" max="13826" width="9.28515625" style="388" customWidth="1"/>
    <col min="13827" max="13827" width="13.28515625" style="388" customWidth="1"/>
    <col min="13828" max="13828" width="1.7109375" style="388" customWidth="1"/>
    <col min="13829" max="13829" width="0.42578125" style="388" customWidth="1"/>
    <col min="13830" max="13839" width="0" style="388" hidden="1" customWidth="1"/>
    <col min="13840" max="13841" width="4.7109375" style="388" customWidth="1"/>
    <col min="13842" max="13846" width="0" style="388" hidden="1" customWidth="1"/>
    <col min="13847" max="13867" width="4.7109375" style="388" customWidth="1"/>
    <col min="13868" max="14074" width="9.140625" style="388"/>
    <col min="14075" max="14075" width="3.42578125" style="388" customWidth="1"/>
    <col min="14076" max="14076" width="7.42578125" style="388" customWidth="1"/>
    <col min="14077" max="14082" width="9.28515625" style="388" customWidth="1"/>
    <col min="14083" max="14083" width="13.28515625" style="388" customWidth="1"/>
    <col min="14084" max="14084" width="1.7109375" style="388" customWidth="1"/>
    <col min="14085" max="14085" width="0.42578125" style="388" customWidth="1"/>
    <col min="14086" max="14095" width="0" style="388" hidden="1" customWidth="1"/>
    <col min="14096" max="14097" width="4.7109375" style="388" customWidth="1"/>
    <col min="14098" max="14102" width="0" style="388" hidden="1" customWidth="1"/>
    <col min="14103" max="14123" width="4.7109375" style="388" customWidth="1"/>
    <col min="14124" max="14330" width="9.140625" style="388"/>
    <col min="14331" max="14331" width="3.42578125" style="388" customWidth="1"/>
    <col min="14332" max="14332" width="7.42578125" style="388" customWidth="1"/>
    <col min="14333" max="14338" width="9.28515625" style="388" customWidth="1"/>
    <col min="14339" max="14339" width="13.28515625" style="388" customWidth="1"/>
    <col min="14340" max="14340" width="1.7109375" style="388" customWidth="1"/>
    <col min="14341" max="14341" width="0.42578125" style="388" customWidth="1"/>
    <col min="14342" max="14351" width="0" style="388" hidden="1" customWidth="1"/>
    <col min="14352" max="14353" width="4.7109375" style="388" customWidth="1"/>
    <col min="14354" max="14358" width="0" style="388" hidden="1" customWidth="1"/>
    <col min="14359" max="14379" width="4.7109375" style="388" customWidth="1"/>
    <col min="14380" max="14586" width="9.140625" style="388"/>
    <col min="14587" max="14587" width="3.42578125" style="388" customWidth="1"/>
    <col min="14588" max="14588" width="7.42578125" style="388" customWidth="1"/>
    <col min="14589" max="14594" width="9.28515625" style="388" customWidth="1"/>
    <col min="14595" max="14595" width="13.28515625" style="388" customWidth="1"/>
    <col min="14596" max="14596" width="1.7109375" style="388" customWidth="1"/>
    <col min="14597" max="14597" width="0.42578125" style="388" customWidth="1"/>
    <col min="14598" max="14607" width="0" style="388" hidden="1" customWidth="1"/>
    <col min="14608" max="14609" width="4.7109375" style="388" customWidth="1"/>
    <col min="14610" max="14614" width="0" style="388" hidden="1" customWidth="1"/>
    <col min="14615" max="14635" width="4.7109375" style="388" customWidth="1"/>
    <col min="14636" max="14842" width="9.140625" style="388"/>
    <col min="14843" max="14843" width="3.42578125" style="388" customWidth="1"/>
    <col min="14844" max="14844" width="7.42578125" style="388" customWidth="1"/>
    <col min="14845" max="14850" width="9.28515625" style="388" customWidth="1"/>
    <col min="14851" max="14851" width="13.28515625" style="388" customWidth="1"/>
    <col min="14852" max="14852" width="1.7109375" style="388" customWidth="1"/>
    <col min="14853" max="14853" width="0.42578125" style="388" customWidth="1"/>
    <col min="14854" max="14863" width="0" style="388" hidden="1" customWidth="1"/>
    <col min="14864" max="14865" width="4.7109375" style="388" customWidth="1"/>
    <col min="14866" max="14870" width="0" style="388" hidden="1" customWidth="1"/>
    <col min="14871" max="14891" width="4.7109375" style="388" customWidth="1"/>
    <col min="14892" max="15098" width="9.140625" style="388"/>
    <col min="15099" max="15099" width="3.42578125" style="388" customWidth="1"/>
    <col min="15100" max="15100" width="7.42578125" style="388" customWidth="1"/>
    <col min="15101" max="15106" width="9.28515625" style="388" customWidth="1"/>
    <col min="15107" max="15107" width="13.28515625" style="388" customWidth="1"/>
    <col min="15108" max="15108" width="1.7109375" style="388" customWidth="1"/>
    <col min="15109" max="15109" width="0.42578125" style="388" customWidth="1"/>
    <col min="15110" max="15119" width="0" style="388" hidden="1" customWidth="1"/>
    <col min="15120" max="15121" width="4.7109375" style="388" customWidth="1"/>
    <col min="15122" max="15126" width="0" style="388" hidden="1" customWidth="1"/>
    <col min="15127" max="15147" width="4.7109375" style="388" customWidth="1"/>
    <col min="15148" max="15354" width="9.140625" style="388"/>
    <col min="15355" max="15355" width="3.42578125" style="388" customWidth="1"/>
    <col min="15356" max="15356" width="7.42578125" style="388" customWidth="1"/>
    <col min="15357" max="15362" width="9.28515625" style="388" customWidth="1"/>
    <col min="15363" max="15363" width="13.28515625" style="388" customWidth="1"/>
    <col min="15364" max="15364" width="1.7109375" style="388" customWidth="1"/>
    <col min="15365" max="15365" width="0.42578125" style="388" customWidth="1"/>
    <col min="15366" max="15375" width="0" style="388" hidden="1" customWidth="1"/>
    <col min="15376" max="15377" width="4.7109375" style="388" customWidth="1"/>
    <col min="15378" max="15382" width="0" style="388" hidden="1" customWidth="1"/>
    <col min="15383" max="15403" width="4.7109375" style="388" customWidth="1"/>
    <col min="15404" max="15610" width="9.140625" style="388"/>
    <col min="15611" max="15611" width="3.42578125" style="388" customWidth="1"/>
    <col min="15612" max="15612" width="7.42578125" style="388" customWidth="1"/>
    <col min="15613" max="15618" width="9.28515625" style="388" customWidth="1"/>
    <col min="15619" max="15619" width="13.28515625" style="388" customWidth="1"/>
    <col min="15620" max="15620" width="1.7109375" style="388" customWidth="1"/>
    <col min="15621" max="15621" width="0.42578125" style="388" customWidth="1"/>
    <col min="15622" max="15631" width="0" style="388" hidden="1" customWidth="1"/>
    <col min="15632" max="15633" width="4.7109375" style="388" customWidth="1"/>
    <col min="15634" max="15638" width="0" style="388" hidden="1" customWidth="1"/>
    <col min="15639" max="15659" width="4.7109375" style="388" customWidth="1"/>
    <col min="15660" max="15866" width="9.140625" style="388"/>
    <col min="15867" max="15867" width="3.42578125" style="388" customWidth="1"/>
    <col min="15868" max="15868" width="7.42578125" style="388" customWidth="1"/>
    <col min="15869" max="15874" width="9.28515625" style="388" customWidth="1"/>
    <col min="15875" max="15875" width="13.28515625" style="388" customWidth="1"/>
    <col min="15876" max="15876" width="1.7109375" style="388" customWidth="1"/>
    <col min="15877" max="15877" width="0.42578125" style="388" customWidth="1"/>
    <col min="15878" max="15887" width="0" style="388" hidden="1" customWidth="1"/>
    <col min="15888" max="15889" width="4.7109375" style="388" customWidth="1"/>
    <col min="15890" max="15894" width="0" style="388" hidden="1" customWidth="1"/>
    <col min="15895" max="15915" width="4.7109375" style="388" customWidth="1"/>
    <col min="15916" max="16122" width="9.140625" style="388"/>
    <col min="16123" max="16123" width="3.42578125" style="388" customWidth="1"/>
    <col min="16124" max="16124" width="7.42578125" style="388" customWidth="1"/>
    <col min="16125" max="16130" width="9.28515625" style="388" customWidth="1"/>
    <col min="16131" max="16131" width="13.28515625" style="388" customWidth="1"/>
    <col min="16132" max="16132" width="1.7109375" style="388" customWidth="1"/>
    <col min="16133" max="16133" width="0.42578125" style="388" customWidth="1"/>
    <col min="16134" max="16143" width="0" style="388" hidden="1" customWidth="1"/>
    <col min="16144" max="16145" width="4.7109375" style="388" customWidth="1"/>
    <col min="16146" max="16150" width="0" style="388" hidden="1" customWidth="1"/>
    <col min="16151" max="16171" width="4.7109375" style="388" customWidth="1"/>
    <col min="16172" max="16384" width="9.140625" style="388"/>
  </cols>
  <sheetData>
    <row r="1" spans="1:30" ht="18.95" customHeight="1">
      <c r="A1" s="398"/>
      <c r="B1" s="784"/>
      <c r="C1" s="784"/>
      <c r="D1" s="423"/>
      <c r="E1" s="398"/>
      <c r="F1" s="424"/>
      <c r="G1" s="424"/>
      <c r="H1" s="424"/>
      <c r="I1" s="425"/>
      <c r="J1" s="425"/>
      <c r="K1" s="425"/>
      <c r="L1" s="425"/>
      <c r="M1" s="425"/>
      <c r="N1" s="426"/>
      <c r="O1" s="426"/>
      <c r="P1" s="426"/>
      <c r="Q1" s="426"/>
      <c r="AB1" s="451" t="s">
        <v>173</v>
      </c>
      <c r="AC1" s="452"/>
      <c r="AD1" s="451" t="s">
        <v>224</v>
      </c>
    </row>
    <row r="2" spans="1:30" ht="18.95" customHeight="1">
      <c r="A2" s="398"/>
      <c r="B2" s="784"/>
      <c r="C2" s="784"/>
      <c r="D2" s="423"/>
      <c r="E2" s="398"/>
      <c r="F2" s="424"/>
      <c r="G2" s="424"/>
      <c r="H2" s="424"/>
      <c r="I2" s="425"/>
      <c r="J2" s="425"/>
      <c r="K2" s="425"/>
      <c r="L2" s="425"/>
      <c r="M2" s="425"/>
      <c r="N2" s="426"/>
      <c r="O2" s="426"/>
      <c r="P2" s="426"/>
      <c r="Q2" s="426"/>
      <c r="AB2" s="453">
        <f>QQP!G44</f>
        <v>0</v>
      </c>
      <c r="AC2" s="452"/>
      <c r="AD2" s="454" t="e">
        <f>'CPU  1'!H183</f>
        <v>#DIV/0!</v>
      </c>
    </row>
    <row r="3" spans="1:30" ht="30" customHeight="1">
      <c r="A3" s="398"/>
      <c r="B3" s="785" t="s">
        <v>17</v>
      </c>
      <c r="C3" s="786"/>
      <c r="D3" s="498">
        <f>D16</f>
        <v>0.315</v>
      </c>
      <c r="E3" s="398"/>
      <c r="F3" s="424"/>
      <c r="G3" s="424"/>
      <c r="H3" s="424"/>
      <c r="I3" s="425"/>
      <c r="J3" s="425"/>
      <c r="K3" s="425"/>
      <c r="L3" s="425"/>
      <c r="M3" s="425"/>
      <c r="N3" s="426"/>
      <c r="O3" s="426"/>
      <c r="P3" s="426"/>
      <c r="Q3" s="426"/>
    </row>
    <row r="4" spans="1:30" ht="21.95" customHeight="1">
      <c r="A4" s="398"/>
      <c r="B4" s="499">
        <v>1</v>
      </c>
      <c r="C4" s="430" t="s">
        <v>18</v>
      </c>
      <c r="D4" s="500">
        <v>0.1</v>
      </c>
      <c r="E4" s="398"/>
      <c r="F4" s="424"/>
      <c r="G4" s="424"/>
      <c r="H4" s="424"/>
      <c r="I4" s="425"/>
      <c r="J4" s="425"/>
      <c r="K4" s="425"/>
      <c r="L4" s="425"/>
      <c r="M4" s="425"/>
      <c r="N4" s="426"/>
      <c r="O4" s="426"/>
      <c r="P4" s="426"/>
      <c r="Q4" s="426"/>
      <c r="S4" s="427"/>
    </row>
    <row r="5" spans="1:30" ht="21.95" customHeight="1">
      <c r="A5" s="398"/>
      <c r="B5" s="499">
        <v>2</v>
      </c>
      <c r="C5" s="430" t="s">
        <v>19</v>
      </c>
      <c r="D5" s="501">
        <f>SUM(D6:D14)</f>
        <v>0.215</v>
      </c>
      <c r="E5" s="398"/>
      <c r="F5" s="424"/>
      <c r="G5" s="424"/>
      <c r="H5" s="424"/>
      <c r="I5" s="425"/>
      <c r="J5" s="425"/>
      <c r="K5" s="425"/>
      <c r="L5" s="425"/>
      <c r="M5" s="425"/>
      <c r="N5" s="426"/>
      <c r="O5" s="426"/>
      <c r="P5" s="426"/>
      <c r="Q5" s="426"/>
      <c r="S5" s="427"/>
    </row>
    <row r="6" spans="1:30" ht="15" customHeight="1">
      <c r="A6" s="398"/>
      <c r="B6" s="431" t="s">
        <v>12</v>
      </c>
      <c r="C6" s="502" t="s">
        <v>20</v>
      </c>
      <c r="D6" s="789">
        <v>0.06</v>
      </c>
      <c r="E6" s="398"/>
      <c r="F6" s="424"/>
      <c r="G6" s="424"/>
      <c r="H6" s="424"/>
      <c r="I6" s="425"/>
      <c r="J6" s="425"/>
      <c r="K6" s="425"/>
      <c r="L6" s="425"/>
      <c r="M6" s="425"/>
      <c r="N6" s="426"/>
      <c r="O6" s="426"/>
      <c r="P6" s="426"/>
      <c r="Q6" s="426"/>
      <c r="S6" s="427"/>
      <c r="AD6" s="432"/>
    </row>
    <row r="7" spans="1:30" ht="179.25" customHeight="1">
      <c r="A7" s="398"/>
      <c r="B7" s="433"/>
      <c r="C7" s="434" t="s">
        <v>125</v>
      </c>
      <c r="D7" s="790"/>
      <c r="E7" s="398"/>
      <c r="F7" s="424"/>
      <c r="G7" s="424"/>
      <c r="H7" s="424"/>
      <c r="I7" s="425"/>
      <c r="J7" s="425"/>
      <c r="K7" s="425"/>
      <c r="L7" s="425"/>
      <c r="M7" s="425"/>
      <c r="N7" s="426"/>
      <c r="O7" s="426"/>
      <c r="P7" s="426"/>
      <c r="Q7" s="426"/>
      <c r="S7" s="427"/>
    </row>
    <row r="8" spans="1:30" ht="15" customHeight="1">
      <c r="A8" s="398"/>
      <c r="B8" s="431" t="s">
        <v>13</v>
      </c>
      <c r="C8" s="502" t="s">
        <v>21</v>
      </c>
      <c r="D8" s="789">
        <v>0.09</v>
      </c>
      <c r="E8" s="398"/>
      <c r="F8" s="424"/>
      <c r="G8" s="424"/>
      <c r="H8" s="424"/>
      <c r="I8" s="425"/>
      <c r="J8" s="425"/>
      <c r="K8" s="425"/>
      <c r="L8" s="425"/>
      <c r="M8" s="425"/>
      <c r="N8" s="426"/>
      <c r="O8" s="426"/>
      <c r="P8" s="426"/>
      <c r="Q8" s="426"/>
      <c r="S8" s="427"/>
    </row>
    <row r="9" spans="1:30" ht="126.75" customHeight="1">
      <c r="A9" s="398"/>
      <c r="B9" s="435"/>
      <c r="C9" s="434" t="s">
        <v>126</v>
      </c>
      <c r="D9" s="790"/>
      <c r="E9" s="398"/>
      <c r="F9" s="424"/>
      <c r="G9" s="424"/>
      <c r="H9" s="424"/>
      <c r="I9" s="425"/>
      <c r="J9" s="425"/>
      <c r="K9" s="425"/>
      <c r="L9" s="425"/>
      <c r="M9" s="425"/>
      <c r="N9" s="426"/>
      <c r="O9" s="426"/>
      <c r="P9" s="426"/>
      <c r="Q9" s="426"/>
      <c r="S9" s="427"/>
    </row>
    <row r="10" spans="1:30" ht="15" customHeight="1">
      <c r="A10" s="398"/>
      <c r="B10" s="431" t="s">
        <v>14</v>
      </c>
      <c r="C10" s="502" t="s">
        <v>115</v>
      </c>
      <c r="D10" s="789">
        <v>3.5000000000000003E-2</v>
      </c>
      <c r="E10" s="398"/>
      <c r="F10" s="424"/>
      <c r="G10" s="424"/>
      <c r="H10" s="424"/>
      <c r="I10" s="425"/>
      <c r="J10" s="425"/>
      <c r="K10" s="425"/>
      <c r="L10" s="425"/>
      <c r="M10" s="425"/>
      <c r="N10" s="426"/>
      <c r="O10" s="426"/>
      <c r="P10" s="426"/>
      <c r="Q10" s="426"/>
      <c r="S10" s="427"/>
    </row>
    <row r="11" spans="1:30" ht="116.25" customHeight="1">
      <c r="A11" s="398"/>
      <c r="B11" s="435"/>
      <c r="C11" s="434" t="s">
        <v>127</v>
      </c>
      <c r="D11" s="790"/>
      <c r="E11" s="398"/>
      <c r="F11" s="424"/>
      <c r="G11" s="424"/>
      <c r="H11" s="424"/>
      <c r="I11" s="425"/>
      <c r="J11" s="425"/>
      <c r="K11" s="425"/>
      <c r="L11" s="425"/>
      <c r="M11" s="425"/>
      <c r="N11" s="426"/>
      <c r="O11" s="426"/>
      <c r="P11" s="426"/>
      <c r="Q11" s="426"/>
      <c r="S11" s="427"/>
    </row>
    <row r="12" spans="1:30" ht="15" customHeight="1">
      <c r="A12" s="398"/>
      <c r="B12" s="431" t="s">
        <v>15</v>
      </c>
      <c r="C12" s="502" t="s">
        <v>113</v>
      </c>
      <c r="D12" s="789">
        <v>0.02</v>
      </c>
      <c r="E12" s="398"/>
      <c r="F12" s="424"/>
      <c r="G12" s="424"/>
      <c r="H12" s="424"/>
      <c r="I12" s="425"/>
      <c r="J12" s="425"/>
      <c r="K12" s="425"/>
      <c r="L12" s="425"/>
      <c r="M12" s="425"/>
      <c r="N12" s="426"/>
      <c r="O12" s="426"/>
      <c r="P12" s="426"/>
      <c r="Q12" s="426"/>
      <c r="S12" s="427"/>
    </row>
    <row r="13" spans="1:30" ht="195.75" customHeight="1">
      <c r="A13" s="398"/>
      <c r="B13" s="435"/>
      <c r="C13" s="434" t="s">
        <v>141</v>
      </c>
      <c r="D13" s="790"/>
      <c r="E13" s="398"/>
      <c r="F13" s="424"/>
      <c r="G13" s="424"/>
      <c r="H13" s="424"/>
      <c r="I13" s="425"/>
      <c r="J13" s="425"/>
      <c r="K13" s="425"/>
      <c r="L13" s="425"/>
      <c r="M13" s="425"/>
      <c r="N13" s="426"/>
      <c r="O13" s="426"/>
      <c r="P13" s="426"/>
      <c r="Q13" s="426"/>
      <c r="S13" s="427"/>
    </row>
    <row r="14" spans="1:30" ht="15" customHeight="1">
      <c r="A14" s="398"/>
      <c r="B14" s="431" t="s">
        <v>16</v>
      </c>
      <c r="C14" s="502" t="s">
        <v>142</v>
      </c>
      <c r="D14" s="789">
        <v>0.01</v>
      </c>
      <c r="E14" s="398"/>
      <c r="F14" s="424"/>
      <c r="G14" s="424"/>
      <c r="H14" s="424"/>
      <c r="I14" s="425"/>
      <c r="J14" s="425"/>
      <c r="K14" s="425"/>
      <c r="L14" s="425"/>
      <c r="M14" s="425"/>
      <c r="N14" s="426"/>
      <c r="O14" s="426"/>
      <c r="P14" s="426"/>
      <c r="Q14" s="426"/>
      <c r="S14" s="427"/>
    </row>
    <row r="15" spans="1:30" ht="23.25" customHeight="1">
      <c r="A15" s="398"/>
      <c r="B15" s="509"/>
      <c r="C15" s="510" t="s">
        <v>128</v>
      </c>
      <c r="D15" s="790"/>
      <c r="E15" s="398"/>
      <c r="F15" s="424"/>
      <c r="G15" s="424"/>
      <c r="H15" s="424"/>
      <c r="I15" s="425"/>
      <c r="J15" s="425"/>
      <c r="K15" s="425"/>
      <c r="L15" s="425"/>
      <c r="M15" s="425"/>
      <c r="N15" s="426"/>
      <c r="O15" s="426"/>
      <c r="P15" s="426"/>
      <c r="Q15" s="426"/>
      <c r="S15" s="427"/>
    </row>
    <row r="16" spans="1:30" ht="21.95" customHeight="1">
      <c r="A16" s="398"/>
      <c r="B16" s="499">
        <v>3</v>
      </c>
      <c r="C16" s="430" t="s">
        <v>22</v>
      </c>
      <c r="D16" s="503">
        <f>D5+D4</f>
        <v>0.315</v>
      </c>
      <c r="E16" s="398"/>
      <c r="F16" s="424"/>
      <c r="G16" s="424"/>
      <c r="H16" s="424"/>
      <c r="I16" s="425"/>
      <c r="J16" s="425"/>
      <c r="K16" s="425"/>
      <c r="L16" s="425"/>
      <c r="M16" s="425"/>
      <c r="N16" s="426"/>
      <c r="O16" s="426"/>
      <c r="P16" s="426"/>
      <c r="Q16" s="426"/>
      <c r="S16" s="427"/>
    </row>
    <row r="17" spans="1:21" ht="21.75" customHeight="1">
      <c r="B17" s="511"/>
      <c r="C17" s="511"/>
      <c r="D17" s="512"/>
      <c r="N17" s="429"/>
      <c r="O17" s="429"/>
      <c r="P17" s="429"/>
      <c r="Q17" s="429"/>
      <c r="R17" s="429"/>
      <c r="S17" s="429"/>
      <c r="T17" s="429"/>
      <c r="U17" s="429"/>
    </row>
    <row r="18" spans="1:21" ht="27.75" customHeight="1">
      <c r="A18" s="398"/>
      <c r="B18" s="787" t="s">
        <v>23</v>
      </c>
      <c r="C18" s="788"/>
      <c r="D18" s="436">
        <f>D27</f>
        <v>0.1951</v>
      </c>
      <c r="E18" s="398"/>
      <c r="F18" s="424"/>
      <c r="G18" s="424"/>
      <c r="H18" s="424"/>
      <c r="I18" s="425"/>
      <c r="J18" s="425"/>
      <c r="K18" s="425"/>
      <c r="L18" s="425"/>
      <c r="M18" s="425"/>
      <c r="N18" s="426"/>
      <c r="O18" s="426"/>
      <c r="P18" s="426"/>
      <c r="Q18" s="426"/>
      <c r="S18" s="427"/>
    </row>
    <row r="19" spans="1:21" ht="39" customHeight="1">
      <c r="A19" s="398"/>
      <c r="B19" s="782"/>
      <c r="C19" s="783"/>
      <c r="D19" s="504"/>
      <c r="E19" s="398"/>
      <c r="F19" s="781" t="s">
        <v>139</v>
      </c>
      <c r="G19" s="781"/>
      <c r="H19" s="781"/>
      <c r="I19" s="781"/>
      <c r="J19" s="781"/>
      <c r="K19" s="781"/>
      <c r="L19" s="781"/>
      <c r="M19" s="781"/>
      <c r="N19" s="781"/>
      <c r="O19" s="426"/>
      <c r="P19" s="426"/>
      <c r="Q19" s="426"/>
      <c r="S19" s="427"/>
    </row>
    <row r="20" spans="1:21" ht="21" customHeight="1">
      <c r="B20" s="505">
        <v>1</v>
      </c>
      <c r="C20" s="437" t="s">
        <v>54</v>
      </c>
      <c r="D20" s="506">
        <v>0.05</v>
      </c>
      <c r="E20" s="398"/>
      <c r="F20" s="424"/>
      <c r="G20" s="424"/>
      <c r="H20" s="424"/>
      <c r="I20" s="425"/>
      <c r="J20" s="425"/>
      <c r="K20" s="425"/>
      <c r="L20" s="425"/>
      <c r="M20" s="425"/>
      <c r="N20" s="426"/>
      <c r="O20" s="426"/>
      <c r="P20" s="426"/>
      <c r="Q20" s="426"/>
      <c r="S20" s="427"/>
      <c r="T20" s="438">
        <v>0.03</v>
      </c>
      <c r="U20" s="439"/>
    </row>
    <row r="21" spans="1:21" ht="21" customHeight="1">
      <c r="B21" s="507">
        <v>2</v>
      </c>
      <c r="C21" s="437" t="s">
        <v>24</v>
      </c>
      <c r="D21" s="506">
        <v>0.03</v>
      </c>
      <c r="E21" s="398"/>
      <c r="F21" s="424"/>
      <c r="G21" s="424"/>
      <c r="H21" s="424"/>
      <c r="I21" s="425"/>
      <c r="J21" s="425"/>
      <c r="K21" s="425"/>
      <c r="L21" s="425"/>
      <c r="M21" s="425"/>
      <c r="N21" s="440"/>
      <c r="O21" s="440"/>
      <c r="P21" s="426"/>
      <c r="Q21" s="426"/>
      <c r="S21" s="427"/>
      <c r="T21" s="438">
        <v>0.04</v>
      </c>
      <c r="U21" s="441"/>
    </row>
    <row r="22" spans="1:21" ht="21" customHeight="1">
      <c r="B22" s="507">
        <v>3</v>
      </c>
      <c r="C22" s="437" t="s">
        <v>25</v>
      </c>
      <c r="D22" s="506">
        <v>6.4999999999999997E-3</v>
      </c>
      <c r="E22" s="398"/>
      <c r="F22" s="424"/>
      <c r="G22" s="424"/>
      <c r="H22" s="424"/>
      <c r="I22" s="425"/>
      <c r="J22" s="425"/>
      <c r="K22" s="425"/>
      <c r="L22" s="425"/>
      <c r="M22" s="425"/>
      <c r="N22" s="426"/>
      <c r="O22" s="426"/>
      <c r="P22" s="426"/>
      <c r="Q22" s="426"/>
      <c r="S22" s="427"/>
      <c r="T22" s="438">
        <v>0.05</v>
      </c>
      <c r="U22" s="441"/>
    </row>
    <row r="23" spans="1:21" ht="21" customHeight="1">
      <c r="B23" s="507">
        <v>4</v>
      </c>
      <c r="C23" s="437" t="s">
        <v>26</v>
      </c>
      <c r="D23" s="506">
        <v>2.8799999999999999E-2</v>
      </c>
      <c r="E23" s="398"/>
      <c r="F23" s="424"/>
      <c r="G23" s="424"/>
      <c r="H23" s="424"/>
      <c r="I23" s="425"/>
      <c r="J23" s="425"/>
      <c r="K23" s="425"/>
      <c r="L23" s="425"/>
      <c r="M23" s="425"/>
      <c r="N23" s="780"/>
      <c r="O23" s="780"/>
      <c r="P23" s="442">
        <v>1</v>
      </c>
      <c r="Q23" s="443"/>
      <c r="R23" s="444"/>
      <c r="S23" s="427"/>
      <c r="U23" s="441"/>
    </row>
    <row r="24" spans="1:21" ht="21" customHeight="1">
      <c r="B24" s="507">
        <v>5</v>
      </c>
      <c r="C24" s="437" t="s">
        <v>27</v>
      </c>
      <c r="D24" s="506">
        <v>4.8000000000000001E-2</v>
      </c>
      <c r="E24" s="398"/>
      <c r="F24" s="424"/>
      <c r="G24" s="424"/>
      <c r="H24" s="424"/>
      <c r="I24" s="425"/>
      <c r="J24" s="425"/>
      <c r="K24" s="425"/>
      <c r="L24" s="425"/>
      <c r="M24" s="425"/>
      <c r="N24" s="445"/>
      <c r="O24" s="445"/>
      <c r="P24" s="445"/>
      <c r="Q24" s="445"/>
      <c r="R24" s="441"/>
      <c r="S24" s="427"/>
      <c r="T24" s="441"/>
      <c r="U24" s="441"/>
    </row>
    <row r="25" spans="1:21" ht="21" customHeight="1">
      <c r="B25" s="507">
        <v>6</v>
      </c>
      <c r="C25" s="437" t="s">
        <v>28</v>
      </c>
      <c r="D25" s="506">
        <v>3.1800000000000002E-2</v>
      </c>
      <c r="E25" s="398"/>
      <c r="F25" s="424"/>
      <c r="G25" s="424"/>
      <c r="H25" s="424"/>
      <c r="I25" s="425"/>
      <c r="J25" s="425"/>
      <c r="K25" s="425"/>
      <c r="L25" s="425"/>
      <c r="M25" s="425"/>
      <c r="N25" s="445"/>
      <c r="O25" s="445"/>
      <c r="P25" s="445"/>
      <c r="Q25" s="445"/>
      <c r="R25" s="441"/>
      <c r="S25" s="427"/>
      <c r="T25" s="441"/>
      <c r="U25" s="441"/>
    </row>
    <row r="26" spans="1:21" ht="21" customHeight="1">
      <c r="B26" s="507">
        <v>7</v>
      </c>
      <c r="C26" s="437" t="s">
        <v>140</v>
      </c>
      <c r="D26" s="455"/>
      <c r="E26" s="398"/>
      <c r="F26" s="424"/>
      <c r="G26" s="446"/>
      <c r="H26" s="446"/>
      <c r="I26" s="446"/>
      <c r="J26" s="446"/>
      <c r="K26" s="446"/>
      <c r="L26" s="446"/>
      <c r="M26" s="446"/>
      <c r="N26" s="445"/>
      <c r="O26" s="426"/>
      <c r="P26" s="445"/>
      <c r="Q26" s="426"/>
      <c r="R26" s="441"/>
      <c r="S26" s="427"/>
      <c r="T26" s="441"/>
      <c r="U26" s="441"/>
    </row>
    <row r="27" spans="1:21" ht="21" customHeight="1">
      <c r="B27" s="508">
        <v>8</v>
      </c>
      <c r="C27" s="456" t="s">
        <v>29</v>
      </c>
      <c r="D27" s="501">
        <f>SUM(D20:D25)</f>
        <v>0.1951</v>
      </c>
      <c r="E27" s="398"/>
      <c r="F27" s="424"/>
      <c r="G27" s="424"/>
      <c r="H27" s="424"/>
      <c r="I27" s="425"/>
      <c r="J27" s="425"/>
      <c r="K27" s="425"/>
      <c r="L27" s="425"/>
      <c r="M27" s="425"/>
      <c r="N27" s="426"/>
      <c r="O27" s="426"/>
      <c r="P27" s="426"/>
      <c r="Q27" s="426"/>
      <c r="S27" s="427"/>
    </row>
    <row r="28" spans="1:21" ht="15" customHeight="1">
      <c r="A28" s="398"/>
      <c r="B28" s="447"/>
      <c r="C28" s="447"/>
      <c r="E28" s="398"/>
      <c r="F28" s="424"/>
      <c r="G28" s="424"/>
      <c r="H28" s="424"/>
      <c r="I28" s="425"/>
      <c r="J28" s="425"/>
      <c r="K28" s="425"/>
      <c r="L28" s="425"/>
      <c r="M28" s="425"/>
      <c r="N28" s="426"/>
      <c r="O28" s="426"/>
      <c r="P28" s="426"/>
      <c r="Q28" s="426"/>
    </row>
    <row r="29" spans="1:21" ht="15" customHeight="1">
      <c r="A29" s="398"/>
      <c r="B29" s="447"/>
      <c r="C29" s="447"/>
      <c r="D29" s="449"/>
      <c r="E29" s="398"/>
      <c r="F29" s="424"/>
      <c r="G29" s="424"/>
      <c r="H29" s="424"/>
      <c r="I29" s="425"/>
      <c r="J29" s="425"/>
      <c r="K29" s="425"/>
      <c r="L29" s="425"/>
      <c r="M29" s="425"/>
      <c r="N29" s="426"/>
      <c r="O29" s="426"/>
      <c r="P29" s="426"/>
      <c r="Q29" s="426"/>
    </row>
    <row r="30" spans="1:21" ht="15" customHeight="1">
      <c r="A30" s="398"/>
      <c r="B30" s="447"/>
      <c r="C30" s="447"/>
      <c r="D30" s="447"/>
      <c r="E30" s="398"/>
      <c r="F30" s="424"/>
      <c r="G30" s="424"/>
      <c r="H30" s="424"/>
      <c r="I30" s="425"/>
      <c r="J30" s="425"/>
      <c r="K30" s="425"/>
      <c r="L30" s="425"/>
      <c r="M30" s="425"/>
      <c r="N30" s="426"/>
      <c r="O30" s="426"/>
      <c r="P30" s="426"/>
      <c r="Q30" s="426"/>
    </row>
  </sheetData>
  <mergeCells count="11">
    <mergeCell ref="N23:O23"/>
    <mergeCell ref="F19:N19"/>
    <mergeCell ref="B19:C19"/>
    <mergeCell ref="B1:C2"/>
    <mergeCell ref="B3:C3"/>
    <mergeCell ref="B18:C18"/>
    <mergeCell ref="D6:D7"/>
    <mergeCell ref="D8:D9"/>
    <mergeCell ref="D10:D11"/>
    <mergeCell ref="D12:D13"/>
    <mergeCell ref="D14:D15"/>
  </mergeCells>
  <conditionalFormatting sqref="B26:C26">
    <cfRule type="expression" dxfId="6" priority="325" stopIfTrue="1">
      <formula>IF($P$23=3,0,1)</formula>
    </cfRule>
  </conditionalFormatting>
  <conditionalFormatting sqref="D20:D25">
    <cfRule type="expression" dxfId="5" priority="326" stopIfTrue="1">
      <formula>IF($P$23&lt;&gt;3,0,1)</formula>
    </cfRule>
  </conditionalFormatting>
  <conditionalFormatting sqref="D26">
    <cfRule type="expression" dxfId="4" priority="327" stopIfTrue="1">
      <formula>IF($P$23=3,0,1)</formula>
    </cfRule>
  </conditionalFormatting>
  <conditionalFormatting sqref="G26:M26">
    <cfRule type="expression" dxfId="3" priority="2" stopIfTrue="1">
      <formula>IF(#REF!=0,0,1)</formula>
    </cfRule>
  </conditionalFormatting>
  <printOptions horizontalCentered="1"/>
  <pageMargins left="0.19685039370078741" right="0.19685039370078741" top="0.39370078740157483" bottom="0.39370078740157483" header="0" footer="0"/>
  <pageSetup paperSize="9" scale="7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775" r:id="rId4" name="Botão de opção 16">
              <controlPr defaultSize="0" autoFill="0" autoLine="0" autoPict="0" altText="Lucro Presumido">
                <anchor moveWithCells="1" sizeWithCells="1">
                  <from>
                    <xdr:col>1</xdr:col>
                    <xdr:colOff>247650</xdr:colOff>
                    <xdr:row>18</xdr:row>
                    <xdr:rowOff>85725</xdr:rowOff>
                  </from>
                  <to>
                    <xdr:col>2</xdr:col>
                    <xdr:colOff>1381125</xdr:colOff>
                    <xdr:row>18</xdr:row>
                    <xdr:rowOff>419100</xdr:rowOff>
                  </to>
                </anchor>
              </controlPr>
            </control>
          </mc:Choice>
        </mc:AlternateContent>
        <mc:AlternateContent xmlns:mc="http://schemas.openxmlformats.org/markup-compatibility/2006">
          <mc:Choice Requires="x14">
            <control shapeId="32776" r:id="rId5" name="Botão de opção 17">
              <controlPr defaultSize="0" autoFill="0" autoLine="0" autoPict="0" altText="Lucro Real">
                <anchor moveWithCells="1" sizeWithCells="1">
                  <from>
                    <xdr:col>2</xdr:col>
                    <xdr:colOff>2085975</xdr:colOff>
                    <xdr:row>18</xdr:row>
                    <xdr:rowOff>85725</xdr:rowOff>
                  </from>
                  <to>
                    <xdr:col>2</xdr:col>
                    <xdr:colOff>3733800</xdr:colOff>
                    <xdr:row>18</xdr:row>
                    <xdr:rowOff>419100</xdr:rowOff>
                  </to>
                </anchor>
              </controlPr>
            </control>
          </mc:Choice>
        </mc:AlternateContent>
        <mc:AlternateContent xmlns:mc="http://schemas.openxmlformats.org/markup-compatibility/2006">
          <mc:Choice Requires="x14">
            <control shapeId="32777" r:id="rId6" name="Botão de opção 18">
              <controlPr defaultSize="0" autoFill="0" autoLine="0" autoPict="0" altText="Simples Nacional">
                <anchor moveWithCells="1" sizeWithCells="1">
                  <from>
                    <xdr:col>2</xdr:col>
                    <xdr:colOff>4581525</xdr:colOff>
                    <xdr:row>18</xdr:row>
                    <xdr:rowOff>76200</xdr:rowOff>
                  </from>
                  <to>
                    <xdr:col>2</xdr:col>
                    <xdr:colOff>6248400</xdr:colOff>
                    <xdr:row>18</xdr:row>
                    <xdr:rowOff>428625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2"/>
  <dimension ref="B1:AT33"/>
  <sheetViews>
    <sheetView showGridLines="0" zoomScaleNormal="100" zoomScaleSheetLayoutView="100" zoomScalePageLayoutView="70" workbookViewId="0">
      <pane ySplit="3" topLeftCell="A4" activePane="bottomLeft" state="frozen"/>
      <selection pane="bottomLeft" activeCell="B3" sqref="B3:C3"/>
    </sheetView>
  </sheetViews>
  <sheetFormatPr defaultColWidth="9.140625" defaultRowHeight="15" customHeight="1"/>
  <cols>
    <col min="1" max="1" width="1.7109375" style="388" customWidth="1"/>
    <col min="2" max="2" width="9.42578125" style="448" customWidth="1"/>
    <col min="3" max="3" width="105.5703125" style="448" customWidth="1"/>
    <col min="4" max="4" width="14.7109375" style="448" customWidth="1"/>
    <col min="5" max="5" width="2.28515625" style="388" hidden="1" customWidth="1"/>
    <col min="6" max="6" width="5.42578125" style="388" hidden="1" customWidth="1"/>
    <col min="7" max="8" width="4.7109375" style="450" hidden="1" customWidth="1"/>
    <col min="9" max="9" width="23.7109375" style="450" hidden="1" customWidth="1"/>
    <col min="10" max="11" width="4.7109375" style="429" hidden="1" customWidth="1"/>
    <col min="12" max="12" width="7.28515625" style="429" hidden="1" customWidth="1"/>
    <col min="13" max="15" width="4.7109375" style="429" hidden="1" customWidth="1"/>
    <col min="16" max="16" width="7.28515625" style="429" hidden="1" customWidth="1"/>
    <col min="17" max="18" width="4.7109375" style="429" hidden="1" customWidth="1"/>
    <col min="19" max="19" width="11.7109375" style="429" hidden="1" customWidth="1"/>
    <col min="20" max="22" width="4.7109375" style="429" hidden="1" customWidth="1"/>
    <col min="23" max="24" width="8.7109375" style="429" hidden="1" customWidth="1"/>
    <col min="25" max="25" width="5.7109375" style="429" hidden="1" customWidth="1"/>
    <col min="26" max="26" width="2" style="429" hidden="1" customWidth="1"/>
    <col min="27" max="28" width="5.140625" style="429" hidden="1" customWidth="1"/>
    <col min="29" max="34" width="4.7109375" style="429" hidden="1" customWidth="1"/>
    <col min="35" max="40" width="9" style="429" customWidth="1"/>
    <col min="41" max="41" width="5.28515625" style="429" customWidth="1"/>
    <col min="42" max="45" width="9.140625" style="429" customWidth="1"/>
    <col min="46" max="246" width="9.140625" style="388"/>
    <col min="247" max="247" width="3.42578125" style="388" customWidth="1"/>
    <col min="248" max="248" width="24.42578125" style="388" customWidth="1"/>
    <col min="249" max="249" width="39.42578125" style="388" customWidth="1"/>
    <col min="250" max="258" width="5.28515625" style="388" customWidth="1"/>
    <col min="259" max="259" width="6.42578125" style="388" customWidth="1"/>
    <col min="260" max="260" width="6.140625" style="388" customWidth="1"/>
    <col min="261" max="261" width="2" style="388" customWidth="1"/>
    <col min="262" max="262" width="1.7109375" style="388" customWidth="1"/>
    <col min="263" max="297" width="0" style="388" hidden="1" customWidth="1"/>
    <col min="298" max="502" width="9.140625" style="388"/>
    <col min="503" max="503" width="3.42578125" style="388" customWidth="1"/>
    <col min="504" max="504" width="24.42578125" style="388" customWidth="1"/>
    <col min="505" max="505" width="39.42578125" style="388" customWidth="1"/>
    <col min="506" max="514" width="5.28515625" style="388" customWidth="1"/>
    <col min="515" max="515" width="6.42578125" style="388" customWidth="1"/>
    <col min="516" max="516" width="6.140625" style="388" customWidth="1"/>
    <col min="517" max="517" width="2" style="388" customWidth="1"/>
    <col min="518" max="518" width="1.7109375" style="388" customWidth="1"/>
    <col min="519" max="553" width="0" style="388" hidden="1" customWidth="1"/>
    <col min="554" max="758" width="9.140625" style="388"/>
    <col min="759" max="759" width="3.42578125" style="388" customWidth="1"/>
    <col min="760" max="760" width="24.42578125" style="388" customWidth="1"/>
    <col min="761" max="761" width="39.42578125" style="388" customWidth="1"/>
    <col min="762" max="770" width="5.28515625" style="388" customWidth="1"/>
    <col min="771" max="771" width="6.42578125" style="388" customWidth="1"/>
    <col min="772" max="772" width="6.140625" style="388" customWidth="1"/>
    <col min="773" max="773" width="2" style="388" customWidth="1"/>
    <col min="774" max="774" width="1.7109375" style="388" customWidth="1"/>
    <col min="775" max="809" width="0" style="388" hidden="1" customWidth="1"/>
    <col min="810" max="1014" width="9.140625" style="388"/>
    <col min="1015" max="1015" width="3.42578125" style="388" customWidth="1"/>
    <col min="1016" max="1016" width="24.42578125" style="388" customWidth="1"/>
    <col min="1017" max="1017" width="39.42578125" style="388" customWidth="1"/>
    <col min="1018" max="1026" width="5.28515625" style="388" customWidth="1"/>
    <col min="1027" max="1027" width="6.42578125" style="388" customWidth="1"/>
    <col min="1028" max="1028" width="6.140625" style="388" customWidth="1"/>
    <col min="1029" max="1029" width="2" style="388" customWidth="1"/>
    <col min="1030" max="1030" width="1.7109375" style="388" customWidth="1"/>
    <col min="1031" max="1065" width="0" style="388" hidden="1" customWidth="1"/>
    <col min="1066" max="1270" width="9.140625" style="388"/>
    <col min="1271" max="1271" width="3.42578125" style="388" customWidth="1"/>
    <col min="1272" max="1272" width="24.42578125" style="388" customWidth="1"/>
    <col min="1273" max="1273" width="39.42578125" style="388" customWidth="1"/>
    <col min="1274" max="1282" width="5.28515625" style="388" customWidth="1"/>
    <col min="1283" max="1283" width="6.42578125" style="388" customWidth="1"/>
    <col min="1284" max="1284" width="6.140625" style="388" customWidth="1"/>
    <col min="1285" max="1285" width="2" style="388" customWidth="1"/>
    <col min="1286" max="1286" width="1.7109375" style="388" customWidth="1"/>
    <col min="1287" max="1321" width="0" style="388" hidden="1" customWidth="1"/>
    <col min="1322" max="1526" width="9.140625" style="388"/>
    <col min="1527" max="1527" width="3.42578125" style="388" customWidth="1"/>
    <col min="1528" max="1528" width="24.42578125" style="388" customWidth="1"/>
    <col min="1529" max="1529" width="39.42578125" style="388" customWidth="1"/>
    <col min="1530" max="1538" width="5.28515625" style="388" customWidth="1"/>
    <col min="1539" max="1539" width="6.42578125" style="388" customWidth="1"/>
    <col min="1540" max="1540" width="6.140625" style="388" customWidth="1"/>
    <col min="1541" max="1541" width="2" style="388" customWidth="1"/>
    <col min="1542" max="1542" width="1.7109375" style="388" customWidth="1"/>
    <col min="1543" max="1577" width="0" style="388" hidden="1" customWidth="1"/>
    <col min="1578" max="1782" width="9.140625" style="388"/>
    <col min="1783" max="1783" width="3.42578125" style="388" customWidth="1"/>
    <col min="1784" max="1784" width="24.42578125" style="388" customWidth="1"/>
    <col min="1785" max="1785" width="39.42578125" style="388" customWidth="1"/>
    <col min="1786" max="1794" width="5.28515625" style="388" customWidth="1"/>
    <col min="1795" max="1795" width="6.42578125" style="388" customWidth="1"/>
    <col min="1796" max="1796" width="6.140625" style="388" customWidth="1"/>
    <col min="1797" max="1797" width="2" style="388" customWidth="1"/>
    <col min="1798" max="1798" width="1.7109375" style="388" customWidth="1"/>
    <col min="1799" max="1833" width="0" style="388" hidden="1" customWidth="1"/>
    <col min="1834" max="2038" width="9.140625" style="388"/>
    <col min="2039" max="2039" width="3.42578125" style="388" customWidth="1"/>
    <col min="2040" max="2040" width="24.42578125" style="388" customWidth="1"/>
    <col min="2041" max="2041" width="39.42578125" style="388" customWidth="1"/>
    <col min="2042" max="2050" width="5.28515625" style="388" customWidth="1"/>
    <col min="2051" max="2051" width="6.42578125" style="388" customWidth="1"/>
    <col min="2052" max="2052" width="6.140625" style="388" customWidth="1"/>
    <col min="2053" max="2053" width="2" style="388" customWidth="1"/>
    <col min="2054" max="2054" width="1.7109375" style="388" customWidth="1"/>
    <col min="2055" max="2089" width="0" style="388" hidden="1" customWidth="1"/>
    <col min="2090" max="2294" width="9.140625" style="388"/>
    <col min="2295" max="2295" width="3.42578125" style="388" customWidth="1"/>
    <col min="2296" max="2296" width="24.42578125" style="388" customWidth="1"/>
    <col min="2297" max="2297" width="39.42578125" style="388" customWidth="1"/>
    <col min="2298" max="2306" width="5.28515625" style="388" customWidth="1"/>
    <col min="2307" max="2307" width="6.42578125" style="388" customWidth="1"/>
    <col min="2308" max="2308" width="6.140625" style="388" customWidth="1"/>
    <col min="2309" max="2309" width="2" style="388" customWidth="1"/>
    <col min="2310" max="2310" width="1.7109375" style="388" customWidth="1"/>
    <col min="2311" max="2345" width="0" style="388" hidden="1" customWidth="1"/>
    <col min="2346" max="2550" width="9.140625" style="388"/>
    <col min="2551" max="2551" width="3.42578125" style="388" customWidth="1"/>
    <col min="2552" max="2552" width="24.42578125" style="388" customWidth="1"/>
    <col min="2553" max="2553" width="39.42578125" style="388" customWidth="1"/>
    <col min="2554" max="2562" width="5.28515625" style="388" customWidth="1"/>
    <col min="2563" max="2563" width="6.42578125" style="388" customWidth="1"/>
    <col min="2564" max="2564" width="6.140625" style="388" customWidth="1"/>
    <col min="2565" max="2565" width="2" style="388" customWidth="1"/>
    <col min="2566" max="2566" width="1.7109375" style="388" customWidth="1"/>
    <col min="2567" max="2601" width="0" style="388" hidden="1" customWidth="1"/>
    <col min="2602" max="2806" width="9.140625" style="388"/>
    <col min="2807" max="2807" width="3.42578125" style="388" customWidth="1"/>
    <col min="2808" max="2808" width="24.42578125" style="388" customWidth="1"/>
    <col min="2809" max="2809" width="39.42578125" style="388" customWidth="1"/>
    <col min="2810" max="2818" width="5.28515625" style="388" customWidth="1"/>
    <col min="2819" max="2819" width="6.42578125" style="388" customWidth="1"/>
    <col min="2820" max="2820" width="6.140625" style="388" customWidth="1"/>
    <col min="2821" max="2821" width="2" style="388" customWidth="1"/>
    <col min="2822" max="2822" width="1.7109375" style="388" customWidth="1"/>
    <col min="2823" max="2857" width="0" style="388" hidden="1" customWidth="1"/>
    <col min="2858" max="3062" width="9.140625" style="388"/>
    <col min="3063" max="3063" width="3.42578125" style="388" customWidth="1"/>
    <col min="3064" max="3064" width="24.42578125" style="388" customWidth="1"/>
    <col min="3065" max="3065" width="39.42578125" style="388" customWidth="1"/>
    <col min="3066" max="3074" width="5.28515625" style="388" customWidth="1"/>
    <col min="3075" max="3075" width="6.42578125" style="388" customWidth="1"/>
    <col min="3076" max="3076" width="6.140625" style="388" customWidth="1"/>
    <col min="3077" max="3077" width="2" style="388" customWidth="1"/>
    <col min="3078" max="3078" width="1.7109375" style="388" customWidth="1"/>
    <col min="3079" max="3113" width="0" style="388" hidden="1" customWidth="1"/>
    <col min="3114" max="3318" width="9.140625" style="388"/>
    <col min="3319" max="3319" width="3.42578125" style="388" customWidth="1"/>
    <col min="3320" max="3320" width="24.42578125" style="388" customWidth="1"/>
    <col min="3321" max="3321" width="39.42578125" style="388" customWidth="1"/>
    <col min="3322" max="3330" width="5.28515625" style="388" customWidth="1"/>
    <col min="3331" max="3331" width="6.42578125" style="388" customWidth="1"/>
    <col min="3332" max="3332" width="6.140625" style="388" customWidth="1"/>
    <col min="3333" max="3333" width="2" style="388" customWidth="1"/>
    <col min="3334" max="3334" width="1.7109375" style="388" customWidth="1"/>
    <col min="3335" max="3369" width="0" style="388" hidden="1" customWidth="1"/>
    <col min="3370" max="3574" width="9.140625" style="388"/>
    <col min="3575" max="3575" width="3.42578125" style="388" customWidth="1"/>
    <col min="3576" max="3576" width="24.42578125" style="388" customWidth="1"/>
    <col min="3577" max="3577" width="39.42578125" style="388" customWidth="1"/>
    <col min="3578" max="3586" width="5.28515625" style="388" customWidth="1"/>
    <col min="3587" max="3587" width="6.42578125" style="388" customWidth="1"/>
    <col min="3588" max="3588" width="6.140625" style="388" customWidth="1"/>
    <col min="3589" max="3589" width="2" style="388" customWidth="1"/>
    <col min="3590" max="3590" width="1.7109375" style="388" customWidth="1"/>
    <col min="3591" max="3625" width="0" style="388" hidden="1" customWidth="1"/>
    <col min="3626" max="3830" width="9.140625" style="388"/>
    <col min="3831" max="3831" width="3.42578125" style="388" customWidth="1"/>
    <col min="3832" max="3832" width="24.42578125" style="388" customWidth="1"/>
    <col min="3833" max="3833" width="39.42578125" style="388" customWidth="1"/>
    <col min="3834" max="3842" width="5.28515625" style="388" customWidth="1"/>
    <col min="3843" max="3843" width="6.42578125" style="388" customWidth="1"/>
    <col min="3844" max="3844" width="6.140625" style="388" customWidth="1"/>
    <col min="3845" max="3845" width="2" style="388" customWidth="1"/>
    <col min="3846" max="3846" width="1.7109375" style="388" customWidth="1"/>
    <col min="3847" max="3881" width="0" style="388" hidden="1" customWidth="1"/>
    <col min="3882" max="4086" width="9.140625" style="388"/>
    <col min="4087" max="4087" width="3.42578125" style="388" customWidth="1"/>
    <col min="4088" max="4088" width="24.42578125" style="388" customWidth="1"/>
    <col min="4089" max="4089" width="39.42578125" style="388" customWidth="1"/>
    <col min="4090" max="4098" width="5.28515625" style="388" customWidth="1"/>
    <col min="4099" max="4099" width="6.42578125" style="388" customWidth="1"/>
    <col min="4100" max="4100" width="6.140625" style="388" customWidth="1"/>
    <col min="4101" max="4101" width="2" style="388" customWidth="1"/>
    <col min="4102" max="4102" width="1.7109375" style="388" customWidth="1"/>
    <col min="4103" max="4137" width="0" style="388" hidden="1" customWidth="1"/>
    <col min="4138" max="4342" width="9.140625" style="388"/>
    <col min="4343" max="4343" width="3.42578125" style="388" customWidth="1"/>
    <col min="4344" max="4344" width="24.42578125" style="388" customWidth="1"/>
    <col min="4345" max="4345" width="39.42578125" style="388" customWidth="1"/>
    <col min="4346" max="4354" width="5.28515625" style="388" customWidth="1"/>
    <col min="4355" max="4355" width="6.42578125" style="388" customWidth="1"/>
    <col min="4356" max="4356" width="6.140625" style="388" customWidth="1"/>
    <col min="4357" max="4357" width="2" style="388" customWidth="1"/>
    <col min="4358" max="4358" width="1.7109375" style="388" customWidth="1"/>
    <col min="4359" max="4393" width="0" style="388" hidden="1" customWidth="1"/>
    <col min="4394" max="4598" width="9.140625" style="388"/>
    <col min="4599" max="4599" width="3.42578125" style="388" customWidth="1"/>
    <col min="4600" max="4600" width="24.42578125" style="388" customWidth="1"/>
    <col min="4601" max="4601" width="39.42578125" style="388" customWidth="1"/>
    <col min="4602" max="4610" width="5.28515625" style="388" customWidth="1"/>
    <col min="4611" max="4611" width="6.42578125" style="388" customWidth="1"/>
    <col min="4612" max="4612" width="6.140625" style="388" customWidth="1"/>
    <col min="4613" max="4613" width="2" style="388" customWidth="1"/>
    <col min="4614" max="4614" width="1.7109375" style="388" customWidth="1"/>
    <col min="4615" max="4649" width="0" style="388" hidden="1" customWidth="1"/>
    <col min="4650" max="4854" width="9.140625" style="388"/>
    <col min="4855" max="4855" width="3.42578125" style="388" customWidth="1"/>
    <col min="4856" max="4856" width="24.42578125" style="388" customWidth="1"/>
    <col min="4857" max="4857" width="39.42578125" style="388" customWidth="1"/>
    <col min="4858" max="4866" width="5.28515625" style="388" customWidth="1"/>
    <col min="4867" max="4867" width="6.42578125" style="388" customWidth="1"/>
    <col min="4868" max="4868" width="6.140625" style="388" customWidth="1"/>
    <col min="4869" max="4869" width="2" style="388" customWidth="1"/>
    <col min="4870" max="4870" width="1.7109375" style="388" customWidth="1"/>
    <col min="4871" max="4905" width="0" style="388" hidden="1" customWidth="1"/>
    <col min="4906" max="5110" width="9.140625" style="388"/>
    <col min="5111" max="5111" width="3.42578125" style="388" customWidth="1"/>
    <col min="5112" max="5112" width="24.42578125" style="388" customWidth="1"/>
    <col min="5113" max="5113" width="39.42578125" style="388" customWidth="1"/>
    <col min="5114" max="5122" width="5.28515625" style="388" customWidth="1"/>
    <col min="5123" max="5123" width="6.42578125" style="388" customWidth="1"/>
    <col min="5124" max="5124" width="6.140625" style="388" customWidth="1"/>
    <col min="5125" max="5125" width="2" style="388" customWidth="1"/>
    <col min="5126" max="5126" width="1.7109375" style="388" customWidth="1"/>
    <col min="5127" max="5161" width="0" style="388" hidden="1" customWidth="1"/>
    <col min="5162" max="5366" width="9.140625" style="388"/>
    <col min="5367" max="5367" width="3.42578125" style="388" customWidth="1"/>
    <col min="5368" max="5368" width="24.42578125" style="388" customWidth="1"/>
    <col min="5369" max="5369" width="39.42578125" style="388" customWidth="1"/>
    <col min="5370" max="5378" width="5.28515625" style="388" customWidth="1"/>
    <col min="5379" max="5379" width="6.42578125" style="388" customWidth="1"/>
    <col min="5380" max="5380" width="6.140625" style="388" customWidth="1"/>
    <col min="5381" max="5381" width="2" style="388" customWidth="1"/>
    <col min="5382" max="5382" width="1.7109375" style="388" customWidth="1"/>
    <col min="5383" max="5417" width="0" style="388" hidden="1" customWidth="1"/>
    <col min="5418" max="5622" width="9.140625" style="388"/>
    <col min="5623" max="5623" width="3.42578125" style="388" customWidth="1"/>
    <col min="5624" max="5624" width="24.42578125" style="388" customWidth="1"/>
    <col min="5625" max="5625" width="39.42578125" style="388" customWidth="1"/>
    <col min="5626" max="5634" width="5.28515625" style="388" customWidth="1"/>
    <col min="5635" max="5635" width="6.42578125" style="388" customWidth="1"/>
    <col min="5636" max="5636" width="6.140625" style="388" customWidth="1"/>
    <col min="5637" max="5637" width="2" style="388" customWidth="1"/>
    <col min="5638" max="5638" width="1.7109375" style="388" customWidth="1"/>
    <col min="5639" max="5673" width="0" style="388" hidden="1" customWidth="1"/>
    <col min="5674" max="5878" width="9.140625" style="388"/>
    <col min="5879" max="5879" width="3.42578125" style="388" customWidth="1"/>
    <col min="5880" max="5880" width="24.42578125" style="388" customWidth="1"/>
    <col min="5881" max="5881" width="39.42578125" style="388" customWidth="1"/>
    <col min="5882" max="5890" width="5.28515625" style="388" customWidth="1"/>
    <col min="5891" max="5891" width="6.42578125" style="388" customWidth="1"/>
    <col min="5892" max="5892" width="6.140625" style="388" customWidth="1"/>
    <col min="5893" max="5893" width="2" style="388" customWidth="1"/>
    <col min="5894" max="5894" width="1.7109375" style="388" customWidth="1"/>
    <col min="5895" max="5929" width="0" style="388" hidden="1" customWidth="1"/>
    <col min="5930" max="6134" width="9.140625" style="388"/>
    <col min="6135" max="6135" width="3.42578125" style="388" customWidth="1"/>
    <col min="6136" max="6136" width="24.42578125" style="388" customWidth="1"/>
    <col min="6137" max="6137" width="39.42578125" style="388" customWidth="1"/>
    <col min="6138" max="6146" width="5.28515625" style="388" customWidth="1"/>
    <col min="6147" max="6147" width="6.42578125" style="388" customWidth="1"/>
    <col min="6148" max="6148" width="6.140625" style="388" customWidth="1"/>
    <col min="6149" max="6149" width="2" style="388" customWidth="1"/>
    <col min="6150" max="6150" width="1.7109375" style="388" customWidth="1"/>
    <col min="6151" max="6185" width="0" style="388" hidden="1" customWidth="1"/>
    <col min="6186" max="6390" width="9.140625" style="388"/>
    <col min="6391" max="6391" width="3.42578125" style="388" customWidth="1"/>
    <col min="6392" max="6392" width="24.42578125" style="388" customWidth="1"/>
    <col min="6393" max="6393" width="39.42578125" style="388" customWidth="1"/>
    <col min="6394" max="6402" width="5.28515625" style="388" customWidth="1"/>
    <col min="6403" max="6403" width="6.42578125" style="388" customWidth="1"/>
    <col min="6404" max="6404" width="6.140625" style="388" customWidth="1"/>
    <col min="6405" max="6405" width="2" style="388" customWidth="1"/>
    <col min="6406" max="6406" width="1.7109375" style="388" customWidth="1"/>
    <col min="6407" max="6441" width="0" style="388" hidden="1" customWidth="1"/>
    <col min="6442" max="6646" width="9.140625" style="388"/>
    <col min="6647" max="6647" width="3.42578125" style="388" customWidth="1"/>
    <col min="6648" max="6648" width="24.42578125" style="388" customWidth="1"/>
    <col min="6649" max="6649" width="39.42578125" style="388" customWidth="1"/>
    <col min="6650" max="6658" width="5.28515625" style="388" customWidth="1"/>
    <col min="6659" max="6659" width="6.42578125" style="388" customWidth="1"/>
    <col min="6660" max="6660" width="6.140625" style="388" customWidth="1"/>
    <col min="6661" max="6661" width="2" style="388" customWidth="1"/>
    <col min="6662" max="6662" width="1.7109375" style="388" customWidth="1"/>
    <col min="6663" max="6697" width="0" style="388" hidden="1" customWidth="1"/>
    <col min="6698" max="6902" width="9.140625" style="388"/>
    <col min="6903" max="6903" width="3.42578125" style="388" customWidth="1"/>
    <col min="6904" max="6904" width="24.42578125" style="388" customWidth="1"/>
    <col min="6905" max="6905" width="39.42578125" style="388" customWidth="1"/>
    <col min="6906" max="6914" width="5.28515625" style="388" customWidth="1"/>
    <col min="6915" max="6915" width="6.42578125" style="388" customWidth="1"/>
    <col min="6916" max="6916" width="6.140625" style="388" customWidth="1"/>
    <col min="6917" max="6917" width="2" style="388" customWidth="1"/>
    <col min="6918" max="6918" width="1.7109375" style="388" customWidth="1"/>
    <col min="6919" max="6953" width="0" style="388" hidden="1" customWidth="1"/>
    <col min="6954" max="7158" width="9.140625" style="388"/>
    <col min="7159" max="7159" width="3.42578125" style="388" customWidth="1"/>
    <col min="7160" max="7160" width="24.42578125" style="388" customWidth="1"/>
    <col min="7161" max="7161" width="39.42578125" style="388" customWidth="1"/>
    <col min="7162" max="7170" width="5.28515625" style="388" customWidth="1"/>
    <col min="7171" max="7171" width="6.42578125" style="388" customWidth="1"/>
    <col min="7172" max="7172" width="6.140625" style="388" customWidth="1"/>
    <col min="7173" max="7173" width="2" style="388" customWidth="1"/>
    <col min="7174" max="7174" width="1.7109375" style="388" customWidth="1"/>
    <col min="7175" max="7209" width="0" style="388" hidden="1" customWidth="1"/>
    <col min="7210" max="7414" width="9.140625" style="388"/>
    <col min="7415" max="7415" width="3.42578125" style="388" customWidth="1"/>
    <col min="7416" max="7416" width="24.42578125" style="388" customWidth="1"/>
    <col min="7417" max="7417" width="39.42578125" style="388" customWidth="1"/>
    <col min="7418" max="7426" width="5.28515625" style="388" customWidth="1"/>
    <col min="7427" max="7427" width="6.42578125" style="388" customWidth="1"/>
    <col min="7428" max="7428" width="6.140625" style="388" customWidth="1"/>
    <col min="7429" max="7429" width="2" style="388" customWidth="1"/>
    <col min="7430" max="7430" width="1.7109375" style="388" customWidth="1"/>
    <col min="7431" max="7465" width="0" style="388" hidden="1" customWidth="1"/>
    <col min="7466" max="7670" width="9.140625" style="388"/>
    <col min="7671" max="7671" width="3.42578125" style="388" customWidth="1"/>
    <col min="7672" max="7672" width="24.42578125" style="388" customWidth="1"/>
    <col min="7673" max="7673" width="39.42578125" style="388" customWidth="1"/>
    <col min="7674" max="7682" width="5.28515625" style="388" customWidth="1"/>
    <col min="7683" max="7683" width="6.42578125" style="388" customWidth="1"/>
    <col min="7684" max="7684" width="6.140625" style="388" customWidth="1"/>
    <col min="7685" max="7685" width="2" style="388" customWidth="1"/>
    <col min="7686" max="7686" width="1.7109375" style="388" customWidth="1"/>
    <col min="7687" max="7721" width="0" style="388" hidden="1" customWidth="1"/>
    <col min="7722" max="7926" width="9.140625" style="388"/>
    <col min="7927" max="7927" width="3.42578125" style="388" customWidth="1"/>
    <col min="7928" max="7928" width="24.42578125" style="388" customWidth="1"/>
    <col min="7929" max="7929" width="39.42578125" style="388" customWidth="1"/>
    <col min="7930" max="7938" width="5.28515625" style="388" customWidth="1"/>
    <col min="7939" max="7939" width="6.42578125" style="388" customWidth="1"/>
    <col min="7940" max="7940" width="6.140625" style="388" customWidth="1"/>
    <col min="7941" max="7941" width="2" style="388" customWidth="1"/>
    <col min="7942" max="7942" width="1.7109375" style="388" customWidth="1"/>
    <col min="7943" max="7977" width="0" style="388" hidden="1" customWidth="1"/>
    <col min="7978" max="8182" width="9.140625" style="388"/>
    <col min="8183" max="8183" width="3.42578125" style="388" customWidth="1"/>
    <col min="8184" max="8184" width="24.42578125" style="388" customWidth="1"/>
    <col min="8185" max="8185" width="39.42578125" style="388" customWidth="1"/>
    <col min="8186" max="8194" width="5.28515625" style="388" customWidth="1"/>
    <col min="8195" max="8195" width="6.42578125" style="388" customWidth="1"/>
    <col min="8196" max="8196" width="6.140625" style="388" customWidth="1"/>
    <col min="8197" max="8197" width="2" style="388" customWidth="1"/>
    <col min="8198" max="8198" width="1.7109375" style="388" customWidth="1"/>
    <col min="8199" max="8233" width="0" style="388" hidden="1" customWidth="1"/>
    <col min="8234" max="8438" width="9.140625" style="388"/>
    <col min="8439" max="8439" width="3.42578125" style="388" customWidth="1"/>
    <col min="8440" max="8440" width="24.42578125" style="388" customWidth="1"/>
    <col min="8441" max="8441" width="39.42578125" style="388" customWidth="1"/>
    <col min="8442" max="8450" width="5.28515625" style="388" customWidth="1"/>
    <col min="8451" max="8451" width="6.42578125" style="388" customWidth="1"/>
    <col min="8452" max="8452" width="6.140625" style="388" customWidth="1"/>
    <col min="8453" max="8453" width="2" style="388" customWidth="1"/>
    <col min="8454" max="8454" width="1.7109375" style="388" customWidth="1"/>
    <col min="8455" max="8489" width="0" style="388" hidden="1" customWidth="1"/>
    <col min="8490" max="8694" width="9.140625" style="388"/>
    <col min="8695" max="8695" width="3.42578125" style="388" customWidth="1"/>
    <col min="8696" max="8696" width="24.42578125" style="388" customWidth="1"/>
    <col min="8697" max="8697" width="39.42578125" style="388" customWidth="1"/>
    <col min="8698" max="8706" width="5.28515625" style="388" customWidth="1"/>
    <col min="8707" max="8707" width="6.42578125" style="388" customWidth="1"/>
    <col min="8708" max="8708" width="6.140625" style="388" customWidth="1"/>
    <col min="8709" max="8709" width="2" style="388" customWidth="1"/>
    <col min="8710" max="8710" width="1.7109375" style="388" customWidth="1"/>
    <col min="8711" max="8745" width="0" style="388" hidden="1" customWidth="1"/>
    <col min="8746" max="8950" width="9.140625" style="388"/>
    <col min="8951" max="8951" width="3.42578125" style="388" customWidth="1"/>
    <col min="8952" max="8952" width="24.42578125" style="388" customWidth="1"/>
    <col min="8953" max="8953" width="39.42578125" style="388" customWidth="1"/>
    <col min="8954" max="8962" width="5.28515625" style="388" customWidth="1"/>
    <col min="8963" max="8963" width="6.42578125" style="388" customWidth="1"/>
    <col min="8964" max="8964" width="6.140625" style="388" customWidth="1"/>
    <col min="8965" max="8965" width="2" style="388" customWidth="1"/>
    <col min="8966" max="8966" width="1.7109375" style="388" customWidth="1"/>
    <col min="8967" max="9001" width="0" style="388" hidden="1" customWidth="1"/>
    <col min="9002" max="9206" width="9.140625" style="388"/>
    <col min="9207" max="9207" width="3.42578125" style="388" customWidth="1"/>
    <col min="9208" max="9208" width="24.42578125" style="388" customWidth="1"/>
    <col min="9209" max="9209" width="39.42578125" style="388" customWidth="1"/>
    <col min="9210" max="9218" width="5.28515625" style="388" customWidth="1"/>
    <col min="9219" max="9219" width="6.42578125" style="388" customWidth="1"/>
    <col min="9220" max="9220" width="6.140625" style="388" customWidth="1"/>
    <col min="9221" max="9221" width="2" style="388" customWidth="1"/>
    <col min="9222" max="9222" width="1.7109375" style="388" customWidth="1"/>
    <col min="9223" max="9257" width="0" style="388" hidden="1" customWidth="1"/>
    <col min="9258" max="9462" width="9.140625" style="388"/>
    <col min="9463" max="9463" width="3.42578125" style="388" customWidth="1"/>
    <col min="9464" max="9464" width="24.42578125" style="388" customWidth="1"/>
    <col min="9465" max="9465" width="39.42578125" style="388" customWidth="1"/>
    <col min="9466" max="9474" width="5.28515625" style="388" customWidth="1"/>
    <col min="9475" max="9475" width="6.42578125" style="388" customWidth="1"/>
    <col min="9476" max="9476" width="6.140625" style="388" customWidth="1"/>
    <col min="9477" max="9477" width="2" style="388" customWidth="1"/>
    <col min="9478" max="9478" width="1.7109375" style="388" customWidth="1"/>
    <col min="9479" max="9513" width="0" style="388" hidden="1" customWidth="1"/>
    <col min="9514" max="9718" width="9.140625" style="388"/>
    <col min="9719" max="9719" width="3.42578125" style="388" customWidth="1"/>
    <col min="9720" max="9720" width="24.42578125" style="388" customWidth="1"/>
    <col min="9721" max="9721" width="39.42578125" style="388" customWidth="1"/>
    <col min="9722" max="9730" width="5.28515625" style="388" customWidth="1"/>
    <col min="9731" max="9731" width="6.42578125" style="388" customWidth="1"/>
    <col min="9732" max="9732" width="6.140625" style="388" customWidth="1"/>
    <col min="9733" max="9733" width="2" style="388" customWidth="1"/>
    <col min="9734" max="9734" width="1.7109375" style="388" customWidth="1"/>
    <col min="9735" max="9769" width="0" style="388" hidden="1" customWidth="1"/>
    <col min="9770" max="9974" width="9.140625" style="388"/>
    <col min="9975" max="9975" width="3.42578125" style="388" customWidth="1"/>
    <col min="9976" max="9976" width="24.42578125" style="388" customWidth="1"/>
    <col min="9977" max="9977" width="39.42578125" style="388" customWidth="1"/>
    <col min="9978" max="9986" width="5.28515625" style="388" customWidth="1"/>
    <col min="9987" max="9987" width="6.42578125" style="388" customWidth="1"/>
    <col min="9988" max="9988" width="6.140625" style="388" customWidth="1"/>
    <col min="9989" max="9989" width="2" style="388" customWidth="1"/>
    <col min="9990" max="9990" width="1.7109375" style="388" customWidth="1"/>
    <col min="9991" max="10025" width="0" style="388" hidden="1" customWidth="1"/>
    <col min="10026" max="10230" width="9.140625" style="388"/>
    <col min="10231" max="10231" width="3.42578125" style="388" customWidth="1"/>
    <col min="10232" max="10232" width="24.42578125" style="388" customWidth="1"/>
    <col min="10233" max="10233" width="39.42578125" style="388" customWidth="1"/>
    <col min="10234" max="10242" width="5.28515625" style="388" customWidth="1"/>
    <col min="10243" max="10243" width="6.42578125" style="388" customWidth="1"/>
    <col min="10244" max="10244" width="6.140625" style="388" customWidth="1"/>
    <col min="10245" max="10245" width="2" style="388" customWidth="1"/>
    <col min="10246" max="10246" width="1.7109375" style="388" customWidth="1"/>
    <col min="10247" max="10281" width="0" style="388" hidden="1" customWidth="1"/>
    <col min="10282" max="10486" width="9.140625" style="388"/>
    <col min="10487" max="10487" width="3.42578125" style="388" customWidth="1"/>
    <col min="10488" max="10488" width="24.42578125" style="388" customWidth="1"/>
    <col min="10489" max="10489" width="39.42578125" style="388" customWidth="1"/>
    <col min="10490" max="10498" width="5.28515625" style="388" customWidth="1"/>
    <col min="10499" max="10499" width="6.42578125" style="388" customWidth="1"/>
    <col min="10500" max="10500" width="6.140625" style="388" customWidth="1"/>
    <col min="10501" max="10501" width="2" style="388" customWidth="1"/>
    <col min="10502" max="10502" width="1.7109375" style="388" customWidth="1"/>
    <col min="10503" max="10537" width="0" style="388" hidden="1" customWidth="1"/>
    <col min="10538" max="10742" width="9.140625" style="388"/>
    <col min="10743" max="10743" width="3.42578125" style="388" customWidth="1"/>
    <col min="10744" max="10744" width="24.42578125" style="388" customWidth="1"/>
    <col min="10745" max="10745" width="39.42578125" style="388" customWidth="1"/>
    <col min="10746" max="10754" width="5.28515625" style="388" customWidth="1"/>
    <col min="10755" max="10755" width="6.42578125" style="388" customWidth="1"/>
    <col min="10756" max="10756" width="6.140625" style="388" customWidth="1"/>
    <col min="10757" max="10757" width="2" style="388" customWidth="1"/>
    <col min="10758" max="10758" width="1.7109375" style="388" customWidth="1"/>
    <col min="10759" max="10793" width="0" style="388" hidden="1" customWidth="1"/>
    <col min="10794" max="10998" width="9.140625" style="388"/>
    <col min="10999" max="10999" width="3.42578125" style="388" customWidth="1"/>
    <col min="11000" max="11000" width="24.42578125" style="388" customWidth="1"/>
    <col min="11001" max="11001" width="39.42578125" style="388" customWidth="1"/>
    <col min="11002" max="11010" width="5.28515625" style="388" customWidth="1"/>
    <col min="11011" max="11011" width="6.42578125" style="388" customWidth="1"/>
    <col min="11012" max="11012" width="6.140625" style="388" customWidth="1"/>
    <col min="11013" max="11013" width="2" style="388" customWidth="1"/>
    <col min="11014" max="11014" width="1.7109375" style="388" customWidth="1"/>
    <col min="11015" max="11049" width="0" style="388" hidden="1" customWidth="1"/>
    <col min="11050" max="11254" width="9.140625" style="388"/>
    <col min="11255" max="11255" width="3.42578125" style="388" customWidth="1"/>
    <col min="11256" max="11256" width="24.42578125" style="388" customWidth="1"/>
    <col min="11257" max="11257" width="39.42578125" style="388" customWidth="1"/>
    <col min="11258" max="11266" width="5.28515625" style="388" customWidth="1"/>
    <col min="11267" max="11267" width="6.42578125" style="388" customWidth="1"/>
    <col min="11268" max="11268" width="6.140625" style="388" customWidth="1"/>
    <col min="11269" max="11269" width="2" style="388" customWidth="1"/>
    <col min="11270" max="11270" width="1.7109375" style="388" customWidth="1"/>
    <col min="11271" max="11305" width="0" style="388" hidden="1" customWidth="1"/>
    <col min="11306" max="11510" width="9.140625" style="388"/>
    <col min="11511" max="11511" width="3.42578125" style="388" customWidth="1"/>
    <col min="11512" max="11512" width="24.42578125" style="388" customWidth="1"/>
    <col min="11513" max="11513" width="39.42578125" style="388" customWidth="1"/>
    <col min="11514" max="11522" width="5.28515625" style="388" customWidth="1"/>
    <col min="11523" max="11523" width="6.42578125" style="388" customWidth="1"/>
    <col min="11524" max="11524" width="6.140625" style="388" customWidth="1"/>
    <col min="11525" max="11525" width="2" style="388" customWidth="1"/>
    <col min="11526" max="11526" width="1.7109375" style="388" customWidth="1"/>
    <col min="11527" max="11561" width="0" style="388" hidden="1" customWidth="1"/>
    <col min="11562" max="11766" width="9.140625" style="388"/>
    <col min="11767" max="11767" width="3.42578125" style="388" customWidth="1"/>
    <col min="11768" max="11768" width="24.42578125" style="388" customWidth="1"/>
    <col min="11769" max="11769" width="39.42578125" style="388" customWidth="1"/>
    <col min="11770" max="11778" width="5.28515625" style="388" customWidth="1"/>
    <col min="11779" max="11779" width="6.42578125" style="388" customWidth="1"/>
    <col min="11780" max="11780" width="6.140625" style="388" customWidth="1"/>
    <col min="11781" max="11781" width="2" style="388" customWidth="1"/>
    <col min="11782" max="11782" width="1.7109375" style="388" customWidth="1"/>
    <col min="11783" max="11817" width="0" style="388" hidden="1" customWidth="1"/>
    <col min="11818" max="12022" width="9.140625" style="388"/>
    <col min="12023" max="12023" width="3.42578125" style="388" customWidth="1"/>
    <col min="12024" max="12024" width="24.42578125" style="388" customWidth="1"/>
    <col min="12025" max="12025" width="39.42578125" style="388" customWidth="1"/>
    <col min="12026" max="12034" width="5.28515625" style="388" customWidth="1"/>
    <col min="12035" max="12035" width="6.42578125" style="388" customWidth="1"/>
    <col min="12036" max="12036" width="6.140625" style="388" customWidth="1"/>
    <col min="12037" max="12037" width="2" style="388" customWidth="1"/>
    <col min="12038" max="12038" width="1.7109375" style="388" customWidth="1"/>
    <col min="12039" max="12073" width="0" style="388" hidden="1" customWidth="1"/>
    <col min="12074" max="12278" width="9.140625" style="388"/>
    <col min="12279" max="12279" width="3.42578125" style="388" customWidth="1"/>
    <col min="12280" max="12280" width="24.42578125" style="388" customWidth="1"/>
    <col min="12281" max="12281" width="39.42578125" style="388" customWidth="1"/>
    <col min="12282" max="12290" width="5.28515625" style="388" customWidth="1"/>
    <col min="12291" max="12291" width="6.42578125" style="388" customWidth="1"/>
    <col min="12292" max="12292" width="6.140625" style="388" customWidth="1"/>
    <col min="12293" max="12293" width="2" style="388" customWidth="1"/>
    <col min="12294" max="12294" width="1.7109375" style="388" customWidth="1"/>
    <col min="12295" max="12329" width="0" style="388" hidden="1" customWidth="1"/>
    <col min="12330" max="12534" width="9.140625" style="388"/>
    <col min="12535" max="12535" width="3.42578125" style="388" customWidth="1"/>
    <col min="12536" max="12536" width="24.42578125" style="388" customWidth="1"/>
    <col min="12537" max="12537" width="39.42578125" style="388" customWidth="1"/>
    <col min="12538" max="12546" width="5.28515625" style="388" customWidth="1"/>
    <col min="12547" max="12547" width="6.42578125" style="388" customWidth="1"/>
    <col min="12548" max="12548" width="6.140625" style="388" customWidth="1"/>
    <col min="12549" max="12549" width="2" style="388" customWidth="1"/>
    <col min="12550" max="12550" width="1.7109375" style="388" customWidth="1"/>
    <col min="12551" max="12585" width="0" style="388" hidden="1" customWidth="1"/>
    <col min="12586" max="12790" width="9.140625" style="388"/>
    <col min="12791" max="12791" width="3.42578125" style="388" customWidth="1"/>
    <col min="12792" max="12792" width="24.42578125" style="388" customWidth="1"/>
    <col min="12793" max="12793" width="39.42578125" style="388" customWidth="1"/>
    <col min="12794" max="12802" width="5.28515625" style="388" customWidth="1"/>
    <col min="12803" max="12803" width="6.42578125" style="388" customWidth="1"/>
    <col min="12804" max="12804" width="6.140625" style="388" customWidth="1"/>
    <col min="12805" max="12805" width="2" style="388" customWidth="1"/>
    <col min="12806" max="12806" width="1.7109375" style="388" customWidth="1"/>
    <col min="12807" max="12841" width="0" style="388" hidden="1" customWidth="1"/>
    <col min="12842" max="13046" width="9.140625" style="388"/>
    <col min="13047" max="13047" width="3.42578125" style="388" customWidth="1"/>
    <col min="13048" max="13048" width="24.42578125" style="388" customWidth="1"/>
    <col min="13049" max="13049" width="39.42578125" style="388" customWidth="1"/>
    <col min="13050" max="13058" width="5.28515625" style="388" customWidth="1"/>
    <col min="13059" max="13059" width="6.42578125" style="388" customWidth="1"/>
    <col min="13060" max="13060" width="6.140625" style="388" customWidth="1"/>
    <col min="13061" max="13061" width="2" style="388" customWidth="1"/>
    <col min="13062" max="13062" width="1.7109375" style="388" customWidth="1"/>
    <col min="13063" max="13097" width="0" style="388" hidden="1" customWidth="1"/>
    <col min="13098" max="13302" width="9.140625" style="388"/>
    <col min="13303" max="13303" width="3.42578125" style="388" customWidth="1"/>
    <col min="13304" max="13304" width="24.42578125" style="388" customWidth="1"/>
    <col min="13305" max="13305" width="39.42578125" style="388" customWidth="1"/>
    <col min="13306" max="13314" width="5.28515625" style="388" customWidth="1"/>
    <col min="13315" max="13315" width="6.42578125" style="388" customWidth="1"/>
    <col min="13316" max="13316" width="6.140625" style="388" customWidth="1"/>
    <col min="13317" max="13317" width="2" style="388" customWidth="1"/>
    <col min="13318" max="13318" width="1.7109375" style="388" customWidth="1"/>
    <col min="13319" max="13353" width="0" style="388" hidden="1" customWidth="1"/>
    <col min="13354" max="13558" width="9.140625" style="388"/>
    <col min="13559" max="13559" width="3.42578125" style="388" customWidth="1"/>
    <col min="13560" max="13560" width="24.42578125" style="388" customWidth="1"/>
    <col min="13561" max="13561" width="39.42578125" style="388" customWidth="1"/>
    <col min="13562" max="13570" width="5.28515625" style="388" customWidth="1"/>
    <col min="13571" max="13571" width="6.42578125" style="388" customWidth="1"/>
    <col min="13572" max="13572" width="6.140625" style="388" customWidth="1"/>
    <col min="13573" max="13573" width="2" style="388" customWidth="1"/>
    <col min="13574" max="13574" width="1.7109375" style="388" customWidth="1"/>
    <col min="13575" max="13609" width="0" style="388" hidden="1" customWidth="1"/>
    <col min="13610" max="13814" width="9.140625" style="388"/>
    <col min="13815" max="13815" width="3.42578125" style="388" customWidth="1"/>
    <col min="13816" max="13816" width="24.42578125" style="388" customWidth="1"/>
    <col min="13817" max="13817" width="39.42578125" style="388" customWidth="1"/>
    <col min="13818" max="13826" width="5.28515625" style="388" customWidth="1"/>
    <col min="13827" max="13827" width="6.42578125" style="388" customWidth="1"/>
    <col min="13828" max="13828" width="6.140625" style="388" customWidth="1"/>
    <col min="13829" max="13829" width="2" style="388" customWidth="1"/>
    <col min="13830" max="13830" width="1.7109375" style="388" customWidth="1"/>
    <col min="13831" max="13865" width="0" style="388" hidden="1" customWidth="1"/>
    <col min="13866" max="14070" width="9.140625" style="388"/>
    <col min="14071" max="14071" width="3.42578125" style="388" customWidth="1"/>
    <col min="14072" max="14072" width="24.42578125" style="388" customWidth="1"/>
    <col min="14073" max="14073" width="39.42578125" style="388" customWidth="1"/>
    <col min="14074" max="14082" width="5.28515625" style="388" customWidth="1"/>
    <col min="14083" max="14083" width="6.42578125" style="388" customWidth="1"/>
    <col min="14084" max="14084" width="6.140625" style="388" customWidth="1"/>
    <col min="14085" max="14085" width="2" style="388" customWidth="1"/>
    <col min="14086" max="14086" width="1.7109375" style="388" customWidth="1"/>
    <col min="14087" max="14121" width="0" style="388" hidden="1" customWidth="1"/>
    <col min="14122" max="14326" width="9.140625" style="388"/>
    <col min="14327" max="14327" width="3.42578125" style="388" customWidth="1"/>
    <col min="14328" max="14328" width="24.42578125" style="388" customWidth="1"/>
    <col min="14329" max="14329" width="39.42578125" style="388" customWidth="1"/>
    <col min="14330" max="14338" width="5.28515625" style="388" customWidth="1"/>
    <col min="14339" max="14339" width="6.42578125" style="388" customWidth="1"/>
    <col min="14340" max="14340" width="6.140625" style="388" customWidth="1"/>
    <col min="14341" max="14341" width="2" style="388" customWidth="1"/>
    <col min="14342" max="14342" width="1.7109375" style="388" customWidth="1"/>
    <col min="14343" max="14377" width="0" style="388" hidden="1" customWidth="1"/>
    <col min="14378" max="14582" width="9.140625" style="388"/>
    <col min="14583" max="14583" width="3.42578125" style="388" customWidth="1"/>
    <col min="14584" max="14584" width="24.42578125" style="388" customWidth="1"/>
    <col min="14585" max="14585" width="39.42578125" style="388" customWidth="1"/>
    <col min="14586" max="14594" width="5.28515625" style="388" customWidth="1"/>
    <col min="14595" max="14595" width="6.42578125" style="388" customWidth="1"/>
    <col min="14596" max="14596" width="6.140625" style="388" customWidth="1"/>
    <col min="14597" max="14597" width="2" style="388" customWidth="1"/>
    <col min="14598" max="14598" width="1.7109375" style="388" customWidth="1"/>
    <col min="14599" max="14633" width="0" style="388" hidden="1" customWidth="1"/>
    <col min="14634" max="14838" width="9.140625" style="388"/>
    <col min="14839" max="14839" width="3.42578125" style="388" customWidth="1"/>
    <col min="14840" max="14840" width="24.42578125" style="388" customWidth="1"/>
    <col min="14841" max="14841" width="39.42578125" style="388" customWidth="1"/>
    <col min="14842" max="14850" width="5.28515625" style="388" customWidth="1"/>
    <col min="14851" max="14851" width="6.42578125" style="388" customWidth="1"/>
    <col min="14852" max="14852" width="6.140625" style="388" customWidth="1"/>
    <col min="14853" max="14853" width="2" style="388" customWidth="1"/>
    <col min="14854" max="14854" width="1.7109375" style="388" customWidth="1"/>
    <col min="14855" max="14889" width="0" style="388" hidden="1" customWidth="1"/>
    <col min="14890" max="15094" width="9.140625" style="388"/>
    <col min="15095" max="15095" width="3.42578125" style="388" customWidth="1"/>
    <col min="15096" max="15096" width="24.42578125" style="388" customWidth="1"/>
    <col min="15097" max="15097" width="39.42578125" style="388" customWidth="1"/>
    <col min="15098" max="15106" width="5.28515625" style="388" customWidth="1"/>
    <col min="15107" max="15107" width="6.42578125" style="388" customWidth="1"/>
    <col min="15108" max="15108" width="6.140625" style="388" customWidth="1"/>
    <col min="15109" max="15109" width="2" style="388" customWidth="1"/>
    <col min="15110" max="15110" width="1.7109375" style="388" customWidth="1"/>
    <col min="15111" max="15145" width="0" style="388" hidden="1" customWidth="1"/>
    <col min="15146" max="15350" width="9.140625" style="388"/>
    <col min="15351" max="15351" width="3.42578125" style="388" customWidth="1"/>
    <col min="15352" max="15352" width="24.42578125" style="388" customWidth="1"/>
    <col min="15353" max="15353" width="39.42578125" style="388" customWidth="1"/>
    <col min="15354" max="15362" width="5.28515625" style="388" customWidth="1"/>
    <col min="15363" max="15363" width="6.42578125" style="388" customWidth="1"/>
    <col min="15364" max="15364" width="6.140625" style="388" customWidth="1"/>
    <col min="15365" max="15365" width="2" style="388" customWidth="1"/>
    <col min="15366" max="15366" width="1.7109375" style="388" customWidth="1"/>
    <col min="15367" max="15401" width="0" style="388" hidden="1" customWidth="1"/>
    <col min="15402" max="15606" width="9.140625" style="388"/>
    <col min="15607" max="15607" width="3.42578125" style="388" customWidth="1"/>
    <col min="15608" max="15608" width="24.42578125" style="388" customWidth="1"/>
    <col min="15609" max="15609" width="39.42578125" style="388" customWidth="1"/>
    <col min="15610" max="15618" width="5.28515625" style="388" customWidth="1"/>
    <col min="15619" max="15619" width="6.42578125" style="388" customWidth="1"/>
    <col min="15620" max="15620" width="6.140625" style="388" customWidth="1"/>
    <col min="15621" max="15621" width="2" style="388" customWidth="1"/>
    <col min="15622" max="15622" width="1.7109375" style="388" customWidth="1"/>
    <col min="15623" max="15657" width="0" style="388" hidden="1" customWidth="1"/>
    <col min="15658" max="15862" width="9.140625" style="388"/>
    <col min="15863" max="15863" width="3.42578125" style="388" customWidth="1"/>
    <col min="15864" max="15864" width="24.42578125" style="388" customWidth="1"/>
    <col min="15865" max="15865" width="39.42578125" style="388" customWidth="1"/>
    <col min="15866" max="15874" width="5.28515625" style="388" customWidth="1"/>
    <col min="15875" max="15875" width="6.42578125" style="388" customWidth="1"/>
    <col min="15876" max="15876" width="6.140625" style="388" customWidth="1"/>
    <col min="15877" max="15877" width="2" style="388" customWidth="1"/>
    <col min="15878" max="15878" width="1.7109375" style="388" customWidth="1"/>
    <col min="15879" max="15913" width="0" style="388" hidden="1" customWidth="1"/>
    <col min="15914" max="16118" width="9.140625" style="388"/>
    <col min="16119" max="16119" width="3.42578125" style="388" customWidth="1"/>
    <col min="16120" max="16120" width="24.42578125" style="388" customWidth="1"/>
    <col min="16121" max="16121" width="39.42578125" style="388" customWidth="1"/>
    <col min="16122" max="16130" width="5.28515625" style="388" customWidth="1"/>
    <col min="16131" max="16131" width="6.42578125" style="388" customWidth="1"/>
    <col min="16132" max="16132" width="6.140625" style="388" customWidth="1"/>
    <col min="16133" max="16133" width="2" style="388" customWidth="1"/>
    <col min="16134" max="16134" width="1.7109375" style="388" customWidth="1"/>
    <col min="16135" max="16169" width="0" style="388" hidden="1" customWidth="1"/>
    <col min="16170" max="16384" width="9.140625" style="388"/>
  </cols>
  <sheetData>
    <row r="1" spans="2:45" ht="18.95" customHeight="1"/>
    <row r="2" spans="2:45" ht="18.95" customHeight="1">
      <c r="J2" s="457"/>
      <c r="K2" s="457"/>
      <c r="L2" s="457"/>
    </row>
    <row r="3" spans="2:45" ht="30" customHeight="1">
      <c r="B3" s="792" t="s">
        <v>59</v>
      </c>
      <c r="C3" s="792"/>
      <c r="D3" s="476">
        <f>D33</f>
        <v>0.76160000000000005</v>
      </c>
    </row>
    <row r="4" spans="2:45" s="459" customFormat="1" ht="24.95" customHeight="1">
      <c r="B4" s="493"/>
      <c r="C4" s="458" t="s">
        <v>60</v>
      </c>
      <c r="D4" s="494" t="s">
        <v>174</v>
      </c>
      <c r="G4" s="460"/>
      <c r="H4" s="460"/>
      <c r="I4" s="460"/>
      <c r="J4" s="452"/>
      <c r="K4" s="452"/>
      <c r="L4" s="452"/>
      <c r="M4" s="452"/>
      <c r="N4" s="452"/>
      <c r="O4" s="452"/>
      <c r="P4" s="452"/>
      <c r="Q4" s="452"/>
      <c r="R4" s="452"/>
      <c r="S4" s="452"/>
      <c r="T4" s="452"/>
      <c r="U4" s="452"/>
      <c r="V4" s="452"/>
      <c r="W4" s="461" t="b">
        <f>IF(D4="SIM",TRUE,FALSE)</f>
        <v>0</v>
      </c>
      <c r="X4" s="461" t="s">
        <v>175</v>
      </c>
      <c r="Y4" s="452"/>
      <c r="Z4" s="452"/>
      <c r="AA4" s="452"/>
      <c r="AB4" s="452"/>
      <c r="AC4" s="452"/>
      <c r="AD4" s="452"/>
      <c r="AE4" s="452"/>
      <c r="AF4" s="452"/>
      <c r="AG4" s="452"/>
      <c r="AH4" s="452"/>
      <c r="AI4" s="452"/>
      <c r="AJ4" s="452"/>
      <c r="AK4" s="452"/>
      <c r="AL4" s="452"/>
      <c r="AM4" s="452"/>
      <c r="AN4" s="452"/>
      <c r="AO4" s="452"/>
      <c r="AP4" s="452"/>
      <c r="AQ4" s="452"/>
      <c r="AR4" s="452"/>
      <c r="AS4" s="452"/>
    </row>
    <row r="5" spans="2:45" ht="33.75" customHeight="1">
      <c r="B5" s="495"/>
      <c r="C5" s="497" t="s">
        <v>61</v>
      </c>
      <c r="D5" s="496"/>
    </row>
    <row r="6" spans="2:45" s="463" customFormat="1" ht="23.25" customHeight="1">
      <c r="B6" s="477" t="s">
        <v>2</v>
      </c>
      <c r="C6" s="462" t="s">
        <v>62</v>
      </c>
      <c r="D6" s="478">
        <f>SUM(D7:D15)</f>
        <v>0.3680000000000001</v>
      </c>
      <c r="G6" s="460"/>
      <c r="H6" s="460"/>
      <c r="I6" s="460"/>
      <c r="J6" s="464"/>
      <c r="K6" s="464"/>
      <c r="L6" s="464"/>
      <c r="M6" s="464"/>
      <c r="N6" s="464"/>
      <c r="O6" s="464"/>
      <c r="P6" s="464"/>
      <c r="Q6" s="464"/>
      <c r="R6" s="464"/>
      <c r="S6" s="464"/>
      <c r="T6" s="464"/>
      <c r="U6" s="464"/>
      <c r="V6" s="464"/>
      <c r="W6" s="464"/>
      <c r="X6" s="464"/>
      <c r="Y6" s="464"/>
      <c r="Z6" s="464"/>
      <c r="AA6" s="464"/>
      <c r="AB6" s="464"/>
      <c r="AC6" s="464"/>
      <c r="AD6" s="464"/>
      <c r="AE6" s="464"/>
      <c r="AF6" s="464"/>
      <c r="AG6" s="464"/>
      <c r="AH6" s="464"/>
      <c r="AI6" s="464"/>
      <c r="AJ6" s="464"/>
      <c r="AK6" s="464"/>
      <c r="AL6" s="464"/>
      <c r="AM6" s="464"/>
      <c r="AN6" s="464"/>
      <c r="AO6" s="464"/>
      <c r="AP6" s="464"/>
      <c r="AQ6" s="464"/>
      <c r="AR6" s="464"/>
      <c r="AS6" s="464"/>
    </row>
    <row r="7" spans="2:45" s="463" customFormat="1" ht="21.95" customHeight="1">
      <c r="B7" s="480" t="s">
        <v>63</v>
      </c>
      <c r="C7" s="481" t="s">
        <v>64</v>
      </c>
      <c r="D7" s="482">
        <v>0.2</v>
      </c>
      <c r="G7" s="791" t="s">
        <v>65</v>
      </c>
      <c r="H7" s="791"/>
      <c r="I7" s="791"/>
      <c r="J7" s="791"/>
      <c r="K7" s="791"/>
      <c r="L7" s="466"/>
      <c r="M7" s="466"/>
      <c r="N7" s="466"/>
      <c r="O7" s="464"/>
      <c r="P7" s="464"/>
      <c r="Q7" s="464"/>
      <c r="R7" s="464"/>
      <c r="S7" s="464"/>
      <c r="T7" s="464"/>
      <c r="U7" s="464"/>
      <c r="V7" s="464"/>
      <c r="W7" s="467">
        <v>0.2</v>
      </c>
      <c r="X7" s="467"/>
      <c r="Y7" s="468">
        <f t="shared" ref="Y7:Y15" si="0">IF($W$4,X7,W7)</f>
        <v>0.2</v>
      </c>
      <c r="Z7" s="464"/>
      <c r="AA7" s="464" t="str">
        <f>IF(D7=Y7,"OK","JUSTIFICAR")</f>
        <v>OK</v>
      </c>
      <c r="AB7" s="464">
        <f t="shared" ref="AB7:AB15" si="1">IF(AA7="OK",1,0)</f>
        <v>1</v>
      </c>
      <c r="AC7" s="464"/>
      <c r="AD7" s="464"/>
      <c r="AE7" s="464"/>
      <c r="AF7" s="464"/>
      <c r="AG7" s="464"/>
      <c r="AH7" s="464"/>
      <c r="AI7" s="464"/>
      <c r="AJ7" s="464"/>
      <c r="AK7" s="464"/>
      <c r="AL7" s="464"/>
      <c r="AM7" s="464"/>
      <c r="AN7" s="464"/>
      <c r="AO7" s="464"/>
      <c r="AP7" s="464"/>
      <c r="AQ7" s="464"/>
      <c r="AR7" s="464"/>
      <c r="AS7" s="464"/>
    </row>
    <row r="8" spans="2:45" s="463" customFormat="1" ht="21.95" customHeight="1">
      <c r="B8" s="483" t="s">
        <v>66</v>
      </c>
      <c r="C8" s="484" t="s">
        <v>67</v>
      </c>
      <c r="D8" s="485">
        <v>0.08</v>
      </c>
      <c r="G8" s="791" t="s">
        <v>65</v>
      </c>
      <c r="H8" s="791"/>
      <c r="I8" s="791"/>
      <c r="J8" s="791"/>
      <c r="K8" s="791"/>
      <c r="L8" s="466"/>
      <c r="M8" s="466"/>
      <c r="N8" s="466"/>
      <c r="O8" s="464"/>
      <c r="P8" s="464"/>
      <c r="Q8" s="464"/>
      <c r="R8" s="464"/>
      <c r="S8" s="464"/>
      <c r="T8" s="464"/>
      <c r="U8" s="464"/>
      <c r="V8" s="464"/>
      <c r="W8" s="467">
        <v>0.08</v>
      </c>
      <c r="X8" s="467">
        <v>0</v>
      </c>
      <c r="Y8" s="468">
        <f t="shared" si="0"/>
        <v>0.08</v>
      </c>
      <c r="Z8" s="464"/>
      <c r="AA8" s="464" t="str">
        <f>IF(D8=Y8,"OK","JUSTIFICAR")</f>
        <v>OK</v>
      </c>
      <c r="AB8" s="464">
        <f t="shared" si="1"/>
        <v>1</v>
      </c>
      <c r="AC8" s="464"/>
      <c r="AD8" s="464"/>
      <c r="AE8" s="464"/>
      <c r="AF8" s="464"/>
      <c r="AG8" s="464"/>
      <c r="AH8" s="464"/>
      <c r="AI8" s="464"/>
      <c r="AJ8" s="464"/>
      <c r="AK8" s="464"/>
      <c r="AL8" s="464"/>
      <c r="AM8" s="464"/>
      <c r="AN8" s="464"/>
      <c r="AO8" s="464"/>
      <c r="AP8" s="464"/>
      <c r="AQ8" s="464"/>
      <c r="AR8" s="464"/>
      <c r="AS8" s="464"/>
    </row>
    <row r="9" spans="2:45" s="463" customFormat="1" ht="21.95" customHeight="1">
      <c r="B9" s="483" t="s">
        <v>68</v>
      </c>
      <c r="C9" s="484" t="s">
        <v>69</v>
      </c>
      <c r="D9" s="485">
        <v>1.4999999999999999E-2</v>
      </c>
      <c r="G9" s="791" t="s">
        <v>65</v>
      </c>
      <c r="H9" s="791"/>
      <c r="I9" s="791"/>
      <c r="J9" s="791"/>
      <c r="K9" s="791"/>
      <c r="L9" s="466"/>
      <c r="M9" s="466"/>
      <c r="N9" s="466"/>
      <c r="O9" s="464"/>
      <c r="P9" s="464"/>
      <c r="Q9" s="464"/>
      <c r="R9" s="464"/>
      <c r="S9" s="464"/>
      <c r="T9" s="464"/>
      <c r="U9" s="464"/>
      <c r="V9" s="464"/>
      <c r="W9" s="467">
        <v>1.4999999999999999E-2</v>
      </c>
      <c r="X9" s="467">
        <v>0</v>
      </c>
      <c r="Y9" s="468">
        <f t="shared" si="0"/>
        <v>1.4999999999999999E-2</v>
      </c>
      <c r="Z9" s="464"/>
      <c r="AA9" s="464" t="str">
        <f>IF(D9=Y9,"OK","JUSTIFICAR")</f>
        <v>OK</v>
      </c>
      <c r="AB9" s="464">
        <f t="shared" si="1"/>
        <v>1</v>
      </c>
      <c r="AC9" s="464"/>
      <c r="AD9" s="464"/>
      <c r="AE9" s="464"/>
      <c r="AF9" s="464"/>
      <c r="AG9" s="464"/>
      <c r="AH9" s="464"/>
      <c r="AI9" s="464"/>
      <c r="AJ9" s="464"/>
      <c r="AK9" s="464"/>
      <c r="AL9" s="464"/>
      <c r="AM9" s="464"/>
      <c r="AN9" s="464"/>
      <c r="AO9" s="464"/>
      <c r="AP9" s="464"/>
      <c r="AQ9" s="464"/>
      <c r="AR9" s="464"/>
      <c r="AS9" s="464"/>
    </row>
    <row r="10" spans="2:45" s="463" customFormat="1" ht="21.95" customHeight="1">
      <c r="B10" s="483" t="s">
        <v>70</v>
      </c>
      <c r="C10" s="484" t="s">
        <v>71</v>
      </c>
      <c r="D10" s="485">
        <v>0.01</v>
      </c>
      <c r="G10" s="791" t="s">
        <v>65</v>
      </c>
      <c r="H10" s="791"/>
      <c r="I10" s="791"/>
      <c r="J10" s="791"/>
      <c r="K10" s="791"/>
      <c r="L10" s="466"/>
      <c r="M10" s="466"/>
      <c r="N10" s="466"/>
      <c r="O10" s="464"/>
      <c r="P10" s="464"/>
      <c r="Q10" s="464"/>
      <c r="R10" s="464"/>
      <c r="S10" s="464"/>
      <c r="T10" s="464"/>
      <c r="U10" s="464"/>
      <c r="V10" s="464"/>
      <c r="W10" s="467">
        <v>0.01</v>
      </c>
      <c r="X10" s="467">
        <v>0</v>
      </c>
      <c r="Y10" s="468">
        <f t="shared" si="0"/>
        <v>0.01</v>
      </c>
      <c r="Z10" s="464" t="s">
        <v>72</v>
      </c>
      <c r="AA10" s="464" t="str">
        <f>IF(OR(D10=1%,D10=1.2%,D10=0%,D10=""),"OK","JUSTIFICAR")</f>
        <v>OK</v>
      </c>
      <c r="AB10" s="464">
        <f t="shared" si="1"/>
        <v>1</v>
      </c>
      <c r="AC10" s="464"/>
      <c r="AD10" s="464"/>
      <c r="AE10" s="464"/>
      <c r="AF10" s="464"/>
      <c r="AG10" s="464"/>
      <c r="AH10" s="464"/>
      <c r="AI10" s="464"/>
      <c r="AJ10" s="464"/>
      <c r="AK10" s="464"/>
      <c r="AL10" s="464"/>
      <c r="AM10" s="464"/>
      <c r="AN10" s="464"/>
      <c r="AO10" s="464"/>
      <c r="AP10" s="464"/>
      <c r="AQ10" s="464"/>
      <c r="AR10" s="464"/>
      <c r="AS10" s="464"/>
    </row>
    <row r="11" spans="2:45" s="463" customFormat="1" ht="21.95" customHeight="1">
      <c r="B11" s="483" t="s">
        <v>73</v>
      </c>
      <c r="C11" s="484" t="s">
        <v>74</v>
      </c>
      <c r="D11" s="485">
        <v>2E-3</v>
      </c>
      <c r="G11" s="791" t="s">
        <v>65</v>
      </c>
      <c r="H11" s="791"/>
      <c r="I11" s="791"/>
      <c r="J11" s="791"/>
      <c r="K11" s="791"/>
      <c r="L11" s="466"/>
      <c r="M11" s="466"/>
      <c r="N11" s="466"/>
      <c r="O11" s="464"/>
      <c r="P11" s="464"/>
      <c r="Q11" s="464"/>
      <c r="R11" s="464"/>
      <c r="S11" s="464"/>
      <c r="T11" s="464"/>
      <c r="U11" s="464"/>
      <c r="V11" s="464"/>
      <c r="W11" s="467">
        <v>2E-3</v>
      </c>
      <c r="X11" s="467">
        <v>0</v>
      </c>
      <c r="Y11" s="468">
        <f t="shared" si="0"/>
        <v>2E-3</v>
      </c>
      <c r="Z11" s="464"/>
      <c r="AA11" s="464" t="str">
        <f>IF(D11=Y11,"OK","JUSTIFICAR")</f>
        <v>OK</v>
      </c>
      <c r="AB11" s="464">
        <f t="shared" si="1"/>
        <v>1</v>
      </c>
      <c r="AC11" s="464"/>
      <c r="AD11" s="464"/>
      <c r="AE11" s="464"/>
      <c r="AF11" s="464"/>
      <c r="AG11" s="464"/>
      <c r="AH11" s="464"/>
      <c r="AI11" s="464"/>
      <c r="AJ11" s="464"/>
      <c r="AK11" s="464"/>
      <c r="AL11" s="464"/>
      <c r="AM11" s="464"/>
      <c r="AN11" s="464"/>
      <c r="AO11" s="464"/>
      <c r="AP11" s="464"/>
      <c r="AQ11" s="464"/>
      <c r="AR11" s="464"/>
      <c r="AS11" s="464"/>
    </row>
    <row r="12" spans="2:45" s="463" customFormat="1" ht="21.95" customHeight="1">
      <c r="B12" s="483" t="s">
        <v>75</v>
      </c>
      <c r="C12" s="484" t="s">
        <v>76</v>
      </c>
      <c r="D12" s="485">
        <v>2.5000000000000001E-2</v>
      </c>
      <c r="G12" s="791" t="s">
        <v>65</v>
      </c>
      <c r="H12" s="791"/>
      <c r="I12" s="791"/>
      <c r="J12" s="791"/>
      <c r="K12" s="791"/>
      <c r="L12" s="466"/>
      <c r="M12" s="466"/>
      <c r="N12" s="466"/>
      <c r="O12" s="464"/>
      <c r="P12" s="464"/>
      <c r="Q12" s="464"/>
      <c r="R12" s="464"/>
      <c r="S12" s="464"/>
      <c r="T12" s="464"/>
      <c r="U12" s="464"/>
      <c r="V12" s="464"/>
      <c r="W12" s="467">
        <v>2.5000000000000001E-2</v>
      </c>
      <c r="X12" s="467">
        <v>0</v>
      </c>
      <c r="Y12" s="468">
        <f t="shared" si="0"/>
        <v>2.5000000000000001E-2</v>
      </c>
      <c r="Z12" s="464"/>
      <c r="AA12" s="464" t="str">
        <f>IF(D12=Y12,"OK","JUSTIFICAR")</f>
        <v>OK</v>
      </c>
      <c r="AB12" s="464">
        <f t="shared" si="1"/>
        <v>1</v>
      </c>
      <c r="AC12" s="464"/>
      <c r="AD12" s="464"/>
      <c r="AE12" s="464"/>
      <c r="AF12" s="464"/>
      <c r="AG12" s="464"/>
      <c r="AH12" s="464"/>
      <c r="AI12" s="464"/>
      <c r="AJ12" s="464"/>
      <c r="AK12" s="464"/>
      <c r="AL12" s="464"/>
      <c r="AM12" s="464"/>
      <c r="AN12" s="464"/>
      <c r="AO12" s="464"/>
      <c r="AP12" s="464"/>
      <c r="AQ12" s="464"/>
      <c r="AR12" s="464"/>
      <c r="AS12" s="464"/>
    </row>
    <row r="13" spans="2:45" s="463" customFormat="1" ht="21.95" customHeight="1">
      <c r="B13" s="483" t="s">
        <v>77</v>
      </c>
      <c r="C13" s="484" t="s">
        <v>78</v>
      </c>
      <c r="D13" s="485">
        <v>0.03</v>
      </c>
      <c r="G13" s="791" t="s">
        <v>65</v>
      </c>
      <c r="H13" s="791"/>
      <c r="I13" s="791"/>
      <c r="J13" s="791"/>
      <c r="K13" s="791"/>
      <c r="L13" s="466"/>
      <c r="M13" s="466"/>
      <c r="N13" s="466"/>
      <c r="O13" s="464"/>
      <c r="P13" s="464"/>
      <c r="Q13" s="464"/>
      <c r="R13" s="464"/>
      <c r="S13" s="464"/>
      <c r="T13" s="464"/>
      <c r="U13" s="464"/>
      <c r="V13" s="464"/>
      <c r="W13" s="467">
        <v>0.03</v>
      </c>
      <c r="X13" s="467">
        <v>0</v>
      </c>
      <c r="Y13" s="468">
        <f t="shared" si="0"/>
        <v>0.03</v>
      </c>
      <c r="Z13" s="464" t="s">
        <v>72</v>
      </c>
      <c r="AA13" s="464" t="str">
        <f>IF(W4,IF(D13&lt;&gt;0%,"JUSTIFICAR","OK"),IF(AND(D13&gt;0.99%,D13&lt;3.01%),"OK","JUSTIFICAR"))</f>
        <v>OK</v>
      </c>
      <c r="AB13" s="464">
        <f t="shared" si="1"/>
        <v>1</v>
      </c>
      <c r="AC13" s="464"/>
      <c r="AD13" s="464"/>
      <c r="AE13" s="464"/>
      <c r="AF13" s="464"/>
      <c r="AG13" s="464"/>
      <c r="AH13" s="464"/>
      <c r="AI13" s="464"/>
      <c r="AJ13" s="464"/>
      <c r="AK13" s="464"/>
      <c r="AL13" s="464"/>
      <c r="AM13" s="464"/>
      <c r="AN13" s="464"/>
      <c r="AO13" s="464"/>
      <c r="AP13" s="464"/>
      <c r="AQ13" s="464"/>
      <c r="AR13" s="464"/>
      <c r="AS13" s="464"/>
    </row>
    <row r="14" spans="2:45" s="463" customFormat="1" ht="21.95" customHeight="1">
      <c r="B14" s="483" t="s">
        <v>79</v>
      </c>
      <c r="C14" s="484" t="s">
        <v>80</v>
      </c>
      <c r="D14" s="485">
        <v>6.0000000000000001E-3</v>
      </c>
      <c r="G14" s="791" t="s">
        <v>65</v>
      </c>
      <c r="H14" s="791"/>
      <c r="I14" s="791"/>
      <c r="J14" s="791"/>
      <c r="K14" s="791"/>
      <c r="L14" s="466"/>
      <c r="M14" s="466"/>
      <c r="N14" s="466"/>
      <c r="O14" s="464"/>
      <c r="P14" s="464"/>
      <c r="Q14" s="464"/>
      <c r="R14" s="464"/>
      <c r="S14" s="464"/>
      <c r="T14" s="464"/>
      <c r="U14" s="464"/>
      <c r="V14" s="464"/>
      <c r="W14" s="467">
        <v>6.0000000000000001E-3</v>
      </c>
      <c r="X14" s="467">
        <v>0</v>
      </c>
      <c r="Y14" s="468">
        <f t="shared" si="0"/>
        <v>6.0000000000000001E-3</v>
      </c>
      <c r="Z14" s="464"/>
      <c r="AA14" s="464" t="str">
        <f>IF(D14=Y14,"OK","JUSTIFICAR")</f>
        <v>OK</v>
      </c>
      <c r="AB14" s="464">
        <f t="shared" si="1"/>
        <v>1</v>
      </c>
      <c r="AC14" s="464"/>
      <c r="AD14" s="464"/>
      <c r="AE14" s="464"/>
      <c r="AF14" s="464"/>
      <c r="AG14" s="464"/>
      <c r="AH14" s="464"/>
      <c r="AI14" s="464"/>
      <c r="AJ14" s="464"/>
      <c r="AK14" s="464"/>
      <c r="AL14" s="464"/>
      <c r="AM14" s="464"/>
      <c r="AN14" s="464"/>
      <c r="AO14" s="464"/>
      <c r="AP14" s="464"/>
      <c r="AQ14" s="464"/>
      <c r="AR14" s="464"/>
      <c r="AS14" s="464"/>
    </row>
    <row r="15" spans="2:45" s="463" customFormat="1" ht="21.95" customHeight="1">
      <c r="B15" s="486" t="s">
        <v>81</v>
      </c>
      <c r="C15" s="487" t="s">
        <v>82</v>
      </c>
      <c r="D15" s="488">
        <v>0</v>
      </c>
      <c r="E15" s="463">
        <v>1</v>
      </c>
      <c r="G15" s="791" t="s">
        <v>65</v>
      </c>
      <c r="H15" s="791"/>
      <c r="I15" s="791"/>
      <c r="J15" s="791"/>
      <c r="K15" s="791"/>
      <c r="L15" s="466"/>
      <c r="M15" s="466"/>
      <c r="N15" s="466"/>
      <c r="O15" s="464"/>
      <c r="P15" s="464"/>
      <c r="Q15" s="464"/>
      <c r="R15" s="464"/>
      <c r="S15" s="464"/>
      <c r="T15" s="464"/>
      <c r="U15" s="464"/>
      <c r="V15" s="464"/>
      <c r="W15" s="467">
        <v>0</v>
      </c>
      <c r="X15" s="467">
        <v>0</v>
      </c>
      <c r="Y15" s="468">
        <f t="shared" si="0"/>
        <v>0</v>
      </c>
      <c r="Z15" s="464" t="s">
        <v>72</v>
      </c>
      <c r="AA15" s="464" t="str">
        <f>IF(OR(D15=0%,D15=1%,D15=""),"OK","JUSTIFICAR")</f>
        <v>OK</v>
      </c>
      <c r="AB15" s="464">
        <f t="shared" si="1"/>
        <v>1</v>
      </c>
      <c r="AC15" s="464"/>
      <c r="AD15" s="464"/>
      <c r="AE15" s="464"/>
      <c r="AF15" s="464"/>
      <c r="AG15" s="464"/>
      <c r="AH15" s="464"/>
      <c r="AI15" s="464"/>
      <c r="AJ15" s="464"/>
      <c r="AK15" s="464"/>
      <c r="AL15" s="464"/>
      <c r="AM15" s="464"/>
      <c r="AN15" s="464"/>
      <c r="AO15" s="464"/>
      <c r="AP15" s="464"/>
      <c r="AQ15" s="464"/>
      <c r="AR15" s="464"/>
      <c r="AS15" s="464"/>
    </row>
    <row r="16" spans="2:45" s="463" customFormat="1" ht="24.95" customHeight="1">
      <c r="B16" s="477" t="s">
        <v>1</v>
      </c>
      <c r="C16" s="462" t="s">
        <v>83</v>
      </c>
      <c r="D16" s="478">
        <f>IF(AB17=2,SUM(D18:D26),D18+D19+D20+D22+D24+D25+D26)</f>
        <v>0.28610000000000002</v>
      </c>
      <c r="G16" s="460"/>
      <c r="H16" s="460"/>
      <c r="I16" s="460"/>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row>
    <row r="17" spans="2:46" s="463" customFormat="1" ht="29.25" customHeight="1">
      <c r="B17" s="491"/>
      <c r="C17" s="492" t="s">
        <v>84</v>
      </c>
      <c r="D17" s="490"/>
      <c r="G17" s="464"/>
      <c r="H17" s="460"/>
      <c r="I17" s="460"/>
      <c r="J17" s="464"/>
      <c r="K17" s="464"/>
      <c r="L17" s="464"/>
      <c r="M17" s="464"/>
      <c r="N17" s="464"/>
      <c r="O17" s="464"/>
      <c r="P17" s="464"/>
      <c r="Q17" s="464"/>
      <c r="R17" s="464"/>
      <c r="S17" s="464"/>
      <c r="T17" s="464"/>
      <c r="U17" s="464"/>
      <c r="V17" s="464"/>
      <c r="W17" s="464"/>
      <c r="X17" s="464"/>
      <c r="Y17" s="464"/>
      <c r="Z17" s="464"/>
      <c r="AA17" s="464"/>
      <c r="AB17" s="460">
        <v>1</v>
      </c>
      <c r="AC17" s="464"/>
      <c r="AD17" s="464"/>
      <c r="AE17" s="464"/>
      <c r="AF17" s="464"/>
      <c r="AG17" s="464"/>
      <c r="AH17" s="464"/>
      <c r="AI17" s="464"/>
      <c r="AJ17" s="464"/>
      <c r="AK17" s="464"/>
      <c r="AL17" s="464"/>
      <c r="AM17" s="464"/>
      <c r="AN17" s="464"/>
      <c r="AO17" s="464"/>
      <c r="AP17" s="464"/>
      <c r="AQ17" s="464"/>
      <c r="AR17" s="464"/>
      <c r="AS17" s="464"/>
    </row>
    <row r="18" spans="2:46" s="463" customFormat="1" ht="21.95" customHeight="1">
      <c r="B18" s="480" t="s">
        <v>85</v>
      </c>
      <c r="C18" s="481" t="s">
        <v>86</v>
      </c>
      <c r="D18" s="482">
        <v>0.1111</v>
      </c>
      <c r="G18" s="460"/>
      <c r="H18" s="460"/>
      <c r="I18" s="460"/>
      <c r="J18" s="464"/>
      <c r="K18" s="464"/>
      <c r="L18" s="4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4"/>
      <c r="AS18" s="464"/>
    </row>
    <row r="19" spans="2:46" s="463" customFormat="1" ht="21.95" customHeight="1">
      <c r="B19" s="483" t="s">
        <v>87</v>
      </c>
      <c r="C19" s="484" t="s">
        <v>88</v>
      </c>
      <c r="D19" s="485">
        <v>8.3299999999999999E-2</v>
      </c>
      <c r="F19" s="469"/>
      <c r="G19" s="470"/>
      <c r="H19" s="470"/>
      <c r="I19" s="470"/>
      <c r="J19" s="469"/>
      <c r="K19" s="469"/>
      <c r="L19" s="469"/>
      <c r="M19" s="469"/>
      <c r="N19" s="469"/>
      <c r="O19" s="469"/>
      <c r="P19" s="469"/>
      <c r="Q19" s="469"/>
      <c r="R19" s="469"/>
      <c r="S19" s="469"/>
      <c r="T19" s="469"/>
      <c r="U19" s="469"/>
      <c r="V19" s="469"/>
      <c r="W19" s="469"/>
      <c r="X19" s="469"/>
      <c r="Y19" s="469"/>
      <c r="Z19" s="469"/>
      <c r="AA19" s="469"/>
      <c r="AB19" s="469"/>
      <c r="AC19" s="469"/>
      <c r="AD19" s="469"/>
      <c r="AE19" s="469"/>
      <c r="AF19" s="469"/>
      <c r="AG19" s="469"/>
      <c r="AH19" s="469"/>
      <c r="AI19" s="469"/>
      <c r="AJ19" s="469"/>
      <c r="AK19" s="469"/>
      <c r="AL19" s="469"/>
      <c r="AM19" s="469"/>
      <c r="AN19" s="469"/>
      <c r="AO19" s="469"/>
      <c r="AP19" s="469"/>
      <c r="AQ19" s="469"/>
      <c r="AR19" s="469"/>
      <c r="AS19" s="469"/>
      <c r="AT19" s="469"/>
    </row>
    <row r="20" spans="2:46" s="463" customFormat="1" ht="21.95" customHeight="1">
      <c r="B20" s="483" t="s">
        <v>89</v>
      </c>
      <c r="C20" s="484" t="s">
        <v>90</v>
      </c>
      <c r="D20" s="485">
        <v>7.2499999999999995E-2</v>
      </c>
      <c r="F20" s="469" t="s">
        <v>131</v>
      </c>
      <c r="G20" s="470"/>
      <c r="H20" s="470"/>
      <c r="I20" s="470"/>
      <c r="J20" s="469"/>
      <c r="K20" s="469"/>
      <c r="L20" s="469"/>
      <c r="M20" s="469"/>
      <c r="N20" s="469"/>
      <c r="O20" s="469"/>
      <c r="P20" s="469"/>
      <c r="Q20" s="469"/>
      <c r="R20" s="469"/>
      <c r="S20" s="469"/>
      <c r="T20" s="469"/>
      <c r="U20" s="469"/>
      <c r="V20" s="469"/>
      <c r="W20" s="469"/>
      <c r="X20" s="469"/>
      <c r="Y20" s="469"/>
      <c r="Z20" s="469"/>
      <c r="AA20" s="469"/>
      <c r="AB20" s="469"/>
      <c r="AC20" s="469"/>
      <c r="AD20" s="469"/>
      <c r="AE20" s="469"/>
      <c r="AF20" s="469"/>
      <c r="AG20" s="469"/>
      <c r="AH20" s="469"/>
      <c r="AI20" s="469"/>
      <c r="AJ20" s="469"/>
      <c r="AK20" s="469"/>
      <c r="AL20" s="469"/>
      <c r="AM20" s="469"/>
      <c r="AN20" s="469"/>
      <c r="AO20" s="469"/>
      <c r="AP20" s="469"/>
      <c r="AQ20" s="469"/>
      <c r="AR20" s="469"/>
      <c r="AS20" s="469"/>
      <c r="AT20" s="469"/>
    </row>
    <row r="21" spans="2:46" s="463" customFormat="1" ht="21.95" customHeight="1">
      <c r="B21" s="483" t="s">
        <v>91</v>
      </c>
      <c r="C21" s="484" t="s">
        <v>92</v>
      </c>
      <c r="D21" s="485">
        <v>5.4199999999999998E-2</v>
      </c>
      <c r="F21" s="469" t="s">
        <v>132</v>
      </c>
      <c r="G21" s="471" t="s">
        <v>93</v>
      </c>
      <c r="H21" s="471"/>
      <c r="I21" s="471"/>
      <c r="J21" s="471"/>
      <c r="K21" s="471"/>
      <c r="L21" s="471"/>
      <c r="M21" s="471"/>
      <c r="N21" s="471"/>
      <c r="O21" s="471"/>
      <c r="P21" s="471"/>
      <c r="Q21" s="471"/>
      <c r="R21" s="469"/>
      <c r="S21" s="469"/>
      <c r="T21" s="469"/>
      <c r="U21" s="469"/>
      <c r="V21" s="469"/>
      <c r="W21" s="469"/>
      <c r="X21" s="469"/>
      <c r="Y21" s="469"/>
      <c r="Z21" s="469"/>
      <c r="AA21" s="469"/>
      <c r="AB21" s="469"/>
      <c r="AC21" s="469"/>
      <c r="AD21" s="469"/>
      <c r="AE21" s="469"/>
      <c r="AF21" s="469"/>
      <c r="AG21" s="469"/>
      <c r="AH21" s="469"/>
      <c r="AI21" s="469"/>
      <c r="AJ21" s="469"/>
      <c r="AK21" s="469"/>
      <c r="AL21" s="469"/>
      <c r="AM21" s="469"/>
      <c r="AN21" s="469"/>
      <c r="AO21" s="469"/>
      <c r="AP21" s="469"/>
      <c r="AQ21" s="469"/>
      <c r="AR21" s="469"/>
      <c r="AS21" s="469"/>
      <c r="AT21" s="469"/>
    </row>
    <row r="22" spans="2:46" s="463" customFormat="1" ht="21.95" customHeight="1">
      <c r="B22" s="483" t="s">
        <v>94</v>
      </c>
      <c r="C22" s="484" t="s">
        <v>95</v>
      </c>
      <c r="D22" s="485">
        <v>2.0000000000000001E-4</v>
      </c>
      <c r="F22" s="469"/>
      <c r="G22" s="470"/>
      <c r="H22" s="470"/>
      <c r="I22" s="470"/>
      <c r="J22" s="469"/>
      <c r="K22" s="469"/>
      <c r="L22" s="469"/>
      <c r="M22" s="469"/>
      <c r="N22" s="469"/>
      <c r="O22" s="469"/>
      <c r="P22" s="472"/>
      <c r="Q22" s="469"/>
      <c r="R22" s="469"/>
      <c r="S22" s="469"/>
      <c r="T22" s="469"/>
      <c r="U22" s="469"/>
      <c r="V22" s="469"/>
      <c r="W22" s="469"/>
      <c r="X22" s="469"/>
      <c r="Y22" s="469"/>
      <c r="Z22" s="469"/>
      <c r="AA22" s="469"/>
      <c r="AB22" s="469"/>
      <c r="AC22" s="469"/>
      <c r="AD22" s="469"/>
      <c r="AE22" s="469"/>
      <c r="AF22" s="469"/>
      <c r="AG22" s="469"/>
      <c r="AH22" s="469"/>
      <c r="AI22" s="469"/>
      <c r="AJ22" s="469"/>
      <c r="AK22" s="469"/>
      <c r="AL22" s="469"/>
      <c r="AM22" s="469"/>
      <c r="AN22" s="469"/>
      <c r="AO22" s="469"/>
      <c r="AP22" s="469"/>
      <c r="AQ22" s="469"/>
      <c r="AR22" s="469"/>
      <c r="AS22" s="469"/>
      <c r="AT22" s="469"/>
    </row>
    <row r="23" spans="2:46" s="463" customFormat="1" ht="21.95" customHeight="1">
      <c r="B23" s="483" t="s">
        <v>96</v>
      </c>
      <c r="C23" s="484" t="s">
        <v>97</v>
      </c>
      <c r="D23" s="485">
        <v>4.7800000000000002E-2</v>
      </c>
      <c r="F23" s="469" t="s">
        <v>132</v>
      </c>
      <c r="G23" s="471" t="s">
        <v>93</v>
      </c>
      <c r="H23" s="471"/>
      <c r="I23" s="471"/>
      <c r="J23" s="471"/>
      <c r="K23" s="471"/>
      <c r="L23" s="471"/>
      <c r="M23" s="471"/>
      <c r="N23" s="471"/>
      <c r="O23" s="471"/>
      <c r="P23" s="471"/>
      <c r="Q23" s="471"/>
      <c r="R23" s="469"/>
      <c r="S23" s="469"/>
      <c r="T23" s="469"/>
      <c r="U23" s="469"/>
      <c r="V23" s="469"/>
      <c r="W23" s="469"/>
      <c r="X23" s="469"/>
      <c r="Y23" s="469"/>
      <c r="Z23" s="469"/>
      <c r="AA23" s="469"/>
      <c r="AB23" s="469"/>
      <c r="AC23" s="469"/>
      <c r="AD23" s="469"/>
      <c r="AE23" s="469"/>
      <c r="AF23" s="469"/>
      <c r="AG23" s="469"/>
      <c r="AH23" s="469"/>
      <c r="AI23" s="469"/>
      <c r="AJ23" s="469"/>
      <c r="AK23" s="469"/>
      <c r="AL23" s="469"/>
      <c r="AM23" s="469"/>
      <c r="AN23" s="469"/>
      <c r="AO23" s="469"/>
      <c r="AP23" s="469"/>
      <c r="AQ23" s="469"/>
      <c r="AR23" s="469"/>
      <c r="AS23" s="469"/>
      <c r="AT23" s="469"/>
    </row>
    <row r="24" spans="2:46" s="463" customFormat="1" ht="21.95" customHeight="1">
      <c r="B24" s="483" t="s">
        <v>98</v>
      </c>
      <c r="C24" s="484" t="s">
        <v>99</v>
      </c>
      <c r="D24" s="485">
        <v>0</v>
      </c>
      <c r="F24" s="469"/>
      <c r="G24" s="470"/>
      <c r="H24" s="470"/>
      <c r="I24" s="470"/>
      <c r="J24" s="469"/>
      <c r="K24" s="469"/>
      <c r="L24" s="469"/>
      <c r="M24" s="469"/>
      <c r="N24" s="469"/>
      <c r="O24" s="469"/>
      <c r="P24" s="469"/>
      <c r="Q24" s="469"/>
      <c r="R24" s="469"/>
      <c r="S24" s="469"/>
      <c r="T24" s="469"/>
      <c r="U24" s="469"/>
      <c r="V24" s="469"/>
      <c r="W24" s="469"/>
      <c r="X24" s="469"/>
      <c r="Y24" s="469"/>
      <c r="Z24" s="469"/>
      <c r="AA24" s="469"/>
      <c r="AB24" s="469"/>
      <c r="AC24" s="469"/>
      <c r="AD24" s="469"/>
      <c r="AE24" s="469"/>
      <c r="AF24" s="469"/>
      <c r="AG24" s="469"/>
      <c r="AH24" s="469"/>
      <c r="AI24" s="469"/>
      <c r="AJ24" s="469"/>
      <c r="AK24" s="469"/>
      <c r="AL24" s="469"/>
      <c r="AM24" s="469"/>
      <c r="AN24" s="469"/>
      <c r="AO24" s="469"/>
      <c r="AP24" s="469"/>
      <c r="AQ24" s="469"/>
      <c r="AR24" s="469"/>
      <c r="AS24" s="469"/>
      <c r="AT24" s="469"/>
    </row>
    <row r="25" spans="2:46" s="463" customFormat="1" ht="21.95" customHeight="1">
      <c r="B25" s="483" t="s">
        <v>100</v>
      </c>
      <c r="C25" s="484" t="s">
        <v>129</v>
      </c>
      <c r="D25" s="485">
        <v>1.9E-2</v>
      </c>
      <c r="F25" s="469"/>
      <c r="G25" s="470"/>
      <c r="H25" s="470"/>
      <c r="I25" s="470"/>
      <c r="J25" s="469"/>
      <c r="K25" s="469"/>
      <c r="L25" s="469"/>
      <c r="M25" s="469"/>
      <c r="N25" s="469"/>
      <c r="O25" s="469"/>
      <c r="P25" s="469"/>
      <c r="Q25" s="469"/>
      <c r="R25" s="469"/>
      <c r="S25" s="469"/>
      <c r="T25" s="469"/>
      <c r="U25" s="469"/>
      <c r="V25" s="469"/>
      <c r="W25" s="469"/>
      <c r="X25" s="469"/>
      <c r="Y25" s="469"/>
      <c r="Z25" s="469"/>
      <c r="AA25" s="469"/>
      <c r="AB25" s="469"/>
      <c r="AC25" s="469"/>
      <c r="AD25" s="469"/>
      <c r="AE25" s="469"/>
      <c r="AF25" s="469"/>
      <c r="AG25" s="469"/>
      <c r="AH25" s="469"/>
      <c r="AI25" s="469"/>
      <c r="AJ25" s="469"/>
      <c r="AK25" s="469"/>
      <c r="AL25" s="469"/>
      <c r="AM25" s="469"/>
      <c r="AN25" s="469"/>
      <c r="AO25" s="469"/>
      <c r="AP25" s="469"/>
      <c r="AQ25" s="469"/>
      <c r="AR25" s="469"/>
      <c r="AS25" s="469"/>
      <c r="AT25" s="469"/>
    </row>
    <row r="26" spans="2:46" s="463" customFormat="1" ht="21.95" customHeight="1">
      <c r="B26" s="486" t="s">
        <v>101</v>
      </c>
      <c r="C26" s="487" t="s">
        <v>130</v>
      </c>
      <c r="D26" s="489"/>
      <c r="F26" s="469"/>
      <c r="G26" s="470"/>
      <c r="H26" s="470"/>
      <c r="I26" s="470"/>
      <c r="J26" s="469"/>
      <c r="K26" s="469"/>
      <c r="L26" s="469"/>
      <c r="M26" s="469"/>
      <c r="N26" s="469"/>
      <c r="O26" s="469"/>
      <c r="P26" s="469"/>
      <c r="Q26" s="469"/>
      <c r="R26" s="469"/>
      <c r="S26" s="469"/>
      <c r="T26" s="469"/>
      <c r="U26" s="469"/>
      <c r="V26" s="469"/>
      <c r="W26" s="469"/>
      <c r="X26" s="469"/>
      <c r="Y26" s="469"/>
      <c r="Z26" s="469"/>
      <c r="AA26" s="469"/>
      <c r="AB26" s="469"/>
      <c r="AC26" s="469"/>
      <c r="AD26" s="469"/>
      <c r="AE26" s="469"/>
      <c r="AF26" s="469"/>
      <c r="AG26" s="469"/>
      <c r="AH26" s="469"/>
      <c r="AI26" s="469"/>
      <c r="AJ26" s="469"/>
      <c r="AK26" s="469"/>
      <c r="AL26" s="469"/>
      <c r="AM26" s="469"/>
      <c r="AN26" s="469"/>
      <c r="AO26" s="469"/>
      <c r="AP26" s="469"/>
      <c r="AQ26" s="469"/>
      <c r="AR26" s="469"/>
      <c r="AS26" s="469"/>
      <c r="AT26" s="469"/>
    </row>
    <row r="27" spans="2:46" s="463" customFormat="1" ht="24.95" customHeight="1">
      <c r="B27" s="477" t="s">
        <v>0</v>
      </c>
      <c r="C27" s="462" t="s">
        <v>102</v>
      </c>
      <c r="D27" s="478">
        <f>SUM(D28:D30)</f>
        <v>0.10559999999999999</v>
      </c>
      <c r="F27" s="469"/>
      <c r="G27" s="470"/>
      <c r="H27" s="470"/>
      <c r="I27" s="470"/>
      <c r="J27" s="469"/>
      <c r="K27" s="469"/>
      <c r="L27" s="469"/>
      <c r="M27" s="469"/>
      <c r="N27" s="469"/>
      <c r="O27" s="469"/>
      <c r="P27" s="469"/>
      <c r="Q27" s="469"/>
      <c r="R27" s="469"/>
      <c r="S27" s="469"/>
      <c r="T27" s="469"/>
      <c r="U27" s="469"/>
      <c r="V27" s="469"/>
      <c r="W27" s="469"/>
      <c r="X27" s="469"/>
      <c r="Y27" s="469"/>
      <c r="Z27" s="469"/>
      <c r="AA27" s="469"/>
      <c r="AB27" s="469"/>
      <c r="AC27" s="469"/>
      <c r="AD27" s="469"/>
      <c r="AE27" s="469"/>
      <c r="AF27" s="469"/>
      <c r="AG27" s="469"/>
      <c r="AH27" s="469"/>
      <c r="AI27" s="469"/>
      <c r="AJ27" s="469"/>
      <c r="AK27" s="469"/>
      <c r="AL27" s="469"/>
      <c r="AM27" s="469"/>
      <c r="AN27" s="469"/>
      <c r="AO27" s="469"/>
      <c r="AP27" s="469"/>
      <c r="AQ27" s="469"/>
      <c r="AR27" s="469"/>
      <c r="AS27" s="469"/>
      <c r="AT27" s="469"/>
    </row>
    <row r="28" spans="2:46" s="463" customFormat="1" ht="21.95" customHeight="1">
      <c r="B28" s="480" t="s">
        <v>103</v>
      </c>
      <c r="C28" s="481" t="s">
        <v>104</v>
      </c>
      <c r="D28" s="482">
        <v>0.04</v>
      </c>
      <c r="F28" s="469" t="s">
        <v>133</v>
      </c>
      <c r="G28" s="470"/>
      <c r="H28" s="470"/>
      <c r="I28" s="470"/>
      <c r="J28" s="469"/>
      <c r="K28" s="469"/>
      <c r="L28" s="469"/>
      <c r="M28" s="469"/>
      <c r="N28" s="469"/>
      <c r="O28" s="469"/>
      <c r="P28" s="469"/>
      <c r="Q28" s="469"/>
      <c r="R28" s="469"/>
      <c r="S28" s="469"/>
      <c r="T28" s="469"/>
      <c r="U28" s="469"/>
      <c r="V28" s="469"/>
      <c r="W28" s="469"/>
      <c r="X28" s="469"/>
      <c r="Y28" s="469"/>
      <c r="Z28" s="469"/>
      <c r="AA28" s="469"/>
      <c r="AB28" s="469"/>
      <c r="AC28" s="469"/>
      <c r="AD28" s="469"/>
      <c r="AE28" s="469"/>
      <c r="AF28" s="469"/>
      <c r="AG28" s="469"/>
      <c r="AH28" s="469"/>
      <c r="AI28" s="469"/>
      <c r="AJ28" s="469"/>
      <c r="AK28" s="469"/>
      <c r="AL28" s="469"/>
      <c r="AM28" s="469"/>
      <c r="AN28" s="469"/>
      <c r="AO28" s="469"/>
      <c r="AP28" s="469"/>
      <c r="AQ28" s="469"/>
      <c r="AR28" s="469"/>
      <c r="AS28" s="469"/>
      <c r="AT28" s="469"/>
    </row>
    <row r="29" spans="2:46" s="463" customFormat="1" ht="21.95" customHeight="1">
      <c r="B29" s="483" t="s">
        <v>105</v>
      </c>
      <c r="C29" s="484" t="s">
        <v>106</v>
      </c>
      <c r="D29" s="485">
        <v>6.3899999999999998E-2</v>
      </c>
      <c r="F29" s="469" t="s">
        <v>134</v>
      </c>
      <c r="G29" s="470"/>
      <c r="H29" s="470"/>
      <c r="I29" s="470"/>
      <c r="J29" s="469"/>
      <c r="K29" s="469"/>
      <c r="L29" s="469"/>
      <c r="M29" s="469"/>
      <c r="N29" s="469"/>
      <c r="O29" s="469"/>
      <c r="P29" s="469"/>
      <c r="Q29" s="469"/>
      <c r="R29" s="469"/>
      <c r="S29" s="469"/>
      <c r="T29" s="469"/>
      <c r="U29" s="469"/>
      <c r="V29" s="469"/>
      <c r="W29" s="469"/>
      <c r="X29" s="469"/>
      <c r="Y29" s="469"/>
      <c r="Z29" s="469"/>
      <c r="AA29" s="469"/>
      <c r="AB29" s="469"/>
      <c r="AC29" s="469"/>
      <c r="AD29" s="469"/>
      <c r="AE29" s="469"/>
      <c r="AF29" s="469"/>
      <c r="AG29" s="469"/>
      <c r="AH29" s="469"/>
      <c r="AI29" s="469"/>
      <c r="AJ29" s="469"/>
      <c r="AK29" s="469"/>
      <c r="AL29" s="469"/>
      <c r="AM29" s="469"/>
      <c r="AN29" s="469"/>
      <c r="AO29" s="469"/>
      <c r="AP29" s="469"/>
      <c r="AQ29" s="469"/>
      <c r="AR29" s="469"/>
      <c r="AS29" s="469"/>
      <c r="AT29" s="469"/>
    </row>
    <row r="30" spans="2:46" s="463" customFormat="1" ht="21.95" customHeight="1">
      <c r="B30" s="486" t="s">
        <v>107</v>
      </c>
      <c r="C30" s="487" t="s">
        <v>108</v>
      </c>
      <c r="D30" s="488">
        <v>1.6999999999999999E-3</v>
      </c>
      <c r="F30" s="469" t="s">
        <v>135</v>
      </c>
      <c r="G30" s="470"/>
      <c r="H30" s="470"/>
      <c r="I30" s="470"/>
      <c r="J30" s="469"/>
      <c r="K30" s="469"/>
      <c r="L30" s="469"/>
      <c r="M30" s="469"/>
      <c r="N30" s="469"/>
      <c r="O30" s="469"/>
      <c r="P30" s="469"/>
      <c r="Q30" s="469"/>
      <c r="R30" s="469"/>
      <c r="S30" s="469"/>
      <c r="T30" s="469"/>
      <c r="U30" s="469"/>
      <c r="V30" s="469"/>
      <c r="W30" s="469"/>
      <c r="X30" s="469"/>
      <c r="Y30" s="469"/>
      <c r="Z30" s="469"/>
      <c r="AA30" s="469"/>
      <c r="AB30" s="469"/>
      <c r="AC30" s="469"/>
      <c r="AD30" s="469"/>
      <c r="AE30" s="469"/>
      <c r="AF30" s="469"/>
      <c r="AG30" s="469"/>
      <c r="AH30" s="469"/>
      <c r="AI30" s="469"/>
      <c r="AJ30" s="469"/>
      <c r="AK30" s="469"/>
      <c r="AL30" s="469"/>
      <c r="AM30" s="469"/>
      <c r="AN30" s="469"/>
      <c r="AO30" s="469"/>
      <c r="AP30" s="469"/>
      <c r="AQ30" s="469"/>
      <c r="AR30" s="469"/>
      <c r="AS30" s="469"/>
      <c r="AT30" s="469"/>
    </row>
    <row r="31" spans="2:46" s="463" customFormat="1" ht="39" customHeight="1">
      <c r="B31" s="477" t="s">
        <v>3</v>
      </c>
      <c r="C31" s="475" t="s">
        <v>170</v>
      </c>
      <c r="D31" s="474">
        <f>D32</f>
        <v>1.9E-3</v>
      </c>
      <c r="F31" s="469"/>
      <c r="G31" s="470"/>
      <c r="H31" s="470"/>
      <c r="I31" s="470"/>
      <c r="J31" s="469"/>
      <c r="K31" s="469"/>
      <c r="L31" s="469"/>
      <c r="M31" s="469"/>
      <c r="N31" s="469"/>
      <c r="O31" s="469"/>
      <c r="P31" s="469"/>
      <c r="Q31" s="469"/>
      <c r="R31" s="469"/>
      <c r="S31" s="469"/>
      <c r="T31" s="469"/>
      <c r="U31" s="469"/>
      <c r="V31" s="469"/>
      <c r="W31" s="469"/>
      <c r="X31" s="469"/>
      <c r="Y31" s="469"/>
      <c r="Z31" s="469"/>
      <c r="AA31" s="469"/>
      <c r="AB31" s="469"/>
      <c r="AC31" s="469"/>
      <c r="AD31" s="469"/>
      <c r="AE31" s="469"/>
      <c r="AF31" s="469"/>
      <c r="AG31" s="469"/>
      <c r="AH31" s="469"/>
      <c r="AI31" s="469"/>
      <c r="AJ31" s="469"/>
      <c r="AK31" s="469"/>
      <c r="AL31" s="469"/>
      <c r="AM31" s="469"/>
      <c r="AN31" s="469"/>
      <c r="AO31" s="469"/>
      <c r="AP31" s="469"/>
      <c r="AQ31" s="469"/>
      <c r="AR31" s="469"/>
      <c r="AS31" s="469"/>
      <c r="AT31" s="469"/>
    </row>
    <row r="32" spans="2:46" s="463" customFormat="1" ht="21.95" customHeight="1">
      <c r="B32" s="479" t="s">
        <v>109</v>
      </c>
      <c r="C32" s="465" t="s">
        <v>110</v>
      </c>
      <c r="D32" s="473">
        <v>1.9E-3</v>
      </c>
      <c r="F32" s="469"/>
      <c r="G32" s="470"/>
      <c r="H32" s="470"/>
      <c r="I32" s="470"/>
      <c r="J32" s="469"/>
      <c r="K32" s="469"/>
      <c r="L32" s="469"/>
      <c r="M32" s="469"/>
      <c r="N32" s="469"/>
      <c r="O32" s="469"/>
      <c r="P32" s="469"/>
      <c r="Q32" s="469"/>
      <c r="R32" s="469"/>
      <c r="S32" s="469"/>
      <c r="T32" s="469"/>
      <c r="U32" s="469"/>
      <c r="V32" s="469"/>
      <c r="W32" s="469"/>
      <c r="X32" s="469"/>
      <c r="Y32" s="469"/>
      <c r="Z32" s="469"/>
      <c r="AA32" s="469"/>
      <c r="AB32" s="469"/>
      <c r="AC32" s="469"/>
      <c r="AD32" s="469"/>
      <c r="AE32" s="469"/>
      <c r="AF32" s="469"/>
      <c r="AG32" s="469"/>
      <c r="AH32" s="469"/>
      <c r="AI32" s="469"/>
      <c r="AJ32" s="469"/>
      <c r="AK32" s="469"/>
      <c r="AL32" s="469"/>
      <c r="AM32" s="469"/>
      <c r="AN32" s="469"/>
      <c r="AO32" s="469"/>
      <c r="AP32" s="469"/>
      <c r="AQ32" s="469"/>
      <c r="AR32" s="469"/>
      <c r="AS32" s="469"/>
      <c r="AT32" s="469"/>
    </row>
    <row r="33" spans="2:45" s="463" customFormat="1" ht="28.5" customHeight="1">
      <c r="B33" s="477" t="s">
        <v>111</v>
      </c>
      <c r="C33" s="462" t="s">
        <v>112</v>
      </c>
      <c r="D33" s="478">
        <f>D31+D27+D16+D6</f>
        <v>0.76160000000000005</v>
      </c>
      <c r="G33" s="460"/>
      <c r="H33" s="460"/>
      <c r="I33" s="460"/>
      <c r="J33" s="464"/>
      <c r="K33" s="464"/>
      <c r="L33" s="464"/>
      <c r="M33" s="464"/>
      <c r="N33" s="464"/>
      <c r="O33" s="464"/>
      <c r="P33" s="464"/>
      <c r="Q33" s="464"/>
      <c r="R33" s="464"/>
      <c r="S33" s="464"/>
      <c r="T33" s="464"/>
      <c r="U33" s="464"/>
      <c r="V33" s="464"/>
      <c r="W33" s="464"/>
      <c r="X33" s="464"/>
      <c r="Y33" s="464"/>
      <c r="Z33" s="464"/>
      <c r="AA33" s="464"/>
      <c r="AB33" s="464"/>
      <c r="AC33" s="464"/>
      <c r="AD33" s="464"/>
      <c r="AE33" s="464"/>
      <c r="AF33" s="464"/>
      <c r="AG33" s="464"/>
      <c r="AH33" s="464"/>
      <c r="AI33" s="464"/>
      <c r="AJ33" s="464"/>
      <c r="AK33" s="464"/>
      <c r="AL33" s="464"/>
      <c r="AM33" s="464"/>
      <c r="AN33" s="464"/>
      <c r="AO33" s="464"/>
      <c r="AP33" s="464"/>
      <c r="AQ33" s="464"/>
      <c r="AR33" s="464"/>
      <c r="AS33" s="464"/>
    </row>
  </sheetData>
  <sheetProtection selectLockedCells="1" selectUnlockedCells="1"/>
  <mergeCells count="10">
    <mergeCell ref="G14:K14"/>
    <mergeCell ref="G15:K15"/>
    <mergeCell ref="G13:K13"/>
    <mergeCell ref="B3:C3"/>
    <mergeCell ref="G7:K7"/>
    <mergeCell ref="G8:K8"/>
    <mergeCell ref="G9:K9"/>
    <mergeCell ref="G10:K10"/>
    <mergeCell ref="G11:K11"/>
    <mergeCell ref="G12:K12"/>
  </mergeCells>
  <conditionalFormatting sqref="D21 D23">
    <cfRule type="expression" dxfId="2" priority="2" stopIfTrue="1">
      <formula>IF($AB$17=2,0,1)</formula>
    </cfRule>
  </conditionalFormatting>
  <conditionalFormatting sqref="G21 G23">
    <cfRule type="expression" dxfId="1" priority="3" stopIfTrue="1">
      <formula>IF($AB$17=1,0,1)</formula>
    </cfRule>
  </conditionalFormatting>
  <conditionalFormatting sqref="G7:N15">
    <cfRule type="expression" dxfId="0" priority="1" stopIfTrue="1">
      <formula>IF($AB7=0,0,1)</formula>
    </cfRule>
  </conditionalFormatting>
  <printOptions horizontalCentered="1"/>
  <pageMargins left="0.19685039370078741" right="0.19685039370078741" top="0.39370078740157483" bottom="0.19685039370078741" header="0" footer="0"/>
  <pageSetup paperSize="9" scale="75" firstPageNumber="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81" r:id="rId4" name="Botão de opção 18">
              <controlPr defaultSize="0" autoFill="0" autoLine="0" autoPict="0" altText="MENSALISTA">
                <anchor moveWithCells="1" sizeWithCells="1">
                  <from>
                    <xdr:col>2</xdr:col>
                    <xdr:colOff>5286375</xdr:colOff>
                    <xdr:row>16</xdr:row>
                    <xdr:rowOff>76200</xdr:rowOff>
                  </from>
                  <to>
                    <xdr:col>2</xdr:col>
                    <xdr:colOff>6296025</xdr:colOff>
                    <xdr:row>16</xdr:row>
                    <xdr:rowOff>285750</xdr:rowOff>
                  </to>
                </anchor>
              </controlPr>
            </control>
          </mc:Choice>
        </mc:AlternateContent>
        <mc:AlternateContent xmlns:mc="http://schemas.openxmlformats.org/markup-compatibility/2006">
          <mc:Choice Requires="x14">
            <control shapeId="20482" r:id="rId5" name="Botão de opção 19">
              <controlPr defaultSize="0" autoFill="0" autoLine="0" autoPict="0" altText=" - HORISTA">
                <anchor moveWithCells="1" sizeWithCells="1">
                  <from>
                    <xdr:col>2</xdr:col>
                    <xdr:colOff>3429000</xdr:colOff>
                    <xdr:row>16</xdr:row>
                    <xdr:rowOff>66675</xdr:rowOff>
                  </from>
                  <to>
                    <xdr:col>2</xdr:col>
                    <xdr:colOff>4343400</xdr:colOff>
                    <xdr:row>16</xdr:row>
                    <xdr:rowOff>295275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98BF7267AEAB64A9E21986DDF493722" ma:contentTypeVersion="13" ma:contentTypeDescription="Criar um novo documento." ma:contentTypeScope="" ma:versionID="df12a279e09ac2524309c78bf7c6c019">
  <xsd:schema xmlns:xsd="http://www.w3.org/2001/XMLSchema" xmlns:xs="http://www.w3.org/2001/XMLSchema" xmlns:p="http://schemas.microsoft.com/office/2006/metadata/properties" xmlns:ns2="24322c8d-4405-44ed-bd88-4d3c09243e4a" xmlns:ns3="e4afd3a1-23bf-4946-a55c-6ed9d49bf17c" targetNamespace="http://schemas.microsoft.com/office/2006/metadata/properties" ma:root="true" ma:fieldsID="3956133b1c8b5fdbca2211844c356253" ns2:_="" ns3:_="">
    <xsd:import namespace="24322c8d-4405-44ed-bd88-4d3c09243e4a"/>
    <xsd:import namespace="e4afd3a1-23bf-4946-a55c-6ed9d49bf1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322c8d-4405-44ed-bd88-4d3c09243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a818c6de-ebe1-48d6-ae50-964da959880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afd3a1-23bf-4946-a55c-6ed9d49bf17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c671fa2-166d-4b4e-9d22-228fe4752f51}" ma:internalName="TaxCatchAll" ma:showField="CatchAllData" ma:web="e4afd3a1-23bf-4946-a55c-6ed9d49bf1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322c8d-4405-44ed-bd88-4d3c09243e4a">
      <Terms xmlns="http://schemas.microsoft.com/office/infopath/2007/PartnerControls"/>
    </lcf76f155ced4ddcb4097134ff3c332f>
    <TaxCatchAll xmlns="e4afd3a1-23bf-4946-a55c-6ed9d49bf17c"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87CB20-80BD-4514-BF5D-DBCF3ED2E5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322c8d-4405-44ed-bd88-4d3c09243e4a"/>
    <ds:schemaRef ds:uri="e4afd3a1-23bf-4946-a55c-6ed9d49bf1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B978B2-28A1-461A-99E8-6E67ADBBC601}">
  <ds:schemaRefs>
    <ds:schemaRef ds:uri="http://schemas.microsoft.com/DataMashup"/>
  </ds:schemaRefs>
</ds:datastoreItem>
</file>

<file path=customXml/itemProps3.xml><?xml version="1.0" encoding="utf-8"?>
<ds:datastoreItem xmlns:ds="http://schemas.openxmlformats.org/officeDocument/2006/customXml" ds:itemID="{6562EB87-D8F6-4A68-BDE4-934F045CC8EB}">
  <ds:schemaRefs>
    <ds:schemaRef ds:uri="http://schemas.microsoft.com/office/2006/metadata/properties"/>
    <ds:schemaRef ds:uri="http://schemas.microsoft.com/office/infopath/2007/PartnerControls"/>
    <ds:schemaRef ds:uri="24322c8d-4405-44ed-bd88-4d3c09243e4a"/>
    <ds:schemaRef ds:uri="e4afd3a1-23bf-4946-a55c-6ed9d49bf17c"/>
  </ds:schemaRefs>
</ds:datastoreItem>
</file>

<file path=customXml/itemProps4.xml><?xml version="1.0" encoding="utf-8"?>
<ds:datastoreItem xmlns:ds="http://schemas.openxmlformats.org/officeDocument/2006/customXml" ds:itemID="{E66A1BA1-85C6-457A-808D-27ED42166C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13</vt:i4>
      </vt:variant>
    </vt:vector>
  </HeadingPairs>
  <TitlesOfParts>
    <vt:vector size="27" baseType="lpstr">
      <vt:lpstr>APR</vt:lpstr>
      <vt:lpstr>CHECK</vt:lpstr>
      <vt:lpstr>QQP</vt:lpstr>
      <vt:lpstr>CPU  1</vt:lpstr>
      <vt:lpstr>CPU  2</vt:lpstr>
      <vt:lpstr>CPU  3</vt:lpstr>
      <vt:lpstr>CPU  4</vt:lpstr>
      <vt:lpstr>CPU  5</vt:lpstr>
      <vt:lpstr>MO</vt:lpstr>
      <vt:lpstr>EPIs</vt:lpstr>
      <vt:lpstr>TREINAMENTOS</vt:lpstr>
      <vt:lpstr>EXAMES</vt:lpstr>
      <vt:lpstr>BDI-TRIBUTOS</vt:lpstr>
      <vt:lpstr>ENCARGOS SOCIAIS</vt:lpstr>
      <vt:lpstr>APR!Area_de_impressao</vt:lpstr>
      <vt:lpstr>'BDI-TRIBUTOS'!Area_de_impressao</vt:lpstr>
      <vt:lpstr>CHECK!Area_de_impressao</vt:lpstr>
      <vt:lpstr>'CPU  1'!Area_de_impressao</vt:lpstr>
      <vt:lpstr>'CPU  2'!Area_de_impressao</vt:lpstr>
      <vt:lpstr>'CPU  3'!Area_de_impressao</vt:lpstr>
      <vt:lpstr>'CPU  4'!Area_de_impressao</vt:lpstr>
      <vt:lpstr>'CPU  5'!Area_de_impressao</vt:lpstr>
      <vt:lpstr>'ENCARGOS SOCIAIS'!Area_de_impressao</vt:lpstr>
      <vt:lpstr>MO!Area_de_impressao</vt:lpstr>
      <vt:lpstr>QQP!Area_de_impressao</vt:lpstr>
      <vt:lpstr>'ENCARGOS SOCIAIS'!enc</vt:lpstr>
      <vt:lpstr>QQP!Titulos_de_impressao</vt:lpstr>
    </vt:vector>
  </TitlesOfParts>
  <Company>xxxxxxxxxxxxxxxxxxx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dc:creator>
  <cp:lastModifiedBy>Anderson Marley</cp:lastModifiedBy>
  <cp:lastPrinted>2024-01-11T14:35:26Z</cp:lastPrinted>
  <dcterms:created xsi:type="dcterms:W3CDTF">1998-03-23T14:36:18Z</dcterms:created>
  <dcterms:modified xsi:type="dcterms:W3CDTF">2025-06-27T11:07:37Z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0x010100898BF7267AEAB64A9E21986DDF493722</vt:lpwstr>
  </property>
  <property fmtid="{D5CDD505-2E9C-101B-9397-08002B2CF9AE}" pid="3" name="Order">
    <vt:r8>3635200</vt:r8>
  </property>
</Properties>
</file>